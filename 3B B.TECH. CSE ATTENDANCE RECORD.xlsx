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CC1CA5E-7BD1-4B67-A7F9-45F1B89E2C1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ALL" sheetId="1" r:id="rId1"/>
    <sheet name="Internal" sheetId="2" r:id="rId2"/>
    <sheet name="OOPS" sheetId="3" r:id="rId3"/>
    <sheet name="DSA" sheetId="4" r:id="rId4"/>
    <sheet name="DOS" sheetId="5" r:id="rId5"/>
    <sheet name="M-III" sheetId="6" r:id="rId6"/>
    <sheet name="DE" sheetId="7" r:id="rId7"/>
    <sheet name="DSA LAB" sheetId="8" r:id="rId8"/>
    <sheet name="OOPS LAB" sheetId="9" r:id="rId9"/>
    <sheet name="IT WORKSHOP" sheetId="10" r:id="rId10"/>
    <sheet name="DE LAB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2" i="11" l="1"/>
  <c r="B131" i="11"/>
  <c r="C130" i="11"/>
  <c r="B130" i="11"/>
  <c r="A130" i="11"/>
  <c r="C129" i="11"/>
  <c r="B129" i="11"/>
  <c r="A129" i="11"/>
  <c r="C128" i="11"/>
  <c r="B128" i="11"/>
  <c r="A128" i="11"/>
  <c r="C127" i="11"/>
  <c r="B127" i="11"/>
  <c r="A127" i="11"/>
  <c r="C126" i="11"/>
  <c r="B126" i="11"/>
  <c r="A126" i="11"/>
  <c r="C125" i="11"/>
  <c r="B125" i="11"/>
  <c r="A125" i="11"/>
  <c r="C124" i="11"/>
  <c r="B124" i="11"/>
  <c r="A124" i="11"/>
  <c r="C123" i="11"/>
  <c r="B123" i="11"/>
  <c r="A123" i="11"/>
  <c r="C122" i="11"/>
  <c r="B122" i="11"/>
  <c r="A122" i="11"/>
  <c r="C121" i="11"/>
  <c r="B121" i="11"/>
  <c r="A121" i="11"/>
  <c r="C120" i="11"/>
  <c r="B120" i="11"/>
  <c r="A120" i="11"/>
  <c r="C119" i="11"/>
  <c r="B119" i="11"/>
  <c r="A119" i="11"/>
  <c r="C118" i="11"/>
  <c r="B118" i="11"/>
  <c r="A118" i="11"/>
  <c r="C117" i="11"/>
  <c r="B117" i="11"/>
  <c r="A117" i="11"/>
  <c r="C116" i="11"/>
  <c r="B116" i="11"/>
  <c r="A116" i="11"/>
  <c r="C115" i="11"/>
  <c r="B115" i="11"/>
  <c r="A115" i="11"/>
  <c r="C114" i="11"/>
  <c r="B114" i="11"/>
  <c r="A114" i="11"/>
  <c r="C113" i="11"/>
  <c r="B113" i="11"/>
  <c r="A113" i="11"/>
  <c r="C112" i="11"/>
  <c r="B112" i="11"/>
  <c r="A112" i="11"/>
  <c r="C111" i="11"/>
  <c r="B111" i="11"/>
  <c r="A111" i="11"/>
  <c r="C110" i="11"/>
  <c r="B110" i="11"/>
  <c r="A110" i="11"/>
  <c r="C109" i="11"/>
  <c r="B109" i="11"/>
  <c r="A109" i="11"/>
  <c r="C108" i="11"/>
  <c r="B108" i="11"/>
  <c r="A108" i="11"/>
  <c r="C107" i="11"/>
  <c r="B107" i="11"/>
  <c r="A107" i="11"/>
  <c r="C106" i="11"/>
  <c r="B106" i="11"/>
  <c r="A106" i="11"/>
  <c r="C105" i="11"/>
  <c r="B105" i="11"/>
  <c r="A105" i="11"/>
  <c r="C104" i="11"/>
  <c r="B104" i="11"/>
  <c r="A104" i="11"/>
  <c r="C103" i="11"/>
  <c r="B103" i="11"/>
  <c r="A103" i="11"/>
  <c r="C102" i="11"/>
  <c r="B102" i="11"/>
  <c r="A102" i="11"/>
  <c r="C101" i="11"/>
  <c r="B101" i="11"/>
  <c r="A101" i="11"/>
  <c r="C100" i="11"/>
  <c r="B100" i="11"/>
  <c r="A100" i="11"/>
  <c r="C99" i="11"/>
  <c r="B99" i="11"/>
  <c r="A99" i="11"/>
  <c r="C98" i="11"/>
  <c r="B98" i="11"/>
  <c r="A98" i="11"/>
  <c r="C97" i="11"/>
  <c r="B97" i="11"/>
  <c r="A97" i="11"/>
  <c r="C96" i="11"/>
  <c r="B96" i="11"/>
  <c r="A96" i="11"/>
  <c r="C95" i="11"/>
  <c r="B95" i="11"/>
  <c r="A95" i="11"/>
  <c r="C94" i="11"/>
  <c r="B94" i="11"/>
  <c r="A94" i="11"/>
  <c r="C93" i="11"/>
  <c r="B93" i="11"/>
  <c r="A93" i="11"/>
  <c r="C92" i="11"/>
  <c r="B92" i="11"/>
  <c r="A92" i="11"/>
  <c r="C91" i="11"/>
  <c r="B91" i="11"/>
  <c r="A91" i="11"/>
  <c r="C90" i="11"/>
  <c r="B90" i="11"/>
  <c r="A90" i="11"/>
  <c r="C89" i="11"/>
  <c r="B89" i="11"/>
  <c r="A89" i="11"/>
  <c r="C88" i="11"/>
  <c r="B88" i="11"/>
  <c r="A88" i="11"/>
  <c r="C87" i="11"/>
  <c r="B87" i="11"/>
  <c r="A87" i="11"/>
  <c r="C86" i="11"/>
  <c r="B86" i="11"/>
  <c r="A86" i="11"/>
  <c r="C85" i="11"/>
  <c r="B85" i="11"/>
  <c r="A85" i="11"/>
  <c r="C84" i="11"/>
  <c r="B84" i="11"/>
  <c r="A84" i="11"/>
  <c r="C83" i="11"/>
  <c r="B83" i="11"/>
  <c r="A83" i="11"/>
  <c r="C82" i="11"/>
  <c r="B82" i="11"/>
  <c r="A82" i="11"/>
  <c r="C81" i="11"/>
  <c r="B81" i="11"/>
  <c r="A81" i="11"/>
  <c r="C80" i="11"/>
  <c r="B80" i="11"/>
  <c r="A80" i="11"/>
  <c r="C79" i="11"/>
  <c r="B79" i="11"/>
  <c r="A79" i="11"/>
  <c r="C78" i="11"/>
  <c r="B78" i="11"/>
  <c r="A78" i="11"/>
  <c r="C77" i="11"/>
  <c r="B77" i="11"/>
  <c r="A77" i="11"/>
  <c r="C76" i="11"/>
  <c r="B76" i="11"/>
  <c r="A76" i="11"/>
  <c r="C75" i="11"/>
  <c r="B75" i="11"/>
  <c r="A75" i="11"/>
  <c r="AR65" i="11"/>
  <c r="AS65" i="11" s="1"/>
  <c r="AM65" i="11"/>
  <c r="AN65" i="11" s="1"/>
  <c r="AO65" i="11" s="1"/>
  <c r="AL65" i="11"/>
  <c r="AK65" i="11"/>
  <c r="AJ65" i="11"/>
  <c r="AR64" i="11"/>
  <c r="AN64" i="11"/>
  <c r="AO64" i="11" s="1"/>
  <c r="AM64" i="11"/>
  <c r="AL64" i="11"/>
  <c r="AK64" i="11"/>
  <c r="AJ64" i="11"/>
  <c r="AR63" i="11"/>
  <c r="AN63" i="11"/>
  <c r="AO63" i="11" s="1"/>
  <c r="AS63" i="11" s="1"/>
  <c r="AM63" i="11"/>
  <c r="AL63" i="11"/>
  <c r="AK63" i="11"/>
  <c r="AJ63" i="11"/>
  <c r="AI63" i="11"/>
  <c r="AR62" i="11"/>
  <c r="AN62" i="11"/>
  <c r="AO62" i="11" s="1"/>
  <c r="AS62" i="11" s="1"/>
  <c r="AM62" i="11"/>
  <c r="AL62" i="11"/>
  <c r="AK62" i="11"/>
  <c r="AJ62" i="11"/>
  <c r="AI62" i="11"/>
  <c r="AG62" i="11"/>
  <c r="C62" i="11"/>
  <c r="B62" i="11"/>
  <c r="AR61" i="11"/>
  <c r="AN61" i="11"/>
  <c r="AO61" i="11" s="1"/>
  <c r="AS61" i="11" s="1"/>
  <c r="J57" i="2" s="1"/>
  <c r="AM61" i="11"/>
  <c r="AL61" i="11"/>
  <c r="AK61" i="11"/>
  <c r="AJ61" i="11"/>
  <c r="AI61" i="11"/>
  <c r="AG61" i="11"/>
  <c r="C61" i="11"/>
  <c r="B61" i="11"/>
  <c r="AR60" i="11"/>
  <c r="AM60" i="11"/>
  <c r="AL60" i="11"/>
  <c r="AK60" i="11"/>
  <c r="AJ60" i="11"/>
  <c r="AI60" i="11"/>
  <c r="AG60" i="11"/>
  <c r="AE60" i="11"/>
  <c r="C60" i="11"/>
  <c r="B60" i="11"/>
  <c r="AR59" i="11"/>
  <c r="AL59" i="11"/>
  <c r="AK59" i="11"/>
  <c r="AJ59" i="11"/>
  <c r="AI59" i="11"/>
  <c r="AG59" i="11"/>
  <c r="AE59" i="11"/>
  <c r="C59" i="11"/>
  <c r="B59" i="11"/>
  <c r="AN58" i="11"/>
  <c r="AO58" i="11" s="1"/>
  <c r="AS58" i="11" s="1"/>
  <c r="J54" i="2" s="1"/>
  <c r="AL58" i="11"/>
  <c r="AK58" i="11"/>
  <c r="AJ58" i="11"/>
  <c r="AI58" i="11"/>
  <c r="AG58" i="11"/>
  <c r="AE58" i="11"/>
  <c r="C58" i="11"/>
  <c r="B58" i="11"/>
  <c r="AR57" i="11"/>
  <c r="AM57" i="11"/>
  <c r="AN57" i="11" s="1"/>
  <c r="AO57" i="11" s="1"/>
  <c r="AL57" i="11"/>
  <c r="AK57" i="11"/>
  <c r="AJ57" i="11"/>
  <c r="AI57" i="11"/>
  <c r="AC57" i="11"/>
  <c r="AE57" i="11" s="1"/>
  <c r="AG57" i="11" s="1"/>
  <c r="C57" i="11"/>
  <c r="B57" i="11"/>
  <c r="AR56" i="11"/>
  <c r="AN56" i="11"/>
  <c r="AO56" i="11" s="1"/>
  <c r="AM56" i="11"/>
  <c r="AL56" i="11"/>
  <c r="AK56" i="11"/>
  <c r="AJ56" i="11"/>
  <c r="AI56" i="11"/>
  <c r="AC56" i="11"/>
  <c r="AE56" i="11" s="1"/>
  <c r="C56" i="11"/>
  <c r="B56" i="11"/>
  <c r="AR55" i="11"/>
  <c r="AM55" i="11"/>
  <c r="AN55" i="11" s="1"/>
  <c r="AO55" i="11" s="1"/>
  <c r="AS55" i="11" s="1"/>
  <c r="AL55" i="11"/>
  <c r="AK55" i="11"/>
  <c r="AJ55" i="11"/>
  <c r="AI55" i="11"/>
  <c r="AE55" i="11"/>
  <c r="AM58" i="11" s="1"/>
  <c r="C55" i="11"/>
  <c r="B55" i="11"/>
  <c r="AR54" i="11"/>
  <c r="AM54" i="11"/>
  <c r="AN54" i="11" s="1"/>
  <c r="AO54" i="11" s="1"/>
  <c r="AL54" i="11"/>
  <c r="AK54" i="11"/>
  <c r="AJ54" i="11"/>
  <c r="AI54" i="11"/>
  <c r="AG54" i="11"/>
  <c r="AE54" i="11"/>
  <c r="C54" i="11"/>
  <c r="B54" i="11"/>
  <c r="AR53" i="11"/>
  <c r="AM53" i="11"/>
  <c r="AL53" i="11"/>
  <c r="AK53" i="11"/>
  <c r="AJ53" i="11"/>
  <c r="AI53" i="11"/>
  <c r="AG53" i="11"/>
  <c r="AE53" i="11"/>
  <c r="C53" i="11"/>
  <c r="B53" i="11"/>
  <c r="AS52" i="11"/>
  <c r="AM52" i="11"/>
  <c r="AN52" i="11" s="1"/>
  <c r="AO52" i="11" s="1"/>
  <c r="AL52" i="11"/>
  <c r="AK52" i="11"/>
  <c r="AJ52" i="11"/>
  <c r="AI52" i="11"/>
  <c r="AG52" i="11"/>
  <c r="AE52" i="11"/>
  <c r="C52" i="11"/>
  <c r="B52" i="11"/>
  <c r="AR51" i="11"/>
  <c r="AM51" i="11"/>
  <c r="AN51" i="11" s="1"/>
  <c r="AO51" i="11" s="1"/>
  <c r="AS51" i="11" s="1"/>
  <c r="J47" i="2" s="1"/>
  <c r="AL51" i="11"/>
  <c r="AK51" i="11"/>
  <c r="AJ51" i="11"/>
  <c r="AI51" i="11"/>
  <c r="AE51" i="11"/>
  <c r="AG51" i="11" s="1"/>
  <c r="AC51" i="11"/>
  <c r="C51" i="11"/>
  <c r="B51" i="11"/>
  <c r="AR50" i="11"/>
  <c r="AL50" i="11"/>
  <c r="AK50" i="11"/>
  <c r="AJ50" i="11"/>
  <c r="AI50" i="11"/>
  <c r="AG50" i="11"/>
  <c r="AE50" i="11"/>
  <c r="C50" i="11"/>
  <c r="B50" i="11"/>
  <c r="AR49" i="11"/>
  <c r="AM49" i="11"/>
  <c r="AL49" i="11"/>
  <c r="AK49" i="11"/>
  <c r="AJ49" i="11"/>
  <c r="AI49" i="11"/>
  <c r="AG49" i="11"/>
  <c r="AE49" i="11"/>
  <c r="C49" i="11"/>
  <c r="B49" i="11"/>
  <c r="AM48" i="11"/>
  <c r="AN48" i="11" s="1"/>
  <c r="AO48" i="11" s="1"/>
  <c r="AS48" i="11" s="1"/>
  <c r="J44" i="2" s="1"/>
  <c r="AL48" i="11"/>
  <c r="AK48" i="11"/>
  <c r="AJ48" i="11"/>
  <c r="AI48" i="11"/>
  <c r="AG48" i="11"/>
  <c r="AE48" i="11"/>
  <c r="C48" i="11"/>
  <c r="B48" i="11"/>
  <c r="A48" i="11"/>
  <c r="AR47" i="11"/>
  <c r="AL47" i="11"/>
  <c r="AK47" i="11"/>
  <c r="AJ47" i="11"/>
  <c r="AI47" i="11"/>
  <c r="AE47" i="11"/>
  <c r="AM50" i="11" s="1"/>
  <c r="AN50" i="11" s="1"/>
  <c r="AO50" i="11" s="1"/>
  <c r="AS50" i="11" s="1"/>
  <c r="C47" i="11"/>
  <c r="B47" i="11"/>
  <c r="A47" i="11"/>
  <c r="AR46" i="11"/>
  <c r="AM46" i="11"/>
  <c r="AL46" i="11"/>
  <c r="AK46" i="11"/>
  <c r="AJ46" i="11"/>
  <c r="AI46" i="11"/>
  <c r="AG46" i="11"/>
  <c r="AE46" i="11"/>
  <c r="C46" i="11"/>
  <c r="B46" i="11"/>
  <c r="A46" i="11"/>
  <c r="AR45" i="11"/>
  <c r="AN45" i="11"/>
  <c r="AO45" i="11" s="1"/>
  <c r="AS45" i="11" s="1"/>
  <c r="AL45" i="11"/>
  <c r="AK45" i="11"/>
  <c r="AJ45" i="11"/>
  <c r="AI45" i="11"/>
  <c r="AG45" i="11"/>
  <c r="AE45" i="11"/>
  <c r="C45" i="11"/>
  <c r="B45" i="11"/>
  <c r="A45" i="11"/>
  <c r="AR44" i="11"/>
  <c r="AN44" i="11"/>
  <c r="AO44" i="11" s="1"/>
  <c r="AS44" i="11" s="1"/>
  <c r="AM44" i="11"/>
  <c r="AL44" i="11"/>
  <c r="AK44" i="11"/>
  <c r="AJ44" i="11"/>
  <c r="AI44" i="11"/>
  <c r="AG44" i="11"/>
  <c r="AE44" i="11"/>
  <c r="AM47" i="11" s="1"/>
  <c r="AN47" i="11" s="1"/>
  <c r="AO47" i="11" s="1"/>
  <c r="AS47" i="11" s="1"/>
  <c r="C44" i="11"/>
  <c r="B44" i="11"/>
  <c r="A44" i="11"/>
  <c r="AR43" i="11"/>
  <c r="AL43" i="11"/>
  <c r="AK43" i="11"/>
  <c r="AJ43" i="11"/>
  <c r="AI43" i="11"/>
  <c r="AE43" i="11"/>
  <c r="AG43" i="11" s="1"/>
  <c r="C43" i="11"/>
  <c r="B43" i="11"/>
  <c r="A43" i="11"/>
  <c r="AR42" i="11"/>
  <c r="AO42" i="11"/>
  <c r="AN42" i="11"/>
  <c r="AL42" i="11"/>
  <c r="AK42" i="11"/>
  <c r="AJ42" i="11"/>
  <c r="AI42" i="11"/>
  <c r="AE42" i="11"/>
  <c r="AM45" i="11" s="1"/>
  <c r="C42" i="11"/>
  <c r="B42" i="11"/>
  <c r="A42" i="11"/>
  <c r="AR41" i="11"/>
  <c r="AL41" i="11"/>
  <c r="AK41" i="11"/>
  <c r="AJ41" i="11"/>
  <c r="AI41" i="11"/>
  <c r="AG41" i="11"/>
  <c r="AE41" i="11"/>
  <c r="C41" i="11"/>
  <c r="B41" i="11"/>
  <c r="A41" i="11"/>
  <c r="AR40" i="11"/>
  <c r="AL40" i="11"/>
  <c r="AK40" i="11"/>
  <c r="AJ40" i="11"/>
  <c r="AI40" i="11"/>
  <c r="AE40" i="11"/>
  <c r="C40" i="11"/>
  <c r="B40" i="11"/>
  <c r="A40" i="11"/>
  <c r="AR39" i="11"/>
  <c r="AM39" i="11"/>
  <c r="AN39" i="11" s="1"/>
  <c r="AO39" i="11" s="1"/>
  <c r="AS39" i="11" s="1"/>
  <c r="AL39" i="11"/>
  <c r="AK39" i="11"/>
  <c r="AJ39" i="11"/>
  <c r="AI39" i="11"/>
  <c r="AG39" i="11"/>
  <c r="AE39" i="11"/>
  <c r="AM42" i="11" s="1"/>
  <c r="C39" i="11"/>
  <c r="B39" i="11"/>
  <c r="A39" i="11"/>
  <c r="AM38" i="11"/>
  <c r="AN38" i="11" s="1"/>
  <c r="AO38" i="11" s="1"/>
  <c r="AS38" i="11" s="1"/>
  <c r="AL38" i="11"/>
  <c r="AK38" i="11"/>
  <c r="AJ38" i="11"/>
  <c r="AI38" i="11"/>
  <c r="AE38" i="11"/>
  <c r="C38" i="11"/>
  <c r="B38" i="11"/>
  <c r="A38" i="11"/>
  <c r="AR37" i="11"/>
  <c r="AM37" i="11"/>
  <c r="AL37" i="11"/>
  <c r="AK37" i="11"/>
  <c r="AJ37" i="11"/>
  <c r="AI37" i="11"/>
  <c r="AG37" i="11"/>
  <c r="AE37" i="11"/>
  <c r="AM40" i="11" s="1"/>
  <c r="AN40" i="11" s="1"/>
  <c r="AO40" i="11" s="1"/>
  <c r="C37" i="11"/>
  <c r="B37" i="11"/>
  <c r="A37" i="11"/>
  <c r="AR36" i="11"/>
  <c r="AM36" i="11"/>
  <c r="AN36" i="11" s="1"/>
  <c r="AO36" i="11" s="1"/>
  <c r="AS36" i="11" s="1"/>
  <c r="J32" i="2" s="1"/>
  <c r="AL36" i="11"/>
  <c r="AK36" i="11"/>
  <c r="AJ36" i="11"/>
  <c r="AI36" i="11"/>
  <c r="AE36" i="11"/>
  <c r="AG36" i="11" s="1"/>
  <c r="C36" i="11"/>
  <c r="B36" i="11"/>
  <c r="A36" i="11"/>
  <c r="AN35" i="11"/>
  <c r="AO35" i="11" s="1"/>
  <c r="AS35" i="11" s="1"/>
  <c r="AL35" i="11"/>
  <c r="AK35" i="11"/>
  <c r="AJ35" i="11"/>
  <c r="AI35" i="11"/>
  <c r="AG35" i="11"/>
  <c r="AE35" i="11"/>
  <c r="C35" i="11"/>
  <c r="B35" i="11"/>
  <c r="A35" i="11"/>
  <c r="AR34" i="11"/>
  <c r="AN34" i="11"/>
  <c r="AO34" i="11" s="1"/>
  <c r="AS34" i="11" s="1"/>
  <c r="J30" i="2" s="1"/>
  <c r="AM34" i="11"/>
  <c r="AL34" i="11"/>
  <c r="AK34" i="11"/>
  <c r="AJ34" i="11"/>
  <c r="AI34" i="11"/>
  <c r="AG34" i="11"/>
  <c r="AE34" i="11"/>
  <c r="C34" i="11"/>
  <c r="B34" i="11"/>
  <c r="A34" i="11"/>
  <c r="AR33" i="11"/>
  <c r="AO33" i="11"/>
  <c r="AS33" i="11" s="1"/>
  <c r="J29" i="2" s="1"/>
  <c r="AN33" i="11"/>
  <c r="AL33" i="11"/>
  <c r="AK33" i="11"/>
  <c r="AJ33" i="11"/>
  <c r="AI33" i="11"/>
  <c r="AE33" i="11"/>
  <c r="AG33" i="11" s="1"/>
  <c r="C33" i="11"/>
  <c r="B33" i="11"/>
  <c r="A33" i="11"/>
  <c r="AO32" i="11"/>
  <c r="AS32" i="11" s="1"/>
  <c r="AM32" i="11"/>
  <c r="AN32" i="11" s="1"/>
  <c r="AL32" i="11"/>
  <c r="AK32" i="11"/>
  <c r="AJ32" i="11"/>
  <c r="AI32" i="11"/>
  <c r="AE32" i="11"/>
  <c r="AM35" i="11" s="1"/>
  <c r="C32" i="11"/>
  <c r="B32" i="11"/>
  <c r="A32" i="11"/>
  <c r="AR31" i="11"/>
  <c r="AO31" i="11"/>
  <c r="AS31" i="11" s="1"/>
  <c r="AL31" i="11"/>
  <c r="AK31" i="11"/>
  <c r="AJ31" i="11"/>
  <c r="AI31" i="11"/>
  <c r="AE31" i="11"/>
  <c r="AG31" i="11" s="1"/>
  <c r="C31" i="11"/>
  <c r="B31" i="11"/>
  <c r="A31" i="11"/>
  <c r="AR30" i="11"/>
  <c r="AM30" i="11"/>
  <c r="AL30" i="11"/>
  <c r="AK30" i="11"/>
  <c r="AJ30" i="11"/>
  <c r="AI30" i="11"/>
  <c r="AG30" i="11"/>
  <c r="AE30" i="11"/>
  <c r="AM33" i="11" s="1"/>
  <c r="C30" i="11"/>
  <c r="B30" i="11"/>
  <c r="A30" i="11"/>
  <c r="AM29" i="11"/>
  <c r="AL29" i="11"/>
  <c r="AK29" i="11"/>
  <c r="AJ29" i="11"/>
  <c r="AI29" i="11"/>
  <c r="AG29" i="11"/>
  <c r="AE29" i="11"/>
  <c r="C29" i="11"/>
  <c r="B29" i="11"/>
  <c r="A29" i="11"/>
  <c r="AR28" i="11"/>
  <c r="AL28" i="11"/>
  <c r="AK28" i="11"/>
  <c r="AJ28" i="11"/>
  <c r="AI28" i="11"/>
  <c r="AG28" i="11"/>
  <c r="AE28" i="11"/>
  <c r="AM31" i="11" s="1"/>
  <c r="AN31" i="11" s="1"/>
  <c r="C28" i="11"/>
  <c r="B28" i="11"/>
  <c r="A28" i="11"/>
  <c r="AR27" i="11"/>
  <c r="AM27" i="11"/>
  <c r="AN27" i="11" s="1"/>
  <c r="AO27" i="11" s="1"/>
  <c r="AS27" i="11" s="1"/>
  <c r="AL27" i="11"/>
  <c r="AK27" i="11"/>
  <c r="AJ27" i="11"/>
  <c r="AI27" i="11"/>
  <c r="AG27" i="11"/>
  <c r="AE27" i="11"/>
  <c r="C27" i="11"/>
  <c r="B27" i="11"/>
  <c r="A27" i="11"/>
  <c r="AR26" i="11"/>
  <c r="AL26" i="11"/>
  <c r="AK26" i="11"/>
  <c r="AJ26" i="11"/>
  <c r="AI26" i="11"/>
  <c r="AG26" i="11"/>
  <c r="AE26" i="11"/>
  <c r="C26" i="11"/>
  <c r="B26" i="11"/>
  <c r="A26" i="11"/>
  <c r="AR25" i="11"/>
  <c r="AL25" i="11"/>
  <c r="AK25" i="11"/>
  <c r="AJ25" i="11"/>
  <c r="AI25" i="11"/>
  <c r="AG25" i="11"/>
  <c r="AE25" i="11"/>
  <c r="AM28" i="11" s="1"/>
  <c r="AN28" i="11" s="1"/>
  <c r="AO28" i="11" s="1"/>
  <c r="AS28" i="11" s="1"/>
  <c r="C25" i="11"/>
  <c r="B25" i="11"/>
  <c r="A25" i="11"/>
  <c r="AR24" i="11"/>
  <c r="AL24" i="11"/>
  <c r="AK24" i="11"/>
  <c r="AJ24" i="11"/>
  <c r="AI24" i="11"/>
  <c r="AE24" i="11"/>
  <c r="AG24" i="11" s="1"/>
  <c r="C24" i="11"/>
  <c r="B24" i="11"/>
  <c r="A24" i="11"/>
  <c r="AR23" i="11"/>
  <c r="AM23" i="11"/>
  <c r="AL23" i="11"/>
  <c r="AK23" i="11"/>
  <c r="AJ23" i="11"/>
  <c r="AI23" i="11"/>
  <c r="AE23" i="11"/>
  <c r="C23" i="11"/>
  <c r="B23" i="11"/>
  <c r="A23" i="11"/>
  <c r="AR22" i="11"/>
  <c r="AM22" i="11"/>
  <c r="AN22" i="11" s="1"/>
  <c r="AO22" i="11" s="1"/>
  <c r="AS22" i="11" s="1"/>
  <c r="AL22" i="11"/>
  <c r="AK22" i="11"/>
  <c r="AJ22" i="11"/>
  <c r="AI22" i="11"/>
  <c r="AE22" i="11"/>
  <c r="AG22" i="11" s="1"/>
  <c r="C22" i="11"/>
  <c r="B22" i="11"/>
  <c r="A22" i="11"/>
  <c r="AR21" i="11"/>
  <c r="AM21" i="11"/>
  <c r="AL21" i="11"/>
  <c r="AK21" i="11"/>
  <c r="AJ21" i="11"/>
  <c r="AI21" i="11"/>
  <c r="AG21" i="11"/>
  <c r="AE21" i="11"/>
  <c r="AM24" i="11" s="1"/>
  <c r="AN24" i="11" s="1"/>
  <c r="AO24" i="11" s="1"/>
  <c r="AS24" i="11" s="1"/>
  <c r="C21" i="11"/>
  <c r="B21" i="11"/>
  <c r="A21" i="11"/>
  <c r="AL20" i="11"/>
  <c r="AK20" i="11"/>
  <c r="AJ20" i="11"/>
  <c r="AI20" i="11"/>
  <c r="AG20" i="11"/>
  <c r="AE20" i="11"/>
  <c r="C20" i="11"/>
  <c r="B20" i="11"/>
  <c r="A20" i="11"/>
  <c r="AR19" i="11"/>
  <c r="AL19" i="11"/>
  <c r="AK19" i="11"/>
  <c r="AJ19" i="11"/>
  <c r="AI19" i="11"/>
  <c r="AE19" i="11"/>
  <c r="AG19" i="11" s="1"/>
  <c r="C19" i="11"/>
  <c r="B19" i="11"/>
  <c r="A19" i="11"/>
  <c r="AR18" i="11"/>
  <c r="AM18" i="11"/>
  <c r="AN18" i="11" s="1"/>
  <c r="AO18" i="11" s="1"/>
  <c r="AS18" i="11" s="1"/>
  <c r="AL18" i="11"/>
  <c r="AK18" i="11"/>
  <c r="AJ18" i="11"/>
  <c r="AI18" i="11"/>
  <c r="AE18" i="11"/>
  <c r="AG18" i="11" s="1"/>
  <c r="C18" i="11"/>
  <c r="B18" i="11"/>
  <c r="A18" i="11"/>
  <c r="AR17" i="11"/>
  <c r="AL17" i="11"/>
  <c r="AK17" i="11"/>
  <c r="AJ17" i="11"/>
  <c r="AI17" i="11"/>
  <c r="AE17" i="11"/>
  <c r="C17" i="11"/>
  <c r="B17" i="11"/>
  <c r="A17" i="11"/>
  <c r="AR16" i="11"/>
  <c r="AO16" i="11"/>
  <c r="AL16" i="11"/>
  <c r="AK16" i="11"/>
  <c r="AJ16" i="11"/>
  <c r="AI16" i="11"/>
  <c r="AE16" i="11"/>
  <c r="AG16" i="11" s="1"/>
  <c r="C16" i="11"/>
  <c r="B16" i="11"/>
  <c r="A16" i="11"/>
  <c r="AR15" i="11"/>
  <c r="AL15" i="11"/>
  <c r="AK15" i="11"/>
  <c r="AJ15" i="11"/>
  <c r="AI15" i="11"/>
  <c r="AG15" i="11"/>
  <c r="AE15" i="11"/>
  <c r="C15" i="11"/>
  <c r="B15" i="11"/>
  <c r="A15" i="11"/>
  <c r="AR14" i="11"/>
  <c r="AL14" i="11"/>
  <c r="AK14" i="11"/>
  <c r="AJ14" i="11"/>
  <c r="AI14" i="11"/>
  <c r="AG14" i="11"/>
  <c r="AE14" i="11"/>
  <c r="AM17" i="11" s="1"/>
  <c r="AN17" i="11" s="1"/>
  <c r="AO17" i="11" s="1"/>
  <c r="AS17" i="11" s="1"/>
  <c r="C14" i="11"/>
  <c r="B14" i="11"/>
  <c r="A14" i="11"/>
  <c r="AR13" i="11"/>
  <c r="AM13" i="11"/>
  <c r="AN13" i="11" s="1"/>
  <c r="AO13" i="11" s="1"/>
  <c r="AS13" i="11" s="1"/>
  <c r="AL13" i="11"/>
  <c r="AK13" i="11"/>
  <c r="AJ13" i="11"/>
  <c r="AI13" i="11"/>
  <c r="AG13" i="11"/>
  <c r="AE13" i="11"/>
  <c r="AM16" i="11" s="1"/>
  <c r="AN16" i="11" s="1"/>
  <c r="C13" i="11"/>
  <c r="B13" i="11"/>
  <c r="A13" i="11"/>
  <c r="AR12" i="11"/>
  <c r="AL12" i="11"/>
  <c r="AK12" i="11"/>
  <c r="AJ12" i="11"/>
  <c r="AI12" i="11"/>
  <c r="AG12" i="11"/>
  <c r="AE12" i="11"/>
  <c r="AM15" i="11" s="1"/>
  <c r="C12" i="11"/>
  <c r="B12" i="11"/>
  <c r="A12" i="11"/>
  <c r="AR11" i="11"/>
  <c r="AL11" i="11"/>
  <c r="AK11" i="11"/>
  <c r="AJ11" i="11"/>
  <c r="AI11" i="11"/>
  <c r="AG11" i="11"/>
  <c r="AE11" i="11"/>
  <c r="AM14" i="11" s="1"/>
  <c r="AN14" i="11" s="1"/>
  <c r="AO14" i="11" s="1"/>
  <c r="C11" i="11"/>
  <c r="B11" i="11"/>
  <c r="A11" i="11"/>
  <c r="AR10" i="11"/>
  <c r="AL10" i="11"/>
  <c r="AK10" i="11"/>
  <c r="AJ10" i="11"/>
  <c r="AI10" i="11"/>
  <c r="AE10" i="11"/>
  <c r="AG10" i="11" s="1"/>
  <c r="C10" i="11"/>
  <c r="B10" i="11"/>
  <c r="A10" i="11"/>
  <c r="AR9" i="11"/>
  <c r="AO9" i="11"/>
  <c r="AS9" i="11" s="1"/>
  <c r="AL9" i="11"/>
  <c r="AK9" i="11"/>
  <c r="AJ9" i="11"/>
  <c r="AI9" i="11"/>
  <c r="AE9" i="11"/>
  <c r="C9" i="11"/>
  <c r="B9" i="11"/>
  <c r="A9" i="11"/>
  <c r="AS8" i="11"/>
  <c r="AN8" i="11"/>
  <c r="AO8" i="11" s="1"/>
  <c r="AM8" i="11"/>
  <c r="AL8" i="11"/>
  <c r="AK8" i="11"/>
  <c r="AJ8" i="11"/>
  <c r="AI8" i="11"/>
  <c r="AC8" i="11"/>
  <c r="AE8" i="11" s="1"/>
  <c r="C8" i="11"/>
  <c r="B8" i="11"/>
  <c r="A8" i="11"/>
  <c r="AG7" i="11"/>
  <c r="AE7" i="11"/>
  <c r="AM10" i="11" s="1"/>
  <c r="AN10" i="11" s="1"/>
  <c r="AO10" i="11" s="1"/>
  <c r="AS10" i="11" s="1"/>
  <c r="C7" i="11"/>
  <c r="B7" i="11"/>
  <c r="A7" i="11"/>
  <c r="AG6" i="11"/>
  <c r="AE6" i="11"/>
  <c r="AM9" i="11" s="1"/>
  <c r="AN9" i="11" s="1"/>
  <c r="C6" i="11"/>
  <c r="B6" i="11"/>
  <c r="A6" i="11"/>
  <c r="AG5" i="11"/>
  <c r="AE5" i="11"/>
  <c r="C5" i="11"/>
  <c r="B5" i="11"/>
  <c r="A5" i="11"/>
  <c r="A1" i="11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A118" i="10"/>
  <c r="C117" i="10"/>
  <c r="B117" i="10"/>
  <c r="A117" i="10"/>
  <c r="C116" i="10"/>
  <c r="B116" i="10"/>
  <c r="A116" i="10"/>
  <c r="C115" i="10"/>
  <c r="B115" i="10"/>
  <c r="A115" i="10"/>
  <c r="C114" i="10"/>
  <c r="B114" i="10"/>
  <c r="A114" i="10"/>
  <c r="C113" i="10"/>
  <c r="B113" i="10"/>
  <c r="A113" i="10"/>
  <c r="C112" i="10"/>
  <c r="B112" i="10"/>
  <c r="A112" i="10"/>
  <c r="C111" i="10"/>
  <c r="B111" i="10"/>
  <c r="A111" i="10"/>
  <c r="C110" i="10"/>
  <c r="B110" i="10"/>
  <c r="A110" i="10"/>
  <c r="C109" i="10"/>
  <c r="B109" i="10"/>
  <c r="A109" i="10"/>
  <c r="C108" i="10"/>
  <c r="B108" i="10"/>
  <c r="A108" i="10"/>
  <c r="C107" i="10"/>
  <c r="B107" i="10"/>
  <c r="A107" i="10"/>
  <c r="C106" i="10"/>
  <c r="B106" i="10"/>
  <c r="A106" i="10"/>
  <c r="C105" i="10"/>
  <c r="B105" i="10"/>
  <c r="A105" i="10"/>
  <c r="C104" i="10"/>
  <c r="B104" i="10"/>
  <c r="A104" i="10"/>
  <c r="C103" i="10"/>
  <c r="B103" i="10"/>
  <c r="A103" i="10"/>
  <c r="C102" i="10"/>
  <c r="B102" i="10"/>
  <c r="A102" i="10"/>
  <c r="C101" i="10"/>
  <c r="B101" i="10"/>
  <c r="A101" i="10"/>
  <c r="C100" i="10"/>
  <c r="B100" i="10"/>
  <c r="A100" i="10"/>
  <c r="C99" i="10"/>
  <c r="B99" i="10"/>
  <c r="A99" i="10"/>
  <c r="C98" i="10"/>
  <c r="B98" i="10"/>
  <c r="A98" i="10"/>
  <c r="C97" i="10"/>
  <c r="B97" i="10"/>
  <c r="A97" i="10"/>
  <c r="C96" i="10"/>
  <c r="B96" i="10"/>
  <c r="A96" i="10"/>
  <c r="C95" i="10"/>
  <c r="B95" i="10"/>
  <c r="A95" i="10"/>
  <c r="C94" i="10"/>
  <c r="B94" i="10"/>
  <c r="A94" i="10"/>
  <c r="C93" i="10"/>
  <c r="B93" i="10"/>
  <c r="A93" i="10"/>
  <c r="C92" i="10"/>
  <c r="B92" i="10"/>
  <c r="A92" i="10"/>
  <c r="C91" i="10"/>
  <c r="B91" i="10"/>
  <c r="A91" i="10"/>
  <c r="C90" i="10"/>
  <c r="B90" i="10"/>
  <c r="A90" i="10"/>
  <c r="C89" i="10"/>
  <c r="B89" i="10"/>
  <c r="A89" i="10"/>
  <c r="C88" i="10"/>
  <c r="B88" i="10"/>
  <c r="A88" i="10"/>
  <c r="C87" i="10"/>
  <c r="B87" i="10"/>
  <c r="A87" i="10"/>
  <c r="C86" i="10"/>
  <c r="B86" i="10"/>
  <c r="A86" i="10"/>
  <c r="C85" i="10"/>
  <c r="B85" i="10"/>
  <c r="A85" i="10"/>
  <c r="C84" i="10"/>
  <c r="B84" i="10"/>
  <c r="A84" i="10"/>
  <c r="C83" i="10"/>
  <c r="B83" i="10"/>
  <c r="A83" i="10"/>
  <c r="C82" i="10"/>
  <c r="B82" i="10"/>
  <c r="A82" i="10"/>
  <c r="C81" i="10"/>
  <c r="B81" i="10"/>
  <c r="A81" i="10"/>
  <c r="C80" i="10"/>
  <c r="B80" i="10"/>
  <c r="A80" i="10"/>
  <c r="C79" i="10"/>
  <c r="B79" i="10"/>
  <c r="A79" i="10"/>
  <c r="C78" i="10"/>
  <c r="B78" i="10"/>
  <c r="A78" i="10"/>
  <c r="C77" i="10"/>
  <c r="B77" i="10"/>
  <c r="A77" i="10"/>
  <c r="C76" i="10"/>
  <c r="B76" i="10"/>
  <c r="A76" i="10"/>
  <c r="C75" i="10"/>
  <c r="B75" i="10"/>
  <c r="A75" i="10"/>
  <c r="BA65" i="10"/>
  <c r="AZ65" i="10"/>
  <c r="AT65" i="10"/>
  <c r="AS65" i="10"/>
  <c r="AR65" i="10"/>
  <c r="AQ65" i="10"/>
  <c r="AZ64" i="10"/>
  <c r="AT64" i="10"/>
  <c r="AS64" i="10"/>
  <c r="AR64" i="10"/>
  <c r="AQ64" i="10"/>
  <c r="BA63" i="10"/>
  <c r="AZ63" i="10"/>
  <c r="AU63" i="10"/>
  <c r="AV63" i="10" s="1"/>
  <c r="AW63" i="10" s="1"/>
  <c r="AT63" i="10"/>
  <c r="AS63" i="10"/>
  <c r="AR63" i="10"/>
  <c r="AQ63" i="10"/>
  <c r="AZ62" i="10"/>
  <c r="AT62" i="10"/>
  <c r="AS62" i="10"/>
  <c r="AR62" i="10"/>
  <c r="AQ62" i="10"/>
  <c r="AO62" i="10"/>
  <c r="AM62" i="10"/>
  <c r="AU65" i="10" s="1"/>
  <c r="AV65" i="10" s="1"/>
  <c r="AW65" i="10" s="1"/>
  <c r="C62" i="10"/>
  <c r="B62" i="10"/>
  <c r="AZ61" i="10"/>
  <c r="AT61" i="10"/>
  <c r="AS61" i="10"/>
  <c r="AR61" i="10"/>
  <c r="AQ61" i="10"/>
  <c r="AM61" i="10"/>
  <c r="C61" i="10"/>
  <c r="B61" i="10"/>
  <c r="AZ60" i="10"/>
  <c r="AT60" i="10"/>
  <c r="AS60" i="10"/>
  <c r="AR60" i="10"/>
  <c r="AQ60" i="10"/>
  <c r="AO60" i="10"/>
  <c r="AM60" i="10"/>
  <c r="C60" i="10"/>
  <c r="B60" i="10"/>
  <c r="BA59" i="10"/>
  <c r="AZ59" i="10"/>
  <c r="AU59" i="10"/>
  <c r="AV59" i="10" s="1"/>
  <c r="AW59" i="10" s="1"/>
  <c r="AT59" i="10"/>
  <c r="AS59" i="10"/>
  <c r="AR59" i="10"/>
  <c r="AQ59" i="10"/>
  <c r="AM59" i="10"/>
  <c r="C59" i="10"/>
  <c r="B59" i="10"/>
  <c r="AZ58" i="10"/>
  <c r="AT58" i="10"/>
  <c r="AS58" i="10"/>
  <c r="AR58" i="10"/>
  <c r="AQ58" i="10"/>
  <c r="AM58" i="10"/>
  <c r="C58" i="10"/>
  <c r="B58" i="10"/>
  <c r="AZ57" i="10"/>
  <c r="AW57" i="10"/>
  <c r="AU57" i="10"/>
  <c r="AV57" i="10" s="1"/>
  <c r="AT57" i="10"/>
  <c r="AS57" i="10"/>
  <c r="AR57" i="10"/>
  <c r="AQ57" i="10"/>
  <c r="AM57" i="10"/>
  <c r="C57" i="10"/>
  <c r="B57" i="10"/>
  <c r="AZ56" i="10"/>
  <c r="AV56" i="10"/>
  <c r="AW56" i="10" s="1"/>
  <c r="AU56" i="10"/>
  <c r="AT56" i="10"/>
  <c r="AS56" i="10"/>
  <c r="AR56" i="10"/>
  <c r="AQ56" i="10"/>
  <c r="AO56" i="10"/>
  <c r="AM56" i="10"/>
  <c r="C56" i="10"/>
  <c r="B56" i="10"/>
  <c r="AZ55" i="10"/>
  <c r="AW55" i="10"/>
  <c r="BA55" i="10" s="1"/>
  <c r="AV55" i="10"/>
  <c r="AU55" i="10"/>
  <c r="AT55" i="10"/>
  <c r="AS55" i="10"/>
  <c r="AR55" i="10"/>
  <c r="AQ55" i="10"/>
  <c r="AM55" i="10"/>
  <c r="C55" i="10"/>
  <c r="B55" i="10"/>
  <c r="AZ54" i="10"/>
  <c r="AT54" i="10"/>
  <c r="AS54" i="10"/>
  <c r="AR54" i="10"/>
  <c r="AQ54" i="10"/>
  <c r="AO54" i="10"/>
  <c r="AM54" i="10"/>
  <c r="C54" i="10"/>
  <c r="B54" i="10"/>
  <c r="AZ53" i="10"/>
  <c r="AW53" i="10"/>
  <c r="BA53" i="10" s="1"/>
  <c r="L49" i="2" s="1"/>
  <c r="AU53" i="10"/>
  <c r="AV53" i="10" s="1"/>
  <c r="AT53" i="10"/>
  <c r="AS53" i="10"/>
  <c r="AR53" i="10"/>
  <c r="AQ53" i="10"/>
  <c r="AO53" i="10"/>
  <c r="AM53" i="10"/>
  <c r="C53" i="10"/>
  <c r="B53" i="10"/>
  <c r="AZ52" i="10"/>
  <c r="AT52" i="10"/>
  <c r="AS52" i="10"/>
  <c r="AR52" i="10"/>
  <c r="AQ52" i="10"/>
  <c r="AO52" i="10"/>
  <c r="AM52" i="10"/>
  <c r="C52" i="10"/>
  <c r="B52" i="10"/>
  <c r="AZ51" i="10"/>
  <c r="AT51" i="10"/>
  <c r="AS51" i="10"/>
  <c r="AR51" i="10"/>
  <c r="AQ51" i="10"/>
  <c r="AM51" i="10"/>
  <c r="C51" i="10"/>
  <c r="B51" i="10"/>
  <c r="AZ50" i="10"/>
  <c r="AV50" i="10"/>
  <c r="AW50" i="10" s="1"/>
  <c r="BA50" i="10" s="1"/>
  <c r="L46" i="2" s="1"/>
  <c r="AU50" i="10"/>
  <c r="AT50" i="10"/>
  <c r="AS50" i="10"/>
  <c r="AR50" i="10"/>
  <c r="AQ50" i="10"/>
  <c r="AO50" i="10"/>
  <c r="AM50" i="10"/>
  <c r="C50" i="10"/>
  <c r="B50" i="10"/>
  <c r="AZ49" i="10"/>
  <c r="AV49" i="10"/>
  <c r="AW49" i="10" s="1"/>
  <c r="BA49" i="10" s="1"/>
  <c r="AT49" i="10"/>
  <c r="AS49" i="10"/>
  <c r="AR49" i="10"/>
  <c r="AQ49" i="10"/>
  <c r="AM49" i="10"/>
  <c r="C49" i="10"/>
  <c r="B49" i="10"/>
  <c r="AZ48" i="10"/>
  <c r="AW48" i="10"/>
  <c r="BA48" i="10" s="1"/>
  <c r="L44" i="2" s="1"/>
  <c r="AT48" i="10"/>
  <c r="AS48" i="10"/>
  <c r="AR48" i="10"/>
  <c r="AQ48" i="10"/>
  <c r="AO48" i="10"/>
  <c r="AM48" i="10"/>
  <c r="AU51" i="10" s="1"/>
  <c r="AV51" i="10" s="1"/>
  <c r="AW51" i="10" s="1"/>
  <c r="BA51" i="10" s="1"/>
  <c r="C48" i="10"/>
  <c r="B48" i="10"/>
  <c r="A48" i="10"/>
  <c r="AZ47" i="10"/>
  <c r="AV47" i="10"/>
  <c r="AW47" i="10" s="1"/>
  <c r="BA47" i="10" s="1"/>
  <c r="AU47" i="10"/>
  <c r="AT47" i="10"/>
  <c r="AS47" i="10"/>
  <c r="AR47" i="10"/>
  <c r="AQ47" i="10"/>
  <c r="AO47" i="10"/>
  <c r="AM47" i="10"/>
  <c r="C47" i="10"/>
  <c r="B47" i="10"/>
  <c r="A47" i="10"/>
  <c r="AZ46" i="10"/>
  <c r="AT46" i="10"/>
  <c r="AS46" i="10"/>
  <c r="AR46" i="10"/>
  <c r="AQ46" i="10"/>
  <c r="AO46" i="10"/>
  <c r="AM46" i="10"/>
  <c r="AU49" i="10" s="1"/>
  <c r="C46" i="10"/>
  <c r="B46" i="10"/>
  <c r="A46" i="10"/>
  <c r="AZ45" i="10"/>
  <c r="AV45" i="10"/>
  <c r="AW45" i="10" s="1"/>
  <c r="BA45" i="10" s="1"/>
  <c r="AU45" i="10"/>
  <c r="AT45" i="10"/>
  <c r="AS45" i="10"/>
  <c r="AR45" i="10"/>
  <c r="AQ45" i="10"/>
  <c r="AO45" i="10"/>
  <c r="AM45" i="10"/>
  <c r="AU48" i="10" s="1"/>
  <c r="AV48" i="10" s="1"/>
  <c r="C45" i="10"/>
  <c r="B45" i="10"/>
  <c r="A45" i="10"/>
  <c r="AZ44" i="10"/>
  <c r="AT44" i="10"/>
  <c r="AS44" i="10"/>
  <c r="AR44" i="10"/>
  <c r="AQ44" i="10"/>
  <c r="AO44" i="10"/>
  <c r="AM44" i="10"/>
  <c r="C44" i="10"/>
  <c r="B44" i="10"/>
  <c r="A44" i="10"/>
  <c r="AZ43" i="10"/>
  <c r="AV43" i="10"/>
  <c r="AW43" i="10" s="1"/>
  <c r="BA43" i="10" s="1"/>
  <c r="AU43" i="10"/>
  <c r="AT43" i="10"/>
  <c r="AS43" i="10"/>
  <c r="AR43" i="10"/>
  <c r="AQ43" i="10"/>
  <c r="AO43" i="10"/>
  <c r="AM43" i="10"/>
  <c r="AU46" i="10" s="1"/>
  <c r="AV46" i="10" s="1"/>
  <c r="AW46" i="10" s="1"/>
  <c r="BA46" i="10" s="1"/>
  <c r="C43" i="10"/>
  <c r="B43" i="10"/>
  <c r="A43" i="10"/>
  <c r="AZ42" i="10"/>
  <c r="AT42" i="10"/>
  <c r="AS42" i="10"/>
  <c r="AR42" i="10"/>
  <c r="AQ42" i="10"/>
  <c r="AO42" i="10"/>
  <c r="AM42" i="10"/>
  <c r="C42" i="10"/>
  <c r="B42" i="10"/>
  <c r="A42" i="10"/>
  <c r="AZ41" i="10"/>
  <c r="AV41" i="10"/>
  <c r="AW41" i="10" s="1"/>
  <c r="BA41" i="10" s="1"/>
  <c r="AU41" i="10"/>
  <c r="AT41" i="10"/>
  <c r="AS41" i="10"/>
  <c r="AR41" i="10"/>
  <c r="AQ41" i="10"/>
  <c r="AO41" i="10"/>
  <c r="AM41" i="10"/>
  <c r="AU44" i="10" s="1"/>
  <c r="AV44" i="10" s="1"/>
  <c r="AW44" i="10" s="1"/>
  <c r="BA44" i="10" s="1"/>
  <c r="C41" i="10"/>
  <c r="B41" i="10"/>
  <c r="A41" i="10"/>
  <c r="AZ40" i="10"/>
  <c r="AW40" i="10"/>
  <c r="BA40" i="10" s="1"/>
  <c r="AT40" i="10"/>
  <c r="AS40" i="10"/>
  <c r="AR40" i="10"/>
  <c r="AQ40" i="10"/>
  <c r="AO40" i="10"/>
  <c r="AM40" i="10"/>
  <c r="C40" i="10"/>
  <c r="B40" i="10"/>
  <c r="A40" i="10"/>
  <c r="AZ39" i="10"/>
  <c r="AV39" i="10"/>
  <c r="AW39" i="10" s="1"/>
  <c r="BA39" i="10" s="1"/>
  <c r="AU39" i="10"/>
  <c r="AT39" i="10"/>
  <c r="AS39" i="10"/>
  <c r="AR39" i="10"/>
  <c r="AQ39" i="10"/>
  <c r="AO39" i="10"/>
  <c r="AM39" i="10"/>
  <c r="AU42" i="10" s="1"/>
  <c r="AV42" i="10" s="1"/>
  <c r="AW42" i="10" s="1"/>
  <c r="BA42" i="10" s="1"/>
  <c r="C39" i="10"/>
  <c r="B39" i="10"/>
  <c r="A39" i="10"/>
  <c r="AZ38" i="10"/>
  <c r="AT38" i="10"/>
  <c r="AS38" i="10"/>
  <c r="AR38" i="10"/>
  <c r="AQ38" i="10"/>
  <c r="AO38" i="10"/>
  <c r="AM38" i="10"/>
  <c r="C38" i="10"/>
  <c r="B38" i="10"/>
  <c r="A38" i="10"/>
  <c r="AZ37" i="10"/>
  <c r="AV37" i="10"/>
  <c r="AW37" i="10" s="1"/>
  <c r="BA37" i="10" s="1"/>
  <c r="AU37" i="10"/>
  <c r="AT37" i="10"/>
  <c r="AS37" i="10"/>
  <c r="AR37" i="10"/>
  <c r="AQ37" i="10"/>
  <c r="AO37" i="10"/>
  <c r="AM37" i="10"/>
  <c r="AU40" i="10" s="1"/>
  <c r="AV40" i="10" s="1"/>
  <c r="C37" i="10"/>
  <c r="B37" i="10"/>
  <c r="A37" i="10"/>
  <c r="AZ36" i="10"/>
  <c r="AT36" i="10"/>
  <c r="AS36" i="10"/>
  <c r="AR36" i="10"/>
  <c r="AQ36" i="10"/>
  <c r="AO36" i="10"/>
  <c r="AM36" i="10"/>
  <c r="C36" i="10"/>
  <c r="B36" i="10"/>
  <c r="A36" i="10"/>
  <c r="AZ35" i="10"/>
  <c r="AV35" i="10"/>
  <c r="AW35" i="10" s="1"/>
  <c r="BA35" i="10" s="1"/>
  <c r="AU35" i="10"/>
  <c r="AT35" i="10"/>
  <c r="AS35" i="10"/>
  <c r="AR35" i="10"/>
  <c r="AQ35" i="10"/>
  <c r="AO35" i="10"/>
  <c r="AM35" i="10"/>
  <c r="AU38" i="10" s="1"/>
  <c r="AV38" i="10" s="1"/>
  <c r="AW38" i="10" s="1"/>
  <c r="BA38" i="10" s="1"/>
  <c r="C35" i="10"/>
  <c r="B35" i="10"/>
  <c r="A35" i="10"/>
  <c r="AZ34" i="10"/>
  <c r="AT34" i="10"/>
  <c r="AS34" i="10"/>
  <c r="AR34" i="10"/>
  <c r="AQ34" i="10"/>
  <c r="AO34" i="10"/>
  <c r="AM34" i="10"/>
  <c r="C34" i="10"/>
  <c r="B34" i="10"/>
  <c r="A34" i="10"/>
  <c r="AZ33" i="10"/>
  <c r="AV33" i="10"/>
  <c r="AW33" i="10" s="1"/>
  <c r="BA33" i="10" s="1"/>
  <c r="AT33" i="10"/>
  <c r="AS33" i="10"/>
  <c r="AR33" i="10"/>
  <c r="AQ33" i="10"/>
  <c r="AO33" i="10"/>
  <c r="AM33" i="10"/>
  <c r="AU36" i="10" s="1"/>
  <c r="AV36" i="10" s="1"/>
  <c r="AW36" i="10" s="1"/>
  <c r="BA36" i="10" s="1"/>
  <c r="C33" i="10"/>
  <c r="B33" i="10"/>
  <c r="A33" i="10"/>
  <c r="AZ32" i="10"/>
  <c r="AT32" i="10"/>
  <c r="AS32" i="10"/>
  <c r="AR32" i="10"/>
  <c r="AQ32" i="10"/>
  <c r="AO32" i="10"/>
  <c r="AM32" i="10"/>
  <c r="C32" i="10"/>
  <c r="B32" i="10"/>
  <c r="A32" i="10"/>
  <c r="AZ31" i="10"/>
  <c r="AV31" i="10"/>
  <c r="AW31" i="10" s="1"/>
  <c r="BA31" i="10" s="1"/>
  <c r="AT31" i="10"/>
  <c r="AS31" i="10"/>
  <c r="AR31" i="10"/>
  <c r="AQ31" i="10"/>
  <c r="AM31" i="10"/>
  <c r="AO31" i="10" s="1"/>
  <c r="C31" i="10"/>
  <c r="B31" i="10"/>
  <c r="A31" i="10"/>
  <c r="AZ30" i="10"/>
  <c r="AT30" i="10"/>
  <c r="AS30" i="10"/>
  <c r="AR30" i="10"/>
  <c r="AQ30" i="10"/>
  <c r="AO30" i="10"/>
  <c r="AM30" i="10"/>
  <c r="AU33" i="10" s="1"/>
  <c r="C30" i="10"/>
  <c r="B30" i="10"/>
  <c r="A30" i="10"/>
  <c r="AZ29" i="10"/>
  <c r="AV29" i="10"/>
  <c r="AW29" i="10" s="1"/>
  <c r="BA29" i="10" s="1"/>
  <c r="AT29" i="10"/>
  <c r="AS29" i="10"/>
  <c r="AR29" i="10"/>
  <c r="AQ29" i="10"/>
  <c r="AM29" i="10"/>
  <c r="C29" i="10"/>
  <c r="B29" i="10"/>
  <c r="A29" i="10"/>
  <c r="AZ28" i="10"/>
  <c r="AT28" i="10"/>
  <c r="AS28" i="10"/>
  <c r="AR28" i="10"/>
  <c r="AQ28" i="10"/>
  <c r="AO28" i="10"/>
  <c r="AM28" i="10"/>
  <c r="AU31" i="10" s="1"/>
  <c r="C28" i="10"/>
  <c r="B28" i="10"/>
  <c r="A28" i="10"/>
  <c r="AZ27" i="10"/>
  <c r="AT27" i="10"/>
  <c r="AS27" i="10"/>
  <c r="AR27" i="10"/>
  <c r="AQ27" i="10"/>
  <c r="AM27" i="10"/>
  <c r="C27" i="10"/>
  <c r="B27" i="10"/>
  <c r="A27" i="10"/>
  <c r="AZ26" i="10"/>
  <c r="AT26" i="10"/>
  <c r="AS26" i="10"/>
  <c r="AR26" i="10"/>
  <c r="AQ26" i="10"/>
  <c r="AO26" i="10"/>
  <c r="AM26" i="10"/>
  <c r="AU29" i="10" s="1"/>
  <c r="C26" i="10"/>
  <c r="B26" i="10"/>
  <c r="A26" i="10"/>
  <c r="AZ25" i="10"/>
  <c r="AT25" i="10"/>
  <c r="AS25" i="10"/>
  <c r="AR25" i="10"/>
  <c r="AQ25" i="10"/>
  <c r="AM25" i="10"/>
  <c r="AO25" i="10" s="1"/>
  <c r="C25" i="10"/>
  <c r="B25" i="10"/>
  <c r="A25" i="10"/>
  <c r="AZ24" i="10"/>
  <c r="AT24" i="10"/>
  <c r="AS24" i="10"/>
  <c r="AR24" i="10"/>
  <c r="AQ24" i="10"/>
  <c r="AO24" i="10"/>
  <c r="AM24" i="10"/>
  <c r="AU27" i="10" s="1"/>
  <c r="AV27" i="10" s="1"/>
  <c r="AW27" i="10" s="1"/>
  <c r="BA27" i="10" s="1"/>
  <c r="C24" i="10"/>
  <c r="B24" i="10"/>
  <c r="A24" i="10"/>
  <c r="AZ23" i="10"/>
  <c r="AT23" i="10"/>
  <c r="AS23" i="10"/>
  <c r="AR23" i="10"/>
  <c r="AQ23" i="10"/>
  <c r="AM23" i="10"/>
  <c r="AO23" i="10" s="1"/>
  <c r="C23" i="10"/>
  <c r="B23" i="10"/>
  <c r="A23" i="10"/>
  <c r="AZ22" i="10"/>
  <c r="AU22" i="10"/>
  <c r="AV22" i="10" s="1"/>
  <c r="AW22" i="10" s="1"/>
  <c r="BA22" i="10" s="1"/>
  <c r="AT22" i="10"/>
  <c r="AS22" i="10"/>
  <c r="AR22" i="10"/>
  <c r="AQ22" i="10"/>
  <c r="AO22" i="10"/>
  <c r="AM22" i="10"/>
  <c r="AU25" i="10" s="1"/>
  <c r="AV25" i="10" s="1"/>
  <c r="AW25" i="10" s="1"/>
  <c r="BA25" i="10" s="1"/>
  <c r="C22" i="10"/>
  <c r="B22" i="10"/>
  <c r="A22" i="10"/>
  <c r="AZ21" i="10"/>
  <c r="AV21" i="10"/>
  <c r="AW21" i="10" s="1"/>
  <c r="BA21" i="10" s="1"/>
  <c r="AT21" i="10"/>
  <c r="AS21" i="10"/>
  <c r="AR21" i="10"/>
  <c r="AQ21" i="10"/>
  <c r="AM21" i="10"/>
  <c r="AO21" i="10" s="1"/>
  <c r="C21" i="10"/>
  <c r="B21" i="10"/>
  <c r="A21" i="10"/>
  <c r="AZ20" i="10"/>
  <c r="AT20" i="10"/>
  <c r="AS20" i="10"/>
  <c r="AR20" i="10"/>
  <c r="AQ20" i="10"/>
  <c r="AO20" i="10"/>
  <c r="AM20" i="10"/>
  <c r="AU23" i="10" s="1"/>
  <c r="AV23" i="10" s="1"/>
  <c r="AW23" i="10" s="1"/>
  <c r="BA23" i="10" s="1"/>
  <c r="C20" i="10"/>
  <c r="B20" i="10"/>
  <c r="A20" i="10"/>
  <c r="AZ19" i="10"/>
  <c r="AT19" i="10"/>
  <c r="AS19" i="10"/>
  <c r="AR19" i="10"/>
  <c r="AQ19" i="10"/>
  <c r="AM19" i="10"/>
  <c r="AO19" i="10" s="1"/>
  <c r="C19" i="10"/>
  <c r="B19" i="10"/>
  <c r="A19" i="10"/>
  <c r="AZ18" i="10"/>
  <c r="AT18" i="10"/>
  <c r="AS18" i="10"/>
  <c r="AR18" i="10"/>
  <c r="AQ18" i="10"/>
  <c r="AO18" i="10"/>
  <c r="AM18" i="10"/>
  <c r="AU21" i="10" s="1"/>
  <c r="C18" i="10"/>
  <c r="B18" i="10"/>
  <c r="A18" i="10"/>
  <c r="AZ17" i="10"/>
  <c r="AT17" i="10"/>
  <c r="AS17" i="10"/>
  <c r="AR17" i="10"/>
  <c r="AQ17" i="10"/>
  <c r="AM17" i="10"/>
  <c r="AO17" i="10" s="1"/>
  <c r="C17" i="10"/>
  <c r="B17" i="10"/>
  <c r="A17" i="10"/>
  <c r="AZ16" i="10"/>
  <c r="AT16" i="10"/>
  <c r="AS16" i="10"/>
  <c r="AR16" i="10"/>
  <c r="AQ16" i="10"/>
  <c r="AO16" i="10"/>
  <c r="AM16" i="10"/>
  <c r="AU19" i="10" s="1"/>
  <c r="AV19" i="10" s="1"/>
  <c r="AW19" i="10" s="1"/>
  <c r="BA19" i="10" s="1"/>
  <c r="C16" i="10"/>
  <c r="B16" i="10"/>
  <c r="A16" i="10"/>
  <c r="AZ15" i="10"/>
  <c r="AT15" i="10"/>
  <c r="AS15" i="10"/>
  <c r="AR15" i="10"/>
  <c r="AQ15" i="10"/>
  <c r="AM15" i="10"/>
  <c r="AO15" i="10" s="1"/>
  <c r="C15" i="10"/>
  <c r="B15" i="10"/>
  <c r="A15" i="10"/>
  <c r="AZ14" i="10"/>
  <c r="AU14" i="10"/>
  <c r="AV14" i="10" s="1"/>
  <c r="AW14" i="10" s="1"/>
  <c r="BA14" i="10" s="1"/>
  <c r="AT14" i="10"/>
  <c r="AS14" i="10"/>
  <c r="AR14" i="10"/>
  <c r="AQ14" i="10"/>
  <c r="AO14" i="10"/>
  <c r="AM14" i="10"/>
  <c r="AU17" i="10" s="1"/>
  <c r="AV17" i="10" s="1"/>
  <c r="AW17" i="10" s="1"/>
  <c r="BA17" i="10" s="1"/>
  <c r="C14" i="10"/>
  <c r="B14" i="10"/>
  <c r="A14" i="10"/>
  <c r="AZ13" i="10"/>
  <c r="AV13" i="10"/>
  <c r="AW13" i="10" s="1"/>
  <c r="BA13" i="10" s="1"/>
  <c r="AT13" i="10"/>
  <c r="AS13" i="10"/>
  <c r="AR13" i="10"/>
  <c r="AQ13" i="10"/>
  <c r="AM13" i="10"/>
  <c r="AO13" i="10" s="1"/>
  <c r="C13" i="10"/>
  <c r="B13" i="10"/>
  <c r="A13" i="10"/>
  <c r="AZ12" i="10"/>
  <c r="AU12" i="10"/>
  <c r="AV12" i="10" s="1"/>
  <c r="AW12" i="10" s="1"/>
  <c r="BA12" i="10" s="1"/>
  <c r="AT12" i="10"/>
  <c r="AS12" i="10"/>
  <c r="AR12" i="10"/>
  <c r="AQ12" i="10"/>
  <c r="AO12" i="10"/>
  <c r="AM12" i="10"/>
  <c r="AU15" i="10" s="1"/>
  <c r="AV15" i="10" s="1"/>
  <c r="AW15" i="10" s="1"/>
  <c r="BA15" i="10" s="1"/>
  <c r="C12" i="10"/>
  <c r="B12" i="10"/>
  <c r="A12" i="10"/>
  <c r="AZ11" i="10"/>
  <c r="AT11" i="10"/>
  <c r="AS11" i="10"/>
  <c r="AR11" i="10"/>
  <c r="AQ11" i="10"/>
  <c r="AM11" i="10"/>
  <c r="AO11" i="10" s="1"/>
  <c r="C11" i="10"/>
  <c r="B11" i="10"/>
  <c r="A11" i="10"/>
  <c r="AZ10" i="10"/>
  <c r="AU10" i="10"/>
  <c r="AT10" i="10"/>
  <c r="AS10" i="10"/>
  <c r="AR10" i="10"/>
  <c r="AQ10" i="10"/>
  <c r="AO10" i="10"/>
  <c r="AM10" i="10"/>
  <c r="AU13" i="10" s="1"/>
  <c r="C10" i="10"/>
  <c r="B10" i="10"/>
  <c r="A10" i="10"/>
  <c r="AZ9" i="10"/>
  <c r="AT9" i="10"/>
  <c r="AS9" i="10"/>
  <c r="AR9" i="10"/>
  <c r="AQ9" i="10"/>
  <c r="AM9" i="10"/>
  <c r="AO9" i="10" s="1"/>
  <c r="C9" i="10"/>
  <c r="B9" i="10"/>
  <c r="A9" i="10"/>
  <c r="AZ8" i="10"/>
  <c r="AT8" i="10"/>
  <c r="AS8" i="10"/>
  <c r="AR8" i="10"/>
  <c r="AQ8" i="10"/>
  <c r="AO8" i="10"/>
  <c r="AM8" i="10"/>
  <c r="AU11" i="10" s="1"/>
  <c r="AV11" i="10" s="1"/>
  <c r="AW11" i="10" s="1"/>
  <c r="BA11" i="10" s="1"/>
  <c r="C8" i="10"/>
  <c r="B8" i="10"/>
  <c r="A8" i="10"/>
  <c r="AO7" i="10"/>
  <c r="AM7" i="10"/>
  <c r="C7" i="10"/>
  <c r="B7" i="10"/>
  <c r="A7" i="10"/>
  <c r="AM6" i="10"/>
  <c r="C6" i="10"/>
  <c r="B6" i="10"/>
  <c r="A6" i="10"/>
  <c r="AO5" i="10"/>
  <c r="AM5" i="10"/>
  <c r="AU8" i="10" s="1"/>
  <c r="AV8" i="10" s="1"/>
  <c r="AW8" i="10" s="1"/>
  <c r="BA8" i="10" s="1"/>
  <c r="C5" i="10"/>
  <c r="B5" i="10"/>
  <c r="A5" i="10"/>
  <c r="A1" i="10"/>
  <c r="C127" i="9"/>
  <c r="B127" i="9"/>
  <c r="A127" i="9"/>
  <c r="C126" i="9"/>
  <c r="B126" i="9"/>
  <c r="A126" i="9"/>
  <c r="C125" i="9"/>
  <c r="B125" i="9"/>
  <c r="A125" i="9"/>
  <c r="C124" i="9"/>
  <c r="B124" i="9"/>
  <c r="A124" i="9"/>
  <c r="C123" i="9"/>
  <c r="B123" i="9"/>
  <c r="A123" i="9"/>
  <c r="C122" i="9"/>
  <c r="B122" i="9"/>
  <c r="A122" i="9"/>
  <c r="C121" i="9"/>
  <c r="B121" i="9"/>
  <c r="A121" i="9"/>
  <c r="C120" i="9"/>
  <c r="B120" i="9"/>
  <c r="A120" i="9"/>
  <c r="C119" i="9"/>
  <c r="B119" i="9"/>
  <c r="A119" i="9"/>
  <c r="C118" i="9"/>
  <c r="B118" i="9"/>
  <c r="A118" i="9"/>
  <c r="C117" i="9"/>
  <c r="B117" i="9"/>
  <c r="A117" i="9"/>
  <c r="C116" i="9"/>
  <c r="B116" i="9"/>
  <c r="A116" i="9"/>
  <c r="C115" i="9"/>
  <c r="B115" i="9"/>
  <c r="A115" i="9"/>
  <c r="C114" i="9"/>
  <c r="B114" i="9"/>
  <c r="A114" i="9"/>
  <c r="C113" i="9"/>
  <c r="B113" i="9"/>
  <c r="A113" i="9"/>
  <c r="C112" i="9"/>
  <c r="B112" i="9"/>
  <c r="A112" i="9"/>
  <c r="C111" i="9"/>
  <c r="B111" i="9"/>
  <c r="A111" i="9"/>
  <c r="C110" i="9"/>
  <c r="B110" i="9"/>
  <c r="A110" i="9"/>
  <c r="C109" i="9"/>
  <c r="B109" i="9"/>
  <c r="A109" i="9"/>
  <c r="C108" i="9"/>
  <c r="B108" i="9"/>
  <c r="A108" i="9"/>
  <c r="C107" i="9"/>
  <c r="B107" i="9"/>
  <c r="A107" i="9"/>
  <c r="C106" i="9"/>
  <c r="B106" i="9"/>
  <c r="A106" i="9"/>
  <c r="C105" i="9"/>
  <c r="B105" i="9"/>
  <c r="A105" i="9"/>
  <c r="C104" i="9"/>
  <c r="B104" i="9"/>
  <c r="A104" i="9"/>
  <c r="C103" i="9"/>
  <c r="B103" i="9"/>
  <c r="A103" i="9"/>
  <c r="C102" i="9"/>
  <c r="B102" i="9"/>
  <c r="A102" i="9"/>
  <c r="C101" i="9"/>
  <c r="B101" i="9"/>
  <c r="A101" i="9"/>
  <c r="C100" i="9"/>
  <c r="B100" i="9"/>
  <c r="A100" i="9"/>
  <c r="C99" i="9"/>
  <c r="B99" i="9"/>
  <c r="A99" i="9"/>
  <c r="C98" i="9"/>
  <c r="B98" i="9"/>
  <c r="A98" i="9"/>
  <c r="C97" i="9"/>
  <c r="B97" i="9"/>
  <c r="A97" i="9"/>
  <c r="C96" i="9"/>
  <c r="B96" i="9"/>
  <c r="A96" i="9"/>
  <c r="C95" i="9"/>
  <c r="B95" i="9"/>
  <c r="A95" i="9"/>
  <c r="C94" i="9"/>
  <c r="B94" i="9"/>
  <c r="A94" i="9"/>
  <c r="C93" i="9"/>
  <c r="B93" i="9"/>
  <c r="A93" i="9"/>
  <c r="C92" i="9"/>
  <c r="B92" i="9"/>
  <c r="A92" i="9"/>
  <c r="C91" i="9"/>
  <c r="B91" i="9"/>
  <c r="A91" i="9"/>
  <c r="C90" i="9"/>
  <c r="B90" i="9"/>
  <c r="A90" i="9"/>
  <c r="C89" i="9"/>
  <c r="B89" i="9"/>
  <c r="A89" i="9"/>
  <c r="C88" i="9"/>
  <c r="B88" i="9"/>
  <c r="A88" i="9"/>
  <c r="C87" i="9"/>
  <c r="B87" i="9"/>
  <c r="A87" i="9"/>
  <c r="C86" i="9"/>
  <c r="B86" i="9"/>
  <c r="A86" i="9"/>
  <c r="C85" i="9"/>
  <c r="B85" i="9"/>
  <c r="A85" i="9"/>
  <c r="C84" i="9"/>
  <c r="B84" i="9"/>
  <c r="A84" i="9"/>
  <c r="C83" i="9"/>
  <c r="B83" i="9"/>
  <c r="A83" i="9"/>
  <c r="C82" i="9"/>
  <c r="B82" i="9"/>
  <c r="A82" i="9"/>
  <c r="C81" i="9"/>
  <c r="B81" i="9"/>
  <c r="A81" i="9"/>
  <c r="C80" i="9"/>
  <c r="B80" i="9"/>
  <c r="A80" i="9"/>
  <c r="C79" i="9"/>
  <c r="B79" i="9"/>
  <c r="A79" i="9"/>
  <c r="C78" i="9"/>
  <c r="B78" i="9"/>
  <c r="A78" i="9"/>
  <c r="C77" i="9"/>
  <c r="B77" i="9"/>
  <c r="A77" i="9"/>
  <c r="C76" i="9"/>
  <c r="B76" i="9"/>
  <c r="A76" i="9"/>
  <c r="C75" i="9"/>
  <c r="B75" i="9"/>
  <c r="A75" i="9"/>
  <c r="C74" i="9"/>
  <c r="B74" i="9"/>
  <c r="A74" i="9"/>
  <c r="C73" i="9"/>
  <c r="B73" i="9"/>
  <c r="A73" i="9"/>
  <c r="C72" i="9"/>
  <c r="B72" i="9"/>
  <c r="A72" i="9"/>
  <c r="C71" i="9"/>
  <c r="B71" i="9"/>
  <c r="A71" i="9"/>
  <c r="C70" i="9"/>
  <c r="B70" i="9"/>
  <c r="A70" i="9"/>
  <c r="AR65" i="9"/>
  <c r="AM65" i="9"/>
  <c r="AL65" i="9"/>
  <c r="AK65" i="9"/>
  <c r="AJ65" i="9"/>
  <c r="AI65" i="9"/>
  <c r="AS64" i="9"/>
  <c r="AR64" i="9"/>
  <c r="AN64" i="9"/>
  <c r="AO64" i="9" s="1"/>
  <c r="AM64" i="9"/>
  <c r="AL64" i="9"/>
  <c r="AK64" i="9"/>
  <c r="AJ64" i="9"/>
  <c r="AI64" i="9"/>
  <c r="AR63" i="9"/>
  <c r="AL63" i="9"/>
  <c r="AK63" i="9"/>
  <c r="AJ63" i="9"/>
  <c r="AI63" i="9"/>
  <c r="C63" i="9"/>
  <c r="AR62" i="9"/>
  <c r="AL62" i="9"/>
  <c r="AK62" i="9"/>
  <c r="AJ62" i="9"/>
  <c r="AI62" i="9"/>
  <c r="AG62" i="9"/>
  <c r="AE62" i="9"/>
  <c r="C62" i="9"/>
  <c r="B62" i="9"/>
  <c r="AR61" i="9"/>
  <c r="AN61" i="9"/>
  <c r="AO61" i="9" s="1"/>
  <c r="AS61" i="9" s="1"/>
  <c r="AM61" i="9"/>
  <c r="AL61" i="9"/>
  <c r="AK61" i="9"/>
  <c r="AJ61" i="9"/>
  <c r="AI61" i="9"/>
  <c r="AG61" i="9"/>
  <c r="AE61" i="9"/>
  <c r="C61" i="9"/>
  <c r="B61" i="9"/>
  <c r="AR60" i="9"/>
  <c r="AL60" i="9"/>
  <c r="AK60" i="9"/>
  <c r="AJ60" i="9"/>
  <c r="AI60" i="9"/>
  <c r="AE60" i="9"/>
  <c r="C60" i="9"/>
  <c r="B60" i="9"/>
  <c r="AR59" i="9"/>
  <c r="AL59" i="9"/>
  <c r="AK59" i="9"/>
  <c r="AJ59" i="9"/>
  <c r="AI59" i="9"/>
  <c r="AE59" i="9"/>
  <c r="C59" i="9"/>
  <c r="B59" i="9"/>
  <c r="AR58" i="9"/>
  <c r="AM58" i="9"/>
  <c r="AN58" i="9" s="1"/>
  <c r="AO58" i="9" s="1"/>
  <c r="AL58" i="9"/>
  <c r="AK58" i="9"/>
  <c r="AJ58" i="9"/>
  <c r="AI58" i="9"/>
  <c r="AG58" i="9"/>
  <c r="AE58" i="9"/>
  <c r="C58" i="9"/>
  <c r="B58" i="9"/>
  <c r="AR57" i="9"/>
  <c r="AM57" i="9"/>
  <c r="AN57" i="9" s="1"/>
  <c r="AO57" i="9" s="1"/>
  <c r="AS57" i="9" s="1"/>
  <c r="AL57" i="9"/>
  <c r="AK57" i="9"/>
  <c r="AJ57" i="9"/>
  <c r="AI57" i="9"/>
  <c r="AC57" i="9"/>
  <c r="AE57" i="9" s="1"/>
  <c r="C57" i="9"/>
  <c r="B57" i="9"/>
  <c r="AR56" i="9"/>
  <c r="AO56" i="9"/>
  <c r="AL56" i="9"/>
  <c r="AK56" i="9"/>
  <c r="AJ56" i="9"/>
  <c r="AI56" i="9"/>
  <c r="AE56" i="9"/>
  <c r="C56" i="9"/>
  <c r="B56" i="9"/>
  <c r="AC56" i="9" s="1"/>
  <c r="AR55" i="9"/>
  <c r="AN55" i="9"/>
  <c r="AO55" i="9" s="1"/>
  <c r="AS55" i="9" s="1"/>
  <c r="AM55" i="9"/>
  <c r="AL55" i="9"/>
  <c r="AK55" i="9"/>
  <c r="AJ55" i="9"/>
  <c r="AI55" i="9"/>
  <c r="AG55" i="9"/>
  <c r="AE55" i="9"/>
  <c r="C55" i="9"/>
  <c r="B55" i="9"/>
  <c r="AR54" i="9"/>
  <c r="AL54" i="9"/>
  <c r="AK54" i="9"/>
  <c r="AJ54" i="9"/>
  <c r="AI54" i="9"/>
  <c r="AE54" i="9"/>
  <c r="AG54" i="9" s="1"/>
  <c r="C54" i="9"/>
  <c r="B54" i="9"/>
  <c r="AR53" i="9"/>
  <c r="AN53" i="9"/>
  <c r="AO53" i="9" s="1"/>
  <c r="AS53" i="9" s="1"/>
  <c r="AL53" i="9"/>
  <c r="AK53" i="9"/>
  <c r="AJ53" i="9"/>
  <c r="AI53" i="9"/>
  <c r="AG53" i="9"/>
  <c r="AE53" i="9"/>
  <c r="AM56" i="9" s="1"/>
  <c r="AN56" i="9" s="1"/>
  <c r="C53" i="9"/>
  <c r="B53" i="9"/>
  <c r="AR52" i="9"/>
  <c r="AM52" i="9"/>
  <c r="AN52" i="9" s="1"/>
  <c r="AO52" i="9" s="1"/>
  <c r="AS52" i="9" s="1"/>
  <c r="AL52" i="9"/>
  <c r="AK52" i="9"/>
  <c r="AJ52" i="9"/>
  <c r="AI52" i="9"/>
  <c r="AG52" i="9"/>
  <c r="AE52" i="9"/>
  <c r="C52" i="9"/>
  <c r="B52" i="9"/>
  <c r="AR51" i="9"/>
  <c r="AN51" i="9"/>
  <c r="AO51" i="9" s="1"/>
  <c r="AS51" i="9" s="1"/>
  <c r="AM51" i="9"/>
  <c r="AL51" i="9"/>
  <c r="AK51" i="9"/>
  <c r="AJ51" i="9"/>
  <c r="AI51" i="9"/>
  <c r="C51" i="9"/>
  <c r="B51" i="9"/>
  <c r="AC51" i="9" s="1"/>
  <c r="AE51" i="9" s="1"/>
  <c r="AR50" i="9"/>
  <c r="AL50" i="9"/>
  <c r="AN50" i="9" s="1"/>
  <c r="AO50" i="9" s="1"/>
  <c r="AS50" i="9" s="1"/>
  <c r="AK50" i="9"/>
  <c r="AJ50" i="9"/>
  <c r="AI50" i="9"/>
  <c r="AG50" i="9"/>
  <c r="AE50" i="9"/>
  <c r="AM53" i="9" s="1"/>
  <c r="C50" i="9"/>
  <c r="B50" i="9"/>
  <c r="AR49" i="9"/>
  <c r="AM49" i="9"/>
  <c r="AN49" i="9" s="1"/>
  <c r="AO49" i="9" s="1"/>
  <c r="AS49" i="9" s="1"/>
  <c r="AL49" i="9"/>
  <c r="AK49" i="9"/>
  <c r="AJ49" i="9"/>
  <c r="AI49" i="9"/>
  <c r="AG49" i="9"/>
  <c r="AE49" i="9"/>
  <c r="C49" i="9"/>
  <c r="B49" i="9"/>
  <c r="AR48" i="9"/>
  <c r="AM48" i="9"/>
  <c r="AL48" i="9"/>
  <c r="AK48" i="9"/>
  <c r="AJ48" i="9"/>
  <c r="AI48" i="9"/>
  <c r="AG48" i="9"/>
  <c r="AE48" i="9"/>
  <c r="C48" i="9"/>
  <c r="B48" i="9"/>
  <c r="A48" i="9"/>
  <c r="AR47" i="9"/>
  <c r="AL47" i="9"/>
  <c r="AK47" i="9"/>
  <c r="AJ47" i="9"/>
  <c r="AI47" i="9"/>
  <c r="AG47" i="9"/>
  <c r="AE47" i="9"/>
  <c r="AM50" i="9" s="1"/>
  <c r="C47" i="9"/>
  <c r="B47" i="9"/>
  <c r="A47" i="9"/>
  <c r="AR46" i="9"/>
  <c r="AL46" i="9"/>
  <c r="AK46" i="9"/>
  <c r="AJ46" i="9"/>
  <c r="AI46" i="9"/>
  <c r="AG46" i="9"/>
  <c r="AE46" i="9"/>
  <c r="C46" i="9"/>
  <c r="B46" i="9"/>
  <c r="A46" i="9"/>
  <c r="AR45" i="9"/>
  <c r="AL45" i="9"/>
  <c r="AK45" i="9"/>
  <c r="AJ45" i="9"/>
  <c r="AI45" i="9"/>
  <c r="AG45" i="9"/>
  <c r="AE45" i="9"/>
  <c r="C45" i="9"/>
  <c r="B45" i="9"/>
  <c r="A45" i="9"/>
  <c r="AR44" i="9"/>
  <c r="AN44" i="9"/>
  <c r="AO44" i="9" s="1"/>
  <c r="AM44" i="9"/>
  <c r="AL44" i="9"/>
  <c r="AK44" i="9"/>
  <c r="AJ44" i="9"/>
  <c r="AI44" i="9"/>
  <c r="AG44" i="9"/>
  <c r="AE44" i="9"/>
  <c r="AM47" i="9" s="1"/>
  <c r="AN47" i="9" s="1"/>
  <c r="AO47" i="9" s="1"/>
  <c r="AS47" i="9" s="1"/>
  <c r="C44" i="9"/>
  <c r="B44" i="9"/>
  <c r="A44" i="9"/>
  <c r="AR43" i="9"/>
  <c r="AL43" i="9"/>
  <c r="AK43" i="9"/>
  <c r="AJ43" i="9"/>
  <c r="AI43" i="9"/>
  <c r="AC43" i="9"/>
  <c r="AE43" i="9" s="1"/>
  <c r="C43" i="9"/>
  <c r="B43" i="9"/>
  <c r="A43" i="9"/>
  <c r="AR42" i="9"/>
  <c r="AL42" i="9"/>
  <c r="AK42" i="9"/>
  <c r="AJ42" i="9"/>
  <c r="AI42" i="9"/>
  <c r="AE42" i="9"/>
  <c r="C42" i="9"/>
  <c r="B42" i="9"/>
  <c r="A42" i="9"/>
  <c r="AR41" i="9"/>
  <c r="AO41" i="9"/>
  <c r="AS41" i="9" s="1"/>
  <c r="AM41" i="9"/>
  <c r="AN41" i="9" s="1"/>
  <c r="AL41" i="9"/>
  <c r="AK41" i="9"/>
  <c r="AJ41" i="9"/>
  <c r="AI41" i="9"/>
  <c r="AG41" i="9"/>
  <c r="AE41" i="9"/>
  <c r="C41" i="9"/>
  <c r="B41" i="9"/>
  <c r="A41" i="9"/>
  <c r="AR40" i="9"/>
  <c r="AO40" i="9"/>
  <c r="AS40" i="9" s="1"/>
  <c r="AL40" i="9"/>
  <c r="AK40" i="9"/>
  <c r="AJ40" i="9"/>
  <c r="AI40" i="9"/>
  <c r="AE40" i="9"/>
  <c r="C40" i="9"/>
  <c r="B40" i="9"/>
  <c r="A40" i="9"/>
  <c r="AR39" i="9"/>
  <c r="AL39" i="9"/>
  <c r="AK39" i="9"/>
  <c r="AJ39" i="9"/>
  <c r="AI39" i="9"/>
  <c r="AE39" i="9"/>
  <c r="C39" i="9"/>
  <c r="B39" i="9"/>
  <c r="A39" i="9"/>
  <c r="AR38" i="9"/>
  <c r="AM38" i="9"/>
  <c r="AN38" i="9" s="1"/>
  <c r="AO38" i="9" s="1"/>
  <c r="AS38" i="9" s="1"/>
  <c r="AL38" i="9"/>
  <c r="AK38" i="9"/>
  <c r="AJ38" i="9"/>
  <c r="AI38" i="9"/>
  <c r="AE38" i="9"/>
  <c r="AG38" i="9" s="1"/>
  <c r="C38" i="9"/>
  <c r="B38" i="9"/>
  <c r="A38" i="9"/>
  <c r="AR37" i="9"/>
  <c r="AM37" i="9"/>
  <c r="AN37" i="9" s="1"/>
  <c r="AO37" i="9" s="1"/>
  <c r="AS37" i="9" s="1"/>
  <c r="AL37" i="9"/>
  <c r="AK37" i="9"/>
  <c r="AJ37" i="9"/>
  <c r="AI37" i="9"/>
  <c r="AG37" i="9"/>
  <c r="AE37" i="9"/>
  <c r="AM40" i="9" s="1"/>
  <c r="AN40" i="9" s="1"/>
  <c r="C37" i="9"/>
  <c r="B37" i="9"/>
  <c r="A37" i="9"/>
  <c r="AR36" i="9"/>
  <c r="AL36" i="9"/>
  <c r="AK36" i="9"/>
  <c r="AJ36" i="9"/>
  <c r="AI36" i="9"/>
  <c r="AE36" i="9"/>
  <c r="C36" i="9"/>
  <c r="B36" i="9"/>
  <c r="A36" i="9"/>
  <c r="AR35" i="9"/>
  <c r="AL35" i="9"/>
  <c r="AK35" i="9"/>
  <c r="AJ35" i="9"/>
  <c r="AI35" i="9"/>
  <c r="AG35" i="9"/>
  <c r="AE35" i="9"/>
  <c r="C35" i="9"/>
  <c r="B35" i="9"/>
  <c r="A35" i="9"/>
  <c r="AR34" i="9"/>
  <c r="AM34" i="9"/>
  <c r="AN34" i="9" s="1"/>
  <c r="AO34" i="9" s="1"/>
  <c r="AS34" i="9" s="1"/>
  <c r="AL34" i="9"/>
  <c r="AK34" i="9"/>
  <c r="AJ34" i="9"/>
  <c r="AI34" i="9"/>
  <c r="AE34" i="9"/>
  <c r="AG34" i="9" s="1"/>
  <c r="C34" i="9"/>
  <c r="B34" i="9"/>
  <c r="A34" i="9"/>
  <c r="AR33" i="9"/>
  <c r="AM33" i="9"/>
  <c r="AN33" i="9" s="1"/>
  <c r="AO33" i="9" s="1"/>
  <c r="AS33" i="9" s="1"/>
  <c r="AL33" i="9"/>
  <c r="AK33" i="9"/>
  <c r="AJ33" i="9"/>
  <c r="AI33" i="9"/>
  <c r="AG33" i="9"/>
  <c r="AE33" i="9"/>
  <c r="AM36" i="9" s="1"/>
  <c r="AN36" i="9" s="1"/>
  <c r="AO36" i="9" s="1"/>
  <c r="AS36" i="9" s="1"/>
  <c r="C33" i="9"/>
  <c r="B33" i="9"/>
  <c r="A33" i="9"/>
  <c r="AR32" i="9"/>
  <c r="AL32" i="9"/>
  <c r="AK32" i="9"/>
  <c r="AJ32" i="9"/>
  <c r="AI32" i="9"/>
  <c r="AE32" i="9"/>
  <c r="C32" i="9"/>
  <c r="B32" i="9"/>
  <c r="A32" i="9"/>
  <c r="AR31" i="9"/>
  <c r="AL31" i="9"/>
  <c r="AK31" i="9"/>
  <c r="AJ31" i="9"/>
  <c r="AI31" i="9"/>
  <c r="AE31" i="9"/>
  <c r="AG31" i="9" s="1"/>
  <c r="C31" i="9"/>
  <c r="B31" i="9"/>
  <c r="A31" i="9"/>
  <c r="AR30" i="9"/>
  <c r="AL30" i="9"/>
  <c r="AK30" i="9"/>
  <c r="AJ30" i="9"/>
  <c r="AI30" i="9"/>
  <c r="AE30" i="9"/>
  <c r="AG30" i="9" s="1"/>
  <c r="C30" i="9"/>
  <c r="B30" i="9"/>
  <c r="A30" i="9"/>
  <c r="AR29" i="9"/>
  <c r="AM29" i="9"/>
  <c r="AN29" i="9" s="1"/>
  <c r="AO29" i="9" s="1"/>
  <c r="AS29" i="9" s="1"/>
  <c r="AL29" i="9"/>
  <c r="AK29" i="9"/>
  <c r="AJ29" i="9"/>
  <c r="AI29" i="9"/>
  <c r="AE29" i="9"/>
  <c r="AG29" i="9" s="1"/>
  <c r="C29" i="9"/>
  <c r="B29" i="9"/>
  <c r="A29" i="9"/>
  <c r="AR28" i="9"/>
  <c r="AL28" i="9"/>
  <c r="AK28" i="9"/>
  <c r="AJ28" i="9"/>
  <c r="AI28" i="9"/>
  <c r="AE28" i="9"/>
  <c r="C28" i="9"/>
  <c r="B28" i="9"/>
  <c r="A28" i="9"/>
  <c r="AR27" i="9"/>
  <c r="AL27" i="9"/>
  <c r="AK27" i="9"/>
  <c r="AJ27" i="9"/>
  <c r="AI27" i="9"/>
  <c r="AE27" i="9"/>
  <c r="AM30" i="9" s="1"/>
  <c r="AN30" i="9" s="1"/>
  <c r="AO30" i="9" s="1"/>
  <c r="AS30" i="9" s="1"/>
  <c r="I26" i="2" s="1"/>
  <c r="C27" i="9"/>
  <c r="B27" i="9"/>
  <c r="A27" i="9"/>
  <c r="AR26" i="9"/>
  <c r="AL26" i="9"/>
  <c r="AK26" i="9"/>
  <c r="AJ26" i="9"/>
  <c r="AI26" i="9"/>
  <c r="AE26" i="9"/>
  <c r="AG26" i="9" s="1"/>
  <c r="C26" i="9"/>
  <c r="B26" i="9"/>
  <c r="A26" i="9"/>
  <c r="AR25" i="9"/>
  <c r="AM25" i="9"/>
  <c r="AN25" i="9" s="1"/>
  <c r="AO25" i="9" s="1"/>
  <c r="AS25" i="9" s="1"/>
  <c r="AL25" i="9"/>
  <c r="AK25" i="9"/>
  <c r="AJ25" i="9"/>
  <c r="AI25" i="9"/>
  <c r="AE25" i="9"/>
  <c r="AG25" i="9" s="1"/>
  <c r="C25" i="9"/>
  <c r="B25" i="9"/>
  <c r="A25" i="9"/>
  <c r="AR24" i="9"/>
  <c r="AM24" i="9"/>
  <c r="AN24" i="9" s="1"/>
  <c r="AO24" i="9" s="1"/>
  <c r="AS24" i="9" s="1"/>
  <c r="AL24" i="9"/>
  <c r="AK24" i="9"/>
  <c r="AJ24" i="9"/>
  <c r="AI24" i="9"/>
  <c r="AE24" i="9"/>
  <c r="C24" i="9"/>
  <c r="B24" i="9"/>
  <c r="A24" i="9"/>
  <c r="AR23" i="9"/>
  <c r="AL23" i="9"/>
  <c r="AK23" i="9"/>
  <c r="AJ23" i="9"/>
  <c r="AI23" i="9"/>
  <c r="AE23" i="9"/>
  <c r="AM26" i="9" s="1"/>
  <c r="AN26" i="9" s="1"/>
  <c r="AO26" i="9" s="1"/>
  <c r="AS26" i="9" s="1"/>
  <c r="C23" i="9"/>
  <c r="B23" i="9"/>
  <c r="A23" i="9"/>
  <c r="AR22" i="9"/>
  <c r="AM22" i="9"/>
  <c r="AN22" i="9" s="1"/>
  <c r="AO22" i="9" s="1"/>
  <c r="AS22" i="9" s="1"/>
  <c r="AL22" i="9"/>
  <c r="AK22" i="9"/>
  <c r="AJ22" i="9"/>
  <c r="AI22" i="9"/>
  <c r="AC22" i="9"/>
  <c r="AE22" i="9" s="1"/>
  <c r="AG22" i="9" s="1"/>
  <c r="C22" i="9"/>
  <c r="B22" i="9"/>
  <c r="A22" i="9"/>
  <c r="AR21" i="9"/>
  <c r="AN21" i="9"/>
  <c r="AO21" i="9" s="1"/>
  <c r="AS21" i="9" s="1"/>
  <c r="AL21" i="9"/>
  <c r="AK21" i="9"/>
  <c r="AJ21" i="9"/>
  <c r="AI21" i="9"/>
  <c r="AG21" i="9"/>
  <c r="AE21" i="9"/>
  <c r="C21" i="9"/>
  <c r="B21" i="9"/>
  <c r="A21" i="9"/>
  <c r="AR20" i="9"/>
  <c r="AO20" i="9"/>
  <c r="AS20" i="9" s="1"/>
  <c r="AL20" i="9"/>
  <c r="AK20" i="9"/>
  <c r="AJ20" i="9"/>
  <c r="AI20" i="9"/>
  <c r="AE20" i="9"/>
  <c r="C20" i="9"/>
  <c r="B20" i="9"/>
  <c r="A20" i="9"/>
  <c r="AR19" i="9"/>
  <c r="AL19" i="9"/>
  <c r="AK19" i="9"/>
  <c r="AJ19" i="9"/>
  <c r="AI19" i="9"/>
  <c r="AG19" i="9"/>
  <c r="AE19" i="9"/>
  <c r="C19" i="9"/>
  <c r="B19" i="9"/>
  <c r="A19" i="9"/>
  <c r="AR18" i="9"/>
  <c r="AL18" i="9"/>
  <c r="AK18" i="9"/>
  <c r="AJ18" i="9"/>
  <c r="AI18" i="9"/>
  <c r="AG18" i="9"/>
  <c r="AE18" i="9"/>
  <c r="AM21" i="9" s="1"/>
  <c r="C18" i="9"/>
  <c r="B18" i="9"/>
  <c r="A18" i="9"/>
  <c r="AR17" i="9"/>
  <c r="AM17" i="9"/>
  <c r="AL17" i="9"/>
  <c r="AK17" i="9"/>
  <c r="AJ17" i="9"/>
  <c r="AI17" i="9"/>
  <c r="AG17" i="9"/>
  <c r="AE17" i="9"/>
  <c r="AM20" i="9" s="1"/>
  <c r="AN20" i="9" s="1"/>
  <c r="C17" i="9"/>
  <c r="B17" i="9"/>
  <c r="A17" i="9"/>
  <c r="AR16" i="9"/>
  <c r="AL16" i="9"/>
  <c r="AK16" i="9"/>
  <c r="AJ16" i="9"/>
  <c r="AI16" i="9"/>
  <c r="AC16" i="9"/>
  <c r="AE16" i="9" s="1"/>
  <c r="C16" i="9"/>
  <c r="B16" i="9"/>
  <c r="A16" i="9"/>
  <c r="AR15" i="9"/>
  <c r="AM15" i="9"/>
  <c r="AN15" i="9" s="1"/>
  <c r="AO15" i="9" s="1"/>
  <c r="AS15" i="9" s="1"/>
  <c r="AL15" i="9"/>
  <c r="AK15" i="9"/>
  <c r="AJ15" i="9"/>
  <c r="AI15" i="9"/>
  <c r="AE15" i="9"/>
  <c r="C15" i="9"/>
  <c r="B15" i="9"/>
  <c r="A15" i="9"/>
  <c r="AR14" i="9"/>
  <c r="AL14" i="9"/>
  <c r="AK14" i="9"/>
  <c r="AJ14" i="9"/>
  <c r="AI14" i="9"/>
  <c r="AE14" i="9"/>
  <c r="AG14" i="9" s="1"/>
  <c r="C14" i="9"/>
  <c r="B14" i="9"/>
  <c r="A14" i="9"/>
  <c r="AR13" i="9"/>
  <c r="AN13" i="9"/>
  <c r="AO13" i="9" s="1"/>
  <c r="AS13" i="9" s="1"/>
  <c r="AM13" i="9"/>
  <c r="AL13" i="9"/>
  <c r="AK13" i="9"/>
  <c r="AJ13" i="9"/>
  <c r="AI13" i="9"/>
  <c r="AC13" i="9"/>
  <c r="AE13" i="9" s="1"/>
  <c r="C13" i="9"/>
  <c r="B13" i="9"/>
  <c r="A13" i="9"/>
  <c r="AR12" i="9"/>
  <c r="AL12" i="9"/>
  <c r="AK12" i="9"/>
  <c r="AJ12" i="9"/>
  <c r="AI12" i="9"/>
  <c r="AG12" i="9"/>
  <c r="AE12" i="9"/>
  <c r="C12" i="9"/>
  <c r="B12" i="9"/>
  <c r="A12" i="9"/>
  <c r="AR11" i="9"/>
  <c r="AL11" i="9"/>
  <c r="AK11" i="9"/>
  <c r="AJ11" i="9"/>
  <c r="AI11" i="9"/>
  <c r="AE11" i="9"/>
  <c r="C11" i="9"/>
  <c r="B11" i="9"/>
  <c r="A11" i="9"/>
  <c r="AR10" i="9"/>
  <c r="AL10" i="9"/>
  <c r="AK10" i="9"/>
  <c r="AJ10" i="9"/>
  <c r="AI10" i="9"/>
  <c r="AG10" i="9"/>
  <c r="AE10" i="9"/>
  <c r="C10" i="9"/>
  <c r="B10" i="9"/>
  <c r="A10" i="9"/>
  <c r="AR9" i="9"/>
  <c r="AL9" i="9"/>
  <c r="AK9" i="9"/>
  <c r="AJ9" i="9"/>
  <c r="AI9" i="9"/>
  <c r="AE9" i="9"/>
  <c r="C9" i="9"/>
  <c r="B9" i="9"/>
  <c r="A9" i="9"/>
  <c r="AS8" i="9"/>
  <c r="AR8" i="9"/>
  <c r="AM8" i="9"/>
  <c r="AN8" i="9" s="1"/>
  <c r="AO8" i="9" s="1"/>
  <c r="AL8" i="9"/>
  <c r="AK8" i="9"/>
  <c r="AJ8" i="9"/>
  <c r="AI8" i="9"/>
  <c r="AG8" i="9"/>
  <c r="AC8" i="9"/>
  <c r="AE8" i="9" s="1"/>
  <c r="AM11" i="9" s="1"/>
  <c r="AN11" i="9" s="1"/>
  <c r="AO11" i="9" s="1"/>
  <c r="AS11" i="9" s="1"/>
  <c r="C8" i="9"/>
  <c r="B8" i="9"/>
  <c r="A8" i="9"/>
  <c r="AE7" i="9"/>
  <c r="AG7" i="9" s="1"/>
  <c r="C7" i="9"/>
  <c r="B7" i="9"/>
  <c r="A7" i="9"/>
  <c r="AE6" i="9"/>
  <c r="C6" i="9"/>
  <c r="B6" i="9"/>
  <c r="A6" i="9"/>
  <c r="AG5" i="9"/>
  <c r="AE5" i="9"/>
  <c r="C5" i="9"/>
  <c r="B5" i="9"/>
  <c r="A5" i="9"/>
  <c r="A1" i="9"/>
  <c r="C132" i="8"/>
  <c r="B132" i="8"/>
  <c r="A132" i="8"/>
  <c r="C131" i="8"/>
  <c r="B131" i="8"/>
  <c r="A131" i="8"/>
  <c r="C130" i="8"/>
  <c r="B130" i="8"/>
  <c r="A130" i="8"/>
  <c r="C129" i="8"/>
  <c r="B129" i="8"/>
  <c r="A129" i="8"/>
  <c r="C128" i="8"/>
  <c r="B128" i="8"/>
  <c r="A128" i="8"/>
  <c r="C127" i="8"/>
  <c r="B127" i="8"/>
  <c r="A127" i="8"/>
  <c r="C126" i="8"/>
  <c r="B126" i="8"/>
  <c r="A126" i="8"/>
  <c r="C125" i="8"/>
  <c r="B125" i="8"/>
  <c r="A125" i="8"/>
  <c r="C124" i="8"/>
  <c r="B124" i="8"/>
  <c r="A124" i="8"/>
  <c r="C123" i="8"/>
  <c r="B123" i="8"/>
  <c r="A123" i="8"/>
  <c r="C122" i="8"/>
  <c r="B122" i="8"/>
  <c r="A122" i="8"/>
  <c r="C121" i="8"/>
  <c r="B121" i="8"/>
  <c r="A121" i="8"/>
  <c r="C120" i="8"/>
  <c r="B120" i="8"/>
  <c r="A120" i="8"/>
  <c r="C119" i="8"/>
  <c r="B119" i="8"/>
  <c r="A119" i="8"/>
  <c r="C118" i="8"/>
  <c r="B118" i="8"/>
  <c r="A118" i="8"/>
  <c r="C117" i="8"/>
  <c r="B117" i="8"/>
  <c r="A117" i="8"/>
  <c r="C116" i="8"/>
  <c r="B116" i="8"/>
  <c r="A116" i="8"/>
  <c r="C115" i="8"/>
  <c r="B115" i="8"/>
  <c r="A115" i="8"/>
  <c r="C114" i="8"/>
  <c r="B114" i="8"/>
  <c r="A114" i="8"/>
  <c r="C113" i="8"/>
  <c r="B113" i="8"/>
  <c r="A113" i="8"/>
  <c r="C112" i="8"/>
  <c r="B112" i="8"/>
  <c r="A112" i="8"/>
  <c r="C111" i="8"/>
  <c r="B111" i="8"/>
  <c r="A111" i="8"/>
  <c r="C110" i="8"/>
  <c r="B110" i="8"/>
  <c r="A110" i="8"/>
  <c r="C109" i="8"/>
  <c r="B109" i="8"/>
  <c r="A109" i="8"/>
  <c r="C108" i="8"/>
  <c r="B108" i="8"/>
  <c r="A108" i="8"/>
  <c r="C107" i="8"/>
  <c r="B107" i="8"/>
  <c r="A107" i="8"/>
  <c r="C106" i="8"/>
  <c r="B106" i="8"/>
  <c r="A106" i="8"/>
  <c r="C105" i="8"/>
  <c r="B105" i="8"/>
  <c r="A105" i="8"/>
  <c r="C104" i="8"/>
  <c r="B104" i="8"/>
  <c r="A104" i="8"/>
  <c r="C103" i="8"/>
  <c r="B103" i="8"/>
  <c r="A103" i="8"/>
  <c r="C102" i="8"/>
  <c r="B102" i="8"/>
  <c r="A102" i="8"/>
  <c r="C101" i="8"/>
  <c r="B101" i="8"/>
  <c r="A101" i="8"/>
  <c r="C100" i="8"/>
  <c r="B100" i="8"/>
  <c r="A100" i="8"/>
  <c r="C99" i="8"/>
  <c r="B99" i="8"/>
  <c r="A99" i="8"/>
  <c r="C98" i="8"/>
  <c r="B98" i="8"/>
  <c r="A98" i="8"/>
  <c r="C97" i="8"/>
  <c r="B97" i="8"/>
  <c r="A97" i="8"/>
  <c r="C96" i="8"/>
  <c r="B96" i="8"/>
  <c r="A96" i="8"/>
  <c r="C95" i="8"/>
  <c r="B95" i="8"/>
  <c r="A95" i="8"/>
  <c r="C94" i="8"/>
  <c r="B94" i="8"/>
  <c r="A94" i="8"/>
  <c r="C93" i="8"/>
  <c r="B93" i="8"/>
  <c r="A93" i="8"/>
  <c r="C92" i="8"/>
  <c r="B92" i="8"/>
  <c r="A92" i="8"/>
  <c r="C91" i="8"/>
  <c r="B91" i="8"/>
  <c r="A91" i="8"/>
  <c r="C90" i="8"/>
  <c r="B90" i="8"/>
  <c r="A90" i="8"/>
  <c r="C89" i="8"/>
  <c r="B89" i="8"/>
  <c r="A89" i="8"/>
  <c r="C88" i="8"/>
  <c r="B88" i="8"/>
  <c r="A88" i="8"/>
  <c r="C87" i="8"/>
  <c r="B87" i="8"/>
  <c r="A87" i="8"/>
  <c r="C86" i="8"/>
  <c r="B86" i="8"/>
  <c r="C85" i="8"/>
  <c r="B85" i="8"/>
  <c r="A85" i="8"/>
  <c r="C84" i="8"/>
  <c r="B84" i="8"/>
  <c r="A84" i="8"/>
  <c r="C83" i="8"/>
  <c r="B83" i="8"/>
  <c r="A83" i="8"/>
  <c r="C82" i="8"/>
  <c r="B82" i="8"/>
  <c r="A82" i="8"/>
  <c r="C81" i="8"/>
  <c r="B81" i="8"/>
  <c r="A81" i="8"/>
  <c r="C80" i="8"/>
  <c r="B80" i="8"/>
  <c r="A80" i="8"/>
  <c r="C79" i="8"/>
  <c r="B79" i="8"/>
  <c r="A79" i="8"/>
  <c r="C78" i="8"/>
  <c r="B78" i="8"/>
  <c r="A78" i="8"/>
  <c r="C77" i="8"/>
  <c r="B77" i="8"/>
  <c r="A77" i="8"/>
  <c r="C76" i="8"/>
  <c r="B76" i="8"/>
  <c r="A76" i="8"/>
  <c r="C75" i="8"/>
  <c r="B75" i="8"/>
  <c r="A75" i="8"/>
  <c r="AR65" i="8"/>
  <c r="AN65" i="8"/>
  <c r="AO65" i="8" s="1"/>
  <c r="AS65" i="8" s="1"/>
  <c r="AM65" i="8"/>
  <c r="AL65" i="8"/>
  <c r="AK65" i="8"/>
  <c r="AJ65" i="8"/>
  <c r="AI65" i="8"/>
  <c r="AR64" i="8"/>
  <c r="AL64" i="8"/>
  <c r="AK64" i="8"/>
  <c r="AJ64" i="8"/>
  <c r="AI64" i="8"/>
  <c r="AR63" i="8"/>
  <c r="AL63" i="8"/>
  <c r="AK63" i="8"/>
  <c r="AJ63" i="8"/>
  <c r="AI63" i="8"/>
  <c r="C63" i="8"/>
  <c r="AR62" i="8"/>
  <c r="AL62" i="8"/>
  <c r="AK62" i="8"/>
  <c r="AJ62" i="8"/>
  <c r="AI62" i="8"/>
  <c r="AG62" i="8"/>
  <c r="AE62" i="8"/>
  <c r="C62" i="8"/>
  <c r="B62" i="8"/>
  <c r="AR61" i="8"/>
  <c r="AM61" i="8"/>
  <c r="AN61" i="8" s="1"/>
  <c r="AO61" i="8" s="1"/>
  <c r="AS61" i="8" s="1"/>
  <c r="AL61" i="8"/>
  <c r="AK61" i="8"/>
  <c r="AJ61" i="8"/>
  <c r="AI61" i="8"/>
  <c r="AE61" i="8"/>
  <c r="C61" i="8"/>
  <c r="B61" i="8"/>
  <c r="AR60" i="8"/>
  <c r="AL60" i="8"/>
  <c r="AK60" i="8"/>
  <c r="AJ60" i="8"/>
  <c r="AI60" i="8"/>
  <c r="AE60" i="8"/>
  <c r="C60" i="8"/>
  <c r="B60" i="8"/>
  <c r="AR59" i="8"/>
  <c r="AL59" i="8"/>
  <c r="AK59" i="8"/>
  <c r="AJ59" i="8"/>
  <c r="AI59" i="8"/>
  <c r="AE59" i="8"/>
  <c r="C59" i="8"/>
  <c r="B59" i="8"/>
  <c r="AR58" i="8"/>
  <c r="AL58" i="8"/>
  <c r="AK58" i="8"/>
  <c r="AJ58" i="8"/>
  <c r="AI58" i="8"/>
  <c r="AG58" i="8"/>
  <c r="AE58" i="8"/>
  <c r="C58" i="8"/>
  <c r="B58" i="8"/>
  <c r="AR57" i="8"/>
  <c r="AO57" i="8"/>
  <c r="AS57" i="8" s="1"/>
  <c r="AL57" i="8"/>
  <c r="AK57" i="8"/>
  <c r="AJ57" i="8"/>
  <c r="AI57" i="8"/>
  <c r="AC57" i="8"/>
  <c r="AE57" i="8" s="1"/>
  <c r="C57" i="8"/>
  <c r="B57" i="8"/>
  <c r="AR56" i="8"/>
  <c r="AL56" i="8"/>
  <c r="AK56" i="8"/>
  <c r="AJ56" i="8"/>
  <c r="AI56" i="8"/>
  <c r="AE56" i="8"/>
  <c r="AC56" i="8"/>
  <c r="C56" i="8"/>
  <c r="B56" i="8"/>
  <c r="AR55" i="8"/>
  <c r="AM55" i="8"/>
  <c r="AN55" i="8" s="1"/>
  <c r="AO55" i="8" s="1"/>
  <c r="AS55" i="8" s="1"/>
  <c r="AL55" i="8"/>
  <c r="AK55" i="8"/>
  <c r="AJ55" i="8"/>
  <c r="AI55" i="8"/>
  <c r="AE55" i="8"/>
  <c r="AG55" i="8" s="1"/>
  <c r="C55" i="8"/>
  <c r="B55" i="8"/>
  <c r="AR54" i="8"/>
  <c r="AL54" i="8"/>
  <c r="AK54" i="8"/>
  <c r="AJ54" i="8"/>
  <c r="AI54" i="8"/>
  <c r="AG54" i="8"/>
  <c r="AE54" i="8"/>
  <c r="AM57" i="8" s="1"/>
  <c r="AN57" i="8" s="1"/>
  <c r="C54" i="8"/>
  <c r="B54" i="8"/>
  <c r="AR53" i="8"/>
  <c r="AL53" i="8"/>
  <c r="AK53" i="8"/>
  <c r="AJ53" i="8"/>
  <c r="AI53" i="8"/>
  <c r="AE53" i="8"/>
  <c r="AM56" i="8" s="1"/>
  <c r="AN56" i="8" s="1"/>
  <c r="AO56" i="8" s="1"/>
  <c r="AS56" i="8" s="1"/>
  <c r="C53" i="8"/>
  <c r="B53" i="8"/>
  <c r="AR52" i="8"/>
  <c r="AL52" i="8"/>
  <c r="AK52" i="8"/>
  <c r="AJ52" i="8"/>
  <c r="AI52" i="8"/>
  <c r="AG52" i="8"/>
  <c r="AE52" i="8"/>
  <c r="C52" i="8"/>
  <c r="B52" i="8"/>
  <c r="AS51" i="8"/>
  <c r="AR51" i="8"/>
  <c r="AM51" i="8"/>
  <c r="AN51" i="8" s="1"/>
  <c r="AO51" i="8" s="1"/>
  <c r="AL51" i="8"/>
  <c r="AK51" i="8"/>
  <c r="AJ51" i="8"/>
  <c r="AI51" i="8"/>
  <c r="AE51" i="8"/>
  <c r="C51" i="8"/>
  <c r="B51" i="8"/>
  <c r="AR50" i="8"/>
  <c r="AL50" i="8"/>
  <c r="AK50" i="8"/>
  <c r="AJ50" i="8"/>
  <c r="AI50" i="8"/>
  <c r="AE50" i="8"/>
  <c r="C50" i="8"/>
  <c r="B50" i="8"/>
  <c r="AR49" i="8"/>
  <c r="AM49" i="8"/>
  <c r="AL49" i="8"/>
  <c r="AK49" i="8"/>
  <c r="AJ49" i="8"/>
  <c r="AI49" i="8"/>
  <c r="AE49" i="8"/>
  <c r="C49" i="8"/>
  <c r="B49" i="8"/>
  <c r="AR48" i="8"/>
  <c r="AL48" i="8"/>
  <c r="AK48" i="8"/>
  <c r="AJ48" i="8"/>
  <c r="AI48" i="8"/>
  <c r="AG48" i="8"/>
  <c r="AE48" i="8"/>
  <c r="C48" i="8"/>
  <c r="B48" i="8"/>
  <c r="A48" i="8"/>
  <c r="AR47" i="8"/>
  <c r="AL47" i="8"/>
  <c r="AK47" i="8"/>
  <c r="AJ47" i="8"/>
  <c r="AI47" i="8"/>
  <c r="AE47" i="8"/>
  <c r="C47" i="8"/>
  <c r="B47" i="8"/>
  <c r="A47" i="8"/>
  <c r="AR46" i="8"/>
  <c r="AL46" i="8"/>
  <c r="AK46" i="8"/>
  <c r="AJ46" i="8"/>
  <c r="AI46" i="8"/>
  <c r="AG46" i="8"/>
  <c r="AE46" i="8"/>
  <c r="C46" i="8"/>
  <c r="B46" i="8"/>
  <c r="A46" i="8"/>
  <c r="AR45" i="8"/>
  <c r="AL45" i="8"/>
  <c r="AK45" i="8"/>
  <c r="AJ45" i="8"/>
  <c r="AI45" i="8"/>
  <c r="AE45" i="8"/>
  <c r="AM48" i="8" s="1"/>
  <c r="AN48" i="8" s="1"/>
  <c r="AO48" i="8" s="1"/>
  <c r="AS48" i="8" s="1"/>
  <c r="C45" i="8"/>
  <c r="B45" i="8"/>
  <c r="A45" i="8"/>
  <c r="AR44" i="8"/>
  <c r="AL44" i="8"/>
  <c r="AK44" i="8"/>
  <c r="AJ44" i="8"/>
  <c r="AI44" i="8"/>
  <c r="AG44" i="8"/>
  <c r="AE44" i="8"/>
  <c r="AM47" i="8" s="1"/>
  <c r="AN47" i="8" s="1"/>
  <c r="AO47" i="8" s="1"/>
  <c r="AS47" i="8" s="1"/>
  <c r="C44" i="8"/>
  <c r="B44" i="8"/>
  <c r="A44" i="8"/>
  <c r="AR43" i="8"/>
  <c r="AL43" i="8"/>
  <c r="AK43" i="8"/>
  <c r="AJ43" i="8"/>
  <c r="AI43" i="8"/>
  <c r="AC43" i="8"/>
  <c r="AE43" i="8" s="1"/>
  <c r="AM46" i="8" s="1"/>
  <c r="C43" i="8"/>
  <c r="B43" i="8"/>
  <c r="A43" i="8"/>
  <c r="AR42" i="8"/>
  <c r="AL42" i="8"/>
  <c r="AK42" i="8"/>
  <c r="AJ42" i="8"/>
  <c r="AI42" i="8"/>
  <c r="AE42" i="8"/>
  <c r="C42" i="8"/>
  <c r="B42" i="8"/>
  <c r="A42" i="8"/>
  <c r="AR41" i="8"/>
  <c r="AL41" i="8"/>
  <c r="AK41" i="8"/>
  <c r="AJ41" i="8"/>
  <c r="AI41" i="8"/>
  <c r="AE41" i="8"/>
  <c r="AM44" i="8" s="1"/>
  <c r="AN44" i="8" s="1"/>
  <c r="AO44" i="8" s="1"/>
  <c r="AS44" i="8" s="1"/>
  <c r="C41" i="8"/>
  <c r="B41" i="8"/>
  <c r="A41" i="8"/>
  <c r="AR40" i="8"/>
  <c r="AL40" i="8"/>
  <c r="AK40" i="8"/>
  <c r="AJ40" i="8"/>
  <c r="AI40" i="8"/>
  <c r="AE40" i="8"/>
  <c r="C40" i="8"/>
  <c r="B40" i="8"/>
  <c r="A40" i="8"/>
  <c r="AR39" i="8"/>
  <c r="AO39" i="8"/>
  <c r="AS39" i="8" s="1"/>
  <c r="AM39" i="8"/>
  <c r="AN39" i="8" s="1"/>
  <c r="AL39" i="8"/>
  <c r="AK39" i="8"/>
  <c r="AJ39" i="8"/>
  <c r="AI39" i="8"/>
  <c r="AE39" i="8"/>
  <c r="AG39" i="8" s="1"/>
  <c r="C39" i="8"/>
  <c r="B39" i="8"/>
  <c r="A39" i="8"/>
  <c r="AR38" i="8"/>
  <c r="AL38" i="8"/>
  <c r="AK38" i="8"/>
  <c r="AJ38" i="8"/>
  <c r="AI38" i="8"/>
  <c r="AE38" i="8"/>
  <c r="C38" i="8"/>
  <c r="B38" i="8"/>
  <c r="A38" i="8"/>
  <c r="AR37" i="8"/>
  <c r="AL37" i="8"/>
  <c r="AK37" i="8"/>
  <c r="AJ37" i="8"/>
  <c r="AI37" i="8"/>
  <c r="AE37" i="8"/>
  <c r="AM40" i="8" s="1"/>
  <c r="AN40" i="8" s="1"/>
  <c r="AO40" i="8" s="1"/>
  <c r="AS40" i="8" s="1"/>
  <c r="C37" i="8"/>
  <c r="B37" i="8"/>
  <c r="A37" i="8"/>
  <c r="AR36" i="8"/>
  <c r="AM36" i="8"/>
  <c r="AN36" i="8" s="1"/>
  <c r="AO36" i="8" s="1"/>
  <c r="AS36" i="8" s="1"/>
  <c r="AL36" i="8"/>
  <c r="AK36" i="8"/>
  <c r="AJ36" i="8"/>
  <c r="AI36" i="8"/>
  <c r="AE36" i="8"/>
  <c r="AG36" i="8" s="1"/>
  <c r="C36" i="8"/>
  <c r="B36" i="8"/>
  <c r="A36" i="8"/>
  <c r="AR35" i="8"/>
  <c r="AL35" i="8"/>
  <c r="AK35" i="8"/>
  <c r="AJ35" i="8"/>
  <c r="AI35" i="8"/>
  <c r="AE35" i="8"/>
  <c r="AG35" i="8" s="1"/>
  <c r="C35" i="8"/>
  <c r="B35" i="8"/>
  <c r="A35" i="8"/>
  <c r="AR34" i="8"/>
  <c r="AL34" i="8"/>
  <c r="AK34" i="8"/>
  <c r="AJ34" i="8"/>
  <c r="AI34" i="8"/>
  <c r="AE34" i="8"/>
  <c r="C34" i="8"/>
  <c r="B34" i="8"/>
  <c r="A34" i="8"/>
  <c r="AR33" i="8"/>
  <c r="AL33" i="8"/>
  <c r="AK33" i="8"/>
  <c r="AJ33" i="8"/>
  <c r="AI33" i="8"/>
  <c r="AG33" i="8"/>
  <c r="AE33" i="8"/>
  <c r="C33" i="8"/>
  <c r="B33" i="8"/>
  <c r="A33" i="8"/>
  <c r="AR32" i="8"/>
  <c r="AL32" i="8"/>
  <c r="AK32" i="8"/>
  <c r="AJ32" i="8"/>
  <c r="AI32" i="8"/>
  <c r="AE32" i="8"/>
  <c r="AG32" i="8" s="1"/>
  <c r="C32" i="8"/>
  <c r="B32" i="8"/>
  <c r="A32" i="8"/>
  <c r="AR31" i="8"/>
  <c r="AL31" i="8"/>
  <c r="AK31" i="8"/>
  <c r="AJ31" i="8"/>
  <c r="AI31" i="8"/>
  <c r="AG31" i="8"/>
  <c r="AE31" i="8"/>
  <c r="AM34" i="8" s="1"/>
  <c r="AN34" i="8" s="1"/>
  <c r="AO34" i="8" s="1"/>
  <c r="AS34" i="8" s="1"/>
  <c r="C31" i="8"/>
  <c r="B31" i="8"/>
  <c r="A31" i="8"/>
  <c r="AR30" i="8"/>
  <c r="AO30" i="8"/>
  <c r="AS30" i="8" s="1"/>
  <c r="AL30" i="8"/>
  <c r="AK30" i="8"/>
  <c r="AJ30" i="8"/>
  <c r="AI30" i="8"/>
  <c r="AE30" i="8"/>
  <c r="AG30" i="8" s="1"/>
  <c r="C30" i="8"/>
  <c r="B30" i="8"/>
  <c r="A30" i="8"/>
  <c r="AR29" i="8"/>
  <c r="AL29" i="8"/>
  <c r="AK29" i="8"/>
  <c r="AJ29" i="8"/>
  <c r="AI29" i="8"/>
  <c r="AG29" i="8"/>
  <c r="AE29" i="8"/>
  <c r="AM32" i="8" s="1"/>
  <c r="AN32" i="8" s="1"/>
  <c r="AO32" i="8" s="1"/>
  <c r="AS32" i="8" s="1"/>
  <c r="K28" i="2" s="1"/>
  <c r="C29" i="8"/>
  <c r="B29" i="8"/>
  <c r="A29" i="8"/>
  <c r="AR28" i="8"/>
  <c r="AL28" i="8"/>
  <c r="AK28" i="8"/>
  <c r="AJ28" i="8"/>
  <c r="AI28" i="8"/>
  <c r="AE28" i="8"/>
  <c r="AG28" i="8" s="1"/>
  <c r="C28" i="8"/>
  <c r="B28" i="8"/>
  <c r="A28" i="8"/>
  <c r="AR27" i="8"/>
  <c r="AL27" i="8"/>
  <c r="AK27" i="8"/>
  <c r="AJ27" i="8"/>
  <c r="AI27" i="8"/>
  <c r="AG27" i="8"/>
  <c r="AE27" i="8"/>
  <c r="AM30" i="8" s="1"/>
  <c r="AN30" i="8" s="1"/>
  <c r="C27" i="8"/>
  <c r="B27" i="8"/>
  <c r="A27" i="8"/>
  <c r="AR26" i="8"/>
  <c r="AL26" i="8"/>
  <c r="AK26" i="8"/>
  <c r="AJ26" i="8"/>
  <c r="AI26" i="8"/>
  <c r="AE26" i="8"/>
  <c r="AG26" i="8" s="1"/>
  <c r="C26" i="8"/>
  <c r="B26" i="8"/>
  <c r="A26" i="8"/>
  <c r="AR25" i="8"/>
  <c r="AL25" i="8"/>
  <c r="AK25" i="8"/>
  <c r="AJ25" i="8"/>
  <c r="AI25" i="8"/>
  <c r="AG25" i="8"/>
  <c r="AE25" i="8"/>
  <c r="AM28" i="8" s="1"/>
  <c r="AN28" i="8" s="1"/>
  <c r="AO28" i="8" s="1"/>
  <c r="AS28" i="8" s="1"/>
  <c r="C25" i="8"/>
  <c r="B25" i="8"/>
  <c r="A25" i="8"/>
  <c r="AR24" i="8"/>
  <c r="AL24" i="8"/>
  <c r="AK24" i="8"/>
  <c r="AJ24" i="8"/>
  <c r="AI24" i="8"/>
  <c r="AE24" i="8"/>
  <c r="AG24" i="8" s="1"/>
  <c r="C24" i="8"/>
  <c r="B24" i="8"/>
  <c r="A24" i="8"/>
  <c r="AR23" i="8"/>
  <c r="AL23" i="8"/>
  <c r="AK23" i="8"/>
  <c r="AJ23" i="8"/>
  <c r="AI23" i="8"/>
  <c r="AG23" i="8"/>
  <c r="AE23" i="8"/>
  <c r="AM26" i="8" s="1"/>
  <c r="AN26" i="8" s="1"/>
  <c r="AO26" i="8" s="1"/>
  <c r="AS26" i="8" s="1"/>
  <c r="C23" i="8"/>
  <c r="B23" i="8"/>
  <c r="A23" i="8"/>
  <c r="AR22" i="8"/>
  <c r="AL22" i="8"/>
  <c r="AK22" i="8"/>
  <c r="AJ22" i="8"/>
  <c r="AI22" i="8"/>
  <c r="AE22" i="8"/>
  <c r="AG22" i="8" s="1"/>
  <c r="C22" i="8"/>
  <c r="B22" i="8"/>
  <c r="A22" i="8"/>
  <c r="AR21" i="8"/>
  <c r="AL21" i="8"/>
  <c r="AK21" i="8"/>
  <c r="AJ21" i="8"/>
  <c r="AI21" i="8"/>
  <c r="AG21" i="8"/>
  <c r="AE21" i="8"/>
  <c r="AM24" i="8" s="1"/>
  <c r="AN24" i="8" s="1"/>
  <c r="AO24" i="8" s="1"/>
  <c r="AS24" i="8" s="1"/>
  <c r="C21" i="8"/>
  <c r="B21" i="8"/>
  <c r="A21" i="8"/>
  <c r="AR20" i="8"/>
  <c r="AL20" i="8"/>
  <c r="AK20" i="8"/>
  <c r="AJ20" i="8"/>
  <c r="AI20" i="8"/>
  <c r="AE20" i="8"/>
  <c r="AG20" i="8" s="1"/>
  <c r="C20" i="8"/>
  <c r="B20" i="8"/>
  <c r="A20" i="8"/>
  <c r="AR19" i="8"/>
  <c r="AL19" i="8"/>
  <c r="AK19" i="8"/>
  <c r="AJ19" i="8"/>
  <c r="AI19" i="8"/>
  <c r="AG19" i="8"/>
  <c r="AE19" i="8"/>
  <c r="AM22" i="8" s="1"/>
  <c r="AN22" i="8" s="1"/>
  <c r="AO22" i="8" s="1"/>
  <c r="AS22" i="8" s="1"/>
  <c r="K18" i="2" s="1"/>
  <c r="C19" i="8"/>
  <c r="B19" i="8"/>
  <c r="A19" i="8"/>
  <c r="AR18" i="8"/>
  <c r="AL18" i="8"/>
  <c r="AK18" i="8"/>
  <c r="AJ18" i="8"/>
  <c r="AI18" i="8"/>
  <c r="AE18" i="8"/>
  <c r="AG18" i="8" s="1"/>
  <c r="C18" i="8"/>
  <c r="B18" i="8"/>
  <c r="A18" i="8"/>
  <c r="AR17" i="8"/>
  <c r="AL17" i="8"/>
  <c r="AK17" i="8"/>
  <c r="AJ17" i="8"/>
  <c r="AI17" i="8"/>
  <c r="AG17" i="8"/>
  <c r="AE17" i="8"/>
  <c r="AM20" i="8" s="1"/>
  <c r="AN20" i="8" s="1"/>
  <c r="AO20" i="8" s="1"/>
  <c r="AS20" i="8" s="1"/>
  <c r="C17" i="8"/>
  <c r="B17" i="8"/>
  <c r="A17" i="8"/>
  <c r="AR16" i="8"/>
  <c r="AL16" i="8"/>
  <c r="AK16" i="8"/>
  <c r="AJ16" i="8"/>
  <c r="AI16" i="8"/>
  <c r="AE16" i="8"/>
  <c r="AG16" i="8" s="1"/>
  <c r="C16" i="8"/>
  <c r="B16" i="8"/>
  <c r="A16" i="8"/>
  <c r="AR15" i="8"/>
  <c r="AL15" i="8"/>
  <c r="AK15" i="8"/>
  <c r="AJ15" i="8"/>
  <c r="AI15" i="8"/>
  <c r="AG15" i="8"/>
  <c r="AE15" i="8"/>
  <c r="AM18" i="8" s="1"/>
  <c r="AN18" i="8" s="1"/>
  <c r="AO18" i="8" s="1"/>
  <c r="AS18" i="8" s="1"/>
  <c r="C15" i="8"/>
  <c r="B15" i="8"/>
  <c r="A15" i="8"/>
  <c r="AR14" i="8"/>
  <c r="AO14" i="8"/>
  <c r="AS14" i="8" s="1"/>
  <c r="AL14" i="8"/>
  <c r="AK14" i="8"/>
  <c r="AJ14" i="8"/>
  <c r="AI14" i="8"/>
  <c r="AE14" i="8"/>
  <c r="AG14" i="8" s="1"/>
  <c r="C14" i="8"/>
  <c r="B14" i="8"/>
  <c r="A14" i="8"/>
  <c r="AR13" i="8"/>
  <c r="AL13" i="8"/>
  <c r="AK13" i="8"/>
  <c r="AJ13" i="8"/>
  <c r="AI13" i="8"/>
  <c r="AG13" i="8"/>
  <c r="AE13" i="8"/>
  <c r="AM16" i="8" s="1"/>
  <c r="AN16" i="8" s="1"/>
  <c r="AO16" i="8" s="1"/>
  <c r="AS16" i="8" s="1"/>
  <c r="C13" i="8"/>
  <c r="B13" i="8"/>
  <c r="A13" i="8"/>
  <c r="AR12" i="8"/>
  <c r="AN12" i="8"/>
  <c r="AO12" i="8" s="1"/>
  <c r="AS12" i="8" s="1"/>
  <c r="AL12" i="8"/>
  <c r="AK12" i="8"/>
  <c r="AJ12" i="8"/>
  <c r="AI12" i="8"/>
  <c r="AE12" i="8"/>
  <c r="AG12" i="8" s="1"/>
  <c r="C12" i="8"/>
  <c r="B12" i="8"/>
  <c r="A12" i="8"/>
  <c r="AR11" i="8"/>
  <c r="AL11" i="8"/>
  <c r="AK11" i="8"/>
  <c r="AJ11" i="8"/>
  <c r="AI11" i="8"/>
  <c r="AG11" i="8"/>
  <c r="AE11" i="8"/>
  <c r="AM14" i="8" s="1"/>
  <c r="AN14" i="8" s="1"/>
  <c r="C11" i="8"/>
  <c r="B11" i="8"/>
  <c r="A11" i="8"/>
  <c r="AR10" i="8"/>
  <c r="AO10" i="8"/>
  <c r="AS10" i="8" s="1"/>
  <c r="AN10" i="8"/>
  <c r="AL10" i="8"/>
  <c r="AK10" i="8"/>
  <c r="AJ10" i="8"/>
  <c r="AI10" i="8"/>
  <c r="AE10" i="8"/>
  <c r="AG10" i="8" s="1"/>
  <c r="C10" i="8"/>
  <c r="B10" i="8"/>
  <c r="A10" i="8"/>
  <c r="AS9" i="8"/>
  <c r="AR9" i="8"/>
  <c r="AM9" i="8"/>
  <c r="AN9" i="8" s="1"/>
  <c r="AO9" i="8" s="1"/>
  <c r="AL9" i="8"/>
  <c r="AK9" i="8"/>
  <c r="AJ9" i="8"/>
  <c r="AI9" i="8"/>
  <c r="AG9" i="8"/>
  <c r="AE9" i="8"/>
  <c r="AM12" i="8" s="1"/>
  <c r="C9" i="8"/>
  <c r="B9" i="8"/>
  <c r="A9" i="8"/>
  <c r="AR8" i="8"/>
  <c r="AL8" i="8"/>
  <c r="AK8" i="8"/>
  <c r="AJ8" i="8"/>
  <c r="AI8" i="8"/>
  <c r="AE8" i="8"/>
  <c r="C8" i="8"/>
  <c r="B8" i="8"/>
  <c r="A8" i="8"/>
  <c r="AG7" i="8"/>
  <c r="AE7" i="8"/>
  <c r="AM10" i="8" s="1"/>
  <c r="C7" i="8"/>
  <c r="B7" i="8"/>
  <c r="AR6" i="8"/>
  <c r="AG6" i="8"/>
  <c r="AE6" i="8"/>
  <c r="C6" i="8"/>
  <c r="B6" i="8"/>
  <c r="A6" i="8"/>
  <c r="AE5" i="8"/>
  <c r="C5" i="8"/>
  <c r="B5" i="8"/>
  <c r="A5" i="8"/>
  <c r="A1" i="8"/>
  <c r="BW66" i="7"/>
  <c r="BS66" i="7"/>
  <c r="BN66" i="7"/>
  <c r="BO66" i="7" s="1"/>
  <c r="BP66" i="7" s="1"/>
  <c r="BY66" i="7" s="1"/>
  <c r="BM66" i="7"/>
  <c r="BW65" i="7"/>
  <c r="BS65" i="7"/>
  <c r="BM65" i="7"/>
  <c r="BW64" i="7"/>
  <c r="BS64" i="7"/>
  <c r="BM64" i="7"/>
  <c r="BL64" i="7"/>
  <c r="BK64" i="7"/>
  <c r="BJ64" i="7"/>
  <c r="BW63" i="7"/>
  <c r="BS63" i="7"/>
  <c r="BM63" i="7"/>
  <c r="BL63" i="7"/>
  <c r="BK63" i="7"/>
  <c r="BJ63" i="7"/>
  <c r="BW62" i="7"/>
  <c r="BS62" i="7"/>
  <c r="BM62" i="7"/>
  <c r="BL62" i="7"/>
  <c r="BK62" i="7"/>
  <c r="BJ62" i="7"/>
  <c r="BF62" i="7"/>
  <c r="BH62" i="7" s="1"/>
  <c r="C62" i="7"/>
  <c r="B62" i="7"/>
  <c r="BW61" i="7"/>
  <c r="BS61" i="7"/>
  <c r="BM61" i="7"/>
  <c r="BL61" i="7"/>
  <c r="BK61" i="7"/>
  <c r="BJ61" i="7"/>
  <c r="BF61" i="7"/>
  <c r="C61" i="7"/>
  <c r="B61" i="7"/>
  <c r="BW60" i="7"/>
  <c r="BS60" i="7"/>
  <c r="BM60" i="7"/>
  <c r="BL60" i="7"/>
  <c r="BK60" i="7"/>
  <c r="BJ60" i="7"/>
  <c r="BF60" i="7"/>
  <c r="C60" i="7"/>
  <c r="B60" i="7"/>
  <c r="BW59" i="7"/>
  <c r="BS59" i="7"/>
  <c r="BN59" i="7"/>
  <c r="BO59" i="7" s="1"/>
  <c r="BP59" i="7" s="1"/>
  <c r="BM59" i="7"/>
  <c r="BL59" i="7"/>
  <c r="BK59" i="7"/>
  <c r="BJ59" i="7"/>
  <c r="BF59" i="7"/>
  <c r="BH59" i="7" s="1"/>
  <c r="C59" i="7"/>
  <c r="B59" i="7"/>
  <c r="BW58" i="7"/>
  <c r="BS58" i="7"/>
  <c r="BM58" i="7"/>
  <c r="BL58" i="7"/>
  <c r="BK58" i="7"/>
  <c r="BJ58" i="7"/>
  <c r="BH58" i="7"/>
  <c r="BF58" i="7"/>
  <c r="BN62" i="7" s="1"/>
  <c r="BO62" i="7" s="1"/>
  <c r="BP62" i="7" s="1"/>
  <c r="BY62" i="7" s="1"/>
  <c r="C58" i="7"/>
  <c r="B58" i="7"/>
  <c r="BW57" i="7"/>
  <c r="BS57" i="7"/>
  <c r="BM57" i="7"/>
  <c r="BL57" i="7"/>
  <c r="BK57" i="7"/>
  <c r="BJ57" i="7"/>
  <c r="BF57" i="7"/>
  <c r="BH57" i="7" s="1"/>
  <c r="C57" i="7"/>
  <c r="B57" i="7"/>
  <c r="BW56" i="7"/>
  <c r="BS56" i="7"/>
  <c r="BM56" i="7"/>
  <c r="BL56" i="7"/>
  <c r="BK56" i="7"/>
  <c r="BJ56" i="7"/>
  <c r="BF56" i="7"/>
  <c r="BH56" i="7" s="1"/>
  <c r="C56" i="7"/>
  <c r="B56" i="7"/>
  <c r="BW55" i="7"/>
  <c r="BS55" i="7"/>
  <c r="BN55" i="7"/>
  <c r="BO55" i="7" s="1"/>
  <c r="BP55" i="7" s="1"/>
  <c r="BY55" i="7" s="1"/>
  <c r="BM55" i="7"/>
  <c r="BL55" i="7"/>
  <c r="BK55" i="7"/>
  <c r="BJ55" i="7"/>
  <c r="BF55" i="7"/>
  <c r="BH55" i="7" s="1"/>
  <c r="C55" i="7"/>
  <c r="B55" i="7"/>
  <c r="BW54" i="7"/>
  <c r="BS54" i="7"/>
  <c r="BM54" i="7"/>
  <c r="BL54" i="7"/>
  <c r="BK54" i="7"/>
  <c r="BJ54" i="7"/>
  <c r="BF54" i="7"/>
  <c r="BH54" i="7" s="1"/>
  <c r="C54" i="7"/>
  <c r="B54" i="7"/>
  <c r="BW53" i="7"/>
  <c r="BS53" i="7"/>
  <c r="BM53" i="7"/>
  <c r="BL53" i="7"/>
  <c r="BK53" i="7"/>
  <c r="BJ53" i="7"/>
  <c r="BF53" i="7"/>
  <c r="C53" i="7"/>
  <c r="B53" i="7"/>
  <c r="BW52" i="7"/>
  <c r="BS52" i="7"/>
  <c r="BM52" i="7"/>
  <c r="BL52" i="7"/>
  <c r="BK52" i="7"/>
  <c r="BJ52" i="7"/>
  <c r="BF52" i="7"/>
  <c r="BH52" i="7" s="1"/>
  <c r="C52" i="7"/>
  <c r="B52" i="7"/>
  <c r="BW51" i="7"/>
  <c r="BS51" i="7"/>
  <c r="BM51" i="7"/>
  <c r="BL51" i="7"/>
  <c r="BK51" i="7"/>
  <c r="BJ51" i="7"/>
  <c r="BF51" i="7"/>
  <c r="BH51" i="7" s="1"/>
  <c r="C51" i="7"/>
  <c r="B51" i="7"/>
  <c r="BW50" i="7"/>
  <c r="BS50" i="7"/>
  <c r="BM50" i="7"/>
  <c r="BL50" i="7"/>
  <c r="BK50" i="7"/>
  <c r="BJ50" i="7"/>
  <c r="BH50" i="7"/>
  <c r="BF50" i="7"/>
  <c r="BN54" i="7" s="1"/>
  <c r="BO54" i="7" s="1"/>
  <c r="BP54" i="7" s="1"/>
  <c r="BY54" i="7" s="1"/>
  <c r="G49" i="2" s="1"/>
  <c r="C50" i="7"/>
  <c r="B50" i="7"/>
  <c r="BY49" i="7"/>
  <c r="BW49" i="7"/>
  <c r="BS49" i="7"/>
  <c r="BO49" i="7"/>
  <c r="BP49" i="7" s="1"/>
  <c r="BN49" i="7"/>
  <c r="BM49" i="7"/>
  <c r="BL49" i="7"/>
  <c r="BK49" i="7"/>
  <c r="BJ49" i="7"/>
  <c r="BF49" i="7"/>
  <c r="BH49" i="7" s="1"/>
  <c r="C49" i="7"/>
  <c r="B49" i="7"/>
  <c r="BW48" i="7"/>
  <c r="BS48" i="7"/>
  <c r="BN48" i="7"/>
  <c r="BO48" i="7" s="1"/>
  <c r="BP48" i="7" s="1"/>
  <c r="BY48" i="7" s="1"/>
  <c r="BM48" i="7"/>
  <c r="BL48" i="7"/>
  <c r="BK48" i="7"/>
  <c r="BJ48" i="7"/>
  <c r="BF48" i="7"/>
  <c r="BH48" i="7" s="1"/>
  <c r="C48" i="7"/>
  <c r="B48" i="7"/>
  <c r="A48" i="7"/>
  <c r="BW47" i="7"/>
  <c r="BS47" i="7"/>
  <c r="BM47" i="7"/>
  <c r="BL47" i="7"/>
  <c r="BK47" i="7"/>
  <c r="BJ47" i="7"/>
  <c r="BF47" i="7"/>
  <c r="BH47" i="7" s="1"/>
  <c r="C47" i="7"/>
  <c r="B47" i="7"/>
  <c r="A47" i="7"/>
  <c r="BW46" i="7"/>
  <c r="BS46" i="7"/>
  <c r="BM46" i="7"/>
  <c r="BL46" i="7"/>
  <c r="BK46" i="7"/>
  <c r="BJ46" i="7"/>
  <c r="BF46" i="7"/>
  <c r="BH46" i="7" s="1"/>
  <c r="C46" i="7"/>
  <c r="B46" i="7"/>
  <c r="A46" i="7"/>
  <c r="BW45" i="7"/>
  <c r="BS45" i="7"/>
  <c r="BN45" i="7"/>
  <c r="BO45" i="7" s="1"/>
  <c r="BP45" i="7" s="1"/>
  <c r="BM45" i="7"/>
  <c r="BL45" i="7"/>
  <c r="BK45" i="7"/>
  <c r="BJ45" i="7"/>
  <c r="BH45" i="7"/>
  <c r="BF45" i="7"/>
  <c r="C45" i="7"/>
  <c r="B45" i="7"/>
  <c r="A45" i="7"/>
  <c r="BW44" i="7"/>
  <c r="BS44" i="7"/>
  <c r="BN44" i="7"/>
  <c r="BM44" i="7"/>
  <c r="BL44" i="7"/>
  <c r="BK44" i="7"/>
  <c r="BJ44" i="7"/>
  <c r="BH44" i="7"/>
  <c r="BF44" i="7"/>
  <c r="C44" i="7"/>
  <c r="B44" i="7"/>
  <c r="A44" i="7"/>
  <c r="BW43" i="7"/>
  <c r="BS43" i="7"/>
  <c r="BM43" i="7"/>
  <c r="BL43" i="7"/>
  <c r="BK43" i="7"/>
  <c r="BJ43" i="7"/>
  <c r="BF43" i="7"/>
  <c r="BN47" i="7" s="1"/>
  <c r="BO47" i="7" s="1"/>
  <c r="BP47" i="7" s="1"/>
  <c r="BY47" i="7" s="1"/>
  <c r="C43" i="7"/>
  <c r="B43" i="7"/>
  <c r="A43" i="7"/>
  <c r="BW42" i="7"/>
  <c r="BS42" i="7"/>
  <c r="BN42" i="7"/>
  <c r="BO42" i="7" s="1"/>
  <c r="BP42" i="7" s="1"/>
  <c r="BM42" i="7"/>
  <c r="BL42" i="7"/>
  <c r="BK42" i="7"/>
  <c r="BJ42" i="7"/>
  <c r="BF42" i="7"/>
  <c r="BH42" i="7" s="1"/>
  <c r="C42" i="7"/>
  <c r="B42" i="7"/>
  <c r="A42" i="7"/>
  <c r="BW41" i="7"/>
  <c r="BS41" i="7"/>
  <c r="BM41" i="7"/>
  <c r="BL41" i="7"/>
  <c r="BK41" i="7"/>
  <c r="BJ41" i="7"/>
  <c r="BH41" i="7"/>
  <c r="BF41" i="7"/>
  <c r="C41" i="7"/>
  <c r="B41" i="7"/>
  <c r="A41" i="7"/>
  <c r="BW40" i="7"/>
  <c r="BS40" i="7"/>
  <c r="BN40" i="7"/>
  <c r="BO40" i="7" s="1"/>
  <c r="BP40" i="7" s="1"/>
  <c r="BM40" i="7"/>
  <c r="BL40" i="7"/>
  <c r="BK40" i="7"/>
  <c r="BJ40" i="7"/>
  <c r="BH40" i="7"/>
  <c r="BF40" i="7"/>
  <c r="C40" i="7"/>
  <c r="B40" i="7"/>
  <c r="A40" i="7"/>
  <c r="BW39" i="7"/>
  <c r="BS39" i="7"/>
  <c r="BM39" i="7"/>
  <c r="BL39" i="7"/>
  <c r="BK39" i="7"/>
  <c r="BJ39" i="7"/>
  <c r="BF39" i="7"/>
  <c r="C39" i="7"/>
  <c r="B39" i="7"/>
  <c r="A39" i="7"/>
  <c r="BW38" i="7"/>
  <c r="BS38" i="7"/>
  <c r="BM38" i="7"/>
  <c r="BL38" i="7"/>
  <c r="BK38" i="7"/>
  <c r="BJ38" i="7"/>
  <c r="BF38" i="7"/>
  <c r="BH38" i="7" s="1"/>
  <c r="C38" i="7"/>
  <c r="B38" i="7"/>
  <c r="A38" i="7"/>
  <c r="BW37" i="7"/>
  <c r="BS37" i="7"/>
  <c r="BN37" i="7"/>
  <c r="BO37" i="7" s="1"/>
  <c r="BP37" i="7" s="1"/>
  <c r="BY37" i="7" s="1"/>
  <c r="BM37" i="7"/>
  <c r="BL37" i="7"/>
  <c r="BK37" i="7"/>
  <c r="BJ37" i="7"/>
  <c r="BF37" i="7"/>
  <c r="BN41" i="7" s="1"/>
  <c r="BO41" i="7" s="1"/>
  <c r="BP41" i="7" s="1"/>
  <c r="BY41" i="7" s="1"/>
  <c r="C37" i="7"/>
  <c r="B37" i="7"/>
  <c r="A37" i="7"/>
  <c r="BW36" i="7"/>
  <c r="BS36" i="7"/>
  <c r="BN36" i="7"/>
  <c r="BM36" i="7"/>
  <c r="BL36" i="7"/>
  <c r="BK36" i="7"/>
  <c r="BJ36" i="7"/>
  <c r="BH36" i="7"/>
  <c r="BF36" i="7"/>
  <c r="C36" i="7"/>
  <c r="B36" i="7"/>
  <c r="A36" i="7"/>
  <c r="BW35" i="7"/>
  <c r="BS35" i="7"/>
  <c r="BM35" i="7"/>
  <c r="BL35" i="7"/>
  <c r="BK35" i="7"/>
  <c r="BJ35" i="7"/>
  <c r="BF35" i="7"/>
  <c r="C35" i="7"/>
  <c r="B35" i="7"/>
  <c r="A35" i="7"/>
  <c r="BW34" i="7"/>
  <c r="BS34" i="7"/>
  <c r="BM34" i="7"/>
  <c r="BL34" i="7"/>
  <c r="BK34" i="7"/>
  <c r="BJ34" i="7"/>
  <c r="BH34" i="7"/>
  <c r="BF34" i="7"/>
  <c r="BN38" i="7" s="1"/>
  <c r="BO38" i="7" s="1"/>
  <c r="BP38" i="7" s="1"/>
  <c r="BY38" i="7" s="1"/>
  <c r="G33" i="2" s="1"/>
  <c r="C34" i="7"/>
  <c r="B34" i="7"/>
  <c r="A34" i="7"/>
  <c r="BW33" i="7"/>
  <c r="BS33" i="7"/>
  <c r="BM33" i="7"/>
  <c r="BL33" i="7"/>
  <c r="BK33" i="7"/>
  <c r="BJ33" i="7"/>
  <c r="BF33" i="7"/>
  <c r="BH33" i="7" s="1"/>
  <c r="C33" i="7"/>
  <c r="B33" i="7"/>
  <c r="A33" i="7"/>
  <c r="BW32" i="7"/>
  <c r="BS32" i="7"/>
  <c r="BN32" i="7"/>
  <c r="BM32" i="7"/>
  <c r="BO32" i="7" s="1"/>
  <c r="BP32" i="7" s="1"/>
  <c r="BL32" i="7"/>
  <c r="BK32" i="7"/>
  <c r="BJ32" i="7"/>
  <c r="BH32" i="7"/>
  <c r="BF32" i="7"/>
  <c r="C32" i="7"/>
  <c r="B32" i="7"/>
  <c r="A32" i="7"/>
  <c r="BW31" i="7"/>
  <c r="BS31" i="7"/>
  <c r="BM31" i="7"/>
  <c r="BL31" i="7"/>
  <c r="BK31" i="7"/>
  <c r="BJ31" i="7"/>
  <c r="BF31" i="7"/>
  <c r="C31" i="7"/>
  <c r="B31" i="7"/>
  <c r="A31" i="7"/>
  <c r="BW30" i="7"/>
  <c r="BS30" i="7"/>
  <c r="BM30" i="7"/>
  <c r="BL30" i="7"/>
  <c r="BK30" i="7"/>
  <c r="BJ30" i="7"/>
  <c r="BF30" i="7"/>
  <c r="C30" i="7"/>
  <c r="B30" i="7"/>
  <c r="A30" i="7"/>
  <c r="BW29" i="7"/>
  <c r="BS29" i="7"/>
  <c r="BM29" i="7"/>
  <c r="BL29" i="7"/>
  <c r="BK29" i="7"/>
  <c r="BJ29" i="7"/>
  <c r="BF29" i="7"/>
  <c r="BH29" i="7" s="1"/>
  <c r="C29" i="7"/>
  <c r="B29" i="7"/>
  <c r="A29" i="7"/>
  <c r="BW28" i="7"/>
  <c r="BS28" i="7"/>
  <c r="BO28" i="7"/>
  <c r="BP28" i="7" s="1"/>
  <c r="BY28" i="7" s="1"/>
  <c r="G23" i="2" s="1"/>
  <c r="BN28" i="7"/>
  <c r="BM28" i="7"/>
  <c r="BL28" i="7"/>
  <c r="BK28" i="7"/>
  <c r="BJ28" i="7"/>
  <c r="BH28" i="7"/>
  <c r="BF28" i="7"/>
  <c r="C28" i="7"/>
  <c r="B28" i="7"/>
  <c r="A28" i="7"/>
  <c r="BW27" i="7"/>
  <c r="BS27" i="7"/>
  <c r="BM27" i="7"/>
  <c r="BL27" i="7"/>
  <c r="BK27" i="7"/>
  <c r="BJ27" i="7"/>
  <c r="BH27" i="7"/>
  <c r="BF27" i="7"/>
  <c r="BN31" i="7" s="1"/>
  <c r="BO31" i="7" s="1"/>
  <c r="BP31" i="7" s="1"/>
  <c r="BY31" i="7" s="1"/>
  <c r="C27" i="7"/>
  <c r="B27" i="7"/>
  <c r="A27" i="7"/>
  <c r="BW26" i="7"/>
  <c r="BS26" i="7"/>
  <c r="BP26" i="7"/>
  <c r="BY26" i="7" s="1"/>
  <c r="G21" i="2" s="1"/>
  <c r="BO26" i="7"/>
  <c r="BM26" i="7"/>
  <c r="BL26" i="7"/>
  <c r="BK26" i="7"/>
  <c r="BJ26" i="7"/>
  <c r="BF26" i="7"/>
  <c r="BN30" i="7" s="1"/>
  <c r="BO30" i="7" s="1"/>
  <c r="BP30" i="7" s="1"/>
  <c r="BY30" i="7" s="1"/>
  <c r="C26" i="7"/>
  <c r="B26" i="7"/>
  <c r="A26" i="7"/>
  <c r="BW25" i="7"/>
  <c r="BS25" i="7"/>
  <c r="BN25" i="7"/>
  <c r="BO25" i="7" s="1"/>
  <c r="BP25" i="7" s="1"/>
  <c r="BY25" i="7" s="1"/>
  <c r="G20" i="2" s="1"/>
  <c r="BM25" i="7"/>
  <c r="BL25" i="7"/>
  <c r="BK25" i="7"/>
  <c r="BJ25" i="7"/>
  <c r="BF25" i="7"/>
  <c r="BH25" i="7" s="1"/>
  <c r="C25" i="7"/>
  <c r="B25" i="7"/>
  <c r="A25" i="7"/>
  <c r="BW24" i="7"/>
  <c r="BS24" i="7"/>
  <c r="BO24" i="7"/>
  <c r="BP24" i="7" s="1"/>
  <c r="BY24" i="7" s="1"/>
  <c r="BN24" i="7"/>
  <c r="BM24" i="7"/>
  <c r="BL24" i="7"/>
  <c r="BK24" i="7"/>
  <c r="BJ24" i="7"/>
  <c r="BH24" i="7"/>
  <c r="BF24" i="7"/>
  <c r="C24" i="7"/>
  <c r="B24" i="7"/>
  <c r="A24" i="7"/>
  <c r="BW23" i="7"/>
  <c r="BS23" i="7"/>
  <c r="BM23" i="7"/>
  <c r="BL23" i="7"/>
  <c r="BK23" i="7"/>
  <c r="BJ23" i="7"/>
  <c r="BF23" i="7"/>
  <c r="C23" i="7"/>
  <c r="B23" i="7"/>
  <c r="A23" i="7"/>
  <c r="BY22" i="7"/>
  <c r="G17" i="2" s="1"/>
  <c r="BW22" i="7"/>
  <c r="BS22" i="7"/>
  <c r="BO22" i="7"/>
  <c r="BP22" i="7" s="1"/>
  <c r="BM22" i="7"/>
  <c r="BL22" i="7"/>
  <c r="BK22" i="7"/>
  <c r="BJ22" i="7"/>
  <c r="BH22" i="7"/>
  <c r="BF22" i="7"/>
  <c r="BN26" i="7" s="1"/>
  <c r="C22" i="7"/>
  <c r="B22" i="7"/>
  <c r="A22" i="7"/>
  <c r="BW21" i="7"/>
  <c r="BS21" i="7"/>
  <c r="BM21" i="7"/>
  <c r="BL21" i="7"/>
  <c r="BK21" i="7"/>
  <c r="BJ21" i="7"/>
  <c r="BF21" i="7"/>
  <c r="BH21" i="7" s="1"/>
  <c r="C21" i="7"/>
  <c r="B21" i="7"/>
  <c r="A21" i="7"/>
  <c r="BY20" i="7"/>
  <c r="BW20" i="7"/>
  <c r="BS20" i="7"/>
  <c r="BN20" i="7"/>
  <c r="BO20" i="7" s="1"/>
  <c r="BP20" i="7" s="1"/>
  <c r="BM20" i="7"/>
  <c r="BL20" i="7"/>
  <c r="BK20" i="7"/>
  <c r="BJ20" i="7"/>
  <c r="BH20" i="7"/>
  <c r="BF20" i="7"/>
  <c r="C20" i="7"/>
  <c r="B20" i="7"/>
  <c r="A20" i="7"/>
  <c r="BW19" i="7"/>
  <c r="BS19" i="7"/>
  <c r="BP19" i="7"/>
  <c r="BY19" i="7" s="1"/>
  <c r="BN19" i="7"/>
  <c r="BO19" i="7" s="1"/>
  <c r="BM19" i="7"/>
  <c r="BL19" i="7"/>
  <c r="BK19" i="7"/>
  <c r="BJ19" i="7"/>
  <c r="BF19" i="7"/>
  <c r="BN23" i="7" s="1"/>
  <c r="BO23" i="7" s="1"/>
  <c r="BP23" i="7" s="1"/>
  <c r="BY23" i="7" s="1"/>
  <c r="G18" i="2" s="1"/>
  <c r="C19" i="7"/>
  <c r="B19" i="7"/>
  <c r="A19" i="7"/>
  <c r="BW18" i="7"/>
  <c r="BS18" i="7"/>
  <c r="BM18" i="7"/>
  <c r="BL18" i="7"/>
  <c r="BK18" i="7"/>
  <c r="BJ18" i="7"/>
  <c r="BH18" i="7"/>
  <c r="BF18" i="7"/>
  <c r="BN22" i="7" s="1"/>
  <c r="C18" i="7"/>
  <c r="B18" i="7"/>
  <c r="A18" i="7"/>
  <c r="BW17" i="7"/>
  <c r="BS17" i="7"/>
  <c r="BM17" i="7"/>
  <c r="BL17" i="7"/>
  <c r="BK17" i="7"/>
  <c r="BJ17" i="7"/>
  <c r="BF17" i="7"/>
  <c r="BH17" i="7" s="1"/>
  <c r="C17" i="7"/>
  <c r="B17" i="7"/>
  <c r="A17" i="7"/>
  <c r="BW16" i="7"/>
  <c r="BS16" i="7"/>
  <c r="BN16" i="7"/>
  <c r="BM16" i="7"/>
  <c r="BO16" i="7" s="1"/>
  <c r="BP16" i="7" s="1"/>
  <c r="BY16" i="7" s="1"/>
  <c r="BL16" i="7"/>
  <c r="BK16" i="7"/>
  <c r="BJ16" i="7"/>
  <c r="BH16" i="7"/>
  <c r="BF16" i="7"/>
  <c r="C16" i="7"/>
  <c r="B16" i="7"/>
  <c r="A16" i="7"/>
  <c r="BW15" i="7"/>
  <c r="BS15" i="7"/>
  <c r="BN15" i="7"/>
  <c r="BO15" i="7" s="1"/>
  <c r="BP15" i="7" s="1"/>
  <c r="BY15" i="7" s="1"/>
  <c r="G10" i="2" s="1"/>
  <c r="BM15" i="7"/>
  <c r="BL15" i="7"/>
  <c r="BK15" i="7"/>
  <c r="BJ15" i="7"/>
  <c r="BH15" i="7"/>
  <c r="BF15" i="7"/>
  <c r="C15" i="7"/>
  <c r="B15" i="7"/>
  <c r="A15" i="7"/>
  <c r="BW14" i="7"/>
  <c r="BS14" i="7"/>
  <c r="BM14" i="7"/>
  <c r="BL14" i="7"/>
  <c r="BK14" i="7"/>
  <c r="BJ14" i="7"/>
  <c r="BF14" i="7"/>
  <c r="C14" i="7"/>
  <c r="B14" i="7"/>
  <c r="A14" i="7"/>
  <c r="BW13" i="7"/>
  <c r="BS13" i="7"/>
  <c r="BM13" i="7"/>
  <c r="BL13" i="7"/>
  <c r="BK13" i="7"/>
  <c r="BJ13" i="7"/>
  <c r="BF13" i="7"/>
  <c r="BH13" i="7" s="1"/>
  <c r="C13" i="7"/>
  <c r="B13" i="7"/>
  <c r="A13" i="7"/>
  <c r="BW12" i="7"/>
  <c r="BS12" i="7"/>
  <c r="BM12" i="7"/>
  <c r="BL12" i="7"/>
  <c r="BK12" i="7"/>
  <c r="BJ12" i="7"/>
  <c r="BH12" i="7"/>
  <c r="BF12" i="7"/>
  <c r="C12" i="7"/>
  <c r="B12" i="7"/>
  <c r="A12" i="7"/>
  <c r="BW11" i="7"/>
  <c r="BS11" i="7"/>
  <c r="BM11" i="7"/>
  <c r="BL11" i="7"/>
  <c r="BK11" i="7"/>
  <c r="BJ11" i="7"/>
  <c r="BH11" i="7"/>
  <c r="BF11" i="7"/>
  <c r="C11" i="7"/>
  <c r="B11" i="7"/>
  <c r="A11" i="7"/>
  <c r="BW10" i="7"/>
  <c r="BS10" i="7"/>
  <c r="BP10" i="7"/>
  <c r="BY10" i="7" s="1"/>
  <c r="G5" i="2" s="1"/>
  <c r="BM10" i="7"/>
  <c r="BL10" i="7"/>
  <c r="BK10" i="7"/>
  <c r="BJ10" i="7"/>
  <c r="BF10" i="7"/>
  <c r="BN14" i="7" s="1"/>
  <c r="BO14" i="7" s="1"/>
  <c r="BP14" i="7" s="1"/>
  <c r="BY14" i="7" s="1"/>
  <c r="C10" i="7"/>
  <c r="B10" i="7"/>
  <c r="A10" i="7"/>
  <c r="BW9" i="7"/>
  <c r="BS9" i="7"/>
  <c r="BN9" i="7"/>
  <c r="BO9" i="7" s="1"/>
  <c r="BP9" i="7" s="1"/>
  <c r="BM9" i="7"/>
  <c r="BL9" i="7"/>
  <c r="BK9" i="7"/>
  <c r="BJ9" i="7"/>
  <c r="BF9" i="7"/>
  <c r="BH9" i="7" s="1"/>
  <c r="C9" i="7"/>
  <c r="B9" i="7"/>
  <c r="A9" i="7"/>
  <c r="BH8" i="7"/>
  <c r="BF8" i="7"/>
  <c r="BN12" i="7" s="1"/>
  <c r="BO12" i="7" s="1"/>
  <c r="BP12" i="7" s="1"/>
  <c r="BY12" i="7" s="1"/>
  <c r="C8" i="7"/>
  <c r="B8" i="7"/>
  <c r="A8" i="7"/>
  <c r="BF7" i="7"/>
  <c r="BH7" i="7" s="1"/>
  <c r="C7" i="7"/>
  <c r="B7" i="7"/>
  <c r="A7" i="7"/>
  <c r="BH6" i="7"/>
  <c r="BF6" i="7"/>
  <c r="BN10" i="7" s="1"/>
  <c r="BO10" i="7" s="1"/>
  <c r="C6" i="7"/>
  <c r="B6" i="7"/>
  <c r="A6" i="7"/>
  <c r="BF5" i="7"/>
  <c r="BH5" i="7" s="1"/>
  <c r="C5" i="7"/>
  <c r="B5" i="7"/>
  <c r="A5" i="7"/>
  <c r="A1" i="7"/>
  <c r="BX66" i="6"/>
  <c r="BT66" i="6"/>
  <c r="BP66" i="6"/>
  <c r="BZ66" i="6" s="1"/>
  <c r="BL66" i="6"/>
  <c r="BK66" i="6"/>
  <c r="BJ66" i="6"/>
  <c r="BX65" i="6"/>
  <c r="BT65" i="6"/>
  <c r="BP65" i="6"/>
  <c r="BZ65" i="6" s="1"/>
  <c r="BO65" i="6"/>
  <c r="BL65" i="6"/>
  <c r="BK65" i="6"/>
  <c r="BJ65" i="6"/>
  <c r="BX64" i="6"/>
  <c r="BT64" i="6"/>
  <c r="BM64" i="6"/>
  <c r="BL64" i="6"/>
  <c r="BK64" i="6"/>
  <c r="BJ64" i="6"/>
  <c r="BX63" i="6"/>
  <c r="BT63" i="6"/>
  <c r="BN63" i="6"/>
  <c r="BM63" i="6"/>
  <c r="BO63" i="6" s="1"/>
  <c r="BP63" i="6" s="1"/>
  <c r="BZ63" i="6" s="1"/>
  <c r="BL63" i="6"/>
  <c r="BK63" i="6"/>
  <c r="BJ63" i="6"/>
  <c r="BX62" i="6"/>
  <c r="BT62" i="6"/>
  <c r="BO62" i="6"/>
  <c r="BP62" i="6" s="1"/>
  <c r="BZ62" i="6" s="1"/>
  <c r="E57" i="2" s="1"/>
  <c r="BM62" i="6"/>
  <c r="BL62" i="6"/>
  <c r="BK62" i="6"/>
  <c r="BJ62" i="6"/>
  <c r="BH62" i="6"/>
  <c r="BF62" i="6"/>
  <c r="BN66" i="6" s="1"/>
  <c r="BO66" i="6" s="1"/>
  <c r="C62" i="6"/>
  <c r="B62" i="6"/>
  <c r="BX61" i="6"/>
  <c r="BT61" i="6"/>
  <c r="BO61" i="6"/>
  <c r="BP61" i="6" s="1"/>
  <c r="BZ61" i="6" s="1"/>
  <c r="BN61" i="6"/>
  <c r="BM61" i="6"/>
  <c r="BL61" i="6"/>
  <c r="BK61" i="6"/>
  <c r="BJ61" i="6"/>
  <c r="BH61" i="6"/>
  <c r="BF61" i="6"/>
  <c r="C61" i="6"/>
  <c r="B61" i="6"/>
  <c r="BX60" i="6"/>
  <c r="BT60" i="6"/>
  <c r="BM60" i="6"/>
  <c r="BL60" i="6"/>
  <c r="BK60" i="6"/>
  <c r="BJ60" i="6"/>
  <c r="BF60" i="6"/>
  <c r="C60" i="6"/>
  <c r="B60" i="6"/>
  <c r="BX59" i="6"/>
  <c r="BT59" i="6"/>
  <c r="BM59" i="6"/>
  <c r="BL59" i="6"/>
  <c r="BK59" i="6"/>
  <c r="BJ59" i="6"/>
  <c r="BH59" i="6"/>
  <c r="BF59" i="6"/>
  <c r="C59" i="6"/>
  <c r="B59" i="6"/>
  <c r="BZ58" i="6"/>
  <c r="E53" i="2" s="1"/>
  <c r="BX58" i="6"/>
  <c r="BT58" i="6"/>
  <c r="BO58" i="6"/>
  <c r="BP58" i="6" s="1"/>
  <c r="BM58" i="6"/>
  <c r="BL58" i="6"/>
  <c r="BK58" i="6"/>
  <c r="BJ58" i="6"/>
  <c r="BH58" i="6"/>
  <c r="BF58" i="6"/>
  <c r="BN62" i="6" s="1"/>
  <c r="C58" i="6"/>
  <c r="B58" i="6"/>
  <c r="BX57" i="6"/>
  <c r="BT57" i="6"/>
  <c r="BO57" i="6"/>
  <c r="BP57" i="6" s="1"/>
  <c r="BZ57" i="6" s="1"/>
  <c r="BN57" i="6"/>
  <c r="BM57" i="6"/>
  <c r="BL57" i="6"/>
  <c r="BK57" i="6"/>
  <c r="BJ57" i="6"/>
  <c r="BD57" i="6"/>
  <c r="BF57" i="6" s="1"/>
  <c r="BH57" i="6" s="1"/>
  <c r="C57" i="6"/>
  <c r="B57" i="6"/>
  <c r="BX56" i="6"/>
  <c r="BT56" i="6"/>
  <c r="BM56" i="6"/>
  <c r="BL56" i="6"/>
  <c r="BK56" i="6"/>
  <c r="BJ56" i="6"/>
  <c r="BF56" i="6"/>
  <c r="BN60" i="6" s="1"/>
  <c r="BO60" i="6" s="1"/>
  <c r="BP60" i="6" s="1"/>
  <c r="BZ60" i="6" s="1"/>
  <c r="BD56" i="6"/>
  <c r="C56" i="6"/>
  <c r="B56" i="6"/>
  <c r="BX55" i="6"/>
  <c r="BT55" i="6"/>
  <c r="BM55" i="6"/>
  <c r="BL55" i="6"/>
  <c r="BK55" i="6"/>
  <c r="BJ55" i="6"/>
  <c r="BH55" i="6"/>
  <c r="BF55" i="6"/>
  <c r="BN59" i="6" s="1"/>
  <c r="C55" i="6"/>
  <c r="B55" i="6"/>
  <c r="BZ54" i="6"/>
  <c r="E49" i="2" s="1"/>
  <c r="BX54" i="6"/>
  <c r="BT54" i="6"/>
  <c r="BN54" i="6"/>
  <c r="BO54" i="6" s="1"/>
  <c r="BP54" i="6" s="1"/>
  <c r="BM54" i="6"/>
  <c r="BL54" i="6"/>
  <c r="BK54" i="6"/>
  <c r="BJ54" i="6"/>
  <c r="BH54" i="6"/>
  <c r="BD54" i="6"/>
  <c r="BF54" i="6" s="1"/>
  <c r="BN58" i="6" s="1"/>
  <c r="C54" i="6"/>
  <c r="B54" i="6"/>
  <c r="BX53" i="6"/>
  <c r="BT53" i="6"/>
  <c r="BN53" i="6"/>
  <c r="BO53" i="6" s="1"/>
  <c r="BP53" i="6" s="1"/>
  <c r="BZ53" i="6" s="1"/>
  <c r="BM53" i="6"/>
  <c r="BL53" i="6"/>
  <c r="BK53" i="6"/>
  <c r="BJ53" i="6"/>
  <c r="BH53" i="6"/>
  <c r="BF53" i="6"/>
  <c r="BD53" i="6"/>
  <c r="C53" i="6"/>
  <c r="B53" i="6"/>
  <c r="BX52" i="6"/>
  <c r="BT52" i="6"/>
  <c r="BM52" i="6"/>
  <c r="BL52" i="6"/>
  <c r="BK52" i="6"/>
  <c r="BJ52" i="6"/>
  <c r="BF52" i="6"/>
  <c r="C52" i="6"/>
  <c r="B52" i="6"/>
  <c r="BX51" i="6"/>
  <c r="BT51" i="6"/>
  <c r="BM51" i="6"/>
  <c r="BL51" i="6"/>
  <c r="BK51" i="6"/>
  <c r="BJ51" i="6"/>
  <c r="BH51" i="6"/>
  <c r="BD51" i="6"/>
  <c r="BF51" i="6" s="1"/>
  <c r="BN55" i="6" s="1"/>
  <c r="BO55" i="6" s="1"/>
  <c r="BP55" i="6" s="1"/>
  <c r="BZ55" i="6" s="1"/>
  <c r="E50" i="2" s="1"/>
  <c r="C51" i="6"/>
  <c r="B51" i="6"/>
  <c r="BX50" i="6"/>
  <c r="BT50" i="6"/>
  <c r="BM50" i="6"/>
  <c r="BL50" i="6"/>
  <c r="BK50" i="6"/>
  <c r="BJ50" i="6"/>
  <c r="BH50" i="6"/>
  <c r="BF50" i="6"/>
  <c r="C50" i="6"/>
  <c r="B50" i="6"/>
  <c r="BX49" i="6"/>
  <c r="BT49" i="6"/>
  <c r="BO49" i="6"/>
  <c r="BP49" i="6" s="1"/>
  <c r="BZ49" i="6" s="1"/>
  <c r="E44" i="2" s="1"/>
  <c r="BN49" i="6"/>
  <c r="BM49" i="6"/>
  <c r="BL49" i="6"/>
  <c r="BK49" i="6"/>
  <c r="BJ49" i="6"/>
  <c r="BF49" i="6"/>
  <c r="BH49" i="6" s="1"/>
  <c r="C49" i="6"/>
  <c r="B49" i="6"/>
  <c r="BX48" i="6"/>
  <c r="BT48" i="6"/>
  <c r="BN48" i="6"/>
  <c r="BO48" i="6" s="1"/>
  <c r="BP48" i="6" s="1"/>
  <c r="BZ48" i="6" s="1"/>
  <c r="BM48" i="6"/>
  <c r="BL48" i="6"/>
  <c r="BK48" i="6"/>
  <c r="BJ48" i="6"/>
  <c r="BH48" i="6"/>
  <c r="BF48" i="6"/>
  <c r="BN52" i="6" s="1"/>
  <c r="BO52" i="6" s="1"/>
  <c r="BP52" i="6" s="1"/>
  <c r="BZ52" i="6" s="1"/>
  <c r="C48" i="6"/>
  <c r="B48" i="6"/>
  <c r="A48" i="6"/>
  <c r="BX47" i="6"/>
  <c r="BT47" i="6"/>
  <c r="BM47" i="6"/>
  <c r="BL47" i="6"/>
  <c r="BK47" i="6"/>
  <c r="BJ47" i="6"/>
  <c r="BF47" i="6"/>
  <c r="C47" i="6"/>
  <c r="B47" i="6"/>
  <c r="A47" i="6"/>
  <c r="BZ46" i="6"/>
  <c r="BX46" i="6"/>
  <c r="BT46" i="6"/>
  <c r="BO46" i="6"/>
  <c r="BP46" i="6" s="1"/>
  <c r="BN46" i="6"/>
  <c r="BM46" i="6"/>
  <c r="BL46" i="6"/>
  <c r="BK46" i="6"/>
  <c r="BJ46" i="6"/>
  <c r="BF46" i="6"/>
  <c r="BH46" i="6" s="1"/>
  <c r="C46" i="6"/>
  <c r="B46" i="6"/>
  <c r="A46" i="6"/>
  <c r="BX45" i="6"/>
  <c r="BT45" i="6"/>
  <c r="BM45" i="6"/>
  <c r="BL45" i="6"/>
  <c r="BK45" i="6"/>
  <c r="BJ45" i="6"/>
  <c r="BH45" i="6"/>
  <c r="BF45" i="6"/>
  <c r="C45" i="6"/>
  <c r="B45" i="6"/>
  <c r="A45" i="6"/>
  <c r="BX44" i="6"/>
  <c r="BT44" i="6"/>
  <c r="BN44" i="6"/>
  <c r="BM44" i="6"/>
  <c r="BL44" i="6"/>
  <c r="BK44" i="6"/>
  <c r="BJ44" i="6"/>
  <c r="BH44" i="6"/>
  <c r="BF44" i="6"/>
  <c r="C44" i="6"/>
  <c r="B44" i="6"/>
  <c r="A44" i="6"/>
  <c r="BX43" i="6"/>
  <c r="BT43" i="6"/>
  <c r="BP43" i="6"/>
  <c r="BZ43" i="6" s="1"/>
  <c r="BO43" i="6"/>
  <c r="BM43" i="6"/>
  <c r="BL43" i="6"/>
  <c r="BK43" i="6"/>
  <c r="BJ43" i="6"/>
  <c r="BD43" i="6"/>
  <c r="BF43" i="6" s="1"/>
  <c r="C43" i="6"/>
  <c r="B43" i="6"/>
  <c r="A43" i="6"/>
  <c r="BX42" i="6"/>
  <c r="BT42" i="6"/>
  <c r="BM42" i="6"/>
  <c r="BL42" i="6"/>
  <c r="BK42" i="6"/>
  <c r="BJ42" i="6"/>
  <c r="BH42" i="6"/>
  <c r="BF42" i="6"/>
  <c r="C42" i="6"/>
  <c r="B42" i="6"/>
  <c r="A42" i="6"/>
  <c r="BX41" i="6"/>
  <c r="BT41" i="6"/>
  <c r="BN41" i="6"/>
  <c r="BO41" i="6" s="1"/>
  <c r="BP41" i="6" s="1"/>
  <c r="BZ41" i="6" s="1"/>
  <c r="BM41" i="6"/>
  <c r="BL41" i="6"/>
  <c r="BK41" i="6"/>
  <c r="BJ41" i="6"/>
  <c r="BF41" i="6"/>
  <c r="C41" i="6"/>
  <c r="B41" i="6"/>
  <c r="A41" i="6"/>
  <c r="BZ40" i="6"/>
  <c r="BX40" i="6"/>
  <c r="BT40" i="6"/>
  <c r="BN40" i="6"/>
  <c r="BO40" i="6" s="1"/>
  <c r="BP40" i="6" s="1"/>
  <c r="BM40" i="6"/>
  <c r="BL40" i="6"/>
  <c r="BK40" i="6"/>
  <c r="BJ40" i="6"/>
  <c r="BH40" i="6"/>
  <c r="BF40" i="6"/>
  <c r="C40" i="6"/>
  <c r="B40" i="6"/>
  <c r="A40" i="6"/>
  <c r="BX39" i="6"/>
  <c r="BT39" i="6"/>
  <c r="BP39" i="6"/>
  <c r="BZ39" i="6" s="1"/>
  <c r="BM39" i="6"/>
  <c r="BO39" i="6" s="1"/>
  <c r="BL39" i="6"/>
  <c r="BK39" i="6"/>
  <c r="BJ39" i="6"/>
  <c r="BH39" i="6"/>
  <c r="BF39" i="6"/>
  <c r="BN43" i="6" s="1"/>
  <c r="C39" i="6"/>
  <c r="B39" i="6"/>
  <c r="A39" i="6"/>
  <c r="BX38" i="6"/>
  <c r="BT38" i="6"/>
  <c r="BM38" i="6"/>
  <c r="BL38" i="6"/>
  <c r="BK38" i="6"/>
  <c r="BJ38" i="6"/>
  <c r="BF38" i="6"/>
  <c r="C38" i="6"/>
  <c r="B38" i="6"/>
  <c r="A38" i="6"/>
  <c r="BX37" i="6"/>
  <c r="BT37" i="6"/>
  <c r="BN37" i="6"/>
  <c r="BO37" i="6" s="1"/>
  <c r="BP37" i="6" s="1"/>
  <c r="BZ37" i="6" s="1"/>
  <c r="E32" i="2" s="1"/>
  <c r="BM37" i="6"/>
  <c r="BL37" i="6"/>
  <c r="BK37" i="6"/>
  <c r="BJ37" i="6"/>
  <c r="BH37" i="6"/>
  <c r="BF37" i="6"/>
  <c r="C37" i="6"/>
  <c r="B37" i="6"/>
  <c r="A37" i="6"/>
  <c r="BX36" i="6"/>
  <c r="BT36" i="6"/>
  <c r="BP36" i="6"/>
  <c r="BZ36" i="6" s="1"/>
  <c r="BN36" i="6"/>
  <c r="BO36" i="6" s="1"/>
  <c r="BM36" i="6"/>
  <c r="BL36" i="6"/>
  <c r="BK36" i="6"/>
  <c r="BJ36" i="6"/>
  <c r="BF36" i="6"/>
  <c r="BH36" i="6" s="1"/>
  <c r="C36" i="6"/>
  <c r="B36" i="6"/>
  <c r="A36" i="6"/>
  <c r="BX35" i="6"/>
  <c r="BT35" i="6"/>
  <c r="BM35" i="6"/>
  <c r="BL35" i="6"/>
  <c r="BK35" i="6"/>
  <c r="BJ35" i="6"/>
  <c r="BH35" i="6"/>
  <c r="BF35" i="6"/>
  <c r="C35" i="6"/>
  <c r="B35" i="6"/>
  <c r="A35" i="6"/>
  <c r="BX34" i="6"/>
  <c r="BT34" i="6"/>
  <c r="BM34" i="6"/>
  <c r="BL34" i="6"/>
  <c r="BK34" i="6"/>
  <c r="BJ34" i="6"/>
  <c r="BF34" i="6"/>
  <c r="BH34" i="6" s="1"/>
  <c r="C34" i="6"/>
  <c r="B34" i="6"/>
  <c r="A34" i="6"/>
  <c r="BX33" i="6"/>
  <c r="BT33" i="6"/>
  <c r="BM33" i="6"/>
  <c r="BL33" i="6"/>
  <c r="BK33" i="6"/>
  <c r="BJ33" i="6"/>
  <c r="BH33" i="6"/>
  <c r="BF33" i="6"/>
  <c r="C33" i="6"/>
  <c r="B33" i="6"/>
  <c r="A33" i="6"/>
  <c r="BX32" i="6"/>
  <c r="BT32" i="6"/>
  <c r="BM32" i="6"/>
  <c r="BL32" i="6"/>
  <c r="BK32" i="6"/>
  <c r="BJ32" i="6"/>
  <c r="BH32" i="6"/>
  <c r="BF32" i="6"/>
  <c r="C32" i="6"/>
  <c r="B32" i="6"/>
  <c r="A32" i="6"/>
  <c r="BX31" i="6"/>
  <c r="BT31" i="6"/>
  <c r="BM31" i="6"/>
  <c r="BL31" i="6"/>
  <c r="BK31" i="6"/>
  <c r="BJ31" i="6"/>
  <c r="BF31" i="6"/>
  <c r="C31" i="6"/>
  <c r="B31" i="6"/>
  <c r="A31" i="6"/>
  <c r="BX30" i="6"/>
  <c r="BT30" i="6"/>
  <c r="BO30" i="6"/>
  <c r="BP30" i="6" s="1"/>
  <c r="BZ30" i="6" s="1"/>
  <c r="E25" i="2" s="1"/>
  <c r="BN30" i="6"/>
  <c r="BM30" i="6"/>
  <c r="BL30" i="6"/>
  <c r="BK30" i="6"/>
  <c r="BJ30" i="6"/>
  <c r="BF30" i="6"/>
  <c r="BH30" i="6" s="1"/>
  <c r="C30" i="6"/>
  <c r="B30" i="6"/>
  <c r="A30" i="6"/>
  <c r="BX29" i="6"/>
  <c r="BT29" i="6"/>
  <c r="BZ29" i="6" s="1"/>
  <c r="E24" i="2" s="1"/>
  <c r="BM29" i="6"/>
  <c r="BO29" i="6" s="1"/>
  <c r="BL29" i="6"/>
  <c r="BK29" i="6"/>
  <c r="BJ29" i="6"/>
  <c r="BH29" i="6"/>
  <c r="BF29" i="6"/>
  <c r="BN33" i="6" s="1"/>
  <c r="C29" i="6"/>
  <c r="B29" i="6"/>
  <c r="A29" i="6"/>
  <c r="BX28" i="6"/>
  <c r="BT28" i="6"/>
  <c r="BN28" i="6"/>
  <c r="BO28" i="6" s="1"/>
  <c r="BP28" i="6" s="1"/>
  <c r="BZ28" i="6" s="1"/>
  <c r="E23" i="2" s="1"/>
  <c r="BM28" i="6"/>
  <c r="BL28" i="6"/>
  <c r="BK28" i="6"/>
  <c r="BJ28" i="6"/>
  <c r="BF28" i="6"/>
  <c r="BH28" i="6" s="1"/>
  <c r="C28" i="6"/>
  <c r="B28" i="6"/>
  <c r="A28" i="6"/>
  <c r="BX27" i="6"/>
  <c r="BT27" i="6"/>
  <c r="BN27" i="6"/>
  <c r="BO27" i="6" s="1"/>
  <c r="BP27" i="6" s="1"/>
  <c r="BZ27" i="6" s="1"/>
  <c r="E22" i="2" s="1"/>
  <c r="BM27" i="6"/>
  <c r="BL27" i="6"/>
  <c r="BK27" i="6"/>
  <c r="BJ27" i="6"/>
  <c r="BH27" i="6"/>
  <c r="BF27" i="6"/>
  <c r="BN31" i="6" s="1"/>
  <c r="BO31" i="6" s="1"/>
  <c r="BP31" i="6" s="1"/>
  <c r="C27" i="6"/>
  <c r="B27" i="6"/>
  <c r="A27" i="6"/>
  <c r="BX26" i="6"/>
  <c r="BT26" i="6"/>
  <c r="BM26" i="6"/>
  <c r="BL26" i="6"/>
  <c r="BK26" i="6"/>
  <c r="BJ26" i="6"/>
  <c r="BF26" i="6"/>
  <c r="BH26" i="6" s="1"/>
  <c r="C26" i="6"/>
  <c r="B26" i="6"/>
  <c r="A26" i="6"/>
  <c r="BX25" i="6"/>
  <c r="BT25" i="6"/>
  <c r="BM25" i="6"/>
  <c r="BL25" i="6"/>
  <c r="BK25" i="6"/>
  <c r="BJ25" i="6"/>
  <c r="BH25" i="6"/>
  <c r="BF25" i="6"/>
  <c r="C25" i="6"/>
  <c r="B25" i="6"/>
  <c r="A25" i="6"/>
  <c r="BZ24" i="6"/>
  <c r="BX24" i="6"/>
  <c r="BT24" i="6"/>
  <c r="BM24" i="6"/>
  <c r="BL24" i="6"/>
  <c r="BK24" i="6"/>
  <c r="BJ24" i="6"/>
  <c r="BH24" i="6"/>
  <c r="BF24" i="6"/>
  <c r="C24" i="6"/>
  <c r="B24" i="6"/>
  <c r="A24" i="6"/>
  <c r="BX23" i="6"/>
  <c r="BT23" i="6"/>
  <c r="BP23" i="6"/>
  <c r="BN23" i="6"/>
  <c r="BO23" i="6" s="1"/>
  <c r="BM23" i="6"/>
  <c r="BL23" i="6"/>
  <c r="BK23" i="6"/>
  <c r="BJ23" i="6"/>
  <c r="BF23" i="6"/>
  <c r="BH23" i="6" s="1"/>
  <c r="C23" i="6"/>
  <c r="B23" i="6"/>
  <c r="A23" i="6"/>
  <c r="BX22" i="6"/>
  <c r="BT22" i="6"/>
  <c r="BO22" i="6"/>
  <c r="BP22" i="6" s="1"/>
  <c r="BZ22" i="6" s="1"/>
  <c r="E17" i="2" s="1"/>
  <c r="BM22" i="6"/>
  <c r="BL22" i="6"/>
  <c r="BK22" i="6"/>
  <c r="BJ22" i="6"/>
  <c r="BF22" i="6"/>
  <c r="BH22" i="6" s="1"/>
  <c r="C22" i="6"/>
  <c r="B22" i="6"/>
  <c r="A22" i="6"/>
  <c r="BX21" i="6"/>
  <c r="BT21" i="6"/>
  <c r="BM21" i="6"/>
  <c r="BL21" i="6"/>
  <c r="BK21" i="6"/>
  <c r="BJ21" i="6"/>
  <c r="BH21" i="6"/>
  <c r="BF21" i="6"/>
  <c r="BN25" i="6" s="1"/>
  <c r="BO25" i="6" s="1"/>
  <c r="BP25" i="6" s="1"/>
  <c r="BZ25" i="6" s="1"/>
  <c r="C21" i="6"/>
  <c r="B21" i="6"/>
  <c r="A21" i="6"/>
  <c r="BX20" i="6"/>
  <c r="BT20" i="6"/>
  <c r="BM20" i="6"/>
  <c r="BL20" i="6"/>
  <c r="BK20" i="6"/>
  <c r="BJ20" i="6"/>
  <c r="BF20" i="6"/>
  <c r="C20" i="6"/>
  <c r="B20" i="6"/>
  <c r="A20" i="6"/>
  <c r="BZ19" i="6"/>
  <c r="BX19" i="6"/>
  <c r="BT19" i="6"/>
  <c r="BO19" i="6"/>
  <c r="BP19" i="6" s="1"/>
  <c r="BM19" i="6"/>
  <c r="BL19" i="6"/>
  <c r="BK19" i="6"/>
  <c r="BJ19" i="6"/>
  <c r="BH19" i="6"/>
  <c r="C19" i="6"/>
  <c r="B19" i="6"/>
  <c r="A19" i="6"/>
  <c r="BX18" i="6"/>
  <c r="BT18" i="6"/>
  <c r="BO18" i="6"/>
  <c r="BP18" i="6" s="1"/>
  <c r="BZ18" i="6" s="1"/>
  <c r="BN18" i="6"/>
  <c r="BM18" i="6"/>
  <c r="BL18" i="6"/>
  <c r="BK18" i="6"/>
  <c r="BJ18" i="6"/>
  <c r="BH18" i="6"/>
  <c r="BF18" i="6"/>
  <c r="C18" i="6"/>
  <c r="B18" i="6"/>
  <c r="A18" i="6"/>
  <c r="BX17" i="6"/>
  <c r="BT17" i="6"/>
  <c r="BM17" i="6"/>
  <c r="BL17" i="6"/>
  <c r="BK17" i="6"/>
  <c r="BJ17" i="6"/>
  <c r="BF17" i="6"/>
  <c r="C17" i="6"/>
  <c r="B17" i="6"/>
  <c r="A17" i="6"/>
  <c r="BX16" i="6"/>
  <c r="BT16" i="6"/>
  <c r="BO16" i="6"/>
  <c r="BP16" i="6" s="1"/>
  <c r="BZ16" i="6" s="1"/>
  <c r="E11" i="2" s="1"/>
  <c r="BM16" i="6"/>
  <c r="BL16" i="6"/>
  <c r="BK16" i="6"/>
  <c r="BJ16" i="6"/>
  <c r="BD16" i="6"/>
  <c r="BF16" i="6" s="1"/>
  <c r="C16" i="6"/>
  <c r="B16" i="6"/>
  <c r="A16" i="6"/>
  <c r="BX15" i="6"/>
  <c r="BT15" i="6"/>
  <c r="BM15" i="6"/>
  <c r="BL15" i="6"/>
  <c r="BK15" i="6"/>
  <c r="BJ15" i="6"/>
  <c r="BH15" i="6"/>
  <c r="BF15" i="6"/>
  <c r="BN19" i="6" s="1"/>
  <c r="C15" i="6"/>
  <c r="B15" i="6"/>
  <c r="A15" i="6"/>
  <c r="BX14" i="6"/>
  <c r="BT14" i="6"/>
  <c r="BM14" i="6"/>
  <c r="BL14" i="6"/>
  <c r="BK14" i="6"/>
  <c r="BJ14" i="6"/>
  <c r="BF14" i="6"/>
  <c r="BH14" i="6" s="1"/>
  <c r="C14" i="6"/>
  <c r="B14" i="6"/>
  <c r="A14" i="6"/>
  <c r="BX13" i="6"/>
  <c r="BT13" i="6"/>
  <c r="BM13" i="6"/>
  <c r="BL13" i="6"/>
  <c r="BK13" i="6"/>
  <c r="BJ13" i="6"/>
  <c r="BH13" i="6"/>
  <c r="BD13" i="6"/>
  <c r="BF13" i="6" s="1"/>
  <c r="BN17" i="6" s="1"/>
  <c r="BO17" i="6" s="1"/>
  <c r="BP17" i="6" s="1"/>
  <c r="C13" i="6"/>
  <c r="B13" i="6"/>
  <c r="A13" i="6"/>
  <c r="BX12" i="6"/>
  <c r="BT12" i="6"/>
  <c r="BO12" i="6"/>
  <c r="BP12" i="6" s="1"/>
  <c r="BZ12" i="6" s="1"/>
  <c r="BM12" i="6"/>
  <c r="BL12" i="6"/>
  <c r="BK12" i="6"/>
  <c r="BJ12" i="6"/>
  <c r="BH12" i="6"/>
  <c r="BF12" i="6"/>
  <c r="BN16" i="6" s="1"/>
  <c r="C12" i="6"/>
  <c r="B12" i="6"/>
  <c r="A12" i="6"/>
  <c r="BX11" i="6"/>
  <c r="BT11" i="6"/>
  <c r="BP11" i="6"/>
  <c r="BN11" i="6"/>
  <c r="BO11" i="6" s="1"/>
  <c r="BM11" i="6"/>
  <c r="BL11" i="6"/>
  <c r="BK11" i="6"/>
  <c r="BJ11" i="6"/>
  <c r="BF11" i="6"/>
  <c r="C11" i="6"/>
  <c r="B11" i="6"/>
  <c r="A11" i="6"/>
  <c r="BX10" i="6"/>
  <c r="BT10" i="6"/>
  <c r="BM10" i="6"/>
  <c r="BL10" i="6"/>
  <c r="BK10" i="6"/>
  <c r="BJ10" i="6"/>
  <c r="BH10" i="6"/>
  <c r="BF10" i="6"/>
  <c r="BN14" i="6" s="1"/>
  <c r="BO14" i="6" s="1"/>
  <c r="BP14" i="6" s="1"/>
  <c r="BZ14" i="6" s="1"/>
  <c r="E9" i="2" s="1"/>
  <c r="C10" i="6"/>
  <c r="B10" i="6"/>
  <c r="A10" i="6"/>
  <c r="BX9" i="6"/>
  <c r="BT9" i="6"/>
  <c r="BM9" i="6"/>
  <c r="BL9" i="6"/>
  <c r="BK9" i="6"/>
  <c r="BJ9" i="6"/>
  <c r="BF9" i="6"/>
  <c r="C9" i="6"/>
  <c r="B9" i="6"/>
  <c r="A9" i="6"/>
  <c r="BH8" i="6"/>
  <c r="BF8" i="6"/>
  <c r="BN12" i="6" s="1"/>
  <c r="BD8" i="6"/>
  <c r="C8" i="6"/>
  <c r="B8" i="6"/>
  <c r="A8" i="6"/>
  <c r="BH7" i="6"/>
  <c r="BF7" i="6"/>
  <c r="C7" i="6"/>
  <c r="B7" i="6"/>
  <c r="A7" i="6"/>
  <c r="BF6" i="6"/>
  <c r="C6" i="6"/>
  <c r="B6" i="6"/>
  <c r="A6" i="6"/>
  <c r="BF5" i="6"/>
  <c r="C5" i="6"/>
  <c r="B5" i="6"/>
  <c r="A5" i="6"/>
  <c r="A1" i="6"/>
  <c r="BV66" i="5"/>
  <c r="BR66" i="5"/>
  <c r="BO66" i="5"/>
  <c r="BX66" i="5" s="1"/>
  <c r="H61" i="2" s="1"/>
  <c r="BN66" i="5"/>
  <c r="BM66" i="5"/>
  <c r="BK66" i="5"/>
  <c r="BJ66" i="5"/>
  <c r="BI66" i="5"/>
  <c r="BV65" i="5"/>
  <c r="BR65" i="5"/>
  <c r="BO65" i="5"/>
  <c r="BX65" i="5" s="1"/>
  <c r="H60" i="2" s="1"/>
  <c r="BM65" i="5"/>
  <c r="BN65" i="5" s="1"/>
  <c r="BL65" i="5"/>
  <c r="BK65" i="5"/>
  <c r="BJ65" i="5"/>
  <c r="BI65" i="5"/>
  <c r="BV64" i="5"/>
  <c r="BR64" i="5"/>
  <c r="BL64" i="5"/>
  <c r="BK64" i="5"/>
  <c r="BJ64" i="5"/>
  <c r="BI64" i="5"/>
  <c r="BV63" i="5"/>
  <c r="BR63" i="5"/>
  <c r="BL63" i="5"/>
  <c r="BK63" i="5"/>
  <c r="BJ63" i="5"/>
  <c r="BI63" i="5"/>
  <c r="BV62" i="5"/>
  <c r="BR62" i="5"/>
  <c r="BN62" i="5"/>
  <c r="BO62" i="5" s="1"/>
  <c r="BX62" i="5" s="1"/>
  <c r="H57" i="2" s="1"/>
  <c r="BM62" i="5"/>
  <c r="BL62" i="5"/>
  <c r="BK62" i="5"/>
  <c r="BJ62" i="5"/>
  <c r="BI62" i="5"/>
  <c r="BH62" i="5"/>
  <c r="C62" i="5"/>
  <c r="B62" i="5"/>
  <c r="BV61" i="5"/>
  <c r="BR61" i="5"/>
  <c r="BL61" i="5"/>
  <c r="BK61" i="5"/>
  <c r="BJ61" i="5"/>
  <c r="BI61" i="5"/>
  <c r="BH61" i="5"/>
  <c r="C61" i="5"/>
  <c r="B61" i="5"/>
  <c r="BV60" i="5"/>
  <c r="BR60" i="5"/>
  <c r="BL60" i="5"/>
  <c r="BK60" i="5"/>
  <c r="BJ60" i="5"/>
  <c r="BI60" i="5"/>
  <c r="BH60" i="5"/>
  <c r="BF60" i="5"/>
  <c r="BM64" i="5" s="1"/>
  <c r="BN64" i="5" s="1"/>
  <c r="BO64" i="5" s="1"/>
  <c r="BX64" i="5" s="1"/>
  <c r="C60" i="5"/>
  <c r="B60" i="5"/>
  <c r="BV59" i="5"/>
  <c r="BR59" i="5"/>
  <c r="BL59" i="5"/>
  <c r="BK59" i="5"/>
  <c r="BJ59" i="5"/>
  <c r="BI59" i="5"/>
  <c r="BF59" i="5"/>
  <c r="BH59" i="5" s="1"/>
  <c r="C59" i="5"/>
  <c r="B59" i="5"/>
  <c r="BV58" i="5"/>
  <c r="BR58" i="5"/>
  <c r="BO58" i="5"/>
  <c r="BX58" i="5" s="1"/>
  <c r="BL58" i="5"/>
  <c r="BK58" i="5"/>
  <c r="BJ58" i="5"/>
  <c r="BI58" i="5"/>
  <c r="BF58" i="5"/>
  <c r="BH58" i="5" s="1"/>
  <c r="C58" i="5"/>
  <c r="B58" i="5"/>
  <c r="BV57" i="5"/>
  <c r="BR57" i="5"/>
  <c r="BL57" i="5"/>
  <c r="BK57" i="5"/>
  <c r="BJ57" i="5"/>
  <c r="BI57" i="5"/>
  <c r="BF57" i="5"/>
  <c r="C57" i="5"/>
  <c r="B57" i="5"/>
  <c r="BV56" i="5"/>
  <c r="BR56" i="5"/>
  <c r="BL56" i="5"/>
  <c r="BK56" i="5"/>
  <c r="BJ56" i="5"/>
  <c r="BI56" i="5"/>
  <c r="BF56" i="5"/>
  <c r="BH56" i="5" s="1"/>
  <c r="C56" i="5"/>
  <c r="B56" i="5"/>
  <c r="BV55" i="5"/>
  <c r="BR55" i="5"/>
  <c r="BM55" i="5"/>
  <c r="BN55" i="5" s="1"/>
  <c r="BO55" i="5" s="1"/>
  <c r="BL55" i="5"/>
  <c r="BK55" i="5"/>
  <c r="BJ55" i="5"/>
  <c r="BI55" i="5"/>
  <c r="BF55" i="5"/>
  <c r="BH55" i="5" s="1"/>
  <c r="C55" i="5"/>
  <c r="B55" i="5"/>
  <c r="BV54" i="5"/>
  <c r="BR54" i="5"/>
  <c r="BL54" i="5"/>
  <c r="BK54" i="5"/>
  <c r="BJ54" i="5"/>
  <c r="BI54" i="5"/>
  <c r="BH54" i="5"/>
  <c r="BF54" i="5"/>
  <c r="BM58" i="5" s="1"/>
  <c r="BN58" i="5" s="1"/>
  <c r="C54" i="5"/>
  <c r="B54" i="5"/>
  <c r="BV53" i="5"/>
  <c r="BR53" i="5"/>
  <c r="BL53" i="5"/>
  <c r="BK53" i="5"/>
  <c r="BJ53" i="5"/>
  <c r="BI53" i="5"/>
  <c r="BF53" i="5"/>
  <c r="BH53" i="5" s="1"/>
  <c r="C53" i="5"/>
  <c r="B53" i="5"/>
  <c r="BV52" i="5"/>
  <c r="BR52" i="5"/>
  <c r="BL52" i="5"/>
  <c r="BK52" i="5"/>
  <c r="BJ52" i="5"/>
  <c r="BI52" i="5"/>
  <c r="BH52" i="5"/>
  <c r="BF52" i="5"/>
  <c r="BM56" i="5" s="1"/>
  <c r="BN56" i="5" s="1"/>
  <c r="BO56" i="5" s="1"/>
  <c r="BX56" i="5" s="1"/>
  <c r="C52" i="5"/>
  <c r="B52" i="5"/>
  <c r="BV51" i="5"/>
  <c r="BR51" i="5"/>
  <c r="BL51" i="5"/>
  <c r="BK51" i="5"/>
  <c r="BJ51" i="5"/>
  <c r="BI51" i="5"/>
  <c r="BF51" i="5"/>
  <c r="BH51" i="5" s="1"/>
  <c r="C51" i="5"/>
  <c r="B51" i="5"/>
  <c r="BV50" i="5"/>
  <c r="BR50" i="5"/>
  <c r="BL50" i="5"/>
  <c r="BK50" i="5"/>
  <c r="BJ50" i="5"/>
  <c r="BI50" i="5"/>
  <c r="BH50" i="5"/>
  <c r="BF50" i="5"/>
  <c r="BM54" i="5" s="1"/>
  <c r="BN54" i="5" s="1"/>
  <c r="BO54" i="5" s="1"/>
  <c r="BX54" i="5" s="1"/>
  <c r="C50" i="5"/>
  <c r="B50" i="5"/>
  <c r="BV49" i="5"/>
  <c r="BR49" i="5"/>
  <c r="BM49" i="5"/>
  <c r="BN49" i="5" s="1"/>
  <c r="BO49" i="5" s="1"/>
  <c r="BX49" i="5" s="1"/>
  <c r="BL49" i="5"/>
  <c r="BK49" i="5"/>
  <c r="BJ49" i="5"/>
  <c r="BI49" i="5"/>
  <c r="BF49" i="5"/>
  <c r="C49" i="5"/>
  <c r="B49" i="5"/>
  <c r="BV48" i="5"/>
  <c r="BR48" i="5"/>
  <c r="BL48" i="5"/>
  <c r="BK48" i="5"/>
  <c r="BJ48" i="5"/>
  <c r="BI48" i="5"/>
  <c r="BF48" i="5"/>
  <c r="C48" i="5"/>
  <c r="B48" i="5"/>
  <c r="A48" i="5"/>
  <c r="BX47" i="5"/>
  <c r="BV47" i="5"/>
  <c r="BR47" i="5"/>
  <c r="BN47" i="5"/>
  <c r="BO47" i="5" s="1"/>
  <c r="BL47" i="5"/>
  <c r="BK47" i="5"/>
  <c r="BJ47" i="5"/>
  <c r="BI47" i="5"/>
  <c r="BH47" i="5"/>
  <c r="BF47" i="5"/>
  <c r="BM51" i="5" s="1"/>
  <c r="BN51" i="5" s="1"/>
  <c r="BO51" i="5" s="1"/>
  <c r="BX51" i="5" s="1"/>
  <c r="C47" i="5"/>
  <c r="B47" i="5"/>
  <c r="A47" i="5"/>
  <c r="BV46" i="5"/>
  <c r="BR46" i="5"/>
  <c r="BL46" i="5"/>
  <c r="BK46" i="5"/>
  <c r="BJ46" i="5"/>
  <c r="BI46" i="5"/>
  <c r="BF46" i="5"/>
  <c r="C46" i="5"/>
  <c r="B46" i="5"/>
  <c r="A46" i="5"/>
  <c r="BX45" i="5"/>
  <c r="BV45" i="5"/>
  <c r="BR45" i="5"/>
  <c r="BM45" i="5"/>
  <c r="BN45" i="5" s="1"/>
  <c r="BO45" i="5" s="1"/>
  <c r="BL45" i="5"/>
  <c r="BK45" i="5"/>
  <c r="BJ45" i="5"/>
  <c r="BI45" i="5"/>
  <c r="BH45" i="5"/>
  <c r="BF45" i="5"/>
  <c r="C45" i="5"/>
  <c r="B45" i="5"/>
  <c r="A45" i="5"/>
  <c r="BV44" i="5"/>
  <c r="BR44" i="5"/>
  <c r="BO44" i="5"/>
  <c r="BX44" i="5" s="1"/>
  <c r="BM44" i="5"/>
  <c r="BN44" i="5" s="1"/>
  <c r="BL44" i="5"/>
  <c r="BK44" i="5"/>
  <c r="BJ44" i="5"/>
  <c r="BI44" i="5"/>
  <c r="BF44" i="5"/>
  <c r="BM48" i="5" s="1"/>
  <c r="BN48" i="5" s="1"/>
  <c r="BO48" i="5" s="1"/>
  <c r="BX48" i="5" s="1"/>
  <c r="C44" i="5"/>
  <c r="B44" i="5"/>
  <c r="A44" i="5"/>
  <c r="BV43" i="5"/>
  <c r="BR43" i="5"/>
  <c r="BL43" i="5"/>
  <c r="BK43" i="5"/>
  <c r="BJ43" i="5"/>
  <c r="BI43" i="5"/>
  <c r="BH43" i="5"/>
  <c r="BF43" i="5"/>
  <c r="BM47" i="5" s="1"/>
  <c r="C43" i="5"/>
  <c r="B43" i="5"/>
  <c r="A43" i="5"/>
  <c r="BV42" i="5"/>
  <c r="BR42" i="5"/>
  <c r="BL42" i="5"/>
  <c r="BK42" i="5"/>
  <c r="BJ42" i="5"/>
  <c r="BI42" i="5"/>
  <c r="BF42" i="5"/>
  <c r="BH42" i="5" s="1"/>
  <c r="C42" i="5"/>
  <c r="B42" i="5"/>
  <c r="A42" i="5"/>
  <c r="BV41" i="5"/>
  <c r="BR41" i="5"/>
  <c r="BM41" i="5"/>
  <c r="BL41" i="5"/>
  <c r="BN41" i="5" s="1"/>
  <c r="BO41" i="5" s="1"/>
  <c r="BK41" i="5"/>
  <c r="BJ41" i="5"/>
  <c r="BI41" i="5"/>
  <c r="BH41" i="5"/>
  <c r="BF41" i="5"/>
  <c r="C41" i="5"/>
  <c r="B41" i="5"/>
  <c r="A41" i="5"/>
  <c r="BV40" i="5"/>
  <c r="BR40" i="5"/>
  <c r="BM40" i="5"/>
  <c r="BN40" i="5" s="1"/>
  <c r="BO40" i="5" s="1"/>
  <c r="BX40" i="5" s="1"/>
  <c r="BL40" i="5"/>
  <c r="BK40" i="5"/>
  <c r="BJ40" i="5"/>
  <c r="BI40" i="5"/>
  <c r="BH40" i="5"/>
  <c r="BF40" i="5"/>
  <c r="C40" i="5"/>
  <c r="B40" i="5"/>
  <c r="A40" i="5"/>
  <c r="BV39" i="5"/>
  <c r="BR39" i="5"/>
  <c r="BL39" i="5"/>
  <c r="BK39" i="5"/>
  <c r="BJ39" i="5"/>
  <c r="BI39" i="5"/>
  <c r="BF39" i="5"/>
  <c r="C39" i="5"/>
  <c r="B39" i="5"/>
  <c r="A39" i="5"/>
  <c r="BV38" i="5"/>
  <c r="BR38" i="5"/>
  <c r="BL38" i="5"/>
  <c r="BK38" i="5"/>
  <c r="BJ38" i="5"/>
  <c r="BI38" i="5"/>
  <c r="BF38" i="5"/>
  <c r="BH38" i="5" s="1"/>
  <c r="C38" i="5"/>
  <c r="B38" i="5"/>
  <c r="A38" i="5"/>
  <c r="BV37" i="5"/>
  <c r="BR37" i="5"/>
  <c r="BN37" i="5"/>
  <c r="BO37" i="5" s="1"/>
  <c r="BM37" i="5"/>
  <c r="BL37" i="5"/>
  <c r="BK37" i="5"/>
  <c r="BJ37" i="5"/>
  <c r="BI37" i="5"/>
  <c r="BH37" i="5"/>
  <c r="BF37" i="5"/>
  <c r="C37" i="5"/>
  <c r="B37" i="5"/>
  <c r="A37" i="5"/>
  <c r="BV36" i="5"/>
  <c r="BR36" i="5"/>
  <c r="BL36" i="5"/>
  <c r="BK36" i="5"/>
  <c r="BJ36" i="5"/>
  <c r="BI36" i="5"/>
  <c r="BF36" i="5"/>
  <c r="BH36" i="5" s="1"/>
  <c r="C36" i="5"/>
  <c r="B36" i="5"/>
  <c r="A36" i="5"/>
  <c r="BV35" i="5"/>
  <c r="BR35" i="5"/>
  <c r="BN35" i="5"/>
  <c r="BO35" i="5" s="1"/>
  <c r="BX35" i="5" s="1"/>
  <c r="BL35" i="5"/>
  <c r="BK35" i="5"/>
  <c r="BJ35" i="5"/>
  <c r="BI35" i="5"/>
  <c r="BF35" i="5"/>
  <c r="BM39" i="5" s="1"/>
  <c r="BN39" i="5" s="1"/>
  <c r="BO39" i="5" s="1"/>
  <c r="BX39" i="5" s="1"/>
  <c r="H34" i="2" s="1"/>
  <c r="C35" i="5"/>
  <c r="B35" i="5"/>
  <c r="A35" i="5"/>
  <c r="BV34" i="5"/>
  <c r="BR34" i="5"/>
  <c r="BL34" i="5"/>
  <c r="BK34" i="5"/>
  <c r="BJ34" i="5"/>
  <c r="BI34" i="5"/>
  <c r="BF34" i="5"/>
  <c r="BH34" i="5" s="1"/>
  <c r="C34" i="5"/>
  <c r="B34" i="5"/>
  <c r="A34" i="5"/>
  <c r="BV33" i="5"/>
  <c r="BR33" i="5"/>
  <c r="BM33" i="5"/>
  <c r="BN33" i="5" s="1"/>
  <c r="BO33" i="5" s="1"/>
  <c r="BX33" i="5" s="1"/>
  <c r="H28" i="2" s="1"/>
  <c r="BL33" i="5"/>
  <c r="BK33" i="5"/>
  <c r="BJ33" i="5"/>
  <c r="BI33" i="5"/>
  <c r="BH33" i="5"/>
  <c r="BF33" i="5"/>
  <c r="C33" i="5"/>
  <c r="B33" i="5"/>
  <c r="A33" i="5"/>
  <c r="BV32" i="5"/>
  <c r="BR32" i="5"/>
  <c r="BL32" i="5"/>
  <c r="BK32" i="5"/>
  <c r="BJ32" i="5"/>
  <c r="BI32" i="5"/>
  <c r="BF32" i="5"/>
  <c r="C32" i="5"/>
  <c r="B32" i="5"/>
  <c r="A32" i="5"/>
  <c r="BV31" i="5"/>
  <c r="BR31" i="5"/>
  <c r="BL31" i="5"/>
  <c r="BK31" i="5"/>
  <c r="BJ31" i="5"/>
  <c r="BI31" i="5"/>
  <c r="BH31" i="5"/>
  <c r="BF31" i="5"/>
  <c r="BM35" i="5" s="1"/>
  <c r="C31" i="5"/>
  <c r="B31" i="5"/>
  <c r="A31" i="5"/>
  <c r="BV30" i="5"/>
  <c r="BR30" i="5"/>
  <c r="BL30" i="5"/>
  <c r="BK30" i="5"/>
  <c r="BJ30" i="5"/>
  <c r="BI30" i="5"/>
  <c r="BF30" i="5"/>
  <c r="C30" i="5"/>
  <c r="B30" i="5"/>
  <c r="A30" i="5"/>
  <c r="BV29" i="5"/>
  <c r="BR29" i="5"/>
  <c r="BM29" i="5"/>
  <c r="BL29" i="5"/>
  <c r="BK29" i="5"/>
  <c r="BJ29" i="5"/>
  <c r="BI29" i="5"/>
  <c r="BH29" i="5"/>
  <c r="BF29" i="5"/>
  <c r="C29" i="5"/>
  <c r="B29" i="5"/>
  <c r="A29" i="5"/>
  <c r="BV28" i="5"/>
  <c r="BR28" i="5"/>
  <c r="BM28" i="5"/>
  <c r="BN28" i="5" s="1"/>
  <c r="BO28" i="5" s="1"/>
  <c r="BX28" i="5" s="1"/>
  <c r="BL28" i="5"/>
  <c r="BK28" i="5"/>
  <c r="BJ28" i="5"/>
  <c r="BI28" i="5"/>
  <c r="BF28" i="5"/>
  <c r="BM32" i="5" s="1"/>
  <c r="BN32" i="5" s="1"/>
  <c r="BO32" i="5" s="1"/>
  <c r="BX32" i="5" s="1"/>
  <c r="C28" i="5"/>
  <c r="B28" i="5"/>
  <c r="A28" i="5"/>
  <c r="BV27" i="5"/>
  <c r="BR27" i="5"/>
  <c r="BL27" i="5"/>
  <c r="BK27" i="5"/>
  <c r="BJ27" i="5"/>
  <c r="BI27" i="5"/>
  <c r="BF27" i="5"/>
  <c r="C27" i="5"/>
  <c r="B27" i="5"/>
  <c r="A27" i="5"/>
  <c r="BV26" i="5"/>
  <c r="BR26" i="5"/>
  <c r="BL26" i="5"/>
  <c r="BK26" i="5"/>
  <c r="BJ26" i="5"/>
  <c r="BI26" i="5"/>
  <c r="BF26" i="5"/>
  <c r="BH26" i="5" s="1"/>
  <c r="C26" i="5"/>
  <c r="B26" i="5"/>
  <c r="A26" i="5"/>
  <c r="BV25" i="5"/>
  <c r="BR25" i="5"/>
  <c r="BM25" i="5"/>
  <c r="BL25" i="5"/>
  <c r="BN25" i="5" s="1"/>
  <c r="BO25" i="5" s="1"/>
  <c r="BX25" i="5" s="1"/>
  <c r="BK25" i="5"/>
  <c r="BJ25" i="5"/>
  <c r="BI25" i="5"/>
  <c r="BH25" i="5"/>
  <c r="BF25" i="5"/>
  <c r="C25" i="5"/>
  <c r="B25" i="5"/>
  <c r="A25" i="5"/>
  <c r="BV24" i="5"/>
  <c r="BR24" i="5"/>
  <c r="BL24" i="5"/>
  <c r="BK24" i="5"/>
  <c r="BJ24" i="5"/>
  <c r="BI24" i="5"/>
  <c r="BH24" i="5"/>
  <c r="BF24" i="5"/>
  <c r="C24" i="5"/>
  <c r="B24" i="5"/>
  <c r="A24" i="5"/>
  <c r="BV23" i="5"/>
  <c r="BR23" i="5"/>
  <c r="BO23" i="5"/>
  <c r="BX23" i="5" s="1"/>
  <c r="BL23" i="5"/>
  <c r="BK23" i="5"/>
  <c r="BJ23" i="5"/>
  <c r="BI23" i="5"/>
  <c r="BF23" i="5"/>
  <c r="C23" i="5"/>
  <c r="B23" i="5"/>
  <c r="A23" i="5"/>
  <c r="BV22" i="5"/>
  <c r="BR22" i="5"/>
  <c r="BM22" i="5"/>
  <c r="BN22" i="5" s="1"/>
  <c r="BO22" i="5" s="1"/>
  <c r="BX22" i="5" s="1"/>
  <c r="H17" i="2" s="1"/>
  <c r="BL22" i="5"/>
  <c r="BK22" i="5"/>
  <c r="BJ22" i="5"/>
  <c r="BI22" i="5"/>
  <c r="BF22" i="5"/>
  <c r="BH22" i="5" s="1"/>
  <c r="C22" i="5"/>
  <c r="B22" i="5"/>
  <c r="A22" i="5"/>
  <c r="BV21" i="5"/>
  <c r="BR21" i="5"/>
  <c r="BN21" i="5"/>
  <c r="BO21" i="5" s="1"/>
  <c r="BX21" i="5" s="1"/>
  <c r="BM21" i="5"/>
  <c r="BL21" i="5"/>
  <c r="BK21" i="5"/>
  <c r="BJ21" i="5"/>
  <c r="BI21" i="5"/>
  <c r="BH21" i="5"/>
  <c r="BF21" i="5"/>
  <c r="C21" i="5"/>
  <c r="B21" i="5"/>
  <c r="A21" i="5"/>
  <c r="BV20" i="5"/>
  <c r="BR20" i="5"/>
  <c r="BL20" i="5"/>
  <c r="BK20" i="5"/>
  <c r="BJ20" i="5"/>
  <c r="BI20" i="5"/>
  <c r="BH20" i="5"/>
  <c r="BF20" i="5"/>
  <c r="BM24" i="5" s="1"/>
  <c r="BN24" i="5" s="1"/>
  <c r="BO24" i="5" s="1"/>
  <c r="BX24" i="5" s="1"/>
  <c r="C20" i="5"/>
  <c r="B20" i="5"/>
  <c r="A20" i="5"/>
  <c r="BV19" i="5"/>
  <c r="BR19" i="5"/>
  <c r="BO19" i="5"/>
  <c r="BX19" i="5" s="1"/>
  <c r="H14" i="2" s="1"/>
  <c r="BN19" i="5"/>
  <c r="BL19" i="5"/>
  <c r="BK19" i="5"/>
  <c r="BJ19" i="5"/>
  <c r="BI19" i="5"/>
  <c r="BF19" i="5"/>
  <c r="BM23" i="5" s="1"/>
  <c r="BN23" i="5" s="1"/>
  <c r="C19" i="5"/>
  <c r="B19" i="5"/>
  <c r="A19" i="5"/>
  <c r="BV18" i="5"/>
  <c r="BR18" i="5"/>
  <c r="BM18" i="5"/>
  <c r="BN18" i="5" s="1"/>
  <c r="BO18" i="5" s="1"/>
  <c r="BX18" i="5" s="1"/>
  <c r="H13" i="2" s="1"/>
  <c r="BL18" i="5"/>
  <c r="BK18" i="5"/>
  <c r="BJ18" i="5"/>
  <c r="BI18" i="5"/>
  <c r="BF18" i="5"/>
  <c r="BH18" i="5" s="1"/>
  <c r="C18" i="5"/>
  <c r="B18" i="5"/>
  <c r="A18" i="5"/>
  <c r="BV17" i="5"/>
  <c r="BR17" i="5"/>
  <c r="BN17" i="5"/>
  <c r="BO17" i="5" s="1"/>
  <c r="BX17" i="5" s="1"/>
  <c r="BM17" i="5"/>
  <c r="BL17" i="5"/>
  <c r="BK17" i="5"/>
  <c r="BJ17" i="5"/>
  <c r="BI17" i="5"/>
  <c r="BH17" i="5"/>
  <c r="BF17" i="5"/>
  <c r="C17" i="5"/>
  <c r="B17" i="5"/>
  <c r="A17" i="5"/>
  <c r="BV16" i="5"/>
  <c r="BR16" i="5"/>
  <c r="BO16" i="5"/>
  <c r="BL16" i="5"/>
  <c r="BK16" i="5"/>
  <c r="BJ16" i="5"/>
  <c r="BI16" i="5"/>
  <c r="BF16" i="5"/>
  <c r="C16" i="5"/>
  <c r="B16" i="5"/>
  <c r="A16" i="5"/>
  <c r="BV15" i="5"/>
  <c r="BR15" i="5"/>
  <c r="BN15" i="5"/>
  <c r="BO15" i="5" s="1"/>
  <c r="BX15" i="5" s="1"/>
  <c r="BL15" i="5"/>
  <c r="BK15" i="5"/>
  <c r="BJ15" i="5"/>
  <c r="BI15" i="5"/>
  <c r="BH15" i="5"/>
  <c r="BF15" i="5"/>
  <c r="BM19" i="5" s="1"/>
  <c r="C15" i="5"/>
  <c r="B15" i="5"/>
  <c r="A15" i="5"/>
  <c r="BV14" i="5"/>
  <c r="BR14" i="5"/>
  <c r="BL14" i="5"/>
  <c r="BK14" i="5"/>
  <c r="BJ14" i="5"/>
  <c r="BI14" i="5"/>
  <c r="BF14" i="5"/>
  <c r="BH14" i="5" s="1"/>
  <c r="C14" i="5"/>
  <c r="B14" i="5"/>
  <c r="A14" i="5"/>
  <c r="BV13" i="5"/>
  <c r="BR13" i="5"/>
  <c r="BM13" i="5"/>
  <c r="BN13" i="5" s="1"/>
  <c r="BO13" i="5" s="1"/>
  <c r="BX13" i="5" s="1"/>
  <c r="H8" i="2" s="1"/>
  <c r="BL13" i="5"/>
  <c r="BK13" i="5"/>
  <c r="BJ13" i="5"/>
  <c r="BI13" i="5"/>
  <c r="BH13" i="5"/>
  <c r="BF13" i="5"/>
  <c r="C13" i="5"/>
  <c r="B13" i="5"/>
  <c r="A13" i="5"/>
  <c r="BV12" i="5"/>
  <c r="BR12" i="5"/>
  <c r="BL12" i="5"/>
  <c r="BK12" i="5"/>
  <c r="BJ12" i="5"/>
  <c r="BI12" i="5"/>
  <c r="BF12" i="5"/>
  <c r="BM16" i="5" s="1"/>
  <c r="BN16" i="5" s="1"/>
  <c r="C12" i="5"/>
  <c r="B12" i="5"/>
  <c r="A12" i="5"/>
  <c r="BV11" i="5"/>
  <c r="BR11" i="5"/>
  <c r="BL11" i="5"/>
  <c r="BK11" i="5"/>
  <c r="BJ11" i="5"/>
  <c r="BI11" i="5"/>
  <c r="BH11" i="5"/>
  <c r="BF11" i="5"/>
  <c r="BM15" i="5" s="1"/>
  <c r="C11" i="5"/>
  <c r="B11" i="5"/>
  <c r="A11" i="5"/>
  <c r="BV10" i="5"/>
  <c r="BR10" i="5"/>
  <c r="BL10" i="5"/>
  <c r="BK10" i="5"/>
  <c r="BJ10" i="5"/>
  <c r="BI10" i="5"/>
  <c r="BF10" i="5"/>
  <c r="BH10" i="5" s="1"/>
  <c r="C10" i="5"/>
  <c r="B10" i="5"/>
  <c r="A10" i="5"/>
  <c r="BV9" i="5"/>
  <c r="BR9" i="5"/>
  <c r="BM9" i="5"/>
  <c r="BN9" i="5" s="1"/>
  <c r="BO9" i="5" s="1"/>
  <c r="BL9" i="5"/>
  <c r="BK9" i="5"/>
  <c r="BJ9" i="5"/>
  <c r="BI9" i="5"/>
  <c r="BH9" i="5"/>
  <c r="BF9" i="5"/>
  <c r="C9" i="5"/>
  <c r="B9" i="5"/>
  <c r="A9" i="5"/>
  <c r="BF8" i="5"/>
  <c r="BH8" i="5" s="1"/>
  <c r="C8" i="5"/>
  <c r="B8" i="5"/>
  <c r="A8" i="5"/>
  <c r="BH7" i="5"/>
  <c r="BF7" i="5"/>
  <c r="BM11" i="5" s="1"/>
  <c r="BN11" i="5" s="1"/>
  <c r="BO11" i="5" s="1"/>
  <c r="BX11" i="5" s="1"/>
  <c r="C7" i="5"/>
  <c r="B7" i="5"/>
  <c r="A7" i="5"/>
  <c r="BH6" i="5"/>
  <c r="BF6" i="5"/>
  <c r="BM10" i="5" s="1"/>
  <c r="BN10" i="5" s="1"/>
  <c r="BO10" i="5" s="1"/>
  <c r="BX10" i="5" s="1"/>
  <c r="C6" i="5"/>
  <c r="B6" i="5"/>
  <c r="A6" i="5"/>
  <c r="BH5" i="5"/>
  <c r="BF5" i="5"/>
  <c r="C5" i="5"/>
  <c r="B5" i="5"/>
  <c r="A5" i="5"/>
  <c r="A1" i="5"/>
  <c r="BW66" i="4"/>
  <c r="BS66" i="4"/>
  <c r="BM66" i="4"/>
  <c r="BW65" i="4"/>
  <c r="BS65" i="4"/>
  <c r="BM65" i="4"/>
  <c r="BW64" i="4"/>
  <c r="BS64" i="4"/>
  <c r="BO64" i="4"/>
  <c r="BP64" i="4" s="1"/>
  <c r="BX64" i="4" s="1"/>
  <c r="BM64" i="4"/>
  <c r="BL64" i="4"/>
  <c r="BK64" i="4"/>
  <c r="BW63" i="4"/>
  <c r="BS63" i="4"/>
  <c r="BN63" i="4"/>
  <c r="BM63" i="4"/>
  <c r="BL63" i="4"/>
  <c r="BK63" i="4"/>
  <c r="BW62" i="4"/>
  <c r="BS62" i="4"/>
  <c r="BM62" i="4"/>
  <c r="BL62" i="4"/>
  <c r="BK62" i="4"/>
  <c r="BF62" i="4"/>
  <c r="BH62" i="4" s="1"/>
  <c r="C62" i="4"/>
  <c r="BW61" i="4"/>
  <c r="BS61" i="4"/>
  <c r="BO61" i="4"/>
  <c r="BP61" i="4" s="1"/>
  <c r="BX61" i="4" s="1"/>
  <c r="BM61" i="4"/>
  <c r="BL61" i="4"/>
  <c r="BK61" i="4"/>
  <c r="BF61" i="4"/>
  <c r="BN65" i="4" s="1"/>
  <c r="BO65" i="4" s="1"/>
  <c r="BP65" i="4" s="1"/>
  <c r="BX65" i="4" s="1"/>
  <c r="C61" i="4"/>
  <c r="BW60" i="4"/>
  <c r="BS60" i="4"/>
  <c r="BO60" i="4"/>
  <c r="BP60" i="4" s="1"/>
  <c r="BX60" i="4" s="1"/>
  <c r="BM60" i="4"/>
  <c r="BL60" i="4"/>
  <c r="BK60" i="4"/>
  <c r="BH60" i="4"/>
  <c r="BF60" i="4"/>
  <c r="BN64" i="4" s="1"/>
  <c r="C60" i="4"/>
  <c r="B60" i="4"/>
  <c r="BW59" i="4"/>
  <c r="BS59" i="4"/>
  <c r="BP59" i="4"/>
  <c r="BX59" i="4" s="1"/>
  <c r="BO59" i="4"/>
  <c r="BN59" i="4"/>
  <c r="BM59" i="4"/>
  <c r="BL59" i="4"/>
  <c r="BK59" i="4"/>
  <c r="BH59" i="4"/>
  <c r="BF59" i="4"/>
  <c r="C59" i="4"/>
  <c r="B59" i="4"/>
  <c r="BW58" i="4"/>
  <c r="BS58" i="4"/>
  <c r="BM58" i="4"/>
  <c r="BL58" i="4"/>
  <c r="BK58" i="4"/>
  <c r="BF58" i="4"/>
  <c r="BH58" i="4" s="1"/>
  <c r="C58" i="4"/>
  <c r="B58" i="4"/>
  <c r="BW57" i="4"/>
  <c r="BS57" i="4"/>
  <c r="BM57" i="4"/>
  <c r="BL57" i="4"/>
  <c r="BK57" i="4"/>
  <c r="BH57" i="4"/>
  <c r="BF57" i="4"/>
  <c r="BN61" i="4" s="1"/>
  <c r="C57" i="4"/>
  <c r="B57" i="4"/>
  <c r="BW56" i="4"/>
  <c r="BS56" i="4"/>
  <c r="BN56" i="4"/>
  <c r="BO56" i="4" s="1"/>
  <c r="BP56" i="4" s="1"/>
  <c r="BX56" i="4" s="1"/>
  <c r="BM56" i="4"/>
  <c r="BL56" i="4"/>
  <c r="BK56" i="4"/>
  <c r="BH56" i="4"/>
  <c r="BF56" i="4"/>
  <c r="BN60" i="4" s="1"/>
  <c r="C56" i="4"/>
  <c r="B56" i="4"/>
  <c r="BW55" i="4"/>
  <c r="BS55" i="4"/>
  <c r="BN55" i="4"/>
  <c r="BO55" i="4" s="1"/>
  <c r="BP55" i="4" s="1"/>
  <c r="BX55" i="4" s="1"/>
  <c r="D50" i="2" s="1"/>
  <c r="BM55" i="4"/>
  <c r="BL55" i="4"/>
  <c r="BK55" i="4"/>
  <c r="BH55" i="4"/>
  <c r="BF55" i="4"/>
  <c r="C55" i="4"/>
  <c r="B55" i="4"/>
  <c r="BX54" i="4"/>
  <c r="BW54" i="4"/>
  <c r="BS54" i="4"/>
  <c r="BO54" i="4"/>
  <c r="BP54" i="4" s="1"/>
  <c r="BM54" i="4"/>
  <c r="BL54" i="4"/>
  <c r="BK54" i="4"/>
  <c r="BF54" i="4"/>
  <c r="C54" i="4"/>
  <c r="B54" i="4"/>
  <c r="BW53" i="4"/>
  <c r="BS53" i="4"/>
  <c r="BM53" i="4"/>
  <c r="BL53" i="4"/>
  <c r="BK53" i="4"/>
  <c r="BF53" i="4"/>
  <c r="C53" i="4"/>
  <c r="B53" i="4"/>
  <c r="BW52" i="4"/>
  <c r="BS52" i="4"/>
  <c r="BN52" i="4"/>
  <c r="BO52" i="4" s="1"/>
  <c r="BP52" i="4" s="1"/>
  <c r="BM52" i="4"/>
  <c r="BL52" i="4"/>
  <c r="BK52" i="4"/>
  <c r="BJ52" i="4"/>
  <c r="BH52" i="4"/>
  <c r="BF52" i="4"/>
  <c r="C52" i="4"/>
  <c r="B52" i="4"/>
  <c r="BW51" i="4"/>
  <c r="BS51" i="4"/>
  <c r="BO51" i="4"/>
  <c r="BP51" i="4" s="1"/>
  <c r="BX51" i="4" s="1"/>
  <c r="BM51" i="4"/>
  <c r="BL51" i="4"/>
  <c r="BK51" i="4"/>
  <c r="BJ51" i="4"/>
  <c r="BH51" i="4"/>
  <c r="BF51" i="4"/>
  <c r="C51" i="4"/>
  <c r="B51" i="4"/>
  <c r="BW50" i="4"/>
  <c r="BS50" i="4"/>
  <c r="BM50" i="4"/>
  <c r="BL50" i="4"/>
  <c r="BK50" i="4"/>
  <c r="BJ50" i="4"/>
  <c r="BH50" i="4"/>
  <c r="BF50" i="4"/>
  <c r="BN54" i="4" s="1"/>
  <c r="C50" i="4"/>
  <c r="B50" i="4"/>
  <c r="BW49" i="4"/>
  <c r="BS49" i="4"/>
  <c r="BM49" i="4"/>
  <c r="BL49" i="4"/>
  <c r="BK49" i="4"/>
  <c r="BJ49" i="4"/>
  <c r="BF49" i="4"/>
  <c r="C49" i="4"/>
  <c r="B49" i="4"/>
  <c r="BW48" i="4"/>
  <c r="BS48" i="4"/>
  <c r="BN48" i="4"/>
  <c r="BM48" i="4"/>
  <c r="BL48" i="4"/>
  <c r="BK48" i="4"/>
  <c r="BJ48" i="4"/>
  <c r="BH48" i="4"/>
  <c r="BF48" i="4"/>
  <c r="C48" i="4"/>
  <c r="B48" i="4"/>
  <c r="A48" i="4"/>
  <c r="BW47" i="4"/>
  <c r="BS47" i="4"/>
  <c r="BM47" i="4"/>
  <c r="BL47" i="4"/>
  <c r="BK47" i="4"/>
  <c r="BJ47" i="4"/>
  <c r="BH47" i="4"/>
  <c r="BF47" i="4"/>
  <c r="BN51" i="4" s="1"/>
  <c r="C47" i="4"/>
  <c r="B47" i="4"/>
  <c r="A47" i="4"/>
  <c r="BW46" i="4"/>
  <c r="BS46" i="4"/>
  <c r="BP46" i="4"/>
  <c r="BX46" i="4" s="1"/>
  <c r="BM46" i="4"/>
  <c r="BL46" i="4"/>
  <c r="BK46" i="4"/>
  <c r="BJ46" i="4"/>
  <c r="BF46" i="4"/>
  <c r="D45" i="1" s="1"/>
  <c r="C46" i="4"/>
  <c r="B46" i="4"/>
  <c r="A46" i="4"/>
  <c r="BW45" i="4"/>
  <c r="BS45" i="4"/>
  <c r="BN45" i="4"/>
  <c r="BO45" i="4" s="1"/>
  <c r="BP45" i="4" s="1"/>
  <c r="BX45" i="4" s="1"/>
  <c r="D40" i="2" s="1"/>
  <c r="BM45" i="4"/>
  <c r="BL45" i="4"/>
  <c r="BK45" i="4"/>
  <c r="BJ45" i="4"/>
  <c r="BF45" i="4"/>
  <c r="C45" i="4"/>
  <c r="B45" i="4"/>
  <c r="A45" i="4"/>
  <c r="BW44" i="4"/>
  <c r="BS44" i="4"/>
  <c r="BO44" i="4"/>
  <c r="BP44" i="4" s="1"/>
  <c r="BX44" i="4" s="1"/>
  <c r="BN44" i="4"/>
  <c r="BM44" i="4"/>
  <c r="BL44" i="4"/>
  <c r="BK44" i="4"/>
  <c r="BJ44" i="4"/>
  <c r="BH44" i="4"/>
  <c r="BF44" i="4"/>
  <c r="C44" i="4"/>
  <c r="B44" i="4"/>
  <c r="A44" i="4"/>
  <c r="BW43" i="4"/>
  <c r="BS43" i="4"/>
  <c r="BM43" i="4"/>
  <c r="BL43" i="4"/>
  <c r="BK43" i="4"/>
  <c r="BJ43" i="4"/>
  <c r="BH43" i="4"/>
  <c r="BF43" i="4"/>
  <c r="BN47" i="4" s="1"/>
  <c r="BO47" i="4" s="1"/>
  <c r="BP47" i="4" s="1"/>
  <c r="BX47" i="4" s="1"/>
  <c r="D42" i="2" s="1"/>
  <c r="C43" i="4"/>
  <c r="B43" i="4"/>
  <c r="A43" i="4"/>
  <c r="BW42" i="4"/>
  <c r="BS42" i="4"/>
  <c r="BP42" i="4"/>
  <c r="BX42" i="4" s="1"/>
  <c r="BO42" i="4"/>
  <c r="BM42" i="4"/>
  <c r="BL42" i="4"/>
  <c r="BK42" i="4"/>
  <c r="BJ42" i="4"/>
  <c r="BF42" i="4"/>
  <c r="BN46" i="4" s="1"/>
  <c r="BO46" i="4" s="1"/>
  <c r="C42" i="4"/>
  <c r="B42" i="4"/>
  <c r="A42" i="4"/>
  <c r="BW41" i="4"/>
  <c r="BS41" i="4"/>
  <c r="BN41" i="4"/>
  <c r="BO41" i="4" s="1"/>
  <c r="BP41" i="4" s="1"/>
  <c r="BX41" i="4" s="1"/>
  <c r="BM41" i="4"/>
  <c r="BL41" i="4"/>
  <c r="BK41" i="4"/>
  <c r="BJ41" i="4"/>
  <c r="BF41" i="4"/>
  <c r="BH41" i="4" s="1"/>
  <c r="C41" i="4"/>
  <c r="B41" i="4"/>
  <c r="A41" i="4"/>
  <c r="BW40" i="4"/>
  <c r="BS40" i="4"/>
  <c r="BO40" i="4"/>
  <c r="BP40" i="4" s="1"/>
  <c r="BX40" i="4" s="1"/>
  <c r="BN40" i="4"/>
  <c r="BM40" i="4"/>
  <c r="BL40" i="4"/>
  <c r="BK40" i="4"/>
  <c r="BJ40" i="4"/>
  <c r="BH40" i="4"/>
  <c r="BF40" i="4"/>
  <c r="C40" i="4"/>
  <c r="B40" i="4"/>
  <c r="A40" i="4"/>
  <c r="BW39" i="4"/>
  <c r="BS39" i="4"/>
  <c r="BP39" i="4"/>
  <c r="BM39" i="4"/>
  <c r="BL39" i="4"/>
  <c r="BK39" i="4"/>
  <c r="BJ39" i="4"/>
  <c r="BF39" i="4"/>
  <c r="C39" i="4"/>
  <c r="B39" i="4"/>
  <c r="A39" i="4"/>
  <c r="BW38" i="4"/>
  <c r="BS38" i="4"/>
  <c r="BO38" i="4"/>
  <c r="BP38" i="4" s="1"/>
  <c r="BX38" i="4" s="1"/>
  <c r="BM38" i="4"/>
  <c r="BL38" i="4"/>
  <c r="BK38" i="4"/>
  <c r="BJ38" i="4"/>
  <c r="BH38" i="4"/>
  <c r="BF38" i="4"/>
  <c r="BN42" i="4" s="1"/>
  <c r="C38" i="4"/>
  <c r="B38" i="4"/>
  <c r="A38" i="4"/>
  <c r="BW37" i="4"/>
  <c r="BS37" i="4"/>
  <c r="BM37" i="4"/>
  <c r="BL37" i="4"/>
  <c r="BK37" i="4"/>
  <c r="BJ37" i="4"/>
  <c r="BF37" i="4"/>
  <c r="BH37" i="4" s="1"/>
  <c r="C37" i="4"/>
  <c r="B37" i="4"/>
  <c r="A37" i="4"/>
  <c r="BW36" i="4"/>
  <c r="BS36" i="4"/>
  <c r="BN36" i="4"/>
  <c r="BO36" i="4" s="1"/>
  <c r="BP36" i="4" s="1"/>
  <c r="BX36" i="4" s="1"/>
  <c r="D31" i="2" s="1"/>
  <c r="BM36" i="4"/>
  <c r="BL36" i="4"/>
  <c r="BK36" i="4"/>
  <c r="BJ36" i="4"/>
  <c r="BH36" i="4"/>
  <c r="BF36" i="4"/>
  <c r="C36" i="4"/>
  <c r="B36" i="4"/>
  <c r="A36" i="4"/>
  <c r="BW35" i="4"/>
  <c r="BS35" i="4"/>
  <c r="BP35" i="4"/>
  <c r="BX35" i="4" s="1"/>
  <c r="BN35" i="4"/>
  <c r="BO35" i="4" s="1"/>
  <c r="BM35" i="4"/>
  <c r="BL35" i="4"/>
  <c r="BK35" i="4"/>
  <c r="BJ35" i="4"/>
  <c r="BF35" i="4"/>
  <c r="BN39" i="4" s="1"/>
  <c r="BO39" i="4" s="1"/>
  <c r="C35" i="4"/>
  <c r="B35" i="4"/>
  <c r="A35" i="4"/>
  <c r="BW34" i="4"/>
  <c r="BS34" i="4"/>
  <c r="BM34" i="4"/>
  <c r="BL34" i="4"/>
  <c r="BK34" i="4"/>
  <c r="BJ34" i="4"/>
  <c r="BH34" i="4"/>
  <c r="BF34" i="4"/>
  <c r="BN38" i="4" s="1"/>
  <c r="C34" i="4"/>
  <c r="B34" i="4"/>
  <c r="A34" i="4"/>
  <c r="BW33" i="4"/>
  <c r="BS33" i="4"/>
  <c r="BM33" i="4"/>
  <c r="BL33" i="4"/>
  <c r="BK33" i="4"/>
  <c r="BJ33" i="4"/>
  <c r="BF33" i="4"/>
  <c r="C33" i="4"/>
  <c r="B33" i="4"/>
  <c r="A33" i="4"/>
  <c r="BW32" i="4"/>
  <c r="BS32" i="4"/>
  <c r="BN32" i="4"/>
  <c r="BO32" i="4" s="1"/>
  <c r="BP32" i="4" s="1"/>
  <c r="BX32" i="4" s="1"/>
  <c r="D27" i="2" s="1"/>
  <c r="BM32" i="4"/>
  <c r="BL32" i="4"/>
  <c r="BK32" i="4"/>
  <c r="BJ32" i="4"/>
  <c r="BF32" i="4"/>
  <c r="BH32" i="4" s="1"/>
  <c r="C32" i="4"/>
  <c r="B32" i="4"/>
  <c r="A32" i="4"/>
  <c r="BW31" i="4"/>
  <c r="BS31" i="4"/>
  <c r="BN31" i="4"/>
  <c r="BM31" i="4"/>
  <c r="BL31" i="4"/>
  <c r="BK31" i="4"/>
  <c r="BJ31" i="4"/>
  <c r="BH31" i="4"/>
  <c r="BF31" i="4"/>
  <c r="C31" i="4"/>
  <c r="B31" i="4"/>
  <c r="A31" i="4"/>
  <c r="BW30" i="4"/>
  <c r="BS30" i="4"/>
  <c r="BM30" i="4"/>
  <c r="BL30" i="4"/>
  <c r="BK30" i="4"/>
  <c r="BJ30" i="4"/>
  <c r="BF30" i="4"/>
  <c r="C30" i="4"/>
  <c r="B30" i="4"/>
  <c r="A30" i="4"/>
  <c r="BW29" i="4"/>
  <c r="BS29" i="4"/>
  <c r="BM29" i="4"/>
  <c r="BL29" i="4"/>
  <c r="BK29" i="4"/>
  <c r="BJ29" i="4"/>
  <c r="BF29" i="4"/>
  <c r="C29" i="4"/>
  <c r="B29" i="4"/>
  <c r="A29" i="4"/>
  <c r="BW28" i="4"/>
  <c r="BS28" i="4"/>
  <c r="BO28" i="4"/>
  <c r="BP28" i="4" s="1"/>
  <c r="BX28" i="4" s="1"/>
  <c r="BN28" i="4"/>
  <c r="BM28" i="4"/>
  <c r="BL28" i="4"/>
  <c r="BK28" i="4"/>
  <c r="BJ28" i="4"/>
  <c r="BF28" i="4"/>
  <c r="BH28" i="4" s="1"/>
  <c r="C28" i="4"/>
  <c r="B28" i="4"/>
  <c r="A28" i="4"/>
  <c r="BW27" i="4"/>
  <c r="BS27" i="4"/>
  <c r="BN27" i="4"/>
  <c r="BO27" i="4" s="1"/>
  <c r="BP27" i="4" s="1"/>
  <c r="BX27" i="4" s="1"/>
  <c r="BM27" i="4"/>
  <c r="BL27" i="4"/>
  <c r="BK27" i="4"/>
  <c r="BJ27" i="4"/>
  <c r="BH27" i="4"/>
  <c r="BF27" i="4"/>
  <c r="C27" i="4"/>
  <c r="B27" i="4"/>
  <c r="A27" i="4"/>
  <c r="BW26" i="4"/>
  <c r="BS26" i="4"/>
  <c r="BM26" i="4"/>
  <c r="BL26" i="4"/>
  <c r="BK26" i="4"/>
  <c r="BJ26" i="4"/>
  <c r="BH26" i="4"/>
  <c r="BF26" i="4"/>
  <c r="BN30" i="4" s="1"/>
  <c r="C26" i="4"/>
  <c r="B26" i="4"/>
  <c r="A26" i="4"/>
  <c r="BW25" i="4"/>
  <c r="BS25" i="4"/>
  <c r="BM25" i="4"/>
  <c r="BL25" i="4"/>
  <c r="BK25" i="4"/>
  <c r="BJ25" i="4"/>
  <c r="BF25" i="4"/>
  <c r="C25" i="4"/>
  <c r="B25" i="4"/>
  <c r="A25" i="4"/>
  <c r="BW24" i="4"/>
  <c r="BS24" i="4"/>
  <c r="BN24" i="4"/>
  <c r="BO24" i="4" s="1"/>
  <c r="BP24" i="4" s="1"/>
  <c r="BX24" i="4" s="1"/>
  <c r="D19" i="2" s="1"/>
  <c r="BM24" i="4"/>
  <c r="BL24" i="4"/>
  <c r="BK24" i="4"/>
  <c r="BJ24" i="4"/>
  <c r="BF24" i="4"/>
  <c r="BH24" i="4" s="1"/>
  <c r="C24" i="4"/>
  <c r="B24" i="4"/>
  <c r="A24" i="4"/>
  <c r="BW23" i="4"/>
  <c r="BS23" i="4"/>
  <c r="BM23" i="4"/>
  <c r="BL23" i="4"/>
  <c r="BK23" i="4"/>
  <c r="BJ23" i="4"/>
  <c r="BH23" i="4"/>
  <c r="BF23" i="4"/>
  <c r="C23" i="4"/>
  <c r="B23" i="4"/>
  <c r="A23" i="4"/>
  <c r="BW22" i="4"/>
  <c r="BS22" i="4"/>
  <c r="BM22" i="4"/>
  <c r="BL22" i="4"/>
  <c r="BK22" i="4"/>
  <c r="BJ22" i="4"/>
  <c r="BF22" i="4"/>
  <c r="C22" i="4"/>
  <c r="B22" i="4"/>
  <c r="A22" i="4"/>
  <c r="BW21" i="4"/>
  <c r="BS21" i="4"/>
  <c r="BO21" i="4"/>
  <c r="BP21" i="4" s="1"/>
  <c r="BX21" i="4" s="1"/>
  <c r="D16" i="2" s="1"/>
  <c r="BN21" i="4"/>
  <c r="BM21" i="4"/>
  <c r="BL21" i="4"/>
  <c r="BK21" i="4"/>
  <c r="BJ21" i="4"/>
  <c r="BF21" i="4"/>
  <c r="BN25" i="4" s="1"/>
  <c r="BO25" i="4" s="1"/>
  <c r="BP25" i="4" s="1"/>
  <c r="BX25" i="4" s="1"/>
  <c r="C21" i="4"/>
  <c r="B21" i="4"/>
  <c r="A21" i="4"/>
  <c r="BW20" i="4"/>
  <c r="BS20" i="4"/>
  <c r="BN20" i="4"/>
  <c r="BO20" i="4" s="1"/>
  <c r="BP20" i="4" s="1"/>
  <c r="BX20" i="4" s="1"/>
  <c r="D15" i="2" s="1"/>
  <c r="BM20" i="4"/>
  <c r="BL20" i="4"/>
  <c r="BK20" i="4"/>
  <c r="BJ20" i="4"/>
  <c r="BH20" i="4"/>
  <c r="BF20" i="4"/>
  <c r="C20" i="4"/>
  <c r="B20" i="4"/>
  <c r="A20" i="4"/>
  <c r="BW19" i="4"/>
  <c r="BS19" i="4"/>
  <c r="BM19" i="4"/>
  <c r="BL19" i="4"/>
  <c r="BK19" i="4"/>
  <c r="BJ19" i="4"/>
  <c r="BH19" i="4"/>
  <c r="BF19" i="4"/>
  <c r="BN23" i="4" s="1"/>
  <c r="BO23" i="4" s="1"/>
  <c r="BP23" i="4" s="1"/>
  <c r="C19" i="4"/>
  <c r="B19" i="4"/>
  <c r="A19" i="4"/>
  <c r="BW18" i="4"/>
  <c r="BS18" i="4"/>
  <c r="BM18" i="4"/>
  <c r="BL18" i="4"/>
  <c r="BK18" i="4"/>
  <c r="BJ18" i="4"/>
  <c r="BF18" i="4"/>
  <c r="C18" i="4"/>
  <c r="B18" i="4"/>
  <c r="A18" i="4"/>
  <c r="BW17" i="4"/>
  <c r="BS17" i="4"/>
  <c r="BO17" i="4"/>
  <c r="BP17" i="4" s="1"/>
  <c r="BX17" i="4" s="1"/>
  <c r="D12" i="2" s="1"/>
  <c r="BN17" i="4"/>
  <c r="BM17" i="4"/>
  <c r="BL17" i="4"/>
  <c r="BK17" i="4"/>
  <c r="BJ17" i="4"/>
  <c r="BF17" i="4"/>
  <c r="BH17" i="4" s="1"/>
  <c r="C17" i="4"/>
  <c r="B17" i="4"/>
  <c r="A17" i="4"/>
  <c r="BW16" i="4"/>
  <c r="BS16" i="4"/>
  <c r="BN16" i="4"/>
  <c r="BO16" i="4" s="1"/>
  <c r="BP16" i="4" s="1"/>
  <c r="BX16" i="4" s="1"/>
  <c r="BM16" i="4"/>
  <c r="BL16" i="4"/>
  <c r="BK16" i="4"/>
  <c r="BJ16" i="4"/>
  <c r="BH16" i="4"/>
  <c r="BF16" i="4"/>
  <c r="C16" i="4"/>
  <c r="B16" i="4"/>
  <c r="A16" i="4"/>
  <c r="BW15" i="4"/>
  <c r="BS15" i="4"/>
  <c r="BM15" i="4"/>
  <c r="BL15" i="4"/>
  <c r="BK15" i="4"/>
  <c r="BJ15" i="4"/>
  <c r="BH15" i="4"/>
  <c r="BF15" i="4"/>
  <c r="BN19" i="4" s="1"/>
  <c r="BO19" i="4" s="1"/>
  <c r="BP19" i="4" s="1"/>
  <c r="C15" i="4"/>
  <c r="B15" i="4"/>
  <c r="A15" i="4"/>
  <c r="BW14" i="4"/>
  <c r="BS14" i="4"/>
  <c r="BM14" i="4"/>
  <c r="BL14" i="4"/>
  <c r="BK14" i="4"/>
  <c r="BJ14" i="4"/>
  <c r="BF14" i="4"/>
  <c r="C14" i="4"/>
  <c r="B14" i="4"/>
  <c r="A14" i="4"/>
  <c r="BX13" i="4"/>
  <c r="D8" i="2" s="1"/>
  <c r="BW13" i="4"/>
  <c r="BS13" i="4"/>
  <c r="BO13" i="4"/>
  <c r="BP13" i="4" s="1"/>
  <c r="BN13" i="4"/>
  <c r="BM13" i="4"/>
  <c r="BL13" i="4"/>
  <c r="BK13" i="4"/>
  <c r="BJ13" i="4"/>
  <c r="BF13" i="4"/>
  <c r="BH13" i="4" s="1"/>
  <c r="C13" i="4"/>
  <c r="B13" i="4"/>
  <c r="A13" i="4"/>
  <c r="BW12" i="4"/>
  <c r="BS12" i="4"/>
  <c r="BM12" i="4"/>
  <c r="BL12" i="4"/>
  <c r="BK12" i="4"/>
  <c r="BJ12" i="4"/>
  <c r="BH12" i="4"/>
  <c r="BF12" i="4"/>
  <c r="C12" i="4"/>
  <c r="B12" i="4"/>
  <c r="A12" i="4"/>
  <c r="BW11" i="4"/>
  <c r="BS11" i="4"/>
  <c r="BM11" i="4"/>
  <c r="BL11" i="4"/>
  <c r="BK11" i="4"/>
  <c r="BJ11" i="4"/>
  <c r="BH11" i="4"/>
  <c r="BF11" i="4"/>
  <c r="BN15" i="4" s="1"/>
  <c r="BO15" i="4" s="1"/>
  <c r="BP15" i="4" s="1"/>
  <c r="BX15" i="4" s="1"/>
  <c r="D10" i="2" s="1"/>
  <c r="C11" i="4"/>
  <c r="B11" i="4"/>
  <c r="A11" i="4"/>
  <c r="BW10" i="4"/>
  <c r="BS10" i="4"/>
  <c r="BM10" i="4"/>
  <c r="BL10" i="4"/>
  <c r="BK10" i="4"/>
  <c r="BJ10" i="4"/>
  <c r="BF10" i="4"/>
  <c r="C10" i="4"/>
  <c r="B10" i="4"/>
  <c r="A10" i="4"/>
  <c r="BX9" i="4"/>
  <c r="BW9" i="4"/>
  <c r="BS9" i="4"/>
  <c r="BO9" i="4"/>
  <c r="BP9" i="4" s="1"/>
  <c r="BN9" i="4"/>
  <c r="BM9" i="4"/>
  <c r="BL9" i="4"/>
  <c r="BK9" i="4"/>
  <c r="BJ9" i="4"/>
  <c r="BF9" i="4"/>
  <c r="BH9" i="4" s="1"/>
  <c r="C9" i="4"/>
  <c r="B9" i="4"/>
  <c r="A9" i="4"/>
  <c r="BF8" i="4"/>
  <c r="BH8" i="4" s="1"/>
  <c r="C8" i="4"/>
  <c r="B8" i="4"/>
  <c r="A8" i="4"/>
  <c r="BH7" i="4"/>
  <c r="BF7" i="4"/>
  <c r="BN11" i="4" s="1"/>
  <c r="BO11" i="4" s="1"/>
  <c r="BP11" i="4" s="1"/>
  <c r="BX11" i="4" s="1"/>
  <c r="C7" i="4"/>
  <c r="B7" i="4"/>
  <c r="A7" i="4"/>
  <c r="BH6" i="4"/>
  <c r="BF6" i="4"/>
  <c r="BN10" i="4" s="1"/>
  <c r="BO10" i="4" s="1"/>
  <c r="BP10" i="4" s="1"/>
  <c r="BX10" i="4" s="1"/>
  <c r="D5" i="2" s="1"/>
  <c r="C6" i="4"/>
  <c r="B6" i="4"/>
  <c r="A6" i="4"/>
  <c r="BF5" i="4"/>
  <c r="BH5" i="4" s="1"/>
  <c r="C5" i="4"/>
  <c r="B5" i="4"/>
  <c r="A5" i="4"/>
  <c r="A1" i="4"/>
  <c r="BY66" i="3"/>
  <c r="BU66" i="3"/>
  <c r="BS66" i="3"/>
  <c r="BN66" i="3"/>
  <c r="BM66" i="3"/>
  <c r="BL66" i="3"/>
  <c r="BK66" i="3"/>
  <c r="BY65" i="3"/>
  <c r="BU65" i="3"/>
  <c r="BS65" i="3"/>
  <c r="BN65" i="3"/>
  <c r="BM65" i="3"/>
  <c r="BL65" i="3"/>
  <c r="BK65" i="3"/>
  <c r="BY64" i="3"/>
  <c r="BU64" i="3"/>
  <c r="BS64" i="3"/>
  <c r="BO64" i="3"/>
  <c r="BP64" i="3" s="1"/>
  <c r="BQ64" i="3" s="1"/>
  <c r="BN64" i="3"/>
  <c r="BM64" i="3"/>
  <c r="BL64" i="3"/>
  <c r="BK64" i="3"/>
  <c r="BY63" i="3"/>
  <c r="BU63" i="3"/>
  <c r="BS63" i="3"/>
  <c r="BN63" i="3"/>
  <c r="BM63" i="3"/>
  <c r="BL63" i="3"/>
  <c r="BK63" i="3"/>
  <c r="BY62" i="3"/>
  <c r="BU62" i="3"/>
  <c r="BS62" i="3"/>
  <c r="BN62" i="3"/>
  <c r="BM62" i="3"/>
  <c r="BL62" i="3"/>
  <c r="BK62" i="3"/>
  <c r="BG62" i="3"/>
  <c r="BE62" i="3"/>
  <c r="C62" i="3"/>
  <c r="B62" i="3"/>
  <c r="BY61" i="3"/>
  <c r="BU61" i="3"/>
  <c r="BS61" i="3"/>
  <c r="BN61" i="3"/>
  <c r="BM61" i="3"/>
  <c r="BL61" i="3"/>
  <c r="BK61" i="3"/>
  <c r="BG61" i="3"/>
  <c r="J60" i="1" s="1"/>
  <c r="BE61" i="3"/>
  <c r="C61" i="3"/>
  <c r="B61" i="3"/>
  <c r="BY60" i="3"/>
  <c r="BU60" i="3"/>
  <c r="BS60" i="3"/>
  <c r="BN60" i="3"/>
  <c r="BM60" i="3"/>
  <c r="BL60" i="3"/>
  <c r="BK60" i="3"/>
  <c r="BG60" i="3"/>
  <c r="BE60" i="3"/>
  <c r="C60" i="3"/>
  <c r="B60" i="3"/>
  <c r="BY59" i="3"/>
  <c r="BU59" i="3"/>
  <c r="BS59" i="3"/>
  <c r="BN59" i="3"/>
  <c r="BM59" i="3"/>
  <c r="BL59" i="3"/>
  <c r="BK59" i="3"/>
  <c r="BG59" i="3"/>
  <c r="BE59" i="3"/>
  <c r="C59" i="3"/>
  <c r="B59" i="3"/>
  <c r="BY58" i="3"/>
  <c r="BU58" i="3"/>
  <c r="BS58" i="3"/>
  <c r="BN58" i="3"/>
  <c r="BM58" i="3"/>
  <c r="BL58" i="3"/>
  <c r="BK58" i="3"/>
  <c r="BG58" i="3"/>
  <c r="BE58" i="3"/>
  <c r="C58" i="3"/>
  <c r="B58" i="3"/>
  <c r="BY57" i="3"/>
  <c r="BU57" i="3"/>
  <c r="BS57" i="3"/>
  <c r="BN57" i="3"/>
  <c r="BM57" i="3"/>
  <c r="BL57" i="3"/>
  <c r="BK57" i="3"/>
  <c r="BG57" i="3"/>
  <c r="BE57" i="3"/>
  <c r="C57" i="3"/>
  <c r="B57" i="3"/>
  <c r="BY56" i="3"/>
  <c r="BU56" i="3"/>
  <c r="BS56" i="3"/>
  <c r="BN56" i="3"/>
  <c r="BM56" i="3"/>
  <c r="BL56" i="3"/>
  <c r="BK56" i="3"/>
  <c r="BG56" i="3"/>
  <c r="BE56" i="3"/>
  <c r="C56" i="3"/>
  <c r="B56" i="3"/>
  <c r="BY55" i="3"/>
  <c r="BU55" i="3"/>
  <c r="BS55" i="3"/>
  <c r="BN55" i="3"/>
  <c r="BM55" i="3"/>
  <c r="BL55" i="3"/>
  <c r="BK55" i="3"/>
  <c r="BG55" i="3"/>
  <c r="BE55" i="3"/>
  <c r="C55" i="3"/>
  <c r="B55" i="3"/>
  <c r="BY54" i="3"/>
  <c r="BU54" i="3"/>
  <c r="BS54" i="3"/>
  <c r="BN54" i="3"/>
  <c r="BM54" i="3"/>
  <c r="BL54" i="3"/>
  <c r="BK54" i="3"/>
  <c r="BG54" i="3"/>
  <c r="BE54" i="3"/>
  <c r="C54" i="3"/>
  <c r="B54" i="3"/>
  <c r="BY53" i="3"/>
  <c r="BU53" i="3"/>
  <c r="BS53" i="3"/>
  <c r="BN53" i="3"/>
  <c r="BM53" i="3"/>
  <c r="BL53" i="3"/>
  <c r="BK53" i="3"/>
  <c r="BG53" i="3"/>
  <c r="BE53" i="3"/>
  <c r="C53" i="3"/>
  <c r="B53" i="3"/>
  <c r="BY52" i="3"/>
  <c r="BU52" i="3"/>
  <c r="BS52" i="3"/>
  <c r="BN52" i="3"/>
  <c r="BM52" i="3"/>
  <c r="BL52" i="3"/>
  <c r="BK52" i="3"/>
  <c r="BG52" i="3"/>
  <c r="BE52" i="3"/>
  <c r="C52" i="3"/>
  <c r="B52" i="3"/>
  <c r="BY51" i="3"/>
  <c r="BU51" i="3"/>
  <c r="BS51" i="3"/>
  <c r="BN51" i="3"/>
  <c r="BM51" i="3"/>
  <c r="BL51" i="3"/>
  <c r="BK51" i="3"/>
  <c r="BG51" i="3"/>
  <c r="BE51" i="3"/>
  <c r="C51" i="3"/>
  <c r="B51" i="3"/>
  <c r="BY50" i="3"/>
  <c r="BU50" i="3"/>
  <c r="BS50" i="3"/>
  <c r="BN50" i="3"/>
  <c r="BM50" i="3"/>
  <c r="BL50" i="3"/>
  <c r="BK50" i="3"/>
  <c r="BG50" i="3"/>
  <c r="BE50" i="3"/>
  <c r="C50" i="3"/>
  <c r="B50" i="3"/>
  <c r="BY49" i="3"/>
  <c r="BU49" i="3"/>
  <c r="BS49" i="3"/>
  <c r="BQ49" i="3"/>
  <c r="CA49" i="3" s="1"/>
  <c r="F44" i="2" s="1"/>
  <c r="BN49" i="3"/>
  <c r="BM49" i="3"/>
  <c r="BL49" i="3"/>
  <c r="BK49" i="3"/>
  <c r="BG49" i="3"/>
  <c r="BE49" i="3"/>
  <c r="C49" i="3"/>
  <c r="B49" i="3"/>
  <c r="BY48" i="3"/>
  <c r="BU48" i="3"/>
  <c r="BS48" i="3"/>
  <c r="BN48" i="3"/>
  <c r="BM48" i="3"/>
  <c r="BL48" i="3"/>
  <c r="BK48" i="3"/>
  <c r="BG48" i="3"/>
  <c r="BE48" i="3"/>
  <c r="C48" i="3"/>
  <c r="B48" i="3"/>
  <c r="A48" i="3"/>
  <c r="BY47" i="3"/>
  <c r="BU47" i="3"/>
  <c r="BS47" i="3"/>
  <c r="BN47" i="3"/>
  <c r="BM47" i="3"/>
  <c r="BL47" i="3"/>
  <c r="BK47" i="3"/>
  <c r="BI47" i="3"/>
  <c r="BG47" i="3"/>
  <c r="BO51" i="3" s="1"/>
  <c r="BP51" i="3" s="1"/>
  <c r="BQ51" i="3" s="1"/>
  <c r="CA51" i="3" s="1"/>
  <c r="F46" i="2" s="1"/>
  <c r="BE47" i="3"/>
  <c r="C47" i="3"/>
  <c r="B47" i="3"/>
  <c r="A47" i="3"/>
  <c r="BY46" i="3"/>
  <c r="BU46" i="3"/>
  <c r="BS46" i="3"/>
  <c r="BO46" i="3"/>
  <c r="BP46" i="3" s="1"/>
  <c r="BQ46" i="3" s="1"/>
  <c r="BN46" i="3"/>
  <c r="BM46" i="3"/>
  <c r="BL46" i="3"/>
  <c r="BK46" i="3"/>
  <c r="BI46" i="3"/>
  <c r="BG46" i="3"/>
  <c r="BO50" i="3" s="1"/>
  <c r="BP50" i="3" s="1"/>
  <c r="BQ50" i="3" s="1"/>
  <c r="CA50" i="3" s="1"/>
  <c r="F45" i="2" s="1"/>
  <c r="BE46" i="3"/>
  <c r="C46" i="3"/>
  <c r="B46" i="3"/>
  <c r="A46" i="3"/>
  <c r="BY45" i="3"/>
  <c r="BU45" i="3"/>
  <c r="BO45" i="3"/>
  <c r="BP45" i="3" s="1"/>
  <c r="BQ45" i="3" s="1"/>
  <c r="CA45" i="3" s="1"/>
  <c r="F40" i="2" s="1"/>
  <c r="BN45" i="3"/>
  <c r="BM45" i="3"/>
  <c r="BL45" i="3"/>
  <c r="BK45" i="3"/>
  <c r="BI45" i="3"/>
  <c r="BG45" i="3"/>
  <c r="BO49" i="3" s="1"/>
  <c r="BP49" i="3" s="1"/>
  <c r="BE45" i="3"/>
  <c r="C45" i="3"/>
  <c r="B45" i="3"/>
  <c r="A45" i="3"/>
  <c r="BY44" i="3"/>
  <c r="BU44" i="3"/>
  <c r="BS44" i="3"/>
  <c r="BN44" i="3"/>
  <c r="BM44" i="3"/>
  <c r="BL44" i="3"/>
  <c r="BK44" i="3"/>
  <c r="BE44" i="3"/>
  <c r="BG44" i="3" s="1"/>
  <c r="C44" i="3"/>
  <c r="B44" i="3"/>
  <c r="A44" i="3"/>
  <c r="BY43" i="3"/>
  <c r="BU43" i="3"/>
  <c r="BS43" i="3"/>
  <c r="BN43" i="3"/>
  <c r="BM43" i="3"/>
  <c r="BL43" i="3"/>
  <c r="BK43" i="3"/>
  <c r="BG43" i="3"/>
  <c r="BE43" i="3"/>
  <c r="C43" i="3"/>
  <c r="B43" i="3"/>
  <c r="A43" i="3"/>
  <c r="BY42" i="3"/>
  <c r="BU42" i="3"/>
  <c r="BS42" i="3"/>
  <c r="BN42" i="3"/>
  <c r="BM42" i="3"/>
  <c r="BL42" i="3"/>
  <c r="BK42" i="3"/>
  <c r="BI42" i="3"/>
  <c r="BG42" i="3"/>
  <c r="BE42" i="3"/>
  <c r="C42" i="3"/>
  <c r="B42" i="3"/>
  <c r="A42" i="3"/>
  <c r="BY41" i="3"/>
  <c r="BU41" i="3"/>
  <c r="BS41" i="3"/>
  <c r="BO41" i="3"/>
  <c r="BP41" i="3" s="1"/>
  <c r="BQ41" i="3" s="1"/>
  <c r="CA41" i="3" s="1"/>
  <c r="F36" i="2" s="1"/>
  <c r="BN41" i="3"/>
  <c r="BM41" i="3"/>
  <c r="BL41" i="3"/>
  <c r="BK41" i="3"/>
  <c r="BI41" i="3"/>
  <c r="BG41" i="3"/>
  <c r="BE41" i="3"/>
  <c r="C41" i="3"/>
  <c r="B41" i="3"/>
  <c r="A41" i="3"/>
  <c r="BY40" i="3"/>
  <c r="BU40" i="3"/>
  <c r="BS40" i="3"/>
  <c r="BN40" i="3"/>
  <c r="BM40" i="3"/>
  <c r="BL40" i="3"/>
  <c r="BK40" i="3"/>
  <c r="BE40" i="3"/>
  <c r="BG40" i="3" s="1"/>
  <c r="C40" i="3"/>
  <c r="B40" i="3"/>
  <c r="A40" i="3"/>
  <c r="BY39" i="3"/>
  <c r="BU39" i="3"/>
  <c r="BS39" i="3"/>
  <c r="BN39" i="3"/>
  <c r="BM39" i="3"/>
  <c r="BL39" i="3"/>
  <c r="BK39" i="3"/>
  <c r="BG39" i="3"/>
  <c r="BE39" i="3"/>
  <c r="C39" i="3"/>
  <c r="B39" i="3"/>
  <c r="A39" i="3"/>
  <c r="BY38" i="3"/>
  <c r="BU38" i="3"/>
  <c r="BS38" i="3"/>
  <c r="BN38" i="3"/>
  <c r="BM38" i="3"/>
  <c r="BL38" i="3"/>
  <c r="BK38" i="3"/>
  <c r="BI38" i="3"/>
  <c r="BG38" i="3"/>
  <c r="BO42" i="3" s="1"/>
  <c r="BE38" i="3"/>
  <c r="C38" i="3"/>
  <c r="B38" i="3"/>
  <c r="A38" i="3"/>
  <c r="BY37" i="3"/>
  <c r="BU37" i="3"/>
  <c r="BS37" i="3"/>
  <c r="BO37" i="3"/>
  <c r="BP37" i="3" s="1"/>
  <c r="BQ37" i="3" s="1"/>
  <c r="BN37" i="3"/>
  <c r="BM37" i="3"/>
  <c r="BL37" i="3"/>
  <c r="BK37" i="3"/>
  <c r="BI37" i="3"/>
  <c r="BG37" i="3"/>
  <c r="BE37" i="3"/>
  <c r="C37" i="3"/>
  <c r="B37" i="3"/>
  <c r="A37" i="3"/>
  <c r="BY36" i="3"/>
  <c r="BU36" i="3"/>
  <c r="BS36" i="3"/>
  <c r="BN36" i="3"/>
  <c r="BM36" i="3"/>
  <c r="BL36" i="3"/>
  <c r="BK36" i="3"/>
  <c r="BE36" i="3"/>
  <c r="BG36" i="3" s="1"/>
  <c r="C36" i="3"/>
  <c r="B36" i="3"/>
  <c r="A36" i="3"/>
  <c r="BY35" i="3"/>
  <c r="BU35" i="3"/>
  <c r="BS35" i="3"/>
  <c r="BN35" i="3"/>
  <c r="BM35" i="3"/>
  <c r="BL35" i="3"/>
  <c r="BK35" i="3"/>
  <c r="BG35" i="3"/>
  <c r="BE35" i="3"/>
  <c r="C35" i="3"/>
  <c r="B35" i="3"/>
  <c r="A35" i="3"/>
  <c r="BY34" i="3"/>
  <c r="BU34" i="3"/>
  <c r="BS34" i="3"/>
  <c r="BN34" i="3"/>
  <c r="BM34" i="3"/>
  <c r="BL34" i="3"/>
  <c r="BK34" i="3"/>
  <c r="BI34" i="3"/>
  <c r="BG34" i="3"/>
  <c r="BO38" i="3" s="1"/>
  <c r="BE34" i="3"/>
  <c r="C34" i="3"/>
  <c r="B34" i="3"/>
  <c r="A34" i="3"/>
  <c r="BY33" i="3"/>
  <c r="BU33" i="3"/>
  <c r="BS33" i="3"/>
  <c r="BN33" i="3"/>
  <c r="BM33" i="3"/>
  <c r="BL33" i="3"/>
  <c r="BK33" i="3"/>
  <c r="BI33" i="3"/>
  <c r="BG33" i="3"/>
  <c r="BE33" i="3"/>
  <c r="C33" i="3"/>
  <c r="B33" i="3"/>
  <c r="A33" i="3"/>
  <c r="BY32" i="3"/>
  <c r="BU32" i="3"/>
  <c r="BS32" i="3"/>
  <c r="BN32" i="3"/>
  <c r="BM32" i="3"/>
  <c r="BL32" i="3"/>
  <c r="BK32" i="3"/>
  <c r="BE32" i="3"/>
  <c r="BG32" i="3" s="1"/>
  <c r="C32" i="3"/>
  <c r="B32" i="3"/>
  <c r="A32" i="3"/>
  <c r="BY31" i="3"/>
  <c r="BU31" i="3"/>
  <c r="BS31" i="3"/>
  <c r="BN31" i="3"/>
  <c r="BM31" i="3"/>
  <c r="BL31" i="3"/>
  <c r="BK31" i="3"/>
  <c r="BG31" i="3"/>
  <c r="BE31" i="3"/>
  <c r="C31" i="3"/>
  <c r="B31" i="3"/>
  <c r="A31" i="3"/>
  <c r="BY30" i="3"/>
  <c r="BU30" i="3"/>
  <c r="BS30" i="3"/>
  <c r="BN30" i="3"/>
  <c r="BM30" i="3"/>
  <c r="BL30" i="3"/>
  <c r="BK30" i="3"/>
  <c r="BI30" i="3"/>
  <c r="BG30" i="3"/>
  <c r="BO34" i="3" s="1"/>
  <c r="BP34" i="3" s="1"/>
  <c r="BQ34" i="3" s="1"/>
  <c r="CA34" i="3" s="1"/>
  <c r="F29" i="2" s="1"/>
  <c r="BE30" i="3"/>
  <c r="C30" i="3"/>
  <c r="B30" i="3"/>
  <c r="A30" i="3"/>
  <c r="BY29" i="3"/>
  <c r="BU29" i="3"/>
  <c r="BS29" i="3"/>
  <c r="BN29" i="3"/>
  <c r="BM29" i="3"/>
  <c r="BL29" i="3"/>
  <c r="BK29" i="3"/>
  <c r="BE29" i="3"/>
  <c r="BG29" i="3" s="1"/>
  <c r="BI29" i="3" s="1"/>
  <c r="C29" i="3"/>
  <c r="B29" i="3"/>
  <c r="A29" i="3"/>
  <c r="BY28" i="3"/>
  <c r="BU28" i="3"/>
  <c r="BS28" i="3"/>
  <c r="BN28" i="3"/>
  <c r="BM28" i="3"/>
  <c r="BL28" i="3"/>
  <c r="BK28" i="3"/>
  <c r="BE28" i="3"/>
  <c r="BG28" i="3" s="1"/>
  <c r="J27" i="1" s="1"/>
  <c r="L27" i="1" s="1"/>
  <c r="C28" i="3"/>
  <c r="B28" i="3"/>
  <c r="A28" i="3"/>
  <c r="BY27" i="3"/>
  <c r="BU27" i="3"/>
  <c r="BS27" i="3"/>
  <c r="BN27" i="3"/>
  <c r="BM27" i="3"/>
  <c r="BL27" i="3"/>
  <c r="BK27" i="3"/>
  <c r="BG27" i="3"/>
  <c r="BE27" i="3"/>
  <c r="C27" i="3"/>
  <c r="B27" i="3"/>
  <c r="A27" i="3"/>
  <c r="BY26" i="3"/>
  <c r="BU26" i="3"/>
  <c r="BS26" i="3"/>
  <c r="BN26" i="3"/>
  <c r="BM26" i="3"/>
  <c r="BL26" i="3"/>
  <c r="BK26" i="3"/>
  <c r="BI26" i="3"/>
  <c r="BG26" i="3"/>
  <c r="BO30" i="3" s="1"/>
  <c r="BP30" i="3" s="1"/>
  <c r="BQ30" i="3" s="1"/>
  <c r="CA30" i="3" s="1"/>
  <c r="F25" i="2" s="1"/>
  <c r="BE26" i="3"/>
  <c r="C26" i="3"/>
  <c r="B26" i="3"/>
  <c r="A26" i="3"/>
  <c r="BY25" i="3"/>
  <c r="BU25" i="3"/>
  <c r="BS25" i="3"/>
  <c r="BN25" i="3"/>
  <c r="BM25" i="3"/>
  <c r="BL25" i="3"/>
  <c r="BK25" i="3"/>
  <c r="BE25" i="3"/>
  <c r="BG25" i="3" s="1"/>
  <c r="BI25" i="3" s="1"/>
  <c r="C25" i="3"/>
  <c r="B25" i="3"/>
  <c r="A25" i="3"/>
  <c r="BY24" i="3"/>
  <c r="BU24" i="3"/>
  <c r="BS24" i="3"/>
  <c r="BN24" i="3"/>
  <c r="BM24" i="3"/>
  <c r="BL24" i="3"/>
  <c r="BK24" i="3"/>
  <c r="BE24" i="3"/>
  <c r="BG24" i="3" s="1"/>
  <c r="C24" i="3"/>
  <c r="B24" i="3"/>
  <c r="A24" i="3"/>
  <c r="BY23" i="3"/>
  <c r="BU23" i="3"/>
  <c r="BS23" i="3"/>
  <c r="BN23" i="3"/>
  <c r="BM23" i="3"/>
  <c r="BL23" i="3"/>
  <c r="BK23" i="3"/>
  <c r="BG23" i="3"/>
  <c r="BE23" i="3"/>
  <c r="C23" i="3"/>
  <c r="B23" i="3"/>
  <c r="A23" i="3"/>
  <c r="BY22" i="3"/>
  <c r="BU22" i="3"/>
  <c r="BS22" i="3"/>
  <c r="BN22" i="3"/>
  <c r="BM22" i="3"/>
  <c r="BL22" i="3"/>
  <c r="BK22" i="3"/>
  <c r="BI22" i="3"/>
  <c r="BG22" i="3"/>
  <c r="BO26" i="3" s="1"/>
  <c r="BP26" i="3" s="1"/>
  <c r="BQ26" i="3" s="1"/>
  <c r="CA26" i="3" s="1"/>
  <c r="F21" i="2" s="1"/>
  <c r="BE22" i="3"/>
  <c r="C22" i="3"/>
  <c r="B22" i="3"/>
  <c r="A22" i="3"/>
  <c r="BY21" i="3"/>
  <c r="BU21" i="3"/>
  <c r="BS21" i="3"/>
  <c r="BN21" i="3"/>
  <c r="BM21" i="3"/>
  <c r="BL21" i="3"/>
  <c r="BK21" i="3"/>
  <c r="BE21" i="3"/>
  <c r="BG21" i="3" s="1"/>
  <c r="BI21" i="3" s="1"/>
  <c r="C21" i="3"/>
  <c r="B21" i="3"/>
  <c r="A21" i="3"/>
  <c r="BY20" i="3"/>
  <c r="BU20" i="3"/>
  <c r="BS20" i="3"/>
  <c r="BN20" i="3"/>
  <c r="BM20" i="3"/>
  <c r="BL20" i="3"/>
  <c r="BK20" i="3"/>
  <c r="BE20" i="3"/>
  <c r="BG20" i="3" s="1"/>
  <c r="C20" i="3"/>
  <c r="B20" i="3"/>
  <c r="A20" i="3"/>
  <c r="BY19" i="3"/>
  <c r="BU19" i="3"/>
  <c r="BS19" i="3"/>
  <c r="BN19" i="3"/>
  <c r="BM19" i="3"/>
  <c r="BL19" i="3"/>
  <c r="BK19" i="3"/>
  <c r="BG19" i="3"/>
  <c r="BE19" i="3"/>
  <c r="C19" i="3"/>
  <c r="B19" i="3"/>
  <c r="A19" i="3"/>
  <c r="BY18" i="3"/>
  <c r="BU18" i="3"/>
  <c r="BS18" i="3"/>
  <c r="BN18" i="3"/>
  <c r="BM18" i="3"/>
  <c r="BL18" i="3"/>
  <c r="BK18" i="3"/>
  <c r="BI18" i="3"/>
  <c r="BG18" i="3"/>
  <c r="BO22" i="3" s="1"/>
  <c r="BP22" i="3" s="1"/>
  <c r="BQ22" i="3" s="1"/>
  <c r="CA22" i="3" s="1"/>
  <c r="F17" i="2" s="1"/>
  <c r="BE18" i="3"/>
  <c r="C18" i="3"/>
  <c r="B18" i="3"/>
  <c r="A18" i="3"/>
  <c r="BY17" i="3"/>
  <c r="BU17" i="3"/>
  <c r="BS17" i="3"/>
  <c r="BO17" i="3"/>
  <c r="BP17" i="3" s="1"/>
  <c r="BQ17" i="3" s="1"/>
  <c r="CA17" i="3" s="1"/>
  <c r="F12" i="2" s="1"/>
  <c r="BN17" i="3"/>
  <c r="BM17" i="3"/>
  <c r="BL17" i="3"/>
  <c r="BK17" i="3"/>
  <c r="BE17" i="3"/>
  <c r="BG17" i="3" s="1"/>
  <c r="BI17" i="3" s="1"/>
  <c r="C17" i="3"/>
  <c r="B17" i="3"/>
  <c r="A17" i="3"/>
  <c r="BY16" i="3"/>
  <c r="BU16" i="3"/>
  <c r="BS16" i="3"/>
  <c r="BN16" i="3"/>
  <c r="BM16" i="3"/>
  <c r="BL16" i="3"/>
  <c r="BK16" i="3"/>
  <c r="BE16" i="3"/>
  <c r="BG16" i="3" s="1"/>
  <c r="C16" i="3"/>
  <c r="B16" i="3"/>
  <c r="A16" i="3"/>
  <c r="BY15" i="3"/>
  <c r="BU15" i="3"/>
  <c r="BS15" i="3"/>
  <c r="BN15" i="3"/>
  <c r="BM15" i="3"/>
  <c r="BL15" i="3"/>
  <c r="BK15" i="3"/>
  <c r="BG15" i="3"/>
  <c r="BE15" i="3"/>
  <c r="C15" i="3"/>
  <c r="B15" i="3"/>
  <c r="A15" i="3"/>
  <c r="BY14" i="3"/>
  <c r="BU14" i="3"/>
  <c r="BS14" i="3"/>
  <c r="BN14" i="3"/>
  <c r="BM14" i="3"/>
  <c r="BL14" i="3"/>
  <c r="BK14" i="3"/>
  <c r="BI14" i="3"/>
  <c r="BG14" i="3"/>
  <c r="BO18" i="3" s="1"/>
  <c r="BP18" i="3" s="1"/>
  <c r="BQ18" i="3" s="1"/>
  <c r="CA18" i="3" s="1"/>
  <c r="F13" i="2" s="1"/>
  <c r="BE14" i="3"/>
  <c r="C14" i="3"/>
  <c r="B14" i="3"/>
  <c r="A14" i="3"/>
  <c r="BY13" i="3"/>
  <c r="BU13" i="3"/>
  <c r="BN13" i="3"/>
  <c r="BM13" i="3"/>
  <c r="BL13" i="3"/>
  <c r="BK13" i="3"/>
  <c r="BI13" i="3"/>
  <c r="C13" i="3"/>
  <c r="B13" i="3"/>
  <c r="A13" i="3"/>
  <c r="BY12" i="3"/>
  <c r="BU12" i="3"/>
  <c r="BN12" i="3"/>
  <c r="BM12" i="3"/>
  <c r="BL12" i="3"/>
  <c r="BK12" i="3"/>
  <c r="BE12" i="3"/>
  <c r="BG12" i="3" s="1"/>
  <c r="C12" i="3"/>
  <c r="B12" i="3"/>
  <c r="A12" i="3"/>
  <c r="BY11" i="3"/>
  <c r="BU11" i="3"/>
  <c r="BN11" i="3"/>
  <c r="BM11" i="3"/>
  <c r="BL11" i="3"/>
  <c r="BK11" i="3"/>
  <c r="BE11" i="3"/>
  <c r="BG11" i="3" s="1"/>
  <c r="C11" i="3"/>
  <c r="B11" i="3"/>
  <c r="A11" i="3"/>
  <c r="BY10" i="3"/>
  <c r="BU10" i="3"/>
  <c r="BN10" i="3"/>
  <c r="BM10" i="3"/>
  <c r="BL10" i="3"/>
  <c r="BK10" i="3"/>
  <c r="BE10" i="3"/>
  <c r="BG10" i="3" s="1"/>
  <c r="C10" i="3"/>
  <c r="B10" i="3"/>
  <c r="A10" i="3"/>
  <c r="BY9" i="3"/>
  <c r="BU9" i="3"/>
  <c r="BN9" i="3"/>
  <c r="BM9" i="3"/>
  <c r="BL9" i="3"/>
  <c r="BK9" i="3"/>
  <c r="BE9" i="3"/>
  <c r="BG9" i="3" s="1"/>
  <c r="C9" i="3"/>
  <c r="B9" i="3"/>
  <c r="A9" i="3"/>
  <c r="BI8" i="3"/>
  <c r="BG8" i="3"/>
  <c r="BO12" i="3" s="1"/>
  <c r="BP12" i="3" s="1"/>
  <c r="BQ12" i="3" s="1"/>
  <c r="CA12" i="3" s="1"/>
  <c r="F7" i="2" s="1"/>
  <c r="BE8" i="3"/>
  <c r="C8" i="3"/>
  <c r="B8" i="3"/>
  <c r="A8" i="3"/>
  <c r="BE7" i="3"/>
  <c r="BG7" i="3" s="1"/>
  <c r="C7" i="3"/>
  <c r="B7" i="3"/>
  <c r="A7" i="3"/>
  <c r="BI6" i="3"/>
  <c r="BG6" i="3"/>
  <c r="BO10" i="3" s="1"/>
  <c r="BP10" i="3" s="1"/>
  <c r="BQ10" i="3" s="1"/>
  <c r="CA10" i="3" s="1"/>
  <c r="F5" i="2" s="1"/>
  <c r="BE6" i="3"/>
  <c r="C6" i="3"/>
  <c r="B6" i="3"/>
  <c r="A6" i="3"/>
  <c r="BE5" i="3"/>
  <c r="BG5" i="3" s="1"/>
  <c r="C5" i="3"/>
  <c r="B5" i="3"/>
  <c r="A5" i="3"/>
  <c r="A1" i="3"/>
  <c r="L61" i="2"/>
  <c r="K61" i="2"/>
  <c r="J61" i="2"/>
  <c r="G61" i="2"/>
  <c r="E61" i="2"/>
  <c r="C61" i="2"/>
  <c r="B61" i="2"/>
  <c r="A61" i="2"/>
  <c r="I60" i="2"/>
  <c r="E60" i="2"/>
  <c r="D60" i="2"/>
  <c r="C60" i="2"/>
  <c r="B60" i="2"/>
  <c r="A60" i="2"/>
  <c r="L59" i="2"/>
  <c r="J59" i="2"/>
  <c r="H59" i="2"/>
  <c r="D59" i="2"/>
  <c r="C59" i="2"/>
  <c r="B59" i="2"/>
  <c r="A59" i="2"/>
  <c r="J58" i="2"/>
  <c r="E58" i="2"/>
  <c r="C58" i="2"/>
  <c r="B58" i="2"/>
  <c r="A58" i="2"/>
  <c r="K57" i="2"/>
  <c r="I57" i="2"/>
  <c r="G57" i="2"/>
  <c r="C57" i="2"/>
  <c r="B57" i="2"/>
  <c r="A57" i="2"/>
  <c r="J56" i="2"/>
  <c r="E56" i="2"/>
  <c r="D56" i="2"/>
  <c r="C56" i="2"/>
  <c r="B56" i="2"/>
  <c r="A56" i="2"/>
  <c r="L55" i="2"/>
  <c r="J55" i="2"/>
  <c r="E55" i="2"/>
  <c r="D55" i="2"/>
  <c r="C55" i="2"/>
  <c r="B55" i="2"/>
  <c r="A55" i="2"/>
  <c r="D54" i="2"/>
  <c r="C54" i="2"/>
  <c r="B54" i="2"/>
  <c r="A54" i="2"/>
  <c r="K53" i="2"/>
  <c r="J53" i="2"/>
  <c r="I53" i="2"/>
  <c r="H53" i="2"/>
  <c r="C53" i="2"/>
  <c r="B53" i="2"/>
  <c r="A53" i="2"/>
  <c r="K52" i="2"/>
  <c r="J52" i="2"/>
  <c r="E52" i="2"/>
  <c r="C52" i="2"/>
  <c r="B52" i="2"/>
  <c r="A52" i="2"/>
  <c r="L51" i="2"/>
  <c r="K51" i="2"/>
  <c r="J51" i="2"/>
  <c r="I51" i="2"/>
  <c r="H51" i="2"/>
  <c r="D51" i="2"/>
  <c r="C51" i="2"/>
  <c r="B51" i="2"/>
  <c r="A51" i="2"/>
  <c r="J50" i="2"/>
  <c r="G50" i="2"/>
  <c r="C50" i="2"/>
  <c r="B50" i="2"/>
  <c r="A50" i="2"/>
  <c r="I49" i="2"/>
  <c r="H49" i="2"/>
  <c r="D49" i="2"/>
  <c r="C49" i="2"/>
  <c r="B49" i="2"/>
  <c r="A49" i="2"/>
  <c r="J48" i="2"/>
  <c r="I48" i="2"/>
  <c r="E48" i="2"/>
  <c r="C48" i="2"/>
  <c r="B48" i="2"/>
  <c r="A48" i="2"/>
  <c r="L47" i="2"/>
  <c r="K47" i="2"/>
  <c r="I47" i="2"/>
  <c r="E47" i="2"/>
  <c r="C47" i="2"/>
  <c r="B47" i="2"/>
  <c r="A47" i="2"/>
  <c r="J46" i="2"/>
  <c r="I46" i="2"/>
  <c r="H46" i="2"/>
  <c r="D46" i="2"/>
  <c r="C46" i="2"/>
  <c r="B46" i="2"/>
  <c r="A46" i="2"/>
  <c r="L45" i="2"/>
  <c r="I45" i="2"/>
  <c r="C45" i="2"/>
  <c r="B45" i="2"/>
  <c r="A45" i="2"/>
  <c r="K44" i="2"/>
  <c r="H44" i="2"/>
  <c r="G44" i="2"/>
  <c r="C44" i="2"/>
  <c r="B44" i="2"/>
  <c r="A44" i="2"/>
  <c r="L43" i="2"/>
  <c r="K43" i="2"/>
  <c r="J43" i="2"/>
  <c r="I43" i="2"/>
  <c r="H43" i="2"/>
  <c r="G43" i="2"/>
  <c r="E43" i="2"/>
  <c r="C43" i="2"/>
  <c r="B43" i="2"/>
  <c r="A43" i="2"/>
  <c r="L42" i="2"/>
  <c r="H42" i="2"/>
  <c r="G42" i="2"/>
  <c r="C42" i="2"/>
  <c r="B42" i="2"/>
  <c r="A42" i="2"/>
  <c r="L41" i="2"/>
  <c r="J41" i="2"/>
  <c r="E41" i="2"/>
  <c r="D41" i="2"/>
  <c r="C41" i="2"/>
  <c r="B41" i="2"/>
  <c r="A41" i="2"/>
  <c r="L40" i="2"/>
  <c r="K40" i="2"/>
  <c r="J40" i="2"/>
  <c r="H40" i="2"/>
  <c r="C40" i="2"/>
  <c r="B40" i="2"/>
  <c r="A40" i="2"/>
  <c r="L39" i="2"/>
  <c r="J39" i="2"/>
  <c r="H39" i="2"/>
  <c r="D39" i="2"/>
  <c r="C39" i="2"/>
  <c r="B39" i="2"/>
  <c r="A39" i="2"/>
  <c r="L38" i="2"/>
  <c r="J38" i="2"/>
  <c r="E38" i="2"/>
  <c r="C38" i="2"/>
  <c r="B38" i="2"/>
  <c r="A38" i="2"/>
  <c r="L37" i="2"/>
  <c r="I37" i="2"/>
  <c r="D37" i="2"/>
  <c r="C37" i="2"/>
  <c r="B37" i="2"/>
  <c r="A37" i="2"/>
  <c r="L36" i="2"/>
  <c r="K36" i="2"/>
  <c r="I36" i="2"/>
  <c r="G36" i="2"/>
  <c r="E36" i="2"/>
  <c r="D36" i="2"/>
  <c r="C36" i="2"/>
  <c r="B36" i="2"/>
  <c r="A36" i="2"/>
  <c r="L35" i="2"/>
  <c r="K35" i="2"/>
  <c r="J35" i="2"/>
  <c r="H35" i="2"/>
  <c r="E35" i="2"/>
  <c r="D35" i="2"/>
  <c r="C35" i="2"/>
  <c r="B35" i="2"/>
  <c r="A35" i="2"/>
  <c r="L34" i="2"/>
  <c r="J34" i="2"/>
  <c r="I34" i="2"/>
  <c r="E34" i="2"/>
  <c r="C34" i="2"/>
  <c r="B34" i="2"/>
  <c r="A34" i="2"/>
  <c r="L33" i="2"/>
  <c r="I33" i="2"/>
  <c r="D33" i="2"/>
  <c r="C33" i="2"/>
  <c r="B33" i="2"/>
  <c r="A33" i="2"/>
  <c r="L32" i="2"/>
  <c r="K32" i="2"/>
  <c r="I32" i="2"/>
  <c r="G32" i="2"/>
  <c r="C32" i="2"/>
  <c r="B32" i="2"/>
  <c r="A32" i="2"/>
  <c r="L31" i="2"/>
  <c r="J31" i="2"/>
  <c r="E31" i="2"/>
  <c r="C31" i="2"/>
  <c r="B31" i="2"/>
  <c r="A31" i="2"/>
  <c r="K30" i="2"/>
  <c r="I30" i="2"/>
  <c r="H30" i="2"/>
  <c r="D30" i="2"/>
  <c r="C30" i="2"/>
  <c r="B30" i="2"/>
  <c r="A30" i="2"/>
  <c r="L29" i="2"/>
  <c r="I29" i="2"/>
  <c r="C29" i="2"/>
  <c r="B29" i="2"/>
  <c r="A29" i="2"/>
  <c r="J28" i="2"/>
  <c r="C28" i="2"/>
  <c r="B28" i="2"/>
  <c r="A28" i="2"/>
  <c r="L27" i="2"/>
  <c r="J27" i="2"/>
  <c r="H27" i="2"/>
  <c r="C27" i="2"/>
  <c r="B27" i="2"/>
  <c r="A27" i="2"/>
  <c r="K26" i="2"/>
  <c r="G26" i="2"/>
  <c r="C26" i="2"/>
  <c r="B26" i="2"/>
  <c r="A26" i="2"/>
  <c r="L25" i="2"/>
  <c r="I25" i="2"/>
  <c r="G25" i="2"/>
  <c r="C25" i="2"/>
  <c r="B25" i="2"/>
  <c r="A25" i="2"/>
  <c r="K24" i="2"/>
  <c r="J24" i="2"/>
  <c r="C24" i="2"/>
  <c r="B24" i="2"/>
  <c r="A24" i="2"/>
  <c r="L23" i="2"/>
  <c r="J23" i="2"/>
  <c r="H23" i="2"/>
  <c r="D23" i="2"/>
  <c r="C23" i="2"/>
  <c r="B23" i="2"/>
  <c r="A23" i="2"/>
  <c r="K22" i="2"/>
  <c r="I22" i="2"/>
  <c r="D22" i="2"/>
  <c r="C22" i="2"/>
  <c r="B22" i="2"/>
  <c r="A22" i="2"/>
  <c r="L21" i="2"/>
  <c r="J21" i="2"/>
  <c r="I21" i="2"/>
  <c r="C21" i="2"/>
  <c r="B21" i="2"/>
  <c r="A21" i="2"/>
  <c r="K20" i="2"/>
  <c r="J20" i="2"/>
  <c r="I20" i="2"/>
  <c r="H20" i="2"/>
  <c r="E20" i="2"/>
  <c r="D20" i="2"/>
  <c r="C20" i="2"/>
  <c r="B20" i="2"/>
  <c r="A20" i="2"/>
  <c r="L19" i="2"/>
  <c r="H19" i="2"/>
  <c r="G19" i="2"/>
  <c r="E19" i="2"/>
  <c r="C19" i="2"/>
  <c r="B19" i="2"/>
  <c r="A19" i="2"/>
  <c r="L18" i="2"/>
  <c r="J18" i="2"/>
  <c r="I18" i="2"/>
  <c r="H18" i="2"/>
  <c r="C18" i="2"/>
  <c r="B18" i="2"/>
  <c r="A18" i="2"/>
  <c r="L17" i="2"/>
  <c r="I17" i="2"/>
  <c r="C17" i="2"/>
  <c r="B17" i="2"/>
  <c r="A17" i="2"/>
  <c r="K16" i="2"/>
  <c r="I16" i="2"/>
  <c r="H16" i="2"/>
  <c r="C16" i="2"/>
  <c r="B16" i="2"/>
  <c r="A16" i="2"/>
  <c r="L15" i="2"/>
  <c r="J15" i="2"/>
  <c r="G15" i="2"/>
  <c r="C15" i="2"/>
  <c r="B15" i="2"/>
  <c r="A15" i="2"/>
  <c r="K14" i="2"/>
  <c r="J14" i="2"/>
  <c r="G14" i="2"/>
  <c r="E14" i="2"/>
  <c r="C14" i="2"/>
  <c r="B14" i="2"/>
  <c r="A14" i="2"/>
  <c r="L13" i="2"/>
  <c r="J13" i="2"/>
  <c r="E13" i="2"/>
  <c r="C13" i="2"/>
  <c r="B13" i="2"/>
  <c r="A13" i="2"/>
  <c r="K12" i="2"/>
  <c r="J12" i="2"/>
  <c r="H12" i="2"/>
  <c r="C12" i="2"/>
  <c r="B12" i="2"/>
  <c r="A12" i="2"/>
  <c r="L11" i="2"/>
  <c r="I11" i="2"/>
  <c r="G11" i="2"/>
  <c r="D11" i="2"/>
  <c r="C11" i="2"/>
  <c r="B11" i="2"/>
  <c r="A11" i="2"/>
  <c r="L10" i="2"/>
  <c r="K10" i="2"/>
  <c r="H10" i="2"/>
  <c r="C10" i="2"/>
  <c r="B10" i="2"/>
  <c r="A10" i="2"/>
  <c r="L9" i="2"/>
  <c r="J9" i="2"/>
  <c r="I9" i="2"/>
  <c r="G9" i="2"/>
  <c r="C9" i="2"/>
  <c r="B9" i="2"/>
  <c r="A9" i="2"/>
  <c r="L8" i="2"/>
  <c r="K8" i="2"/>
  <c r="C8" i="2"/>
  <c r="B8" i="2"/>
  <c r="A8" i="2"/>
  <c r="L7" i="2"/>
  <c r="J7" i="2"/>
  <c r="I7" i="2"/>
  <c r="G7" i="2"/>
  <c r="E7" i="2"/>
  <c r="C7" i="2"/>
  <c r="B7" i="2"/>
  <c r="A7" i="2"/>
  <c r="K6" i="2"/>
  <c r="J6" i="2"/>
  <c r="H6" i="2"/>
  <c r="D6" i="2"/>
  <c r="C6" i="2"/>
  <c r="B6" i="2"/>
  <c r="A6" i="2"/>
  <c r="K5" i="2"/>
  <c r="J5" i="2"/>
  <c r="H5" i="2"/>
  <c r="C5" i="2"/>
  <c r="B5" i="2"/>
  <c r="A5" i="2"/>
  <c r="L4" i="2"/>
  <c r="J4" i="2"/>
  <c r="I4" i="2"/>
  <c r="D4" i="2"/>
  <c r="C4" i="2"/>
  <c r="B4" i="2"/>
  <c r="A4" i="2"/>
  <c r="H62" i="1"/>
  <c r="AD61" i="1"/>
  <c r="AC61" i="1"/>
  <c r="AB61" i="1"/>
  <c r="Z61" i="1"/>
  <c r="Y61" i="1"/>
  <c r="W61" i="1"/>
  <c r="V61" i="1"/>
  <c r="X61" i="1" s="1"/>
  <c r="U61" i="1"/>
  <c r="T61" i="1"/>
  <c r="S61" i="1"/>
  <c r="R61" i="1"/>
  <c r="Q61" i="1"/>
  <c r="P61" i="1"/>
  <c r="N61" i="1"/>
  <c r="M61" i="1"/>
  <c r="O61" i="1" s="1"/>
  <c r="I61" i="1"/>
  <c r="H61" i="1"/>
  <c r="G61" i="1"/>
  <c r="E61" i="1"/>
  <c r="AF61" i="1" s="1"/>
  <c r="D61" i="1"/>
  <c r="AD60" i="1"/>
  <c r="AC60" i="1"/>
  <c r="AB60" i="1"/>
  <c r="AA60" i="1"/>
  <c r="Z60" i="1"/>
  <c r="Y60" i="1"/>
  <c r="W60" i="1"/>
  <c r="V60" i="1"/>
  <c r="T60" i="1"/>
  <c r="S60" i="1"/>
  <c r="U60" i="1" s="1"/>
  <c r="R60" i="1"/>
  <c r="Q60" i="1"/>
  <c r="P60" i="1"/>
  <c r="N60" i="1"/>
  <c r="I60" i="1"/>
  <c r="H60" i="1"/>
  <c r="G60" i="1"/>
  <c r="F60" i="1"/>
  <c r="E60" i="1"/>
  <c r="D60" i="1"/>
  <c r="AF59" i="1"/>
  <c r="AC59" i="1"/>
  <c r="AB59" i="1"/>
  <c r="AD59" i="1" s="1"/>
  <c r="AA59" i="1"/>
  <c r="Z59" i="1"/>
  <c r="Y59" i="1"/>
  <c r="X59" i="1"/>
  <c r="W59" i="1"/>
  <c r="V59" i="1"/>
  <c r="T59" i="1"/>
  <c r="S59" i="1"/>
  <c r="U59" i="1" s="1"/>
  <c r="Q59" i="1"/>
  <c r="P59" i="1"/>
  <c r="R59" i="1" s="1"/>
  <c r="O59" i="1"/>
  <c r="N59" i="1"/>
  <c r="M59" i="1"/>
  <c r="K59" i="1"/>
  <c r="H59" i="1"/>
  <c r="G59" i="1"/>
  <c r="I59" i="1" s="1"/>
  <c r="E59" i="1"/>
  <c r="D59" i="1"/>
  <c r="AD58" i="1"/>
  <c r="AC58" i="1"/>
  <c r="AB58" i="1"/>
  <c r="Z58" i="1"/>
  <c r="Y58" i="1"/>
  <c r="AA58" i="1" s="1"/>
  <c r="W58" i="1"/>
  <c r="V58" i="1"/>
  <c r="X58" i="1" s="1"/>
  <c r="U58" i="1"/>
  <c r="T58" i="1"/>
  <c r="S58" i="1"/>
  <c r="R58" i="1"/>
  <c r="Q58" i="1"/>
  <c r="P58" i="1"/>
  <c r="N58" i="1"/>
  <c r="M58" i="1"/>
  <c r="K58" i="1"/>
  <c r="J58" i="1"/>
  <c r="L58" i="1" s="1"/>
  <c r="I58" i="1"/>
  <c r="H58" i="1"/>
  <c r="G58" i="1"/>
  <c r="F58" i="1"/>
  <c r="E58" i="1"/>
  <c r="D58" i="1"/>
  <c r="AE58" i="1" s="1"/>
  <c r="AC57" i="1"/>
  <c r="AB57" i="1"/>
  <c r="AD57" i="1" s="1"/>
  <c r="AA57" i="1"/>
  <c r="Z57" i="1"/>
  <c r="Y57" i="1"/>
  <c r="X57" i="1"/>
  <c r="W57" i="1"/>
  <c r="V57" i="1"/>
  <c r="T57" i="1"/>
  <c r="S57" i="1"/>
  <c r="U57" i="1" s="1"/>
  <c r="Q57" i="1"/>
  <c r="P57" i="1"/>
  <c r="R57" i="1" s="1"/>
  <c r="O57" i="1"/>
  <c r="N57" i="1"/>
  <c r="M57" i="1"/>
  <c r="K57" i="1"/>
  <c r="H57" i="1"/>
  <c r="AF57" i="1" s="1"/>
  <c r="G57" i="1"/>
  <c r="E57" i="1"/>
  <c r="D57" i="1"/>
  <c r="AD56" i="1"/>
  <c r="AC56" i="1"/>
  <c r="AB56" i="1"/>
  <c r="Z56" i="1"/>
  <c r="Y56" i="1"/>
  <c r="AA56" i="1" s="1"/>
  <c r="W56" i="1"/>
  <c r="V56" i="1"/>
  <c r="X56" i="1" s="1"/>
  <c r="U56" i="1"/>
  <c r="T56" i="1"/>
  <c r="S56" i="1"/>
  <c r="R56" i="1"/>
  <c r="Q56" i="1"/>
  <c r="P56" i="1"/>
  <c r="N56" i="1"/>
  <c r="M56" i="1"/>
  <c r="K56" i="1"/>
  <c r="J56" i="1"/>
  <c r="L56" i="1" s="1"/>
  <c r="I56" i="1"/>
  <c r="H56" i="1"/>
  <c r="G56" i="1"/>
  <c r="F56" i="1"/>
  <c r="E56" i="1"/>
  <c r="AF56" i="1" s="1"/>
  <c r="D56" i="1"/>
  <c r="AC55" i="1"/>
  <c r="AB55" i="1"/>
  <c r="AD55" i="1" s="1"/>
  <c r="AA55" i="1"/>
  <c r="Z55" i="1"/>
  <c r="Y55" i="1"/>
  <c r="X55" i="1"/>
  <c r="W55" i="1"/>
  <c r="V55" i="1"/>
  <c r="T55" i="1"/>
  <c r="S55" i="1"/>
  <c r="Q55" i="1"/>
  <c r="P55" i="1"/>
  <c r="R55" i="1" s="1"/>
  <c r="O55" i="1"/>
  <c r="N55" i="1"/>
  <c r="M55" i="1"/>
  <c r="K55" i="1"/>
  <c r="H55" i="1"/>
  <c r="AF55" i="1" s="1"/>
  <c r="G55" i="1"/>
  <c r="E55" i="1"/>
  <c r="D55" i="1"/>
  <c r="AD54" i="1"/>
  <c r="AC54" i="1"/>
  <c r="AB54" i="1"/>
  <c r="Z54" i="1"/>
  <c r="Y54" i="1"/>
  <c r="W54" i="1"/>
  <c r="V54" i="1"/>
  <c r="X54" i="1" s="1"/>
  <c r="U54" i="1"/>
  <c r="T54" i="1"/>
  <c r="S54" i="1"/>
  <c r="R54" i="1"/>
  <c r="Q54" i="1"/>
  <c r="P54" i="1"/>
  <c r="N54" i="1"/>
  <c r="M54" i="1"/>
  <c r="O54" i="1" s="1"/>
  <c r="K54" i="1"/>
  <c r="J54" i="1"/>
  <c r="L54" i="1" s="1"/>
  <c r="I54" i="1"/>
  <c r="H54" i="1"/>
  <c r="G54" i="1"/>
  <c r="F54" i="1"/>
  <c r="E54" i="1"/>
  <c r="D54" i="1"/>
  <c r="AF53" i="1"/>
  <c r="AC53" i="1"/>
  <c r="AB53" i="1"/>
  <c r="AD53" i="1" s="1"/>
  <c r="AA53" i="1"/>
  <c r="Z53" i="1"/>
  <c r="Y53" i="1"/>
  <c r="X53" i="1"/>
  <c r="W53" i="1"/>
  <c r="V53" i="1"/>
  <c r="T53" i="1"/>
  <c r="S53" i="1"/>
  <c r="Q53" i="1"/>
  <c r="P53" i="1"/>
  <c r="R53" i="1" s="1"/>
  <c r="O53" i="1"/>
  <c r="N53" i="1"/>
  <c r="M53" i="1"/>
  <c r="K53" i="1"/>
  <c r="H53" i="1"/>
  <c r="G53" i="1"/>
  <c r="I53" i="1" s="1"/>
  <c r="E53" i="1"/>
  <c r="D53" i="1"/>
  <c r="AD52" i="1"/>
  <c r="AC52" i="1"/>
  <c r="AB52" i="1"/>
  <c r="Z52" i="1"/>
  <c r="Y52" i="1"/>
  <c r="W52" i="1"/>
  <c r="V52" i="1"/>
  <c r="X52" i="1" s="1"/>
  <c r="U52" i="1"/>
  <c r="T52" i="1"/>
  <c r="S52" i="1"/>
  <c r="R52" i="1"/>
  <c r="Q52" i="1"/>
  <c r="P52" i="1"/>
  <c r="N52" i="1"/>
  <c r="K52" i="1"/>
  <c r="J52" i="1"/>
  <c r="L52" i="1" s="1"/>
  <c r="I52" i="1"/>
  <c r="H52" i="1"/>
  <c r="G52" i="1"/>
  <c r="E52" i="1"/>
  <c r="AC51" i="1"/>
  <c r="AB51" i="1"/>
  <c r="AD51" i="1" s="1"/>
  <c r="AA51" i="1"/>
  <c r="Z51" i="1"/>
  <c r="Y51" i="1"/>
  <c r="X51" i="1"/>
  <c r="W51" i="1"/>
  <c r="V51" i="1"/>
  <c r="T51" i="1"/>
  <c r="S51" i="1"/>
  <c r="Q51" i="1"/>
  <c r="P51" i="1"/>
  <c r="R51" i="1" s="1"/>
  <c r="O51" i="1"/>
  <c r="N51" i="1"/>
  <c r="M51" i="1"/>
  <c r="K51" i="1"/>
  <c r="H51" i="1"/>
  <c r="AF51" i="1" s="1"/>
  <c r="G51" i="1"/>
  <c r="E51" i="1"/>
  <c r="D51" i="1"/>
  <c r="AD50" i="1"/>
  <c r="AC50" i="1"/>
  <c r="AB50" i="1"/>
  <c r="Z50" i="1"/>
  <c r="Y50" i="1"/>
  <c r="W50" i="1"/>
  <c r="V50" i="1"/>
  <c r="X50" i="1" s="1"/>
  <c r="U50" i="1"/>
  <c r="T50" i="1"/>
  <c r="S50" i="1"/>
  <c r="R50" i="1"/>
  <c r="Q50" i="1"/>
  <c r="P50" i="1"/>
  <c r="N50" i="1"/>
  <c r="M50" i="1"/>
  <c r="O50" i="1" s="1"/>
  <c r="K50" i="1"/>
  <c r="J50" i="1"/>
  <c r="L50" i="1" s="1"/>
  <c r="I50" i="1"/>
  <c r="H50" i="1"/>
  <c r="G50" i="1"/>
  <c r="F50" i="1"/>
  <c r="E50" i="1"/>
  <c r="D50" i="1"/>
  <c r="AF49" i="1"/>
  <c r="AC49" i="1"/>
  <c r="AB49" i="1"/>
  <c r="AD49" i="1" s="1"/>
  <c r="AA49" i="1"/>
  <c r="Z49" i="1"/>
  <c r="Y49" i="1"/>
  <c r="X49" i="1"/>
  <c r="W49" i="1"/>
  <c r="V49" i="1"/>
  <c r="T49" i="1"/>
  <c r="S49" i="1"/>
  <c r="Q49" i="1"/>
  <c r="P49" i="1"/>
  <c r="R49" i="1" s="1"/>
  <c r="O49" i="1"/>
  <c r="N49" i="1"/>
  <c r="M49" i="1"/>
  <c r="K49" i="1"/>
  <c r="H49" i="1"/>
  <c r="G49" i="1"/>
  <c r="I49" i="1" s="1"/>
  <c r="E49" i="1"/>
  <c r="D49" i="1"/>
  <c r="AC48" i="1"/>
  <c r="Z48" i="1"/>
  <c r="Y48" i="1"/>
  <c r="W48" i="1"/>
  <c r="V48" i="1"/>
  <c r="X48" i="1" s="1"/>
  <c r="U48" i="1"/>
  <c r="T48" i="1"/>
  <c r="S48" i="1"/>
  <c r="R48" i="1"/>
  <c r="Q48" i="1"/>
  <c r="P48" i="1"/>
  <c r="N48" i="1"/>
  <c r="M48" i="1"/>
  <c r="O48" i="1" s="1"/>
  <c r="K48" i="1"/>
  <c r="J48" i="1"/>
  <c r="L48" i="1" s="1"/>
  <c r="I48" i="1"/>
  <c r="H48" i="1"/>
  <c r="G48" i="1"/>
  <c r="F48" i="1"/>
  <c r="E48" i="1"/>
  <c r="D48" i="1"/>
  <c r="AF47" i="1"/>
  <c r="AC47" i="1"/>
  <c r="AB47" i="1"/>
  <c r="AD47" i="1" s="1"/>
  <c r="AA47" i="1"/>
  <c r="Z47" i="1"/>
  <c r="Y47" i="1"/>
  <c r="X47" i="1"/>
  <c r="W47" i="1"/>
  <c r="V47" i="1"/>
  <c r="T47" i="1"/>
  <c r="S47" i="1"/>
  <c r="Q47" i="1"/>
  <c r="P47" i="1"/>
  <c r="R47" i="1" s="1"/>
  <c r="O47" i="1"/>
  <c r="N47" i="1"/>
  <c r="M47" i="1"/>
  <c r="K47" i="1"/>
  <c r="H47" i="1"/>
  <c r="G47" i="1"/>
  <c r="I47" i="1" s="1"/>
  <c r="E47" i="1"/>
  <c r="D47" i="1"/>
  <c r="AD46" i="1"/>
  <c r="AC46" i="1"/>
  <c r="AB46" i="1"/>
  <c r="Z46" i="1"/>
  <c r="Y46" i="1"/>
  <c r="W46" i="1"/>
  <c r="V46" i="1"/>
  <c r="X46" i="1" s="1"/>
  <c r="U46" i="1"/>
  <c r="T46" i="1"/>
  <c r="S46" i="1"/>
  <c r="R46" i="1"/>
  <c r="Q46" i="1"/>
  <c r="P46" i="1"/>
  <c r="N46" i="1"/>
  <c r="M46" i="1"/>
  <c r="O46" i="1" s="1"/>
  <c r="K46" i="1"/>
  <c r="J46" i="1"/>
  <c r="L46" i="1" s="1"/>
  <c r="I46" i="1"/>
  <c r="H46" i="1"/>
  <c r="G46" i="1"/>
  <c r="F46" i="1"/>
  <c r="E46" i="1"/>
  <c r="D46" i="1"/>
  <c r="AE46" i="1" s="1"/>
  <c r="AC45" i="1"/>
  <c r="AB45" i="1"/>
  <c r="AD45" i="1" s="1"/>
  <c r="AA45" i="1"/>
  <c r="Z45" i="1"/>
  <c r="Y45" i="1"/>
  <c r="X45" i="1"/>
  <c r="W45" i="1"/>
  <c r="V45" i="1"/>
  <c r="T45" i="1"/>
  <c r="S45" i="1"/>
  <c r="U45" i="1" s="1"/>
  <c r="Q45" i="1"/>
  <c r="P45" i="1"/>
  <c r="R45" i="1" s="1"/>
  <c r="O45" i="1"/>
  <c r="N45" i="1"/>
  <c r="M45" i="1"/>
  <c r="L45" i="1"/>
  <c r="K45" i="1"/>
  <c r="J45" i="1"/>
  <c r="H45" i="1"/>
  <c r="AF45" i="1" s="1"/>
  <c r="G45" i="1"/>
  <c r="E45" i="1"/>
  <c r="AD44" i="1"/>
  <c r="AC44" i="1"/>
  <c r="AB44" i="1"/>
  <c r="Z44" i="1"/>
  <c r="Y44" i="1"/>
  <c r="AA44" i="1" s="1"/>
  <c r="W44" i="1"/>
  <c r="V44" i="1"/>
  <c r="X44" i="1" s="1"/>
  <c r="U44" i="1"/>
  <c r="T44" i="1"/>
  <c r="S44" i="1"/>
  <c r="R44" i="1"/>
  <c r="Q44" i="1"/>
  <c r="P44" i="1"/>
  <c r="N44" i="1"/>
  <c r="M44" i="1"/>
  <c r="K44" i="1"/>
  <c r="J44" i="1"/>
  <c r="L44" i="1" s="1"/>
  <c r="I44" i="1"/>
  <c r="H44" i="1"/>
  <c r="G44" i="1"/>
  <c r="F44" i="1"/>
  <c r="E44" i="1"/>
  <c r="AF44" i="1" s="1"/>
  <c r="D44" i="1"/>
  <c r="AC43" i="1"/>
  <c r="AB43" i="1"/>
  <c r="AD43" i="1" s="1"/>
  <c r="AA43" i="1"/>
  <c r="Z43" i="1"/>
  <c r="Y43" i="1"/>
  <c r="X43" i="1"/>
  <c r="W43" i="1"/>
  <c r="V43" i="1"/>
  <c r="T43" i="1"/>
  <c r="S43" i="1"/>
  <c r="Q43" i="1"/>
  <c r="P43" i="1"/>
  <c r="R43" i="1" s="1"/>
  <c r="O43" i="1"/>
  <c r="N43" i="1"/>
  <c r="M43" i="1"/>
  <c r="K43" i="1"/>
  <c r="H43" i="1"/>
  <c r="AF43" i="1" s="1"/>
  <c r="G43" i="1"/>
  <c r="E43" i="1"/>
  <c r="D43" i="1"/>
  <c r="AD42" i="1"/>
  <c r="AC42" i="1"/>
  <c r="AB42" i="1"/>
  <c r="Z42" i="1"/>
  <c r="Y42" i="1"/>
  <c r="W42" i="1"/>
  <c r="V42" i="1"/>
  <c r="X42" i="1" s="1"/>
  <c r="U42" i="1"/>
  <c r="T42" i="1"/>
  <c r="S42" i="1"/>
  <c r="R42" i="1"/>
  <c r="Q42" i="1"/>
  <c r="P42" i="1"/>
  <c r="N42" i="1"/>
  <c r="M42" i="1"/>
  <c r="O42" i="1" s="1"/>
  <c r="K42" i="1"/>
  <c r="I42" i="1"/>
  <c r="H42" i="1"/>
  <c r="G42" i="1"/>
  <c r="F42" i="1"/>
  <c r="E42" i="1"/>
  <c r="D42" i="1"/>
  <c r="AF41" i="1"/>
  <c r="AC41" i="1"/>
  <c r="AB41" i="1"/>
  <c r="AD41" i="1" s="1"/>
  <c r="AA41" i="1"/>
  <c r="Z41" i="1"/>
  <c r="Y41" i="1"/>
  <c r="X41" i="1"/>
  <c r="W41" i="1"/>
  <c r="V41" i="1"/>
  <c r="T41" i="1"/>
  <c r="S41" i="1"/>
  <c r="Q41" i="1"/>
  <c r="P41" i="1"/>
  <c r="R41" i="1" s="1"/>
  <c r="O41" i="1"/>
  <c r="N41" i="1"/>
  <c r="M41" i="1"/>
  <c r="L41" i="1"/>
  <c r="K41" i="1"/>
  <c r="J41" i="1"/>
  <c r="H41" i="1"/>
  <c r="G41" i="1"/>
  <c r="I41" i="1" s="1"/>
  <c r="E41" i="1"/>
  <c r="D41" i="1"/>
  <c r="AD40" i="1"/>
  <c r="AC40" i="1"/>
  <c r="AB40" i="1"/>
  <c r="Z40" i="1"/>
  <c r="Y40" i="1"/>
  <c r="AA40" i="1" s="1"/>
  <c r="W40" i="1"/>
  <c r="V40" i="1"/>
  <c r="X40" i="1" s="1"/>
  <c r="U40" i="1"/>
  <c r="T40" i="1"/>
  <c r="S40" i="1"/>
  <c r="R40" i="1"/>
  <c r="Q40" i="1"/>
  <c r="P40" i="1"/>
  <c r="N40" i="1"/>
  <c r="M40" i="1"/>
  <c r="K40" i="1"/>
  <c r="J40" i="1"/>
  <c r="L40" i="1" s="1"/>
  <c r="I40" i="1"/>
  <c r="H40" i="1"/>
  <c r="G40" i="1"/>
  <c r="F40" i="1"/>
  <c r="E40" i="1"/>
  <c r="D40" i="1"/>
  <c r="AE40" i="1" s="1"/>
  <c r="AC39" i="1"/>
  <c r="AB39" i="1"/>
  <c r="AD39" i="1" s="1"/>
  <c r="AA39" i="1"/>
  <c r="Z39" i="1"/>
  <c r="Y39" i="1"/>
  <c r="X39" i="1"/>
  <c r="W39" i="1"/>
  <c r="V39" i="1"/>
  <c r="T39" i="1"/>
  <c r="S39" i="1"/>
  <c r="U39" i="1" s="1"/>
  <c r="Q39" i="1"/>
  <c r="P39" i="1"/>
  <c r="R39" i="1" s="1"/>
  <c r="O39" i="1"/>
  <c r="N39" i="1"/>
  <c r="M39" i="1"/>
  <c r="K39" i="1"/>
  <c r="H39" i="1"/>
  <c r="AF39" i="1" s="1"/>
  <c r="G39" i="1"/>
  <c r="E39" i="1"/>
  <c r="D39" i="1"/>
  <c r="AD38" i="1"/>
  <c r="AC38" i="1"/>
  <c r="AB38" i="1"/>
  <c r="Z38" i="1"/>
  <c r="Y38" i="1"/>
  <c r="AA38" i="1" s="1"/>
  <c r="W38" i="1"/>
  <c r="V38" i="1"/>
  <c r="X38" i="1" s="1"/>
  <c r="U38" i="1"/>
  <c r="T38" i="1"/>
  <c r="S38" i="1"/>
  <c r="R38" i="1"/>
  <c r="Q38" i="1"/>
  <c r="P38" i="1"/>
  <c r="N38" i="1"/>
  <c r="M38" i="1"/>
  <c r="K38" i="1"/>
  <c r="J38" i="1"/>
  <c r="L38" i="1" s="1"/>
  <c r="I38" i="1"/>
  <c r="H38" i="1"/>
  <c r="G38" i="1"/>
  <c r="F38" i="1"/>
  <c r="E38" i="1"/>
  <c r="AF38" i="1" s="1"/>
  <c r="D38" i="1"/>
  <c r="AC37" i="1"/>
  <c r="AB37" i="1"/>
  <c r="AD37" i="1" s="1"/>
  <c r="AA37" i="1"/>
  <c r="Z37" i="1"/>
  <c r="Y37" i="1"/>
  <c r="X37" i="1"/>
  <c r="W37" i="1"/>
  <c r="V37" i="1"/>
  <c r="T37" i="1"/>
  <c r="AF37" i="1" s="1"/>
  <c r="S37" i="1"/>
  <c r="Q37" i="1"/>
  <c r="P37" i="1"/>
  <c r="R37" i="1" s="1"/>
  <c r="O37" i="1"/>
  <c r="N37" i="1"/>
  <c r="M37" i="1"/>
  <c r="L37" i="1"/>
  <c r="K37" i="1"/>
  <c r="J37" i="1"/>
  <c r="H37" i="1"/>
  <c r="G37" i="1"/>
  <c r="I37" i="1" s="1"/>
  <c r="E37" i="1"/>
  <c r="D37" i="1"/>
  <c r="AD36" i="1"/>
  <c r="AC36" i="1"/>
  <c r="AB36" i="1"/>
  <c r="Z36" i="1"/>
  <c r="Y36" i="1"/>
  <c r="W36" i="1"/>
  <c r="V36" i="1"/>
  <c r="X36" i="1" s="1"/>
  <c r="U36" i="1"/>
  <c r="T36" i="1"/>
  <c r="S36" i="1"/>
  <c r="R36" i="1"/>
  <c r="Q36" i="1"/>
  <c r="P36" i="1"/>
  <c r="N36" i="1"/>
  <c r="M36" i="1"/>
  <c r="O36" i="1" s="1"/>
  <c r="K36" i="1"/>
  <c r="J36" i="1"/>
  <c r="L36" i="1" s="1"/>
  <c r="H36" i="1"/>
  <c r="G36" i="1"/>
  <c r="I36" i="1" s="1"/>
  <c r="F36" i="1"/>
  <c r="E36" i="1"/>
  <c r="D36" i="1"/>
  <c r="AC35" i="1"/>
  <c r="AB35" i="1"/>
  <c r="AD35" i="1" s="1"/>
  <c r="Z35" i="1"/>
  <c r="Y35" i="1"/>
  <c r="AA35" i="1" s="1"/>
  <c r="X35" i="1"/>
  <c r="W35" i="1"/>
  <c r="V35" i="1"/>
  <c r="T35" i="1"/>
  <c r="S35" i="1"/>
  <c r="Q35" i="1"/>
  <c r="P35" i="1"/>
  <c r="R35" i="1" s="1"/>
  <c r="N35" i="1"/>
  <c r="M35" i="1"/>
  <c r="O35" i="1" s="1"/>
  <c r="K35" i="1"/>
  <c r="H35" i="1"/>
  <c r="AF35" i="1" s="1"/>
  <c r="G35" i="1"/>
  <c r="E35" i="1"/>
  <c r="D35" i="1"/>
  <c r="AD34" i="1"/>
  <c r="AC34" i="1"/>
  <c r="AB34" i="1"/>
  <c r="Z34" i="1"/>
  <c r="Y34" i="1"/>
  <c r="AA34" i="1" s="1"/>
  <c r="W34" i="1"/>
  <c r="V34" i="1"/>
  <c r="X34" i="1" s="1"/>
  <c r="T34" i="1"/>
  <c r="S34" i="1"/>
  <c r="U34" i="1" s="1"/>
  <c r="R34" i="1"/>
  <c r="Q34" i="1"/>
  <c r="P34" i="1"/>
  <c r="N34" i="1"/>
  <c r="K34" i="1"/>
  <c r="J34" i="1"/>
  <c r="L34" i="1" s="1"/>
  <c r="H34" i="1"/>
  <c r="G34" i="1"/>
  <c r="I34" i="1" s="1"/>
  <c r="F34" i="1"/>
  <c r="E34" i="1"/>
  <c r="D34" i="1"/>
  <c r="AC33" i="1"/>
  <c r="AB33" i="1"/>
  <c r="AD33" i="1" s="1"/>
  <c r="Z33" i="1"/>
  <c r="Y33" i="1"/>
  <c r="AA33" i="1" s="1"/>
  <c r="X33" i="1"/>
  <c r="W33" i="1"/>
  <c r="V33" i="1"/>
  <c r="T33" i="1"/>
  <c r="U33" i="1" s="1"/>
  <c r="S33" i="1"/>
  <c r="Q33" i="1"/>
  <c r="P33" i="1"/>
  <c r="R33" i="1" s="1"/>
  <c r="N33" i="1"/>
  <c r="M33" i="1"/>
  <c r="O33" i="1" s="1"/>
  <c r="L33" i="1"/>
  <c r="K33" i="1"/>
  <c r="J33" i="1"/>
  <c r="H33" i="1"/>
  <c r="I33" i="1" s="1"/>
  <c r="G33" i="1"/>
  <c r="E33" i="1"/>
  <c r="D33" i="1"/>
  <c r="AD32" i="1"/>
  <c r="AC32" i="1"/>
  <c r="AB32" i="1"/>
  <c r="Z32" i="1"/>
  <c r="AA32" i="1" s="1"/>
  <c r="Y32" i="1"/>
  <c r="W32" i="1"/>
  <c r="V32" i="1"/>
  <c r="X32" i="1" s="1"/>
  <c r="T32" i="1"/>
  <c r="S32" i="1"/>
  <c r="U32" i="1" s="1"/>
  <c r="R32" i="1"/>
  <c r="Q32" i="1"/>
  <c r="P32" i="1"/>
  <c r="N32" i="1"/>
  <c r="O32" i="1" s="1"/>
  <c r="M32" i="1"/>
  <c r="K32" i="1"/>
  <c r="J32" i="1"/>
  <c r="L32" i="1" s="1"/>
  <c r="H32" i="1"/>
  <c r="G32" i="1"/>
  <c r="I32" i="1" s="1"/>
  <c r="F32" i="1"/>
  <c r="E32" i="1"/>
  <c r="AF32" i="1" s="1"/>
  <c r="D32" i="1"/>
  <c r="AC31" i="1"/>
  <c r="AB31" i="1"/>
  <c r="AD31" i="1" s="1"/>
  <c r="Z31" i="1"/>
  <c r="Y31" i="1"/>
  <c r="AA31" i="1" s="1"/>
  <c r="X31" i="1"/>
  <c r="W31" i="1"/>
  <c r="V31" i="1"/>
  <c r="T31" i="1"/>
  <c r="U31" i="1" s="1"/>
  <c r="S31" i="1"/>
  <c r="Q31" i="1"/>
  <c r="N31" i="1"/>
  <c r="M31" i="1"/>
  <c r="O31" i="1" s="1"/>
  <c r="K31" i="1"/>
  <c r="H31" i="1"/>
  <c r="I31" i="1" s="1"/>
  <c r="G31" i="1"/>
  <c r="E31" i="1"/>
  <c r="D31" i="1"/>
  <c r="AD30" i="1"/>
  <c r="AC30" i="1"/>
  <c r="AB30" i="1"/>
  <c r="Z30" i="1"/>
  <c r="AA30" i="1" s="1"/>
  <c r="Y30" i="1"/>
  <c r="W30" i="1"/>
  <c r="V30" i="1"/>
  <c r="X30" i="1" s="1"/>
  <c r="T30" i="1"/>
  <c r="S30" i="1"/>
  <c r="U30" i="1" s="1"/>
  <c r="R30" i="1"/>
  <c r="Q30" i="1"/>
  <c r="P30" i="1"/>
  <c r="N30" i="1"/>
  <c r="O30" i="1" s="1"/>
  <c r="M30" i="1"/>
  <c r="K30" i="1"/>
  <c r="J30" i="1"/>
  <c r="L30" i="1" s="1"/>
  <c r="H30" i="1"/>
  <c r="G30" i="1"/>
  <c r="I30" i="1" s="1"/>
  <c r="F30" i="1"/>
  <c r="E30" i="1"/>
  <c r="AF30" i="1" s="1"/>
  <c r="D30" i="1"/>
  <c r="AC29" i="1"/>
  <c r="AB29" i="1"/>
  <c r="AD29" i="1" s="1"/>
  <c r="Z29" i="1"/>
  <c r="Y29" i="1"/>
  <c r="AA29" i="1" s="1"/>
  <c r="X29" i="1"/>
  <c r="W29" i="1"/>
  <c r="V29" i="1"/>
  <c r="T29" i="1"/>
  <c r="U29" i="1" s="1"/>
  <c r="S29" i="1"/>
  <c r="Q29" i="1"/>
  <c r="P29" i="1"/>
  <c r="R29" i="1" s="1"/>
  <c r="N29" i="1"/>
  <c r="M29" i="1"/>
  <c r="O29" i="1" s="1"/>
  <c r="L29" i="1"/>
  <c r="K29" i="1"/>
  <c r="J29" i="1"/>
  <c r="I29" i="1"/>
  <c r="H29" i="1"/>
  <c r="G29" i="1"/>
  <c r="E29" i="1"/>
  <c r="AF29" i="1" s="1"/>
  <c r="D29" i="1"/>
  <c r="AD28" i="1"/>
  <c r="AC28" i="1"/>
  <c r="AB28" i="1"/>
  <c r="AA28" i="1"/>
  <c r="Z28" i="1"/>
  <c r="Y28" i="1"/>
  <c r="W28" i="1"/>
  <c r="V28" i="1"/>
  <c r="T28" i="1"/>
  <c r="S28" i="1"/>
  <c r="U28" i="1" s="1"/>
  <c r="R28" i="1"/>
  <c r="Q28" i="1"/>
  <c r="P28" i="1"/>
  <c r="N28" i="1"/>
  <c r="M28" i="1"/>
  <c r="O28" i="1" s="1"/>
  <c r="K28" i="1"/>
  <c r="J28" i="1"/>
  <c r="AE28" i="1" s="1"/>
  <c r="I28" i="1"/>
  <c r="H28" i="1"/>
  <c r="G28" i="1"/>
  <c r="F28" i="1"/>
  <c r="E28" i="1"/>
  <c r="D28" i="1"/>
  <c r="AC27" i="1"/>
  <c r="AB27" i="1"/>
  <c r="AD27" i="1" s="1"/>
  <c r="AA27" i="1"/>
  <c r="Z27" i="1"/>
  <c r="Y27" i="1"/>
  <c r="X27" i="1"/>
  <c r="W27" i="1"/>
  <c r="V27" i="1"/>
  <c r="T27" i="1"/>
  <c r="S27" i="1"/>
  <c r="U27" i="1" s="1"/>
  <c r="Q27" i="1"/>
  <c r="P27" i="1"/>
  <c r="R27" i="1" s="1"/>
  <c r="O27" i="1"/>
  <c r="N27" i="1"/>
  <c r="M27" i="1"/>
  <c r="K27" i="1"/>
  <c r="H27" i="1"/>
  <c r="AF27" i="1" s="1"/>
  <c r="G27" i="1"/>
  <c r="I27" i="1" s="1"/>
  <c r="E27" i="1"/>
  <c r="D27" i="1"/>
  <c r="AD26" i="1"/>
  <c r="AC26" i="1"/>
  <c r="AB26" i="1"/>
  <c r="Z26" i="1"/>
  <c r="Y26" i="1"/>
  <c r="AA26" i="1" s="1"/>
  <c r="W26" i="1"/>
  <c r="V26" i="1"/>
  <c r="X26" i="1" s="1"/>
  <c r="U26" i="1"/>
  <c r="T26" i="1"/>
  <c r="S26" i="1"/>
  <c r="Q26" i="1"/>
  <c r="N26" i="1"/>
  <c r="M26" i="1"/>
  <c r="O26" i="1" s="1"/>
  <c r="K26" i="1"/>
  <c r="J26" i="1"/>
  <c r="L26" i="1" s="1"/>
  <c r="I26" i="1"/>
  <c r="H26" i="1"/>
  <c r="G26" i="1"/>
  <c r="F26" i="1"/>
  <c r="E26" i="1"/>
  <c r="AF26" i="1" s="1"/>
  <c r="D26" i="1"/>
  <c r="AC25" i="1"/>
  <c r="AB25" i="1"/>
  <c r="AD25" i="1" s="1"/>
  <c r="AA25" i="1"/>
  <c r="Z25" i="1"/>
  <c r="Y25" i="1"/>
  <c r="X25" i="1"/>
  <c r="W25" i="1"/>
  <c r="V25" i="1"/>
  <c r="T25" i="1"/>
  <c r="S25" i="1"/>
  <c r="U25" i="1" s="1"/>
  <c r="Q25" i="1"/>
  <c r="P25" i="1"/>
  <c r="R25" i="1" s="1"/>
  <c r="O25" i="1"/>
  <c r="N25" i="1"/>
  <c r="M25" i="1"/>
  <c r="L25" i="1"/>
  <c r="K25" i="1"/>
  <c r="J25" i="1"/>
  <c r="H25" i="1"/>
  <c r="AF25" i="1" s="1"/>
  <c r="G25" i="1"/>
  <c r="I25" i="1" s="1"/>
  <c r="E25" i="1"/>
  <c r="D25" i="1"/>
  <c r="AE25" i="1" s="1"/>
  <c r="AG25" i="1" s="1"/>
  <c r="AD24" i="1"/>
  <c r="AC24" i="1"/>
  <c r="AB24" i="1"/>
  <c r="Z24" i="1"/>
  <c r="Y24" i="1"/>
  <c r="AA24" i="1" s="1"/>
  <c r="W24" i="1"/>
  <c r="V24" i="1"/>
  <c r="X24" i="1" s="1"/>
  <c r="U24" i="1"/>
  <c r="T24" i="1"/>
  <c r="S24" i="1"/>
  <c r="R24" i="1"/>
  <c r="Q24" i="1"/>
  <c r="P24" i="1"/>
  <c r="N24" i="1"/>
  <c r="M24" i="1"/>
  <c r="O24" i="1" s="1"/>
  <c r="K24" i="1"/>
  <c r="J24" i="1"/>
  <c r="L24" i="1" s="1"/>
  <c r="I24" i="1"/>
  <c r="H24" i="1"/>
  <c r="G24" i="1"/>
  <c r="AE24" i="1" s="1"/>
  <c r="F24" i="1"/>
  <c r="E24" i="1"/>
  <c r="AF24" i="1" s="1"/>
  <c r="D24" i="1"/>
  <c r="AC23" i="1"/>
  <c r="AB23" i="1"/>
  <c r="AD23" i="1" s="1"/>
  <c r="AA23" i="1"/>
  <c r="Z23" i="1"/>
  <c r="Y23" i="1"/>
  <c r="X23" i="1"/>
  <c r="W23" i="1"/>
  <c r="V23" i="1"/>
  <c r="T23" i="1"/>
  <c r="S23" i="1"/>
  <c r="U23" i="1" s="1"/>
  <c r="Q23" i="1"/>
  <c r="P23" i="1"/>
  <c r="R23" i="1" s="1"/>
  <c r="O23" i="1"/>
  <c r="N23" i="1"/>
  <c r="M23" i="1"/>
  <c r="K23" i="1"/>
  <c r="H23" i="1"/>
  <c r="AF23" i="1" s="1"/>
  <c r="G23" i="1"/>
  <c r="I23" i="1" s="1"/>
  <c r="E23" i="1"/>
  <c r="D23" i="1"/>
  <c r="AD22" i="1"/>
  <c r="AC22" i="1"/>
  <c r="AB22" i="1"/>
  <c r="Z22" i="1"/>
  <c r="Y22" i="1"/>
  <c r="AA22" i="1" s="1"/>
  <c r="W22" i="1"/>
  <c r="V22" i="1"/>
  <c r="X22" i="1" s="1"/>
  <c r="U22" i="1"/>
  <c r="T22" i="1"/>
  <c r="S22" i="1"/>
  <c r="R22" i="1"/>
  <c r="Q22" i="1"/>
  <c r="P22" i="1"/>
  <c r="N22" i="1"/>
  <c r="M22" i="1"/>
  <c r="O22" i="1" s="1"/>
  <c r="K22" i="1"/>
  <c r="J22" i="1"/>
  <c r="L22" i="1" s="1"/>
  <c r="I22" i="1"/>
  <c r="H22" i="1"/>
  <c r="G22" i="1"/>
  <c r="AE22" i="1" s="1"/>
  <c r="F22" i="1"/>
  <c r="E22" i="1"/>
  <c r="AF22" i="1" s="1"/>
  <c r="D22" i="1"/>
  <c r="AC21" i="1"/>
  <c r="AB21" i="1"/>
  <c r="AD21" i="1" s="1"/>
  <c r="AA21" i="1"/>
  <c r="Z21" i="1"/>
  <c r="Y21" i="1"/>
  <c r="X21" i="1"/>
  <c r="W21" i="1"/>
  <c r="V21" i="1"/>
  <c r="T21" i="1"/>
  <c r="S21" i="1"/>
  <c r="U21" i="1" s="1"/>
  <c r="Q21" i="1"/>
  <c r="P21" i="1"/>
  <c r="R21" i="1" s="1"/>
  <c r="O21" i="1"/>
  <c r="N21" i="1"/>
  <c r="M21" i="1"/>
  <c r="L21" i="1"/>
  <c r="K21" i="1"/>
  <c r="J21" i="1"/>
  <c r="H21" i="1"/>
  <c r="AF21" i="1" s="1"/>
  <c r="G21" i="1"/>
  <c r="I21" i="1" s="1"/>
  <c r="E21" i="1"/>
  <c r="D21" i="1"/>
  <c r="AE21" i="1" s="1"/>
  <c r="AG21" i="1" s="1"/>
  <c r="AD20" i="1"/>
  <c r="AC20" i="1"/>
  <c r="AB20" i="1"/>
  <c r="Z20" i="1"/>
  <c r="Y20" i="1"/>
  <c r="AA20" i="1" s="1"/>
  <c r="W20" i="1"/>
  <c r="V20" i="1"/>
  <c r="X20" i="1" s="1"/>
  <c r="U20" i="1"/>
  <c r="T20" i="1"/>
  <c r="S20" i="1"/>
  <c r="R20" i="1"/>
  <c r="Q20" i="1"/>
  <c r="P20" i="1"/>
  <c r="N20" i="1"/>
  <c r="M20" i="1"/>
  <c r="O20" i="1" s="1"/>
  <c r="K20" i="1"/>
  <c r="J20" i="1"/>
  <c r="L20" i="1" s="1"/>
  <c r="I20" i="1"/>
  <c r="H20" i="1"/>
  <c r="G20" i="1"/>
  <c r="AE20" i="1" s="1"/>
  <c r="F20" i="1"/>
  <c r="E20" i="1"/>
  <c r="AF20" i="1" s="1"/>
  <c r="D20" i="1"/>
  <c r="AC19" i="1"/>
  <c r="AB19" i="1"/>
  <c r="AD19" i="1" s="1"/>
  <c r="AA19" i="1"/>
  <c r="Z19" i="1"/>
  <c r="Y19" i="1"/>
  <c r="X19" i="1"/>
  <c r="W19" i="1"/>
  <c r="V19" i="1"/>
  <c r="T19" i="1"/>
  <c r="S19" i="1"/>
  <c r="U19" i="1" s="1"/>
  <c r="Q19" i="1"/>
  <c r="P19" i="1"/>
  <c r="R19" i="1" s="1"/>
  <c r="O19" i="1"/>
  <c r="N19" i="1"/>
  <c r="M19" i="1"/>
  <c r="L19" i="1"/>
  <c r="K19" i="1"/>
  <c r="J19" i="1"/>
  <c r="H19" i="1"/>
  <c r="AF19" i="1" s="1"/>
  <c r="G19" i="1"/>
  <c r="I19" i="1" s="1"/>
  <c r="E19" i="1"/>
  <c r="D19" i="1"/>
  <c r="AE19" i="1" s="1"/>
  <c r="AD18" i="1"/>
  <c r="AC18" i="1"/>
  <c r="AB18" i="1"/>
  <c r="Z18" i="1"/>
  <c r="Y18" i="1"/>
  <c r="AA18" i="1" s="1"/>
  <c r="W18" i="1"/>
  <c r="V18" i="1"/>
  <c r="X18" i="1" s="1"/>
  <c r="U18" i="1"/>
  <c r="T18" i="1"/>
  <c r="S18" i="1"/>
  <c r="R18" i="1"/>
  <c r="Q18" i="1"/>
  <c r="P18" i="1"/>
  <c r="N18" i="1"/>
  <c r="M18" i="1"/>
  <c r="O18" i="1" s="1"/>
  <c r="K18" i="1"/>
  <c r="J18" i="1"/>
  <c r="L18" i="1" s="1"/>
  <c r="I18" i="1"/>
  <c r="H18" i="1"/>
  <c r="G18" i="1"/>
  <c r="AE18" i="1" s="1"/>
  <c r="AG18" i="1" s="1"/>
  <c r="F18" i="1"/>
  <c r="E18" i="1"/>
  <c r="AF18" i="1" s="1"/>
  <c r="D18" i="1"/>
  <c r="AC17" i="1"/>
  <c r="AB17" i="1"/>
  <c r="AD17" i="1" s="1"/>
  <c r="AA17" i="1"/>
  <c r="Z17" i="1"/>
  <c r="Y17" i="1"/>
  <c r="X17" i="1"/>
  <c r="W17" i="1"/>
  <c r="V17" i="1"/>
  <c r="T17" i="1"/>
  <c r="S17" i="1"/>
  <c r="U17" i="1" s="1"/>
  <c r="Q17" i="1"/>
  <c r="P17" i="1"/>
  <c r="R17" i="1" s="1"/>
  <c r="O17" i="1"/>
  <c r="N17" i="1"/>
  <c r="M17" i="1"/>
  <c r="L17" i="1"/>
  <c r="K17" i="1"/>
  <c r="J17" i="1"/>
  <c r="H17" i="1"/>
  <c r="AF17" i="1" s="1"/>
  <c r="G17" i="1"/>
  <c r="I17" i="1" s="1"/>
  <c r="E17" i="1"/>
  <c r="D17" i="1"/>
  <c r="AE17" i="1" s="1"/>
  <c r="AG17" i="1" s="1"/>
  <c r="AD16" i="1"/>
  <c r="AC16" i="1"/>
  <c r="AB16" i="1"/>
  <c r="Z16" i="1"/>
  <c r="Y16" i="1"/>
  <c r="AA16" i="1" s="1"/>
  <c r="W16" i="1"/>
  <c r="V16" i="1"/>
  <c r="X16" i="1" s="1"/>
  <c r="U16" i="1"/>
  <c r="T16" i="1"/>
  <c r="S16" i="1"/>
  <c r="R16" i="1"/>
  <c r="Q16" i="1"/>
  <c r="P16" i="1"/>
  <c r="N16" i="1"/>
  <c r="M16" i="1"/>
  <c r="O16" i="1" s="1"/>
  <c r="K16" i="1"/>
  <c r="J16" i="1"/>
  <c r="L16" i="1" s="1"/>
  <c r="I16" i="1"/>
  <c r="H16" i="1"/>
  <c r="G16" i="1"/>
  <c r="AE16" i="1" s="1"/>
  <c r="AG16" i="1" s="1"/>
  <c r="F16" i="1"/>
  <c r="E16" i="1"/>
  <c r="AF16" i="1" s="1"/>
  <c r="D16" i="1"/>
  <c r="AC15" i="1"/>
  <c r="AB15" i="1"/>
  <c r="AD15" i="1" s="1"/>
  <c r="AA15" i="1"/>
  <c r="Z15" i="1"/>
  <c r="Y15" i="1"/>
  <c r="X15" i="1"/>
  <c r="W15" i="1"/>
  <c r="V15" i="1"/>
  <c r="T15" i="1"/>
  <c r="S15" i="1"/>
  <c r="U15" i="1" s="1"/>
  <c r="Q15" i="1"/>
  <c r="P15" i="1"/>
  <c r="R15" i="1" s="1"/>
  <c r="O15" i="1"/>
  <c r="N15" i="1"/>
  <c r="M15" i="1"/>
  <c r="L15" i="1"/>
  <c r="K15" i="1"/>
  <c r="J15" i="1"/>
  <c r="H15" i="1"/>
  <c r="AF15" i="1" s="1"/>
  <c r="G15" i="1"/>
  <c r="I15" i="1" s="1"/>
  <c r="E15" i="1"/>
  <c r="D15" i="1"/>
  <c r="AE15" i="1" s="1"/>
  <c r="AD14" i="1"/>
  <c r="AC14" i="1"/>
  <c r="AB14" i="1"/>
  <c r="Z14" i="1"/>
  <c r="Y14" i="1"/>
  <c r="AA14" i="1" s="1"/>
  <c r="W14" i="1"/>
  <c r="V14" i="1"/>
  <c r="X14" i="1" s="1"/>
  <c r="U14" i="1"/>
  <c r="T14" i="1"/>
  <c r="S14" i="1"/>
  <c r="R14" i="1"/>
  <c r="Q14" i="1"/>
  <c r="P14" i="1"/>
  <c r="N14" i="1"/>
  <c r="M14" i="1"/>
  <c r="O14" i="1" s="1"/>
  <c r="K14" i="1"/>
  <c r="J14" i="1"/>
  <c r="L14" i="1" s="1"/>
  <c r="I14" i="1"/>
  <c r="H14" i="1"/>
  <c r="G14" i="1"/>
  <c r="AE14" i="1" s="1"/>
  <c r="F14" i="1"/>
  <c r="E14" i="1"/>
  <c r="AF14" i="1" s="1"/>
  <c r="D14" i="1"/>
  <c r="AC13" i="1"/>
  <c r="AB13" i="1"/>
  <c r="AD13" i="1" s="1"/>
  <c r="AA13" i="1"/>
  <c r="Z13" i="1"/>
  <c r="Y13" i="1"/>
  <c r="X13" i="1"/>
  <c r="W13" i="1"/>
  <c r="V13" i="1"/>
  <c r="T13" i="1"/>
  <c r="S13" i="1"/>
  <c r="U13" i="1" s="1"/>
  <c r="Q13" i="1"/>
  <c r="P13" i="1"/>
  <c r="R13" i="1" s="1"/>
  <c r="O13" i="1"/>
  <c r="N13" i="1"/>
  <c r="M13" i="1"/>
  <c r="L13" i="1"/>
  <c r="K13" i="1"/>
  <c r="J13" i="1"/>
  <c r="H13" i="1"/>
  <c r="AF13" i="1" s="1"/>
  <c r="G13" i="1"/>
  <c r="I13" i="1" s="1"/>
  <c r="E13" i="1"/>
  <c r="D13" i="1"/>
  <c r="AE13" i="1" s="1"/>
  <c r="AG13" i="1" s="1"/>
  <c r="AD12" i="1"/>
  <c r="AC12" i="1"/>
  <c r="AB12" i="1"/>
  <c r="Z12" i="1"/>
  <c r="Y12" i="1"/>
  <c r="AA12" i="1" s="1"/>
  <c r="W12" i="1"/>
  <c r="V12" i="1"/>
  <c r="X12" i="1" s="1"/>
  <c r="U12" i="1"/>
  <c r="T12" i="1"/>
  <c r="S12" i="1"/>
  <c r="R12" i="1"/>
  <c r="Q12" i="1"/>
  <c r="P12" i="1"/>
  <c r="N12" i="1"/>
  <c r="M12" i="1"/>
  <c r="O12" i="1" s="1"/>
  <c r="K12" i="1"/>
  <c r="J12" i="1"/>
  <c r="L12" i="1" s="1"/>
  <c r="I12" i="1"/>
  <c r="H12" i="1"/>
  <c r="G12" i="1"/>
  <c r="AE12" i="1" s="1"/>
  <c r="F12" i="1"/>
  <c r="E12" i="1"/>
  <c r="AF12" i="1" s="1"/>
  <c r="D12" i="1"/>
  <c r="AC11" i="1"/>
  <c r="AB11" i="1"/>
  <c r="AD11" i="1" s="1"/>
  <c r="AA11" i="1"/>
  <c r="Z11" i="1"/>
  <c r="Y11" i="1"/>
  <c r="X11" i="1"/>
  <c r="W11" i="1"/>
  <c r="V11" i="1"/>
  <c r="T11" i="1"/>
  <c r="S11" i="1"/>
  <c r="U11" i="1" s="1"/>
  <c r="Q11" i="1"/>
  <c r="P11" i="1"/>
  <c r="R11" i="1" s="1"/>
  <c r="O11" i="1"/>
  <c r="N11" i="1"/>
  <c r="M11" i="1"/>
  <c r="L11" i="1"/>
  <c r="K11" i="1"/>
  <c r="J11" i="1"/>
  <c r="H11" i="1"/>
  <c r="AF11" i="1" s="1"/>
  <c r="G11" i="1"/>
  <c r="I11" i="1" s="1"/>
  <c r="E11" i="1"/>
  <c r="D11" i="1"/>
  <c r="AE11" i="1" s="1"/>
  <c r="AD10" i="1"/>
  <c r="AC10" i="1"/>
  <c r="AB10" i="1"/>
  <c r="Z10" i="1"/>
  <c r="Y10" i="1"/>
  <c r="AA10" i="1" s="1"/>
  <c r="W10" i="1"/>
  <c r="V10" i="1"/>
  <c r="X10" i="1" s="1"/>
  <c r="U10" i="1"/>
  <c r="T10" i="1"/>
  <c r="S10" i="1"/>
  <c r="R10" i="1"/>
  <c r="Q10" i="1"/>
  <c r="P10" i="1"/>
  <c r="N10" i="1"/>
  <c r="M10" i="1"/>
  <c r="O10" i="1" s="1"/>
  <c r="K10" i="1"/>
  <c r="J10" i="1"/>
  <c r="L10" i="1" s="1"/>
  <c r="I10" i="1"/>
  <c r="H10" i="1"/>
  <c r="G10" i="1"/>
  <c r="AE10" i="1" s="1"/>
  <c r="AG10" i="1" s="1"/>
  <c r="F10" i="1"/>
  <c r="E10" i="1"/>
  <c r="AF10" i="1" s="1"/>
  <c r="D10" i="1"/>
  <c r="AC9" i="1"/>
  <c r="AB9" i="1"/>
  <c r="AD9" i="1" s="1"/>
  <c r="AA9" i="1"/>
  <c r="Z9" i="1"/>
  <c r="Y9" i="1"/>
  <c r="X9" i="1"/>
  <c r="W9" i="1"/>
  <c r="V9" i="1"/>
  <c r="T9" i="1"/>
  <c r="S9" i="1"/>
  <c r="U9" i="1" s="1"/>
  <c r="Q9" i="1"/>
  <c r="P9" i="1"/>
  <c r="R9" i="1" s="1"/>
  <c r="O9" i="1"/>
  <c r="N9" i="1"/>
  <c r="M9" i="1"/>
  <c r="L9" i="1"/>
  <c r="K9" i="1"/>
  <c r="J9" i="1"/>
  <c r="H9" i="1"/>
  <c r="AF9" i="1" s="1"/>
  <c r="G9" i="1"/>
  <c r="I9" i="1" s="1"/>
  <c r="E9" i="1"/>
  <c r="D9" i="1"/>
  <c r="AE9" i="1" s="1"/>
  <c r="AG9" i="1" s="1"/>
  <c r="AD8" i="1"/>
  <c r="AC8" i="1"/>
  <c r="AB8" i="1"/>
  <c r="Z8" i="1"/>
  <c r="Y8" i="1"/>
  <c r="AA8" i="1" s="1"/>
  <c r="W8" i="1"/>
  <c r="V8" i="1"/>
  <c r="X8" i="1" s="1"/>
  <c r="U8" i="1"/>
  <c r="T8" i="1"/>
  <c r="S8" i="1"/>
  <c r="R8" i="1"/>
  <c r="Q8" i="1"/>
  <c r="P8" i="1"/>
  <c r="N8" i="1"/>
  <c r="M8" i="1"/>
  <c r="O8" i="1" s="1"/>
  <c r="K8" i="1"/>
  <c r="J8" i="1"/>
  <c r="L8" i="1" s="1"/>
  <c r="I8" i="1"/>
  <c r="H8" i="1"/>
  <c r="G8" i="1"/>
  <c r="AE8" i="1" s="1"/>
  <c r="AG8" i="1" s="1"/>
  <c r="F8" i="1"/>
  <c r="E8" i="1"/>
  <c r="AF8" i="1" s="1"/>
  <c r="D8" i="1"/>
  <c r="AC7" i="1"/>
  <c r="AB7" i="1"/>
  <c r="AD7" i="1" s="1"/>
  <c r="AA7" i="1"/>
  <c r="Z7" i="1"/>
  <c r="Y7" i="1"/>
  <c r="X7" i="1"/>
  <c r="W7" i="1"/>
  <c r="V7" i="1"/>
  <c r="T7" i="1"/>
  <c r="S7" i="1"/>
  <c r="U7" i="1" s="1"/>
  <c r="Q7" i="1"/>
  <c r="P7" i="1"/>
  <c r="R7" i="1" s="1"/>
  <c r="O7" i="1"/>
  <c r="N7" i="1"/>
  <c r="M7" i="1"/>
  <c r="L7" i="1"/>
  <c r="K7" i="1"/>
  <c r="J7" i="1"/>
  <c r="H7" i="1"/>
  <c r="AF7" i="1" s="1"/>
  <c r="G7" i="1"/>
  <c r="I7" i="1" s="1"/>
  <c r="E7" i="1"/>
  <c r="D7" i="1"/>
  <c r="AE7" i="1" s="1"/>
  <c r="AD6" i="1"/>
  <c r="AC6" i="1"/>
  <c r="AB6" i="1"/>
  <c r="Z6" i="1"/>
  <c r="Y6" i="1"/>
  <c r="AA6" i="1" s="1"/>
  <c r="W6" i="1"/>
  <c r="V6" i="1"/>
  <c r="X6" i="1" s="1"/>
  <c r="U6" i="1"/>
  <c r="T6" i="1"/>
  <c r="S6" i="1"/>
  <c r="R6" i="1"/>
  <c r="Q6" i="1"/>
  <c r="P6" i="1"/>
  <c r="N6" i="1"/>
  <c r="M6" i="1"/>
  <c r="O6" i="1" s="1"/>
  <c r="K6" i="1"/>
  <c r="J6" i="1"/>
  <c r="L6" i="1" s="1"/>
  <c r="I6" i="1"/>
  <c r="H6" i="1"/>
  <c r="G6" i="1"/>
  <c r="AE6" i="1" s="1"/>
  <c r="AG6" i="1" s="1"/>
  <c r="F6" i="1"/>
  <c r="E6" i="1"/>
  <c r="AF6" i="1" s="1"/>
  <c r="D6" i="1"/>
  <c r="AC5" i="1"/>
  <c r="AB5" i="1"/>
  <c r="AD5" i="1" s="1"/>
  <c r="AA5" i="1"/>
  <c r="Z5" i="1"/>
  <c r="Y5" i="1"/>
  <c r="X5" i="1"/>
  <c r="W5" i="1"/>
  <c r="V5" i="1"/>
  <c r="T5" i="1"/>
  <c r="S5" i="1"/>
  <c r="U5" i="1" s="1"/>
  <c r="Q5" i="1"/>
  <c r="P5" i="1"/>
  <c r="R5" i="1" s="1"/>
  <c r="O5" i="1"/>
  <c r="N5" i="1"/>
  <c r="M5" i="1"/>
  <c r="L5" i="1"/>
  <c r="K5" i="1"/>
  <c r="J5" i="1"/>
  <c r="H5" i="1"/>
  <c r="AF5" i="1" s="1"/>
  <c r="G5" i="1"/>
  <c r="I5" i="1" s="1"/>
  <c r="E5" i="1"/>
  <c r="D5" i="1"/>
  <c r="AE5" i="1" s="1"/>
  <c r="AG5" i="1" s="1"/>
  <c r="AD4" i="1"/>
  <c r="AC4" i="1"/>
  <c r="AB4" i="1"/>
  <c r="Z4" i="1"/>
  <c r="Y4" i="1"/>
  <c r="AA4" i="1" s="1"/>
  <c r="W4" i="1"/>
  <c r="V4" i="1"/>
  <c r="X4" i="1" s="1"/>
  <c r="U4" i="1"/>
  <c r="T4" i="1"/>
  <c r="S4" i="1"/>
  <c r="R4" i="1"/>
  <c r="Q4" i="1"/>
  <c r="P4" i="1"/>
  <c r="N4" i="1"/>
  <c r="M4" i="1"/>
  <c r="O4" i="1" s="1"/>
  <c r="K4" i="1"/>
  <c r="J4" i="1"/>
  <c r="L4" i="1" s="1"/>
  <c r="I4" i="1"/>
  <c r="H4" i="1"/>
  <c r="G4" i="1"/>
  <c r="F4" i="1"/>
  <c r="E4" i="1"/>
  <c r="AF4" i="1" s="1"/>
  <c r="D4" i="1"/>
  <c r="AE4" i="1" s="1"/>
  <c r="AG11" i="1" l="1"/>
  <c r="AG19" i="1"/>
  <c r="AE27" i="1"/>
  <c r="AG27" i="1" s="1"/>
  <c r="AE45" i="1"/>
  <c r="AG45" i="1" s="1"/>
  <c r="F45" i="1"/>
  <c r="AG12" i="1"/>
  <c r="AG20" i="1"/>
  <c r="AG24" i="1"/>
  <c r="L60" i="1"/>
  <c r="AG4" i="1"/>
  <c r="AG7" i="1"/>
  <c r="AG14" i="1"/>
  <c r="AG15" i="1"/>
  <c r="AG22" i="1"/>
  <c r="AE23" i="1"/>
  <c r="AG23" i="1" s="1"/>
  <c r="AE29" i="1"/>
  <c r="AG29" i="1" s="1"/>
  <c r="F29" i="1"/>
  <c r="AF33" i="1"/>
  <c r="AF40" i="1"/>
  <c r="AF58" i="1"/>
  <c r="BO28" i="3"/>
  <c r="BP28" i="3" s="1"/>
  <c r="BQ28" i="3" s="1"/>
  <c r="CA28" i="3" s="1"/>
  <c r="F23" i="2" s="1"/>
  <c r="BI24" i="3"/>
  <c r="BO29" i="3"/>
  <c r="BP29" i="3" s="1"/>
  <c r="BQ29" i="3" s="1"/>
  <c r="CA29" i="3" s="1"/>
  <c r="F24" i="2" s="1"/>
  <c r="BN18" i="4"/>
  <c r="BO18" i="4" s="1"/>
  <c r="BP18" i="4" s="1"/>
  <c r="BX18" i="4" s="1"/>
  <c r="D13" i="2" s="1"/>
  <c r="BH14" i="4"/>
  <c r="BM31" i="5"/>
  <c r="BN31" i="5" s="1"/>
  <c r="BO31" i="5" s="1"/>
  <c r="BX31" i="5" s="1"/>
  <c r="H26" i="2" s="1"/>
  <c r="BH27" i="5"/>
  <c r="BM36" i="5"/>
  <c r="BN36" i="5" s="1"/>
  <c r="BO36" i="5" s="1"/>
  <c r="BX36" i="5" s="1"/>
  <c r="H31" i="2" s="1"/>
  <c r="BH32" i="5"/>
  <c r="AO49" i="10"/>
  <c r="AU52" i="10"/>
  <c r="AV52" i="10" s="1"/>
  <c r="AW52" i="10" s="1"/>
  <c r="BA52" i="10" s="1"/>
  <c r="L48" i="2" s="1"/>
  <c r="AB48" i="1"/>
  <c r="AD48" i="1" s="1"/>
  <c r="F35" i="1"/>
  <c r="AE36" i="1"/>
  <c r="AE39" i="1"/>
  <c r="AG39" i="1" s="1"/>
  <c r="F39" i="1"/>
  <c r="AF46" i="1"/>
  <c r="AE48" i="1"/>
  <c r="AE50" i="1"/>
  <c r="AE54" i="1"/>
  <c r="F57" i="1"/>
  <c r="AF60" i="1"/>
  <c r="BO9" i="3"/>
  <c r="BP9" i="3" s="1"/>
  <c r="BQ9" i="3" s="1"/>
  <c r="CA9" i="3" s="1"/>
  <c r="F4" i="2" s="1"/>
  <c r="BI5" i="3"/>
  <c r="BI9" i="3"/>
  <c r="BO13" i="3"/>
  <c r="BP13" i="3" s="1"/>
  <c r="BQ13" i="3" s="1"/>
  <c r="CA13" i="3" s="1"/>
  <c r="F8" i="2" s="1"/>
  <c r="BI10" i="3"/>
  <c r="BO14" i="3"/>
  <c r="BP14" i="3" s="1"/>
  <c r="BQ14" i="3" s="1"/>
  <c r="CA14" i="3" s="1"/>
  <c r="F9" i="2" s="1"/>
  <c r="BO15" i="3"/>
  <c r="BP15" i="3" s="1"/>
  <c r="BQ15" i="3" s="1"/>
  <c r="CA15" i="3" s="1"/>
  <c r="F10" i="2" s="1"/>
  <c r="BI11" i="3"/>
  <c r="BO16" i="3"/>
  <c r="BP16" i="3" s="1"/>
  <c r="BQ16" i="3" s="1"/>
  <c r="CA16" i="3" s="1"/>
  <c r="F11" i="2" s="1"/>
  <c r="BI12" i="3"/>
  <c r="BO19" i="3"/>
  <c r="BP19" i="3" s="1"/>
  <c r="BQ19" i="3" s="1"/>
  <c r="CA19" i="3" s="1"/>
  <c r="F14" i="2" s="1"/>
  <c r="BI15" i="3"/>
  <c r="BO24" i="3"/>
  <c r="BP24" i="3" s="1"/>
  <c r="BQ24" i="3" s="1"/>
  <c r="CA24" i="3" s="1"/>
  <c r="F19" i="2" s="1"/>
  <c r="BI20" i="3"/>
  <c r="BO25" i="3"/>
  <c r="BP25" i="3" s="1"/>
  <c r="BQ25" i="3" s="1"/>
  <c r="CA25" i="3" s="1"/>
  <c r="F20" i="2" s="1"/>
  <c r="BO35" i="3"/>
  <c r="BP35" i="3" s="1"/>
  <c r="BQ35" i="3" s="1"/>
  <c r="CA35" i="3" s="1"/>
  <c r="F30" i="2" s="1"/>
  <c r="BI31" i="3"/>
  <c r="BO33" i="3"/>
  <c r="BP33" i="3" s="1"/>
  <c r="BQ33" i="3" s="1"/>
  <c r="CA33" i="3" s="1"/>
  <c r="F28" i="2" s="1"/>
  <c r="BP38" i="3"/>
  <c r="BQ38" i="3" s="1"/>
  <c r="CA38" i="3" s="1"/>
  <c r="F33" i="2" s="1"/>
  <c r="BO48" i="3"/>
  <c r="BP48" i="3" s="1"/>
  <c r="BQ48" i="3" s="1"/>
  <c r="CA48" i="3" s="1"/>
  <c r="F43" i="2" s="1"/>
  <c r="BI44" i="3"/>
  <c r="J43" i="1"/>
  <c r="L43" i="1" s="1"/>
  <c r="CA46" i="3"/>
  <c r="F41" i="2" s="1"/>
  <c r="BO55" i="3"/>
  <c r="BP55" i="3" s="1"/>
  <c r="BQ55" i="3" s="1"/>
  <c r="CA55" i="3" s="1"/>
  <c r="F50" i="2" s="1"/>
  <c r="BI51" i="3"/>
  <c r="BO59" i="3"/>
  <c r="BP59" i="3" s="1"/>
  <c r="BQ59" i="3" s="1"/>
  <c r="CA59" i="3" s="1"/>
  <c r="F54" i="2" s="1"/>
  <c r="BI55" i="3"/>
  <c r="BO63" i="3"/>
  <c r="BP63" i="3" s="1"/>
  <c r="BQ63" i="3" s="1"/>
  <c r="CA63" i="3" s="1"/>
  <c r="F58" i="2" s="1"/>
  <c r="BI59" i="3"/>
  <c r="CA64" i="3"/>
  <c r="F59" i="2" s="1"/>
  <c r="BN14" i="4"/>
  <c r="BO14" i="4" s="1"/>
  <c r="BP14" i="4" s="1"/>
  <c r="BX14" i="4" s="1"/>
  <c r="D9" i="2" s="1"/>
  <c r="BH10" i="4"/>
  <c r="BN12" i="4"/>
  <c r="BO12" i="4" s="1"/>
  <c r="BP12" i="4" s="1"/>
  <c r="BX12" i="4" s="1"/>
  <c r="D7" i="2" s="1"/>
  <c r="BH53" i="4"/>
  <c r="BN57" i="4"/>
  <c r="BO57" i="4" s="1"/>
  <c r="BP57" i="4" s="1"/>
  <c r="BX57" i="4" s="1"/>
  <c r="D52" i="2" s="1"/>
  <c r="D52" i="1"/>
  <c r="BN58" i="4"/>
  <c r="BO58" i="4" s="1"/>
  <c r="BP58" i="4" s="1"/>
  <c r="BX58" i="4" s="1"/>
  <c r="D53" i="2" s="1"/>
  <c r="BH54" i="4"/>
  <c r="AE33" i="1"/>
  <c r="AG33" i="1" s="1"/>
  <c r="F33" i="1"/>
  <c r="AG46" i="1"/>
  <c r="F51" i="1"/>
  <c r="BO23" i="3"/>
  <c r="BP23" i="3" s="1"/>
  <c r="BQ23" i="3" s="1"/>
  <c r="CA23" i="3" s="1"/>
  <c r="F18" i="2" s="1"/>
  <c r="BI19" i="3"/>
  <c r="BO44" i="3"/>
  <c r="BP44" i="3" s="1"/>
  <c r="BQ44" i="3" s="1"/>
  <c r="CA44" i="3" s="1"/>
  <c r="F39" i="2" s="1"/>
  <c r="BI40" i="3"/>
  <c r="J39" i="1"/>
  <c r="L39" i="1" s="1"/>
  <c r="BO58" i="3"/>
  <c r="BP58" i="3" s="1"/>
  <c r="BQ58" i="3" s="1"/>
  <c r="CA58" i="3" s="1"/>
  <c r="F53" i="2" s="1"/>
  <c r="J53" i="1"/>
  <c r="L53" i="1" s="1"/>
  <c r="BI54" i="3"/>
  <c r="BO62" i="3"/>
  <c r="BP62" i="3" s="1"/>
  <c r="BQ62" i="3" s="1"/>
  <c r="CA62" i="3" s="1"/>
  <c r="F57" i="2" s="1"/>
  <c r="J57" i="1"/>
  <c r="L57" i="1" s="1"/>
  <c r="BI58" i="3"/>
  <c r="F5" i="1"/>
  <c r="F7" i="1"/>
  <c r="F9" i="1"/>
  <c r="F11" i="1"/>
  <c r="F13" i="1"/>
  <c r="F15" i="1"/>
  <c r="F17" i="1"/>
  <c r="F19" i="1"/>
  <c r="F21" i="1"/>
  <c r="F23" i="1"/>
  <c r="J23" i="1"/>
  <c r="L23" i="1" s="1"/>
  <c r="F25" i="1"/>
  <c r="P26" i="1"/>
  <c r="R26" i="1" s="1"/>
  <c r="F27" i="1"/>
  <c r="L28" i="1"/>
  <c r="AE30" i="1"/>
  <c r="AG30" i="1" s="1"/>
  <c r="AF31" i="1"/>
  <c r="AF34" i="1"/>
  <c r="AF36" i="1"/>
  <c r="AA36" i="1"/>
  <c r="AE38" i="1"/>
  <c r="AG38" i="1" s="1"/>
  <c r="O38" i="1"/>
  <c r="AE41" i="1"/>
  <c r="AG41" i="1" s="1"/>
  <c r="F41" i="1"/>
  <c r="U41" i="1"/>
  <c r="AF42" i="1"/>
  <c r="I43" i="1"/>
  <c r="AE44" i="1"/>
  <c r="AG44" i="1" s="1"/>
  <c r="O44" i="1"/>
  <c r="AA46" i="1"/>
  <c r="U47" i="1"/>
  <c r="AF48" i="1"/>
  <c r="U49" i="1"/>
  <c r="AF50" i="1"/>
  <c r="I51" i="1"/>
  <c r="AF52" i="1"/>
  <c r="AA52" i="1"/>
  <c r="U53" i="1"/>
  <c r="AF54" i="1"/>
  <c r="I55" i="1"/>
  <c r="AE56" i="1"/>
  <c r="AG56" i="1" s="1"/>
  <c r="O56" i="1"/>
  <c r="F59" i="1"/>
  <c r="X60" i="1"/>
  <c r="AA61" i="1"/>
  <c r="BO20" i="3"/>
  <c r="BP20" i="3" s="1"/>
  <c r="BQ20" i="3" s="1"/>
  <c r="CA20" i="3" s="1"/>
  <c r="F15" i="2" s="1"/>
  <c r="BI16" i="3"/>
  <c r="BO21" i="3"/>
  <c r="BP21" i="3" s="1"/>
  <c r="BQ21" i="3" s="1"/>
  <c r="CA21" i="3" s="1"/>
  <c r="F16" i="2" s="1"/>
  <c r="BO31" i="3"/>
  <c r="BP31" i="3" s="1"/>
  <c r="BQ31" i="3" s="1"/>
  <c r="CA31" i="3" s="1"/>
  <c r="F26" i="2" s="1"/>
  <c r="BI27" i="3"/>
  <c r="BO36" i="3"/>
  <c r="BP36" i="3" s="1"/>
  <c r="BQ36" i="3" s="1"/>
  <c r="CA36" i="3" s="1"/>
  <c r="F31" i="2" s="1"/>
  <c r="BI32" i="3"/>
  <c r="J31" i="1"/>
  <c r="L31" i="1" s="1"/>
  <c r="BO39" i="3"/>
  <c r="BP39" i="3" s="1"/>
  <c r="BQ39" i="3" s="1"/>
  <c r="CA39" i="3" s="1"/>
  <c r="F34" i="2" s="1"/>
  <c r="BI35" i="3"/>
  <c r="CA37" i="3"/>
  <c r="F32" i="2" s="1"/>
  <c r="BP42" i="3"/>
  <c r="BQ42" i="3" s="1"/>
  <c r="CA42" i="3" s="1"/>
  <c r="F37" i="2" s="1"/>
  <c r="BO52" i="3"/>
  <c r="BP52" i="3" s="1"/>
  <c r="BQ52" i="3" s="1"/>
  <c r="CA52" i="3" s="1"/>
  <c r="F47" i="2" s="1"/>
  <c r="J47" i="1"/>
  <c r="L47" i="1" s="1"/>
  <c r="BI48" i="3"/>
  <c r="BO56" i="3"/>
  <c r="BP56" i="3" s="1"/>
  <c r="BQ56" i="3" s="1"/>
  <c r="CA56" i="3" s="1"/>
  <c r="F51" i="2" s="1"/>
  <c r="J51" i="1"/>
  <c r="L51" i="1" s="1"/>
  <c r="BI52" i="3"/>
  <c r="BO60" i="3"/>
  <c r="BP60" i="3" s="1"/>
  <c r="BQ60" i="3" s="1"/>
  <c r="CA60" i="3" s="1"/>
  <c r="F55" i="2" s="1"/>
  <c r="J55" i="1"/>
  <c r="L55" i="1" s="1"/>
  <c r="BI56" i="3"/>
  <c r="J59" i="1"/>
  <c r="L59" i="1" s="1"/>
  <c r="BI60" i="3"/>
  <c r="BX23" i="4"/>
  <c r="D18" i="2" s="1"/>
  <c r="BN26" i="4"/>
  <c r="BO26" i="4" s="1"/>
  <c r="BP26" i="4" s="1"/>
  <c r="BX26" i="4" s="1"/>
  <c r="D21" i="2" s="1"/>
  <c r="BH22" i="4"/>
  <c r="BM27" i="5"/>
  <c r="BN27" i="5" s="1"/>
  <c r="BO27" i="5" s="1"/>
  <c r="BX27" i="5" s="1"/>
  <c r="H22" i="2" s="1"/>
  <c r="BH23" i="5"/>
  <c r="BH30" i="5"/>
  <c r="BM34" i="5"/>
  <c r="BN34" i="5" s="1"/>
  <c r="BO34" i="5" s="1"/>
  <c r="BX34" i="5" s="1"/>
  <c r="H29" i="2" s="1"/>
  <c r="BN27" i="7"/>
  <c r="BO27" i="7" s="1"/>
  <c r="BP27" i="7" s="1"/>
  <c r="BY27" i="7" s="1"/>
  <c r="G22" i="2" s="1"/>
  <c r="BH23" i="7"/>
  <c r="AE43" i="1"/>
  <c r="AG43" i="1" s="1"/>
  <c r="F43" i="1"/>
  <c r="F55" i="1"/>
  <c r="BO47" i="3"/>
  <c r="BP47" i="3" s="1"/>
  <c r="BQ47" i="3" s="1"/>
  <c r="CA47" i="3" s="1"/>
  <c r="F42" i="2" s="1"/>
  <c r="BI43" i="3"/>
  <c r="BO54" i="3"/>
  <c r="BP54" i="3" s="1"/>
  <c r="BQ54" i="3" s="1"/>
  <c r="CA54" i="3" s="1"/>
  <c r="F49" i="2" s="1"/>
  <c r="J49" i="1"/>
  <c r="L49" i="1" s="1"/>
  <c r="BI50" i="3"/>
  <c r="BO66" i="3"/>
  <c r="BP66" i="3" s="1"/>
  <c r="BQ66" i="3" s="1"/>
  <c r="CA66" i="3" s="1"/>
  <c r="F61" i="2" s="1"/>
  <c r="BI62" i="3"/>
  <c r="J61" i="1"/>
  <c r="L61" i="1" s="1"/>
  <c r="BN34" i="4"/>
  <c r="BO34" i="4" s="1"/>
  <c r="BP34" i="4" s="1"/>
  <c r="BX34" i="4" s="1"/>
  <c r="D29" i="2" s="1"/>
  <c r="BH30" i="4"/>
  <c r="BN39" i="7"/>
  <c r="BO39" i="7" s="1"/>
  <c r="BP39" i="7" s="1"/>
  <c r="BY39" i="7" s="1"/>
  <c r="G34" i="2" s="1"/>
  <c r="BH35" i="7"/>
  <c r="M34" i="1"/>
  <c r="O34" i="1" s="1"/>
  <c r="AF28" i="1"/>
  <c r="AG28" i="1" s="1"/>
  <c r="X28" i="1"/>
  <c r="AE31" i="1"/>
  <c r="AG31" i="1" s="1"/>
  <c r="F31" i="1"/>
  <c r="P31" i="1"/>
  <c r="R31" i="1" s="1"/>
  <c r="AE32" i="1"/>
  <c r="AG32" i="1" s="1"/>
  <c r="I35" i="1"/>
  <c r="U35" i="1"/>
  <c r="AE37" i="1"/>
  <c r="AG37" i="1" s="1"/>
  <c r="F37" i="1"/>
  <c r="U37" i="1"/>
  <c r="I39" i="1"/>
  <c r="AG40" i="1"/>
  <c r="O40" i="1"/>
  <c r="J42" i="1"/>
  <c r="L42" i="1" s="1"/>
  <c r="AA42" i="1"/>
  <c r="U43" i="1"/>
  <c r="I45" i="1"/>
  <c r="AE47" i="1"/>
  <c r="AG47" i="1" s="1"/>
  <c r="F47" i="1"/>
  <c r="AA48" i="1"/>
  <c r="F49" i="1"/>
  <c r="AA50" i="1"/>
  <c r="U51" i="1"/>
  <c r="F53" i="1"/>
  <c r="AA54" i="1"/>
  <c r="U55" i="1"/>
  <c r="I57" i="1"/>
  <c r="AG58" i="1"/>
  <c r="O58" i="1"/>
  <c r="AE61" i="1"/>
  <c r="AG61" i="1" s="1"/>
  <c r="BO11" i="3"/>
  <c r="BP11" i="3" s="1"/>
  <c r="BQ11" i="3" s="1"/>
  <c r="CA11" i="3" s="1"/>
  <c r="F6" i="2" s="1"/>
  <c r="BI7" i="3"/>
  <c r="BO27" i="3"/>
  <c r="BP27" i="3" s="1"/>
  <c r="BQ27" i="3" s="1"/>
  <c r="CA27" i="3" s="1"/>
  <c r="F22" i="2" s="1"/>
  <c r="BI23" i="3"/>
  <c r="BO32" i="3"/>
  <c r="BP32" i="3" s="1"/>
  <c r="BQ32" i="3" s="1"/>
  <c r="CA32" i="3" s="1"/>
  <c r="F27" i="2" s="1"/>
  <c r="BI28" i="3"/>
  <c r="BO40" i="3"/>
  <c r="BP40" i="3" s="1"/>
  <c r="BQ40" i="3" s="1"/>
  <c r="CA40" i="3" s="1"/>
  <c r="F35" i="2" s="1"/>
  <c r="BI36" i="3"/>
  <c r="J35" i="1"/>
  <c r="L35" i="1" s="1"/>
  <c r="BO43" i="3"/>
  <c r="BP43" i="3" s="1"/>
  <c r="BQ43" i="3" s="1"/>
  <c r="CA43" i="3" s="1"/>
  <c r="F38" i="2" s="1"/>
  <c r="BI39" i="3"/>
  <c r="BO53" i="3"/>
  <c r="BP53" i="3" s="1"/>
  <c r="BQ53" i="3" s="1"/>
  <c r="CA53" i="3" s="1"/>
  <c r="F48" i="2" s="1"/>
  <c r="BI49" i="3"/>
  <c r="BO57" i="3"/>
  <c r="BP57" i="3" s="1"/>
  <c r="BQ57" i="3" s="1"/>
  <c r="CA57" i="3" s="1"/>
  <c r="F52" i="2" s="1"/>
  <c r="BI53" i="3"/>
  <c r="BO61" i="3"/>
  <c r="BP61" i="3" s="1"/>
  <c r="BQ61" i="3" s="1"/>
  <c r="CA61" i="3" s="1"/>
  <c r="F56" i="2" s="1"/>
  <c r="BI57" i="3"/>
  <c r="BO65" i="3"/>
  <c r="BP65" i="3" s="1"/>
  <c r="BQ65" i="3" s="1"/>
  <c r="CA65" i="3" s="1"/>
  <c r="F60" i="2" s="1"/>
  <c r="BI61" i="3"/>
  <c r="BX19" i="4"/>
  <c r="D14" i="2" s="1"/>
  <c r="D64" i="2" s="1"/>
  <c r="BN22" i="4"/>
  <c r="BO22" i="4" s="1"/>
  <c r="BP22" i="4" s="1"/>
  <c r="BX22" i="4" s="1"/>
  <c r="D17" i="2" s="1"/>
  <c r="D62" i="2" s="1"/>
  <c r="BH18" i="4"/>
  <c r="BH46" i="4"/>
  <c r="BN50" i="4"/>
  <c r="BO50" i="4" s="1"/>
  <c r="BP50" i="4" s="1"/>
  <c r="BX50" i="4" s="1"/>
  <c r="D45" i="2" s="1"/>
  <c r="BH48" i="5"/>
  <c r="BM52" i="5"/>
  <c r="BN52" i="5" s="1"/>
  <c r="BO52" i="5" s="1"/>
  <c r="BX52" i="5" s="1"/>
  <c r="H47" i="2" s="1"/>
  <c r="BN18" i="7"/>
  <c r="BO18" i="7" s="1"/>
  <c r="BP18" i="7" s="1"/>
  <c r="BY18" i="7" s="1"/>
  <c r="G13" i="2" s="1"/>
  <c r="BH14" i="7"/>
  <c r="BH53" i="7"/>
  <c r="BN57" i="7"/>
  <c r="BO57" i="7" s="1"/>
  <c r="BP57" i="7" s="1"/>
  <c r="BY57" i="7" s="1"/>
  <c r="G52" i="2" s="1"/>
  <c r="M52" i="1"/>
  <c r="O52" i="1" s="1"/>
  <c r="BH61" i="7"/>
  <c r="BN65" i="7"/>
  <c r="BO65" i="7" s="1"/>
  <c r="BP65" i="7" s="1"/>
  <c r="BY65" i="7" s="1"/>
  <c r="G60" i="2" s="1"/>
  <c r="M60" i="1"/>
  <c r="O60" i="1" s="1"/>
  <c r="F61" i="1"/>
  <c r="BN29" i="4"/>
  <c r="BO29" i="4" s="1"/>
  <c r="BP29" i="4" s="1"/>
  <c r="BX29" i="4" s="1"/>
  <c r="D24" i="2" s="1"/>
  <c r="BH25" i="4"/>
  <c r="BN37" i="4"/>
  <c r="BO37" i="4" s="1"/>
  <c r="BP37" i="4" s="1"/>
  <c r="BX37" i="4" s="1"/>
  <c r="D32" i="2" s="1"/>
  <c r="BH33" i="4"/>
  <c r="BO48" i="4"/>
  <c r="BP48" i="4" s="1"/>
  <c r="BX48" i="4" s="1"/>
  <c r="D43" i="2" s="1"/>
  <c r="BN66" i="4"/>
  <c r="BO66" i="4" s="1"/>
  <c r="BP66" i="4" s="1"/>
  <c r="BX66" i="4" s="1"/>
  <c r="D61" i="2" s="1"/>
  <c r="BN29" i="5"/>
  <c r="BO29" i="5" s="1"/>
  <c r="BX29" i="5" s="1"/>
  <c r="H24" i="2" s="1"/>
  <c r="BH46" i="5"/>
  <c r="BM50" i="5"/>
  <c r="BN50" i="5" s="1"/>
  <c r="BO50" i="5" s="1"/>
  <c r="BX50" i="5" s="1"/>
  <c r="H45" i="2" s="1"/>
  <c r="BH49" i="5"/>
  <c r="BM53" i="5"/>
  <c r="BN53" i="5" s="1"/>
  <c r="BO53" i="5" s="1"/>
  <c r="BX53" i="5" s="1"/>
  <c r="H48" i="2" s="1"/>
  <c r="BX55" i="5"/>
  <c r="H50" i="2" s="1"/>
  <c r="BN15" i="6"/>
  <c r="BO15" i="6" s="1"/>
  <c r="BP15" i="6" s="1"/>
  <c r="BZ15" i="6" s="1"/>
  <c r="E10" i="2" s="1"/>
  <c r="BH11" i="6"/>
  <c r="BZ17" i="6"/>
  <c r="E12" i="2" s="1"/>
  <c r="BN24" i="6"/>
  <c r="BO24" i="6" s="1"/>
  <c r="BH20" i="6"/>
  <c r="BH41" i="6"/>
  <c r="BN45" i="6"/>
  <c r="BO45" i="6" s="1"/>
  <c r="BP45" i="6" s="1"/>
  <c r="BZ45" i="6" s="1"/>
  <c r="E40" i="2" s="1"/>
  <c r="BN47" i="6"/>
  <c r="BO47" i="6" s="1"/>
  <c r="BP47" i="6" s="1"/>
  <c r="BZ47" i="6" s="1"/>
  <c r="E42" i="2" s="1"/>
  <c r="BH43" i="6"/>
  <c r="BN51" i="6"/>
  <c r="BO51" i="6" s="1"/>
  <c r="BP51" i="6" s="1"/>
  <c r="BZ51" i="6" s="1"/>
  <c r="E46" i="2" s="1"/>
  <c r="BH47" i="6"/>
  <c r="BN64" i="6"/>
  <c r="BO64" i="6" s="1"/>
  <c r="BP64" i="6" s="1"/>
  <c r="BZ64" i="6" s="1"/>
  <c r="E59" i="2" s="1"/>
  <c r="BH60" i="6"/>
  <c r="BY9" i="7"/>
  <c r="G4" i="2" s="1"/>
  <c r="BH21" i="4"/>
  <c r="BO30" i="4"/>
  <c r="BP30" i="4" s="1"/>
  <c r="BX30" i="4" s="1"/>
  <c r="D25" i="2" s="1"/>
  <c r="BO31" i="4"/>
  <c r="BP31" i="4" s="1"/>
  <c r="BX31" i="4" s="1"/>
  <c r="D26" i="2" s="1"/>
  <c r="BN43" i="4"/>
  <c r="BO43" i="4" s="1"/>
  <c r="BP43" i="4" s="1"/>
  <c r="BX43" i="4" s="1"/>
  <c r="D38" i="2" s="1"/>
  <c r="BH39" i="4"/>
  <c r="BN53" i="4"/>
  <c r="BO53" i="4" s="1"/>
  <c r="BP53" i="4" s="1"/>
  <c r="BX53" i="4" s="1"/>
  <c r="D48" i="2" s="1"/>
  <c r="BH49" i="4"/>
  <c r="BM12" i="5"/>
  <c r="BN12" i="5" s="1"/>
  <c r="BO12" i="5" s="1"/>
  <c r="BX12" i="5" s="1"/>
  <c r="H7" i="2" s="1"/>
  <c r="BM20" i="5"/>
  <c r="BN20" i="5" s="1"/>
  <c r="BO20" i="5" s="1"/>
  <c r="BX20" i="5" s="1"/>
  <c r="H15" i="2" s="1"/>
  <c r="BH16" i="5"/>
  <c r="BM38" i="5"/>
  <c r="BN38" i="5" s="1"/>
  <c r="BO38" i="5" s="1"/>
  <c r="BX38" i="5" s="1"/>
  <c r="H33" i="2" s="1"/>
  <c r="BM43" i="5"/>
  <c r="BN43" i="5" s="1"/>
  <c r="BO43" i="5" s="1"/>
  <c r="BX43" i="5" s="1"/>
  <c r="H38" i="2" s="1"/>
  <c r="BH39" i="5"/>
  <c r="BX41" i="5"/>
  <c r="H36" i="2" s="1"/>
  <c r="BM60" i="5"/>
  <c r="BN60" i="5" s="1"/>
  <c r="BO60" i="5" s="1"/>
  <c r="BX60" i="5" s="1"/>
  <c r="H55" i="2" s="1"/>
  <c r="BH9" i="6"/>
  <c r="BN13" i="6"/>
  <c r="BO13" i="6" s="1"/>
  <c r="BP13" i="6" s="1"/>
  <c r="BZ13" i="6" s="1"/>
  <c r="E8" i="2" s="1"/>
  <c r="BH16" i="6"/>
  <c r="BN20" i="6"/>
  <c r="BO20" i="6" s="1"/>
  <c r="BP20" i="6" s="1"/>
  <c r="BZ20" i="6" s="1"/>
  <c r="E15" i="2" s="1"/>
  <c r="BN21" i="6"/>
  <c r="BO21" i="6" s="1"/>
  <c r="BP21" i="6" s="1"/>
  <c r="BZ21" i="6" s="1"/>
  <c r="E16" i="2" s="1"/>
  <c r="BH17" i="6"/>
  <c r="BZ31" i="6"/>
  <c r="E26" i="2" s="1"/>
  <c r="BO33" i="6"/>
  <c r="BP33" i="6" s="1"/>
  <c r="BZ33" i="6" s="1"/>
  <c r="E28" i="2" s="1"/>
  <c r="BN35" i="6"/>
  <c r="BO35" i="6" s="1"/>
  <c r="BP35" i="6" s="1"/>
  <c r="BZ35" i="6" s="1"/>
  <c r="E30" i="2" s="1"/>
  <c r="BH31" i="6"/>
  <c r="BN32" i="6"/>
  <c r="BO32" i="6" s="1"/>
  <c r="BP32" i="6" s="1"/>
  <c r="BZ32" i="6" s="1"/>
  <c r="E27" i="2" s="1"/>
  <c r="BN42" i="6"/>
  <c r="BO42" i="6" s="1"/>
  <c r="BP42" i="6" s="1"/>
  <c r="BZ42" i="6" s="1"/>
  <c r="E37" i="2" s="1"/>
  <c r="BH38" i="6"/>
  <c r="BN56" i="6"/>
  <c r="BO56" i="6" s="1"/>
  <c r="BP56" i="6" s="1"/>
  <c r="BZ56" i="6" s="1"/>
  <c r="E51" i="2" s="1"/>
  <c r="BH52" i="6"/>
  <c r="BN34" i="7"/>
  <c r="BO34" i="7" s="1"/>
  <c r="BP34" i="7" s="1"/>
  <c r="BY34" i="7" s="1"/>
  <c r="G29" i="2" s="1"/>
  <c r="BH30" i="7"/>
  <c r="AM11" i="8"/>
  <c r="AN11" i="8" s="1"/>
  <c r="AO11" i="8" s="1"/>
  <c r="AS11" i="8" s="1"/>
  <c r="K7" i="2" s="1"/>
  <c r="AG8" i="8"/>
  <c r="BN33" i="4"/>
  <c r="BO33" i="4" s="1"/>
  <c r="BP33" i="4" s="1"/>
  <c r="BX33" i="4" s="1"/>
  <c r="D28" i="2" s="1"/>
  <c r="BH29" i="4"/>
  <c r="BX39" i="4"/>
  <c r="D34" i="2" s="1"/>
  <c r="BX52" i="4"/>
  <c r="D47" i="2" s="1"/>
  <c r="BX9" i="5"/>
  <c r="H4" i="2" s="1"/>
  <c r="BX16" i="5"/>
  <c r="H11" i="2" s="1"/>
  <c r="BX37" i="5"/>
  <c r="H32" i="2" s="1"/>
  <c r="BM61" i="5"/>
  <c r="BN61" i="5" s="1"/>
  <c r="BO61" i="5" s="1"/>
  <c r="BX61" i="5" s="1"/>
  <c r="H56" i="2" s="1"/>
  <c r="BH57" i="5"/>
  <c r="BN9" i="6"/>
  <c r="BO9" i="6" s="1"/>
  <c r="BP9" i="6" s="1"/>
  <c r="BZ9" i="6" s="1"/>
  <c r="E4" i="2" s="1"/>
  <c r="BH5" i="6"/>
  <c r="BO59" i="6"/>
  <c r="BP59" i="6" s="1"/>
  <c r="BZ59" i="6" s="1"/>
  <c r="E54" i="2" s="1"/>
  <c r="AG61" i="8"/>
  <c r="AM64" i="8"/>
  <c r="AN64" i="8" s="1"/>
  <c r="AO64" i="8" s="1"/>
  <c r="AS64" i="8" s="1"/>
  <c r="K60" i="2" s="1"/>
  <c r="AM9" i="9"/>
  <c r="AN9" i="9" s="1"/>
  <c r="AO9" i="9" s="1"/>
  <c r="AS9" i="9" s="1"/>
  <c r="I5" i="2" s="1"/>
  <c r="AG6" i="9"/>
  <c r="AM12" i="9"/>
  <c r="AN12" i="9" s="1"/>
  <c r="AO12" i="9" s="1"/>
  <c r="AS12" i="9" s="1"/>
  <c r="I8" i="2" s="1"/>
  <c r="AG9" i="9"/>
  <c r="AM19" i="9"/>
  <c r="AN19" i="9" s="1"/>
  <c r="AO19" i="9" s="1"/>
  <c r="AS19" i="9" s="1"/>
  <c r="I15" i="2" s="1"/>
  <c r="AG16" i="9"/>
  <c r="BN62" i="4"/>
  <c r="BO62" i="4" s="1"/>
  <c r="BP62" i="4" s="1"/>
  <c r="BX62" i="4" s="1"/>
  <c r="D57" i="2" s="1"/>
  <c r="BO63" i="4"/>
  <c r="BP63" i="4" s="1"/>
  <c r="BX63" i="4" s="1"/>
  <c r="D58" i="2" s="1"/>
  <c r="BM14" i="5"/>
  <c r="BN14" i="5" s="1"/>
  <c r="BO14" i="5" s="1"/>
  <c r="BX14" i="5" s="1"/>
  <c r="H9" i="2" s="1"/>
  <c r="BM30" i="5"/>
  <c r="BN30" i="5" s="1"/>
  <c r="BO30" i="5" s="1"/>
  <c r="BX30" i="5" s="1"/>
  <c r="H25" i="2" s="1"/>
  <c r="BM46" i="5"/>
  <c r="BN46" i="5" s="1"/>
  <c r="BO46" i="5" s="1"/>
  <c r="BX46" i="5" s="1"/>
  <c r="H41" i="2" s="1"/>
  <c r="BM57" i="5"/>
  <c r="BN57" i="5" s="1"/>
  <c r="BO57" i="5" s="1"/>
  <c r="BX57" i="5" s="1"/>
  <c r="H52" i="2" s="1"/>
  <c r="BM63" i="5"/>
  <c r="BN63" i="5" s="1"/>
  <c r="BO63" i="5" s="1"/>
  <c r="BX63" i="5" s="1"/>
  <c r="H58" i="2" s="1"/>
  <c r="BN10" i="6"/>
  <c r="BO10" i="6" s="1"/>
  <c r="BP10" i="6" s="1"/>
  <c r="BZ10" i="6" s="1"/>
  <c r="E5" i="2" s="1"/>
  <c r="BH6" i="6"/>
  <c r="BN38" i="6"/>
  <c r="BO38" i="6" s="1"/>
  <c r="BP38" i="6" s="1"/>
  <c r="BZ38" i="6" s="1"/>
  <c r="E33" i="2" s="1"/>
  <c r="BO44" i="6"/>
  <c r="BP44" i="6" s="1"/>
  <c r="BZ44" i="6" s="1"/>
  <c r="E39" i="2" s="1"/>
  <c r="BN50" i="6"/>
  <c r="BO50" i="6" s="1"/>
  <c r="BP50" i="6" s="1"/>
  <c r="BZ50" i="6" s="1"/>
  <c r="E45" i="2" s="1"/>
  <c r="BN11" i="7"/>
  <c r="BO11" i="7" s="1"/>
  <c r="BP11" i="7" s="1"/>
  <c r="BY11" i="7" s="1"/>
  <c r="G6" i="2" s="1"/>
  <c r="BN21" i="7"/>
  <c r="BO21" i="7" s="1"/>
  <c r="BP21" i="7" s="1"/>
  <c r="BY21" i="7" s="1"/>
  <c r="G16" i="2" s="1"/>
  <c r="BN35" i="7"/>
  <c r="BO35" i="7" s="1"/>
  <c r="BP35" i="7" s="1"/>
  <c r="BY35" i="7" s="1"/>
  <c r="G30" i="2" s="1"/>
  <c r="BH31" i="7"/>
  <c r="BY32" i="7"/>
  <c r="G27" i="2" s="1"/>
  <c r="BN33" i="7"/>
  <c r="BO33" i="7" s="1"/>
  <c r="BP33" i="7" s="1"/>
  <c r="BY33" i="7" s="1"/>
  <c r="G28" i="2" s="1"/>
  <c r="BO36" i="7"/>
  <c r="BP36" i="7" s="1"/>
  <c r="BY36" i="7" s="1"/>
  <c r="G31" i="2" s="1"/>
  <c r="BY45" i="7"/>
  <c r="G40" i="2" s="1"/>
  <c r="AM45" i="8"/>
  <c r="AN45" i="8" s="1"/>
  <c r="AO45" i="8" s="1"/>
  <c r="AS45" i="8" s="1"/>
  <c r="K41" i="2" s="1"/>
  <c r="AG42" i="8"/>
  <c r="AM53" i="8"/>
  <c r="AN53" i="8" s="1"/>
  <c r="AO53" i="8" s="1"/>
  <c r="AS53" i="8" s="1"/>
  <c r="K49" i="2" s="1"/>
  <c r="AG50" i="8"/>
  <c r="AM59" i="8"/>
  <c r="AN59" i="8" s="1"/>
  <c r="AO59" i="8" s="1"/>
  <c r="AS59" i="8" s="1"/>
  <c r="K55" i="2" s="1"/>
  <c r="AG56" i="8"/>
  <c r="AM60" i="8"/>
  <c r="AN60" i="8" s="1"/>
  <c r="AO60" i="8" s="1"/>
  <c r="AS60" i="8" s="1"/>
  <c r="K56" i="2" s="1"/>
  <c r="AG57" i="8"/>
  <c r="AM23" i="9"/>
  <c r="AN23" i="9" s="1"/>
  <c r="AO23" i="9" s="1"/>
  <c r="AS23" i="9" s="1"/>
  <c r="I19" i="2" s="1"/>
  <c r="AG20" i="9"/>
  <c r="BH35" i="4"/>
  <c r="BH42" i="4"/>
  <c r="BN49" i="4"/>
  <c r="BO49" i="4" s="1"/>
  <c r="BP49" i="4" s="1"/>
  <c r="BX49" i="4" s="1"/>
  <c r="D44" i="2" s="1"/>
  <c r="BH45" i="4"/>
  <c r="BH61" i="4"/>
  <c r="BH12" i="5"/>
  <c r="BH19" i="5"/>
  <c r="BM26" i="5"/>
  <c r="BN26" i="5" s="1"/>
  <c r="BO26" i="5" s="1"/>
  <c r="BX26" i="5" s="1"/>
  <c r="H21" i="2" s="1"/>
  <c r="BH28" i="5"/>
  <c r="BH35" i="5"/>
  <c r="BM42" i="5"/>
  <c r="BN42" i="5" s="1"/>
  <c r="BO42" i="5" s="1"/>
  <c r="BX42" i="5" s="1"/>
  <c r="H37" i="2" s="1"/>
  <c r="BH44" i="5"/>
  <c r="BM59" i="5"/>
  <c r="BN59" i="5" s="1"/>
  <c r="BO59" i="5" s="1"/>
  <c r="BX59" i="5" s="1"/>
  <c r="H54" i="2" s="1"/>
  <c r="BN34" i="6"/>
  <c r="BO34" i="6" s="1"/>
  <c r="BP34" i="6" s="1"/>
  <c r="BZ34" i="6" s="1"/>
  <c r="E29" i="2" s="1"/>
  <c r="BH56" i="6"/>
  <c r="BH10" i="7"/>
  <c r="BN17" i="7"/>
  <c r="BO17" i="7" s="1"/>
  <c r="BP17" i="7" s="1"/>
  <c r="BY17" i="7" s="1"/>
  <c r="G12" i="2" s="1"/>
  <c r="BH19" i="7"/>
  <c r="BH26" i="7"/>
  <c r="BN43" i="7"/>
  <c r="BO43" i="7" s="1"/>
  <c r="BP43" i="7" s="1"/>
  <c r="BY43" i="7" s="1"/>
  <c r="G38" i="2" s="1"/>
  <c r="BH39" i="7"/>
  <c r="BY42" i="7"/>
  <c r="G37" i="2" s="1"/>
  <c r="BN51" i="7"/>
  <c r="BO51" i="7" s="1"/>
  <c r="BP51" i="7" s="1"/>
  <c r="BY51" i="7" s="1"/>
  <c r="G46" i="2" s="1"/>
  <c r="BY59" i="7"/>
  <c r="G54" i="2" s="1"/>
  <c r="AM13" i="8"/>
  <c r="AN13" i="8" s="1"/>
  <c r="AO13" i="8" s="1"/>
  <c r="AS13" i="8" s="1"/>
  <c r="K9" i="2" s="1"/>
  <c r="AM21" i="8"/>
  <c r="AN21" i="8" s="1"/>
  <c r="AO21" i="8" s="1"/>
  <c r="AS21" i="8" s="1"/>
  <c r="K17" i="2" s="1"/>
  <c r="AM29" i="8"/>
  <c r="AN29" i="8" s="1"/>
  <c r="AO29" i="8" s="1"/>
  <c r="AS29" i="8" s="1"/>
  <c r="K25" i="2" s="1"/>
  <c r="AG38" i="8"/>
  <c r="AM41" i="8"/>
  <c r="AN41" i="8" s="1"/>
  <c r="AO41" i="8" s="1"/>
  <c r="AS41" i="8" s="1"/>
  <c r="K37" i="2" s="1"/>
  <c r="AG24" i="9"/>
  <c r="AM27" i="9"/>
  <c r="AN27" i="9" s="1"/>
  <c r="AO27" i="9" s="1"/>
  <c r="AS27" i="9" s="1"/>
  <c r="I23" i="2" s="1"/>
  <c r="AM42" i="9"/>
  <c r="AN42" i="9" s="1"/>
  <c r="AO42" i="9" s="1"/>
  <c r="AS42" i="9" s="1"/>
  <c r="I38" i="2" s="1"/>
  <c r="AG39" i="9"/>
  <c r="AG43" i="9"/>
  <c r="AM46" i="9"/>
  <c r="AN46" i="9" s="1"/>
  <c r="AO46" i="9" s="1"/>
  <c r="AS46" i="9" s="1"/>
  <c r="I42" i="2" s="1"/>
  <c r="BZ11" i="6"/>
  <c r="E6" i="2" s="1"/>
  <c r="BZ23" i="6"/>
  <c r="E18" i="2" s="1"/>
  <c r="BN26" i="6"/>
  <c r="BO26" i="6" s="1"/>
  <c r="BP26" i="6" s="1"/>
  <c r="BZ26" i="6" s="1"/>
  <c r="E21" i="2" s="1"/>
  <c r="BN13" i="7"/>
  <c r="BO13" i="7" s="1"/>
  <c r="BP13" i="7" s="1"/>
  <c r="BY13" i="7" s="1"/>
  <c r="G8" i="2" s="1"/>
  <c r="BN29" i="7"/>
  <c r="BO29" i="7" s="1"/>
  <c r="BP29" i="7" s="1"/>
  <c r="BY29" i="7" s="1"/>
  <c r="G24" i="2" s="1"/>
  <c r="BY40" i="7"/>
  <c r="G35" i="2" s="1"/>
  <c r="BN56" i="7"/>
  <c r="BO56" i="7" s="1"/>
  <c r="BP56" i="7" s="1"/>
  <c r="BY56" i="7" s="1"/>
  <c r="G51" i="2" s="1"/>
  <c r="BN64" i="7"/>
  <c r="BO64" i="7" s="1"/>
  <c r="BP64" i="7" s="1"/>
  <c r="BY64" i="7" s="1"/>
  <c r="G59" i="2" s="1"/>
  <c r="BH60" i="7"/>
  <c r="AG34" i="8"/>
  <c r="AM37" i="8"/>
  <c r="AN37" i="8" s="1"/>
  <c r="AO37" i="8" s="1"/>
  <c r="AS37" i="8" s="1"/>
  <c r="K33" i="2" s="1"/>
  <c r="BO44" i="7"/>
  <c r="BP44" i="7" s="1"/>
  <c r="BY44" i="7" s="1"/>
  <c r="G39" i="2" s="1"/>
  <c r="BN50" i="7"/>
  <c r="BO50" i="7" s="1"/>
  <c r="BP50" i="7" s="1"/>
  <c r="BY50" i="7" s="1"/>
  <c r="G45" i="2" s="1"/>
  <c r="BN53" i="7"/>
  <c r="BO53" i="7" s="1"/>
  <c r="BP53" i="7" s="1"/>
  <c r="BY53" i="7" s="1"/>
  <c r="G48" i="2" s="1"/>
  <c r="BN58" i="7"/>
  <c r="BO58" i="7" s="1"/>
  <c r="BP58" i="7" s="1"/>
  <c r="BY58" i="7" s="1"/>
  <c r="G53" i="2" s="1"/>
  <c r="BN61" i="7"/>
  <c r="BO61" i="7" s="1"/>
  <c r="BP61" i="7" s="1"/>
  <c r="BY61" i="7" s="1"/>
  <c r="G56" i="2" s="1"/>
  <c r="AM19" i="8"/>
  <c r="AN19" i="8" s="1"/>
  <c r="AO19" i="8" s="1"/>
  <c r="AS19" i="8" s="1"/>
  <c r="K15" i="2" s="1"/>
  <c r="AM27" i="8"/>
  <c r="AN27" i="8" s="1"/>
  <c r="AO27" i="8" s="1"/>
  <c r="AS27" i="8" s="1"/>
  <c r="K23" i="2" s="1"/>
  <c r="AM54" i="8"/>
  <c r="AN54" i="8" s="1"/>
  <c r="AO54" i="8" s="1"/>
  <c r="AS54" i="8" s="1"/>
  <c r="K50" i="2" s="1"/>
  <c r="AG51" i="8"/>
  <c r="AM14" i="9"/>
  <c r="AN14" i="9" s="1"/>
  <c r="AO14" i="9" s="1"/>
  <c r="AS14" i="9" s="1"/>
  <c r="I10" i="2" s="1"/>
  <c r="AG11" i="9"/>
  <c r="AM18" i="9"/>
  <c r="AN18" i="9" s="1"/>
  <c r="AO18" i="9" s="1"/>
  <c r="AS18" i="9" s="1"/>
  <c r="I14" i="2" s="1"/>
  <c r="AG15" i="9"/>
  <c r="AN17" i="9"/>
  <c r="AO17" i="9" s="1"/>
  <c r="AS17" i="9" s="1"/>
  <c r="I13" i="2" s="1"/>
  <c r="AG28" i="9"/>
  <c r="AM31" i="9"/>
  <c r="AN31" i="9" s="1"/>
  <c r="AO31" i="9" s="1"/>
  <c r="AS31" i="9" s="1"/>
  <c r="I27" i="2" s="1"/>
  <c r="AG32" i="9"/>
  <c r="AM35" i="9"/>
  <c r="AN35" i="9" s="1"/>
  <c r="AO35" i="9" s="1"/>
  <c r="AS35" i="9" s="1"/>
  <c r="I31" i="2" s="1"/>
  <c r="AN48" i="9"/>
  <c r="AO48" i="9" s="1"/>
  <c r="AS48" i="9" s="1"/>
  <c r="I44" i="2" s="1"/>
  <c r="AG51" i="9"/>
  <c r="AM54" i="9"/>
  <c r="AN54" i="9" s="1"/>
  <c r="AO54" i="9" s="1"/>
  <c r="AS54" i="9" s="1"/>
  <c r="I50" i="2" s="1"/>
  <c r="AU9" i="10"/>
  <c r="AV9" i="10" s="1"/>
  <c r="AW9" i="10" s="1"/>
  <c r="BA9" i="10" s="1"/>
  <c r="L5" i="2" s="1"/>
  <c r="L64" i="2" s="1"/>
  <c r="AO6" i="10"/>
  <c r="AG17" i="11"/>
  <c r="AM20" i="11"/>
  <c r="AN20" i="11" s="1"/>
  <c r="AO20" i="11" s="1"/>
  <c r="AS20" i="11" s="1"/>
  <c r="J16" i="2" s="1"/>
  <c r="AN21" i="11"/>
  <c r="AO21" i="11" s="1"/>
  <c r="AS21" i="11" s="1"/>
  <c r="J17" i="2" s="1"/>
  <c r="BH43" i="7"/>
  <c r="BN52" i="7"/>
  <c r="BO52" i="7" s="1"/>
  <c r="BP52" i="7" s="1"/>
  <c r="BY52" i="7" s="1"/>
  <c r="G47" i="2" s="1"/>
  <c r="BN60" i="7"/>
  <c r="BO60" i="7" s="1"/>
  <c r="BP60" i="7" s="1"/>
  <c r="BY60" i="7" s="1"/>
  <c r="G55" i="2" s="1"/>
  <c r="AM8" i="8"/>
  <c r="AN8" i="8" s="1"/>
  <c r="AO8" i="8" s="1"/>
  <c r="AS8" i="8" s="1"/>
  <c r="K4" i="2" s="1"/>
  <c r="AG5" i="8"/>
  <c r="AM17" i="8"/>
  <c r="AN17" i="8" s="1"/>
  <c r="AO17" i="8" s="1"/>
  <c r="AS17" i="8" s="1"/>
  <c r="K13" i="2" s="1"/>
  <c r="AM25" i="8"/>
  <c r="AN25" i="8" s="1"/>
  <c r="AO25" i="8" s="1"/>
  <c r="AS25" i="8" s="1"/>
  <c r="K21" i="2" s="1"/>
  <c r="AM33" i="8"/>
  <c r="AN33" i="8" s="1"/>
  <c r="AO33" i="8" s="1"/>
  <c r="AS33" i="8" s="1"/>
  <c r="K29" i="2" s="1"/>
  <c r="AG37" i="8"/>
  <c r="AG41" i="8"/>
  <c r="AN46" i="8"/>
  <c r="AO46" i="8" s="1"/>
  <c r="AS46" i="8" s="1"/>
  <c r="K42" i="2" s="1"/>
  <c r="AG45" i="8"/>
  <c r="AM50" i="8"/>
  <c r="AN50" i="8" s="1"/>
  <c r="AO50" i="8" s="1"/>
  <c r="AS50" i="8" s="1"/>
  <c r="K46" i="2" s="1"/>
  <c r="AG47" i="8"/>
  <c r="AM52" i="8"/>
  <c r="AN52" i="8" s="1"/>
  <c r="AO52" i="8" s="1"/>
  <c r="AS52" i="8" s="1"/>
  <c r="K48" i="2" s="1"/>
  <c r="AG49" i="8"/>
  <c r="AG53" i="8"/>
  <c r="AM62" i="8"/>
  <c r="AN62" i="8" s="1"/>
  <c r="AO62" i="8" s="1"/>
  <c r="AS62" i="8" s="1"/>
  <c r="K58" i="2" s="1"/>
  <c r="AG59" i="8"/>
  <c r="AM16" i="9"/>
  <c r="AN16" i="9" s="1"/>
  <c r="AO16" i="9" s="1"/>
  <c r="AS16" i="9" s="1"/>
  <c r="I12" i="2" s="1"/>
  <c r="AG13" i="9"/>
  <c r="AG23" i="9"/>
  <c r="AG36" i="9"/>
  <c r="AM39" i="9"/>
  <c r="AN39" i="9" s="1"/>
  <c r="AO39" i="9" s="1"/>
  <c r="AS39" i="9" s="1"/>
  <c r="I35" i="2" s="1"/>
  <c r="AM59" i="9"/>
  <c r="AN59" i="9" s="1"/>
  <c r="AO59" i="9" s="1"/>
  <c r="AS59" i="9" s="1"/>
  <c r="I55" i="2" s="1"/>
  <c r="AG56" i="9"/>
  <c r="AU20" i="10"/>
  <c r="AV20" i="10" s="1"/>
  <c r="AW20" i="10" s="1"/>
  <c r="BA20" i="10" s="1"/>
  <c r="L16" i="2" s="1"/>
  <c r="AU30" i="10"/>
  <c r="AV30" i="10" s="1"/>
  <c r="AW30" i="10" s="1"/>
  <c r="BA30" i="10" s="1"/>
  <c r="L26" i="2" s="1"/>
  <c r="AO27" i="10"/>
  <c r="AU28" i="10"/>
  <c r="AV28" i="10" s="1"/>
  <c r="AW28" i="10" s="1"/>
  <c r="BA28" i="10" s="1"/>
  <c r="L24" i="2" s="1"/>
  <c r="AU62" i="10"/>
  <c r="AV62" i="10" s="1"/>
  <c r="AW62" i="10" s="1"/>
  <c r="BA62" i="10" s="1"/>
  <c r="L58" i="2" s="1"/>
  <c r="AO59" i="10"/>
  <c r="AG8" i="11"/>
  <c r="AM11" i="11"/>
  <c r="AN11" i="11" s="1"/>
  <c r="AO11" i="11" s="1"/>
  <c r="BH37" i="7"/>
  <c r="BN46" i="7"/>
  <c r="BO46" i="7" s="1"/>
  <c r="BP46" i="7" s="1"/>
  <c r="BY46" i="7" s="1"/>
  <c r="G41" i="2" s="1"/>
  <c r="BN63" i="7"/>
  <c r="BO63" i="7" s="1"/>
  <c r="BP63" i="7" s="1"/>
  <c r="BY63" i="7" s="1"/>
  <c r="G58" i="2" s="1"/>
  <c r="AM15" i="8"/>
  <c r="AN15" i="8" s="1"/>
  <c r="AO15" i="8" s="1"/>
  <c r="AS15" i="8" s="1"/>
  <c r="K11" i="2" s="1"/>
  <c r="AM23" i="8"/>
  <c r="AN23" i="8" s="1"/>
  <c r="AO23" i="8" s="1"/>
  <c r="AS23" i="8" s="1"/>
  <c r="K19" i="2" s="1"/>
  <c r="AM31" i="8"/>
  <c r="AN31" i="8" s="1"/>
  <c r="AO31" i="8" s="1"/>
  <c r="AS31" i="8" s="1"/>
  <c r="K27" i="2" s="1"/>
  <c r="AM35" i="8"/>
  <c r="AN35" i="8" s="1"/>
  <c r="AO35" i="8" s="1"/>
  <c r="AS35" i="8" s="1"/>
  <c r="K31" i="2" s="1"/>
  <c r="AG43" i="8"/>
  <c r="AM63" i="8"/>
  <c r="AN63" i="8" s="1"/>
  <c r="AO63" i="8" s="1"/>
  <c r="AS63" i="8" s="1"/>
  <c r="K59" i="2" s="1"/>
  <c r="AG60" i="8"/>
  <c r="AG27" i="9"/>
  <c r="AM43" i="9"/>
  <c r="AN43" i="9" s="1"/>
  <c r="AO43" i="9" s="1"/>
  <c r="AS43" i="9" s="1"/>
  <c r="I39" i="2" s="1"/>
  <c r="AG40" i="9"/>
  <c r="AS44" i="9"/>
  <c r="I40" i="2" s="1"/>
  <c r="AS58" i="9"/>
  <c r="I54" i="2" s="1"/>
  <c r="AM62" i="9"/>
  <c r="AN62" i="9" s="1"/>
  <c r="AO62" i="9" s="1"/>
  <c r="AS62" i="9" s="1"/>
  <c r="I58" i="2" s="1"/>
  <c r="AG59" i="9"/>
  <c r="AM38" i="8"/>
  <c r="AN38" i="8" s="1"/>
  <c r="AO38" i="8" s="1"/>
  <c r="AS38" i="8" s="1"/>
  <c r="K34" i="2" s="1"/>
  <c r="AM42" i="8"/>
  <c r="AN42" i="8" s="1"/>
  <c r="AO42" i="8" s="1"/>
  <c r="AS42" i="8" s="1"/>
  <c r="K38" i="2" s="1"/>
  <c r="AM10" i="9"/>
  <c r="AN10" i="9" s="1"/>
  <c r="AO10" i="9" s="1"/>
  <c r="AS10" i="9" s="1"/>
  <c r="I6" i="2" s="1"/>
  <c r="AM28" i="9"/>
  <c r="AN28" i="9" s="1"/>
  <c r="AO28" i="9" s="1"/>
  <c r="AS28" i="9" s="1"/>
  <c r="I24" i="2" s="1"/>
  <c r="AM32" i="9"/>
  <c r="AN32" i="9" s="1"/>
  <c r="AO32" i="9" s="1"/>
  <c r="AS32" i="9" s="1"/>
  <c r="I28" i="2" s="1"/>
  <c r="AN65" i="9"/>
  <c r="AO65" i="9" s="1"/>
  <c r="AS65" i="9" s="1"/>
  <c r="I61" i="2" s="1"/>
  <c r="AV10" i="10"/>
  <c r="AW10" i="10" s="1"/>
  <c r="BA10" i="10" s="1"/>
  <c r="L6" i="2" s="1"/>
  <c r="AU18" i="10"/>
  <c r="AV18" i="10" s="1"/>
  <c r="AW18" i="10" s="1"/>
  <c r="BA18" i="10" s="1"/>
  <c r="L14" i="2" s="1"/>
  <c r="AU26" i="10"/>
  <c r="AV26" i="10" s="1"/>
  <c r="AW26" i="10" s="1"/>
  <c r="BA26" i="10" s="1"/>
  <c r="L22" i="2" s="1"/>
  <c r="AS14" i="11"/>
  <c r="J10" i="2" s="1"/>
  <c r="AM43" i="8"/>
  <c r="AN43" i="8" s="1"/>
  <c r="AO43" i="8" s="1"/>
  <c r="AS43" i="8" s="1"/>
  <c r="K39" i="2" s="1"/>
  <c r="AG40" i="8"/>
  <c r="AN49" i="8"/>
  <c r="AO49" i="8" s="1"/>
  <c r="AS49" i="8" s="1"/>
  <c r="K45" i="2" s="1"/>
  <c r="AM58" i="8"/>
  <c r="AN58" i="8" s="1"/>
  <c r="AO58" i="8" s="1"/>
  <c r="AS58" i="8" s="1"/>
  <c r="K54" i="2" s="1"/>
  <c r="AM45" i="9"/>
  <c r="AN45" i="9" s="1"/>
  <c r="AO45" i="9" s="1"/>
  <c r="AS45" i="9" s="1"/>
  <c r="I41" i="2" s="1"/>
  <c r="AG42" i="9"/>
  <c r="AS56" i="9"/>
  <c r="I52" i="2" s="1"/>
  <c r="AM60" i="9"/>
  <c r="AN60" i="9" s="1"/>
  <c r="AO60" i="9" s="1"/>
  <c r="AS60" i="9" s="1"/>
  <c r="I56" i="2" s="1"/>
  <c r="AG57" i="9"/>
  <c r="AM63" i="9"/>
  <c r="AN63" i="9" s="1"/>
  <c r="AO63" i="9" s="1"/>
  <c r="AS63" i="9" s="1"/>
  <c r="I59" i="2" s="1"/>
  <c r="AG60" i="9"/>
  <c r="AU16" i="10"/>
  <c r="AV16" i="10" s="1"/>
  <c r="AW16" i="10" s="1"/>
  <c r="BA16" i="10" s="1"/>
  <c r="L12" i="2" s="1"/>
  <c r="AU24" i="10"/>
  <c r="AV24" i="10" s="1"/>
  <c r="AW24" i="10" s="1"/>
  <c r="BA24" i="10" s="1"/>
  <c r="L20" i="2" s="1"/>
  <c r="AU32" i="10"/>
  <c r="AV32" i="10" s="1"/>
  <c r="AW32" i="10" s="1"/>
  <c r="BA32" i="10" s="1"/>
  <c r="L28" i="2" s="1"/>
  <c r="AO29" i="10"/>
  <c r="AU58" i="10"/>
  <c r="AV58" i="10" s="1"/>
  <c r="AW58" i="10" s="1"/>
  <c r="BA58" i="10" s="1"/>
  <c r="L54" i="2" s="1"/>
  <c r="AO55" i="10"/>
  <c r="BA57" i="10"/>
  <c r="L53" i="2" s="1"/>
  <c r="AU61" i="10"/>
  <c r="AV61" i="10" s="1"/>
  <c r="AW61" i="10" s="1"/>
  <c r="BA61" i="10" s="1"/>
  <c r="L57" i="2" s="1"/>
  <c r="AO58" i="10"/>
  <c r="AU64" i="10"/>
  <c r="AV64" i="10" s="1"/>
  <c r="AW64" i="10" s="1"/>
  <c r="BA64" i="10" s="1"/>
  <c r="L60" i="2" s="1"/>
  <c r="AO61" i="10"/>
  <c r="AS40" i="11"/>
  <c r="J36" i="2" s="1"/>
  <c r="AG38" i="11"/>
  <c r="AM41" i="11"/>
  <c r="AN41" i="11" s="1"/>
  <c r="AO41" i="11" s="1"/>
  <c r="AS41" i="11" s="1"/>
  <c r="J37" i="2" s="1"/>
  <c r="AG47" i="11"/>
  <c r="AN53" i="11"/>
  <c r="AO53" i="11" s="1"/>
  <c r="AS53" i="11" s="1"/>
  <c r="J49" i="2" s="1"/>
  <c r="BA56" i="10"/>
  <c r="L52" i="2" s="1"/>
  <c r="AU60" i="10"/>
  <c r="AV60" i="10" s="1"/>
  <c r="AW60" i="10" s="1"/>
  <c r="BA60" i="10" s="1"/>
  <c r="L56" i="2" s="1"/>
  <c r="AO57" i="10"/>
  <c r="AM26" i="11"/>
  <c r="AN26" i="11" s="1"/>
  <c r="AO26" i="11" s="1"/>
  <c r="AS26" i="11" s="1"/>
  <c r="J22" i="2" s="1"/>
  <c r="AG23" i="11"/>
  <c r="AM25" i="11"/>
  <c r="AN25" i="11" s="1"/>
  <c r="AO25" i="11" s="1"/>
  <c r="AN29" i="11"/>
  <c r="AO29" i="11" s="1"/>
  <c r="AS29" i="11" s="1"/>
  <c r="J25" i="2" s="1"/>
  <c r="AM43" i="11"/>
  <c r="AN43" i="11" s="1"/>
  <c r="AO43" i="11" s="1"/>
  <c r="AG40" i="11"/>
  <c r="AN46" i="11"/>
  <c r="AO46" i="11" s="1"/>
  <c r="AS46" i="11" s="1"/>
  <c r="J42" i="2" s="1"/>
  <c r="AN49" i="11"/>
  <c r="AO49" i="11" s="1"/>
  <c r="AS49" i="11" s="1"/>
  <c r="J45" i="2" s="1"/>
  <c r="AG56" i="11"/>
  <c r="AM59" i="11"/>
  <c r="AN59" i="11" s="1"/>
  <c r="AO59" i="11" s="1"/>
  <c r="AS64" i="11"/>
  <c r="J60" i="2" s="1"/>
  <c r="AM12" i="11"/>
  <c r="AN12" i="11" s="1"/>
  <c r="AO12" i="11" s="1"/>
  <c r="AS12" i="11" s="1"/>
  <c r="J8" i="2" s="1"/>
  <c r="AG9" i="11"/>
  <c r="AN15" i="11"/>
  <c r="AO15" i="11" s="1"/>
  <c r="AS15" i="11" s="1"/>
  <c r="J11" i="2" s="1"/>
  <c r="AM19" i="11"/>
  <c r="AN19" i="11" s="1"/>
  <c r="AO19" i="11" s="1"/>
  <c r="AN60" i="11"/>
  <c r="AO60" i="11" s="1"/>
  <c r="AU34" i="10"/>
  <c r="AV34" i="10" s="1"/>
  <c r="AW34" i="10" s="1"/>
  <c r="BA34" i="10" s="1"/>
  <c r="L30" i="2" s="1"/>
  <c r="AU54" i="10"/>
  <c r="AV54" i="10" s="1"/>
  <c r="AW54" i="10" s="1"/>
  <c r="BA54" i="10" s="1"/>
  <c r="L50" i="2" s="1"/>
  <c r="AO51" i="10"/>
  <c r="AN30" i="11"/>
  <c r="AO30" i="11" s="1"/>
  <c r="AS30" i="11" s="1"/>
  <c r="J26" i="2" s="1"/>
  <c r="AN37" i="11"/>
  <c r="AO37" i="11" s="1"/>
  <c r="AS37" i="11" s="1"/>
  <c r="J33" i="2" s="1"/>
  <c r="AN23" i="11"/>
  <c r="AO23" i="11" s="1"/>
  <c r="AS23" i="11" s="1"/>
  <c r="J19" i="2" s="1"/>
  <c r="AG32" i="11"/>
  <c r="AG42" i="11"/>
  <c r="AG55" i="11"/>
  <c r="AE51" i="1" l="1"/>
  <c r="AG51" i="1" s="1"/>
  <c r="AG48" i="1"/>
  <c r="AE34" i="1"/>
  <c r="AG34" i="1" s="1"/>
  <c r="J63" i="2"/>
  <c r="I64" i="2"/>
  <c r="J64" i="2"/>
  <c r="L62" i="2"/>
  <c r="D63" i="2"/>
  <c r="J62" i="2"/>
  <c r="AE59" i="1"/>
  <c r="AG59" i="1" s="1"/>
  <c r="F62" i="2"/>
  <c r="F64" i="2"/>
  <c r="F63" i="2"/>
  <c r="AE57" i="1"/>
  <c r="AG57" i="1" s="1"/>
  <c r="AG36" i="1"/>
  <c r="K64" i="2"/>
  <c r="K63" i="2"/>
  <c r="K62" i="2"/>
  <c r="E63" i="2"/>
  <c r="E62" i="2"/>
  <c r="E64" i="2"/>
  <c r="I62" i="2"/>
  <c r="L63" i="2"/>
  <c r="AE53" i="1"/>
  <c r="AG53" i="1" s="1"/>
  <c r="AE49" i="1"/>
  <c r="AG49" i="1" s="1"/>
  <c r="AE55" i="1"/>
  <c r="AG55" i="1" s="1"/>
  <c r="AE52" i="1"/>
  <c r="AG52" i="1" s="1"/>
  <c r="F52" i="1"/>
  <c r="I63" i="2"/>
  <c r="AG54" i="1"/>
  <c r="AE42" i="1"/>
  <c r="AG42" i="1" s="1"/>
  <c r="AE60" i="1"/>
  <c r="AG60" i="1" s="1"/>
  <c r="H64" i="2"/>
  <c r="H63" i="2"/>
  <c r="H62" i="2"/>
  <c r="G64" i="2"/>
  <c r="G63" i="2"/>
  <c r="G62" i="2"/>
  <c r="AG50" i="1"/>
  <c r="AE35" i="1"/>
  <c r="AG35" i="1" s="1"/>
  <c r="AE26" i="1"/>
  <c r="AG26" i="1" s="1"/>
</calcChain>
</file>

<file path=xl/sharedStrings.xml><?xml version="1.0" encoding="utf-8"?>
<sst xmlns="http://schemas.openxmlformats.org/spreadsheetml/2006/main" count="6652" uniqueCount="195">
  <si>
    <t>ATTENDANCE RECORD JULY-NOVEMEBER 2024 (B.Tech CSE 3B)</t>
  </si>
  <si>
    <t>Date</t>
  </si>
  <si>
    <t>DSA</t>
  </si>
  <si>
    <t>M-III</t>
  </si>
  <si>
    <t>OOPS</t>
  </si>
  <si>
    <t>DE</t>
  </si>
  <si>
    <t>DOS</t>
  </si>
  <si>
    <t xml:space="preserve">OOPS LAB </t>
  </si>
  <si>
    <t xml:space="preserve">DE LAB </t>
  </si>
  <si>
    <t xml:space="preserve"> DSA LAB </t>
  </si>
  <si>
    <t>IT WORKSHOP</t>
  </si>
  <si>
    <t>OVERALL</t>
  </si>
  <si>
    <t>S.No.</t>
  </si>
  <si>
    <t>Reg No.</t>
  </si>
  <si>
    <t>Name of Student</t>
  </si>
  <si>
    <t>ATT.</t>
  </si>
  <si>
    <t>TOTAL</t>
  </si>
  <si>
    <t>%</t>
  </si>
  <si>
    <t>G.TOTAL</t>
  </si>
  <si>
    <t>Manmohan Singh</t>
  </si>
  <si>
    <t>Manpreet Kaur</t>
  </si>
  <si>
    <t>Md Warish Chesam</t>
  </si>
  <si>
    <t>Mohd Shahid Afridi</t>
  </si>
  <si>
    <t>Munisha</t>
  </si>
  <si>
    <t>Nikhil Kumar Thakur</t>
  </si>
  <si>
    <t>Palak Pathania</t>
  </si>
  <si>
    <t>Pardeep Singh</t>
  </si>
  <si>
    <t>Parveen Mandal</t>
  </si>
  <si>
    <t>Payal</t>
  </si>
  <si>
    <t>Priya</t>
  </si>
  <si>
    <t>Priyam Puri</t>
  </si>
  <si>
    <t>Rahul Sharma</t>
  </si>
  <si>
    <t>Rahulpreet Singh Khinda</t>
  </si>
  <si>
    <t>Raj Kumar</t>
  </si>
  <si>
    <t>Rajan Sharma</t>
  </si>
  <si>
    <t>Rajwinder Kaur</t>
  </si>
  <si>
    <t>RANJIT SHAH KANU</t>
  </si>
  <si>
    <t>Ravi Bhushan Kumar</t>
  </si>
  <si>
    <t>Reshma</t>
  </si>
  <si>
    <t>Ritesh Kumar Choudhary</t>
  </si>
  <si>
    <t>Ritesh Thakur</t>
  </si>
  <si>
    <t>Riya Thakur</t>
  </si>
  <si>
    <t>Rounit Dhiman</t>
  </si>
  <si>
    <t>Rubby Kumari</t>
  </si>
  <si>
    <t>Sakshi Devi</t>
  </si>
  <si>
    <t>Sanchi Sharma</t>
  </si>
  <si>
    <t>Sarbjit Singh</t>
  </si>
  <si>
    <t>Sarif Mayangmayum</t>
  </si>
  <si>
    <t>Shivam Kumar Chaubey</t>
  </si>
  <si>
    <t>Simba Godfrey</t>
  </si>
  <si>
    <t>Simran Kaur</t>
  </si>
  <si>
    <t>Simranjit Singh</t>
  </si>
  <si>
    <t>Sudip Sunar</t>
  </si>
  <si>
    <t>Sujal Sharma</t>
  </si>
  <si>
    <t>Sukhraj Singh</t>
  </si>
  <si>
    <t>Sukhreet Kaur</t>
  </si>
  <si>
    <t>Suman Krishna</t>
  </si>
  <si>
    <t>Sumanyu</t>
  </si>
  <si>
    <t>Tamana</t>
  </si>
  <si>
    <t>Tamana Farooq Khanday</t>
  </si>
  <si>
    <t>Tania</t>
  </si>
  <si>
    <t>Taniya</t>
  </si>
  <si>
    <t>Taziko Trakha</t>
  </si>
  <si>
    <t>Uday Kumar</t>
  </si>
  <si>
    <t>Vaibhav Shahi</t>
  </si>
  <si>
    <t>Vansh Kumar</t>
  </si>
  <si>
    <t>Vansh Sharma</t>
  </si>
  <si>
    <t>Vikramjit Singh</t>
  </si>
  <si>
    <t>Vishavjit Singh</t>
  </si>
  <si>
    <t>TANISHA</t>
  </si>
  <si>
    <t>TOHIED AHMED</t>
  </si>
  <si>
    <t>Harsh thakur</t>
  </si>
  <si>
    <t>Leet</t>
  </si>
  <si>
    <t>Gagan</t>
  </si>
  <si>
    <t>Manisha</t>
  </si>
  <si>
    <t>Richa</t>
  </si>
  <si>
    <t>Prakriti</t>
  </si>
  <si>
    <t>leet</t>
  </si>
  <si>
    <t>Shubham</t>
  </si>
  <si>
    <t>INTERNAL RECORD JULY-NOVEMBER  2024 (B.Tech CSE 3B)</t>
  </si>
  <si>
    <t>Subjects</t>
  </si>
  <si>
    <t>DSA LAB</t>
  </si>
  <si>
    <t xml:space="preserve">HIGHEST MARKS </t>
  </si>
  <si>
    <t>LOWEST MARKS</t>
  </si>
  <si>
    <t>AVG INTERNAL</t>
  </si>
  <si>
    <t>NAME OF SUBJECT INCHARGE</t>
  </si>
  <si>
    <t>Mr. Manjot</t>
  </si>
  <si>
    <t>Ms. Simranjit Kaur</t>
  </si>
  <si>
    <t>Ms. Preet Kaur</t>
  </si>
  <si>
    <t>Mr. Gurminder Singh</t>
  </si>
  <si>
    <t>Ms. Ashmeet</t>
  </si>
  <si>
    <t>Mr. Sukhdayal</t>
  </si>
  <si>
    <t xml:space="preserve">Signature </t>
  </si>
  <si>
    <t>CTIEMT</t>
  </si>
  <si>
    <t>30/9/24</t>
  </si>
  <si>
    <t>29/11/24</t>
  </si>
  <si>
    <t>PRESENT</t>
  </si>
  <si>
    <t>DL (IF ANY)</t>
  </si>
  <si>
    <t>Total Attended</t>
  </si>
  <si>
    <t>Total Delievered</t>
  </si>
  <si>
    <t>PERCENTAGE</t>
  </si>
  <si>
    <t>Evaluation Sheet for Internal Awards (Theory)</t>
  </si>
  <si>
    <t>Session: July-November2024</t>
  </si>
  <si>
    <t>Department: CSE</t>
  </si>
  <si>
    <t>Semester: 3rd B</t>
  </si>
  <si>
    <t>Subject Name:OOPS</t>
  </si>
  <si>
    <t>Subject Code: BTCS 302-18</t>
  </si>
  <si>
    <t>Total Lec Del</t>
  </si>
  <si>
    <t>Total Lec Att</t>
  </si>
  <si>
    <t>Att %age</t>
  </si>
  <si>
    <t>Att Marks
(6)</t>
  </si>
  <si>
    <t xml:space="preserve">MST I </t>
  </si>
  <si>
    <t>MST II(Converted)</t>
  </si>
  <si>
    <t>MST II(Original)</t>
  </si>
  <si>
    <t>MST marks</t>
  </si>
  <si>
    <t>Assignment</t>
  </si>
  <si>
    <t>Weighted marks in Assignments
(10)</t>
  </si>
  <si>
    <t>Grace</t>
  </si>
  <si>
    <t>Grand Total
(40)</t>
  </si>
  <si>
    <t>Average MST I &amp; II (24)</t>
  </si>
  <si>
    <t>Mr.Manjot Singh</t>
  </si>
  <si>
    <t>16/7/2024</t>
  </si>
  <si>
    <t>17/7/2024</t>
  </si>
  <si>
    <t>A</t>
  </si>
  <si>
    <t>P</t>
  </si>
  <si>
    <t>Subject Name: DSA</t>
  </si>
  <si>
    <t>Subject Code: BTCS 301-18</t>
  </si>
  <si>
    <t>Shubam</t>
  </si>
  <si>
    <t>Subject Name: DOS</t>
  </si>
  <si>
    <t>Subject Code: HSMC 101-18</t>
  </si>
  <si>
    <t xml:space="preserve"> CTIEMT</t>
  </si>
  <si>
    <t>30/07/2024</t>
  </si>
  <si>
    <t>31/07/2024</t>
  </si>
  <si>
    <t>13/8/2024</t>
  </si>
  <si>
    <t>14/8/2024</t>
  </si>
  <si>
    <t>16/8/2024</t>
  </si>
  <si>
    <t>20/8/2024</t>
  </si>
  <si>
    <t>21/8/2024</t>
  </si>
  <si>
    <t>22/8/2024</t>
  </si>
  <si>
    <t>23/8/2024</t>
  </si>
  <si>
    <t>27/8/2024</t>
  </si>
  <si>
    <t>28/8/2024</t>
  </si>
  <si>
    <t>29/8/2024</t>
  </si>
  <si>
    <t>30/8/2024</t>
  </si>
  <si>
    <t>13/9/2024</t>
  </si>
  <si>
    <t>16/9/2024</t>
  </si>
  <si>
    <t>18/9/2024</t>
  </si>
  <si>
    <t>19/9/2024</t>
  </si>
  <si>
    <t>20/9/2024</t>
  </si>
  <si>
    <t>23/9/2024</t>
  </si>
  <si>
    <t>25/9/2024</t>
  </si>
  <si>
    <t>26/9/2024</t>
  </si>
  <si>
    <t>27/9/2024</t>
  </si>
  <si>
    <t>30/9/2024</t>
  </si>
  <si>
    <t>14/10/2024</t>
  </si>
  <si>
    <t>18/10/2024</t>
  </si>
  <si>
    <t>24/10/2024</t>
  </si>
  <si>
    <t>Semester: 3rd A</t>
  </si>
  <si>
    <t>Subject Name:M-III</t>
  </si>
  <si>
    <t>Subject Code: BTAM 304-18</t>
  </si>
  <si>
    <t>GRACE</t>
  </si>
  <si>
    <t>Subject Name:DE</t>
  </si>
  <si>
    <t>Subject Code: BTES 301-18</t>
  </si>
  <si>
    <t>p</t>
  </si>
  <si>
    <t xml:space="preserve">Prakriti </t>
  </si>
  <si>
    <t xml:space="preserve">Shubham </t>
  </si>
  <si>
    <t>Ms.</t>
  </si>
  <si>
    <t>Subject Name: DSA Lab</t>
  </si>
  <si>
    <t>Subject Code: BTCS 303-18</t>
  </si>
  <si>
    <t>S. No</t>
  </si>
  <si>
    <t>Regd. No</t>
  </si>
  <si>
    <t>Name of student</t>
  </si>
  <si>
    <t>Total No of practical sessions held</t>
  </si>
  <si>
    <t>Total No of practical sessions attended</t>
  </si>
  <si>
    <t>Attendance %age</t>
  </si>
  <si>
    <t xml:space="preserve">Attendance Marks 
(6) </t>
  </si>
  <si>
    <t>Marks of Practical File 
(7)</t>
  </si>
  <si>
    <t>Marks in vive voca
(7)</t>
  </si>
  <si>
    <t>Grand Total 
(30)</t>
  </si>
  <si>
    <t xml:space="preserve"> </t>
  </si>
  <si>
    <t>DAILY PERFORMANCE MARKS OUT OF 10</t>
  </si>
  <si>
    <t>Ms.PREET KAUR</t>
  </si>
  <si>
    <t>25/11/24</t>
  </si>
  <si>
    <t>26/11/24</t>
  </si>
  <si>
    <t>Semester: 3RD B</t>
  </si>
  <si>
    <t>Subject Name: OOPS LAB</t>
  </si>
  <si>
    <t>Subject Code: BTCS303-18</t>
  </si>
  <si>
    <t xml:space="preserve">Weighted Marks of Performance in labs 
(10) </t>
  </si>
  <si>
    <t>Semester: 3rd</t>
  </si>
  <si>
    <t>Subject Name: IT Workshop</t>
  </si>
  <si>
    <t>Subject Code: BTCS 305-18</t>
  </si>
  <si>
    <t>LR</t>
  </si>
  <si>
    <t>Subject Name: DE LAB</t>
  </si>
  <si>
    <t>Subject Code: BTES 302-18</t>
  </si>
  <si>
    <t>Shubham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</si>
</sst>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0.0"/>
    <numFmt numFmtId="166" formatCode="m\-d\-yyyy"/>
    <numFmt numFmtId="167" formatCode="d\ mmmm\ yyyy"/>
    <numFmt numFmtId="168" formatCode="dd\ mmm\ yyyy"/>
  </numFmts>
  <fonts count="39">
    <font>
      <sz val="11"/>
      <color theme="1"/>
      <name val="Calibri"/>
      <scheme val="minor"/>
    </font>
    <font>
      <sz val="14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theme="1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b/>
      <i/>
      <sz val="11"/>
      <color theme="1"/>
      <name val="Times New Roman"/>
    </font>
    <font>
      <sz val="11"/>
      <color theme="1"/>
      <name val="Arial"/>
    </font>
    <font>
      <b/>
      <sz val="12"/>
      <color theme="1"/>
      <name val="Cambria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Calibri"/>
    </font>
    <font>
      <b/>
      <sz val="14"/>
      <color rgb="FF000000"/>
      <name val="Times New Roman"/>
    </font>
    <font>
      <b/>
      <i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Times New Roman"/>
    </font>
    <font>
      <b/>
      <sz val="12"/>
      <color rgb="FF000000"/>
      <name val="Times New Roman"/>
    </font>
    <font>
      <b/>
      <sz val="11"/>
      <color theme="1"/>
      <name val="Calibri"/>
    </font>
    <font>
      <sz val="11"/>
      <color rgb="FF000000"/>
      <name val="Arial"/>
    </font>
    <font>
      <sz val="12"/>
      <color rgb="FF000000"/>
      <name val="Calibri"/>
    </font>
    <font>
      <sz val="12"/>
      <color rgb="FF000000"/>
      <name val="Arial"/>
    </font>
    <font>
      <sz val="10"/>
      <color rgb="FF000000"/>
      <name val="Times New Roman"/>
    </font>
    <font>
      <sz val="12"/>
      <color theme="1"/>
      <name val="Calibri"/>
      <scheme val="minor"/>
    </font>
    <font>
      <sz val="17"/>
      <color theme="1"/>
      <name val="Times New Roman"/>
    </font>
    <font>
      <sz val="8"/>
      <color theme="1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&quot;Times New Roman&quot;"/>
    </font>
    <font>
      <sz val="11"/>
      <color rgb="FF974706"/>
      <name val="Calibri"/>
    </font>
    <font>
      <sz val="11"/>
      <color rgb="FFFF0000"/>
      <name val="Calibri"/>
    </font>
    <font>
      <sz val="11"/>
      <color rgb="FFFFFFFF"/>
      <name val="Calibri"/>
    </font>
    <font>
      <sz val="12"/>
      <color rgb="FF000000"/>
      <name val="&quot;Times New Roman&quot;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0" fontId="4" fillId="2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1" fontId="4" fillId="4" borderId="4" xfId="0" applyNumberFormat="1" applyFont="1" applyFill="1" applyBorder="1" applyAlignment="1">
      <alignment horizontal="center" wrapText="1"/>
    </xf>
    <xf numFmtId="49" fontId="4" fillId="4" borderId="4" xfId="0" applyNumberFormat="1" applyFont="1" applyFill="1" applyBorder="1" applyAlignment="1">
      <alignment horizontal="center" wrapText="1"/>
    </xf>
    <xf numFmtId="1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0" fontId="4" fillId="4" borderId="4" xfId="0" applyNumberFormat="1" applyFont="1" applyFill="1" applyBorder="1" applyAlignment="1">
      <alignment horizontal="center"/>
    </xf>
    <xf numFmtId="0" fontId="4" fillId="4" borderId="5" xfId="0" applyFont="1" applyFill="1" applyBorder="1"/>
    <xf numFmtId="0" fontId="4" fillId="4" borderId="6" xfId="0" applyFont="1" applyFill="1" applyBorder="1"/>
    <xf numFmtId="0" fontId="4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1" fontId="4" fillId="2" borderId="4" xfId="0" applyNumberFormat="1" applyFont="1" applyFill="1" applyBorder="1" applyAlignment="1">
      <alignment horizontal="center" wrapText="1"/>
    </xf>
    <xf numFmtId="10" fontId="4" fillId="2" borderId="4" xfId="0" applyNumberFormat="1" applyFont="1" applyFill="1" applyBorder="1" applyAlignment="1">
      <alignment horizontal="center"/>
    </xf>
    <xf numFmtId="0" fontId="4" fillId="5" borderId="5" xfId="0" applyFont="1" applyFill="1" applyBorder="1"/>
    <xf numFmtId="0" fontId="4" fillId="5" borderId="6" xfId="0" applyFont="1" applyFill="1" applyBorder="1"/>
    <xf numFmtId="0" fontId="4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wrapText="1"/>
    </xf>
    <xf numFmtId="0" fontId="6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1" fontId="4" fillId="4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0" xfId="0" applyFont="1" applyFill="1"/>
    <xf numFmtId="1" fontId="4" fillId="2" borderId="0" xfId="0" applyNumberFormat="1" applyFont="1" applyFill="1" applyAlignment="1">
      <alignment horizontal="center" wrapText="1"/>
    </xf>
    <xf numFmtId="10" fontId="4" fillId="2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0" fontId="4" fillId="4" borderId="0" xfId="0" applyFont="1" applyFill="1"/>
    <xf numFmtId="10" fontId="4" fillId="4" borderId="0" xfId="0" applyNumberFormat="1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4" fillId="4" borderId="7" xfId="0" applyFont="1" applyFill="1" applyBorder="1" applyAlignment="1">
      <alignment horizontal="center" wrapText="1"/>
    </xf>
    <xf numFmtId="0" fontId="4" fillId="4" borderId="7" xfId="0" applyFont="1" applyFill="1" applyBorder="1"/>
    <xf numFmtId="10" fontId="4" fillId="4" borderId="7" xfId="0" applyNumberFormat="1" applyFont="1" applyFill="1" applyBorder="1"/>
    <xf numFmtId="10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left" vertical="center"/>
    </xf>
    <xf numFmtId="1" fontId="9" fillId="0" borderId="18" xfId="0" applyNumberFormat="1" applyFont="1" applyBorder="1" applyAlignment="1">
      <alignment horizontal="center" wrapText="1"/>
    </xf>
    <xf numFmtId="1" fontId="9" fillId="0" borderId="19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left" vertical="center"/>
    </xf>
    <xf numFmtId="1" fontId="9" fillId="0" borderId="23" xfId="0" applyNumberFormat="1" applyFont="1" applyBorder="1" applyAlignment="1">
      <alignment horizontal="center" wrapText="1"/>
    </xf>
    <xf numFmtId="1" fontId="9" fillId="0" borderId="24" xfId="0" applyNumberFormat="1" applyFont="1" applyBorder="1" applyAlignment="1">
      <alignment horizontal="center" wrapText="1"/>
    </xf>
    <xf numFmtId="1" fontId="9" fillId="2" borderId="24" xfId="0" applyNumberFormat="1" applyFont="1" applyFill="1" applyBorder="1" applyAlignment="1">
      <alignment horizontal="center" wrapText="1"/>
    </xf>
    <xf numFmtId="0" fontId="4" fillId="2" borderId="6" xfId="0" applyFont="1" applyFill="1" applyBorder="1"/>
    <xf numFmtId="1" fontId="9" fillId="4" borderId="24" xfId="0" applyNumberFormat="1" applyFont="1" applyFill="1" applyBorder="1" applyAlignment="1">
      <alignment horizontal="center" wrapText="1"/>
    </xf>
    <xf numFmtId="0" fontId="9" fillId="4" borderId="2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left" vertical="center"/>
    </xf>
    <xf numFmtId="0" fontId="9" fillId="4" borderId="25" xfId="0" applyFont="1" applyFill="1" applyBorder="1" applyAlignment="1">
      <alignment horizontal="left" vertical="center"/>
    </xf>
    <xf numFmtId="1" fontId="9" fillId="0" borderId="26" xfId="0" applyNumberFormat="1" applyFont="1" applyBorder="1" applyAlignment="1">
      <alignment horizontal="center" wrapText="1"/>
    </xf>
    <xf numFmtId="1" fontId="9" fillId="0" borderId="29" xfId="0" applyNumberFormat="1" applyFont="1" applyBorder="1" applyAlignment="1">
      <alignment horizontal="center" wrapText="1"/>
    </xf>
    <xf numFmtId="1" fontId="9" fillId="0" borderId="33" xfId="0" applyNumberFormat="1" applyFont="1" applyBorder="1" applyAlignment="1">
      <alignment horizontal="center" wrapText="1"/>
    </xf>
    <xf numFmtId="1" fontId="9" fillId="0" borderId="37" xfId="0" applyNumberFormat="1" applyFont="1" applyBorder="1" applyAlignment="1">
      <alignment horizontal="center" wrapText="1"/>
    </xf>
    <xf numFmtId="0" fontId="9" fillId="0" borderId="44" xfId="0" applyFont="1" applyBorder="1" applyAlignment="1">
      <alignment horizontal="center"/>
    </xf>
    <xf numFmtId="0" fontId="9" fillId="0" borderId="43" xfId="0" applyFont="1" applyBorder="1" applyAlignment="1">
      <alignment wrapText="1"/>
    </xf>
    <xf numFmtId="0" fontId="9" fillId="0" borderId="44" xfId="0" applyFont="1" applyBorder="1"/>
    <xf numFmtId="0" fontId="9" fillId="0" borderId="44" xfId="0" applyFont="1" applyBorder="1" applyAlignment="1">
      <alignment wrapText="1"/>
    </xf>
    <xf numFmtId="0" fontId="9" fillId="0" borderId="45" xfId="0" applyFont="1" applyBorder="1" applyAlignment="1">
      <alignment wrapText="1"/>
    </xf>
    <xf numFmtId="0" fontId="4" fillId="0" borderId="23" xfId="0" applyFont="1" applyBorder="1"/>
    <xf numFmtId="0" fontId="11" fillId="0" borderId="23" xfId="0" applyFont="1" applyBorder="1" applyAlignment="1">
      <alignment horizontal="center" vertical="center"/>
    </xf>
    <xf numFmtId="164" fontId="4" fillId="6" borderId="23" xfId="0" applyNumberFormat="1" applyFont="1" applyFill="1" applyBorder="1" applyAlignment="1">
      <alignment horizontal="center" textRotation="90"/>
    </xf>
    <xf numFmtId="14" fontId="4" fillId="6" borderId="23" xfId="0" applyNumberFormat="1" applyFont="1" applyFill="1" applyBorder="1" applyAlignment="1">
      <alignment horizontal="center" textRotation="90"/>
    </xf>
    <xf numFmtId="0" fontId="4" fillId="6" borderId="23" xfId="0" applyFont="1" applyFill="1" applyBorder="1" applyAlignment="1">
      <alignment horizontal="center" textRotation="90"/>
    </xf>
    <xf numFmtId="0" fontId="12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1" fontId="4" fillId="0" borderId="23" xfId="0" applyNumberFormat="1" applyFont="1" applyBorder="1" applyAlignment="1">
      <alignment horizontal="center"/>
    </xf>
    <xf numFmtId="1" fontId="4" fillId="0" borderId="23" xfId="0" applyNumberFormat="1" applyFont="1" applyBorder="1"/>
    <xf numFmtId="10" fontId="4" fillId="0" borderId="23" xfId="0" applyNumberFormat="1" applyFont="1" applyBorder="1"/>
    <xf numFmtId="0" fontId="3" fillId="0" borderId="2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wrapText="1"/>
    </xf>
    <xf numFmtId="0" fontId="9" fillId="4" borderId="23" xfId="0" applyFont="1" applyFill="1" applyBorder="1" applyAlignment="1">
      <alignment wrapText="1"/>
    </xf>
    <xf numFmtId="0" fontId="13" fillId="4" borderId="23" xfId="0" applyFont="1" applyFill="1" applyBorder="1" applyAlignment="1">
      <alignment horizontal="center" vertical="center"/>
    </xf>
    <xf numFmtId="1" fontId="13" fillId="4" borderId="23" xfId="0" applyNumberFormat="1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15" fillId="4" borderId="23" xfId="0" applyNumberFormat="1" applyFont="1" applyFill="1" applyBorder="1" applyAlignment="1">
      <alignment horizontal="center" vertical="center"/>
    </xf>
    <xf numFmtId="1" fontId="15" fillId="4" borderId="0" xfId="0" applyNumberFormat="1" applyFont="1" applyFill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1" fontId="4" fillId="2" borderId="23" xfId="0" applyNumberFormat="1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5" borderId="49" xfId="0" applyFont="1" applyFill="1" applyBorder="1" applyAlignment="1">
      <alignment horizontal="center"/>
    </xf>
    <xf numFmtId="0" fontId="14" fillId="7" borderId="4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8" borderId="23" xfId="0" applyFont="1" applyFill="1" applyBorder="1" applyAlignment="1">
      <alignment horizontal="center" vertical="center"/>
    </xf>
    <xf numFmtId="0" fontId="14" fillId="8" borderId="49" xfId="0" applyFont="1" applyFill="1" applyBorder="1" applyAlignment="1">
      <alignment horizontal="center"/>
    </xf>
    <xf numFmtId="0" fontId="4" fillId="4" borderId="50" xfId="0" applyFont="1" applyFill="1" applyBorder="1" applyAlignment="1">
      <alignment horizontal="center"/>
    </xf>
    <xf numFmtId="0" fontId="6" fillId="0" borderId="23" xfId="0" applyFont="1" applyBorder="1" applyAlignment="1">
      <alignment horizontal="left" wrapText="1" readingOrder="1"/>
    </xf>
    <xf numFmtId="0" fontId="4" fillId="4" borderId="51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1" fontId="4" fillId="0" borderId="26" xfId="0" applyNumberFormat="1" applyFont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 vertical="center"/>
    </xf>
    <xf numFmtId="1" fontId="13" fillId="4" borderId="50" xfId="0" applyNumberFormat="1" applyFont="1" applyFill="1" applyBorder="1" applyAlignment="1">
      <alignment horizontal="center" vertical="center"/>
    </xf>
    <xf numFmtId="0" fontId="6" fillId="0" borderId="48" xfId="0" applyFont="1" applyBorder="1" applyAlignment="1">
      <alignment vertical="center" wrapText="1"/>
    </xf>
    <xf numFmtId="0" fontId="13" fillId="4" borderId="54" xfId="0" applyFont="1" applyFill="1" applyBorder="1" applyAlignment="1">
      <alignment horizontal="center" vertical="center"/>
    </xf>
    <xf numFmtId="0" fontId="4" fillId="4" borderId="23" xfId="0" applyFont="1" applyFill="1" applyBorder="1"/>
    <xf numFmtId="1" fontId="15" fillId="4" borderId="5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3" fillId="4" borderId="48" xfId="0" applyFont="1" applyFill="1" applyBorder="1" applyAlignment="1">
      <alignment horizontal="center" vertical="center"/>
    </xf>
    <xf numFmtId="1" fontId="15" fillId="4" borderId="32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/>
    </xf>
    <xf numFmtId="0" fontId="14" fillId="5" borderId="55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23" xfId="0" applyFont="1" applyBorder="1"/>
    <xf numFmtId="0" fontId="20" fillId="0" borderId="19" xfId="0" applyFont="1" applyBorder="1"/>
    <xf numFmtId="0" fontId="21" fillId="4" borderId="23" xfId="0" applyFont="1" applyFill="1" applyBorder="1" applyAlignment="1">
      <alignment horizontal="center" vertical="center" wrapText="1"/>
    </xf>
    <xf numFmtId="0" fontId="23" fillId="0" borderId="23" xfId="0" applyFont="1" applyBorder="1"/>
    <xf numFmtId="0" fontId="22" fillId="4" borderId="23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right"/>
    </xf>
    <xf numFmtId="0" fontId="24" fillId="4" borderId="23" xfId="0" applyFont="1" applyFill="1" applyBorder="1" applyAlignment="1">
      <alignment horizontal="center" vertical="center"/>
    </xf>
    <xf numFmtId="1" fontId="24" fillId="4" borderId="23" xfId="0" applyNumberFormat="1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1" fontId="26" fillId="4" borderId="23" xfId="0" applyNumberFormat="1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0" fontId="20" fillId="8" borderId="23" xfId="0" applyFont="1" applyFill="1" applyBorder="1" applyAlignment="1">
      <alignment horizontal="center"/>
    </xf>
    <xf numFmtId="0" fontId="27" fillId="4" borderId="23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/>
    </xf>
    <xf numFmtId="0" fontId="6" fillId="2" borderId="23" xfId="0" applyFont="1" applyFill="1" applyBorder="1" applyAlignment="1">
      <alignment vertical="center" wrapText="1"/>
    </xf>
    <xf numFmtId="0" fontId="17" fillId="0" borderId="23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right" vertical="center" wrapText="1"/>
    </xf>
    <xf numFmtId="0" fontId="4" fillId="0" borderId="23" xfId="0" applyFont="1" applyBorder="1" applyAlignment="1">
      <alignment wrapText="1"/>
    </xf>
    <xf numFmtId="1" fontId="24" fillId="4" borderId="19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4" fillId="0" borderId="31" xfId="0" applyFont="1" applyBorder="1"/>
    <xf numFmtId="0" fontId="4" fillId="0" borderId="32" xfId="0" applyFont="1" applyBorder="1"/>
    <xf numFmtId="0" fontId="7" fillId="0" borderId="23" xfId="0" applyFont="1" applyBorder="1" applyAlignment="1">
      <alignment horizontal="center"/>
    </xf>
    <xf numFmtId="2" fontId="24" fillId="4" borderId="23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/>
    </xf>
    <xf numFmtId="0" fontId="20" fillId="2" borderId="32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0" fillId="5" borderId="19" xfId="0" applyFont="1" applyFill="1" applyBorder="1" applyAlignment="1">
      <alignment horizontal="center"/>
    </xf>
    <xf numFmtId="0" fontId="20" fillId="5" borderId="18" xfId="0" applyFont="1" applyFill="1" applyBorder="1" applyAlignment="1">
      <alignment horizontal="center"/>
    </xf>
    <xf numFmtId="0" fontId="20" fillId="8" borderId="18" xfId="0" applyFont="1" applyFill="1" applyBorder="1" applyAlignment="1">
      <alignment horizontal="center"/>
    </xf>
    <xf numFmtId="0" fontId="4" fillId="0" borderId="26" xfId="0" applyFont="1" applyBorder="1"/>
    <xf numFmtId="0" fontId="24" fillId="4" borderId="50" xfId="0" applyFont="1" applyFill="1" applyBorder="1" applyAlignment="1">
      <alignment horizontal="center" vertical="center"/>
    </xf>
    <xf numFmtId="1" fontId="24" fillId="4" borderId="50" xfId="0" applyNumberFormat="1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wrapText="1"/>
    </xf>
    <xf numFmtId="0" fontId="24" fillId="4" borderId="54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" fontId="26" fillId="4" borderId="51" xfId="0" applyNumberFormat="1" applyFont="1" applyFill="1" applyBorder="1" applyAlignment="1">
      <alignment horizontal="center" vertical="center"/>
    </xf>
    <xf numFmtId="0" fontId="6" fillId="0" borderId="0" xfId="0" applyFont="1"/>
    <xf numFmtId="166" fontId="4" fillId="6" borderId="23" xfId="0" applyNumberFormat="1" applyFont="1" applyFill="1" applyBorder="1" applyAlignment="1">
      <alignment horizontal="center" textRotation="90"/>
    </xf>
    <xf numFmtId="0" fontId="4" fillId="4" borderId="57" xfId="0" applyFont="1" applyFill="1" applyBorder="1" applyAlignment="1">
      <alignment horizontal="center"/>
    </xf>
    <xf numFmtId="165" fontId="3" fillId="0" borderId="2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8" xfId="0" applyFont="1" applyBorder="1" applyAlignment="1">
      <alignment vertical="center" wrapText="1"/>
    </xf>
    <xf numFmtId="0" fontId="4" fillId="2" borderId="23" xfId="0" applyFont="1" applyFill="1" applyBorder="1" applyAlignment="1">
      <alignment horizontal="center"/>
    </xf>
    <xf numFmtId="0" fontId="4" fillId="2" borderId="57" xfId="0" applyFont="1" applyFill="1" applyBorder="1" applyAlignment="1">
      <alignment horizontal="center"/>
    </xf>
    <xf numFmtId="0" fontId="13" fillId="0" borderId="2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" fontId="13" fillId="0" borderId="23" xfId="0" applyNumberFormat="1" applyFont="1" applyBorder="1" applyAlignment="1">
      <alignment horizontal="center" vertical="center"/>
    </xf>
    <xf numFmtId="0" fontId="14" fillId="2" borderId="49" xfId="0" applyFont="1" applyFill="1" applyBorder="1" applyAlignment="1">
      <alignment horizontal="center"/>
    </xf>
    <xf numFmtId="0" fontId="20" fillId="4" borderId="57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30" fillId="0" borderId="23" xfId="0" applyFont="1" applyBorder="1"/>
    <xf numFmtId="0" fontId="13" fillId="2" borderId="51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1" fontId="13" fillId="2" borderId="51" xfId="0" applyNumberFormat="1" applyFont="1" applyFill="1" applyBorder="1" applyAlignment="1">
      <alignment horizontal="center"/>
    </xf>
    <xf numFmtId="0" fontId="13" fillId="2" borderId="56" xfId="0" applyFont="1" applyFill="1" applyBorder="1" applyAlignment="1">
      <alignment horizontal="center"/>
    </xf>
    <xf numFmtId="0" fontId="4" fillId="2" borderId="56" xfId="0" applyFont="1" applyFill="1" applyBorder="1" applyAlignment="1">
      <alignment horizontal="center"/>
    </xf>
    <xf numFmtId="1" fontId="13" fillId="2" borderId="56" xfId="0" applyNumberFormat="1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0" fontId="31" fillId="4" borderId="23" xfId="0" applyFont="1" applyFill="1" applyBorder="1" applyAlignment="1">
      <alignment horizontal="center"/>
    </xf>
    <xf numFmtId="0" fontId="31" fillId="4" borderId="57" xfId="0" applyFont="1" applyFill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3" xfId="0" applyFont="1" applyBorder="1"/>
    <xf numFmtId="10" fontId="31" fillId="0" borderId="23" xfId="0" applyNumberFormat="1" applyFont="1" applyBorder="1"/>
    <xf numFmtId="0" fontId="32" fillId="2" borderId="56" xfId="0" applyFont="1" applyFill="1" applyBorder="1" applyAlignment="1">
      <alignment horizontal="center"/>
    </xf>
    <xf numFmtId="0" fontId="31" fillId="2" borderId="56" xfId="0" applyFont="1" applyFill="1" applyBorder="1" applyAlignment="1">
      <alignment horizontal="center"/>
    </xf>
    <xf numFmtId="1" fontId="32" fillId="2" borderId="56" xfId="0" applyNumberFormat="1" applyFont="1" applyFill="1" applyBorder="1" applyAlignment="1">
      <alignment horizontal="center"/>
    </xf>
    <xf numFmtId="0" fontId="9" fillId="4" borderId="50" xfId="0" applyFont="1" applyFill="1" applyBorder="1" applyAlignment="1">
      <alignment horizontal="center" wrapText="1"/>
    </xf>
    <xf numFmtId="0" fontId="9" fillId="4" borderId="50" xfId="0" applyFont="1" applyFill="1" applyBorder="1" applyAlignment="1">
      <alignment wrapText="1"/>
    </xf>
    <xf numFmtId="0" fontId="13" fillId="4" borderId="56" xfId="0" applyFont="1" applyFill="1" applyBorder="1" applyAlignment="1">
      <alignment horizontal="center"/>
    </xf>
    <xf numFmtId="1" fontId="13" fillId="4" borderId="56" xfId="0" applyNumberFormat="1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wrapText="1"/>
    </xf>
    <xf numFmtId="0" fontId="23" fillId="4" borderId="56" xfId="0" applyFont="1" applyFill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3" fillId="8" borderId="19" xfId="0" applyFont="1" applyFill="1" applyBorder="1" applyAlignment="1">
      <alignment horizontal="center"/>
    </xf>
    <xf numFmtId="1" fontId="13" fillId="4" borderId="32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7" fillId="0" borderId="23" xfId="0" applyFont="1" applyBorder="1"/>
    <xf numFmtId="0" fontId="4" fillId="10" borderId="6" xfId="0" applyFont="1" applyFill="1" applyBorder="1" applyAlignment="1">
      <alignment textRotation="90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 wrapText="1"/>
    </xf>
    <xf numFmtId="0" fontId="3" fillId="0" borderId="31" xfId="0" applyFont="1" applyBorder="1"/>
    <xf numFmtId="0" fontId="3" fillId="0" borderId="32" xfId="0" applyFont="1" applyBorder="1"/>
    <xf numFmtId="0" fontId="36" fillId="9" borderId="23" xfId="0" applyFont="1" applyFill="1" applyBorder="1"/>
    <xf numFmtId="0" fontId="6" fillId="2" borderId="4" xfId="0" applyFont="1" applyFill="1" applyBorder="1" applyAlignment="1">
      <alignment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vertical="center" wrapText="1"/>
    </xf>
    <xf numFmtId="0" fontId="24" fillId="4" borderId="23" xfId="0" applyFont="1" applyFill="1" applyBorder="1" applyAlignment="1">
      <alignment horizontal="center" vertical="top" wrapText="1"/>
    </xf>
    <xf numFmtId="1" fontId="13" fillId="4" borderId="23" xfId="0" applyNumberFormat="1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 vertical="center" wrapText="1"/>
    </xf>
    <xf numFmtId="1" fontId="13" fillId="4" borderId="14" xfId="0" applyNumberFormat="1" applyFont="1" applyFill="1" applyBorder="1" applyAlignment="1">
      <alignment horizontal="center"/>
    </xf>
    <xf numFmtId="0" fontId="6" fillId="2" borderId="60" xfId="0" applyFont="1" applyFill="1" applyBorder="1" applyAlignment="1">
      <alignment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vertical="center" wrapText="1"/>
    </xf>
    <xf numFmtId="0" fontId="24" fillId="4" borderId="50" xfId="0" applyFont="1" applyFill="1" applyBorder="1" applyAlignment="1">
      <alignment horizontal="center" vertical="top" wrapText="1"/>
    </xf>
    <xf numFmtId="1" fontId="13" fillId="4" borderId="50" xfId="0" applyNumberFormat="1" applyFont="1" applyFill="1" applyBorder="1" applyAlignment="1">
      <alignment horizontal="center"/>
    </xf>
    <xf numFmtId="0" fontId="24" fillId="4" borderId="14" xfId="0" applyFont="1" applyFill="1" applyBorder="1" applyAlignment="1">
      <alignment horizontal="center" vertical="top" wrapText="1"/>
    </xf>
    <xf numFmtId="0" fontId="13" fillId="4" borderId="14" xfId="0" applyFont="1" applyFill="1" applyBorder="1" applyAlignment="1">
      <alignment horizontal="center" vertical="center"/>
    </xf>
    <xf numFmtId="1" fontId="13" fillId="4" borderId="15" xfId="0" applyNumberFormat="1" applyFont="1" applyFill="1" applyBorder="1" applyAlignment="1">
      <alignment horizontal="center"/>
    </xf>
    <xf numFmtId="0" fontId="20" fillId="2" borderId="19" xfId="0" applyFont="1" applyFill="1" applyBorder="1"/>
    <xf numFmtId="0" fontId="6" fillId="2" borderId="63" xfId="0" applyFont="1" applyFill="1" applyBorder="1" applyAlignment="1">
      <alignment vertical="center" wrapText="1"/>
    </xf>
    <xf numFmtId="0" fontId="4" fillId="4" borderId="59" xfId="0" applyFont="1" applyFill="1" applyBorder="1" applyAlignment="1">
      <alignment horizontal="right" wrapText="1"/>
    </xf>
    <xf numFmtId="0" fontId="6" fillId="4" borderId="63" xfId="0" applyFont="1" applyFill="1" applyBorder="1" applyAlignment="1">
      <alignment vertical="center" wrapText="1"/>
    </xf>
    <xf numFmtId="0" fontId="4" fillId="4" borderId="59" xfId="0" applyFont="1" applyFill="1" applyBorder="1" applyAlignment="1">
      <alignment wrapText="1"/>
    </xf>
    <xf numFmtId="0" fontId="4" fillId="4" borderId="63" xfId="0" applyFont="1" applyFill="1" applyBorder="1" applyAlignment="1">
      <alignment wrapText="1"/>
    </xf>
    <xf numFmtId="0" fontId="4" fillId="0" borderId="63" xfId="0" applyFont="1" applyBorder="1" applyAlignment="1">
      <alignment wrapText="1"/>
    </xf>
    <xf numFmtId="0" fontId="4" fillId="4" borderId="64" xfId="0" applyFont="1" applyFill="1" applyBorder="1" applyAlignment="1">
      <alignment horizontal="center"/>
    </xf>
    <xf numFmtId="0" fontId="4" fillId="4" borderId="65" xfId="0" applyFont="1" applyFill="1" applyBorder="1" applyAlignment="1">
      <alignment horizontal="center"/>
    </xf>
    <xf numFmtId="0" fontId="4" fillId="4" borderId="50" xfId="0" applyFont="1" applyFill="1" applyBorder="1"/>
    <xf numFmtId="0" fontId="6" fillId="0" borderId="23" xfId="0" applyFont="1" applyBorder="1" applyAlignment="1">
      <alignment horizontal="center"/>
    </xf>
    <xf numFmtId="0" fontId="6" fillId="0" borderId="23" xfId="0" applyFont="1" applyBorder="1"/>
    <xf numFmtId="0" fontId="6" fillId="0" borderId="23" xfId="0" applyFont="1" applyBorder="1" applyAlignment="1">
      <alignment horizontal="left"/>
    </xf>
    <xf numFmtId="0" fontId="13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7" fillId="0" borderId="0" xfId="0" applyFont="1"/>
    <xf numFmtId="16" fontId="20" fillId="2" borderId="23" xfId="0" applyNumberFormat="1" applyFont="1" applyFill="1" applyBorder="1" applyAlignment="1">
      <alignment horizontal="center" textRotation="90"/>
    </xf>
    <xf numFmtId="14" fontId="20" fillId="2" borderId="23" xfId="0" applyNumberFormat="1" applyFont="1" applyFill="1" applyBorder="1" applyAlignment="1">
      <alignment horizontal="center" textRotation="90"/>
    </xf>
    <xf numFmtId="16" fontId="20" fillId="2" borderId="23" xfId="0" applyNumberFormat="1" applyFont="1" applyFill="1" applyBorder="1" applyAlignment="1">
      <alignment horizontal="right" textRotation="90"/>
    </xf>
    <xf numFmtId="0" fontId="7" fillId="2" borderId="23" xfId="0" applyFont="1" applyFill="1" applyBorder="1"/>
    <xf numFmtId="0" fontId="4" fillId="2" borderId="23" xfId="0" applyFont="1" applyFill="1" applyBorder="1" applyAlignment="1">
      <alignment horizontal="center" textRotation="90"/>
    </xf>
    <xf numFmtId="0" fontId="20" fillId="0" borderId="23" xfId="0" applyFont="1" applyBorder="1" applyAlignment="1">
      <alignment horizontal="right"/>
    </xf>
    <xf numFmtId="0" fontId="20" fillId="0" borderId="32" xfId="0" applyFont="1" applyBorder="1" applyAlignment="1">
      <alignment horizontal="right"/>
    </xf>
    <xf numFmtId="0" fontId="20" fillId="0" borderId="18" xfId="0" applyFont="1" applyBorder="1"/>
    <xf numFmtId="0" fontId="6" fillId="2" borderId="72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vertical="center" wrapText="1"/>
    </xf>
    <xf numFmtId="0" fontId="24" fillId="4" borderId="72" xfId="0" applyFont="1" applyFill="1" applyBorder="1" applyAlignment="1">
      <alignment horizontal="center" vertical="top" wrapText="1"/>
    </xf>
    <xf numFmtId="1" fontId="13" fillId="4" borderId="72" xfId="0" applyNumberFormat="1" applyFont="1" applyFill="1" applyBorder="1" applyAlignment="1">
      <alignment horizontal="center"/>
    </xf>
    <xf numFmtId="0" fontId="13" fillId="4" borderId="72" xfId="0" applyFont="1" applyFill="1" applyBorder="1" applyAlignment="1">
      <alignment horizontal="center" vertical="center"/>
    </xf>
    <xf numFmtId="0" fontId="13" fillId="4" borderId="72" xfId="0" applyFont="1" applyFill="1" applyBorder="1" applyAlignment="1">
      <alignment horizontal="center"/>
    </xf>
    <xf numFmtId="0" fontId="37" fillId="0" borderId="72" xfId="0" applyFont="1" applyBorder="1" applyAlignment="1">
      <alignment horizontal="center"/>
    </xf>
    <xf numFmtId="0" fontId="24" fillId="2" borderId="72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right"/>
    </xf>
    <xf numFmtId="0" fontId="4" fillId="4" borderId="73" xfId="0" applyFont="1" applyFill="1" applyBorder="1" applyAlignment="1">
      <alignment horizontal="center"/>
    </xf>
    <xf numFmtId="0" fontId="20" fillId="0" borderId="18" xfId="0" applyFont="1" applyBorder="1" applyAlignment="1">
      <alignment horizontal="right"/>
    </xf>
    <xf numFmtId="0" fontId="20" fillId="2" borderId="23" xfId="0" applyFont="1" applyFill="1" applyBorder="1" applyAlignment="1">
      <alignment horizontal="right"/>
    </xf>
    <xf numFmtId="0" fontId="6" fillId="0" borderId="0" xfId="0" applyFont="1" applyAlignment="1">
      <alignment horizontal="left" wrapText="1" readingOrder="1"/>
    </xf>
    <xf numFmtId="0" fontId="4" fillId="4" borderId="0" xfId="0" applyFont="1" applyFill="1" applyAlignment="1">
      <alignment horizontal="right" wrapText="1"/>
    </xf>
    <xf numFmtId="0" fontId="6" fillId="4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4" fillId="4" borderId="0" xfId="0" applyFont="1" applyFill="1" applyAlignment="1">
      <alignment horizontal="center" vertical="top" wrapText="1"/>
    </xf>
    <xf numFmtId="1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24" fillId="2" borderId="23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38" fillId="2" borderId="18" xfId="0" applyFont="1" applyFill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12" fillId="0" borderId="3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167" fontId="4" fillId="6" borderId="23" xfId="0" applyNumberFormat="1" applyFont="1" applyFill="1" applyBorder="1" applyAlignment="1">
      <alignment horizontal="center" textRotation="90"/>
    </xf>
    <xf numFmtId="168" fontId="4" fillId="6" borderId="23" xfId="0" applyNumberFormat="1" applyFont="1" applyFill="1" applyBorder="1" applyAlignment="1">
      <alignment horizontal="center" textRotation="90"/>
    </xf>
    <xf numFmtId="9" fontId="4" fillId="0" borderId="23" xfId="0" applyNumberFormat="1" applyFont="1" applyBorder="1" applyAlignment="1">
      <alignment horizontal="center"/>
    </xf>
    <xf numFmtId="0" fontId="13" fillId="5" borderId="23" xfId="0" applyFont="1" applyFill="1" applyBorder="1" applyAlignment="1">
      <alignment horizontal="center"/>
    </xf>
    <xf numFmtId="9" fontId="4" fillId="0" borderId="26" xfId="0" applyNumberFormat="1" applyFont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6" fillId="4" borderId="23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horizontal="right" wrapText="1"/>
    </xf>
    <xf numFmtId="0" fontId="4" fillId="4" borderId="23" xfId="0" applyFont="1" applyFill="1" applyBorder="1" applyAlignment="1">
      <alignment wrapText="1"/>
    </xf>
    <xf numFmtId="0" fontId="6" fillId="0" borderId="7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2" borderId="77" xfId="0" applyFont="1" applyFill="1" applyBorder="1" applyAlignment="1">
      <alignment vertical="center" wrapText="1"/>
    </xf>
    <xf numFmtId="0" fontId="33" fillId="5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5" borderId="19" xfId="0" applyFont="1" applyFill="1" applyBorder="1" applyAlignment="1">
      <alignment horizontal="center"/>
    </xf>
    <xf numFmtId="0" fontId="33" fillId="5" borderId="18" xfId="0" applyFont="1" applyFill="1" applyBorder="1" applyAlignment="1">
      <alignment horizontal="center"/>
    </xf>
    <xf numFmtId="0" fontId="6" fillId="2" borderId="78" xfId="0" applyFont="1" applyFill="1" applyBorder="1" applyAlignment="1">
      <alignment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horizontal="center"/>
    </xf>
    <xf numFmtId="0" fontId="4" fillId="4" borderId="79" xfId="0" applyFont="1" applyFill="1" applyBorder="1" applyAlignment="1">
      <alignment horizontal="center"/>
    </xf>
    <xf numFmtId="0" fontId="20" fillId="0" borderId="19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4" fillId="4" borderId="80" xfId="0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2" fillId="0" borderId="44" xfId="0" applyFont="1" applyBorder="1"/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2" fillId="0" borderId="45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1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5" fillId="6" borderId="1" xfId="0" applyFont="1" applyFill="1" applyBorder="1" applyAlignment="1">
      <alignment horizontal="center" vertical="center"/>
    </xf>
    <xf numFmtId="0" fontId="2" fillId="0" borderId="11" xfId="0" applyFont="1" applyBorder="1"/>
    <xf numFmtId="0" fontId="10" fillId="0" borderId="27" xfId="0" applyFont="1" applyBorder="1" applyAlignment="1">
      <alignment horizontal="center"/>
    </xf>
    <xf numFmtId="0" fontId="2" fillId="0" borderId="28" xfId="0" applyFont="1" applyBorder="1"/>
    <xf numFmtId="0" fontId="2" fillId="0" borderId="18" xfId="0" applyFont="1" applyBorder="1"/>
    <xf numFmtId="0" fontId="10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10" fillId="0" borderId="34" xfId="0" applyFont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0" fillId="0" borderId="8" xfId="0" applyFont="1" applyBorder="1" applyAlignment="1">
      <alignment horizontal="center" vertical="center" wrapText="1"/>
    </xf>
    <xf numFmtId="0" fontId="2" fillId="0" borderId="38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10" fillId="0" borderId="4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2" fillId="0" borderId="47" xfId="0" applyFont="1" applyBorder="1"/>
    <xf numFmtId="0" fontId="5" fillId="6" borderId="48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textRotation="90"/>
    </xf>
    <xf numFmtId="0" fontId="2" fillId="0" borderId="19" xfId="0" applyFont="1" applyBorder="1"/>
    <xf numFmtId="10" fontId="4" fillId="0" borderId="26" xfId="0" applyNumberFormat="1" applyFont="1" applyBorder="1" applyAlignment="1">
      <alignment horizontal="center" textRotation="90"/>
    </xf>
    <xf numFmtId="0" fontId="3" fillId="0" borderId="26" xfId="0" applyFont="1" applyBorder="1" applyAlignment="1">
      <alignment horizontal="center" vertical="center" wrapText="1"/>
    </xf>
    <xf numFmtId="165" fontId="3" fillId="0" borderId="2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26" xfId="0" applyNumberFormat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21" fillId="4" borderId="26" xfId="0" applyNumberFormat="1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165" fontId="21" fillId="4" borderId="26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 wrapText="1"/>
    </xf>
    <xf numFmtId="1" fontId="13" fillId="4" borderId="26" xfId="0" applyNumberFormat="1" applyFont="1" applyFill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12" fillId="0" borderId="67" xfId="0" applyFont="1" applyBorder="1" applyAlignment="1">
      <alignment horizontal="center" vertical="center"/>
    </xf>
    <xf numFmtId="0" fontId="2" fillId="0" borderId="68" xfId="0" applyFont="1" applyBorder="1"/>
    <xf numFmtId="0" fontId="2" fillId="0" borderId="69" xfId="0" applyFont="1" applyBorder="1"/>
    <xf numFmtId="0" fontId="3" fillId="0" borderId="67" xfId="0" applyFont="1" applyBorder="1" applyAlignment="1">
      <alignment horizontal="center"/>
    </xf>
    <xf numFmtId="0" fontId="11" fillId="0" borderId="67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 wrapText="1"/>
    </xf>
    <xf numFmtId="0" fontId="2" fillId="0" borderId="71" xfId="0" applyFont="1" applyBorder="1"/>
    <xf numFmtId="0" fontId="6" fillId="0" borderId="48" xfId="0" applyFont="1" applyBorder="1" applyAlignment="1">
      <alignment horizontal="center"/>
    </xf>
    <xf numFmtId="9" fontId="4" fillId="0" borderId="26" xfId="0" applyNumberFormat="1" applyFont="1" applyBorder="1" applyAlignment="1">
      <alignment horizontal="center" textRotation="90"/>
    </xf>
    <xf numFmtId="0" fontId="6" fillId="0" borderId="74" xfId="0" applyFont="1" applyBorder="1" applyAlignment="1">
      <alignment horizontal="center"/>
    </xf>
    <xf numFmtId="0" fontId="2" fillId="0" borderId="75" xfId="0" applyFont="1" applyBorder="1"/>
    <xf numFmtId="0" fontId="2" fillId="0" borderId="76" xfId="0" applyFont="1" applyBorder="1"/>
  </cellXfs>
  <cellStyles count="1">
    <cellStyle name="Normal" xfId="0" builtinId="0"/>
  </cellStyles>
  <dxfs count="1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7" name="Shape 4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1" name="Shape 4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2" name="Shape 4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1" name="Shape 4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2" name="Shape 4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0" name="Shape 4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1" name="Shape 4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2" name="Shape 4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3" name="Shape 4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5" name="Shape 4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6" name="Shape 4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7" name="Shape 4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8" name="Shape 4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0" name="Shape 4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1" name="Shape 4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3" name="Shape 4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1" name="Shape 5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2" name="Shape 5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3" name="Shape 5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4" name="Shape 5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5" name="Shape 6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6" name="Shape 6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7" name="Shape 6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8" name="Shape 6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9" name="Shape 5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0" name="Shape 5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1" name="Shape 5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2" name="Shape 5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3" name="Shape 5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4" name="Shape 5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5" name="Shape 5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6" name="Shape 5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7" name="Shape 5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8" name="Shape 5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9" name="Shape 5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0" name="Shape 6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1" name="Shape 6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2" name="Shape 6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3" name="Shape 6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4" name="Shape 5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5" name="Shape 5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6" name="Shape 5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7" name="Shape 5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8" name="Shape 5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9" name="Shape 5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90" name="Shape 5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1" name="Shape 5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2" name="Shape 5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3" name="Shape 5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4" name="Shape 5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5" name="Shape 6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6" name="Shape 6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7" name="Shape 6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8" name="Shape 6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9" name="Shape 5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0" name="Shape 5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1" name="Shape 5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2" name="Shape 5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3" name="Shape 5"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4" name="Shape 5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5" name="Shape 5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6" name="Shape 5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7" name="Shape 5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8" name="Shape 5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9" name="Shape 5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0" name="Shape 6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1" name="Shape 6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2" name="Shape 6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3" name="Shape 6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4" name="Shape 5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5" name="Shape 5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6" name="Shape 5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7" name="Shape 5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8" name="Shape 5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9" name="Shape 5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20" name="Shape 5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1" name="Shape 5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2" name="Shape 5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3" name="Shape 5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4" name="Shape 5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5" name="Shape 6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6" name="Shape 6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7" name="Shape 6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8" name="Shape 6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9" name="Shape 5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0" name="Shape 5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1" name="Shape 5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2" name="Shape 5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3" name="Shape 5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4" name="Shape 5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5" name="Shape 5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6" name="Shape 5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7" name="Shape 5"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8" name="Shape 5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9" name="Shape 5"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0" name="Shape 6">
          <a:extLst>
            <a:ext uri="{FF2B5EF4-FFF2-40B4-BE49-F238E27FC236}">
              <a16:creationId xmlns:a16="http://schemas.microsoft.com/office/drawing/2014/main" id="{00000000-0008-0000-0700-0000B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1" name="Shape 6">
          <a:extLst>
            <a:ext uri="{FF2B5EF4-FFF2-40B4-BE49-F238E27FC236}">
              <a16:creationId xmlns:a16="http://schemas.microsoft.com/office/drawing/2014/main" id="{00000000-0008-0000-0700-0000B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2" name="Shape 6">
          <a:extLst>
            <a:ext uri="{FF2B5EF4-FFF2-40B4-BE49-F238E27FC236}">
              <a16:creationId xmlns:a16="http://schemas.microsoft.com/office/drawing/2014/main" id="{00000000-0008-0000-0700-0000B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3" name="Shape 6">
          <a:extLst>
            <a:ext uri="{FF2B5EF4-FFF2-40B4-BE49-F238E27FC236}">
              <a16:creationId xmlns:a16="http://schemas.microsoft.com/office/drawing/2014/main" id="{00000000-0008-0000-0700-0000B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4" name="Shape 5"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5" name="Shape 5">
          <a:extLst>
            <a:ext uri="{FF2B5EF4-FFF2-40B4-BE49-F238E27FC236}">
              <a16:creationId xmlns:a16="http://schemas.microsoft.com/office/drawing/2014/main" id="{00000000-0008-0000-0700-0000B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6" name="Shape 5">
          <a:extLst>
            <a:ext uri="{FF2B5EF4-FFF2-40B4-BE49-F238E27FC236}">
              <a16:creationId xmlns:a16="http://schemas.microsoft.com/office/drawing/2014/main" id="{00000000-0008-0000-0700-0000B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7" name="Shape 5"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8" name="Shape 5">
          <a:extLst>
            <a:ext uri="{FF2B5EF4-FFF2-40B4-BE49-F238E27FC236}">
              <a16:creationId xmlns:a16="http://schemas.microsoft.com/office/drawing/2014/main" id="{00000000-0008-0000-0700-0000C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9" name="Shape 5">
          <a:extLst>
            <a:ext uri="{FF2B5EF4-FFF2-40B4-BE49-F238E27FC236}">
              <a16:creationId xmlns:a16="http://schemas.microsoft.com/office/drawing/2014/main" id="{00000000-0008-0000-0700-0000C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50" name="Shape 5">
          <a:extLst>
            <a:ext uri="{FF2B5EF4-FFF2-40B4-BE49-F238E27FC236}">
              <a16:creationId xmlns:a16="http://schemas.microsoft.com/office/drawing/2014/main" id="{00000000-0008-0000-0700-0000C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1" name="Shape 5">
          <a:extLst>
            <a:ext uri="{FF2B5EF4-FFF2-40B4-BE49-F238E27FC236}">
              <a16:creationId xmlns:a16="http://schemas.microsoft.com/office/drawing/2014/main" id="{00000000-0008-0000-0700-0000C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2" name="Shape 5"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3" name="Shape 5">
          <a:extLst>
            <a:ext uri="{FF2B5EF4-FFF2-40B4-BE49-F238E27FC236}">
              <a16:creationId xmlns:a16="http://schemas.microsoft.com/office/drawing/2014/main" id="{00000000-0008-0000-0700-0000C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4" name="Shape 5">
          <a:extLst>
            <a:ext uri="{FF2B5EF4-FFF2-40B4-BE49-F238E27FC236}">
              <a16:creationId xmlns:a16="http://schemas.microsoft.com/office/drawing/2014/main" id="{00000000-0008-0000-0700-0000C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5" name="Shape 6"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6" name="Shape 6">
          <a:extLst>
            <a:ext uri="{FF2B5EF4-FFF2-40B4-BE49-F238E27FC236}">
              <a16:creationId xmlns:a16="http://schemas.microsoft.com/office/drawing/2014/main" id="{00000000-0008-0000-0700-0000C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7" name="Shape 6">
          <a:extLst>
            <a:ext uri="{FF2B5EF4-FFF2-40B4-BE49-F238E27FC236}">
              <a16:creationId xmlns:a16="http://schemas.microsoft.com/office/drawing/2014/main" id="{00000000-0008-0000-0700-0000C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8" name="Shape 6">
          <a:extLst>
            <a:ext uri="{FF2B5EF4-FFF2-40B4-BE49-F238E27FC236}">
              <a16:creationId xmlns:a16="http://schemas.microsoft.com/office/drawing/2014/main" id="{00000000-0008-0000-0700-0000C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9" name="Shape 5">
          <a:extLst>
            <a:ext uri="{FF2B5EF4-FFF2-40B4-BE49-F238E27FC236}">
              <a16:creationId xmlns:a16="http://schemas.microsoft.com/office/drawing/2014/main" id="{00000000-0008-0000-0700-0000C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0" name="Shape 5"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1" name="Shape 5">
          <a:extLst>
            <a:ext uri="{FF2B5EF4-FFF2-40B4-BE49-F238E27FC236}">
              <a16:creationId xmlns:a16="http://schemas.microsoft.com/office/drawing/2014/main" id="{00000000-0008-0000-0700-0000C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2" name="Shape 5">
          <a:extLst>
            <a:ext uri="{FF2B5EF4-FFF2-40B4-BE49-F238E27FC236}">
              <a16:creationId xmlns:a16="http://schemas.microsoft.com/office/drawing/2014/main" id="{00000000-0008-0000-0700-0000C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3" name="Shape 5"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4" name="Shape 5">
          <a:extLst>
            <a:ext uri="{FF2B5EF4-FFF2-40B4-BE49-F238E27FC236}">
              <a16:creationId xmlns:a16="http://schemas.microsoft.com/office/drawing/2014/main" id="{00000000-0008-0000-0700-0000D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5" name="Shape 5">
          <a:extLst>
            <a:ext uri="{FF2B5EF4-FFF2-40B4-BE49-F238E27FC236}">
              <a16:creationId xmlns:a16="http://schemas.microsoft.com/office/drawing/2014/main" id="{00000000-0008-0000-0700-0000D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6" name="Shape 5">
          <a:extLst>
            <a:ext uri="{FF2B5EF4-FFF2-40B4-BE49-F238E27FC236}">
              <a16:creationId xmlns:a16="http://schemas.microsoft.com/office/drawing/2014/main" id="{00000000-0008-0000-0700-0000D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7" name="Shape 5"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8" name="Shape 5"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9" name="Shape 5">
          <a:extLst>
            <a:ext uri="{FF2B5EF4-FFF2-40B4-BE49-F238E27FC236}">
              <a16:creationId xmlns:a16="http://schemas.microsoft.com/office/drawing/2014/main" id="{00000000-0008-0000-0700-0000D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0" name="Shape 6">
          <a:extLst>
            <a:ext uri="{FF2B5EF4-FFF2-40B4-BE49-F238E27FC236}">
              <a16:creationId xmlns:a16="http://schemas.microsoft.com/office/drawing/2014/main" id="{00000000-0008-0000-0700-0000D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1" name="Shape 6">
          <a:extLst>
            <a:ext uri="{FF2B5EF4-FFF2-40B4-BE49-F238E27FC236}">
              <a16:creationId xmlns:a16="http://schemas.microsoft.com/office/drawing/2014/main" id="{00000000-0008-0000-0700-0000D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2" name="Shape 6"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3" name="Shape 6">
          <a:extLst>
            <a:ext uri="{FF2B5EF4-FFF2-40B4-BE49-F238E27FC236}">
              <a16:creationId xmlns:a16="http://schemas.microsoft.com/office/drawing/2014/main" id="{00000000-0008-0000-0700-0000D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4" name="Shape 5">
          <a:extLst>
            <a:ext uri="{FF2B5EF4-FFF2-40B4-BE49-F238E27FC236}">
              <a16:creationId xmlns:a16="http://schemas.microsoft.com/office/drawing/2014/main" id="{00000000-0008-0000-0700-0000D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5" name="Shape 5">
          <a:extLst>
            <a:ext uri="{FF2B5EF4-FFF2-40B4-BE49-F238E27FC236}">
              <a16:creationId xmlns:a16="http://schemas.microsoft.com/office/drawing/2014/main" id="{00000000-0008-0000-0700-0000D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6" name="Shape 5">
          <a:extLst>
            <a:ext uri="{FF2B5EF4-FFF2-40B4-BE49-F238E27FC236}">
              <a16:creationId xmlns:a16="http://schemas.microsoft.com/office/drawing/2014/main" id="{00000000-0008-0000-0700-0000D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7" name="Shape 5"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8" name="Shape 5"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9" name="Shape 5"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80" name="Shape 5">
          <a:extLst>
            <a:ext uri="{FF2B5EF4-FFF2-40B4-BE49-F238E27FC236}">
              <a16:creationId xmlns:a16="http://schemas.microsoft.com/office/drawing/2014/main" id="{00000000-0008-0000-0700-0000E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00000000-0008-0000-0700-0000E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00000000-0008-0000-0700-0000E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00000000-0008-0000-0700-0000E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00000000-0008-0000-0700-0000E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5" name="Shape 4"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6" name="Shape 4"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7" name="Shape 4">
          <a:extLst>
            <a:ext uri="{FF2B5EF4-FFF2-40B4-BE49-F238E27FC236}">
              <a16:creationId xmlns:a16="http://schemas.microsoft.com/office/drawing/2014/main" id="{00000000-0008-0000-0700-0000E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8" name="Shape 4">
          <a:extLst>
            <a:ext uri="{FF2B5EF4-FFF2-40B4-BE49-F238E27FC236}">
              <a16:creationId xmlns:a16="http://schemas.microsoft.com/office/drawing/2014/main" id="{00000000-0008-0000-0700-0000E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00000000-0008-0000-0700-0000E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00000000-0008-0000-0700-0000E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00000000-0008-0000-0700-0000E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00000000-0008-0000-0700-0000E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00000000-0008-0000-0700-0000E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0000000-0008-0000-0700-0000F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00000000-0008-0000-0700-0000F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0000000-0008-0000-0700-0000F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0" name="Shape 4">
          <a:extLst>
            <a:ext uri="{FF2B5EF4-FFF2-40B4-BE49-F238E27FC236}">
              <a16:creationId xmlns:a16="http://schemas.microsoft.com/office/drawing/2014/main" id="{00000000-0008-0000-0700-0000F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1" name="Shape 4"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2" name="Shape 4"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3" name="Shape 4">
          <a:extLst>
            <a:ext uri="{FF2B5EF4-FFF2-40B4-BE49-F238E27FC236}">
              <a16:creationId xmlns:a16="http://schemas.microsoft.com/office/drawing/2014/main" id="{00000000-0008-0000-0700-0000F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00000000-0008-0000-0700-0000F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00000000-0008-0000-0700-0000F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00000000-0008-0000-0700-0000F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00000000-0008-0000-0700-0000F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00000000-0008-0000-0700-0000F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00000000-0008-0000-0700-0000F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00000000-0008-0000-0700-00000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00000000-0008-0000-0700-00000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5" name="Shape 4"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6" name="Shape 4">
          <a:extLst>
            <a:ext uri="{FF2B5EF4-FFF2-40B4-BE49-F238E27FC236}">
              <a16:creationId xmlns:a16="http://schemas.microsoft.com/office/drawing/2014/main" id="{00000000-0008-0000-0700-00000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7" name="Shape 4">
          <a:extLst>
            <a:ext uri="{FF2B5EF4-FFF2-40B4-BE49-F238E27FC236}">
              <a16:creationId xmlns:a16="http://schemas.microsoft.com/office/drawing/2014/main" id="{00000000-0008-0000-0700-00000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8" name="Shape 4">
          <a:extLst>
            <a:ext uri="{FF2B5EF4-FFF2-40B4-BE49-F238E27FC236}">
              <a16:creationId xmlns:a16="http://schemas.microsoft.com/office/drawing/2014/main" id="{00000000-0008-0000-0700-00000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00000000-0008-0000-0700-00000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00000000-0008-0000-0700-00000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00000000-0008-0000-0700-00000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00000000-0008-0000-0700-00000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00000000-0008-0000-0700-00000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000000-0008-0000-0700-00000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00000000-0008-0000-0700-00001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00000000-0008-0000-0700-00001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0" name="Shape 4">
          <a:extLst>
            <a:ext uri="{FF2B5EF4-FFF2-40B4-BE49-F238E27FC236}">
              <a16:creationId xmlns:a16="http://schemas.microsoft.com/office/drawing/2014/main" id="{00000000-0008-0000-0700-00001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1" name="Shape 4">
          <a:extLst>
            <a:ext uri="{FF2B5EF4-FFF2-40B4-BE49-F238E27FC236}">
              <a16:creationId xmlns:a16="http://schemas.microsoft.com/office/drawing/2014/main" id="{00000000-0008-0000-0700-00001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2" name="Shape 4">
          <a:extLst>
            <a:ext uri="{FF2B5EF4-FFF2-40B4-BE49-F238E27FC236}">
              <a16:creationId xmlns:a16="http://schemas.microsoft.com/office/drawing/2014/main" id="{00000000-0008-0000-0700-00001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3" name="Shape 4">
          <a:extLst>
            <a:ext uri="{FF2B5EF4-FFF2-40B4-BE49-F238E27FC236}">
              <a16:creationId xmlns:a16="http://schemas.microsoft.com/office/drawing/2014/main" id="{00000000-0008-0000-0700-00001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00000000-0008-0000-0700-00001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00000000-0008-0000-0700-00001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00000000-0008-0000-0700-00001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00000000-0008-0000-0700-00001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00000000-0008-0000-0700-00001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00000000-0008-0000-0700-00001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00000000-0008-0000-0700-00001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00000000-0008-0000-0700-00001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00000000-0008-0000-0700-00001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00000000-0008-0000-0700-00001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0000000-0008-0000-0700-00002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5" name="Shape 4">
          <a:extLst>
            <a:ext uri="{FF2B5EF4-FFF2-40B4-BE49-F238E27FC236}">
              <a16:creationId xmlns:a16="http://schemas.microsoft.com/office/drawing/2014/main" id="{00000000-0008-0000-0700-00002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6" name="Shape 4">
          <a:extLst>
            <a:ext uri="{FF2B5EF4-FFF2-40B4-BE49-F238E27FC236}">
              <a16:creationId xmlns:a16="http://schemas.microsoft.com/office/drawing/2014/main" id="{00000000-0008-0000-0700-00002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7" name="Shape 4">
          <a:extLst>
            <a:ext uri="{FF2B5EF4-FFF2-40B4-BE49-F238E27FC236}">
              <a16:creationId xmlns:a16="http://schemas.microsoft.com/office/drawing/2014/main" id="{00000000-0008-0000-0700-00002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8" name="Shape 4">
          <a:extLst>
            <a:ext uri="{FF2B5EF4-FFF2-40B4-BE49-F238E27FC236}">
              <a16:creationId xmlns:a16="http://schemas.microsoft.com/office/drawing/2014/main" id="{00000000-0008-0000-0700-00002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00000000-0008-0000-0700-00002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00000000-0008-0000-0700-00002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00000000-0008-0000-0700-00002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00000000-0008-0000-0700-00002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00000000-0008-0000-0700-00002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00000000-0008-0000-0700-00002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00000000-0008-0000-0700-00002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00000000-0008-0000-0700-00002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0000000-0008-0000-0700-00002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00000000-0008-0000-0700-00002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0" name="Shape 4">
          <a:extLst>
            <a:ext uri="{FF2B5EF4-FFF2-40B4-BE49-F238E27FC236}">
              <a16:creationId xmlns:a16="http://schemas.microsoft.com/office/drawing/2014/main" id="{00000000-0008-0000-0700-00003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1" name="Shape 4">
          <a:extLst>
            <a:ext uri="{FF2B5EF4-FFF2-40B4-BE49-F238E27FC236}">
              <a16:creationId xmlns:a16="http://schemas.microsoft.com/office/drawing/2014/main" id="{00000000-0008-0000-0700-00003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2" name="Shape 4">
          <a:extLst>
            <a:ext uri="{FF2B5EF4-FFF2-40B4-BE49-F238E27FC236}">
              <a16:creationId xmlns:a16="http://schemas.microsoft.com/office/drawing/2014/main" id="{00000000-0008-0000-0700-00003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3" name="Shape 4">
          <a:extLst>
            <a:ext uri="{FF2B5EF4-FFF2-40B4-BE49-F238E27FC236}">
              <a16:creationId xmlns:a16="http://schemas.microsoft.com/office/drawing/2014/main" id="{00000000-0008-0000-0700-00003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00000000-0008-0000-0700-00003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00000000-0008-0000-0700-00003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00000000-0008-0000-0700-00003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00000000-0008-0000-0700-00003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00000000-0008-0000-0700-00003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00000000-0008-0000-0700-00003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00000000-0008-0000-0700-00003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00000000-0008-0000-0700-00003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00000000-0008-0000-0700-00003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0000000-0008-0000-0700-00003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5" name="Shape 4">
          <a:extLst>
            <a:ext uri="{FF2B5EF4-FFF2-40B4-BE49-F238E27FC236}">
              <a16:creationId xmlns:a16="http://schemas.microsoft.com/office/drawing/2014/main" id="{00000000-0008-0000-0700-00003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6" name="Shape 4">
          <a:extLst>
            <a:ext uri="{FF2B5EF4-FFF2-40B4-BE49-F238E27FC236}">
              <a16:creationId xmlns:a16="http://schemas.microsoft.com/office/drawing/2014/main" id="{00000000-0008-0000-0700-00004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7" name="Shape 4">
          <a:extLst>
            <a:ext uri="{FF2B5EF4-FFF2-40B4-BE49-F238E27FC236}">
              <a16:creationId xmlns:a16="http://schemas.microsoft.com/office/drawing/2014/main" id="{00000000-0008-0000-0700-00004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8" name="Shape 4">
          <a:extLst>
            <a:ext uri="{FF2B5EF4-FFF2-40B4-BE49-F238E27FC236}">
              <a16:creationId xmlns:a16="http://schemas.microsoft.com/office/drawing/2014/main" id="{00000000-0008-0000-0700-00004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00000000-0008-0000-0700-00004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00000000-0008-0000-0700-00004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00000000-0008-0000-0700-00004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00000000-0008-0000-0700-00004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00000-0008-0000-0700-00004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00000000-0008-0000-0700-00004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00000000-0008-0000-0700-00004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00000000-0008-0000-0700-00004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00000000-0008-0000-0700-00004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0000000-0008-0000-0700-00004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00000000-0008-0000-0700-00004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0" name="Shape 4">
          <a:extLst>
            <a:ext uri="{FF2B5EF4-FFF2-40B4-BE49-F238E27FC236}">
              <a16:creationId xmlns:a16="http://schemas.microsoft.com/office/drawing/2014/main" id="{00000000-0008-0000-0700-00004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1" name="Shape 4">
          <a:extLst>
            <a:ext uri="{FF2B5EF4-FFF2-40B4-BE49-F238E27FC236}">
              <a16:creationId xmlns:a16="http://schemas.microsoft.com/office/drawing/2014/main" id="{00000000-0008-0000-0700-00004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2" name="Shape 4"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3" name="Shape 4">
          <a:extLst>
            <a:ext uri="{FF2B5EF4-FFF2-40B4-BE49-F238E27FC236}">
              <a16:creationId xmlns:a16="http://schemas.microsoft.com/office/drawing/2014/main" id="{00000000-0008-0000-0700-00005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00000000-0008-0000-0700-00005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00000000-0008-0000-0700-00005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00000000-0008-0000-0700-00005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00000000-0008-0000-0700-00005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00000000-0008-0000-0700-00005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00000000-0008-0000-0700-00005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00000000-0008-0000-0700-00005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00000000-0008-0000-0700-00005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00000000-0008-0000-0700-00005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5" name="Shape 4"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6" name="Shape 4">
          <a:extLst>
            <a:ext uri="{FF2B5EF4-FFF2-40B4-BE49-F238E27FC236}">
              <a16:creationId xmlns:a16="http://schemas.microsoft.com/office/drawing/2014/main" id="{00000000-0008-0000-0700-00005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7" name="Shape 4">
          <a:extLst>
            <a:ext uri="{FF2B5EF4-FFF2-40B4-BE49-F238E27FC236}">
              <a16:creationId xmlns:a16="http://schemas.microsoft.com/office/drawing/2014/main" id="{00000000-0008-0000-0700-00005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8" name="Shape 4">
          <a:extLst>
            <a:ext uri="{FF2B5EF4-FFF2-40B4-BE49-F238E27FC236}">
              <a16:creationId xmlns:a16="http://schemas.microsoft.com/office/drawing/2014/main" id="{00000000-0008-0000-0700-00006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00000000-0008-0000-0700-00006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00000000-0008-0000-0700-00006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00000000-0008-0000-0700-00006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00000000-0008-0000-0700-00006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0000000-0008-0000-0700-00006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00000000-0008-0000-0700-00006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00000000-0008-0000-0700-00006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00000000-0008-0000-0700-00006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00000000-0008-0000-0700-00006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00000000-0008-0000-0700-00006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00000000-0008-0000-0700-00006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0" name="Shape 4">
          <a:extLst>
            <a:ext uri="{FF2B5EF4-FFF2-40B4-BE49-F238E27FC236}">
              <a16:creationId xmlns:a16="http://schemas.microsoft.com/office/drawing/2014/main" id="{00000000-0008-0000-0700-00006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1" name="Shape 4">
          <a:extLst>
            <a:ext uri="{FF2B5EF4-FFF2-40B4-BE49-F238E27FC236}">
              <a16:creationId xmlns:a16="http://schemas.microsoft.com/office/drawing/2014/main" id="{00000000-0008-0000-0700-00006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2" name="Shape 4">
          <a:extLst>
            <a:ext uri="{FF2B5EF4-FFF2-40B4-BE49-F238E27FC236}">
              <a16:creationId xmlns:a16="http://schemas.microsoft.com/office/drawing/2014/main" id="{00000000-0008-0000-0700-00006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3" name="Shape 4">
          <a:extLst>
            <a:ext uri="{FF2B5EF4-FFF2-40B4-BE49-F238E27FC236}">
              <a16:creationId xmlns:a16="http://schemas.microsoft.com/office/drawing/2014/main" id="{00000000-0008-0000-0700-00006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00000000-0008-0000-0700-00007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00000000-0008-0000-0700-00007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00000000-0008-0000-0700-00007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00000000-0008-0000-0700-00007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00000000-0008-0000-0700-00007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00000000-0008-0000-0700-00007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00000000-0008-0000-0700-00007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00000000-0008-0000-0700-00007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00000000-0008-0000-0700-00007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00000000-0008-0000-0700-00007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5" name="Shape 4">
          <a:extLst>
            <a:ext uri="{FF2B5EF4-FFF2-40B4-BE49-F238E27FC236}">
              <a16:creationId xmlns:a16="http://schemas.microsoft.com/office/drawing/2014/main" id="{00000000-0008-0000-0700-00007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6" name="Shape 4">
          <a:extLst>
            <a:ext uri="{FF2B5EF4-FFF2-40B4-BE49-F238E27FC236}">
              <a16:creationId xmlns:a16="http://schemas.microsoft.com/office/drawing/2014/main" id="{00000000-0008-0000-0700-00007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7" name="Shape 4">
          <a:extLst>
            <a:ext uri="{FF2B5EF4-FFF2-40B4-BE49-F238E27FC236}">
              <a16:creationId xmlns:a16="http://schemas.microsoft.com/office/drawing/2014/main" id="{00000000-0008-0000-0700-00007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8" name="Shape 4">
          <a:extLst>
            <a:ext uri="{FF2B5EF4-FFF2-40B4-BE49-F238E27FC236}">
              <a16:creationId xmlns:a16="http://schemas.microsoft.com/office/drawing/2014/main" id="{00000000-0008-0000-0700-00007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00000000-0008-0000-0700-00008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00000000-0008-0000-0700-00008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00000000-0008-0000-0700-00008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00000000-0008-0000-0700-00008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00000000-0008-0000-0700-00008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00000000-0008-0000-0700-00008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00000000-0008-0000-0700-00008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0" name="Shape 4">
          <a:extLst>
            <a:ext uri="{FF2B5EF4-FFF2-40B4-BE49-F238E27FC236}">
              <a16:creationId xmlns:a16="http://schemas.microsoft.com/office/drawing/2014/main" id="{00000000-0008-0000-0700-00008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1" name="Shape 4">
          <a:extLst>
            <a:ext uri="{FF2B5EF4-FFF2-40B4-BE49-F238E27FC236}">
              <a16:creationId xmlns:a16="http://schemas.microsoft.com/office/drawing/2014/main" id="{00000000-0008-0000-0700-00008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2" name="Shape 4">
          <a:extLst>
            <a:ext uri="{FF2B5EF4-FFF2-40B4-BE49-F238E27FC236}">
              <a16:creationId xmlns:a16="http://schemas.microsoft.com/office/drawing/2014/main" id="{00000000-0008-0000-0700-00008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3" name="Shape 4">
          <a:extLst>
            <a:ext uri="{FF2B5EF4-FFF2-40B4-BE49-F238E27FC236}">
              <a16:creationId xmlns:a16="http://schemas.microsoft.com/office/drawing/2014/main" id="{00000000-0008-0000-0700-00008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00000000-0008-0000-0700-00008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00000000-0008-0000-0700-00009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00000000-0008-0000-0700-00009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00000000-0008-0000-0700-00009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0000000-0008-0000-0700-00009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00000000-0008-0000-0700-00009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00000000-0008-0000-0700-00009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00000000-0008-0000-0700-00009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00000000-0008-0000-0700-00009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00000000-0008-0000-0700-00009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5" name="Shape 4">
          <a:extLst>
            <a:ext uri="{FF2B5EF4-FFF2-40B4-BE49-F238E27FC236}">
              <a16:creationId xmlns:a16="http://schemas.microsoft.com/office/drawing/2014/main" id="{00000000-0008-0000-0700-00009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6" name="Shape 4">
          <a:extLst>
            <a:ext uri="{FF2B5EF4-FFF2-40B4-BE49-F238E27FC236}">
              <a16:creationId xmlns:a16="http://schemas.microsoft.com/office/drawing/2014/main" id="{00000000-0008-0000-0700-00009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7" name="Shape 4">
          <a:extLst>
            <a:ext uri="{FF2B5EF4-FFF2-40B4-BE49-F238E27FC236}">
              <a16:creationId xmlns:a16="http://schemas.microsoft.com/office/drawing/2014/main" id="{00000000-0008-0000-0700-00009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8" name="Shape 4">
          <a:extLst>
            <a:ext uri="{FF2B5EF4-FFF2-40B4-BE49-F238E27FC236}">
              <a16:creationId xmlns:a16="http://schemas.microsoft.com/office/drawing/2014/main" id="{00000000-0008-0000-0700-00009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00000000-0008-0000-0700-00009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00000000-0008-0000-0700-0000A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00000000-0008-0000-0700-0000A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0" name="Shape 4">
          <a:extLst>
            <a:ext uri="{FF2B5EF4-FFF2-40B4-BE49-F238E27FC236}">
              <a16:creationId xmlns:a16="http://schemas.microsoft.com/office/drawing/2014/main" id="{00000000-0008-0000-0700-0000A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1" name="Shape 4"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2" name="Shape 4"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3" name="Shape 4">
          <a:extLst>
            <a:ext uri="{FF2B5EF4-FFF2-40B4-BE49-F238E27FC236}">
              <a16:creationId xmlns:a16="http://schemas.microsoft.com/office/drawing/2014/main" id="{00000000-0008-0000-0700-0000A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00000000-0008-0000-0700-0000A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00000000-0008-0000-0700-0000A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00000000-0008-0000-0700-0000A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00000000-0008-0000-0700-0000B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00000000-0008-0000-0700-0000B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0000000-0008-0000-0700-0000B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00000000-0008-0000-0700-0000B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00000000-0008-0000-0700-0000B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00000000-0008-0000-0700-0000B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00000000-0008-0000-0700-0000B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5" name="Shape 4">
          <a:extLst>
            <a:ext uri="{FF2B5EF4-FFF2-40B4-BE49-F238E27FC236}">
              <a16:creationId xmlns:a16="http://schemas.microsoft.com/office/drawing/2014/main" id="{00000000-0008-0000-0700-0000B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6" name="Shape 4">
          <a:extLst>
            <a:ext uri="{FF2B5EF4-FFF2-40B4-BE49-F238E27FC236}">
              <a16:creationId xmlns:a16="http://schemas.microsoft.com/office/drawing/2014/main" id="{00000000-0008-0000-0700-0000B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7" name="Shape 4">
          <a:extLst>
            <a:ext uri="{FF2B5EF4-FFF2-40B4-BE49-F238E27FC236}">
              <a16:creationId xmlns:a16="http://schemas.microsoft.com/office/drawing/2014/main" id="{00000000-0008-0000-0700-0000B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8" name="Shape 4">
          <a:extLst>
            <a:ext uri="{FF2B5EF4-FFF2-40B4-BE49-F238E27FC236}">
              <a16:creationId xmlns:a16="http://schemas.microsoft.com/office/drawing/2014/main" id="{00000000-0008-0000-0700-0000B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00000000-0008-0000-0700-0000B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00000000-0008-0000-0700-0000B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00000000-0008-0000-0700-0000B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0000000-0008-0000-0700-0000B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00000000-0008-0000-0700-0000B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00000000-0008-0000-0700-0000C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00000000-0008-0000-0700-0000C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00000000-0008-0000-0700-0000C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00000000-0008-0000-0700-0000C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00000000-0008-0000-0700-0000C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00000000-0008-0000-0700-0000C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0" name="Shape 4">
          <a:extLst>
            <a:ext uri="{FF2B5EF4-FFF2-40B4-BE49-F238E27FC236}">
              <a16:creationId xmlns:a16="http://schemas.microsoft.com/office/drawing/2014/main" id="{00000000-0008-0000-0700-0000C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1" name="Shape 4">
          <a:extLst>
            <a:ext uri="{FF2B5EF4-FFF2-40B4-BE49-F238E27FC236}">
              <a16:creationId xmlns:a16="http://schemas.microsoft.com/office/drawing/2014/main" id="{00000000-0008-0000-0700-0000C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2" name="Shape 4">
          <a:extLst>
            <a:ext uri="{FF2B5EF4-FFF2-40B4-BE49-F238E27FC236}">
              <a16:creationId xmlns:a16="http://schemas.microsoft.com/office/drawing/2014/main" id="{00000000-0008-0000-0700-0000C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3" name="Shape 4">
          <a:extLst>
            <a:ext uri="{FF2B5EF4-FFF2-40B4-BE49-F238E27FC236}">
              <a16:creationId xmlns:a16="http://schemas.microsoft.com/office/drawing/2014/main" id="{00000000-0008-0000-0700-0000C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00000000-0008-0000-0700-0000C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00000000-0008-0000-0700-0000C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00000000-0008-0000-0700-0000C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00000000-0008-0000-0700-0000C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00000000-0008-0000-0700-0000C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00000000-0008-0000-0700-0000D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1" name="Shape 5">
          <a:extLst>
            <a:ext uri="{FF2B5EF4-FFF2-40B4-BE49-F238E27FC236}">
              <a16:creationId xmlns:a16="http://schemas.microsoft.com/office/drawing/2014/main" id="{00000000-0008-0000-0700-0000D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2" name="Shape 5">
          <a:extLst>
            <a:ext uri="{FF2B5EF4-FFF2-40B4-BE49-F238E27FC236}">
              <a16:creationId xmlns:a16="http://schemas.microsoft.com/office/drawing/2014/main" id="{00000000-0008-0000-0700-0000D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3" name="Shape 5">
          <a:extLst>
            <a:ext uri="{FF2B5EF4-FFF2-40B4-BE49-F238E27FC236}">
              <a16:creationId xmlns:a16="http://schemas.microsoft.com/office/drawing/2014/main" id="{00000000-0008-0000-0700-0000D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4" name="Shape 5">
          <a:extLst>
            <a:ext uri="{FF2B5EF4-FFF2-40B4-BE49-F238E27FC236}">
              <a16:creationId xmlns:a16="http://schemas.microsoft.com/office/drawing/2014/main" id="{00000000-0008-0000-0700-0000D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5" name="Shape 6">
          <a:extLst>
            <a:ext uri="{FF2B5EF4-FFF2-40B4-BE49-F238E27FC236}">
              <a16:creationId xmlns:a16="http://schemas.microsoft.com/office/drawing/2014/main" id="{00000000-0008-0000-0700-0000D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6" name="Shape 6">
          <a:extLst>
            <a:ext uri="{FF2B5EF4-FFF2-40B4-BE49-F238E27FC236}">
              <a16:creationId xmlns:a16="http://schemas.microsoft.com/office/drawing/2014/main" id="{00000000-0008-0000-0700-0000D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7" name="Shape 6">
          <a:extLst>
            <a:ext uri="{FF2B5EF4-FFF2-40B4-BE49-F238E27FC236}">
              <a16:creationId xmlns:a16="http://schemas.microsoft.com/office/drawing/2014/main" id="{00000000-0008-0000-0700-0000D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8" name="Shape 6">
          <a:extLst>
            <a:ext uri="{FF2B5EF4-FFF2-40B4-BE49-F238E27FC236}">
              <a16:creationId xmlns:a16="http://schemas.microsoft.com/office/drawing/2014/main" id="{00000000-0008-0000-0700-0000D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9" name="Shape 5">
          <a:extLst>
            <a:ext uri="{FF2B5EF4-FFF2-40B4-BE49-F238E27FC236}">
              <a16:creationId xmlns:a16="http://schemas.microsoft.com/office/drawing/2014/main" id="{00000000-0008-0000-0700-0000D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0" name="Shape 5">
          <a:extLst>
            <a:ext uri="{FF2B5EF4-FFF2-40B4-BE49-F238E27FC236}">
              <a16:creationId xmlns:a16="http://schemas.microsoft.com/office/drawing/2014/main" id="{00000000-0008-0000-0700-0000D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1" name="Shape 5">
          <a:extLst>
            <a:ext uri="{FF2B5EF4-FFF2-40B4-BE49-F238E27FC236}">
              <a16:creationId xmlns:a16="http://schemas.microsoft.com/office/drawing/2014/main" id="{00000000-0008-0000-0700-0000D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2" name="Shape 5">
          <a:extLst>
            <a:ext uri="{FF2B5EF4-FFF2-40B4-BE49-F238E27FC236}">
              <a16:creationId xmlns:a16="http://schemas.microsoft.com/office/drawing/2014/main" id="{00000000-0008-0000-0700-0000D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3" name="Shape 5">
          <a:extLst>
            <a:ext uri="{FF2B5EF4-FFF2-40B4-BE49-F238E27FC236}">
              <a16:creationId xmlns:a16="http://schemas.microsoft.com/office/drawing/2014/main" id="{00000000-0008-0000-0700-0000D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4" name="Shape 5">
          <a:extLst>
            <a:ext uri="{FF2B5EF4-FFF2-40B4-BE49-F238E27FC236}">
              <a16:creationId xmlns:a16="http://schemas.microsoft.com/office/drawing/2014/main" id="{00000000-0008-0000-0700-0000D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5" name="Shape 5">
          <a:extLst>
            <a:ext uri="{FF2B5EF4-FFF2-40B4-BE49-F238E27FC236}">
              <a16:creationId xmlns:a16="http://schemas.microsoft.com/office/drawing/2014/main" id="{00000000-0008-0000-0700-0000D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6" name="Shape 5">
          <a:extLst>
            <a:ext uri="{FF2B5EF4-FFF2-40B4-BE49-F238E27FC236}">
              <a16:creationId xmlns:a16="http://schemas.microsoft.com/office/drawing/2014/main" id="{00000000-0008-0000-0700-0000E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7" name="Shape 5">
          <a:extLst>
            <a:ext uri="{FF2B5EF4-FFF2-40B4-BE49-F238E27FC236}">
              <a16:creationId xmlns:a16="http://schemas.microsoft.com/office/drawing/2014/main" id="{00000000-0008-0000-0700-0000E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8" name="Shape 5">
          <a:extLst>
            <a:ext uri="{FF2B5EF4-FFF2-40B4-BE49-F238E27FC236}">
              <a16:creationId xmlns:a16="http://schemas.microsoft.com/office/drawing/2014/main" id="{00000000-0008-0000-0700-0000E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9" name="Shape 5"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0" name="Shape 6"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1" name="Shape 6"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2" name="Shape 6"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3" name="Shape 6"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4" name="Shape 5"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5" name="Shape 5"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6" name="Shape 5">
          <a:extLst>
            <a:ext uri="{FF2B5EF4-FFF2-40B4-BE49-F238E27FC236}">
              <a16:creationId xmlns:a16="http://schemas.microsoft.com/office/drawing/2014/main" id="{00000000-0008-0000-0700-0000E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7" name="Shape 5">
          <a:extLst>
            <a:ext uri="{FF2B5EF4-FFF2-40B4-BE49-F238E27FC236}">
              <a16:creationId xmlns:a16="http://schemas.microsoft.com/office/drawing/2014/main" id="{00000000-0008-0000-0700-0000E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8" name="Shape 5">
          <a:extLst>
            <a:ext uri="{FF2B5EF4-FFF2-40B4-BE49-F238E27FC236}">
              <a16:creationId xmlns:a16="http://schemas.microsoft.com/office/drawing/2014/main" id="{00000000-0008-0000-0700-0000E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9" name="Shape 5">
          <a:extLst>
            <a:ext uri="{FF2B5EF4-FFF2-40B4-BE49-F238E27FC236}">
              <a16:creationId xmlns:a16="http://schemas.microsoft.com/office/drawing/2014/main" id="{00000000-0008-0000-0700-0000E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50" name="Shape 5">
          <a:extLst>
            <a:ext uri="{FF2B5EF4-FFF2-40B4-BE49-F238E27FC236}">
              <a16:creationId xmlns:a16="http://schemas.microsoft.com/office/drawing/2014/main" id="{00000000-0008-0000-0700-0000E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1" name="Shape 5">
          <a:extLst>
            <a:ext uri="{FF2B5EF4-FFF2-40B4-BE49-F238E27FC236}">
              <a16:creationId xmlns:a16="http://schemas.microsoft.com/office/drawing/2014/main" id="{00000000-0008-0000-0700-0000E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2" name="Shape 5">
          <a:extLst>
            <a:ext uri="{FF2B5EF4-FFF2-40B4-BE49-F238E27FC236}">
              <a16:creationId xmlns:a16="http://schemas.microsoft.com/office/drawing/2014/main" id="{00000000-0008-0000-0700-0000F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3" name="Shape 5">
          <a:extLst>
            <a:ext uri="{FF2B5EF4-FFF2-40B4-BE49-F238E27FC236}">
              <a16:creationId xmlns:a16="http://schemas.microsoft.com/office/drawing/2014/main" id="{00000000-0008-0000-0700-0000F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4" name="Shape 5">
          <a:extLst>
            <a:ext uri="{FF2B5EF4-FFF2-40B4-BE49-F238E27FC236}">
              <a16:creationId xmlns:a16="http://schemas.microsoft.com/office/drawing/2014/main" id="{00000000-0008-0000-0700-0000F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5" name="Shape 6">
          <a:extLst>
            <a:ext uri="{FF2B5EF4-FFF2-40B4-BE49-F238E27FC236}">
              <a16:creationId xmlns:a16="http://schemas.microsoft.com/office/drawing/2014/main" id="{00000000-0008-0000-0700-0000F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6" name="Shape 6">
          <a:extLst>
            <a:ext uri="{FF2B5EF4-FFF2-40B4-BE49-F238E27FC236}">
              <a16:creationId xmlns:a16="http://schemas.microsoft.com/office/drawing/2014/main" id="{00000000-0008-0000-0700-0000F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7" name="Shape 6">
          <a:extLst>
            <a:ext uri="{FF2B5EF4-FFF2-40B4-BE49-F238E27FC236}">
              <a16:creationId xmlns:a16="http://schemas.microsoft.com/office/drawing/2014/main" id="{00000000-0008-0000-0700-0000F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8" name="Shape 6">
          <a:extLst>
            <a:ext uri="{FF2B5EF4-FFF2-40B4-BE49-F238E27FC236}">
              <a16:creationId xmlns:a16="http://schemas.microsoft.com/office/drawing/2014/main" id="{00000000-0008-0000-0700-0000F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9" name="Shape 5">
          <a:extLst>
            <a:ext uri="{FF2B5EF4-FFF2-40B4-BE49-F238E27FC236}">
              <a16:creationId xmlns:a16="http://schemas.microsoft.com/office/drawing/2014/main" id="{00000000-0008-0000-0700-0000F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0" name="Shape 5">
          <a:extLst>
            <a:ext uri="{FF2B5EF4-FFF2-40B4-BE49-F238E27FC236}">
              <a16:creationId xmlns:a16="http://schemas.microsoft.com/office/drawing/2014/main" id="{00000000-0008-0000-0700-0000F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1" name="Shape 5">
          <a:extLst>
            <a:ext uri="{FF2B5EF4-FFF2-40B4-BE49-F238E27FC236}">
              <a16:creationId xmlns:a16="http://schemas.microsoft.com/office/drawing/2014/main" id="{00000000-0008-0000-0700-0000F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2" name="Shape 5">
          <a:extLst>
            <a:ext uri="{FF2B5EF4-FFF2-40B4-BE49-F238E27FC236}">
              <a16:creationId xmlns:a16="http://schemas.microsoft.com/office/drawing/2014/main" id="{00000000-0008-0000-0700-0000F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3" name="Shape 5">
          <a:extLst>
            <a:ext uri="{FF2B5EF4-FFF2-40B4-BE49-F238E27FC236}">
              <a16:creationId xmlns:a16="http://schemas.microsoft.com/office/drawing/2014/main" id="{00000000-0008-0000-0700-0000F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4" name="Shape 5"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5" name="Shape 5">
          <a:extLst>
            <a:ext uri="{FF2B5EF4-FFF2-40B4-BE49-F238E27FC236}">
              <a16:creationId xmlns:a16="http://schemas.microsoft.com/office/drawing/2014/main" id="{00000000-0008-0000-0700-0000F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6" name="Shape 5">
          <a:extLst>
            <a:ext uri="{FF2B5EF4-FFF2-40B4-BE49-F238E27FC236}">
              <a16:creationId xmlns:a16="http://schemas.microsoft.com/office/drawing/2014/main" id="{00000000-0008-0000-0700-0000F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7" name="Shape 5">
          <a:extLst>
            <a:ext uri="{FF2B5EF4-FFF2-40B4-BE49-F238E27FC236}">
              <a16:creationId xmlns:a16="http://schemas.microsoft.com/office/drawing/2014/main" id="{00000000-0008-0000-0700-0000F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8" name="Shape 5">
          <a:extLst>
            <a:ext uri="{FF2B5EF4-FFF2-40B4-BE49-F238E27FC236}">
              <a16:creationId xmlns:a16="http://schemas.microsoft.com/office/drawing/2014/main" id="{00000000-0008-0000-0700-00000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9" name="Shape 5">
          <a:extLst>
            <a:ext uri="{FF2B5EF4-FFF2-40B4-BE49-F238E27FC236}">
              <a16:creationId xmlns:a16="http://schemas.microsoft.com/office/drawing/2014/main" id="{00000000-0008-0000-0700-00000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0" name="Shape 6">
          <a:extLst>
            <a:ext uri="{FF2B5EF4-FFF2-40B4-BE49-F238E27FC236}">
              <a16:creationId xmlns:a16="http://schemas.microsoft.com/office/drawing/2014/main" id="{00000000-0008-0000-0700-00000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1" name="Shape 6">
          <a:extLst>
            <a:ext uri="{FF2B5EF4-FFF2-40B4-BE49-F238E27FC236}">
              <a16:creationId xmlns:a16="http://schemas.microsoft.com/office/drawing/2014/main" id="{00000000-0008-0000-0700-00000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2" name="Shape 6">
          <a:extLst>
            <a:ext uri="{FF2B5EF4-FFF2-40B4-BE49-F238E27FC236}">
              <a16:creationId xmlns:a16="http://schemas.microsoft.com/office/drawing/2014/main" id="{00000000-0008-0000-0700-00000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3" name="Shape 6">
          <a:extLst>
            <a:ext uri="{FF2B5EF4-FFF2-40B4-BE49-F238E27FC236}">
              <a16:creationId xmlns:a16="http://schemas.microsoft.com/office/drawing/2014/main" id="{00000000-0008-0000-0700-00000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4" name="Shape 5">
          <a:extLst>
            <a:ext uri="{FF2B5EF4-FFF2-40B4-BE49-F238E27FC236}">
              <a16:creationId xmlns:a16="http://schemas.microsoft.com/office/drawing/2014/main" id="{00000000-0008-0000-0700-00000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5" name="Shape 5">
          <a:extLst>
            <a:ext uri="{FF2B5EF4-FFF2-40B4-BE49-F238E27FC236}">
              <a16:creationId xmlns:a16="http://schemas.microsoft.com/office/drawing/2014/main" id="{00000000-0008-0000-0700-00000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6" name="Shape 5">
          <a:extLst>
            <a:ext uri="{FF2B5EF4-FFF2-40B4-BE49-F238E27FC236}">
              <a16:creationId xmlns:a16="http://schemas.microsoft.com/office/drawing/2014/main" id="{00000000-0008-0000-0700-00000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7" name="Shape 5">
          <a:extLst>
            <a:ext uri="{FF2B5EF4-FFF2-40B4-BE49-F238E27FC236}">
              <a16:creationId xmlns:a16="http://schemas.microsoft.com/office/drawing/2014/main" id="{00000000-0008-0000-0700-00000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8" name="Shape 5">
          <a:extLst>
            <a:ext uri="{FF2B5EF4-FFF2-40B4-BE49-F238E27FC236}">
              <a16:creationId xmlns:a16="http://schemas.microsoft.com/office/drawing/2014/main" id="{00000000-0008-0000-0700-00000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9" name="Shape 5">
          <a:extLst>
            <a:ext uri="{FF2B5EF4-FFF2-40B4-BE49-F238E27FC236}">
              <a16:creationId xmlns:a16="http://schemas.microsoft.com/office/drawing/2014/main" id="{00000000-0008-0000-0700-00000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80" name="Shape 5">
          <a:extLst>
            <a:ext uri="{FF2B5EF4-FFF2-40B4-BE49-F238E27FC236}">
              <a16:creationId xmlns:a16="http://schemas.microsoft.com/office/drawing/2014/main" id="{00000000-0008-0000-0700-00000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1" name="Shape 5">
          <a:extLst>
            <a:ext uri="{FF2B5EF4-FFF2-40B4-BE49-F238E27FC236}">
              <a16:creationId xmlns:a16="http://schemas.microsoft.com/office/drawing/2014/main" id="{00000000-0008-0000-0700-00000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2" name="Shape 5">
          <a:extLst>
            <a:ext uri="{FF2B5EF4-FFF2-40B4-BE49-F238E27FC236}">
              <a16:creationId xmlns:a16="http://schemas.microsoft.com/office/drawing/2014/main" id="{00000000-0008-0000-0700-00000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3" name="Shape 5">
          <a:extLst>
            <a:ext uri="{FF2B5EF4-FFF2-40B4-BE49-F238E27FC236}">
              <a16:creationId xmlns:a16="http://schemas.microsoft.com/office/drawing/2014/main" id="{00000000-0008-0000-0700-00000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4" name="Shape 5">
          <a:extLst>
            <a:ext uri="{FF2B5EF4-FFF2-40B4-BE49-F238E27FC236}">
              <a16:creationId xmlns:a16="http://schemas.microsoft.com/office/drawing/2014/main" id="{00000000-0008-0000-0700-00001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5" name="Shape 6">
          <a:extLst>
            <a:ext uri="{FF2B5EF4-FFF2-40B4-BE49-F238E27FC236}">
              <a16:creationId xmlns:a16="http://schemas.microsoft.com/office/drawing/2014/main" id="{00000000-0008-0000-0700-00001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6" name="Shape 6">
          <a:extLst>
            <a:ext uri="{FF2B5EF4-FFF2-40B4-BE49-F238E27FC236}">
              <a16:creationId xmlns:a16="http://schemas.microsoft.com/office/drawing/2014/main" id="{00000000-0008-0000-0700-00001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7" name="Shape 6">
          <a:extLst>
            <a:ext uri="{FF2B5EF4-FFF2-40B4-BE49-F238E27FC236}">
              <a16:creationId xmlns:a16="http://schemas.microsoft.com/office/drawing/2014/main" id="{00000000-0008-0000-0700-00001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8" name="Shape 6">
          <a:extLst>
            <a:ext uri="{FF2B5EF4-FFF2-40B4-BE49-F238E27FC236}">
              <a16:creationId xmlns:a16="http://schemas.microsoft.com/office/drawing/2014/main" id="{00000000-0008-0000-0700-00001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9" name="Shape 5">
          <a:extLst>
            <a:ext uri="{FF2B5EF4-FFF2-40B4-BE49-F238E27FC236}">
              <a16:creationId xmlns:a16="http://schemas.microsoft.com/office/drawing/2014/main" id="{00000000-0008-0000-0700-00001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0" name="Shape 5">
          <a:extLst>
            <a:ext uri="{FF2B5EF4-FFF2-40B4-BE49-F238E27FC236}">
              <a16:creationId xmlns:a16="http://schemas.microsoft.com/office/drawing/2014/main" id="{00000000-0008-0000-0700-00001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1" name="Shape 5">
          <a:extLst>
            <a:ext uri="{FF2B5EF4-FFF2-40B4-BE49-F238E27FC236}">
              <a16:creationId xmlns:a16="http://schemas.microsoft.com/office/drawing/2014/main" id="{00000000-0008-0000-0700-00001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2" name="Shape 5">
          <a:extLst>
            <a:ext uri="{FF2B5EF4-FFF2-40B4-BE49-F238E27FC236}">
              <a16:creationId xmlns:a16="http://schemas.microsoft.com/office/drawing/2014/main" id="{00000000-0008-0000-0700-00001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3" name="Shape 5">
          <a:extLst>
            <a:ext uri="{FF2B5EF4-FFF2-40B4-BE49-F238E27FC236}">
              <a16:creationId xmlns:a16="http://schemas.microsoft.com/office/drawing/2014/main" id="{00000000-0008-0000-0700-00001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4" name="Shape 5">
          <a:extLst>
            <a:ext uri="{FF2B5EF4-FFF2-40B4-BE49-F238E27FC236}">
              <a16:creationId xmlns:a16="http://schemas.microsoft.com/office/drawing/2014/main" id="{00000000-0008-0000-0700-00001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5" name="Shape 5">
          <a:extLst>
            <a:ext uri="{FF2B5EF4-FFF2-40B4-BE49-F238E27FC236}">
              <a16:creationId xmlns:a16="http://schemas.microsoft.com/office/drawing/2014/main" id="{00000000-0008-0000-0700-00001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6" name="Shape 5">
          <a:extLst>
            <a:ext uri="{FF2B5EF4-FFF2-40B4-BE49-F238E27FC236}">
              <a16:creationId xmlns:a16="http://schemas.microsoft.com/office/drawing/2014/main" id="{00000000-0008-0000-0700-00001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7" name="Shape 5">
          <a:extLst>
            <a:ext uri="{FF2B5EF4-FFF2-40B4-BE49-F238E27FC236}">
              <a16:creationId xmlns:a16="http://schemas.microsoft.com/office/drawing/2014/main" id="{00000000-0008-0000-0700-00001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8" name="Shape 5"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9" name="Shape 5"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0" name="Shape 6"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1" name="Shape 6">
          <a:extLst>
            <a:ext uri="{FF2B5EF4-FFF2-40B4-BE49-F238E27FC236}">
              <a16:creationId xmlns:a16="http://schemas.microsoft.com/office/drawing/2014/main" id="{00000000-0008-0000-0700-00002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2" name="Shape 6">
          <a:extLst>
            <a:ext uri="{FF2B5EF4-FFF2-40B4-BE49-F238E27FC236}">
              <a16:creationId xmlns:a16="http://schemas.microsoft.com/office/drawing/2014/main" id="{00000000-0008-0000-0700-00002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3" name="Shape 6">
          <a:extLst>
            <a:ext uri="{FF2B5EF4-FFF2-40B4-BE49-F238E27FC236}">
              <a16:creationId xmlns:a16="http://schemas.microsoft.com/office/drawing/2014/main" id="{00000000-0008-0000-0700-00002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4" name="Shape 5"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5" name="Shape 5">
          <a:extLst>
            <a:ext uri="{FF2B5EF4-FFF2-40B4-BE49-F238E27FC236}">
              <a16:creationId xmlns:a16="http://schemas.microsoft.com/office/drawing/2014/main" id="{00000000-0008-0000-0700-00002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6" name="Shape 5">
          <a:extLst>
            <a:ext uri="{FF2B5EF4-FFF2-40B4-BE49-F238E27FC236}">
              <a16:creationId xmlns:a16="http://schemas.microsoft.com/office/drawing/2014/main" id="{00000000-0008-0000-0700-00002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7" name="Shape 5">
          <a:extLst>
            <a:ext uri="{FF2B5EF4-FFF2-40B4-BE49-F238E27FC236}">
              <a16:creationId xmlns:a16="http://schemas.microsoft.com/office/drawing/2014/main" id="{00000000-0008-0000-0700-00002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8" name="Shape 5"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9" name="Shape 5">
          <a:extLst>
            <a:ext uri="{FF2B5EF4-FFF2-40B4-BE49-F238E27FC236}">
              <a16:creationId xmlns:a16="http://schemas.microsoft.com/office/drawing/2014/main" id="{00000000-0008-0000-0700-00002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10" name="Shape 5">
          <a:extLst>
            <a:ext uri="{FF2B5EF4-FFF2-40B4-BE49-F238E27FC236}">
              <a16:creationId xmlns:a16="http://schemas.microsoft.com/office/drawing/2014/main" id="{00000000-0008-0000-0700-00002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1" name="Shape 5"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2" name="Shape 5"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3" name="Shape 5"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4" name="Shape 5"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5" name="Shape 6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6" name="Shape 6">
          <a:extLst>
            <a:ext uri="{FF2B5EF4-FFF2-40B4-BE49-F238E27FC236}">
              <a16:creationId xmlns:a16="http://schemas.microsoft.com/office/drawing/2014/main" id="{00000000-0008-0000-0700-00003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7" name="Shape 6">
          <a:extLst>
            <a:ext uri="{FF2B5EF4-FFF2-40B4-BE49-F238E27FC236}">
              <a16:creationId xmlns:a16="http://schemas.microsoft.com/office/drawing/2014/main" id="{00000000-0008-0000-0700-00003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8" name="Shape 6"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9" name="Shape 5">
          <a:extLst>
            <a:ext uri="{FF2B5EF4-FFF2-40B4-BE49-F238E27FC236}">
              <a16:creationId xmlns:a16="http://schemas.microsoft.com/office/drawing/2014/main" id="{00000000-0008-0000-0700-00003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0" name="Shape 5">
          <a:extLst>
            <a:ext uri="{FF2B5EF4-FFF2-40B4-BE49-F238E27FC236}">
              <a16:creationId xmlns:a16="http://schemas.microsoft.com/office/drawing/2014/main" id="{00000000-0008-0000-0700-00003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1" name="Shape 5">
          <a:extLst>
            <a:ext uri="{FF2B5EF4-FFF2-40B4-BE49-F238E27FC236}">
              <a16:creationId xmlns:a16="http://schemas.microsoft.com/office/drawing/2014/main" id="{00000000-0008-0000-0700-00003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2" name="Shape 5"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3" name="Shape 5"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4" name="Shape 5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5" name="Shape 5"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6" name="Shape 5">
          <a:extLst>
            <a:ext uri="{FF2B5EF4-FFF2-40B4-BE49-F238E27FC236}">
              <a16:creationId xmlns:a16="http://schemas.microsoft.com/office/drawing/2014/main" id="{00000000-0008-0000-0700-00003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7" name="Shape 5">
          <a:extLst>
            <a:ext uri="{FF2B5EF4-FFF2-40B4-BE49-F238E27FC236}">
              <a16:creationId xmlns:a16="http://schemas.microsoft.com/office/drawing/2014/main" id="{00000000-0008-0000-0700-00003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8" name="Shape 5">
          <a:extLst>
            <a:ext uri="{FF2B5EF4-FFF2-40B4-BE49-F238E27FC236}">
              <a16:creationId xmlns:a16="http://schemas.microsoft.com/office/drawing/2014/main" id="{00000000-0008-0000-0700-00003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9" name="Shape 5">
          <a:extLst>
            <a:ext uri="{FF2B5EF4-FFF2-40B4-BE49-F238E27FC236}">
              <a16:creationId xmlns:a16="http://schemas.microsoft.com/office/drawing/2014/main" id="{00000000-0008-0000-0700-00003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0" name="Shape 6">
          <a:extLst>
            <a:ext uri="{FF2B5EF4-FFF2-40B4-BE49-F238E27FC236}">
              <a16:creationId xmlns:a16="http://schemas.microsoft.com/office/drawing/2014/main" id="{00000000-0008-0000-0700-00003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1" name="Shape 6">
          <a:extLst>
            <a:ext uri="{FF2B5EF4-FFF2-40B4-BE49-F238E27FC236}">
              <a16:creationId xmlns:a16="http://schemas.microsoft.com/office/drawing/2014/main" id="{00000000-0008-0000-0700-00003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2" name="Shape 6"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3" name="Shape 6"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4" name="Shape 5">
          <a:extLst>
            <a:ext uri="{FF2B5EF4-FFF2-40B4-BE49-F238E27FC236}">
              <a16:creationId xmlns:a16="http://schemas.microsoft.com/office/drawing/2014/main" id="{00000000-0008-0000-0700-00004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5" name="Shape 5">
          <a:extLst>
            <a:ext uri="{FF2B5EF4-FFF2-40B4-BE49-F238E27FC236}">
              <a16:creationId xmlns:a16="http://schemas.microsoft.com/office/drawing/2014/main" id="{00000000-0008-0000-0700-00004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6" name="Shape 5"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7" name="Shape 5"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8" name="Shape 5">
          <a:extLst>
            <a:ext uri="{FF2B5EF4-FFF2-40B4-BE49-F238E27FC236}">
              <a16:creationId xmlns:a16="http://schemas.microsoft.com/office/drawing/2014/main" id="{00000000-0008-0000-0700-00004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9" name="Shape 5">
          <a:extLst>
            <a:ext uri="{FF2B5EF4-FFF2-40B4-BE49-F238E27FC236}">
              <a16:creationId xmlns:a16="http://schemas.microsoft.com/office/drawing/2014/main" id="{00000000-0008-0000-0700-00004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40" name="Shape 5">
          <a:extLst>
            <a:ext uri="{FF2B5EF4-FFF2-40B4-BE49-F238E27FC236}">
              <a16:creationId xmlns:a16="http://schemas.microsoft.com/office/drawing/2014/main" id="{00000000-0008-0000-0700-00004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1" name="Shape 5">
          <a:extLst>
            <a:ext uri="{FF2B5EF4-FFF2-40B4-BE49-F238E27FC236}">
              <a16:creationId xmlns:a16="http://schemas.microsoft.com/office/drawing/2014/main" id="{00000000-0008-0000-0700-00004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2" name="Shape 5"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3" name="Shape 5"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4" name="Shape 5"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5" name="Shape 6">
          <a:extLst>
            <a:ext uri="{FF2B5EF4-FFF2-40B4-BE49-F238E27FC236}">
              <a16:creationId xmlns:a16="http://schemas.microsoft.com/office/drawing/2014/main" id="{00000000-0008-0000-0700-00004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6" name="Shape 6">
          <a:extLst>
            <a:ext uri="{FF2B5EF4-FFF2-40B4-BE49-F238E27FC236}">
              <a16:creationId xmlns:a16="http://schemas.microsoft.com/office/drawing/2014/main" id="{00000000-0008-0000-0700-00004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7" name="Shape 6">
          <a:extLst>
            <a:ext uri="{FF2B5EF4-FFF2-40B4-BE49-F238E27FC236}">
              <a16:creationId xmlns:a16="http://schemas.microsoft.com/office/drawing/2014/main" id="{00000000-0008-0000-0700-00004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8" name="Shape 6">
          <a:extLst>
            <a:ext uri="{FF2B5EF4-FFF2-40B4-BE49-F238E27FC236}">
              <a16:creationId xmlns:a16="http://schemas.microsoft.com/office/drawing/2014/main" id="{00000000-0008-0000-0700-00005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9" name="Shape 5">
          <a:extLst>
            <a:ext uri="{FF2B5EF4-FFF2-40B4-BE49-F238E27FC236}">
              <a16:creationId xmlns:a16="http://schemas.microsoft.com/office/drawing/2014/main" id="{00000000-0008-0000-0700-00005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0" name="Shape 5">
          <a:extLst>
            <a:ext uri="{FF2B5EF4-FFF2-40B4-BE49-F238E27FC236}">
              <a16:creationId xmlns:a16="http://schemas.microsoft.com/office/drawing/2014/main" id="{00000000-0008-0000-0700-00005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1" name="Shape 5"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2" name="Shape 5"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3" name="Shape 5">
          <a:extLst>
            <a:ext uri="{FF2B5EF4-FFF2-40B4-BE49-F238E27FC236}">
              <a16:creationId xmlns:a16="http://schemas.microsoft.com/office/drawing/2014/main" id="{00000000-0008-0000-0700-00005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4" name="Shape 5">
          <a:extLst>
            <a:ext uri="{FF2B5EF4-FFF2-40B4-BE49-F238E27FC236}">
              <a16:creationId xmlns:a16="http://schemas.microsoft.com/office/drawing/2014/main" id="{00000000-0008-0000-0700-00005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5" name="Shape 5">
          <a:extLst>
            <a:ext uri="{FF2B5EF4-FFF2-40B4-BE49-F238E27FC236}">
              <a16:creationId xmlns:a16="http://schemas.microsoft.com/office/drawing/2014/main" id="{00000000-0008-0000-0700-00005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6" name="Shape 5"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7" name="Shape 5">
          <a:extLst>
            <a:ext uri="{FF2B5EF4-FFF2-40B4-BE49-F238E27FC236}">
              <a16:creationId xmlns:a16="http://schemas.microsoft.com/office/drawing/2014/main" id="{00000000-0008-0000-0700-00005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8" name="Shape 5"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9" name="Shape 5">
          <a:extLst>
            <a:ext uri="{FF2B5EF4-FFF2-40B4-BE49-F238E27FC236}">
              <a16:creationId xmlns:a16="http://schemas.microsoft.com/office/drawing/2014/main" id="{00000000-0008-0000-0700-00005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0" name="Shape 6"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1" name="Shape 6"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2" name="Shape 6">
          <a:extLst>
            <a:ext uri="{FF2B5EF4-FFF2-40B4-BE49-F238E27FC236}">
              <a16:creationId xmlns:a16="http://schemas.microsoft.com/office/drawing/2014/main" id="{00000000-0008-0000-0700-00005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3" name="Shape 6">
          <a:extLst>
            <a:ext uri="{FF2B5EF4-FFF2-40B4-BE49-F238E27FC236}">
              <a16:creationId xmlns:a16="http://schemas.microsoft.com/office/drawing/2014/main" id="{00000000-0008-0000-0700-00005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4" name="Shape 5">
          <a:extLst>
            <a:ext uri="{FF2B5EF4-FFF2-40B4-BE49-F238E27FC236}">
              <a16:creationId xmlns:a16="http://schemas.microsoft.com/office/drawing/2014/main" id="{00000000-0008-0000-0700-00006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5" name="Shape 5"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6" name="Shape 5"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7" name="Shape 5"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8" name="Shape 5">
          <a:extLst>
            <a:ext uri="{FF2B5EF4-FFF2-40B4-BE49-F238E27FC236}">
              <a16:creationId xmlns:a16="http://schemas.microsoft.com/office/drawing/2014/main" id="{00000000-0008-0000-0700-00006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9" name="Shape 5">
          <a:extLst>
            <a:ext uri="{FF2B5EF4-FFF2-40B4-BE49-F238E27FC236}">
              <a16:creationId xmlns:a16="http://schemas.microsoft.com/office/drawing/2014/main" id="{00000000-0008-0000-0700-00006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70" name="Shape 5">
          <a:extLst>
            <a:ext uri="{FF2B5EF4-FFF2-40B4-BE49-F238E27FC236}">
              <a16:creationId xmlns:a16="http://schemas.microsoft.com/office/drawing/2014/main" id="{00000000-0008-0000-0700-00006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1" name="Shape 5">
          <a:extLst>
            <a:ext uri="{FF2B5EF4-FFF2-40B4-BE49-F238E27FC236}">
              <a16:creationId xmlns:a16="http://schemas.microsoft.com/office/drawing/2014/main" id="{00000000-0008-0000-0700-00006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2" name="Shape 5">
          <a:extLst>
            <a:ext uri="{FF2B5EF4-FFF2-40B4-BE49-F238E27FC236}">
              <a16:creationId xmlns:a16="http://schemas.microsoft.com/office/drawing/2014/main" id="{00000000-0008-0000-0700-00006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3" name="Shape 5">
          <a:extLst>
            <a:ext uri="{FF2B5EF4-FFF2-40B4-BE49-F238E27FC236}">
              <a16:creationId xmlns:a16="http://schemas.microsoft.com/office/drawing/2014/main" id="{00000000-0008-0000-0700-00006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4" name="Shape 5">
          <a:extLst>
            <a:ext uri="{FF2B5EF4-FFF2-40B4-BE49-F238E27FC236}">
              <a16:creationId xmlns:a16="http://schemas.microsoft.com/office/drawing/2014/main" id="{00000000-0008-0000-0700-00006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5" name="Shape 6">
          <a:extLst>
            <a:ext uri="{FF2B5EF4-FFF2-40B4-BE49-F238E27FC236}">
              <a16:creationId xmlns:a16="http://schemas.microsoft.com/office/drawing/2014/main" id="{00000000-0008-0000-0700-00006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6" name="Shape 6">
          <a:extLst>
            <a:ext uri="{FF2B5EF4-FFF2-40B4-BE49-F238E27FC236}">
              <a16:creationId xmlns:a16="http://schemas.microsoft.com/office/drawing/2014/main" id="{00000000-0008-0000-0700-00006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7" name="Shape 6">
          <a:extLst>
            <a:ext uri="{FF2B5EF4-FFF2-40B4-BE49-F238E27FC236}">
              <a16:creationId xmlns:a16="http://schemas.microsoft.com/office/drawing/2014/main" id="{00000000-0008-0000-0700-00006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8" name="Shape 6">
          <a:extLst>
            <a:ext uri="{FF2B5EF4-FFF2-40B4-BE49-F238E27FC236}">
              <a16:creationId xmlns:a16="http://schemas.microsoft.com/office/drawing/2014/main" id="{00000000-0008-0000-0700-00006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9" name="Shape 5">
          <a:extLst>
            <a:ext uri="{FF2B5EF4-FFF2-40B4-BE49-F238E27FC236}">
              <a16:creationId xmlns:a16="http://schemas.microsoft.com/office/drawing/2014/main" id="{00000000-0008-0000-0700-00006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0" name="Shape 5"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1" name="Shape 5"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2" name="Shape 5"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3" name="Shape 5"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4" name="Shape 5">
          <a:extLst>
            <a:ext uri="{FF2B5EF4-FFF2-40B4-BE49-F238E27FC236}">
              <a16:creationId xmlns:a16="http://schemas.microsoft.com/office/drawing/2014/main" id="{00000000-0008-0000-0700-00007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5" name="Shape 5">
          <a:extLst>
            <a:ext uri="{FF2B5EF4-FFF2-40B4-BE49-F238E27FC236}">
              <a16:creationId xmlns:a16="http://schemas.microsoft.com/office/drawing/2014/main" id="{00000000-0008-0000-0700-00007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6" name="Shape 5">
          <a:extLst>
            <a:ext uri="{FF2B5EF4-FFF2-40B4-BE49-F238E27FC236}">
              <a16:creationId xmlns:a16="http://schemas.microsoft.com/office/drawing/2014/main" id="{00000000-0008-0000-0700-00007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7" name="Shape 5">
          <a:extLst>
            <a:ext uri="{FF2B5EF4-FFF2-40B4-BE49-F238E27FC236}">
              <a16:creationId xmlns:a16="http://schemas.microsoft.com/office/drawing/2014/main" id="{00000000-0008-0000-0700-00007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8" name="Shape 5"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9" name="Shape 5"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0" name="Shape 6"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1" name="Shape 6">
          <a:extLst>
            <a:ext uri="{FF2B5EF4-FFF2-40B4-BE49-F238E27FC236}">
              <a16:creationId xmlns:a16="http://schemas.microsoft.com/office/drawing/2014/main" id="{00000000-0008-0000-0700-00007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2" name="Shape 6">
          <a:extLst>
            <a:ext uri="{FF2B5EF4-FFF2-40B4-BE49-F238E27FC236}">
              <a16:creationId xmlns:a16="http://schemas.microsoft.com/office/drawing/2014/main" id="{00000000-0008-0000-0700-00007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3" name="Shape 6">
          <a:extLst>
            <a:ext uri="{FF2B5EF4-FFF2-40B4-BE49-F238E27FC236}">
              <a16:creationId xmlns:a16="http://schemas.microsoft.com/office/drawing/2014/main" id="{00000000-0008-0000-0700-00007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4" name="Shape 5">
          <a:extLst>
            <a:ext uri="{FF2B5EF4-FFF2-40B4-BE49-F238E27FC236}">
              <a16:creationId xmlns:a16="http://schemas.microsoft.com/office/drawing/2014/main" id="{00000000-0008-0000-0700-00007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5" name="Shape 5">
          <a:extLst>
            <a:ext uri="{FF2B5EF4-FFF2-40B4-BE49-F238E27FC236}">
              <a16:creationId xmlns:a16="http://schemas.microsoft.com/office/drawing/2014/main" id="{00000000-0008-0000-0700-00007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6" name="Shape 5">
          <a:extLst>
            <a:ext uri="{FF2B5EF4-FFF2-40B4-BE49-F238E27FC236}">
              <a16:creationId xmlns:a16="http://schemas.microsoft.com/office/drawing/2014/main" id="{00000000-0008-0000-0700-00008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7" name="Shape 5">
          <a:extLst>
            <a:ext uri="{FF2B5EF4-FFF2-40B4-BE49-F238E27FC236}">
              <a16:creationId xmlns:a16="http://schemas.microsoft.com/office/drawing/2014/main" id="{00000000-0008-0000-0700-00008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8" name="Shape 5">
          <a:extLst>
            <a:ext uri="{FF2B5EF4-FFF2-40B4-BE49-F238E27FC236}">
              <a16:creationId xmlns:a16="http://schemas.microsoft.com/office/drawing/2014/main" id="{00000000-0008-0000-0700-00008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9" name="Shape 5">
          <a:extLst>
            <a:ext uri="{FF2B5EF4-FFF2-40B4-BE49-F238E27FC236}">
              <a16:creationId xmlns:a16="http://schemas.microsoft.com/office/drawing/2014/main" id="{00000000-0008-0000-0700-00008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900" name="Shape 5"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1" name="Shape 5"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2" name="Shape 5"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3" name="Shape 5"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4" name="Shape 5"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5" name="Shape 6"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6" name="Shape 6"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7" name="Shape 6"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8" name="Shape 6"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9" name="Shape 5"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0" name="Shape 5"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1" name="Shape 5"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2" name="Shape 5"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3" name="Shape 5"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4" name="Shape 5"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5" name="Shape 5"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6" name="Shape 5">
          <a:extLst>
            <a:ext uri="{FF2B5EF4-FFF2-40B4-BE49-F238E27FC236}">
              <a16:creationId xmlns:a16="http://schemas.microsoft.com/office/drawing/2014/main" id="{00000000-0008-0000-0700-00009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7" name="Shape 5">
          <a:extLst>
            <a:ext uri="{FF2B5EF4-FFF2-40B4-BE49-F238E27FC236}">
              <a16:creationId xmlns:a16="http://schemas.microsoft.com/office/drawing/2014/main" id="{00000000-0008-0000-0700-00009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8" name="Shape 5">
          <a:extLst>
            <a:ext uri="{FF2B5EF4-FFF2-40B4-BE49-F238E27FC236}">
              <a16:creationId xmlns:a16="http://schemas.microsoft.com/office/drawing/2014/main" id="{00000000-0008-0000-0700-00009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9" name="Shape 5">
          <a:extLst>
            <a:ext uri="{FF2B5EF4-FFF2-40B4-BE49-F238E27FC236}">
              <a16:creationId xmlns:a16="http://schemas.microsoft.com/office/drawing/2014/main" id="{00000000-0008-0000-0700-00009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0" name="Shape 6">
          <a:extLst>
            <a:ext uri="{FF2B5EF4-FFF2-40B4-BE49-F238E27FC236}">
              <a16:creationId xmlns:a16="http://schemas.microsoft.com/office/drawing/2014/main" id="{00000000-0008-0000-0700-00009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1" name="Shape 6">
          <a:extLst>
            <a:ext uri="{FF2B5EF4-FFF2-40B4-BE49-F238E27FC236}">
              <a16:creationId xmlns:a16="http://schemas.microsoft.com/office/drawing/2014/main" id="{00000000-0008-0000-0700-00009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2" name="Shape 6">
          <a:extLst>
            <a:ext uri="{FF2B5EF4-FFF2-40B4-BE49-F238E27FC236}">
              <a16:creationId xmlns:a16="http://schemas.microsoft.com/office/drawing/2014/main" id="{00000000-0008-0000-0700-00009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3" name="Shape 6">
          <a:extLst>
            <a:ext uri="{FF2B5EF4-FFF2-40B4-BE49-F238E27FC236}">
              <a16:creationId xmlns:a16="http://schemas.microsoft.com/office/drawing/2014/main" id="{00000000-0008-0000-0700-00009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4" name="Shape 5">
          <a:extLst>
            <a:ext uri="{FF2B5EF4-FFF2-40B4-BE49-F238E27FC236}">
              <a16:creationId xmlns:a16="http://schemas.microsoft.com/office/drawing/2014/main" id="{00000000-0008-0000-0700-00009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5" name="Shape 5">
          <a:extLst>
            <a:ext uri="{FF2B5EF4-FFF2-40B4-BE49-F238E27FC236}">
              <a16:creationId xmlns:a16="http://schemas.microsoft.com/office/drawing/2014/main" id="{00000000-0008-0000-0700-00009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6" name="Shape 5">
          <a:extLst>
            <a:ext uri="{FF2B5EF4-FFF2-40B4-BE49-F238E27FC236}">
              <a16:creationId xmlns:a16="http://schemas.microsoft.com/office/drawing/2014/main" id="{00000000-0008-0000-0700-00009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7" name="Shape 5">
          <a:extLst>
            <a:ext uri="{FF2B5EF4-FFF2-40B4-BE49-F238E27FC236}">
              <a16:creationId xmlns:a16="http://schemas.microsoft.com/office/drawing/2014/main" id="{00000000-0008-0000-0700-00009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8" name="Shape 5">
          <a:extLst>
            <a:ext uri="{FF2B5EF4-FFF2-40B4-BE49-F238E27FC236}">
              <a16:creationId xmlns:a16="http://schemas.microsoft.com/office/drawing/2014/main" id="{00000000-0008-0000-0700-0000A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9" name="Shape 5">
          <a:extLst>
            <a:ext uri="{FF2B5EF4-FFF2-40B4-BE49-F238E27FC236}">
              <a16:creationId xmlns:a16="http://schemas.microsoft.com/office/drawing/2014/main" id="{00000000-0008-0000-0700-0000A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30" name="Shape 5">
          <a:extLst>
            <a:ext uri="{FF2B5EF4-FFF2-40B4-BE49-F238E27FC236}">
              <a16:creationId xmlns:a16="http://schemas.microsoft.com/office/drawing/2014/main" id="{00000000-0008-0000-0700-0000A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1" name="Shape 5">
          <a:extLst>
            <a:ext uri="{FF2B5EF4-FFF2-40B4-BE49-F238E27FC236}">
              <a16:creationId xmlns:a16="http://schemas.microsoft.com/office/drawing/2014/main" id="{00000000-0008-0000-0700-0000A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2" name="Shape 5">
          <a:extLst>
            <a:ext uri="{FF2B5EF4-FFF2-40B4-BE49-F238E27FC236}">
              <a16:creationId xmlns:a16="http://schemas.microsoft.com/office/drawing/2014/main" id="{00000000-0008-0000-0700-0000A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3" name="Shape 5">
          <a:extLst>
            <a:ext uri="{FF2B5EF4-FFF2-40B4-BE49-F238E27FC236}">
              <a16:creationId xmlns:a16="http://schemas.microsoft.com/office/drawing/2014/main" id="{00000000-0008-0000-0700-0000A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4" name="Shape 5">
          <a:extLst>
            <a:ext uri="{FF2B5EF4-FFF2-40B4-BE49-F238E27FC236}">
              <a16:creationId xmlns:a16="http://schemas.microsoft.com/office/drawing/2014/main" id="{00000000-0008-0000-0700-0000A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5" name="Shape 6">
          <a:extLst>
            <a:ext uri="{FF2B5EF4-FFF2-40B4-BE49-F238E27FC236}">
              <a16:creationId xmlns:a16="http://schemas.microsoft.com/office/drawing/2014/main" id="{00000000-0008-0000-0700-0000A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6" name="Shape 6">
          <a:extLst>
            <a:ext uri="{FF2B5EF4-FFF2-40B4-BE49-F238E27FC236}">
              <a16:creationId xmlns:a16="http://schemas.microsoft.com/office/drawing/2014/main" id="{00000000-0008-0000-0700-0000A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7" name="Shape 6">
          <a:extLst>
            <a:ext uri="{FF2B5EF4-FFF2-40B4-BE49-F238E27FC236}">
              <a16:creationId xmlns:a16="http://schemas.microsoft.com/office/drawing/2014/main" id="{00000000-0008-0000-0700-0000A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8" name="Shape 6">
          <a:extLst>
            <a:ext uri="{FF2B5EF4-FFF2-40B4-BE49-F238E27FC236}">
              <a16:creationId xmlns:a16="http://schemas.microsoft.com/office/drawing/2014/main" id="{00000000-0008-0000-0700-0000A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9" name="Shape 5">
          <a:extLst>
            <a:ext uri="{FF2B5EF4-FFF2-40B4-BE49-F238E27FC236}">
              <a16:creationId xmlns:a16="http://schemas.microsoft.com/office/drawing/2014/main" id="{00000000-0008-0000-0700-0000A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0" name="Shape 5">
          <a:extLst>
            <a:ext uri="{FF2B5EF4-FFF2-40B4-BE49-F238E27FC236}">
              <a16:creationId xmlns:a16="http://schemas.microsoft.com/office/drawing/2014/main" id="{00000000-0008-0000-0700-0000A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1" name="Shape 5">
          <a:extLst>
            <a:ext uri="{FF2B5EF4-FFF2-40B4-BE49-F238E27FC236}">
              <a16:creationId xmlns:a16="http://schemas.microsoft.com/office/drawing/2014/main" id="{00000000-0008-0000-0700-0000A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2" name="Shape 5">
          <a:extLst>
            <a:ext uri="{FF2B5EF4-FFF2-40B4-BE49-F238E27FC236}">
              <a16:creationId xmlns:a16="http://schemas.microsoft.com/office/drawing/2014/main" id="{00000000-0008-0000-0700-0000A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3" name="Shape 5">
          <a:extLst>
            <a:ext uri="{FF2B5EF4-FFF2-40B4-BE49-F238E27FC236}">
              <a16:creationId xmlns:a16="http://schemas.microsoft.com/office/drawing/2014/main" id="{00000000-0008-0000-0700-0000A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4" name="Shape 5">
          <a:extLst>
            <a:ext uri="{FF2B5EF4-FFF2-40B4-BE49-F238E27FC236}">
              <a16:creationId xmlns:a16="http://schemas.microsoft.com/office/drawing/2014/main" id="{00000000-0008-0000-0700-0000B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5" name="Shape 5">
          <a:extLst>
            <a:ext uri="{FF2B5EF4-FFF2-40B4-BE49-F238E27FC236}">
              <a16:creationId xmlns:a16="http://schemas.microsoft.com/office/drawing/2014/main" id="{00000000-0008-0000-0700-0000B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6" name="Shape 5">
          <a:extLst>
            <a:ext uri="{FF2B5EF4-FFF2-40B4-BE49-F238E27FC236}">
              <a16:creationId xmlns:a16="http://schemas.microsoft.com/office/drawing/2014/main" id="{00000000-0008-0000-0700-0000B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7" name="Shape 5">
          <a:extLst>
            <a:ext uri="{FF2B5EF4-FFF2-40B4-BE49-F238E27FC236}">
              <a16:creationId xmlns:a16="http://schemas.microsoft.com/office/drawing/2014/main" id="{00000000-0008-0000-0700-0000B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8" name="Shape 5">
          <a:extLst>
            <a:ext uri="{FF2B5EF4-FFF2-40B4-BE49-F238E27FC236}">
              <a16:creationId xmlns:a16="http://schemas.microsoft.com/office/drawing/2014/main" id="{00000000-0008-0000-0700-0000B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9" name="Shape 5">
          <a:extLst>
            <a:ext uri="{FF2B5EF4-FFF2-40B4-BE49-F238E27FC236}">
              <a16:creationId xmlns:a16="http://schemas.microsoft.com/office/drawing/2014/main" id="{00000000-0008-0000-0700-0000B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0" name="Shape 6">
          <a:extLst>
            <a:ext uri="{FF2B5EF4-FFF2-40B4-BE49-F238E27FC236}">
              <a16:creationId xmlns:a16="http://schemas.microsoft.com/office/drawing/2014/main" id="{00000000-0008-0000-0700-0000B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1" name="Shape 6"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2" name="Shape 6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3" name="Shape 6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4" name="Shape 5"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5" name="Shape 5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6" name="Shape 5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7" name="Shape 5"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8" name="Shape 5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9" name="Shape 5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60" name="Shape 5"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1" name="Shape 5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2" name="Shape 5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3" name="Shape 5"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4" name="Shape 5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5" name="Shape 6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6" name="Shape 6"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7" name="Shape 6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8" name="Shape 6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9" name="Shape 5"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0" name="Shape 5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1" name="Shape 5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2" name="Shape 5"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3" name="Shape 5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4" name="Shape 5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5" name="Shape 5"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6" name="Shape 5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7" name="Shape 5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8" name="Shape 5"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9" name="Shape 5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0" name="Shape 6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1" name="Shape 6"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2" name="Shape 6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3" name="Shape 6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4" name="Shape 5"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5" name="Shape 5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6" name="Shape 5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7" name="Shape 5"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8" name="Shape 5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9" name="Shape 5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90" name="Shape 5"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1" name="Shape 3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2" name="Shape 3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3" name="Shape 3"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4" name="Shape 3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5" name="Shape 4"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6" name="Shape 4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7" name="Shape 4"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8" name="Shape 4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9" name="Shape 3"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0" name="Shape 3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1" name="Shape 3">
          <a:extLst>
            <a:ext uri="{FF2B5EF4-FFF2-40B4-BE49-F238E27FC236}">
              <a16:creationId xmlns:a16="http://schemas.microsoft.com/office/drawing/2014/main" id="{00000000-0008-0000-0700-0000E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2" name="Shape 3">
          <a:extLst>
            <a:ext uri="{FF2B5EF4-FFF2-40B4-BE49-F238E27FC236}">
              <a16:creationId xmlns:a16="http://schemas.microsoft.com/office/drawing/2014/main" id="{00000000-0008-0000-0700-0000E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3" name="Shape 3">
          <a:extLst>
            <a:ext uri="{FF2B5EF4-FFF2-40B4-BE49-F238E27FC236}">
              <a16:creationId xmlns:a16="http://schemas.microsoft.com/office/drawing/2014/main" id="{00000000-0008-0000-0700-0000E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4" name="Shape 3">
          <a:extLst>
            <a:ext uri="{FF2B5EF4-FFF2-40B4-BE49-F238E27FC236}">
              <a16:creationId xmlns:a16="http://schemas.microsoft.com/office/drawing/2014/main" id="{00000000-0008-0000-0700-0000E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5" name="Shape 3">
          <a:extLst>
            <a:ext uri="{FF2B5EF4-FFF2-40B4-BE49-F238E27FC236}">
              <a16:creationId xmlns:a16="http://schemas.microsoft.com/office/drawing/2014/main" id="{00000000-0008-0000-0700-0000E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6" name="Shape 3">
          <a:extLst>
            <a:ext uri="{FF2B5EF4-FFF2-40B4-BE49-F238E27FC236}">
              <a16:creationId xmlns:a16="http://schemas.microsoft.com/office/drawing/2014/main" id="{00000000-0008-0000-0700-0000E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7" name="Shape 3">
          <a:extLst>
            <a:ext uri="{FF2B5EF4-FFF2-40B4-BE49-F238E27FC236}">
              <a16:creationId xmlns:a16="http://schemas.microsoft.com/office/drawing/2014/main" id="{00000000-0008-0000-0700-0000E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8" name="Shape 3">
          <a:extLst>
            <a:ext uri="{FF2B5EF4-FFF2-40B4-BE49-F238E27FC236}">
              <a16:creationId xmlns:a16="http://schemas.microsoft.com/office/drawing/2014/main" id="{00000000-0008-0000-0700-0000F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9" name="Shape 3">
          <a:extLst>
            <a:ext uri="{FF2B5EF4-FFF2-40B4-BE49-F238E27FC236}">
              <a16:creationId xmlns:a16="http://schemas.microsoft.com/office/drawing/2014/main" id="{00000000-0008-0000-0700-0000F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0" name="Shape 4">
          <a:extLst>
            <a:ext uri="{FF2B5EF4-FFF2-40B4-BE49-F238E27FC236}">
              <a16:creationId xmlns:a16="http://schemas.microsoft.com/office/drawing/2014/main" id="{00000000-0008-0000-0700-0000F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1" name="Shape 4"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2" name="Shape 4">
          <a:extLst>
            <a:ext uri="{FF2B5EF4-FFF2-40B4-BE49-F238E27FC236}">
              <a16:creationId xmlns:a16="http://schemas.microsoft.com/office/drawing/2014/main" id="{00000000-0008-0000-0700-0000F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3" name="Shape 4">
          <a:extLst>
            <a:ext uri="{FF2B5EF4-FFF2-40B4-BE49-F238E27FC236}">
              <a16:creationId xmlns:a16="http://schemas.microsoft.com/office/drawing/2014/main" id="{00000000-0008-0000-0700-0000F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4" name="Shape 3">
          <a:extLst>
            <a:ext uri="{FF2B5EF4-FFF2-40B4-BE49-F238E27FC236}">
              <a16:creationId xmlns:a16="http://schemas.microsoft.com/office/drawing/2014/main" id="{00000000-0008-0000-0700-0000F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5" name="Shape 3">
          <a:extLst>
            <a:ext uri="{FF2B5EF4-FFF2-40B4-BE49-F238E27FC236}">
              <a16:creationId xmlns:a16="http://schemas.microsoft.com/office/drawing/2014/main" id="{00000000-0008-0000-0700-0000F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6" name="Shape 3"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7" name="Shape 3">
          <a:extLst>
            <a:ext uri="{FF2B5EF4-FFF2-40B4-BE49-F238E27FC236}">
              <a16:creationId xmlns:a16="http://schemas.microsoft.com/office/drawing/2014/main" id="{00000000-0008-0000-0700-0000F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8" name="Shape 3"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9" name="Shape 3"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20" name="Shape 3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1" name="Shape 3"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2" name="Shape 3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3" name="Shape 3"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4" name="Shape 3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5" name="Shape 4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6" name="Shape 4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7" name="Shape 4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8" name="Shape 4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9" name="Shape 3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0" name="Shape 3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1" name="Shape 3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2" name="Shape 3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3" name="Shape 3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4" name="Shape 3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5" name="Shape 3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6" name="Shape 3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7" name="Shape 3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8" name="Shape 3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9" name="Shape 3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0" name="Shape 4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1" name="Shape 4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2" name="Shape 4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3" name="Shape 4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4" name="Shape 3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5" name="Shape 3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6" name="Shape 3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7" name="Shape 3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8" name="Shape 3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9" name="Shape 3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0" name="Shape 3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1" name="Shape 3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2" name="Shape 3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3" name="Shape 3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4" name="Shape 3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5" name="Shape 4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6" name="Shape 4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7" name="Shape 4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8" name="Shape 4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9" name="Shape 3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0" name="Shape 3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1" name="Shape 3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2" name="Shape 3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3" name="Shape 3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4" name="Shape 3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5" name="Shape 3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6" name="Shape 3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7" name="Shape 3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8" name="Shape 3"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69" name="Shape 4"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0" name="Shape 4"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1" name="Shape 4"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2" name="Shape 4"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3" name="Shape 3"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4" name="Shape 3"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5" name="Shape 3"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6" name="Shape 3"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7" name="Shape 3"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8" name="Shape 3"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9" name="Shape 3"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0" name="Shape 3"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1" name="Shape 3"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2" name="Shape 3"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3" name="Shape 3"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4" name="Shape 4"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5" name="Shape 4"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6" name="Shape 4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7" name="Shape 4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8" name="Shape 3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9" name="Shape 3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0" name="Shape 3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1" name="Shape 3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2" name="Shape 3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3" name="Shape 3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4" name="Shape 3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5" name="Shape 3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6" name="Shape 3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7" name="Shape 3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8" name="Shape 3"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099" name="Shape 4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0" name="Shape 4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1" name="Shape 4"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2" name="Shape 4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3" name="Shape 3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4" name="Shape 3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5" name="Shape 3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6" name="Shape 3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7" name="Shape 3"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8" name="Shape 3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9" name="Shape 3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0" name="Shape 3"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1" name="Shape 3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2" name="Shape 3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3" name="Shape 3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4" name="Shape 4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5" name="Shape 4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6" name="Shape 4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7" name="Shape 4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8" name="Shape 3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9" name="Shape 3"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0" name="Shape 3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1" name="Shape 3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2" name="Shape 3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3" name="Shape 3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4" name="Shape 3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5" name="Shape 3"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6" name="Shape 3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7" name="Shape 3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29" name="Shape 4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0" name="Shape 4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1" name="Shape 4">
          <a:extLst>
            <a:ext uri="{FF2B5EF4-FFF2-40B4-BE49-F238E27FC236}">
              <a16:creationId xmlns:a16="http://schemas.microsoft.com/office/drawing/2014/main" id="{00000000-0008-0000-0700-00006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2" name="Shape 4"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3" name="Shape 3"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00000000-0008-0000-0700-00006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00000000-0008-0000-0700-00006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6" name="Shape 3"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7" name="Shape 3"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8" name="Shape 3">
          <a:extLst>
            <a:ext uri="{FF2B5EF4-FFF2-40B4-BE49-F238E27FC236}">
              <a16:creationId xmlns:a16="http://schemas.microsoft.com/office/drawing/2014/main" id="{00000000-0008-0000-0700-00007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9" name="Shape 3">
          <a:extLst>
            <a:ext uri="{FF2B5EF4-FFF2-40B4-BE49-F238E27FC236}">
              <a16:creationId xmlns:a16="http://schemas.microsoft.com/office/drawing/2014/main" id="{00000000-0008-0000-0700-00007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0" name="Shape 3"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1" name="Shape 3"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2" name="Shape 3"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3" name="Shape 3"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4" name="Shape 4"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5" name="Shape 4"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6" name="Shape 4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7" name="Shape 4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8" name="Shape 3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9" name="Shape 3"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0" name="Shape 3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1" name="Shape 3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2" name="Shape 3"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3" name="Shape 3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4" name="Shape 3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5" name="Shape 5"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6" name="Shape 5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7" name="Shape 5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8" name="Shape 5"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59" name="Shape 6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0" name="Shape 6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1" name="Shape 6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2" name="Shape 6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3" name="Shape 5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4" name="Shape 5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5" name="Shape 5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6" name="Shape 5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7" name="Shape 5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8" name="Shape 5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9" name="Shape 5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0" name="Shape 5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1" name="Shape 5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2" name="Shape 5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3" name="Shape 5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4" name="Shape 6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5" name="Shape 6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6" name="Shape 6"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7" name="Shape 6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8" name="Shape 5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9" name="Shape 5"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0" name="Shape 5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1" name="Shape 5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2" name="Shape 5"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3" name="Shape 5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4" name="Shape 5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5" name="Shape 5">
          <a:extLst>
            <a:ext uri="{FF2B5EF4-FFF2-40B4-BE49-F238E27FC236}">
              <a16:creationId xmlns:a16="http://schemas.microsoft.com/office/drawing/2014/main" id="{00000000-0008-0000-0700-0000A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6" name="Shape 5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7" name="Shape 5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8" name="Shape 5">
          <a:extLst>
            <a:ext uri="{FF2B5EF4-FFF2-40B4-BE49-F238E27FC236}">
              <a16:creationId xmlns:a16="http://schemas.microsoft.com/office/drawing/2014/main" id="{00000000-0008-0000-0700-0000A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89" name="Shape 6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0" name="Shape 6">
          <a:extLst>
            <a:ext uri="{FF2B5EF4-FFF2-40B4-BE49-F238E27FC236}">
              <a16:creationId xmlns:a16="http://schemas.microsoft.com/office/drawing/2014/main" id="{00000000-0008-0000-0700-0000A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1" name="Shape 6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2" name="Shape 6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3" name="Shape 5">
          <a:extLst>
            <a:ext uri="{FF2B5EF4-FFF2-40B4-BE49-F238E27FC236}">
              <a16:creationId xmlns:a16="http://schemas.microsoft.com/office/drawing/2014/main" id="{00000000-0008-0000-0700-0000A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4" name="Shape 5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5" name="Shape 5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6" name="Shape 5">
          <a:extLst>
            <a:ext uri="{FF2B5EF4-FFF2-40B4-BE49-F238E27FC236}">
              <a16:creationId xmlns:a16="http://schemas.microsoft.com/office/drawing/2014/main" id="{00000000-0008-0000-0700-0000A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7" name="Shape 5">
          <a:extLst>
            <a:ext uri="{FF2B5EF4-FFF2-40B4-BE49-F238E27FC236}">
              <a16:creationId xmlns:a16="http://schemas.microsoft.com/office/drawing/2014/main" id="{00000000-0008-0000-0700-0000A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8" name="Shape 5">
          <a:extLst>
            <a:ext uri="{FF2B5EF4-FFF2-40B4-BE49-F238E27FC236}">
              <a16:creationId xmlns:a16="http://schemas.microsoft.com/office/drawing/2014/main" id="{00000000-0008-0000-0700-0000A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9" name="Shape 5">
          <a:extLst>
            <a:ext uri="{FF2B5EF4-FFF2-40B4-BE49-F238E27FC236}">
              <a16:creationId xmlns:a16="http://schemas.microsoft.com/office/drawing/2014/main" id="{00000000-0008-0000-0700-0000A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0" name="Shape 5">
          <a:extLst>
            <a:ext uri="{FF2B5EF4-FFF2-40B4-BE49-F238E27FC236}">
              <a16:creationId xmlns:a16="http://schemas.microsoft.com/office/drawing/2014/main" id="{00000000-0008-0000-0700-0000B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1" name="Shape 5">
          <a:extLst>
            <a:ext uri="{FF2B5EF4-FFF2-40B4-BE49-F238E27FC236}">
              <a16:creationId xmlns:a16="http://schemas.microsoft.com/office/drawing/2014/main" id="{00000000-0008-0000-0700-0000B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2" name="Shape 5">
          <a:extLst>
            <a:ext uri="{FF2B5EF4-FFF2-40B4-BE49-F238E27FC236}">
              <a16:creationId xmlns:a16="http://schemas.microsoft.com/office/drawing/2014/main" id="{00000000-0008-0000-0700-0000B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3" name="Shape 5">
          <a:extLst>
            <a:ext uri="{FF2B5EF4-FFF2-40B4-BE49-F238E27FC236}">
              <a16:creationId xmlns:a16="http://schemas.microsoft.com/office/drawing/2014/main" id="{00000000-0008-0000-0700-0000B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4" name="Shape 6">
          <a:extLst>
            <a:ext uri="{FF2B5EF4-FFF2-40B4-BE49-F238E27FC236}">
              <a16:creationId xmlns:a16="http://schemas.microsoft.com/office/drawing/2014/main" id="{00000000-0008-0000-0700-0000B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5" name="Shape 6">
          <a:extLst>
            <a:ext uri="{FF2B5EF4-FFF2-40B4-BE49-F238E27FC236}">
              <a16:creationId xmlns:a16="http://schemas.microsoft.com/office/drawing/2014/main" id="{00000000-0008-0000-0700-0000B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6" name="Shape 6">
          <a:extLst>
            <a:ext uri="{FF2B5EF4-FFF2-40B4-BE49-F238E27FC236}">
              <a16:creationId xmlns:a16="http://schemas.microsoft.com/office/drawing/2014/main" id="{00000000-0008-0000-0700-0000B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7" name="Shape 6">
          <a:extLst>
            <a:ext uri="{FF2B5EF4-FFF2-40B4-BE49-F238E27FC236}">
              <a16:creationId xmlns:a16="http://schemas.microsoft.com/office/drawing/2014/main" id="{00000000-0008-0000-0700-0000B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8" name="Shape 5">
          <a:extLst>
            <a:ext uri="{FF2B5EF4-FFF2-40B4-BE49-F238E27FC236}">
              <a16:creationId xmlns:a16="http://schemas.microsoft.com/office/drawing/2014/main" id="{00000000-0008-0000-0700-0000B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9" name="Shape 5">
          <a:extLst>
            <a:ext uri="{FF2B5EF4-FFF2-40B4-BE49-F238E27FC236}">
              <a16:creationId xmlns:a16="http://schemas.microsoft.com/office/drawing/2014/main" id="{00000000-0008-0000-0700-0000B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0" name="Shape 5">
          <a:extLst>
            <a:ext uri="{FF2B5EF4-FFF2-40B4-BE49-F238E27FC236}">
              <a16:creationId xmlns:a16="http://schemas.microsoft.com/office/drawing/2014/main" id="{00000000-0008-0000-0700-0000B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1" name="Shape 5">
          <a:extLst>
            <a:ext uri="{FF2B5EF4-FFF2-40B4-BE49-F238E27FC236}">
              <a16:creationId xmlns:a16="http://schemas.microsoft.com/office/drawing/2014/main" id="{00000000-0008-0000-0700-0000B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2" name="Shape 5">
          <a:extLst>
            <a:ext uri="{FF2B5EF4-FFF2-40B4-BE49-F238E27FC236}">
              <a16:creationId xmlns:a16="http://schemas.microsoft.com/office/drawing/2014/main" id="{00000000-0008-0000-0700-0000B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3" name="Shape 5">
          <a:extLst>
            <a:ext uri="{FF2B5EF4-FFF2-40B4-BE49-F238E27FC236}">
              <a16:creationId xmlns:a16="http://schemas.microsoft.com/office/drawing/2014/main" id="{00000000-0008-0000-0700-0000B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4" name="Shape 5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5" name="Shape 5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6" name="Shape 5">
          <a:extLst>
            <a:ext uri="{FF2B5EF4-FFF2-40B4-BE49-F238E27FC236}">
              <a16:creationId xmlns:a16="http://schemas.microsoft.com/office/drawing/2014/main" id="{00000000-0008-0000-0700-0000C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7" name="Shape 5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8" name="Shape 5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19" name="Shape 6">
          <a:extLst>
            <a:ext uri="{FF2B5EF4-FFF2-40B4-BE49-F238E27FC236}">
              <a16:creationId xmlns:a16="http://schemas.microsoft.com/office/drawing/2014/main" id="{00000000-0008-0000-0700-0000C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0" name="Shape 6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1" name="Shape 6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2" name="Shape 6">
          <a:extLst>
            <a:ext uri="{FF2B5EF4-FFF2-40B4-BE49-F238E27FC236}">
              <a16:creationId xmlns:a16="http://schemas.microsoft.com/office/drawing/2014/main" id="{00000000-0008-0000-0700-0000C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3" name="Shape 5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4" name="Shape 5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5" name="Shape 5">
          <a:extLst>
            <a:ext uri="{FF2B5EF4-FFF2-40B4-BE49-F238E27FC236}">
              <a16:creationId xmlns:a16="http://schemas.microsoft.com/office/drawing/2014/main" id="{00000000-0008-0000-0700-0000C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6" name="Shape 5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7" name="Shape 5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8" name="Shape 5">
          <a:extLst>
            <a:ext uri="{FF2B5EF4-FFF2-40B4-BE49-F238E27FC236}">
              <a16:creationId xmlns:a16="http://schemas.microsoft.com/office/drawing/2014/main" id="{00000000-0008-0000-0700-0000C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9" name="Shape 5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0" name="Shape 5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1" name="Shape 5">
          <a:extLst>
            <a:ext uri="{FF2B5EF4-FFF2-40B4-BE49-F238E27FC236}">
              <a16:creationId xmlns:a16="http://schemas.microsoft.com/office/drawing/2014/main" id="{00000000-0008-0000-0700-0000C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2" name="Shape 5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3" name="Shape 5"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4" name="Shape 6">
          <a:extLst>
            <a:ext uri="{FF2B5EF4-FFF2-40B4-BE49-F238E27FC236}">
              <a16:creationId xmlns:a16="http://schemas.microsoft.com/office/drawing/2014/main" id="{00000000-0008-0000-0700-0000D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5" name="Shape 6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6" name="Shape 6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7" name="Shape 6">
          <a:extLst>
            <a:ext uri="{FF2B5EF4-FFF2-40B4-BE49-F238E27FC236}">
              <a16:creationId xmlns:a16="http://schemas.microsoft.com/office/drawing/2014/main" id="{00000000-0008-0000-0700-0000D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8" name="Shape 5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9" name="Shape 5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0" name="Shape 5">
          <a:extLst>
            <a:ext uri="{FF2B5EF4-FFF2-40B4-BE49-F238E27FC236}">
              <a16:creationId xmlns:a16="http://schemas.microsoft.com/office/drawing/2014/main" id="{00000000-0008-0000-0700-0000D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1" name="Shape 5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2" name="Shape 5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3" name="Shape 5">
          <a:extLst>
            <a:ext uri="{FF2B5EF4-FFF2-40B4-BE49-F238E27FC236}">
              <a16:creationId xmlns:a16="http://schemas.microsoft.com/office/drawing/2014/main" id="{00000000-0008-0000-0700-0000D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4" name="Shape 5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5" name="Shape 5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6" name="Shape 5">
          <a:extLst>
            <a:ext uri="{FF2B5EF4-FFF2-40B4-BE49-F238E27FC236}">
              <a16:creationId xmlns:a16="http://schemas.microsoft.com/office/drawing/2014/main" id="{00000000-0008-0000-0700-0000D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7" name="Shape 5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8" name="Shape 5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49" name="Shape 6">
          <a:extLst>
            <a:ext uri="{FF2B5EF4-FFF2-40B4-BE49-F238E27FC236}">
              <a16:creationId xmlns:a16="http://schemas.microsoft.com/office/drawing/2014/main" id="{00000000-0008-0000-0700-0000E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0" name="Shape 6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1" name="Shape 6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2" name="Shape 6">
          <a:extLst>
            <a:ext uri="{FF2B5EF4-FFF2-40B4-BE49-F238E27FC236}">
              <a16:creationId xmlns:a16="http://schemas.microsoft.com/office/drawing/2014/main" id="{00000000-0008-0000-0700-0000E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3" name="Shape 5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4" name="Shape 5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5" name="Shape 5">
          <a:extLst>
            <a:ext uri="{FF2B5EF4-FFF2-40B4-BE49-F238E27FC236}">
              <a16:creationId xmlns:a16="http://schemas.microsoft.com/office/drawing/2014/main" id="{00000000-0008-0000-0700-0000E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6" name="Shape 5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7" name="Shape 5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8" name="Shape 5">
          <a:extLst>
            <a:ext uri="{FF2B5EF4-FFF2-40B4-BE49-F238E27FC236}">
              <a16:creationId xmlns:a16="http://schemas.microsoft.com/office/drawing/2014/main" id="{00000000-0008-0000-0700-0000E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9" name="Shape 5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0" name="Shape 5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1" name="Shape 5">
          <a:extLst>
            <a:ext uri="{FF2B5EF4-FFF2-40B4-BE49-F238E27FC236}">
              <a16:creationId xmlns:a16="http://schemas.microsoft.com/office/drawing/2014/main" id="{00000000-0008-0000-0700-0000E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2" name="Shape 5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3" name="Shape 5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4" name="Shape 6">
          <a:extLst>
            <a:ext uri="{FF2B5EF4-FFF2-40B4-BE49-F238E27FC236}">
              <a16:creationId xmlns:a16="http://schemas.microsoft.com/office/drawing/2014/main" id="{00000000-0008-0000-0700-0000F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5" name="Shape 6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6" name="Shape 6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7" name="Shape 6">
          <a:extLst>
            <a:ext uri="{FF2B5EF4-FFF2-40B4-BE49-F238E27FC236}">
              <a16:creationId xmlns:a16="http://schemas.microsoft.com/office/drawing/2014/main" id="{00000000-0008-0000-0700-0000F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8" name="Shape 5">
          <a:extLst>
            <a:ext uri="{FF2B5EF4-FFF2-40B4-BE49-F238E27FC236}">
              <a16:creationId xmlns:a16="http://schemas.microsoft.com/office/drawing/2014/main" id="{00000000-0008-0000-0700-0000F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9" name="Shape 5">
          <a:extLst>
            <a:ext uri="{FF2B5EF4-FFF2-40B4-BE49-F238E27FC236}">
              <a16:creationId xmlns:a16="http://schemas.microsoft.com/office/drawing/2014/main" id="{00000000-0008-0000-0700-0000F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0" name="Shape 5">
          <a:extLst>
            <a:ext uri="{FF2B5EF4-FFF2-40B4-BE49-F238E27FC236}">
              <a16:creationId xmlns:a16="http://schemas.microsoft.com/office/drawing/2014/main" id="{00000000-0008-0000-0700-0000F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1" name="Shape 5">
          <a:extLst>
            <a:ext uri="{FF2B5EF4-FFF2-40B4-BE49-F238E27FC236}">
              <a16:creationId xmlns:a16="http://schemas.microsoft.com/office/drawing/2014/main" id="{00000000-0008-0000-0700-0000F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2" name="Shape 5">
          <a:extLst>
            <a:ext uri="{FF2B5EF4-FFF2-40B4-BE49-F238E27FC236}">
              <a16:creationId xmlns:a16="http://schemas.microsoft.com/office/drawing/2014/main" id="{00000000-0008-0000-0700-0000F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3" name="Shape 5">
          <a:extLst>
            <a:ext uri="{FF2B5EF4-FFF2-40B4-BE49-F238E27FC236}">
              <a16:creationId xmlns:a16="http://schemas.microsoft.com/office/drawing/2014/main" id="{00000000-0008-0000-0700-0000F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4" name="Shape 5">
          <a:extLst>
            <a:ext uri="{FF2B5EF4-FFF2-40B4-BE49-F238E27FC236}">
              <a16:creationId xmlns:a16="http://schemas.microsoft.com/office/drawing/2014/main" id="{00000000-0008-0000-0700-0000F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5" name="Shape 3">
          <a:extLst>
            <a:ext uri="{FF2B5EF4-FFF2-40B4-BE49-F238E27FC236}">
              <a16:creationId xmlns:a16="http://schemas.microsoft.com/office/drawing/2014/main" id="{00000000-0008-0000-0700-0000F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6" name="Shape 3">
          <a:extLst>
            <a:ext uri="{FF2B5EF4-FFF2-40B4-BE49-F238E27FC236}">
              <a16:creationId xmlns:a16="http://schemas.microsoft.com/office/drawing/2014/main" id="{00000000-0008-0000-0700-0000F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7" name="Shape 3">
          <a:extLst>
            <a:ext uri="{FF2B5EF4-FFF2-40B4-BE49-F238E27FC236}">
              <a16:creationId xmlns:a16="http://schemas.microsoft.com/office/drawing/2014/main" id="{00000000-0008-0000-0700-0000F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8" name="Shape 3">
          <a:extLst>
            <a:ext uri="{FF2B5EF4-FFF2-40B4-BE49-F238E27FC236}">
              <a16:creationId xmlns:a16="http://schemas.microsoft.com/office/drawing/2014/main" id="{00000000-0008-0000-0700-0000F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79" name="Shape 4">
          <a:extLst>
            <a:ext uri="{FF2B5EF4-FFF2-40B4-BE49-F238E27FC236}">
              <a16:creationId xmlns:a16="http://schemas.microsoft.com/office/drawing/2014/main" id="{00000000-0008-0000-0700-0000F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0" name="Shape 4">
          <a:extLst>
            <a:ext uri="{FF2B5EF4-FFF2-40B4-BE49-F238E27FC236}">
              <a16:creationId xmlns:a16="http://schemas.microsoft.com/office/drawing/2014/main" id="{00000000-0008-0000-0700-00000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1" name="Shape 4">
          <a:extLst>
            <a:ext uri="{FF2B5EF4-FFF2-40B4-BE49-F238E27FC236}">
              <a16:creationId xmlns:a16="http://schemas.microsoft.com/office/drawing/2014/main" id="{00000000-0008-0000-0700-00000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2" name="Shape 4">
          <a:extLst>
            <a:ext uri="{FF2B5EF4-FFF2-40B4-BE49-F238E27FC236}">
              <a16:creationId xmlns:a16="http://schemas.microsoft.com/office/drawing/2014/main" id="{00000000-0008-0000-0700-00000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3" name="Shape 3">
          <a:extLst>
            <a:ext uri="{FF2B5EF4-FFF2-40B4-BE49-F238E27FC236}">
              <a16:creationId xmlns:a16="http://schemas.microsoft.com/office/drawing/2014/main" id="{00000000-0008-0000-0700-00000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4" name="Shape 3">
          <a:extLst>
            <a:ext uri="{FF2B5EF4-FFF2-40B4-BE49-F238E27FC236}">
              <a16:creationId xmlns:a16="http://schemas.microsoft.com/office/drawing/2014/main" id="{00000000-0008-0000-0700-00000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5" name="Shape 3">
          <a:extLst>
            <a:ext uri="{FF2B5EF4-FFF2-40B4-BE49-F238E27FC236}">
              <a16:creationId xmlns:a16="http://schemas.microsoft.com/office/drawing/2014/main" id="{00000000-0008-0000-0700-00000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6" name="Shape 3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7" name="Shape 3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8" name="Shape 3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9" name="Shape 3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0" name="Shape 3">
          <a:extLst>
            <a:ext uri="{FF2B5EF4-FFF2-40B4-BE49-F238E27FC236}">
              <a16:creationId xmlns:a16="http://schemas.microsoft.com/office/drawing/2014/main" id="{00000000-0008-0000-0700-00000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1" name="Shape 3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2" name="Shape 3"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3" name="Shape 3">
          <a:extLst>
            <a:ext uri="{FF2B5EF4-FFF2-40B4-BE49-F238E27FC236}">
              <a16:creationId xmlns:a16="http://schemas.microsoft.com/office/drawing/2014/main" id="{00000000-0008-0000-0700-00000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4" name="Shape 4"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5" name="Shape 4"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6" name="Shape 4">
          <a:extLst>
            <a:ext uri="{FF2B5EF4-FFF2-40B4-BE49-F238E27FC236}">
              <a16:creationId xmlns:a16="http://schemas.microsoft.com/office/drawing/2014/main" id="{00000000-0008-0000-0700-00001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7" name="Shape 4"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00000000-0008-0000-0700-00001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0" name="Shape 3"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1" name="Shape 3"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2" name="Shape 3">
          <a:extLst>
            <a:ext uri="{FF2B5EF4-FFF2-40B4-BE49-F238E27FC236}">
              <a16:creationId xmlns:a16="http://schemas.microsoft.com/office/drawing/2014/main" id="{00000000-0008-0000-0700-00001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3" name="Shape 3"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4" name="Shape 3"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5" name="Shape 3">
          <a:extLst>
            <a:ext uri="{FF2B5EF4-FFF2-40B4-BE49-F238E27FC236}">
              <a16:creationId xmlns:a16="http://schemas.microsoft.com/office/drawing/2014/main" id="{00000000-0008-0000-0700-00001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6" name="Shape 3"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7" name="Shape 3"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8" name="Shape 3">
          <a:extLst>
            <a:ext uri="{FF2B5EF4-FFF2-40B4-BE49-F238E27FC236}">
              <a16:creationId xmlns:a16="http://schemas.microsoft.com/office/drawing/2014/main" id="{00000000-0008-0000-0700-00001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09" name="Shape 4"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0" name="Shape 4"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1" name="Shape 4">
          <a:extLst>
            <a:ext uri="{FF2B5EF4-FFF2-40B4-BE49-F238E27FC236}">
              <a16:creationId xmlns:a16="http://schemas.microsoft.com/office/drawing/2014/main" id="{00000000-0008-0000-0700-00001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2" name="Shape 4"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3" name="Shape 3">
          <a:extLst>
            <a:ext uri="{FF2B5EF4-FFF2-40B4-BE49-F238E27FC236}">
              <a16:creationId xmlns:a16="http://schemas.microsoft.com/office/drawing/2014/main" id="{00000000-0008-0000-0700-00002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4" name="Shape 3"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5" name="Shape 3"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6" name="Shape 3">
          <a:extLst>
            <a:ext uri="{FF2B5EF4-FFF2-40B4-BE49-F238E27FC236}">
              <a16:creationId xmlns:a16="http://schemas.microsoft.com/office/drawing/2014/main" id="{00000000-0008-0000-0700-00002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7" name="Shape 3"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8" name="Shape 3">
          <a:extLst>
            <a:ext uri="{FF2B5EF4-FFF2-40B4-BE49-F238E27FC236}">
              <a16:creationId xmlns:a16="http://schemas.microsoft.com/office/drawing/2014/main" id="{00000000-0008-0000-0700-00002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9" name="Shape 3"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0" name="Shape 3"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1" name="Shape 3">
          <a:extLst>
            <a:ext uri="{FF2B5EF4-FFF2-40B4-BE49-F238E27FC236}">
              <a16:creationId xmlns:a16="http://schemas.microsoft.com/office/drawing/2014/main" id="{00000000-0008-0000-0700-00002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2" name="Shape 3"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3" name="Shape 3"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4" name="Shape 4">
          <a:extLst>
            <a:ext uri="{FF2B5EF4-FFF2-40B4-BE49-F238E27FC236}">
              <a16:creationId xmlns:a16="http://schemas.microsoft.com/office/drawing/2014/main" id="{00000000-0008-0000-0700-00002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5" name="Shape 4"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6" name="Shape 4"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7" name="Shape 4">
          <a:extLst>
            <a:ext uri="{FF2B5EF4-FFF2-40B4-BE49-F238E27FC236}">
              <a16:creationId xmlns:a16="http://schemas.microsoft.com/office/drawing/2014/main" id="{00000000-0008-0000-0700-00002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8" name="Shape 3"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9" name="Shape 3"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0" name="Shape 3">
          <a:extLst>
            <a:ext uri="{FF2B5EF4-FFF2-40B4-BE49-F238E27FC236}">
              <a16:creationId xmlns:a16="http://schemas.microsoft.com/office/drawing/2014/main" id="{00000000-0008-0000-0700-00003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1" name="Shape 3">
          <a:extLst>
            <a:ext uri="{FF2B5EF4-FFF2-40B4-BE49-F238E27FC236}">
              <a16:creationId xmlns:a16="http://schemas.microsoft.com/office/drawing/2014/main" id="{00000000-0008-0000-0700-00003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2" name="Shape 3">
          <a:extLst>
            <a:ext uri="{FF2B5EF4-FFF2-40B4-BE49-F238E27FC236}">
              <a16:creationId xmlns:a16="http://schemas.microsoft.com/office/drawing/2014/main" id="{00000000-0008-0000-0700-00003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3" name="Shape 3">
          <a:extLst>
            <a:ext uri="{FF2B5EF4-FFF2-40B4-BE49-F238E27FC236}">
              <a16:creationId xmlns:a16="http://schemas.microsoft.com/office/drawing/2014/main" id="{00000000-0008-0000-0700-00003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4" name="Shape 3">
          <a:extLst>
            <a:ext uri="{FF2B5EF4-FFF2-40B4-BE49-F238E27FC236}">
              <a16:creationId xmlns:a16="http://schemas.microsoft.com/office/drawing/2014/main" id="{00000000-0008-0000-0700-00003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5" name="Shape 3">
          <a:extLst>
            <a:ext uri="{FF2B5EF4-FFF2-40B4-BE49-F238E27FC236}">
              <a16:creationId xmlns:a16="http://schemas.microsoft.com/office/drawing/2014/main" id="{00000000-0008-0000-0700-00003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6" name="Shape 3">
          <a:extLst>
            <a:ext uri="{FF2B5EF4-FFF2-40B4-BE49-F238E27FC236}">
              <a16:creationId xmlns:a16="http://schemas.microsoft.com/office/drawing/2014/main" id="{00000000-0008-0000-0700-00003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7" name="Shape 3">
          <a:extLst>
            <a:ext uri="{FF2B5EF4-FFF2-40B4-BE49-F238E27FC236}">
              <a16:creationId xmlns:a16="http://schemas.microsoft.com/office/drawing/2014/main" id="{00000000-0008-0000-0700-00003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8" name="Shape 3">
          <a:extLst>
            <a:ext uri="{FF2B5EF4-FFF2-40B4-BE49-F238E27FC236}">
              <a16:creationId xmlns:a16="http://schemas.microsoft.com/office/drawing/2014/main" id="{00000000-0008-0000-0700-00003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39" name="Shape 4">
          <a:extLst>
            <a:ext uri="{FF2B5EF4-FFF2-40B4-BE49-F238E27FC236}">
              <a16:creationId xmlns:a16="http://schemas.microsoft.com/office/drawing/2014/main" id="{00000000-0008-0000-0700-00003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0" name="Shape 4">
          <a:extLst>
            <a:ext uri="{FF2B5EF4-FFF2-40B4-BE49-F238E27FC236}">
              <a16:creationId xmlns:a16="http://schemas.microsoft.com/office/drawing/2014/main" id="{00000000-0008-0000-0700-00003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1" name="Shape 4">
          <a:extLst>
            <a:ext uri="{FF2B5EF4-FFF2-40B4-BE49-F238E27FC236}">
              <a16:creationId xmlns:a16="http://schemas.microsoft.com/office/drawing/2014/main" id="{00000000-0008-0000-0700-00003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2" name="Shape 4">
          <a:extLst>
            <a:ext uri="{FF2B5EF4-FFF2-40B4-BE49-F238E27FC236}">
              <a16:creationId xmlns:a16="http://schemas.microsoft.com/office/drawing/2014/main" id="{00000000-0008-0000-0700-00003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3" name="Shape 3">
          <a:extLst>
            <a:ext uri="{FF2B5EF4-FFF2-40B4-BE49-F238E27FC236}">
              <a16:creationId xmlns:a16="http://schemas.microsoft.com/office/drawing/2014/main" id="{00000000-0008-0000-0700-00003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4" name="Shape 3">
          <a:extLst>
            <a:ext uri="{FF2B5EF4-FFF2-40B4-BE49-F238E27FC236}">
              <a16:creationId xmlns:a16="http://schemas.microsoft.com/office/drawing/2014/main" id="{00000000-0008-0000-0700-00004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5" name="Shape 3">
          <a:extLst>
            <a:ext uri="{FF2B5EF4-FFF2-40B4-BE49-F238E27FC236}">
              <a16:creationId xmlns:a16="http://schemas.microsoft.com/office/drawing/2014/main" id="{00000000-0008-0000-0700-00004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6" name="Shape 3"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7" name="Shape 3"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8" name="Shape 3">
          <a:extLst>
            <a:ext uri="{FF2B5EF4-FFF2-40B4-BE49-F238E27FC236}">
              <a16:creationId xmlns:a16="http://schemas.microsoft.com/office/drawing/2014/main" id="{00000000-0008-0000-0700-00004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9" name="Shape 3"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0" name="Shape 3"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1" name="Shape 3">
          <a:extLst>
            <a:ext uri="{FF2B5EF4-FFF2-40B4-BE49-F238E27FC236}">
              <a16:creationId xmlns:a16="http://schemas.microsoft.com/office/drawing/2014/main" id="{00000000-0008-0000-0700-00004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2" name="Shape 3"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3" name="Shape 3"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4" name="Shape 4">
          <a:extLst>
            <a:ext uri="{FF2B5EF4-FFF2-40B4-BE49-F238E27FC236}">
              <a16:creationId xmlns:a16="http://schemas.microsoft.com/office/drawing/2014/main" id="{00000000-0008-0000-0700-00004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5" name="Shape 4"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6" name="Shape 4"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7" name="Shape 4">
          <a:extLst>
            <a:ext uri="{FF2B5EF4-FFF2-40B4-BE49-F238E27FC236}">
              <a16:creationId xmlns:a16="http://schemas.microsoft.com/office/drawing/2014/main" id="{00000000-0008-0000-0700-00004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8" name="Shape 3"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9" name="Shape 3"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0" name="Shape 3">
          <a:extLst>
            <a:ext uri="{FF2B5EF4-FFF2-40B4-BE49-F238E27FC236}">
              <a16:creationId xmlns:a16="http://schemas.microsoft.com/office/drawing/2014/main" id="{00000000-0008-0000-0700-00005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1" name="Shape 3"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2" name="Shape 3"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3" name="Shape 3">
          <a:extLst>
            <a:ext uri="{FF2B5EF4-FFF2-40B4-BE49-F238E27FC236}">
              <a16:creationId xmlns:a16="http://schemas.microsoft.com/office/drawing/2014/main" id="{00000000-0008-0000-0700-00005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4" name="Shape 3"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5" name="Shape 3"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6" name="Shape 3"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7" name="Shape 3"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8" name="Shape 3">
          <a:extLst>
            <a:ext uri="{FF2B5EF4-FFF2-40B4-BE49-F238E27FC236}">
              <a16:creationId xmlns:a16="http://schemas.microsoft.com/office/drawing/2014/main" id="{00000000-0008-0000-0700-00005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69" name="Shape 4"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0" name="Shape 4">
          <a:extLst>
            <a:ext uri="{FF2B5EF4-FFF2-40B4-BE49-F238E27FC236}">
              <a16:creationId xmlns:a16="http://schemas.microsoft.com/office/drawing/2014/main" id="{00000000-0008-0000-0700-00005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1" name="Shape 4">
          <a:extLst>
            <a:ext uri="{FF2B5EF4-FFF2-40B4-BE49-F238E27FC236}">
              <a16:creationId xmlns:a16="http://schemas.microsoft.com/office/drawing/2014/main" id="{00000000-0008-0000-0700-00005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2" name="Shape 4">
          <a:extLst>
            <a:ext uri="{FF2B5EF4-FFF2-40B4-BE49-F238E27FC236}">
              <a16:creationId xmlns:a16="http://schemas.microsoft.com/office/drawing/2014/main" id="{00000000-0008-0000-0700-00005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3" name="Shape 3">
          <a:extLst>
            <a:ext uri="{FF2B5EF4-FFF2-40B4-BE49-F238E27FC236}">
              <a16:creationId xmlns:a16="http://schemas.microsoft.com/office/drawing/2014/main" id="{00000000-0008-0000-0700-00005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4" name="Shape 3">
          <a:extLst>
            <a:ext uri="{FF2B5EF4-FFF2-40B4-BE49-F238E27FC236}">
              <a16:creationId xmlns:a16="http://schemas.microsoft.com/office/drawing/2014/main" id="{00000000-0008-0000-0700-00005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5" name="Shape 3">
          <a:extLst>
            <a:ext uri="{FF2B5EF4-FFF2-40B4-BE49-F238E27FC236}">
              <a16:creationId xmlns:a16="http://schemas.microsoft.com/office/drawing/2014/main" id="{00000000-0008-0000-0700-00005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6" name="Shape 3">
          <a:extLst>
            <a:ext uri="{FF2B5EF4-FFF2-40B4-BE49-F238E27FC236}">
              <a16:creationId xmlns:a16="http://schemas.microsoft.com/office/drawing/2014/main" id="{00000000-0008-0000-0700-00006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7" name="Shape 3">
          <a:extLst>
            <a:ext uri="{FF2B5EF4-FFF2-40B4-BE49-F238E27FC236}">
              <a16:creationId xmlns:a16="http://schemas.microsoft.com/office/drawing/2014/main" id="{00000000-0008-0000-0700-00006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8" name="Shape 3">
          <a:extLst>
            <a:ext uri="{FF2B5EF4-FFF2-40B4-BE49-F238E27FC236}">
              <a16:creationId xmlns:a16="http://schemas.microsoft.com/office/drawing/2014/main" id="{00000000-0008-0000-0700-00006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9" name="Shape 3">
          <a:extLst>
            <a:ext uri="{FF2B5EF4-FFF2-40B4-BE49-F238E27FC236}">
              <a16:creationId xmlns:a16="http://schemas.microsoft.com/office/drawing/2014/main" id="{00000000-0008-0000-0700-00006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0" name="Shape 3">
          <a:extLst>
            <a:ext uri="{FF2B5EF4-FFF2-40B4-BE49-F238E27FC236}">
              <a16:creationId xmlns:a16="http://schemas.microsoft.com/office/drawing/2014/main" id="{00000000-0008-0000-0700-00006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1" name="Shape 3">
          <a:extLst>
            <a:ext uri="{FF2B5EF4-FFF2-40B4-BE49-F238E27FC236}">
              <a16:creationId xmlns:a16="http://schemas.microsoft.com/office/drawing/2014/main" id="{00000000-0008-0000-0700-00006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2" name="Shape 3">
          <a:extLst>
            <a:ext uri="{FF2B5EF4-FFF2-40B4-BE49-F238E27FC236}">
              <a16:creationId xmlns:a16="http://schemas.microsoft.com/office/drawing/2014/main" id="{00000000-0008-0000-0700-00006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3" name="Shape 3">
          <a:extLst>
            <a:ext uri="{FF2B5EF4-FFF2-40B4-BE49-F238E27FC236}">
              <a16:creationId xmlns:a16="http://schemas.microsoft.com/office/drawing/2014/main" id="{00000000-0008-0000-0700-00006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4" name="Shape 4">
          <a:extLst>
            <a:ext uri="{FF2B5EF4-FFF2-40B4-BE49-F238E27FC236}">
              <a16:creationId xmlns:a16="http://schemas.microsoft.com/office/drawing/2014/main" id="{00000000-0008-0000-0700-00006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5" name="Shape 4">
          <a:extLst>
            <a:ext uri="{FF2B5EF4-FFF2-40B4-BE49-F238E27FC236}">
              <a16:creationId xmlns:a16="http://schemas.microsoft.com/office/drawing/2014/main" id="{00000000-0008-0000-0700-00006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6" name="Shape 4">
          <a:extLst>
            <a:ext uri="{FF2B5EF4-FFF2-40B4-BE49-F238E27FC236}">
              <a16:creationId xmlns:a16="http://schemas.microsoft.com/office/drawing/2014/main" id="{00000000-0008-0000-0700-00006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7" name="Shape 4">
          <a:extLst>
            <a:ext uri="{FF2B5EF4-FFF2-40B4-BE49-F238E27FC236}">
              <a16:creationId xmlns:a16="http://schemas.microsoft.com/office/drawing/2014/main" id="{00000000-0008-0000-0700-00006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8" name="Shape 3">
          <a:extLst>
            <a:ext uri="{FF2B5EF4-FFF2-40B4-BE49-F238E27FC236}">
              <a16:creationId xmlns:a16="http://schemas.microsoft.com/office/drawing/2014/main" id="{00000000-0008-0000-0700-00006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9" name="Shape 3">
          <a:extLst>
            <a:ext uri="{FF2B5EF4-FFF2-40B4-BE49-F238E27FC236}">
              <a16:creationId xmlns:a16="http://schemas.microsoft.com/office/drawing/2014/main" id="{00000000-0008-0000-0700-00006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0" name="Shape 3">
          <a:extLst>
            <a:ext uri="{FF2B5EF4-FFF2-40B4-BE49-F238E27FC236}">
              <a16:creationId xmlns:a16="http://schemas.microsoft.com/office/drawing/2014/main" id="{00000000-0008-0000-0700-00006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1" name="Shape 3">
          <a:extLst>
            <a:ext uri="{FF2B5EF4-FFF2-40B4-BE49-F238E27FC236}">
              <a16:creationId xmlns:a16="http://schemas.microsoft.com/office/drawing/2014/main" id="{00000000-0008-0000-0700-00006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2" name="Shape 3">
          <a:extLst>
            <a:ext uri="{FF2B5EF4-FFF2-40B4-BE49-F238E27FC236}">
              <a16:creationId xmlns:a16="http://schemas.microsoft.com/office/drawing/2014/main" id="{00000000-0008-0000-0700-00007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3" name="Shape 3">
          <a:extLst>
            <a:ext uri="{FF2B5EF4-FFF2-40B4-BE49-F238E27FC236}">
              <a16:creationId xmlns:a16="http://schemas.microsoft.com/office/drawing/2014/main" id="{00000000-0008-0000-0700-00007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4" name="Shape 3">
          <a:extLst>
            <a:ext uri="{FF2B5EF4-FFF2-40B4-BE49-F238E27FC236}">
              <a16:creationId xmlns:a16="http://schemas.microsoft.com/office/drawing/2014/main" id="{00000000-0008-0000-0700-00007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5" name="Shape 3">
          <a:extLst>
            <a:ext uri="{FF2B5EF4-FFF2-40B4-BE49-F238E27FC236}">
              <a16:creationId xmlns:a16="http://schemas.microsoft.com/office/drawing/2014/main" id="{00000000-0008-0000-0700-00007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00000000-0008-0000-0700-00007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00000000-0008-0000-0700-00007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00000000-0008-0000-0700-00007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399" name="Shape 4">
          <a:extLst>
            <a:ext uri="{FF2B5EF4-FFF2-40B4-BE49-F238E27FC236}">
              <a16:creationId xmlns:a16="http://schemas.microsoft.com/office/drawing/2014/main" id="{00000000-0008-0000-0700-00007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0" name="Shape 4">
          <a:extLst>
            <a:ext uri="{FF2B5EF4-FFF2-40B4-BE49-F238E27FC236}">
              <a16:creationId xmlns:a16="http://schemas.microsoft.com/office/drawing/2014/main" id="{00000000-0008-0000-0700-00007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1" name="Shape 4">
          <a:extLst>
            <a:ext uri="{FF2B5EF4-FFF2-40B4-BE49-F238E27FC236}">
              <a16:creationId xmlns:a16="http://schemas.microsoft.com/office/drawing/2014/main" id="{00000000-0008-0000-0700-00007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2" name="Shape 4">
          <a:extLst>
            <a:ext uri="{FF2B5EF4-FFF2-40B4-BE49-F238E27FC236}">
              <a16:creationId xmlns:a16="http://schemas.microsoft.com/office/drawing/2014/main" id="{00000000-0008-0000-0700-00007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00000000-0008-0000-0700-00007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00000000-0008-0000-0700-00007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00000000-0008-0000-0700-00007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00000000-0008-0000-0700-00007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00000000-0008-0000-0700-00007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00000000-0008-0000-0700-00008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00000000-0008-0000-0700-00008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00000000-0008-0000-0700-00008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00000000-0008-0000-0700-00008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00000000-0008-0000-0700-00008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00000000-0008-0000-0700-00008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4" name="Shape 4">
          <a:extLst>
            <a:ext uri="{FF2B5EF4-FFF2-40B4-BE49-F238E27FC236}">
              <a16:creationId xmlns:a16="http://schemas.microsoft.com/office/drawing/2014/main" id="{00000000-0008-0000-0700-00008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5" name="Shape 4">
          <a:extLst>
            <a:ext uri="{FF2B5EF4-FFF2-40B4-BE49-F238E27FC236}">
              <a16:creationId xmlns:a16="http://schemas.microsoft.com/office/drawing/2014/main" id="{00000000-0008-0000-0700-00008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6" name="Shape 4">
          <a:extLst>
            <a:ext uri="{FF2B5EF4-FFF2-40B4-BE49-F238E27FC236}">
              <a16:creationId xmlns:a16="http://schemas.microsoft.com/office/drawing/2014/main" id="{00000000-0008-0000-0700-00008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7" name="Shape 4">
          <a:extLst>
            <a:ext uri="{FF2B5EF4-FFF2-40B4-BE49-F238E27FC236}">
              <a16:creationId xmlns:a16="http://schemas.microsoft.com/office/drawing/2014/main" id="{00000000-0008-0000-0700-00008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00000000-0008-0000-0700-00008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00000000-0008-0000-0700-00008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0000000-0008-0000-0700-00008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00000000-0008-0000-0700-00008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2" name="Shape 3">
          <a:extLst>
            <a:ext uri="{FF2B5EF4-FFF2-40B4-BE49-F238E27FC236}">
              <a16:creationId xmlns:a16="http://schemas.microsoft.com/office/drawing/2014/main" id="{00000000-0008-0000-0700-00008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3" name="Shape 3">
          <a:extLst>
            <a:ext uri="{FF2B5EF4-FFF2-40B4-BE49-F238E27FC236}">
              <a16:creationId xmlns:a16="http://schemas.microsoft.com/office/drawing/2014/main" id="{00000000-0008-0000-0700-00008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00000000-0008-0000-0700-00009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0000000-0008-0000-0700-00009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6" name="Shape 3">
          <a:extLst>
            <a:ext uri="{FF2B5EF4-FFF2-40B4-BE49-F238E27FC236}">
              <a16:creationId xmlns:a16="http://schemas.microsoft.com/office/drawing/2014/main" id="{00000000-0008-0000-0700-00009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7" name="Shape 3">
          <a:extLst>
            <a:ext uri="{FF2B5EF4-FFF2-40B4-BE49-F238E27FC236}">
              <a16:creationId xmlns:a16="http://schemas.microsoft.com/office/drawing/2014/main" id="{00000000-0008-0000-0700-00009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8" name="Shape 3">
          <a:extLst>
            <a:ext uri="{FF2B5EF4-FFF2-40B4-BE49-F238E27FC236}">
              <a16:creationId xmlns:a16="http://schemas.microsoft.com/office/drawing/2014/main" id="{00000000-0008-0000-0700-00009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29" name="Shape 4">
          <a:extLst>
            <a:ext uri="{FF2B5EF4-FFF2-40B4-BE49-F238E27FC236}">
              <a16:creationId xmlns:a16="http://schemas.microsoft.com/office/drawing/2014/main" id="{00000000-0008-0000-0700-00009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0" name="Shape 4">
          <a:extLst>
            <a:ext uri="{FF2B5EF4-FFF2-40B4-BE49-F238E27FC236}">
              <a16:creationId xmlns:a16="http://schemas.microsoft.com/office/drawing/2014/main" id="{00000000-0008-0000-0700-00009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1" name="Shape 4">
          <a:extLst>
            <a:ext uri="{FF2B5EF4-FFF2-40B4-BE49-F238E27FC236}">
              <a16:creationId xmlns:a16="http://schemas.microsoft.com/office/drawing/2014/main" id="{00000000-0008-0000-0700-00009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2" name="Shape 4">
          <a:extLst>
            <a:ext uri="{FF2B5EF4-FFF2-40B4-BE49-F238E27FC236}">
              <a16:creationId xmlns:a16="http://schemas.microsoft.com/office/drawing/2014/main" id="{00000000-0008-0000-0700-00009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00000000-0008-0000-0700-00009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00000000-0008-0000-0700-00009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00000000-0008-0000-0700-00009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00000000-0008-0000-0700-00009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7" name="Shape 3">
          <a:extLst>
            <a:ext uri="{FF2B5EF4-FFF2-40B4-BE49-F238E27FC236}">
              <a16:creationId xmlns:a16="http://schemas.microsoft.com/office/drawing/2014/main" id="{00000000-0008-0000-0700-00009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8" name="Shape 3">
          <a:extLst>
            <a:ext uri="{FF2B5EF4-FFF2-40B4-BE49-F238E27FC236}">
              <a16:creationId xmlns:a16="http://schemas.microsoft.com/office/drawing/2014/main" id="{00000000-0008-0000-0700-00009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00000000-0008-0000-0700-00009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00000000-0008-0000-0700-0000A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1" name="Shape 3">
          <a:extLst>
            <a:ext uri="{FF2B5EF4-FFF2-40B4-BE49-F238E27FC236}">
              <a16:creationId xmlns:a16="http://schemas.microsoft.com/office/drawing/2014/main" id="{00000000-0008-0000-0700-0000A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2" name="Shape 3">
          <a:extLst>
            <a:ext uri="{FF2B5EF4-FFF2-40B4-BE49-F238E27FC236}">
              <a16:creationId xmlns:a16="http://schemas.microsoft.com/office/drawing/2014/main" id="{00000000-0008-0000-0700-0000A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3" name="Shape 3">
          <a:extLst>
            <a:ext uri="{FF2B5EF4-FFF2-40B4-BE49-F238E27FC236}">
              <a16:creationId xmlns:a16="http://schemas.microsoft.com/office/drawing/2014/main" id="{00000000-0008-0000-0700-0000A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4" name="Shape 4">
          <a:extLst>
            <a:ext uri="{FF2B5EF4-FFF2-40B4-BE49-F238E27FC236}">
              <a16:creationId xmlns:a16="http://schemas.microsoft.com/office/drawing/2014/main" id="{00000000-0008-0000-0700-0000A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5" name="Shape 4">
          <a:extLst>
            <a:ext uri="{FF2B5EF4-FFF2-40B4-BE49-F238E27FC236}">
              <a16:creationId xmlns:a16="http://schemas.microsoft.com/office/drawing/2014/main" id="{00000000-0008-0000-0700-0000A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6" name="Shape 4">
          <a:extLst>
            <a:ext uri="{FF2B5EF4-FFF2-40B4-BE49-F238E27FC236}">
              <a16:creationId xmlns:a16="http://schemas.microsoft.com/office/drawing/2014/main" id="{00000000-0008-0000-0700-0000A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7" name="Shape 4">
          <a:extLst>
            <a:ext uri="{FF2B5EF4-FFF2-40B4-BE49-F238E27FC236}">
              <a16:creationId xmlns:a16="http://schemas.microsoft.com/office/drawing/2014/main" id="{00000000-0008-0000-0700-0000A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00000000-0008-0000-0700-0000A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00000000-0008-0000-0700-0000A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00000000-0008-0000-0700-0000A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00000000-0008-0000-0700-0000A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00000000-0008-0000-0700-0000A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00000000-0008-0000-0700-0000A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00000000-0008-0000-0700-0000A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00000000-0008-0000-0700-0000A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00000000-0008-0000-0700-0000B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00000000-0008-0000-0700-0000B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00000000-0008-0000-0700-0000B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59" name="Shape 4">
          <a:extLst>
            <a:ext uri="{FF2B5EF4-FFF2-40B4-BE49-F238E27FC236}">
              <a16:creationId xmlns:a16="http://schemas.microsoft.com/office/drawing/2014/main" id="{00000000-0008-0000-0700-0000B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0" name="Shape 4">
          <a:extLst>
            <a:ext uri="{FF2B5EF4-FFF2-40B4-BE49-F238E27FC236}">
              <a16:creationId xmlns:a16="http://schemas.microsoft.com/office/drawing/2014/main" id="{00000000-0008-0000-0700-0000B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1" name="Shape 4">
          <a:extLst>
            <a:ext uri="{FF2B5EF4-FFF2-40B4-BE49-F238E27FC236}">
              <a16:creationId xmlns:a16="http://schemas.microsoft.com/office/drawing/2014/main" id="{00000000-0008-0000-0700-0000B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2" name="Shape 4">
          <a:extLst>
            <a:ext uri="{FF2B5EF4-FFF2-40B4-BE49-F238E27FC236}">
              <a16:creationId xmlns:a16="http://schemas.microsoft.com/office/drawing/2014/main" id="{00000000-0008-0000-0700-0000B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00000000-0008-0000-0700-0000B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4" name="Shape 3">
          <a:extLst>
            <a:ext uri="{FF2B5EF4-FFF2-40B4-BE49-F238E27FC236}">
              <a16:creationId xmlns:a16="http://schemas.microsoft.com/office/drawing/2014/main" id="{00000000-0008-0000-0700-0000B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5" name="Shape 3">
          <a:extLst>
            <a:ext uri="{FF2B5EF4-FFF2-40B4-BE49-F238E27FC236}">
              <a16:creationId xmlns:a16="http://schemas.microsoft.com/office/drawing/2014/main" id="{00000000-0008-0000-0700-0000B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6" name="Shape 3">
          <a:extLst>
            <a:ext uri="{FF2B5EF4-FFF2-40B4-BE49-F238E27FC236}">
              <a16:creationId xmlns:a16="http://schemas.microsoft.com/office/drawing/2014/main" id="{00000000-0008-0000-0700-0000B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00000000-0008-0000-0700-0000B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0000000-0008-0000-0700-0000B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00000000-0008-0000-0700-0000B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00000000-0008-0000-0700-0000B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00000000-0008-0000-0700-0000B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00000000-0008-0000-0700-0000C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00000000-0008-0000-0700-0000C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4" name="Shape 4">
          <a:extLst>
            <a:ext uri="{FF2B5EF4-FFF2-40B4-BE49-F238E27FC236}">
              <a16:creationId xmlns:a16="http://schemas.microsoft.com/office/drawing/2014/main" id="{00000000-0008-0000-0700-0000C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5" name="Shape 4">
          <a:extLst>
            <a:ext uri="{FF2B5EF4-FFF2-40B4-BE49-F238E27FC236}">
              <a16:creationId xmlns:a16="http://schemas.microsoft.com/office/drawing/2014/main" id="{00000000-0008-0000-0700-0000C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6" name="Shape 4">
          <a:extLst>
            <a:ext uri="{FF2B5EF4-FFF2-40B4-BE49-F238E27FC236}">
              <a16:creationId xmlns:a16="http://schemas.microsoft.com/office/drawing/2014/main" id="{00000000-0008-0000-0700-0000C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7" name="Shape 4">
          <a:extLst>
            <a:ext uri="{FF2B5EF4-FFF2-40B4-BE49-F238E27FC236}">
              <a16:creationId xmlns:a16="http://schemas.microsoft.com/office/drawing/2014/main" id="{00000000-0008-0000-0700-0000C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00000000-0008-0000-0700-0000C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9" name="Shape 3">
          <a:extLst>
            <a:ext uri="{FF2B5EF4-FFF2-40B4-BE49-F238E27FC236}">
              <a16:creationId xmlns:a16="http://schemas.microsoft.com/office/drawing/2014/main" id="{00000000-0008-0000-0700-0000C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0" name="Shape 3">
          <a:extLst>
            <a:ext uri="{FF2B5EF4-FFF2-40B4-BE49-F238E27FC236}">
              <a16:creationId xmlns:a16="http://schemas.microsoft.com/office/drawing/2014/main" id="{00000000-0008-0000-0700-0000C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1" name="Shape 3">
          <a:extLst>
            <a:ext uri="{FF2B5EF4-FFF2-40B4-BE49-F238E27FC236}">
              <a16:creationId xmlns:a16="http://schemas.microsoft.com/office/drawing/2014/main" id="{00000000-0008-0000-0700-0000C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00000000-0008-0000-0700-0000C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00000000-0008-0000-0700-0000C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00000000-0008-0000-0700-0000C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00000000-0008-0000-0700-0000C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00000000-0008-0000-0700-0000C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00000000-0008-0000-0700-0000C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00000000-0008-0000-0700-0000D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89" name="Shape 4">
          <a:extLst>
            <a:ext uri="{FF2B5EF4-FFF2-40B4-BE49-F238E27FC236}">
              <a16:creationId xmlns:a16="http://schemas.microsoft.com/office/drawing/2014/main" id="{00000000-0008-0000-0700-0000D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0" name="Shape 4">
          <a:extLst>
            <a:ext uri="{FF2B5EF4-FFF2-40B4-BE49-F238E27FC236}">
              <a16:creationId xmlns:a16="http://schemas.microsoft.com/office/drawing/2014/main" id="{00000000-0008-0000-0700-0000D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1" name="Shape 4">
          <a:extLst>
            <a:ext uri="{FF2B5EF4-FFF2-40B4-BE49-F238E27FC236}">
              <a16:creationId xmlns:a16="http://schemas.microsoft.com/office/drawing/2014/main" id="{00000000-0008-0000-0700-0000D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2" name="Shape 4">
          <a:extLst>
            <a:ext uri="{FF2B5EF4-FFF2-40B4-BE49-F238E27FC236}">
              <a16:creationId xmlns:a16="http://schemas.microsoft.com/office/drawing/2014/main" id="{00000000-0008-0000-0700-0000D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00000000-0008-0000-0700-0000D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00000000-0008-0000-0700-0000D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00000000-0008-0000-0700-0000D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6" name="Shape 3">
          <a:extLst>
            <a:ext uri="{FF2B5EF4-FFF2-40B4-BE49-F238E27FC236}">
              <a16:creationId xmlns:a16="http://schemas.microsoft.com/office/drawing/2014/main" id="{00000000-0008-0000-0700-0000D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7" name="Shape 3">
          <a:extLst>
            <a:ext uri="{FF2B5EF4-FFF2-40B4-BE49-F238E27FC236}">
              <a16:creationId xmlns:a16="http://schemas.microsoft.com/office/drawing/2014/main" id="{00000000-0008-0000-0700-0000D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8" name="Shape 3">
          <a:extLst>
            <a:ext uri="{FF2B5EF4-FFF2-40B4-BE49-F238E27FC236}">
              <a16:creationId xmlns:a16="http://schemas.microsoft.com/office/drawing/2014/main" id="{00000000-0008-0000-0700-0000D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9" name="Shape 3">
          <a:extLst>
            <a:ext uri="{FF2B5EF4-FFF2-40B4-BE49-F238E27FC236}">
              <a16:creationId xmlns:a16="http://schemas.microsoft.com/office/drawing/2014/main" id="{00000000-0008-0000-0700-0000D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0" name="Shape 3">
          <a:extLst>
            <a:ext uri="{FF2B5EF4-FFF2-40B4-BE49-F238E27FC236}">
              <a16:creationId xmlns:a16="http://schemas.microsoft.com/office/drawing/2014/main" id="{00000000-0008-0000-0700-0000D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1" name="Shape 3">
          <a:extLst>
            <a:ext uri="{FF2B5EF4-FFF2-40B4-BE49-F238E27FC236}">
              <a16:creationId xmlns:a16="http://schemas.microsoft.com/office/drawing/2014/main" id="{00000000-0008-0000-0700-0000D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2" name="Shape 3">
          <a:extLst>
            <a:ext uri="{FF2B5EF4-FFF2-40B4-BE49-F238E27FC236}">
              <a16:creationId xmlns:a16="http://schemas.microsoft.com/office/drawing/2014/main" id="{00000000-0008-0000-0700-0000D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3" name="Shape 3">
          <a:extLst>
            <a:ext uri="{FF2B5EF4-FFF2-40B4-BE49-F238E27FC236}">
              <a16:creationId xmlns:a16="http://schemas.microsoft.com/office/drawing/2014/main" id="{00000000-0008-0000-0700-0000D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4" name="Shape 4">
          <a:extLst>
            <a:ext uri="{FF2B5EF4-FFF2-40B4-BE49-F238E27FC236}">
              <a16:creationId xmlns:a16="http://schemas.microsoft.com/office/drawing/2014/main" id="{00000000-0008-0000-0700-0000E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5" name="Shape 4">
          <a:extLst>
            <a:ext uri="{FF2B5EF4-FFF2-40B4-BE49-F238E27FC236}">
              <a16:creationId xmlns:a16="http://schemas.microsoft.com/office/drawing/2014/main" id="{00000000-0008-0000-0700-0000E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6" name="Shape 4">
          <a:extLst>
            <a:ext uri="{FF2B5EF4-FFF2-40B4-BE49-F238E27FC236}">
              <a16:creationId xmlns:a16="http://schemas.microsoft.com/office/drawing/2014/main" id="{00000000-0008-0000-0700-0000E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7" name="Shape 4">
          <a:extLst>
            <a:ext uri="{FF2B5EF4-FFF2-40B4-BE49-F238E27FC236}">
              <a16:creationId xmlns:a16="http://schemas.microsoft.com/office/drawing/2014/main" id="{00000000-0008-0000-0700-0000E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8" name="Shape 3">
          <a:extLst>
            <a:ext uri="{FF2B5EF4-FFF2-40B4-BE49-F238E27FC236}">
              <a16:creationId xmlns:a16="http://schemas.microsoft.com/office/drawing/2014/main" id="{00000000-0008-0000-0700-0000E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9" name="Shape 3">
          <a:extLst>
            <a:ext uri="{FF2B5EF4-FFF2-40B4-BE49-F238E27FC236}">
              <a16:creationId xmlns:a16="http://schemas.microsoft.com/office/drawing/2014/main" id="{00000000-0008-0000-0700-0000E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0" name="Shape 3">
          <a:extLst>
            <a:ext uri="{FF2B5EF4-FFF2-40B4-BE49-F238E27FC236}">
              <a16:creationId xmlns:a16="http://schemas.microsoft.com/office/drawing/2014/main" id="{00000000-0008-0000-0700-0000E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1" name="Shape 3">
          <a:extLst>
            <a:ext uri="{FF2B5EF4-FFF2-40B4-BE49-F238E27FC236}">
              <a16:creationId xmlns:a16="http://schemas.microsoft.com/office/drawing/2014/main" id="{00000000-0008-0000-0700-0000E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2" name="Shape 3">
          <a:extLst>
            <a:ext uri="{FF2B5EF4-FFF2-40B4-BE49-F238E27FC236}">
              <a16:creationId xmlns:a16="http://schemas.microsoft.com/office/drawing/2014/main" id="{00000000-0008-0000-0700-0000E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3" name="Shape 3">
          <a:extLst>
            <a:ext uri="{FF2B5EF4-FFF2-40B4-BE49-F238E27FC236}">
              <a16:creationId xmlns:a16="http://schemas.microsoft.com/office/drawing/2014/main" id="{00000000-0008-0000-0700-0000E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4" name="Shape 3">
          <a:extLst>
            <a:ext uri="{FF2B5EF4-FFF2-40B4-BE49-F238E27FC236}">
              <a16:creationId xmlns:a16="http://schemas.microsoft.com/office/drawing/2014/main" id="{00000000-0008-0000-0700-0000E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5" name="Shape 5">
          <a:extLst>
            <a:ext uri="{FF2B5EF4-FFF2-40B4-BE49-F238E27FC236}">
              <a16:creationId xmlns:a16="http://schemas.microsoft.com/office/drawing/2014/main" id="{00000000-0008-0000-0700-0000E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6" name="Shape 5">
          <a:extLst>
            <a:ext uri="{FF2B5EF4-FFF2-40B4-BE49-F238E27FC236}">
              <a16:creationId xmlns:a16="http://schemas.microsoft.com/office/drawing/2014/main" id="{00000000-0008-0000-0700-0000E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7" name="Shape 5">
          <a:extLst>
            <a:ext uri="{FF2B5EF4-FFF2-40B4-BE49-F238E27FC236}">
              <a16:creationId xmlns:a16="http://schemas.microsoft.com/office/drawing/2014/main" id="{00000000-0008-0000-0700-0000E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8" name="Shape 5">
          <a:extLst>
            <a:ext uri="{FF2B5EF4-FFF2-40B4-BE49-F238E27FC236}">
              <a16:creationId xmlns:a16="http://schemas.microsoft.com/office/drawing/2014/main" id="{00000000-0008-0000-0700-0000E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19" name="Shape 6">
          <a:extLst>
            <a:ext uri="{FF2B5EF4-FFF2-40B4-BE49-F238E27FC236}">
              <a16:creationId xmlns:a16="http://schemas.microsoft.com/office/drawing/2014/main" id="{00000000-0008-0000-0700-0000E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0" name="Shape 6">
          <a:extLst>
            <a:ext uri="{FF2B5EF4-FFF2-40B4-BE49-F238E27FC236}">
              <a16:creationId xmlns:a16="http://schemas.microsoft.com/office/drawing/2014/main" id="{00000000-0008-0000-0700-0000F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1" name="Shape 6">
          <a:extLst>
            <a:ext uri="{FF2B5EF4-FFF2-40B4-BE49-F238E27FC236}">
              <a16:creationId xmlns:a16="http://schemas.microsoft.com/office/drawing/2014/main" id="{00000000-0008-0000-0700-0000F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2" name="Shape 6">
          <a:extLst>
            <a:ext uri="{FF2B5EF4-FFF2-40B4-BE49-F238E27FC236}">
              <a16:creationId xmlns:a16="http://schemas.microsoft.com/office/drawing/2014/main" id="{00000000-0008-0000-0700-0000F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3" name="Shape 5">
          <a:extLst>
            <a:ext uri="{FF2B5EF4-FFF2-40B4-BE49-F238E27FC236}">
              <a16:creationId xmlns:a16="http://schemas.microsoft.com/office/drawing/2014/main" id="{00000000-0008-0000-0700-0000F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4" name="Shape 5">
          <a:extLst>
            <a:ext uri="{FF2B5EF4-FFF2-40B4-BE49-F238E27FC236}">
              <a16:creationId xmlns:a16="http://schemas.microsoft.com/office/drawing/2014/main" id="{00000000-0008-0000-0700-0000F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5" name="Shape 5">
          <a:extLst>
            <a:ext uri="{FF2B5EF4-FFF2-40B4-BE49-F238E27FC236}">
              <a16:creationId xmlns:a16="http://schemas.microsoft.com/office/drawing/2014/main" id="{00000000-0008-0000-0700-0000F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6" name="Shape 5">
          <a:extLst>
            <a:ext uri="{FF2B5EF4-FFF2-40B4-BE49-F238E27FC236}">
              <a16:creationId xmlns:a16="http://schemas.microsoft.com/office/drawing/2014/main" id="{00000000-0008-0000-0700-0000F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7" name="Shape 5">
          <a:extLst>
            <a:ext uri="{FF2B5EF4-FFF2-40B4-BE49-F238E27FC236}">
              <a16:creationId xmlns:a16="http://schemas.microsoft.com/office/drawing/2014/main" id="{00000000-0008-0000-0700-0000F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8" name="Shape 5">
          <a:extLst>
            <a:ext uri="{FF2B5EF4-FFF2-40B4-BE49-F238E27FC236}">
              <a16:creationId xmlns:a16="http://schemas.microsoft.com/office/drawing/2014/main" id="{00000000-0008-0000-0700-0000F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9" name="Shape 5">
          <a:extLst>
            <a:ext uri="{FF2B5EF4-FFF2-40B4-BE49-F238E27FC236}">
              <a16:creationId xmlns:a16="http://schemas.microsoft.com/office/drawing/2014/main" id="{00000000-0008-0000-0700-0000F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0" name="Shape 5">
          <a:extLst>
            <a:ext uri="{FF2B5EF4-FFF2-40B4-BE49-F238E27FC236}">
              <a16:creationId xmlns:a16="http://schemas.microsoft.com/office/drawing/2014/main" id="{00000000-0008-0000-0700-0000F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1" name="Shape 5">
          <a:extLst>
            <a:ext uri="{FF2B5EF4-FFF2-40B4-BE49-F238E27FC236}">
              <a16:creationId xmlns:a16="http://schemas.microsoft.com/office/drawing/2014/main" id="{00000000-0008-0000-0700-0000F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2" name="Shape 5">
          <a:extLst>
            <a:ext uri="{FF2B5EF4-FFF2-40B4-BE49-F238E27FC236}">
              <a16:creationId xmlns:a16="http://schemas.microsoft.com/office/drawing/2014/main" id="{00000000-0008-0000-0700-0000F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3" name="Shape 5">
          <a:extLst>
            <a:ext uri="{FF2B5EF4-FFF2-40B4-BE49-F238E27FC236}">
              <a16:creationId xmlns:a16="http://schemas.microsoft.com/office/drawing/2014/main" id="{00000000-0008-0000-0700-0000F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4" name="Shape 6">
          <a:extLst>
            <a:ext uri="{FF2B5EF4-FFF2-40B4-BE49-F238E27FC236}">
              <a16:creationId xmlns:a16="http://schemas.microsoft.com/office/drawing/2014/main" id="{00000000-0008-0000-0700-0000F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5" name="Shape 6">
          <a:extLst>
            <a:ext uri="{FF2B5EF4-FFF2-40B4-BE49-F238E27FC236}">
              <a16:creationId xmlns:a16="http://schemas.microsoft.com/office/drawing/2014/main" id="{00000000-0008-0000-0700-0000F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6" name="Shape 6">
          <a:extLst>
            <a:ext uri="{FF2B5EF4-FFF2-40B4-BE49-F238E27FC236}">
              <a16:creationId xmlns:a16="http://schemas.microsoft.com/office/drawing/2014/main" id="{00000000-0008-0000-0700-00000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7" name="Shape 6">
          <a:extLst>
            <a:ext uri="{FF2B5EF4-FFF2-40B4-BE49-F238E27FC236}">
              <a16:creationId xmlns:a16="http://schemas.microsoft.com/office/drawing/2014/main" id="{00000000-0008-0000-0700-00000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8" name="Shape 5">
          <a:extLst>
            <a:ext uri="{FF2B5EF4-FFF2-40B4-BE49-F238E27FC236}">
              <a16:creationId xmlns:a16="http://schemas.microsoft.com/office/drawing/2014/main" id="{00000000-0008-0000-0700-00000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9" name="Shape 5">
          <a:extLst>
            <a:ext uri="{FF2B5EF4-FFF2-40B4-BE49-F238E27FC236}">
              <a16:creationId xmlns:a16="http://schemas.microsoft.com/office/drawing/2014/main" id="{00000000-0008-0000-0700-00000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0" name="Shape 5">
          <a:extLst>
            <a:ext uri="{FF2B5EF4-FFF2-40B4-BE49-F238E27FC236}">
              <a16:creationId xmlns:a16="http://schemas.microsoft.com/office/drawing/2014/main" id="{00000000-0008-0000-0700-00000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1" name="Shape 5">
          <a:extLst>
            <a:ext uri="{FF2B5EF4-FFF2-40B4-BE49-F238E27FC236}">
              <a16:creationId xmlns:a16="http://schemas.microsoft.com/office/drawing/2014/main" id="{00000000-0008-0000-0700-00000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2" name="Shape 5">
          <a:extLst>
            <a:ext uri="{FF2B5EF4-FFF2-40B4-BE49-F238E27FC236}">
              <a16:creationId xmlns:a16="http://schemas.microsoft.com/office/drawing/2014/main" id="{00000000-0008-0000-0700-00000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3" name="Shape 5">
          <a:extLst>
            <a:ext uri="{FF2B5EF4-FFF2-40B4-BE49-F238E27FC236}">
              <a16:creationId xmlns:a16="http://schemas.microsoft.com/office/drawing/2014/main" id="{00000000-0008-0000-0700-00000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4" name="Shape 5">
          <a:extLst>
            <a:ext uri="{FF2B5EF4-FFF2-40B4-BE49-F238E27FC236}">
              <a16:creationId xmlns:a16="http://schemas.microsoft.com/office/drawing/2014/main" id="{00000000-0008-0000-0700-00000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5" name="Shape 5">
          <a:extLst>
            <a:ext uri="{FF2B5EF4-FFF2-40B4-BE49-F238E27FC236}">
              <a16:creationId xmlns:a16="http://schemas.microsoft.com/office/drawing/2014/main" id="{00000000-0008-0000-0700-00000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6" name="Shape 5">
          <a:extLst>
            <a:ext uri="{FF2B5EF4-FFF2-40B4-BE49-F238E27FC236}">
              <a16:creationId xmlns:a16="http://schemas.microsoft.com/office/drawing/2014/main" id="{00000000-0008-0000-0700-00000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7" name="Shape 5">
          <a:extLst>
            <a:ext uri="{FF2B5EF4-FFF2-40B4-BE49-F238E27FC236}">
              <a16:creationId xmlns:a16="http://schemas.microsoft.com/office/drawing/2014/main" id="{00000000-0008-0000-0700-00000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8" name="Shape 5">
          <a:extLst>
            <a:ext uri="{FF2B5EF4-FFF2-40B4-BE49-F238E27FC236}">
              <a16:creationId xmlns:a16="http://schemas.microsoft.com/office/drawing/2014/main" id="{00000000-0008-0000-0700-00000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49" name="Shape 6">
          <a:extLst>
            <a:ext uri="{FF2B5EF4-FFF2-40B4-BE49-F238E27FC236}">
              <a16:creationId xmlns:a16="http://schemas.microsoft.com/office/drawing/2014/main" id="{00000000-0008-0000-0700-00000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0" name="Shape 6">
          <a:extLst>
            <a:ext uri="{FF2B5EF4-FFF2-40B4-BE49-F238E27FC236}">
              <a16:creationId xmlns:a16="http://schemas.microsoft.com/office/drawing/2014/main" id="{00000000-0008-0000-0700-00000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1" name="Shape 6">
          <a:extLst>
            <a:ext uri="{FF2B5EF4-FFF2-40B4-BE49-F238E27FC236}">
              <a16:creationId xmlns:a16="http://schemas.microsoft.com/office/drawing/2014/main" id="{00000000-0008-0000-0700-00000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2" name="Shape 6">
          <a:extLst>
            <a:ext uri="{FF2B5EF4-FFF2-40B4-BE49-F238E27FC236}">
              <a16:creationId xmlns:a16="http://schemas.microsoft.com/office/drawing/2014/main" id="{00000000-0008-0000-0700-00001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3" name="Shape 5">
          <a:extLst>
            <a:ext uri="{FF2B5EF4-FFF2-40B4-BE49-F238E27FC236}">
              <a16:creationId xmlns:a16="http://schemas.microsoft.com/office/drawing/2014/main" id="{00000000-0008-0000-0700-00001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4" name="Shape 5">
          <a:extLst>
            <a:ext uri="{FF2B5EF4-FFF2-40B4-BE49-F238E27FC236}">
              <a16:creationId xmlns:a16="http://schemas.microsoft.com/office/drawing/2014/main" id="{00000000-0008-0000-0700-00001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5" name="Shape 5">
          <a:extLst>
            <a:ext uri="{FF2B5EF4-FFF2-40B4-BE49-F238E27FC236}">
              <a16:creationId xmlns:a16="http://schemas.microsoft.com/office/drawing/2014/main" id="{00000000-0008-0000-0700-00001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6" name="Shape 5">
          <a:extLst>
            <a:ext uri="{FF2B5EF4-FFF2-40B4-BE49-F238E27FC236}">
              <a16:creationId xmlns:a16="http://schemas.microsoft.com/office/drawing/2014/main" id="{00000000-0008-0000-0700-00001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7" name="Shape 5">
          <a:extLst>
            <a:ext uri="{FF2B5EF4-FFF2-40B4-BE49-F238E27FC236}">
              <a16:creationId xmlns:a16="http://schemas.microsoft.com/office/drawing/2014/main" id="{00000000-0008-0000-0700-00001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8" name="Shape 5">
          <a:extLst>
            <a:ext uri="{FF2B5EF4-FFF2-40B4-BE49-F238E27FC236}">
              <a16:creationId xmlns:a16="http://schemas.microsoft.com/office/drawing/2014/main" id="{00000000-0008-0000-0700-00001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9" name="Shape 5">
          <a:extLst>
            <a:ext uri="{FF2B5EF4-FFF2-40B4-BE49-F238E27FC236}">
              <a16:creationId xmlns:a16="http://schemas.microsoft.com/office/drawing/2014/main" id="{00000000-0008-0000-0700-00001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0" name="Shape 5">
          <a:extLst>
            <a:ext uri="{FF2B5EF4-FFF2-40B4-BE49-F238E27FC236}">
              <a16:creationId xmlns:a16="http://schemas.microsoft.com/office/drawing/2014/main" id="{00000000-0008-0000-0700-00001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1" name="Shape 5">
          <a:extLst>
            <a:ext uri="{FF2B5EF4-FFF2-40B4-BE49-F238E27FC236}">
              <a16:creationId xmlns:a16="http://schemas.microsoft.com/office/drawing/2014/main" id="{00000000-0008-0000-0700-00001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2" name="Shape 5">
          <a:extLst>
            <a:ext uri="{FF2B5EF4-FFF2-40B4-BE49-F238E27FC236}">
              <a16:creationId xmlns:a16="http://schemas.microsoft.com/office/drawing/2014/main" id="{00000000-0008-0000-0700-00001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3" name="Shape 5">
          <a:extLst>
            <a:ext uri="{FF2B5EF4-FFF2-40B4-BE49-F238E27FC236}">
              <a16:creationId xmlns:a16="http://schemas.microsoft.com/office/drawing/2014/main" id="{00000000-0008-0000-0700-00001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4" name="Shape 6">
          <a:extLst>
            <a:ext uri="{FF2B5EF4-FFF2-40B4-BE49-F238E27FC236}">
              <a16:creationId xmlns:a16="http://schemas.microsoft.com/office/drawing/2014/main" id="{00000000-0008-0000-0700-00001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5" name="Shape 6">
          <a:extLst>
            <a:ext uri="{FF2B5EF4-FFF2-40B4-BE49-F238E27FC236}">
              <a16:creationId xmlns:a16="http://schemas.microsoft.com/office/drawing/2014/main" id="{00000000-0008-0000-0700-00001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6" name="Shape 6">
          <a:extLst>
            <a:ext uri="{FF2B5EF4-FFF2-40B4-BE49-F238E27FC236}">
              <a16:creationId xmlns:a16="http://schemas.microsoft.com/office/drawing/2014/main" id="{00000000-0008-0000-0700-00001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7" name="Shape 6">
          <a:extLst>
            <a:ext uri="{FF2B5EF4-FFF2-40B4-BE49-F238E27FC236}">
              <a16:creationId xmlns:a16="http://schemas.microsoft.com/office/drawing/2014/main" id="{00000000-0008-0000-0700-00001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8" name="Shape 5">
          <a:extLst>
            <a:ext uri="{FF2B5EF4-FFF2-40B4-BE49-F238E27FC236}">
              <a16:creationId xmlns:a16="http://schemas.microsoft.com/office/drawing/2014/main" id="{00000000-0008-0000-0700-00002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9" name="Shape 5">
          <a:extLst>
            <a:ext uri="{FF2B5EF4-FFF2-40B4-BE49-F238E27FC236}">
              <a16:creationId xmlns:a16="http://schemas.microsoft.com/office/drawing/2014/main" id="{00000000-0008-0000-0700-00002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0" name="Shape 5">
          <a:extLst>
            <a:ext uri="{FF2B5EF4-FFF2-40B4-BE49-F238E27FC236}">
              <a16:creationId xmlns:a16="http://schemas.microsoft.com/office/drawing/2014/main" id="{00000000-0008-0000-0700-00002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1" name="Shape 5">
          <a:extLst>
            <a:ext uri="{FF2B5EF4-FFF2-40B4-BE49-F238E27FC236}">
              <a16:creationId xmlns:a16="http://schemas.microsoft.com/office/drawing/2014/main" id="{00000000-0008-0000-0700-00002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2" name="Shape 5">
          <a:extLst>
            <a:ext uri="{FF2B5EF4-FFF2-40B4-BE49-F238E27FC236}">
              <a16:creationId xmlns:a16="http://schemas.microsoft.com/office/drawing/2014/main" id="{00000000-0008-0000-0700-00002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3" name="Shape 5">
          <a:extLst>
            <a:ext uri="{FF2B5EF4-FFF2-40B4-BE49-F238E27FC236}">
              <a16:creationId xmlns:a16="http://schemas.microsoft.com/office/drawing/2014/main" id="{00000000-0008-0000-0700-00002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4" name="Shape 5">
          <a:extLst>
            <a:ext uri="{FF2B5EF4-FFF2-40B4-BE49-F238E27FC236}">
              <a16:creationId xmlns:a16="http://schemas.microsoft.com/office/drawing/2014/main" id="{00000000-0008-0000-0700-00002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5" name="Shape 5">
          <a:extLst>
            <a:ext uri="{FF2B5EF4-FFF2-40B4-BE49-F238E27FC236}">
              <a16:creationId xmlns:a16="http://schemas.microsoft.com/office/drawing/2014/main" id="{00000000-0008-0000-0700-00002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6" name="Shape 5">
          <a:extLst>
            <a:ext uri="{FF2B5EF4-FFF2-40B4-BE49-F238E27FC236}">
              <a16:creationId xmlns:a16="http://schemas.microsoft.com/office/drawing/2014/main" id="{00000000-0008-0000-0700-00002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7" name="Shape 5">
          <a:extLst>
            <a:ext uri="{FF2B5EF4-FFF2-40B4-BE49-F238E27FC236}">
              <a16:creationId xmlns:a16="http://schemas.microsoft.com/office/drawing/2014/main" id="{00000000-0008-0000-0700-00002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8" name="Shape 5">
          <a:extLst>
            <a:ext uri="{FF2B5EF4-FFF2-40B4-BE49-F238E27FC236}">
              <a16:creationId xmlns:a16="http://schemas.microsoft.com/office/drawing/2014/main" id="{00000000-0008-0000-0700-00002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79" name="Shape 6">
          <a:extLst>
            <a:ext uri="{FF2B5EF4-FFF2-40B4-BE49-F238E27FC236}">
              <a16:creationId xmlns:a16="http://schemas.microsoft.com/office/drawing/2014/main" id="{00000000-0008-0000-0700-00002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0" name="Shape 6">
          <a:extLst>
            <a:ext uri="{FF2B5EF4-FFF2-40B4-BE49-F238E27FC236}">
              <a16:creationId xmlns:a16="http://schemas.microsoft.com/office/drawing/2014/main" id="{00000000-0008-0000-0700-00002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1" name="Shape 6">
          <a:extLst>
            <a:ext uri="{FF2B5EF4-FFF2-40B4-BE49-F238E27FC236}">
              <a16:creationId xmlns:a16="http://schemas.microsoft.com/office/drawing/2014/main" id="{00000000-0008-0000-0700-00002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2" name="Shape 6">
          <a:extLst>
            <a:ext uri="{FF2B5EF4-FFF2-40B4-BE49-F238E27FC236}">
              <a16:creationId xmlns:a16="http://schemas.microsoft.com/office/drawing/2014/main" id="{00000000-0008-0000-0700-00002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3" name="Shape 5">
          <a:extLst>
            <a:ext uri="{FF2B5EF4-FFF2-40B4-BE49-F238E27FC236}">
              <a16:creationId xmlns:a16="http://schemas.microsoft.com/office/drawing/2014/main" id="{00000000-0008-0000-0700-00002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4" name="Shape 5">
          <a:extLst>
            <a:ext uri="{FF2B5EF4-FFF2-40B4-BE49-F238E27FC236}">
              <a16:creationId xmlns:a16="http://schemas.microsoft.com/office/drawing/2014/main" id="{00000000-0008-0000-0700-00003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5" name="Shape 5">
          <a:extLst>
            <a:ext uri="{FF2B5EF4-FFF2-40B4-BE49-F238E27FC236}">
              <a16:creationId xmlns:a16="http://schemas.microsoft.com/office/drawing/2014/main" id="{00000000-0008-0000-0700-00003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6" name="Shape 5">
          <a:extLst>
            <a:ext uri="{FF2B5EF4-FFF2-40B4-BE49-F238E27FC236}">
              <a16:creationId xmlns:a16="http://schemas.microsoft.com/office/drawing/2014/main" id="{00000000-0008-0000-0700-00003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7" name="Shape 5">
          <a:extLst>
            <a:ext uri="{FF2B5EF4-FFF2-40B4-BE49-F238E27FC236}">
              <a16:creationId xmlns:a16="http://schemas.microsoft.com/office/drawing/2014/main" id="{00000000-0008-0000-0700-00003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8" name="Shape 5">
          <a:extLst>
            <a:ext uri="{FF2B5EF4-FFF2-40B4-BE49-F238E27FC236}">
              <a16:creationId xmlns:a16="http://schemas.microsoft.com/office/drawing/2014/main" id="{00000000-0008-0000-0700-00003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9" name="Shape 5">
          <a:extLst>
            <a:ext uri="{FF2B5EF4-FFF2-40B4-BE49-F238E27FC236}">
              <a16:creationId xmlns:a16="http://schemas.microsoft.com/office/drawing/2014/main" id="{00000000-0008-0000-0700-00003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0" name="Shape 5">
          <a:extLst>
            <a:ext uri="{FF2B5EF4-FFF2-40B4-BE49-F238E27FC236}">
              <a16:creationId xmlns:a16="http://schemas.microsoft.com/office/drawing/2014/main" id="{00000000-0008-0000-0700-00003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1" name="Shape 5">
          <a:extLst>
            <a:ext uri="{FF2B5EF4-FFF2-40B4-BE49-F238E27FC236}">
              <a16:creationId xmlns:a16="http://schemas.microsoft.com/office/drawing/2014/main" id="{00000000-0008-0000-0700-00003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2" name="Shape 5">
          <a:extLst>
            <a:ext uri="{FF2B5EF4-FFF2-40B4-BE49-F238E27FC236}">
              <a16:creationId xmlns:a16="http://schemas.microsoft.com/office/drawing/2014/main" id="{00000000-0008-0000-0700-00003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3" name="Shape 5">
          <a:extLst>
            <a:ext uri="{FF2B5EF4-FFF2-40B4-BE49-F238E27FC236}">
              <a16:creationId xmlns:a16="http://schemas.microsoft.com/office/drawing/2014/main" id="{00000000-0008-0000-0700-00003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4" name="Shape 6">
          <a:extLst>
            <a:ext uri="{FF2B5EF4-FFF2-40B4-BE49-F238E27FC236}">
              <a16:creationId xmlns:a16="http://schemas.microsoft.com/office/drawing/2014/main" id="{00000000-0008-0000-0700-00003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5" name="Shape 6">
          <a:extLst>
            <a:ext uri="{FF2B5EF4-FFF2-40B4-BE49-F238E27FC236}">
              <a16:creationId xmlns:a16="http://schemas.microsoft.com/office/drawing/2014/main" id="{00000000-0008-0000-0700-00003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6" name="Shape 6">
          <a:extLst>
            <a:ext uri="{FF2B5EF4-FFF2-40B4-BE49-F238E27FC236}">
              <a16:creationId xmlns:a16="http://schemas.microsoft.com/office/drawing/2014/main" id="{00000000-0008-0000-0700-00003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7" name="Shape 6">
          <a:extLst>
            <a:ext uri="{FF2B5EF4-FFF2-40B4-BE49-F238E27FC236}">
              <a16:creationId xmlns:a16="http://schemas.microsoft.com/office/drawing/2014/main" id="{00000000-0008-0000-0700-00003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8" name="Shape 5">
          <a:extLst>
            <a:ext uri="{FF2B5EF4-FFF2-40B4-BE49-F238E27FC236}">
              <a16:creationId xmlns:a16="http://schemas.microsoft.com/office/drawing/2014/main" id="{00000000-0008-0000-0700-00003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9" name="Shape 5">
          <a:extLst>
            <a:ext uri="{FF2B5EF4-FFF2-40B4-BE49-F238E27FC236}">
              <a16:creationId xmlns:a16="http://schemas.microsoft.com/office/drawing/2014/main" id="{00000000-0008-0000-0700-00003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0" name="Shape 5">
          <a:extLst>
            <a:ext uri="{FF2B5EF4-FFF2-40B4-BE49-F238E27FC236}">
              <a16:creationId xmlns:a16="http://schemas.microsoft.com/office/drawing/2014/main" id="{00000000-0008-0000-0700-00004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1" name="Shape 5">
          <a:extLst>
            <a:ext uri="{FF2B5EF4-FFF2-40B4-BE49-F238E27FC236}">
              <a16:creationId xmlns:a16="http://schemas.microsoft.com/office/drawing/2014/main" id="{00000000-0008-0000-0700-00004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2" name="Shape 5">
          <a:extLst>
            <a:ext uri="{FF2B5EF4-FFF2-40B4-BE49-F238E27FC236}">
              <a16:creationId xmlns:a16="http://schemas.microsoft.com/office/drawing/2014/main" id="{00000000-0008-0000-0700-00004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3" name="Shape 5">
          <a:extLst>
            <a:ext uri="{FF2B5EF4-FFF2-40B4-BE49-F238E27FC236}">
              <a16:creationId xmlns:a16="http://schemas.microsoft.com/office/drawing/2014/main" id="{00000000-0008-0000-0700-00004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4" name="Shape 5">
          <a:extLst>
            <a:ext uri="{FF2B5EF4-FFF2-40B4-BE49-F238E27FC236}">
              <a16:creationId xmlns:a16="http://schemas.microsoft.com/office/drawing/2014/main" id="{00000000-0008-0000-0700-00004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5" name="Shape 5">
          <a:extLst>
            <a:ext uri="{FF2B5EF4-FFF2-40B4-BE49-F238E27FC236}">
              <a16:creationId xmlns:a16="http://schemas.microsoft.com/office/drawing/2014/main" id="{00000000-0008-0000-0700-00004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6" name="Shape 5">
          <a:extLst>
            <a:ext uri="{FF2B5EF4-FFF2-40B4-BE49-F238E27FC236}">
              <a16:creationId xmlns:a16="http://schemas.microsoft.com/office/drawing/2014/main" id="{00000000-0008-0000-0700-00004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7" name="Shape 5">
          <a:extLst>
            <a:ext uri="{FF2B5EF4-FFF2-40B4-BE49-F238E27FC236}">
              <a16:creationId xmlns:a16="http://schemas.microsoft.com/office/drawing/2014/main" id="{00000000-0008-0000-0700-00004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8" name="Shape 5">
          <a:extLst>
            <a:ext uri="{FF2B5EF4-FFF2-40B4-BE49-F238E27FC236}">
              <a16:creationId xmlns:a16="http://schemas.microsoft.com/office/drawing/2014/main" id="{00000000-0008-0000-0700-00004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09" name="Shape 6">
          <a:extLst>
            <a:ext uri="{FF2B5EF4-FFF2-40B4-BE49-F238E27FC236}">
              <a16:creationId xmlns:a16="http://schemas.microsoft.com/office/drawing/2014/main" id="{00000000-0008-0000-0700-00004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0" name="Shape 6">
          <a:extLst>
            <a:ext uri="{FF2B5EF4-FFF2-40B4-BE49-F238E27FC236}">
              <a16:creationId xmlns:a16="http://schemas.microsoft.com/office/drawing/2014/main" id="{00000000-0008-0000-0700-00004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1" name="Shape 6">
          <a:extLst>
            <a:ext uri="{FF2B5EF4-FFF2-40B4-BE49-F238E27FC236}">
              <a16:creationId xmlns:a16="http://schemas.microsoft.com/office/drawing/2014/main" id="{00000000-0008-0000-0700-00004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2" name="Shape 6">
          <a:extLst>
            <a:ext uri="{FF2B5EF4-FFF2-40B4-BE49-F238E27FC236}">
              <a16:creationId xmlns:a16="http://schemas.microsoft.com/office/drawing/2014/main" id="{00000000-0008-0000-0700-00004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3" name="Shape 5">
          <a:extLst>
            <a:ext uri="{FF2B5EF4-FFF2-40B4-BE49-F238E27FC236}">
              <a16:creationId xmlns:a16="http://schemas.microsoft.com/office/drawing/2014/main" id="{00000000-0008-0000-0700-00004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4" name="Shape 5">
          <a:extLst>
            <a:ext uri="{FF2B5EF4-FFF2-40B4-BE49-F238E27FC236}">
              <a16:creationId xmlns:a16="http://schemas.microsoft.com/office/drawing/2014/main" id="{00000000-0008-0000-0700-00004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5" name="Shape 5">
          <a:extLst>
            <a:ext uri="{FF2B5EF4-FFF2-40B4-BE49-F238E27FC236}">
              <a16:creationId xmlns:a16="http://schemas.microsoft.com/office/drawing/2014/main" id="{00000000-0008-0000-0700-00004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6" name="Shape 5">
          <a:extLst>
            <a:ext uri="{FF2B5EF4-FFF2-40B4-BE49-F238E27FC236}">
              <a16:creationId xmlns:a16="http://schemas.microsoft.com/office/drawing/2014/main" id="{00000000-0008-0000-0700-00005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7" name="Shape 5">
          <a:extLst>
            <a:ext uri="{FF2B5EF4-FFF2-40B4-BE49-F238E27FC236}">
              <a16:creationId xmlns:a16="http://schemas.microsoft.com/office/drawing/2014/main" id="{00000000-0008-0000-0700-00005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8" name="Shape 5">
          <a:extLst>
            <a:ext uri="{FF2B5EF4-FFF2-40B4-BE49-F238E27FC236}">
              <a16:creationId xmlns:a16="http://schemas.microsoft.com/office/drawing/2014/main" id="{00000000-0008-0000-0700-00005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9" name="Shape 5">
          <a:extLst>
            <a:ext uri="{FF2B5EF4-FFF2-40B4-BE49-F238E27FC236}">
              <a16:creationId xmlns:a16="http://schemas.microsoft.com/office/drawing/2014/main" id="{00000000-0008-0000-0700-00005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0" name="Shape 5">
          <a:extLst>
            <a:ext uri="{FF2B5EF4-FFF2-40B4-BE49-F238E27FC236}">
              <a16:creationId xmlns:a16="http://schemas.microsoft.com/office/drawing/2014/main" id="{00000000-0008-0000-0700-00005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1" name="Shape 5">
          <a:extLst>
            <a:ext uri="{FF2B5EF4-FFF2-40B4-BE49-F238E27FC236}">
              <a16:creationId xmlns:a16="http://schemas.microsoft.com/office/drawing/2014/main" id="{00000000-0008-0000-0700-00005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2" name="Shape 5">
          <a:extLst>
            <a:ext uri="{FF2B5EF4-FFF2-40B4-BE49-F238E27FC236}">
              <a16:creationId xmlns:a16="http://schemas.microsoft.com/office/drawing/2014/main" id="{00000000-0008-0000-0700-00005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3" name="Shape 5">
          <a:extLst>
            <a:ext uri="{FF2B5EF4-FFF2-40B4-BE49-F238E27FC236}">
              <a16:creationId xmlns:a16="http://schemas.microsoft.com/office/drawing/2014/main" id="{00000000-0008-0000-0700-00005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4" name="Shape 6">
          <a:extLst>
            <a:ext uri="{FF2B5EF4-FFF2-40B4-BE49-F238E27FC236}">
              <a16:creationId xmlns:a16="http://schemas.microsoft.com/office/drawing/2014/main" id="{00000000-0008-0000-0700-00005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5" name="Shape 6">
          <a:extLst>
            <a:ext uri="{FF2B5EF4-FFF2-40B4-BE49-F238E27FC236}">
              <a16:creationId xmlns:a16="http://schemas.microsoft.com/office/drawing/2014/main" id="{00000000-0008-0000-0700-00005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6" name="Shape 6">
          <a:extLst>
            <a:ext uri="{FF2B5EF4-FFF2-40B4-BE49-F238E27FC236}">
              <a16:creationId xmlns:a16="http://schemas.microsoft.com/office/drawing/2014/main" id="{00000000-0008-0000-0700-00005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7" name="Shape 6">
          <a:extLst>
            <a:ext uri="{FF2B5EF4-FFF2-40B4-BE49-F238E27FC236}">
              <a16:creationId xmlns:a16="http://schemas.microsoft.com/office/drawing/2014/main" id="{00000000-0008-0000-0700-00005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8" name="Shape 5">
          <a:extLst>
            <a:ext uri="{FF2B5EF4-FFF2-40B4-BE49-F238E27FC236}">
              <a16:creationId xmlns:a16="http://schemas.microsoft.com/office/drawing/2014/main" id="{00000000-0008-0000-0700-00005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9" name="Shape 5">
          <a:extLst>
            <a:ext uri="{FF2B5EF4-FFF2-40B4-BE49-F238E27FC236}">
              <a16:creationId xmlns:a16="http://schemas.microsoft.com/office/drawing/2014/main" id="{00000000-0008-0000-0700-00005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0" name="Shape 5">
          <a:extLst>
            <a:ext uri="{FF2B5EF4-FFF2-40B4-BE49-F238E27FC236}">
              <a16:creationId xmlns:a16="http://schemas.microsoft.com/office/drawing/2014/main" id="{00000000-0008-0000-0700-00005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1" name="Shape 5">
          <a:extLst>
            <a:ext uri="{FF2B5EF4-FFF2-40B4-BE49-F238E27FC236}">
              <a16:creationId xmlns:a16="http://schemas.microsoft.com/office/drawing/2014/main" id="{00000000-0008-0000-0700-00005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2" name="Shape 5">
          <a:extLst>
            <a:ext uri="{FF2B5EF4-FFF2-40B4-BE49-F238E27FC236}">
              <a16:creationId xmlns:a16="http://schemas.microsoft.com/office/drawing/2014/main" id="{00000000-0008-0000-0700-00006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3" name="Shape 5">
          <a:extLst>
            <a:ext uri="{FF2B5EF4-FFF2-40B4-BE49-F238E27FC236}">
              <a16:creationId xmlns:a16="http://schemas.microsoft.com/office/drawing/2014/main" id="{00000000-0008-0000-0700-00006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4" name="Shape 5">
          <a:extLst>
            <a:ext uri="{FF2B5EF4-FFF2-40B4-BE49-F238E27FC236}">
              <a16:creationId xmlns:a16="http://schemas.microsoft.com/office/drawing/2014/main" id="{00000000-0008-0000-0700-00006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5" name="Shape 5">
          <a:extLst>
            <a:ext uri="{FF2B5EF4-FFF2-40B4-BE49-F238E27FC236}">
              <a16:creationId xmlns:a16="http://schemas.microsoft.com/office/drawing/2014/main" id="{00000000-0008-0000-0700-00006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6" name="Shape 5">
          <a:extLst>
            <a:ext uri="{FF2B5EF4-FFF2-40B4-BE49-F238E27FC236}">
              <a16:creationId xmlns:a16="http://schemas.microsoft.com/office/drawing/2014/main" id="{00000000-0008-0000-0700-00006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7" name="Shape 5">
          <a:extLst>
            <a:ext uri="{FF2B5EF4-FFF2-40B4-BE49-F238E27FC236}">
              <a16:creationId xmlns:a16="http://schemas.microsoft.com/office/drawing/2014/main" id="{00000000-0008-0000-0700-00006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8" name="Shape 5">
          <a:extLst>
            <a:ext uri="{FF2B5EF4-FFF2-40B4-BE49-F238E27FC236}">
              <a16:creationId xmlns:a16="http://schemas.microsoft.com/office/drawing/2014/main" id="{00000000-0008-0000-0700-00006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39" name="Shape 6">
          <a:extLst>
            <a:ext uri="{FF2B5EF4-FFF2-40B4-BE49-F238E27FC236}">
              <a16:creationId xmlns:a16="http://schemas.microsoft.com/office/drawing/2014/main" id="{00000000-0008-0000-0700-00006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0" name="Shape 6">
          <a:extLst>
            <a:ext uri="{FF2B5EF4-FFF2-40B4-BE49-F238E27FC236}">
              <a16:creationId xmlns:a16="http://schemas.microsoft.com/office/drawing/2014/main" id="{00000000-0008-0000-0700-00006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1" name="Shape 6">
          <a:extLst>
            <a:ext uri="{FF2B5EF4-FFF2-40B4-BE49-F238E27FC236}">
              <a16:creationId xmlns:a16="http://schemas.microsoft.com/office/drawing/2014/main" id="{00000000-0008-0000-0700-00006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2" name="Shape 6">
          <a:extLst>
            <a:ext uri="{FF2B5EF4-FFF2-40B4-BE49-F238E27FC236}">
              <a16:creationId xmlns:a16="http://schemas.microsoft.com/office/drawing/2014/main" id="{00000000-0008-0000-0700-00006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3" name="Shape 5">
          <a:extLst>
            <a:ext uri="{FF2B5EF4-FFF2-40B4-BE49-F238E27FC236}">
              <a16:creationId xmlns:a16="http://schemas.microsoft.com/office/drawing/2014/main" id="{00000000-0008-0000-0700-00006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4" name="Shape 5">
          <a:extLst>
            <a:ext uri="{FF2B5EF4-FFF2-40B4-BE49-F238E27FC236}">
              <a16:creationId xmlns:a16="http://schemas.microsoft.com/office/drawing/2014/main" id="{00000000-0008-0000-0700-00006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5" name="Shape 5">
          <a:extLst>
            <a:ext uri="{FF2B5EF4-FFF2-40B4-BE49-F238E27FC236}">
              <a16:creationId xmlns:a16="http://schemas.microsoft.com/office/drawing/2014/main" id="{00000000-0008-0000-0700-00006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6" name="Shape 5">
          <a:extLst>
            <a:ext uri="{FF2B5EF4-FFF2-40B4-BE49-F238E27FC236}">
              <a16:creationId xmlns:a16="http://schemas.microsoft.com/office/drawing/2014/main" id="{00000000-0008-0000-0700-00006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7" name="Shape 5">
          <a:extLst>
            <a:ext uri="{FF2B5EF4-FFF2-40B4-BE49-F238E27FC236}">
              <a16:creationId xmlns:a16="http://schemas.microsoft.com/office/drawing/2014/main" id="{00000000-0008-0000-0700-00006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8" name="Shape 5">
          <a:extLst>
            <a:ext uri="{FF2B5EF4-FFF2-40B4-BE49-F238E27FC236}">
              <a16:creationId xmlns:a16="http://schemas.microsoft.com/office/drawing/2014/main" id="{00000000-0008-0000-0700-00007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9" name="Shape 5">
          <a:extLst>
            <a:ext uri="{FF2B5EF4-FFF2-40B4-BE49-F238E27FC236}">
              <a16:creationId xmlns:a16="http://schemas.microsoft.com/office/drawing/2014/main" id="{00000000-0008-0000-0700-00007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0" name="Shape 5">
          <a:extLst>
            <a:ext uri="{FF2B5EF4-FFF2-40B4-BE49-F238E27FC236}">
              <a16:creationId xmlns:a16="http://schemas.microsoft.com/office/drawing/2014/main" id="{00000000-0008-0000-0700-00007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1" name="Shape 5">
          <a:extLst>
            <a:ext uri="{FF2B5EF4-FFF2-40B4-BE49-F238E27FC236}">
              <a16:creationId xmlns:a16="http://schemas.microsoft.com/office/drawing/2014/main" id="{00000000-0008-0000-0700-00007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2" name="Shape 5">
          <a:extLst>
            <a:ext uri="{FF2B5EF4-FFF2-40B4-BE49-F238E27FC236}">
              <a16:creationId xmlns:a16="http://schemas.microsoft.com/office/drawing/2014/main" id="{00000000-0008-0000-0700-00007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3" name="Shape 5">
          <a:extLst>
            <a:ext uri="{FF2B5EF4-FFF2-40B4-BE49-F238E27FC236}">
              <a16:creationId xmlns:a16="http://schemas.microsoft.com/office/drawing/2014/main" id="{00000000-0008-0000-0700-00007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4" name="Shape 6">
          <a:extLst>
            <a:ext uri="{FF2B5EF4-FFF2-40B4-BE49-F238E27FC236}">
              <a16:creationId xmlns:a16="http://schemas.microsoft.com/office/drawing/2014/main" id="{00000000-0008-0000-0700-00007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5" name="Shape 6">
          <a:extLst>
            <a:ext uri="{FF2B5EF4-FFF2-40B4-BE49-F238E27FC236}">
              <a16:creationId xmlns:a16="http://schemas.microsoft.com/office/drawing/2014/main" id="{00000000-0008-0000-0700-00007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6" name="Shape 6">
          <a:extLst>
            <a:ext uri="{FF2B5EF4-FFF2-40B4-BE49-F238E27FC236}">
              <a16:creationId xmlns:a16="http://schemas.microsoft.com/office/drawing/2014/main" id="{00000000-0008-0000-0700-00007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7" name="Shape 6">
          <a:extLst>
            <a:ext uri="{FF2B5EF4-FFF2-40B4-BE49-F238E27FC236}">
              <a16:creationId xmlns:a16="http://schemas.microsoft.com/office/drawing/2014/main" id="{00000000-0008-0000-0700-00007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8" name="Shape 5">
          <a:extLst>
            <a:ext uri="{FF2B5EF4-FFF2-40B4-BE49-F238E27FC236}">
              <a16:creationId xmlns:a16="http://schemas.microsoft.com/office/drawing/2014/main" id="{00000000-0008-0000-0700-00007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9" name="Shape 5">
          <a:extLst>
            <a:ext uri="{FF2B5EF4-FFF2-40B4-BE49-F238E27FC236}">
              <a16:creationId xmlns:a16="http://schemas.microsoft.com/office/drawing/2014/main" id="{00000000-0008-0000-0700-00007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0" name="Shape 5">
          <a:extLst>
            <a:ext uri="{FF2B5EF4-FFF2-40B4-BE49-F238E27FC236}">
              <a16:creationId xmlns:a16="http://schemas.microsoft.com/office/drawing/2014/main" id="{00000000-0008-0000-0700-00007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1" name="Shape 5">
          <a:extLst>
            <a:ext uri="{FF2B5EF4-FFF2-40B4-BE49-F238E27FC236}">
              <a16:creationId xmlns:a16="http://schemas.microsoft.com/office/drawing/2014/main" id="{00000000-0008-0000-0700-00007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2" name="Shape 5">
          <a:extLst>
            <a:ext uri="{FF2B5EF4-FFF2-40B4-BE49-F238E27FC236}">
              <a16:creationId xmlns:a16="http://schemas.microsoft.com/office/drawing/2014/main" id="{00000000-0008-0000-0700-00007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3" name="Shape 5">
          <a:extLst>
            <a:ext uri="{FF2B5EF4-FFF2-40B4-BE49-F238E27FC236}">
              <a16:creationId xmlns:a16="http://schemas.microsoft.com/office/drawing/2014/main" id="{00000000-0008-0000-0700-00007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4" name="Shape 5">
          <a:extLst>
            <a:ext uri="{FF2B5EF4-FFF2-40B4-BE49-F238E27FC236}">
              <a16:creationId xmlns:a16="http://schemas.microsoft.com/office/drawing/2014/main" id="{00000000-0008-0000-0700-00008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5" name="Shape 5">
          <a:extLst>
            <a:ext uri="{FF2B5EF4-FFF2-40B4-BE49-F238E27FC236}">
              <a16:creationId xmlns:a16="http://schemas.microsoft.com/office/drawing/2014/main" id="{00000000-0008-0000-0700-00008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6" name="Shape 5">
          <a:extLst>
            <a:ext uri="{FF2B5EF4-FFF2-40B4-BE49-F238E27FC236}">
              <a16:creationId xmlns:a16="http://schemas.microsoft.com/office/drawing/2014/main" id="{00000000-0008-0000-0700-00008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7" name="Shape 5">
          <a:extLst>
            <a:ext uri="{FF2B5EF4-FFF2-40B4-BE49-F238E27FC236}">
              <a16:creationId xmlns:a16="http://schemas.microsoft.com/office/drawing/2014/main" id="{00000000-0008-0000-0700-00008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8" name="Shape 5">
          <a:extLst>
            <a:ext uri="{FF2B5EF4-FFF2-40B4-BE49-F238E27FC236}">
              <a16:creationId xmlns:a16="http://schemas.microsoft.com/office/drawing/2014/main" id="{00000000-0008-0000-0700-00008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69" name="Shape 6">
          <a:extLst>
            <a:ext uri="{FF2B5EF4-FFF2-40B4-BE49-F238E27FC236}">
              <a16:creationId xmlns:a16="http://schemas.microsoft.com/office/drawing/2014/main" id="{00000000-0008-0000-0700-00008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0" name="Shape 6">
          <a:extLst>
            <a:ext uri="{FF2B5EF4-FFF2-40B4-BE49-F238E27FC236}">
              <a16:creationId xmlns:a16="http://schemas.microsoft.com/office/drawing/2014/main" id="{00000000-0008-0000-0700-00008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1" name="Shape 6">
          <a:extLst>
            <a:ext uri="{FF2B5EF4-FFF2-40B4-BE49-F238E27FC236}">
              <a16:creationId xmlns:a16="http://schemas.microsoft.com/office/drawing/2014/main" id="{00000000-0008-0000-0700-00008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2" name="Shape 6">
          <a:extLst>
            <a:ext uri="{FF2B5EF4-FFF2-40B4-BE49-F238E27FC236}">
              <a16:creationId xmlns:a16="http://schemas.microsoft.com/office/drawing/2014/main" id="{00000000-0008-0000-0700-00008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3" name="Shape 5">
          <a:extLst>
            <a:ext uri="{FF2B5EF4-FFF2-40B4-BE49-F238E27FC236}">
              <a16:creationId xmlns:a16="http://schemas.microsoft.com/office/drawing/2014/main" id="{00000000-0008-0000-0700-00008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4" name="Shape 5">
          <a:extLst>
            <a:ext uri="{FF2B5EF4-FFF2-40B4-BE49-F238E27FC236}">
              <a16:creationId xmlns:a16="http://schemas.microsoft.com/office/drawing/2014/main" id="{00000000-0008-0000-0700-00008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5" name="Shape 5">
          <a:extLst>
            <a:ext uri="{FF2B5EF4-FFF2-40B4-BE49-F238E27FC236}">
              <a16:creationId xmlns:a16="http://schemas.microsoft.com/office/drawing/2014/main" id="{00000000-0008-0000-0700-00008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6" name="Shape 5">
          <a:extLst>
            <a:ext uri="{FF2B5EF4-FFF2-40B4-BE49-F238E27FC236}">
              <a16:creationId xmlns:a16="http://schemas.microsoft.com/office/drawing/2014/main" id="{00000000-0008-0000-0700-00008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7" name="Shape 5">
          <a:extLst>
            <a:ext uri="{FF2B5EF4-FFF2-40B4-BE49-F238E27FC236}">
              <a16:creationId xmlns:a16="http://schemas.microsoft.com/office/drawing/2014/main" id="{00000000-0008-0000-0700-00008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8" name="Shape 5">
          <a:extLst>
            <a:ext uri="{FF2B5EF4-FFF2-40B4-BE49-F238E27FC236}">
              <a16:creationId xmlns:a16="http://schemas.microsoft.com/office/drawing/2014/main" id="{00000000-0008-0000-0700-00008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9" name="Shape 5">
          <a:extLst>
            <a:ext uri="{FF2B5EF4-FFF2-40B4-BE49-F238E27FC236}">
              <a16:creationId xmlns:a16="http://schemas.microsoft.com/office/drawing/2014/main" id="{00000000-0008-0000-0700-00008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0" name="Shape 5">
          <a:extLst>
            <a:ext uri="{FF2B5EF4-FFF2-40B4-BE49-F238E27FC236}">
              <a16:creationId xmlns:a16="http://schemas.microsoft.com/office/drawing/2014/main" id="{00000000-0008-0000-0700-00009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1" name="Shape 5">
          <a:extLst>
            <a:ext uri="{FF2B5EF4-FFF2-40B4-BE49-F238E27FC236}">
              <a16:creationId xmlns:a16="http://schemas.microsoft.com/office/drawing/2014/main" id="{00000000-0008-0000-0700-00009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2" name="Shape 5">
          <a:extLst>
            <a:ext uri="{FF2B5EF4-FFF2-40B4-BE49-F238E27FC236}">
              <a16:creationId xmlns:a16="http://schemas.microsoft.com/office/drawing/2014/main" id="{00000000-0008-0000-0700-00009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3" name="Shape 5">
          <a:extLst>
            <a:ext uri="{FF2B5EF4-FFF2-40B4-BE49-F238E27FC236}">
              <a16:creationId xmlns:a16="http://schemas.microsoft.com/office/drawing/2014/main" id="{00000000-0008-0000-0700-00009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4" name="Shape 6">
          <a:extLst>
            <a:ext uri="{FF2B5EF4-FFF2-40B4-BE49-F238E27FC236}">
              <a16:creationId xmlns:a16="http://schemas.microsoft.com/office/drawing/2014/main" id="{00000000-0008-0000-0700-00009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5" name="Shape 6">
          <a:extLst>
            <a:ext uri="{FF2B5EF4-FFF2-40B4-BE49-F238E27FC236}">
              <a16:creationId xmlns:a16="http://schemas.microsoft.com/office/drawing/2014/main" id="{00000000-0008-0000-0700-00009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6" name="Shape 6">
          <a:extLst>
            <a:ext uri="{FF2B5EF4-FFF2-40B4-BE49-F238E27FC236}">
              <a16:creationId xmlns:a16="http://schemas.microsoft.com/office/drawing/2014/main" id="{00000000-0008-0000-0700-00009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7" name="Shape 6">
          <a:extLst>
            <a:ext uri="{FF2B5EF4-FFF2-40B4-BE49-F238E27FC236}">
              <a16:creationId xmlns:a16="http://schemas.microsoft.com/office/drawing/2014/main" id="{00000000-0008-0000-0700-00009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8" name="Shape 5">
          <a:extLst>
            <a:ext uri="{FF2B5EF4-FFF2-40B4-BE49-F238E27FC236}">
              <a16:creationId xmlns:a16="http://schemas.microsoft.com/office/drawing/2014/main" id="{00000000-0008-0000-0700-00009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9" name="Shape 5">
          <a:extLst>
            <a:ext uri="{FF2B5EF4-FFF2-40B4-BE49-F238E27FC236}">
              <a16:creationId xmlns:a16="http://schemas.microsoft.com/office/drawing/2014/main" id="{00000000-0008-0000-0700-00009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0" name="Shape 5">
          <a:extLst>
            <a:ext uri="{FF2B5EF4-FFF2-40B4-BE49-F238E27FC236}">
              <a16:creationId xmlns:a16="http://schemas.microsoft.com/office/drawing/2014/main" id="{00000000-0008-0000-0700-00009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1" name="Shape 5">
          <a:extLst>
            <a:ext uri="{FF2B5EF4-FFF2-40B4-BE49-F238E27FC236}">
              <a16:creationId xmlns:a16="http://schemas.microsoft.com/office/drawing/2014/main" id="{00000000-0008-0000-0700-00009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2" name="Shape 5">
          <a:extLst>
            <a:ext uri="{FF2B5EF4-FFF2-40B4-BE49-F238E27FC236}">
              <a16:creationId xmlns:a16="http://schemas.microsoft.com/office/drawing/2014/main" id="{00000000-0008-0000-0700-00009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3" name="Shape 5">
          <a:extLst>
            <a:ext uri="{FF2B5EF4-FFF2-40B4-BE49-F238E27FC236}">
              <a16:creationId xmlns:a16="http://schemas.microsoft.com/office/drawing/2014/main" id="{00000000-0008-0000-0700-00009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4" name="Shape 5">
          <a:extLst>
            <a:ext uri="{FF2B5EF4-FFF2-40B4-BE49-F238E27FC236}">
              <a16:creationId xmlns:a16="http://schemas.microsoft.com/office/drawing/2014/main" id="{00000000-0008-0000-0700-00009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5" name="Shape 5">
          <a:extLst>
            <a:ext uri="{FF2B5EF4-FFF2-40B4-BE49-F238E27FC236}">
              <a16:creationId xmlns:a16="http://schemas.microsoft.com/office/drawing/2014/main" id="{00000000-0008-0000-0700-00009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6" name="Shape 5">
          <a:extLst>
            <a:ext uri="{FF2B5EF4-FFF2-40B4-BE49-F238E27FC236}">
              <a16:creationId xmlns:a16="http://schemas.microsoft.com/office/drawing/2014/main" id="{00000000-0008-0000-0700-0000A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7" name="Shape 5">
          <a:extLst>
            <a:ext uri="{FF2B5EF4-FFF2-40B4-BE49-F238E27FC236}">
              <a16:creationId xmlns:a16="http://schemas.microsoft.com/office/drawing/2014/main" id="{00000000-0008-0000-0700-0000A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8" name="Shape 5">
          <a:extLst>
            <a:ext uri="{FF2B5EF4-FFF2-40B4-BE49-F238E27FC236}">
              <a16:creationId xmlns:a16="http://schemas.microsoft.com/office/drawing/2014/main" id="{00000000-0008-0000-0700-0000A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699" name="Shape 6">
          <a:extLst>
            <a:ext uri="{FF2B5EF4-FFF2-40B4-BE49-F238E27FC236}">
              <a16:creationId xmlns:a16="http://schemas.microsoft.com/office/drawing/2014/main" id="{00000000-0008-0000-0700-0000A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0" name="Shape 6">
          <a:extLst>
            <a:ext uri="{FF2B5EF4-FFF2-40B4-BE49-F238E27FC236}">
              <a16:creationId xmlns:a16="http://schemas.microsoft.com/office/drawing/2014/main" id="{00000000-0008-0000-0700-0000A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1" name="Shape 6">
          <a:extLst>
            <a:ext uri="{FF2B5EF4-FFF2-40B4-BE49-F238E27FC236}">
              <a16:creationId xmlns:a16="http://schemas.microsoft.com/office/drawing/2014/main" id="{00000000-0008-0000-0700-0000A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2" name="Shape 6">
          <a:extLst>
            <a:ext uri="{FF2B5EF4-FFF2-40B4-BE49-F238E27FC236}">
              <a16:creationId xmlns:a16="http://schemas.microsoft.com/office/drawing/2014/main" id="{00000000-0008-0000-0700-0000A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3" name="Shape 5">
          <a:extLst>
            <a:ext uri="{FF2B5EF4-FFF2-40B4-BE49-F238E27FC236}">
              <a16:creationId xmlns:a16="http://schemas.microsoft.com/office/drawing/2014/main" id="{00000000-0008-0000-0700-0000A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4" name="Shape 5">
          <a:extLst>
            <a:ext uri="{FF2B5EF4-FFF2-40B4-BE49-F238E27FC236}">
              <a16:creationId xmlns:a16="http://schemas.microsoft.com/office/drawing/2014/main" id="{00000000-0008-0000-0700-0000A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5" name="Shape 5">
          <a:extLst>
            <a:ext uri="{FF2B5EF4-FFF2-40B4-BE49-F238E27FC236}">
              <a16:creationId xmlns:a16="http://schemas.microsoft.com/office/drawing/2014/main" id="{00000000-0008-0000-0700-0000A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6" name="Shape 5">
          <a:extLst>
            <a:ext uri="{FF2B5EF4-FFF2-40B4-BE49-F238E27FC236}">
              <a16:creationId xmlns:a16="http://schemas.microsoft.com/office/drawing/2014/main" id="{00000000-0008-0000-0700-0000A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7" name="Shape 5">
          <a:extLst>
            <a:ext uri="{FF2B5EF4-FFF2-40B4-BE49-F238E27FC236}">
              <a16:creationId xmlns:a16="http://schemas.microsoft.com/office/drawing/2014/main" id="{00000000-0008-0000-0700-0000A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8" name="Shape 5">
          <a:extLst>
            <a:ext uri="{FF2B5EF4-FFF2-40B4-BE49-F238E27FC236}">
              <a16:creationId xmlns:a16="http://schemas.microsoft.com/office/drawing/2014/main" id="{00000000-0008-0000-0700-0000A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9" name="Shape 5">
          <a:extLst>
            <a:ext uri="{FF2B5EF4-FFF2-40B4-BE49-F238E27FC236}">
              <a16:creationId xmlns:a16="http://schemas.microsoft.com/office/drawing/2014/main" id="{00000000-0008-0000-0700-0000A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0" name="Shape 5">
          <a:extLst>
            <a:ext uri="{FF2B5EF4-FFF2-40B4-BE49-F238E27FC236}">
              <a16:creationId xmlns:a16="http://schemas.microsoft.com/office/drawing/2014/main" id="{00000000-0008-0000-0700-0000A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1" name="Shape 5">
          <a:extLst>
            <a:ext uri="{FF2B5EF4-FFF2-40B4-BE49-F238E27FC236}">
              <a16:creationId xmlns:a16="http://schemas.microsoft.com/office/drawing/2014/main" id="{00000000-0008-0000-0700-0000A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2" name="Shape 5">
          <a:extLst>
            <a:ext uri="{FF2B5EF4-FFF2-40B4-BE49-F238E27FC236}">
              <a16:creationId xmlns:a16="http://schemas.microsoft.com/office/drawing/2014/main" id="{00000000-0008-0000-0700-0000B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3" name="Shape 5">
          <a:extLst>
            <a:ext uri="{FF2B5EF4-FFF2-40B4-BE49-F238E27FC236}">
              <a16:creationId xmlns:a16="http://schemas.microsoft.com/office/drawing/2014/main" id="{00000000-0008-0000-0700-0000B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4" name="Shape 6">
          <a:extLst>
            <a:ext uri="{FF2B5EF4-FFF2-40B4-BE49-F238E27FC236}">
              <a16:creationId xmlns:a16="http://schemas.microsoft.com/office/drawing/2014/main" id="{00000000-0008-0000-0700-0000B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5" name="Shape 6">
          <a:extLst>
            <a:ext uri="{FF2B5EF4-FFF2-40B4-BE49-F238E27FC236}">
              <a16:creationId xmlns:a16="http://schemas.microsoft.com/office/drawing/2014/main" id="{00000000-0008-0000-0700-0000B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6" name="Shape 6">
          <a:extLst>
            <a:ext uri="{FF2B5EF4-FFF2-40B4-BE49-F238E27FC236}">
              <a16:creationId xmlns:a16="http://schemas.microsoft.com/office/drawing/2014/main" id="{00000000-0008-0000-0700-0000B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7" name="Shape 6">
          <a:extLst>
            <a:ext uri="{FF2B5EF4-FFF2-40B4-BE49-F238E27FC236}">
              <a16:creationId xmlns:a16="http://schemas.microsoft.com/office/drawing/2014/main" id="{00000000-0008-0000-0700-0000B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8" name="Shape 5">
          <a:extLst>
            <a:ext uri="{FF2B5EF4-FFF2-40B4-BE49-F238E27FC236}">
              <a16:creationId xmlns:a16="http://schemas.microsoft.com/office/drawing/2014/main" id="{00000000-0008-0000-0700-0000B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9" name="Shape 5">
          <a:extLst>
            <a:ext uri="{FF2B5EF4-FFF2-40B4-BE49-F238E27FC236}">
              <a16:creationId xmlns:a16="http://schemas.microsoft.com/office/drawing/2014/main" id="{00000000-0008-0000-0700-0000B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0" name="Shape 5">
          <a:extLst>
            <a:ext uri="{FF2B5EF4-FFF2-40B4-BE49-F238E27FC236}">
              <a16:creationId xmlns:a16="http://schemas.microsoft.com/office/drawing/2014/main" id="{00000000-0008-0000-0700-0000B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1" name="Shape 5">
          <a:extLst>
            <a:ext uri="{FF2B5EF4-FFF2-40B4-BE49-F238E27FC236}">
              <a16:creationId xmlns:a16="http://schemas.microsoft.com/office/drawing/2014/main" id="{00000000-0008-0000-0700-0000B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2" name="Shape 5">
          <a:extLst>
            <a:ext uri="{FF2B5EF4-FFF2-40B4-BE49-F238E27FC236}">
              <a16:creationId xmlns:a16="http://schemas.microsoft.com/office/drawing/2014/main" id="{00000000-0008-0000-0700-0000B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3" name="Shape 5">
          <a:extLst>
            <a:ext uri="{FF2B5EF4-FFF2-40B4-BE49-F238E27FC236}">
              <a16:creationId xmlns:a16="http://schemas.microsoft.com/office/drawing/2014/main" id="{00000000-0008-0000-0700-0000B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4" name="Shape 5">
          <a:extLst>
            <a:ext uri="{FF2B5EF4-FFF2-40B4-BE49-F238E27FC236}">
              <a16:creationId xmlns:a16="http://schemas.microsoft.com/office/drawing/2014/main" id="{00000000-0008-0000-0700-0000B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5" name="Shape 5">
          <a:extLst>
            <a:ext uri="{FF2B5EF4-FFF2-40B4-BE49-F238E27FC236}">
              <a16:creationId xmlns:a16="http://schemas.microsoft.com/office/drawing/2014/main" id="{00000000-0008-0000-0700-0000B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6" name="Shape 5">
          <a:extLst>
            <a:ext uri="{FF2B5EF4-FFF2-40B4-BE49-F238E27FC236}">
              <a16:creationId xmlns:a16="http://schemas.microsoft.com/office/drawing/2014/main" id="{00000000-0008-0000-0700-0000B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7" name="Shape 5">
          <a:extLst>
            <a:ext uri="{FF2B5EF4-FFF2-40B4-BE49-F238E27FC236}">
              <a16:creationId xmlns:a16="http://schemas.microsoft.com/office/drawing/2014/main" id="{00000000-0008-0000-0700-0000B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8" name="Shape 5">
          <a:extLst>
            <a:ext uri="{FF2B5EF4-FFF2-40B4-BE49-F238E27FC236}">
              <a16:creationId xmlns:a16="http://schemas.microsoft.com/office/drawing/2014/main" id="{00000000-0008-0000-0700-0000C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29" name="Shape 6">
          <a:extLst>
            <a:ext uri="{FF2B5EF4-FFF2-40B4-BE49-F238E27FC236}">
              <a16:creationId xmlns:a16="http://schemas.microsoft.com/office/drawing/2014/main" id="{00000000-0008-0000-0700-0000C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0" name="Shape 6">
          <a:extLst>
            <a:ext uri="{FF2B5EF4-FFF2-40B4-BE49-F238E27FC236}">
              <a16:creationId xmlns:a16="http://schemas.microsoft.com/office/drawing/2014/main" id="{00000000-0008-0000-0700-0000C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1" name="Shape 6">
          <a:extLst>
            <a:ext uri="{FF2B5EF4-FFF2-40B4-BE49-F238E27FC236}">
              <a16:creationId xmlns:a16="http://schemas.microsoft.com/office/drawing/2014/main" id="{00000000-0008-0000-0700-0000C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2" name="Shape 6">
          <a:extLst>
            <a:ext uri="{FF2B5EF4-FFF2-40B4-BE49-F238E27FC236}">
              <a16:creationId xmlns:a16="http://schemas.microsoft.com/office/drawing/2014/main" id="{00000000-0008-0000-0700-0000C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3" name="Shape 5">
          <a:extLst>
            <a:ext uri="{FF2B5EF4-FFF2-40B4-BE49-F238E27FC236}">
              <a16:creationId xmlns:a16="http://schemas.microsoft.com/office/drawing/2014/main" id="{00000000-0008-0000-0700-0000C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4" name="Shape 5">
          <a:extLst>
            <a:ext uri="{FF2B5EF4-FFF2-40B4-BE49-F238E27FC236}">
              <a16:creationId xmlns:a16="http://schemas.microsoft.com/office/drawing/2014/main" id="{00000000-0008-0000-0700-0000C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5" name="Shape 5">
          <a:extLst>
            <a:ext uri="{FF2B5EF4-FFF2-40B4-BE49-F238E27FC236}">
              <a16:creationId xmlns:a16="http://schemas.microsoft.com/office/drawing/2014/main" id="{00000000-0008-0000-0700-0000C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6" name="Shape 5">
          <a:extLst>
            <a:ext uri="{FF2B5EF4-FFF2-40B4-BE49-F238E27FC236}">
              <a16:creationId xmlns:a16="http://schemas.microsoft.com/office/drawing/2014/main" id="{00000000-0008-0000-0700-0000C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7" name="Shape 5">
          <a:extLst>
            <a:ext uri="{FF2B5EF4-FFF2-40B4-BE49-F238E27FC236}">
              <a16:creationId xmlns:a16="http://schemas.microsoft.com/office/drawing/2014/main" id="{00000000-0008-0000-0700-0000C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8" name="Shape 5">
          <a:extLst>
            <a:ext uri="{FF2B5EF4-FFF2-40B4-BE49-F238E27FC236}">
              <a16:creationId xmlns:a16="http://schemas.microsoft.com/office/drawing/2014/main" id="{00000000-0008-0000-0700-0000C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9" name="Shape 5">
          <a:extLst>
            <a:ext uri="{FF2B5EF4-FFF2-40B4-BE49-F238E27FC236}">
              <a16:creationId xmlns:a16="http://schemas.microsoft.com/office/drawing/2014/main" id="{00000000-0008-0000-0700-0000C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0" name="Shape 5">
          <a:extLst>
            <a:ext uri="{FF2B5EF4-FFF2-40B4-BE49-F238E27FC236}">
              <a16:creationId xmlns:a16="http://schemas.microsoft.com/office/drawing/2014/main" id="{00000000-0008-0000-0700-0000C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1" name="Shape 5">
          <a:extLst>
            <a:ext uri="{FF2B5EF4-FFF2-40B4-BE49-F238E27FC236}">
              <a16:creationId xmlns:a16="http://schemas.microsoft.com/office/drawing/2014/main" id="{00000000-0008-0000-0700-0000C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2" name="Shape 5">
          <a:extLst>
            <a:ext uri="{FF2B5EF4-FFF2-40B4-BE49-F238E27FC236}">
              <a16:creationId xmlns:a16="http://schemas.microsoft.com/office/drawing/2014/main" id="{00000000-0008-0000-0700-0000C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3" name="Shape 5">
          <a:extLst>
            <a:ext uri="{FF2B5EF4-FFF2-40B4-BE49-F238E27FC236}">
              <a16:creationId xmlns:a16="http://schemas.microsoft.com/office/drawing/2014/main" id="{00000000-0008-0000-0700-0000C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4" name="Shape 6">
          <a:extLst>
            <a:ext uri="{FF2B5EF4-FFF2-40B4-BE49-F238E27FC236}">
              <a16:creationId xmlns:a16="http://schemas.microsoft.com/office/drawing/2014/main" id="{00000000-0008-0000-0700-0000D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5" name="Shape 6">
          <a:extLst>
            <a:ext uri="{FF2B5EF4-FFF2-40B4-BE49-F238E27FC236}">
              <a16:creationId xmlns:a16="http://schemas.microsoft.com/office/drawing/2014/main" id="{00000000-0008-0000-0700-0000D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6" name="Shape 6">
          <a:extLst>
            <a:ext uri="{FF2B5EF4-FFF2-40B4-BE49-F238E27FC236}">
              <a16:creationId xmlns:a16="http://schemas.microsoft.com/office/drawing/2014/main" id="{00000000-0008-0000-0700-0000D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7" name="Shape 6">
          <a:extLst>
            <a:ext uri="{FF2B5EF4-FFF2-40B4-BE49-F238E27FC236}">
              <a16:creationId xmlns:a16="http://schemas.microsoft.com/office/drawing/2014/main" id="{00000000-0008-0000-0700-0000D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8" name="Shape 5">
          <a:extLst>
            <a:ext uri="{FF2B5EF4-FFF2-40B4-BE49-F238E27FC236}">
              <a16:creationId xmlns:a16="http://schemas.microsoft.com/office/drawing/2014/main" id="{00000000-0008-0000-0700-0000D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9" name="Shape 5">
          <a:extLst>
            <a:ext uri="{FF2B5EF4-FFF2-40B4-BE49-F238E27FC236}">
              <a16:creationId xmlns:a16="http://schemas.microsoft.com/office/drawing/2014/main" id="{00000000-0008-0000-0700-0000D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0" name="Shape 5">
          <a:extLst>
            <a:ext uri="{FF2B5EF4-FFF2-40B4-BE49-F238E27FC236}">
              <a16:creationId xmlns:a16="http://schemas.microsoft.com/office/drawing/2014/main" id="{00000000-0008-0000-0700-0000D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1" name="Shape 5">
          <a:extLst>
            <a:ext uri="{FF2B5EF4-FFF2-40B4-BE49-F238E27FC236}">
              <a16:creationId xmlns:a16="http://schemas.microsoft.com/office/drawing/2014/main" id="{00000000-0008-0000-0700-0000D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2" name="Shape 5">
          <a:extLst>
            <a:ext uri="{FF2B5EF4-FFF2-40B4-BE49-F238E27FC236}">
              <a16:creationId xmlns:a16="http://schemas.microsoft.com/office/drawing/2014/main" id="{00000000-0008-0000-0700-0000D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3" name="Shape 5">
          <a:extLst>
            <a:ext uri="{FF2B5EF4-FFF2-40B4-BE49-F238E27FC236}">
              <a16:creationId xmlns:a16="http://schemas.microsoft.com/office/drawing/2014/main" id="{00000000-0008-0000-0700-0000D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4" name="Shape 5">
          <a:extLst>
            <a:ext uri="{FF2B5EF4-FFF2-40B4-BE49-F238E27FC236}">
              <a16:creationId xmlns:a16="http://schemas.microsoft.com/office/drawing/2014/main" id="{00000000-0008-0000-0700-0000D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5" name="Shape 5">
          <a:extLst>
            <a:ext uri="{FF2B5EF4-FFF2-40B4-BE49-F238E27FC236}">
              <a16:creationId xmlns:a16="http://schemas.microsoft.com/office/drawing/2014/main" id="{00000000-0008-0000-0700-0000D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6" name="Shape 5">
          <a:extLst>
            <a:ext uri="{FF2B5EF4-FFF2-40B4-BE49-F238E27FC236}">
              <a16:creationId xmlns:a16="http://schemas.microsoft.com/office/drawing/2014/main" id="{00000000-0008-0000-0700-0000D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7" name="Shape 5">
          <a:extLst>
            <a:ext uri="{FF2B5EF4-FFF2-40B4-BE49-F238E27FC236}">
              <a16:creationId xmlns:a16="http://schemas.microsoft.com/office/drawing/2014/main" id="{00000000-0008-0000-0700-0000D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8" name="Shape 5">
          <a:extLst>
            <a:ext uri="{FF2B5EF4-FFF2-40B4-BE49-F238E27FC236}">
              <a16:creationId xmlns:a16="http://schemas.microsoft.com/office/drawing/2014/main" id="{00000000-0008-0000-0700-0000D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59" name="Shape 6">
          <a:extLst>
            <a:ext uri="{FF2B5EF4-FFF2-40B4-BE49-F238E27FC236}">
              <a16:creationId xmlns:a16="http://schemas.microsoft.com/office/drawing/2014/main" id="{00000000-0008-0000-0700-0000D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0" name="Shape 6">
          <a:extLst>
            <a:ext uri="{FF2B5EF4-FFF2-40B4-BE49-F238E27FC236}">
              <a16:creationId xmlns:a16="http://schemas.microsoft.com/office/drawing/2014/main" id="{00000000-0008-0000-0700-0000E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1" name="Shape 6">
          <a:extLst>
            <a:ext uri="{FF2B5EF4-FFF2-40B4-BE49-F238E27FC236}">
              <a16:creationId xmlns:a16="http://schemas.microsoft.com/office/drawing/2014/main" id="{00000000-0008-0000-0700-0000E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2" name="Shape 6">
          <a:extLst>
            <a:ext uri="{FF2B5EF4-FFF2-40B4-BE49-F238E27FC236}">
              <a16:creationId xmlns:a16="http://schemas.microsoft.com/office/drawing/2014/main" id="{00000000-0008-0000-0700-0000E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3" name="Shape 5">
          <a:extLst>
            <a:ext uri="{FF2B5EF4-FFF2-40B4-BE49-F238E27FC236}">
              <a16:creationId xmlns:a16="http://schemas.microsoft.com/office/drawing/2014/main" id="{00000000-0008-0000-0700-0000E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4" name="Shape 5">
          <a:extLst>
            <a:ext uri="{FF2B5EF4-FFF2-40B4-BE49-F238E27FC236}">
              <a16:creationId xmlns:a16="http://schemas.microsoft.com/office/drawing/2014/main" id="{00000000-0008-0000-0700-0000E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5" name="Shape 5">
          <a:extLst>
            <a:ext uri="{FF2B5EF4-FFF2-40B4-BE49-F238E27FC236}">
              <a16:creationId xmlns:a16="http://schemas.microsoft.com/office/drawing/2014/main" id="{00000000-0008-0000-0700-0000E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6" name="Shape 5">
          <a:extLst>
            <a:ext uri="{FF2B5EF4-FFF2-40B4-BE49-F238E27FC236}">
              <a16:creationId xmlns:a16="http://schemas.microsoft.com/office/drawing/2014/main" id="{00000000-0008-0000-0700-0000E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7" name="Shape 5">
          <a:extLst>
            <a:ext uri="{FF2B5EF4-FFF2-40B4-BE49-F238E27FC236}">
              <a16:creationId xmlns:a16="http://schemas.microsoft.com/office/drawing/2014/main" id="{00000000-0008-0000-0700-0000E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8" name="Shape 5">
          <a:extLst>
            <a:ext uri="{FF2B5EF4-FFF2-40B4-BE49-F238E27FC236}">
              <a16:creationId xmlns:a16="http://schemas.microsoft.com/office/drawing/2014/main" id="{00000000-0008-0000-0700-0000E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9" name="Shape 5">
          <a:extLst>
            <a:ext uri="{FF2B5EF4-FFF2-40B4-BE49-F238E27FC236}">
              <a16:creationId xmlns:a16="http://schemas.microsoft.com/office/drawing/2014/main" id="{00000000-0008-0000-0700-0000E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0" name="Shape 5">
          <a:extLst>
            <a:ext uri="{FF2B5EF4-FFF2-40B4-BE49-F238E27FC236}">
              <a16:creationId xmlns:a16="http://schemas.microsoft.com/office/drawing/2014/main" id="{00000000-0008-0000-0700-0000E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1" name="Shape 5">
          <a:extLst>
            <a:ext uri="{FF2B5EF4-FFF2-40B4-BE49-F238E27FC236}">
              <a16:creationId xmlns:a16="http://schemas.microsoft.com/office/drawing/2014/main" id="{00000000-0008-0000-0700-0000E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2" name="Shape 5">
          <a:extLst>
            <a:ext uri="{FF2B5EF4-FFF2-40B4-BE49-F238E27FC236}">
              <a16:creationId xmlns:a16="http://schemas.microsoft.com/office/drawing/2014/main" id="{00000000-0008-0000-0700-0000E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3" name="Shape 5">
          <a:extLst>
            <a:ext uri="{FF2B5EF4-FFF2-40B4-BE49-F238E27FC236}">
              <a16:creationId xmlns:a16="http://schemas.microsoft.com/office/drawing/2014/main" id="{00000000-0008-0000-0700-0000E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4" name="Shape 6">
          <a:extLst>
            <a:ext uri="{FF2B5EF4-FFF2-40B4-BE49-F238E27FC236}">
              <a16:creationId xmlns:a16="http://schemas.microsoft.com/office/drawing/2014/main" id="{00000000-0008-0000-0700-0000E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5" name="Shape 6">
          <a:extLst>
            <a:ext uri="{FF2B5EF4-FFF2-40B4-BE49-F238E27FC236}">
              <a16:creationId xmlns:a16="http://schemas.microsoft.com/office/drawing/2014/main" id="{00000000-0008-0000-0700-0000E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6" name="Shape 6">
          <a:extLst>
            <a:ext uri="{FF2B5EF4-FFF2-40B4-BE49-F238E27FC236}">
              <a16:creationId xmlns:a16="http://schemas.microsoft.com/office/drawing/2014/main" id="{00000000-0008-0000-0700-0000F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7" name="Shape 6">
          <a:extLst>
            <a:ext uri="{FF2B5EF4-FFF2-40B4-BE49-F238E27FC236}">
              <a16:creationId xmlns:a16="http://schemas.microsoft.com/office/drawing/2014/main" id="{00000000-0008-0000-0700-0000F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8" name="Shape 5">
          <a:extLst>
            <a:ext uri="{FF2B5EF4-FFF2-40B4-BE49-F238E27FC236}">
              <a16:creationId xmlns:a16="http://schemas.microsoft.com/office/drawing/2014/main" id="{00000000-0008-0000-0700-0000F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9" name="Shape 5">
          <a:extLst>
            <a:ext uri="{FF2B5EF4-FFF2-40B4-BE49-F238E27FC236}">
              <a16:creationId xmlns:a16="http://schemas.microsoft.com/office/drawing/2014/main" id="{00000000-0008-0000-0700-0000F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0" name="Shape 5">
          <a:extLst>
            <a:ext uri="{FF2B5EF4-FFF2-40B4-BE49-F238E27FC236}">
              <a16:creationId xmlns:a16="http://schemas.microsoft.com/office/drawing/2014/main" id="{00000000-0008-0000-0700-0000F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1" name="Shape 5">
          <a:extLst>
            <a:ext uri="{FF2B5EF4-FFF2-40B4-BE49-F238E27FC236}">
              <a16:creationId xmlns:a16="http://schemas.microsoft.com/office/drawing/2014/main" id="{00000000-0008-0000-0700-0000F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2" name="Shape 5">
          <a:extLst>
            <a:ext uri="{FF2B5EF4-FFF2-40B4-BE49-F238E27FC236}">
              <a16:creationId xmlns:a16="http://schemas.microsoft.com/office/drawing/2014/main" id="{00000000-0008-0000-0700-0000F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3" name="Shape 5">
          <a:extLst>
            <a:ext uri="{FF2B5EF4-FFF2-40B4-BE49-F238E27FC236}">
              <a16:creationId xmlns:a16="http://schemas.microsoft.com/office/drawing/2014/main" id="{00000000-0008-0000-0700-0000F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4" name="Shape 5">
          <a:extLst>
            <a:ext uri="{FF2B5EF4-FFF2-40B4-BE49-F238E27FC236}">
              <a16:creationId xmlns:a16="http://schemas.microsoft.com/office/drawing/2014/main" id="{00000000-0008-0000-0700-0000F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5" name="Shape 5">
          <a:extLst>
            <a:ext uri="{FF2B5EF4-FFF2-40B4-BE49-F238E27FC236}">
              <a16:creationId xmlns:a16="http://schemas.microsoft.com/office/drawing/2014/main" id="{00000000-0008-0000-0700-0000F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6" name="Shape 5">
          <a:extLst>
            <a:ext uri="{FF2B5EF4-FFF2-40B4-BE49-F238E27FC236}">
              <a16:creationId xmlns:a16="http://schemas.microsoft.com/office/drawing/2014/main" id="{00000000-0008-0000-0700-0000F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7" name="Shape 5">
          <a:extLst>
            <a:ext uri="{FF2B5EF4-FFF2-40B4-BE49-F238E27FC236}">
              <a16:creationId xmlns:a16="http://schemas.microsoft.com/office/drawing/2014/main" id="{00000000-0008-0000-0700-0000F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8" name="Shape 5">
          <a:extLst>
            <a:ext uri="{FF2B5EF4-FFF2-40B4-BE49-F238E27FC236}">
              <a16:creationId xmlns:a16="http://schemas.microsoft.com/office/drawing/2014/main" id="{00000000-0008-0000-0700-0000F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89" name="Shape 6">
          <a:extLst>
            <a:ext uri="{FF2B5EF4-FFF2-40B4-BE49-F238E27FC236}">
              <a16:creationId xmlns:a16="http://schemas.microsoft.com/office/drawing/2014/main" id="{00000000-0008-0000-0700-0000F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0" name="Shape 6">
          <a:extLst>
            <a:ext uri="{FF2B5EF4-FFF2-40B4-BE49-F238E27FC236}">
              <a16:creationId xmlns:a16="http://schemas.microsoft.com/office/drawing/2014/main" id="{00000000-0008-0000-0700-0000F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1" name="Shape 6">
          <a:extLst>
            <a:ext uri="{FF2B5EF4-FFF2-40B4-BE49-F238E27FC236}">
              <a16:creationId xmlns:a16="http://schemas.microsoft.com/office/drawing/2014/main" id="{00000000-0008-0000-0700-0000F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2" name="Shape 6">
          <a:extLst>
            <a:ext uri="{FF2B5EF4-FFF2-40B4-BE49-F238E27FC236}">
              <a16:creationId xmlns:a16="http://schemas.microsoft.com/office/drawing/2014/main" id="{00000000-0008-0000-0700-00000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3" name="Shape 5">
          <a:extLst>
            <a:ext uri="{FF2B5EF4-FFF2-40B4-BE49-F238E27FC236}">
              <a16:creationId xmlns:a16="http://schemas.microsoft.com/office/drawing/2014/main" id="{00000000-0008-0000-0700-00000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4" name="Shape 5">
          <a:extLst>
            <a:ext uri="{FF2B5EF4-FFF2-40B4-BE49-F238E27FC236}">
              <a16:creationId xmlns:a16="http://schemas.microsoft.com/office/drawing/2014/main" id="{00000000-0008-0000-0700-00000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5" name="Shape 5">
          <a:extLst>
            <a:ext uri="{FF2B5EF4-FFF2-40B4-BE49-F238E27FC236}">
              <a16:creationId xmlns:a16="http://schemas.microsoft.com/office/drawing/2014/main" id="{00000000-0008-0000-0700-00000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6" name="Shape 5">
          <a:extLst>
            <a:ext uri="{FF2B5EF4-FFF2-40B4-BE49-F238E27FC236}">
              <a16:creationId xmlns:a16="http://schemas.microsoft.com/office/drawing/2014/main" id="{00000000-0008-0000-0700-00000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7" name="Shape 5">
          <a:extLst>
            <a:ext uri="{FF2B5EF4-FFF2-40B4-BE49-F238E27FC236}">
              <a16:creationId xmlns:a16="http://schemas.microsoft.com/office/drawing/2014/main" id="{00000000-0008-0000-0700-00000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8" name="Shape 5">
          <a:extLst>
            <a:ext uri="{FF2B5EF4-FFF2-40B4-BE49-F238E27FC236}">
              <a16:creationId xmlns:a16="http://schemas.microsoft.com/office/drawing/2014/main" id="{00000000-0008-0000-0700-00000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9" name="Shape 5">
          <a:extLst>
            <a:ext uri="{FF2B5EF4-FFF2-40B4-BE49-F238E27FC236}">
              <a16:creationId xmlns:a16="http://schemas.microsoft.com/office/drawing/2014/main" id="{00000000-0008-0000-0700-00000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0" name="Shape 5">
          <a:extLst>
            <a:ext uri="{FF2B5EF4-FFF2-40B4-BE49-F238E27FC236}">
              <a16:creationId xmlns:a16="http://schemas.microsoft.com/office/drawing/2014/main" id="{00000000-0008-0000-0700-00000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1" name="Shape 5">
          <a:extLst>
            <a:ext uri="{FF2B5EF4-FFF2-40B4-BE49-F238E27FC236}">
              <a16:creationId xmlns:a16="http://schemas.microsoft.com/office/drawing/2014/main" id="{00000000-0008-0000-0700-00000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2" name="Shape 5">
          <a:extLst>
            <a:ext uri="{FF2B5EF4-FFF2-40B4-BE49-F238E27FC236}">
              <a16:creationId xmlns:a16="http://schemas.microsoft.com/office/drawing/2014/main" id="{00000000-0008-0000-0700-00000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3" name="Shape 5">
          <a:extLst>
            <a:ext uri="{FF2B5EF4-FFF2-40B4-BE49-F238E27FC236}">
              <a16:creationId xmlns:a16="http://schemas.microsoft.com/office/drawing/2014/main" id="{00000000-0008-0000-0700-00000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4" name="Shape 6">
          <a:extLst>
            <a:ext uri="{FF2B5EF4-FFF2-40B4-BE49-F238E27FC236}">
              <a16:creationId xmlns:a16="http://schemas.microsoft.com/office/drawing/2014/main" id="{00000000-0008-0000-0700-00000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5" name="Shape 6">
          <a:extLst>
            <a:ext uri="{FF2B5EF4-FFF2-40B4-BE49-F238E27FC236}">
              <a16:creationId xmlns:a16="http://schemas.microsoft.com/office/drawing/2014/main" id="{00000000-0008-0000-0700-00000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6" name="Shape 6">
          <a:extLst>
            <a:ext uri="{FF2B5EF4-FFF2-40B4-BE49-F238E27FC236}">
              <a16:creationId xmlns:a16="http://schemas.microsoft.com/office/drawing/2014/main" id="{00000000-0008-0000-0700-00000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7" name="Shape 6">
          <a:extLst>
            <a:ext uri="{FF2B5EF4-FFF2-40B4-BE49-F238E27FC236}">
              <a16:creationId xmlns:a16="http://schemas.microsoft.com/office/drawing/2014/main" id="{00000000-0008-0000-0700-00000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8" name="Shape 5">
          <a:extLst>
            <a:ext uri="{FF2B5EF4-FFF2-40B4-BE49-F238E27FC236}">
              <a16:creationId xmlns:a16="http://schemas.microsoft.com/office/drawing/2014/main" id="{00000000-0008-0000-0700-00001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9" name="Shape 5">
          <a:extLst>
            <a:ext uri="{FF2B5EF4-FFF2-40B4-BE49-F238E27FC236}">
              <a16:creationId xmlns:a16="http://schemas.microsoft.com/office/drawing/2014/main" id="{00000000-0008-0000-0700-00001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0" name="Shape 5">
          <a:extLst>
            <a:ext uri="{FF2B5EF4-FFF2-40B4-BE49-F238E27FC236}">
              <a16:creationId xmlns:a16="http://schemas.microsoft.com/office/drawing/2014/main" id="{00000000-0008-0000-0700-00001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1" name="Shape 5">
          <a:extLst>
            <a:ext uri="{FF2B5EF4-FFF2-40B4-BE49-F238E27FC236}">
              <a16:creationId xmlns:a16="http://schemas.microsoft.com/office/drawing/2014/main" id="{00000000-0008-0000-0700-00001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2" name="Shape 5">
          <a:extLst>
            <a:ext uri="{FF2B5EF4-FFF2-40B4-BE49-F238E27FC236}">
              <a16:creationId xmlns:a16="http://schemas.microsoft.com/office/drawing/2014/main" id="{00000000-0008-0000-0700-00001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3" name="Shape 5">
          <a:extLst>
            <a:ext uri="{FF2B5EF4-FFF2-40B4-BE49-F238E27FC236}">
              <a16:creationId xmlns:a16="http://schemas.microsoft.com/office/drawing/2014/main" id="{00000000-0008-0000-0700-00001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4" name="Shape 5">
          <a:extLst>
            <a:ext uri="{FF2B5EF4-FFF2-40B4-BE49-F238E27FC236}">
              <a16:creationId xmlns:a16="http://schemas.microsoft.com/office/drawing/2014/main" id="{00000000-0008-0000-0700-00001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5" name="Shape 7">
          <a:extLst>
            <a:ext uri="{FF2B5EF4-FFF2-40B4-BE49-F238E27FC236}">
              <a16:creationId xmlns:a16="http://schemas.microsoft.com/office/drawing/2014/main" id="{00000000-0008-0000-0700-00001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6" name="Shape 7">
          <a:extLst>
            <a:ext uri="{FF2B5EF4-FFF2-40B4-BE49-F238E27FC236}">
              <a16:creationId xmlns:a16="http://schemas.microsoft.com/office/drawing/2014/main" id="{00000000-0008-0000-0700-00001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7" name="Shape 7">
          <a:extLst>
            <a:ext uri="{FF2B5EF4-FFF2-40B4-BE49-F238E27FC236}">
              <a16:creationId xmlns:a16="http://schemas.microsoft.com/office/drawing/2014/main" id="{00000000-0008-0000-0700-00001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8" name="Shape 7">
          <a:extLst>
            <a:ext uri="{FF2B5EF4-FFF2-40B4-BE49-F238E27FC236}">
              <a16:creationId xmlns:a16="http://schemas.microsoft.com/office/drawing/2014/main" id="{00000000-0008-0000-0700-00001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19" name="Shape 8">
          <a:extLst>
            <a:ext uri="{FF2B5EF4-FFF2-40B4-BE49-F238E27FC236}">
              <a16:creationId xmlns:a16="http://schemas.microsoft.com/office/drawing/2014/main" id="{00000000-0008-0000-0700-00001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0" name="Shape 8">
          <a:extLst>
            <a:ext uri="{FF2B5EF4-FFF2-40B4-BE49-F238E27FC236}">
              <a16:creationId xmlns:a16="http://schemas.microsoft.com/office/drawing/2014/main" id="{00000000-0008-0000-0700-00001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1" name="Shape 8">
          <a:extLst>
            <a:ext uri="{FF2B5EF4-FFF2-40B4-BE49-F238E27FC236}">
              <a16:creationId xmlns:a16="http://schemas.microsoft.com/office/drawing/2014/main" id="{00000000-0008-0000-0700-00001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2" name="Shape 8">
          <a:extLst>
            <a:ext uri="{FF2B5EF4-FFF2-40B4-BE49-F238E27FC236}">
              <a16:creationId xmlns:a16="http://schemas.microsoft.com/office/drawing/2014/main" id="{00000000-0008-0000-0700-00001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3" name="Shape 7">
          <a:extLst>
            <a:ext uri="{FF2B5EF4-FFF2-40B4-BE49-F238E27FC236}">
              <a16:creationId xmlns:a16="http://schemas.microsoft.com/office/drawing/2014/main" id="{00000000-0008-0000-0700-00001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4" name="Shape 7">
          <a:extLst>
            <a:ext uri="{FF2B5EF4-FFF2-40B4-BE49-F238E27FC236}">
              <a16:creationId xmlns:a16="http://schemas.microsoft.com/office/drawing/2014/main" id="{00000000-0008-0000-0700-00002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5" name="Shape 7">
          <a:extLst>
            <a:ext uri="{FF2B5EF4-FFF2-40B4-BE49-F238E27FC236}">
              <a16:creationId xmlns:a16="http://schemas.microsoft.com/office/drawing/2014/main" id="{00000000-0008-0000-0700-00002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6" name="Shape 7">
          <a:extLst>
            <a:ext uri="{FF2B5EF4-FFF2-40B4-BE49-F238E27FC236}">
              <a16:creationId xmlns:a16="http://schemas.microsoft.com/office/drawing/2014/main" id="{00000000-0008-0000-0700-00002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7" name="Shape 7">
          <a:extLst>
            <a:ext uri="{FF2B5EF4-FFF2-40B4-BE49-F238E27FC236}">
              <a16:creationId xmlns:a16="http://schemas.microsoft.com/office/drawing/2014/main" id="{00000000-0008-0000-0700-00002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8" name="Shape 7">
          <a:extLst>
            <a:ext uri="{FF2B5EF4-FFF2-40B4-BE49-F238E27FC236}">
              <a16:creationId xmlns:a16="http://schemas.microsoft.com/office/drawing/2014/main" id="{00000000-0008-0000-0700-00002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9" name="Shape 7">
          <a:extLst>
            <a:ext uri="{FF2B5EF4-FFF2-40B4-BE49-F238E27FC236}">
              <a16:creationId xmlns:a16="http://schemas.microsoft.com/office/drawing/2014/main" id="{00000000-0008-0000-0700-00002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0" name="Shape 9">
          <a:extLst>
            <a:ext uri="{FF2B5EF4-FFF2-40B4-BE49-F238E27FC236}">
              <a16:creationId xmlns:a16="http://schemas.microsoft.com/office/drawing/2014/main" id="{00000000-0008-0000-0700-00002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1" name="Shape 9">
          <a:extLst>
            <a:ext uri="{FF2B5EF4-FFF2-40B4-BE49-F238E27FC236}">
              <a16:creationId xmlns:a16="http://schemas.microsoft.com/office/drawing/2014/main" id="{00000000-0008-0000-0700-00002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2" name="Shape 9">
          <a:extLst>
            <a:ext uri="{FF2B5EF4-FFF2-40B4-BE49-F238E27FC236}">
              <a16:creationId xmlns:a16="http://schemas.microsoft.com/office/drawing/2014/main" id="{00000000-0008-0000-0700-00002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3" name="Shape 9">
          <a:extLst>
            <a:ext uri="{FF2B5EF4-FFF2-40B4-BE49-F238E27FC236}">
              <a16:creationId xmlns:a16="http://schemas.microsoft.com/office/drawing/2014/main" id="{00000000-0008-0000-0700-00002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4" name="Shape 10">
          <a:extLst>
            <a:ext uri="{FF2B5EF4-FFF2-40B4-BE49-F238E27FC236}">
              <a16:creationId xmlns:a16="http://schemas.microsoft.com/office/drawing/2014/main" id="{00000000-0008-0000-0700-00002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5" name="Shape 10">
          <a:extLst>
            <a:ext uri="{FF2B5EF4-FFF2-40B4-BE49-F238E27FC236}">
              <a16:creationId xmlns:a16="http://schemas.microsoft.com/office/drawing/2014/main" id="{00000000-0008-0000-0700-00002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6" name="Shape 10">
          <a:extLst>
            <a:ext uri="{FF2B5EF4-FFF2-40B4-BE49-F238E27FC236}">
              <a16:creationId xmlns:a16="http://schemas.microsoft.com/office/drawing/2014/main" id="{00000000-0008-0000-0700-00002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7" name="Shape 10">
          <a:extLst>
            <a:ext uri="{FF2B5EF4-FFF2-40B4-BE49-F238E27FC236}">
              <a16:creationId xmlns:a16="http://schemas.microsoft.com/office/drawing/2014/main" id="{00000000-0008-0000-0700-00002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8" name="Shape 9">
          <a:extLst>
            <a:ext uri="{FF2B5EF4-FFF2-40B4-BE49-F238E27FC236}">
              <a16:creationId xmlns:a16="http://schemas.microsoft.com/office/drawing/2014/main" id="{00000000-0008-0000-0700-00002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9" name="Shape 9">
          <a:extLst>
            <a:ext uri="{FF2B5EF4-FFF2-40B4-BE49-F238E27FC236}">
              <a16:creationId xmlns:a16="http://schemas.microsoft.com/office/drawing/2014/main" id="{00000000-0008-0000-0700-00002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0" name="Shape 9">
          <a:extLst>
            <a:ext uri="{FF2B5EF4-FFF2-40B4-BE49-F238E27FC236}">
              <a16:creationId xmlns:a16="http://schemas.microsoft.com/office/drawing/2014/main" id="{00000000-0008-0000-0700-00003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1" name="Shape 9">
          <a:extLst>
            <a:ext uri="{FF2B5EF4-FFF2-40B4-BE49-F238E27FC236}">
              <a16:creationId xmlns:a16="http://schemas.microsoft.com/office/drawing/2014/main" id="{00000000-0008-0000-0700-00003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2" name="Shape 9">
          <a:extLst>
            <a:ext uri="{FF2B5EF4-FFF2-40B4-BE49-F238E27FC236}">
              <a16:creationId xmlns:a16="http://schemas.microsoft.com/office/drawing/2014/main" id="{00000000-0008-0000-0700-00003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3" name="Shape 9">
          <a:extLst>
            <a:ext uri="{FF2B5EF4-FFF2-40B4-BE49-F238E27FC236}">
              <a16:creationId xmlns:a16="http://schemas.microsoft.com/office/drawing/2014/main" id="{00000000-0008-0000-0700-00003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4" name="Shape 9">
          <a:extLst>
            <a:ext uri="{FF2B5EF4-FFF2-40B4-BE49-F238E27FC236}">
              <a16:creationId xmlns:a16="http://schemas.microsoft.com/office/drawing/2014/main" id="{00000000-0008-0000-0700-00003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5" name="Shape 7">
          <a:extLst>
            <a:ext uri="{FF2B5EF4-FFF2-40B4-BE49-F238E27FC236}">
              <a16:creationId xmlns:a16="http://schemas.microsoft.com/office/drawing/2014/main" id="{00000000-0008-0000-0700-00003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6" name="Shape 7">
          <a:extLst>
            <a:ext uri="{FF2B5EF4-FFF2-40B4-BE49-F238E27FC236}">
              <a16:creationId xmlns:a16="http://schemas.microsoft.com/office/drawing/2014/main" id="{00000000-0008-0000-0700-00003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7" name="Shape 7">
          <a:extLst>
            <a:ext uri="{FF2B5EF4-FFF2-40B4-BE49-F238E27FC236}">
              <a16:creationId xmlns:a16="http://schemas.microsoft.com/office/drawing/2014/main" id="{00000000-0008-0000-0700-00003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8" name="Shape 7">
          <a:extLst>
            <a:ext uri="{FF2B5EF4-FFF2-40B4-BE49-F238E27FC236}">
              <a16:creationId xmlns:a16="http://schemas.microsoft.com/office/drawing/2014/main" id="{00000000-0008-0000-0700-00003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49" name="Shape 8">
          <a:extLst>
            <a:ext uri="{FF2B5EF4-FFF2-40B4-BE49-F238E27FC236}">
              <a16:creationId xmlns:a16="http://schemas.microsoft.com/office/drawing/2014/main" id="{00000000-0008-0000-0700-00003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0" name="Shape 8">
          <a:extLst>
            <a:ext uri="{FF2B5EF4-FFF2-40B4-BE49-F238E27FC236}">
              <a16:creationId xmlns:a16="http://schemas.microsoft.com/office/drawing/2014/main" id="{00000000-0008-0000-0700-00003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1" name="Shape 8">
          <a:extLst>
            <a:ext uri="{FF2B5EF4-FFF2-40B4-BE49-F238E27FC236}">
              <a16:creationId xmlns:a16="http://schemas.microsoft.com/office/drawing/2014/main" id="{00000000-0008-0000-0700-00003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2" name="Shape 8">
          <a:extLst>
            <a:ext uri="{FF2B5EF4-FFF2-40B4-BE49-F238E27FC236}">
              <a16:creationId xmlns:a16="http://schemas.microsoft.com/office/drawing/2014/main" id="{00000000-0008-0000-0700-00003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3" name="Shape 7">
          <a:extLst>
            <a:ext uri="{FF2B5EF4-FFF2-40B4-BE49-F238E27FC236}">
              <a16:creationId xmlns:a16="http://schemas.microsoft.com/office/drawing/2014/main" id="{00000000-0008-0000-0700-00003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4" name="Shape 7">
          <a:extLst>
            <a:ext uri="{FF2B5EF4-FFF2-40B4-BE49-F238E27FC236}">
              <a16:creationId xmlns:a16="http://schemas.microsoft.com/office/drawing/2014/main" id="{00000000-0008-0000-0700-00003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5" name="Shape 7">
          <a:extLst>
            <a:ext uri="{FF2B5EF4-FFF2-40B4-BE49-F238E27FC236}">
              <a16:creationId xmlns:a16="http://schemas.microsoft.com/office/drawing/2014/main" id="{00000000-0008-0000-0700-00003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6" name="Shape 7">
          <a:extLst>
            <a:ext uri="{FF2B5EF4-FFF2-40B4-BE49-F238E27FC236}">
              <a16:creationId xmlns:a16="http://schemas.microsoft.com/office/drawing/2014/main" id="{00000000-0008-0000-0700-00004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7" name="Shape 7">
          <a:extLst>
            <a:ext uri="{FF2B5EF4-FFF2-40B4-BE49-F238E27FC236}">
              <a16:creationId xmlns:a16="http://schemas.microsoft.com/office/drawing/2014/main" id="{00000000-0008-0000-0700-00004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8" name="Shape 7">
          <a:extLst>
            <a:ext uri="{FF2B5EF4-FFF2-40B4-BE49-F238E27FC236}">
              <a16:creationId xmlns:a16="http://schemas.microsoft.com/office/drawing/2014/main" id="{00000000-0008-0000-0700-00004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9" name="Shape 7">
          <a:extLst>
            <a:ext uri="{FF2B5EF4-FFF2-40B4-BE49-F238E27FC236}">
              <a16:creationId xmlns:a16="http://schemas.microsoft.com/office/drawing/2014/main" id="{00000000-0008-0000-0700-00004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0" name="Shape 9">
          <a:extLst>
            <a:ext uri="{FF2B5EF4-FFF2-40B4-BE49-F238E27FC236}">
              <a16:creationId xmlns:a16="http://schemas.microsoft.com/office/drawing/2014/main" id="{00000000-0008-0000-0700-00004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1" name="Shape 9">
          <a:extLst>
            <a:ext uri="{FF2B5EF4-FFF2-40B4-BE49-F238E27FC236}">
              <a16:creationId xmlns:a16="http://schemas.microsoft.com/office/drawing/2014/main" id="{00000000-0008-0000-0700-00004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2" name="Shape 9">
          <a:extLst>
            <a:ext uri="{FF2B5EF4-FFF2-40B4-BE49-F238E27FC236}">
              <a16:creationId xmlns:a16="http://schemas.microsoft.com/office/drawing/2014/main" id="{00000000-0008-0000-0700-00004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3" name="Shape 9">
          <a:extLst>
            <a:ext uri="{FF2B5EF4-FFF2-40B4-BE49-F238E27FC236}">
              <a16:creationId xmlns:a16="http://schemas.microsoft.com/office/drawing/2014/main" id="{00000000-0008-0000-0700-00004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4" name="Shape 10">
          <a:extLst>
            <a:ext uri="{FF2B5EF4-FFF2-40B4-BE49-F238E27FC236}">
              <a16:creationId xmlns:a16="http://schemas.microsoft.com/office/drawing/2014/main" id="{00000000-0008-0000-0700-00004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5" name="Shape 10">
          <a:extLst>
            <a:ext uri="{FF2B5EF4-FFF2-40B4-BE49-F238E27FC236}">
              <a16:creationId xmlns:a16="http://schemas.microsoft.com/office/drawing/2014/main" id="{00000000-0008-0000-0700-00004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6" name="Shape 10">
          <a:extLst>
            <a:ext uri="{FF2B5EF4-FFF2-40B4-BE49-F238E27FC236}">
              <a16:creationId xmlns:a16="http://schemas.microsoft.com/office/drawing/2014/main" id="{00000000-0008-0000-0700-00004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7" name="Shape 10">
          <a:extLst>
            <a:ext uri="{FF2B5EF4-FFF2-40B4-BE49-F238E27FC236}">
              <a16:creationId xmlns:a16="http://schemas.microsoft.com/office/drawing/2014/main" id="{00000000-0008-0000-0700-00004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8" name="Shape 9">
          <a:extLst>
            <a:ext uri="{FF2B5EF4-FFF2-40B4-BE49-F238E27FC236}">
              <a16:creationId xmlns:a16="http://schemas.microsoft.com/office/drawing/2014/main" id="{00000000-0008-0000-0700-00004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9" name="Shape 9">
          <a:extLst>
            <a:ext uri="{FF2B5EF4-FFF2-40B4-BE49-F238E27FC236}">
              <a16:creationId xmlns:a16="http://schemas.microsoft.com/office/drawing/2014/main" id="{00000000-0008-0000-0700-00004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0" name="Shape 9">
          <a:extLst>
            <a:ext uri="{FF2B5EF4-FFF2-40B4-BE49-F238E27FC236}">
              <a16:creationId xmlns:a16="http://schemas.microsoft.com/office/drawing/2014/main" id="{00000000-0008-0000-0700-00004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1" name="Shape 9">
          <a:extLst>
            <a:ext uri="{FF2B5EF4-FFF2-40B4-BE49-F238E27FC236}">
              <a16:creationId xmlns:a16="http://schemas.microsoft.com/office/drawing/2014/main" id="{00000000-0008-0000-0700-00004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2" name="Shape 9">
          <a:extLst>
            <a:ext uri="{FF2B5EF4-FFF2-40B4-BE49-F238E27FC236}">
              <a16:creationId xmlns:a16="http://schemas.microsoft.com/office/drawing/2014/main" id="{00000000-0008-0000-0700-00005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3" name="Shape 9">
          <a:extLst>
            <a:ext uri="{FF2B5EF4-FFF2-40B4-BE49-F238E27FC236}">
              <a16:creationId xmlns:a16="http://schemas.microsoft.com/office/drawing/2014/main" id="{00000000-0008-0000-0700-00005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4" name="Shape 9">
          <a:extLst>
            <a:ext uri="{FF2B5EF4-FFF2-40B4-BE49-F238E27FC236}">
              <a16:creationId xmlns:a16="http://schemas.microsoft.com/office/drawing/2014/main" id="{00000000-0008-0000-0700-00005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5" name="Shape 7">
          <a:extLst>
            <a:ext uri="{FF2B5EF4-FFF2-40B4-BE49-F238E27FC236}">
              <a16:creationId xmlns:a16="http://schemas.microsoft.com/office/drawing/2014/main" id="{00000000-0008-0000-0700-00005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6" name="Shape 7">
          <a:extLst>
            <a:ext uri="{FF2B5EF4-FFF2-40B4-BE49-F238E27FC236}">
              <a16:creationId xmlns:a16="http://schemas.microsoft.com/office/drawing/2014/main" id="{00000000-0008-0000-0700-00005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7" name="Shape 7">
          <a:extLst>
            <a:ext uri="{FF2B5EF4-FFF2-40B4-BE49-F238E27FC236}">
              <a16:creationId xmlns:a16="http://schemas.microsoft.com/office/drawing/2014/main" id="{00000000-0008-0000-0700-00005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8" name="Shape 7">
          <a:extLst>
            <a:ext uri="{FF2B5EF4-FFF2-40B4-BE49-F238E27FC236}">
              <a16:creationId xmlns:a16="http://schemas.microsoft.com/office/drawing/2014/main" id="{00000000-0008-0000-0700-00005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79" name="Shape 8">
          <a:extLst>
            <a:ext uri="{FF2B5EF4-FFF2-40B4-BE49-F238E27FC236}">
              <a16:creationId xmlns:a16="http://schemas.microsoft.com/office/drawing/2014/main" id="{00000000-0008-0000-0700-00005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0" name="Shape 8">
          <a:extLst>
            <a:ext uri="{FF2B5EF4-FFF2-40B4-BE49-F238E27FC236}">
              <a16:creationId xmlns:a16="http://schemas.microsoft.com/office/drawing/2014/main" id="{00000000-0008-0000-0700-00005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1" name="Shape 8">
          <a:extLst>
            <a:ext uri="{FF2B5EF4-FFF2-40B4-BE49-F238E27FC236}">
              <a16:creationId xmlns:a16="http://schemas.microsoft.com/office/drawing/2014/main" id="{00000000-0008-0000-0700-00005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2" name="Shape 8">
          <a:extLst>
            <a:ext uri="{FF2B5EF4-FFF2-40B4-BE49-F238E27FC236}">
              <a16:creationId xmlns:a16="http://schemas.microsoft.com/office/drawing/2014/main" id="{00000000-0008-0000-0700-00005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3" name="Shape 7">
          <a:extLst>
            <a:ext uri="{FF2B5EF4-FFF2-40B4-BE49-F238E27FC236}">
              <a16:creationId xmlns:a16="http://schemas.microsoft.com/office/drawing/2014/main" id="{00000000-0008-0000-0700-00005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4" name="Shape 7">
          <a:extLst>
            <a:ext uri="{FF2B5EF4-FFF2-40B4-BE49-F238E27FC236}">
              <a16:creationId xmlns:a16="http://schemas.microsoft.com/office/drawing/2014/main" id="{00000000-0008-0000-0700-00005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5" name="Shape 7">
          <a:extLst>
            <a:ext uri="{FF2B5EF4-FFF2-40B4-BE49-F238E27FC236}">
              <a16:creationId xmlns:a16="http://schemas.microsoft.com/office/drawing/2014/main" id="{00000000-0008-0000-0700-00005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6" name="Shape 7">
          <a:extLst>
            <a:ext uri="{FF2B5EF4-FFF2-40B4-BE49-F238E27FC236}">
              <a16:creationId xmlns:a16="http://schemas.microsoft.com/office/drawing/2014/main" id="{00000000-0008-0000-0700-00005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7" name="Shape 7">
          <a:extLst>
            <a:ext uri="{FF2B5EF4-FFF2-40B4-BE49-F238E27FC236}">
              <a16:creationId xmlns:a16="http://schemas.microsoft.com/office/drawing/2014/main" id="{00000000-0008-0000-0700-00005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8" name="Shape 7">
          <a:extLst>
            <a:ext uri="{FF2B5EF4-FFF2-40B4-BE49-F238E27FC236}">
              <a16:creationId xmlns:a16="http://schemas.microsoft.com/office/drawing/2014/main" id="{00000000-0008-0000-0700-00006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9" name="Shape 7">
          <a:extLst>
            <a:ext uri="{FF2B5EF4-FFF2-40B4-BE49-F238E27FC236}">
              <a16:creationId xmlns:a16="http://schemas.microsoft.com/office/drawing/2014/main" id="{00000000-0008-0000-0700-00006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0" name="Shape 9">
          <a:extLst>
            <a:ext uri="{FF2B5EF4-FFF2-40B4-BE49-F238E27FC236}">
              <a16:creationId xmlns:a16="http://schemas.microsoft.com/office/drawing/2014/main" id="{00000000-0008-0000-0700-00006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1" name="Shape 9">
          <a:extLst>
            <a:ext uri="{FF2B5EF4-FFF2-40B4-BE49-F238E27FC236}">
              <a16:creationId xmlns:a16="http://schemas.microsoft.com/office/drawing/2014/main" id="{00000000-0008-0000-0700-00006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2" name="Shape 9">
          <a:extLst>
            <a:ext uri="{FF2B5EF4-FFF2-40B4-BE49-F238E27FC236}">
              <a16:creationId xmlns:a16="http://schemas.microsoft.com/office/drawing/2014/main" id="{00000000-0008-0000-0700-00006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3" name="Shape 9">
          <a:extLst>
            <a:ext uri="{FF2B5EF4-FFF2-40B4-BE49-F238E27FC236}">
              <a16:creationId xmlns:a16="http://schemas.microsoft.com/office/drawing/2014/main" id="{00000000-0008-0000-0700-00006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4" name="Shape 10">
          <a:extLst>
            <a:ext uri="{FF2B5EF4-FFF2-40B4-BE49-F238E27FC236}">
              <a16:creationId xmlns:a16="http://schemas.microsoft.com/office/drawing/2014/main" id="{00000000-0008-0000-0700-00006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5" name="Shape 10">
          <a:extLst>
            <a:ext uri="{FF2B5EF4-FFF2-40B4-BE49-F238E27FC236}">
              <a16:creationId xmlns:a16="http://schemas.microsoft.com/office/drawing/2014/main" id="{00000000-0008-0000-0700-00006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6" name="Shape 10">
          <a:extLst>
            <a:ext uri="{FF2B5EF4-FFF2-40B4-BE49-F238E27FC236}">
              <a16:creationId xmlns:a16="http://schemas.microsoft.com/office/drawing/2014/main" id="{00000000-0008-0000-0700-00006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7" name="Shape 10">
          <a:extLst>
            <a:ext uri="{FF2B5EF4-FFF2-40B4-BE49-F238E27FC236}">
              <a16:creationId xmlns:a16="http://schemas.microsoft.com/office/drawing/2014/main" id="{00000000-0008-0000-0700-00006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8" name="Shape 9">
          <a:extLst>
            <a:ext uri="{FF2B5EF4-FFF2-40B4-BE49-F238E27FC236}">
              <a16:creationId xmlns:a16="http://schemas.microsoft.com/office/drawing/2014/main" id="{00000000-0008-0000-0700-00006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9" name="Shape 9">
          <a:extLst>
            <a:ext uri="{FF2B5EF4-FFF2-40B4-BE49-F238E27FC236}">
              <a16:creationId xmlns:a16="http://schemas.microsoft.com/office/drawing/2014/main" id="{00000000-0008-0000-0700-00006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0" name="Shape 9">
          <a:extLst>
            <a:ext uri="{FF2B5EF4-FFF2-40B4-BE49-F238E27FC236}">
              <a16:creationId xmlns:a16="http://schemas.microsoft.com/office/drawing/2014/main" id="{00000000-0008-0000-0700-00006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1" name="Shape 9">
          <a:extLst>
            <a:ext uri="{FF2B5EF4-FFF2-40B4-BE49-F238E27FC236}">
              <a16:creationId xmlns:a16="http://schemas.microsoft.com/office/drawing/2014/main" id="{00000000-0008-0000-0700-00006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2" name="Shape 9">
          <a:extLst>
            <a:ext uri="{FF2B5EF4-FFF2-40B4-BE49-F238E27FC236}">
              <a16:creationId xmlns:a16="http://schemas.microsoft.com/office/drawing/2014/main" id="{00000000-0008-0000-0700-00006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3" name="Shape 9">
          <a:extLst>
            <a:ext uri="{FF2B5EF4-FFF2-40B4-BE49-F238E27FC236}">
              <a16:creationId xmlns:a16="http://schemas.microsoft.com/office/drawing/2014/main" id="{00000000-0008-0000-0700-00006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4" name="Shape 9">
          <a:extLst>
            <a:ext uri="{FF2B5EF4-FFF2-40B4-BE49-F238E27FC236}">
              <a16:creationId xmlns:a16="http://schemas.microsoft.com/office/drawing/2014/main" id="{00000000-0008-0000-0700-00007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5" name="Shape 7">
          <a:extLst>
            <a:ext uri="{FF2B5EF4-FFF2-40B4-BE49-F238E27FC236}">
              <a16:creationId xmlns:a16="http://schemas.microsoft.com/office/drawing/2014/main" id="{00000000-0008-0000-0700-00007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6" name="Shape 7">
          <a:extLst>
            <a:ext uri="{FF2B5EF4-FFF2-40B4-BE49-F238E27FC236}">
              <a16:creationId xmlns:a16="http://schemas.microsoft.com/office/drawing/2014/main" id="{00000000-0008-0000-0700-00007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7" name="Shape 7">
          <a:extLst>
            <a:ext uri="{FF2B5EF4-FFF2-40B4-BE49-F238E27FC236}">
              <a16:creationId xmlns:a16="http://schemas.microsoft.com/office/drawing/2014/main" id="{00000000-0008-0000-0700-00007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8" name="Shape 7">
          <a:extLst>
            <a:ext uri="{FF2B5EF4-FFF2-40B4-BE49-F238E27FC236}">
              <a16:creationId xmlns:a16="http://schemas.microsoft.com/office/drawing/2014/main" id="{00000000-0008-0000-0700-00007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09" name="Shape 8">
          <a:extLst>
            <a:ext uri="{FF2B5EF4-FFF2-40B4-BE49-F238E27FC236}">
              <a16:creationId xmlns:a16="http://schemas.microsoft.com/office/drawing/2014/main" id="{00000000-0008-0000-0700-00007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0" name="Shape 8">
          <a:extLst>
            <a:ext uri="{FF2B5EF4-FFF2-40B4-BE49-F238E27FC236}">
              <a16:creationId xmlns:a16="http://schemas.microsoft.com/office/drawing/2014/main" id="{00000000-0008-0000-0700-00007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1" name="Shape 8">
          <a:extLst>
            <a:ext uri="{FF2B5EF4-FFF2-40B4-BE49-F238E27FC236}">
              <a16:creationId xmlns:a16="http://schemas.microsoft.com/office/drawing/2014/main" id="{00000000-0008-0000-0700-00007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2" name="Shape 8">
          <a:extLst>
            <a:ext uri="{FF2B5EF4-FFF2-40B4-BE49-F238E27FC236}">
              <a16:creationId xmlns:a16="http://schemas.microsoft.com/office/drawing/2014/main" id="{00000000-0008-0000-0700-00007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3" name="Shape 7">
          <a:extLst>
            <a:ext uri="{FF2B5EF4-FFF2-40B4-BE49-F238E27FC236}">
              <a16:creationId xmlns:a16="http://schemas.microsoft.com/office/drawing/2014/main" id="{00000000-0008-0000-0700-00007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4" name="Shape 7">
          <a:extLst>
            <a:ext uri="{FF2B5EF4-FFF2-40B4-BE49-F238E27FC236}">
              <a16:creationId xmlns:a16="http://schemas.microsoft.com/office/drawing/2014/main" id="{00000000-0008-0000-0700-00007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5" name="Shape 7">
          <a:extLst>
            <a:ext uri="{FF2B5EF4-FFF2-40B4-BE49-F238E27FC236}">
              <a16:creationId xmlns:a16="http://schemas.microsoft.com/office/drawing/2014/main" id="{00000000-0008-0000-0700-00007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6" name="Shape 7">
          <a:extLst>
            <a:ext uri="{FF2B5EF4-FFF2-40B4-BE49-F238E27FC236}">
              <a16:creationId xmlns:a16="http://schemas.microsoft.com/office/drawing/2014/main" id="{00000000-0008-0000-0700-00007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7" name="Shape 7">
          <a:extLst>
            <a:ext uri="{FF2B5EF4-FFF2-40B4-BE49-F238E27FC236}">
              <a16:creationId xmlns:a16="http://schemas.microsoft.com/office/drawing/2014/main" id="{00000000-0008-0000-0700-00007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8" name="Shape 7">
          <a:extLst>
            <a:ext uri="{FF2B5EF4-FFF2-40B4-BE49-F238E27FC236}">
              <a16:creationId xmlns:a16="http://schemas.microsoft.com/office/drawing/2014/main" id="{00000000-0008-0000-0700-00007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9" name="Shape 7">
          <a:extLst>
            <a:ext uri="{FF2B5EF4-FFF2-40B4-BE49-F238E27FC236}">
              <a16:creationId xmlns:a16="http://schemas.microsoft.com/office/drawing/2014/main" id="{00000000-0008-0000-0700-00007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0" name="Shape 9">
          <a:extLst>
            <a:ext uri="{FF2B5EF4-FFF2-40B4-BE49-F238E27FC236}">
              <a16:creationId xmlns:a16="http://schemas.microsoft.com/office/drawing/2014/main" id="{00000000-0008-0000-0700-00008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1" name="Shape 9">
          <a:extLst>
            <a:ext uri="{FF2B5EF4-FFF2-40B4-BE49-F238E27FC236}">
              <a16:creationId xmlns:a16="http://schemas.microsoft.com/office/drawing/2014/main" id="{00000000-0008-0000-0700-00008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2" name="Shape 9">
          <a:extLst>
            <a:ext uri="{FF2B5EF4-FFF2-40B4-BE49-F238E27FC236}">
              <a16:creationId xmlns:a16="http://schemas.microsoft.com/office/drawing/2014/main" id="{00000000-0008-0000-0700-00008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3" name="Shape 9">
          <a:extLst>
            <a:ext uri="{FF2B5EF4-FFF2-40B4-BE49-F238E27FC236}">
              <a16:creationId xmlns:a16="http://schemas.microsoft.com/office/drawing/2014/main" id="{00000000-0008-0000-0700-00008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4" name="Shape 10">
          <a:extLst>
            <a:ext uri="{FF2B5EF4-FFF2-40B4-BE49-F238E27FC236}">
              <a16:creationId xmlns:a16="http://schemas.microsoft.com/office/drawing/2014/main" id="{00000000-0008-0000-0700-00008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5" name="Shape 10">
          <a:extLst>
            <a:ext uri="{FF2B5EF4-FFF2-40B4-BE49-F238E27FC236}">
              <a16:creationId xmlns:a16="http://schemas.microsoft.com/office/drawing/2014/main" id="{00000000-0008-0000-0700-00008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6" name="Shape 10">
          <a:extLst>
            <a:ext uri="{FF2B5EF4-FFF2-40B4-BE49-F238E27FC236}">
              <a16:creationId xmlns:a16="http://schemas.microsoft.com/office/drawing/2014/main" id="{00000000-0008-0000-0700-00008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7" name="Shape 10">
          <a:extLst>
            <a:ext uri="{FF2B5EF4-FFF2-40B4-BE49-F238E27FC236}">
              <a16:creationId xmlns:a16="http://schemas.microsoft.com/office/drawing/2014/main" id="{00000000-0008-0000-0700-00008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8" name="Shape 9">
          <a:extLst>
            <a:ext uri="{FF2B5EF4-FFF2-40B4-BE49-F238E27FC236}">
              <a16:creationId xmlns:a16="http://schemas.microsoft.com/office/drawing/2014/main" id="{00000000-0008-0000-0700-00008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9" name="Shape 9">
          <a:extLst>
            <a:ext uri="{FF2B5EF4-FFF2-40B4-BE49-F238E27FC236}">
              <a16:creationId xmlns:a16="http://schemas.microsoft.com/office/drawing/2014/main" id="{00000000-0008-0000-0700-00008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0" name="Shape 9">
          <a:extLst>
            <a:ext uri="{FF2B5EF4-FFF2-40B4-BE49-F238E27FC236}">
              <a16:creationId xmlns:a16="http://schemas.microsoft.com/office/drawing/2014/main" id="{00000000-0008-0000-0700-00008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1" name="Shape 9">
          <a:extLst>
            <a:ext uri="{FF2B5EF4-FFF2-40B4-BE49-F238E27FC236}">
              <a16:creationId xmlns:a16="http://schemas.microsoft.com/office/drawing/2014/main" id="{00000000-0008-0000-0700-00008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2" name="Shape 9">
          <a:extLst>
            <a:ext uri="{FF2B5EF4-FFF2-40B4-BE49-F238E27FC236}">
              <a16:creationId xmlns:a16="http://schemas.microsoft.com/office/drawing/2014/main" id="{00000000-0008-0000-0700-00008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3" name="Shape 9">
          <a:extLst>
            <a:ext uri="{FF2B5EF4-FFF2-40B4-BE49-F238E27FC236}">
              <a16:creationId xmlns:a16="http://schemas.microsoft.com/office/drawing/2014/main" id="{00000000-0008-0000-0700-00008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4" name="Shape 9">
          <a:extLst>
            <a:ext uri="{FF2B5EF4-FFF2-40B4-BE49-F238E27FC236}">
              <a16:creationId xmlns:a16="http://schemas.microsoft.com/office/drawing/2014/main" id="{00000000-0008-0000-0700-00008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5" name="Shape 7">
          <a:extLst>
            <a:ext uri="{FF2B5EF4-FFF2-40B4-BE49-F238E27FC236}">
              <a16:creationId xmlns:a16="http://schemas.microsoft.com/office/drawing/2014/main" id="{00000000-0008-0000-0700-00008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6" name="Shape 7">
          <a:extLst>
            <a:ext uri="{FF2B5EF4-FFF2-40B4-BE49-F238E27FC236}">
              <a16:creationId xmlns:a16="http://schemas.microsoft.com/office/drawing/2014/main" id="{00000000-0008-0000-0700-00009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7" name="Shape 7">
          <a:extLst>
            <a:ext uri="{FF2B5EF4-FFF2-40B4-BE49-F238E27FC236}">
              <a16:creationId xmlns:a16="http://schemas.microsoft.com/office/drawing/2014/main" id="{00000000-0008-0000-0700-00009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8" name="Shape 7">
          <a:extLst>
            <a:ext uri="{FF2B5EF4-FFF2-40B4-BE49-F238E27FC236}">
              <a16:creationId xmlns:a16="http://schemas.microsoft.com/office/drawing/2014/main" id="{00000000-0008-0000-0700-00009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39" name="Shape 8">
          <a:extLst>
            <a:ext uri="{FF2B5EF4-FFF2-40B4-BE49-F238E27FC236}">
              <a16:creationId xmlns:a16="http://schemas.microsoft.com/office/drawing/2014/main" id="{00000000-0008-0000-0700-00009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0" name="Shape 8">
          <a:extLst>
            <a:ext uri="{FF2B5EF4-FFF2-40B4-BE49-F238E27FC236}">
              <a16:creationId xmlns:a16="http://schemas.microsoft.com/office/drawing/2014/main" id="{00000000-0008-0000-0700-00009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1" name="Shape 8">
          <a:extLst>
            <a:ext uri="{FF2B5EF4-FFF2-40B4-BE49-F238E27FC236}">
              <a16:creationId xmlns:a16="http://schemas.microsoft.com/office/drawing/2014/main" id="{00000000-0008-0000-0700-00009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2" name="Shape 8">
          <a:extLst>
            <a:ext uri="{FF2B5EF4-FFF2-40B4-BE49-F238E27FC236}">
              <a16:creationId xmlns:a16="http://schemas.microsoft.com/office/drawing/2014/main" id="{00000000-0008-0000-0700-00009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3" name="Shape 7">
          <a:extLst>
            <a:ext uri="{FF2B5EF4-FFF2-40B4-BE49-F238E27FC236}">
              <a16:creationId xmlns:a16="http://schemas.microsoft.com/office/drawing/2014/main" id="{00000000-0008-0000-0700-00009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4" name="Shape 7">
          <a:extLst>
            <a:ext uri="{FF2B5EF4-FFF2-40B4-BE49-F238E27FC236}">
              <a16:creationId xmlns:a16="http://schemas.microsoft.com/office/drawing/2014/main" id="{00000000-0008-0000-0700-00009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5" name="Shape 7">
          <a:extLst>
            <a:ext uri="{FF2B5EF4-FFF2-40B4-BE49-F238E27FC236}">
              <a16:creationId xmlns:a16="http://schemas.microsoft.com/office/drawing/2014/main" id="{00000000-0008-0000-0700-00009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6" name="Shape 7">
          <a:extLst>
            <a:ext uri="{FF2B5EF4-FFF2-40B4-BE49-F238E27FC236}">
              <a16:creationId xmlns:a16="http://schemas.microsoft.com/office/drawing/2014/main" id="{00000000-0008-0000-0700-00009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7" name="Shape 7">
          <a:extLst>
            <a:ext uri="{FF2B5EF4-FFF2-40B4-BE49-F238E27FC236}">
              <a16:creationId xmlns:a16="http://schemas.microsoft.com/office/drawing/2014/main" id="{00000000-0008-0000-0700-00009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8" name="Shape 7">
          <a:extLst>
            <a:ext uri="{FF2B5EF4-FFF2-40B4-BE49-F238E27FC236}">
              <a16:creationId xmlns:a16="http://schemas.microsoft.com/office/drawing/2014/main" id="{00000000-0008-0000-0700-00009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9" name="Shape 7">
          <a:extLst>
            <a:ext uri="{FF2B5EF4-FFF2-40B4-BE49-F238E27FC236}">
              <a16:creationId xmlns:a16="http://schemas.microsoft.com/office/drawing/2014/main" id="{00000000-0008-0000-0700-00009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0" name="Shape 9">
          <a:extLst>
            <a:ext uri="{FF2B5EF4-FFF2-40B4-BE49-F238E27FC236}">
              <a16:creationId xmlns:a16="http://schemas.microsoft.com/office/drawing/2014/main" id="{00000000-0008-0000-0700-00009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1" name="Shape 9">
          <a:extLst>
            <a:ext uri="{FF2B5EF4-FFF2-40B4-BE49-F238E27FC236}">
              <a16:creationId xmlns:a16="http://schemas.microsoft.com/office/drawing/2014/main" id="{00000000-0008-0000-0700-00009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2" name="Shape 9">
          <a:extLst>
            <a:ext uri="{FF2B5EF4-FFF2-40B4-BE49-F238E27FC236}">
              <a16:creationId xmlns:a16="http://schemas.microsoft.com/office/drawing/2014/main" id="{00000000-0008-0000-0700-0000A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3" name="Shape 9">
          <a:extLst>
            <a:ext uri="{FF2B5EF4-FFF2-40B4-BE49-F238E27FC236}">
              <a16:creationId xmlns:a16="http://schemas.microsoft.com/office/drawing/2014/main" id="{00000000-0008-0000-0700-0000A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4" name="Shape 10">
          <a:extLst>
            <a:ext uri="{FF2B5EF4-FFF2-40B4-BE49-F238E27FC236}">
              <a16:creationId xmlns:a16="http://schemas.microsoft.com/office/drawing/2014/main" id="{00000000-0008-0000-0700-0000A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5" name="Shape 10">
          <a:extLst>
            <a:ext uri="{FF2B5EF4-FFF2-40B4-BE49-F238E27FC236}">
              <a16:creationId xmlns:a16="http://schemas.microsoft.com/office/drawing/2014/main" id="{00000000-0008-0000-0700-0000A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6" name="Shape 10">
          <a:extLst>
            <a:ext uri="{FF2B5EF4-FFF2-40B4-BE49-F238E27FC236}">
              <a16:creationId xmlns:a16="http://schemas.microsoft.com/office/drawing/2014/main" id="{00000000-0008-0000-0700-0000A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7" name="Shape 10">
          <a:extLst>
            <a:ext uri="{FF2B5EF4-FFF2-40B4-BE49-F238E27FC236}">
              <a16:creationId xmlns:a16="http://schemas.microsoft.com/office/drawing/2014/main" id="{00000000-0008-0000-0700-0000A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8" name="Shape 9">
          <a:extLst>
            <a:ext uri="{FF2B5EF4-FFF2-40B4-BE49-F238E27FC236}">
              <a16:creationId xmlns:a16="http://schemas.microsoft.com/office/drawing/2014/main" id="{00000000-0008-0000-0700-0000A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9" name="Shape 9">
          <a:extLst>
            <a:ext uri="{FF2B5EF4-FFF2-40B4-BE49-F238E27FC236}">
              <a16:creationId xmlns:a16="http://schemas.microsoft.com/office/drawing/2014/main" id="{00000000-0008-0000-0700-0000A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0" name="Shape 9">
          <a:extLst>
            <a:ext uri="{FF2B5EF4-FFF2-40B4-BE49-F238E27FC236}">
              <a16:creationId xmlns:a16="http://schemas.microsoft.com/office/drawing/2014/main" id="{00000000-0008-0000-0700-0000A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1" name="Shape 9">
          <a:extLst>
            <a:ext uri="{FF2B5EF4-FFF2-40B4-BE49-F238E27FC236}">
              <a16:creationId xmlns:a16="http://schemas.microsoft.com/office/drawing/2014/main" id="{00000000-0008-0000-0700-0000A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2" name="Shape 9">
          <a:extLst>
            <a:ext uri="{FF2B5EF4-FFF2-40B4-BE49-F238E27FC236}">
              <a16:creationId xmlns:a16="http://schemas.microsoft.com/office/drawing/2014/main" id="{00000000-0008-0000-0700-0000A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3" name="Shape 9">
          <a:extLst>
            <a:ext uri="{FF2B5EF4-FFF2-40B4-BE49-F238E27FC236}">
              <a16:creationId xmlns:a16="http://schemas.microsoft.com/office/drawing/2014/main" id="{00000000-0008-0000-0700-0000A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4" name="Shape 9">
          <a:extLst>
            <a:ext uri="{FF2B5EF4-FFF2-40B4-BE49-F238E27FC236}">
              <a16:creationId xmlns:a16="http://schemas.microsoft.com/office/drawing/2014/main" id="{00000000-0008-0000-0700-0000A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5" name="Shape 7">
          <a:extLst>
            <a:ext uri="{FF2B5EF4-FFF2-40B4-BE49-F238E27FC236}">
              <a16:creationId xmlns:a16="http://schemas.microsoft.com/office/drawing/2014/main" id="{00000000-0008-0000-0700-0000A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6" name="Shape 7">
          <a:extLst>
            <a:ext uri="{FF2B5EF4-FFF2-40B4-BE49-F238E27FC236}">
              <a16:creationId xmlns:a16="http://schemas.microsoft.com/office/drawing/2014/main" id="{00000000-0008-0000-0700-0000A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7" name="Shape 7">
          <a:extLst>
            <a:ext uri="{FF2B5EF4-FFF2-40B4-BE49-F238E27FC236}">
              <a16:creationId xmlns:a16="http://schemas.microsoft.com/office/drawing/2014/main" id="{00000000-0008-0000-0700-0000A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8" name="Shape 7">
          <a:extLst>
            <a:ext uri="{FF2B5EF4-FFF2-40B4-BE49-F238E27FC236}">
              <a16:creationId xmlns:a16="http://schemas.microsoft.com/office/drawing/2014/main" id="{00000000-0008-0000-0700-0000B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69" name="Shape 8">
          <a:extLst>
            <a:ext uri="{FF2B5EF4-FFF2-40B4-BE49-F238E27FC236}">
              <a16:creationId xmlns:a16="http://schemas.microsoft.com/office/drawing/2014/main" id="{00000000-0008-0000-0700-0000B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0" name="Shape 8">
          <a:extLst>
            <a:ext uri="{FF2B5EF4-FFF2-40B4-BE49-F238E27FC236}">
              <a16:creationId xmlns:a16="http://schemas.microsoft.com/office/drawing/2014/main" id="{00000000-0008-0000-0700-0000B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1" name="Shape 8">
          <a:extLst>
            <a:ext uri="{FF2B5EF4-FFF2-40B4-BE49-F238E27FC236}">
              <a16:creationId xmlns:a16="http://schemas.microsoft.com/office/drawing/2014/main" id="{00000000-0008-0000-0700-0000B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2" name="Shape 8">
          <a:extLst>
            <a:ext uri="{FF2B5EF4-FFF2-40B4-BE49-F238E27FC236}">
              <a16:creationId xmlns:a16="http://schemas.microsoft.com/office/drawing/2014/main" id="{00000000-0008-0000-0700-0000B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3" name="Shape 7">
          <a:extLst>
            <a:ext uri="{FF2B5EF4-FFF2-40B4-BE49-F238E27FC236}">
              <a16:creationId xmlns:a16="http://schemas.microsoft.com/office/drawing/2014/main" id="{00000000-0008-0000-0700-0000B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4" name="Shape 7">
          <a:extLst>
            <a:ext uri="{FF2B5EF4-FFF2-40B4-BE49-F238E27FC236}">
              <a16:creationId xmlns:a16="http://schemas.microsoft.com/office/drawing/2014/main" id="{00000000-0008-0000-0700-0000B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5" name="Shape 7">
          <a:extLst>
            <a:ext uri="{FF2B5EF4-FFF2-40B4-BE49-F238E27FC236}">
              <a16:creationId xmlns:a16="http://schemas.microsoft.com/office/drawing/2014/main" id="{00000000-0008-0000-0700-0000B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6" name="Shape 7">
          <a:extLst>
            <a:ext uri="{FF2B5EF4-FFF2-40B4-BE49-F238E27FC236}">
              <a16:creationId xmlns:a16="http://schemas.microsoft.com/office/drawing/2014/main" id="{00000000-0008-0000-0700-0000B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7" name="Shape 7">
          <a:extLst>
            <a:ext uri="{FF2B5EF4-FFF2-40B4-BE49-F238E27FC236}">
              <a16:creationId xmlns:a16="http://schemas.microsoft.com/office/drawing/2014/main" id="{00000000-0008-0000-0700-0000B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8" name="Shape 7">
          <a:extLst>
            <a:ext uri="{FF2B5EF4-FFF2-40B4-BE49-F238E27FC236}">
              <a16:creationId xmlns:a16="http://schemas.microsoft.com/office/drawing/2014/main" id="{00000000-0008-0000-0700-0000B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9" name="Shape 7">
          <a:extLst>
            <a:ext uri="{FF2B5EF4-FFF2-40B4-BE49-F238E27FC236}">
              <a16:creationId xmlns:a16="http://schemas.microsoft.com/office/drawing/2014/main" id="{00000000-0008-0000-0700-0000B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0" name="Shape 9">
          <a:extLst>
            <a:ext uri="{FF2B5EF4-FFF2-40B4-BE49-F238E27FC236}">
              <a16:creationId xmlns:a16="http://schemas.microsoft.com/office/drawing/2014/main" id="{00000000-0008-0000-0700-0000B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1" name="Shape 9">
          <a:extLst>
            <a:ext uri="{FF2B5EF4-FFF2-40B4-BE49-F238E27FC236}">
              <a16:creationId xmlns:a16="http://schemas.microsoft.com/office/drawing/2014/main" id="{00000000-0008-0000-0700-0000B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2" name="Shape 9">
          <a:extLst>
            <a:ext uri="{FF2B5EF4-FFF2-40B4-BE49-F238E27FC236}">
              <a16:creationId xmlns:a16="http://schemas.microsoft.com/office/drawing/2014/main" id="{00000000-0008-0000-0700-0000B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3" name="Shape 9">
          <a:extLst>
            <a:ext uri="{FF2B5EF4-FFF2-40B4-BE49-F238E27FC236}">
              <a16:creationId xmlns:a16="http://schemas.microsoft.com/office/drawing/2014/main" id="{00000000-0008-0000-0700-0000B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4" name="Shape 10">
          <a:extLst>
            <a:ext uri="{FF2B5EF4-FFF2-40B4-BE49-F238E27FC236}">
              <a16:creationId xmlns:a16="http://schemas.microsoft.com/office/drawing/2014/main" id="{00000000-0008-0000-0700-0000C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5" name="Shape 10">
          <a:extLst>
            <a:ext uri="{FF2B5EF4-FFF2-40B4-BE49-F238E27FC236}">
              <a16:creationId xmlns:a16="http://schemas.microsoft.com/office/drawing/2014/main" id="{00000000-0008-0000-0700-0000C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6" name="Shape 10">
          <a:extLst>
            <a:ext uri="{FF2B5EF4-FFF2-40B4-BE49-F238E27FC236}">
              <a16:creationId xmlns:a16="http://schemas.microsoft.com/office/drawing/2014/main" id="{00000000-0008-0000-0700-0000C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7" name="Shape 10">
          <a:extLst>
            <a:ext uri="{FF2B5EF4-FFF2-40B4-BE49-F238E27FC236}">
              <a16:creationId xmlns:a16="http://schemas.microsoft.com/office/drawing/2014/main" id="{00000000-0008-0000-0700-0000C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8" name="Shape 9">
          <a:extLst>
            <a:ext uri="{FF2B5EF4-FFF2-40B4-BE49-F238E27FC236}">
              <a16:creationId xmlns:a16="http://schemas.microsoft.com/office/drawing/2014/main" id="{00000000-0008-0000-0700-0000C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9" name="Shape 9">
          <a:extLst>
            <a:ext uri="{FF2B5EF4-FFF2-40B4-BE49-F238E27FC236}">
              <a16:creationId xmlns:a16="http://schemas.microsoft.com/office/drawing/2014/main" id="{00000000-0008-0000-0700-0000C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0" name="Shape 9">
          <a:extLst>
            <a:ext uri="{FF2B5EF4-FFF2-40B4-BE49-F238E27FC236}">
              <a16:creationId xmlns:a16="http://schemas.microsoft.com/office/drawing/2014/main" id="{00000000-0008-0000-0700-0000C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1" name="Shape 9">
          <a:extLst>
            <a:ext uri="{FF2B5EF4-FFF2-40B4-BE49-F238E27FC236}">
              <a16:creationId xmlns:a16="http://schemas.microsoft.com/office/drawing/2014/main" id="{00000000-0008-0000-0700-0000C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2" name="Shape 9">
          <a:extLst>
            <a:ext uri="{FF2B5EF4-FFF2-40B4-BE49-F238E27FC236}">
              <a16:creationId xmlns:a16="http://schemas.microsoft.com/office/drawing/2014/main" id="{00000000-0008-0000-0700-0000C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3" name="Shape 9">
          <a:extLst>
            <a:ext uri="{FF2B5EF4-FFF2-40B4-BE49-F238E27FC236}">
              <a16:creationId xmlns:a16="http://schemas.microsoft.com/office/drawing/2014/main" id="{00000000-0008-0000-0700-0000C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4" name="Shape 9">
          <a:extLst>
            <a:ext uri="{FF2B5EF4-FFF2-40B4-BE49-F238E27FC236}">
              <a16:creationId xmlns:a16="http://schemas.microsoft.com/office/drawing/2014/main" id="{00000000-0008-0000-0700-0000C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5" name="Shape 7">
          <a:extLst>
            <a:ext uri="{FF2B5EF4-FFF2-40B4-BE49-F238E27FC236}">
              <a16:creationId xmlns:a16="http://schemas.microsoft.com/office/drawing/2014/main" id="{00000000-0008-0000-0700-0000C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6" name="Shape 7">
          <a:extLst>
            <a:ext uri="{FF2B5EF4-FFF2-40B4-BE49-F238E27FC236}">
              <a16:creationId xmlns:a16="http://schemas.microsoft.com/office/drawing/2014/main" id="{00000000-0008-0000-0700-0000C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7" name="Shape 7">
          <a:extLst>
            <a:ext uri="{FF2B5EF4-FFF2-40B4-BE49-F238E27FC236}">
              <a16:creationId xmlns:a16="http://schemas.microsoft.com/office/drawing/2014/main" id="{00000000-0008-0000-0700-0000C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8" name="Shape 7">
          <a:extLst>
            <a:ext uri="{FF2B5EF4-FFF2-40B4-BE49-F238E27FC236}">
              <a16:creationId xmlns:a16="http://schemas.microsoft.com/office/drawing/2014/main" id="{00000000-0008-0000-0700-0000C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99" name="Shape 8">
          <a:extLst>
            <a:ext uri="{FF2B5EF4-FFF2-40B4-BE49-F238E27FC236}">
              <a16:creationId xmlns:a16="http://schemas.microsoft.com/office/drawing/2014/main" id="{00000000-0008-0000-0700-0000C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0" name="Shape 8">
          <a:extLst>
            <a:ext uri="{FF2B5EF4-FFF2-40B4-BE49-F238E27FC236}">
              <a16:creationId xmlns:a16="http://schemas.microsoft.com/office/drawing/2014/main" id="{00000000-0008-0000-0700-0000D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1" name="Shape 8">
          <a:extLst>
            <a:ext uri="{FF2B5EF4-FFF2-40B4-BE49-F238E27FC236}">
              <a16:creationId xmlns:a16="http://schemas.microsoft.com/office/drawing/2014/main" id="{00000000-0008-0000-0700-0000D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2" name="Shape 8">
          <a:extLst>
            <a:ext uri="{FF2B5EF4-FFF2-40B4-BE49-F238E27FC236}">
              <a16:creationId xmlns:a16="http://schemas.microsoft.com/office/drawing/2014/main" id="{00000000-0008-0000-0700-0000D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3" name="Shape 7">
          <a:extLst>
            <a:ext uri="{FF2B5EF4-FFF2-40B4-BE49-F238E27FC236}">
              <a16:creationId xmlns:a16="http://schemas.microsoft.com/office/drawing/2014/main" id="{00000000-0008-0000-0700-0000D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4" name="Shape 7">
          <a:extLst>
            <a:ext uri="{FF2B5EF4-FFF2-40B4-BE49-F238E27FC236}">
              <a16:creationId xmlns:a16="http://schemas.microsoft.com/office/drawing/2014/main" id="{00000000-0008-0000-0700-0000D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5" name="Shape 7">
          <a:extLst>
            <a:ext uri="{FF2B5EF4-FFF2-40B4-BE49-F238E27FC236}">
              <a16:creationId xmlns:a16="http://schemas.microsoft.com/office/drawing/2014/main" id="{00000000-0008-0000-0700-0000D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6" name="Shape 7">
          <a:extLst>
            <a:ext uri="{FF2B5EF4-FFF2-40B4-BE49-F238E27FC236}">
              <a16:creationId xmlns:a16="http://schemas.microsoft.com/office/drawing/2014/main" id="{00000000-0008-0000-0700-0000D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7" name="Shape 7">
          <a:extLst>
            <a:ext uri="{FF2B5EF4-FFF2-40B4-BE49-F238E27FC236}">
              <a16:creationId xmlns:a16="http://schemas.microsoft.com/office/drawing/2014/main" id="{00000000-0008-0000-0700-0000D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8" name="Shape 7">
          <a:extLst>
            <a:ext uri="{FF2B5EF4-FFF2-40B4-BE49-F238E27FC236}">
              <a16:creationId xmlns:a16="http://schemas.microsoft.com/office/drawing/2014/main" id="{00000000-0008-0000-0700-0000D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9" name="Shape 7">
          <a:extLst>
            <a:ext uri="{FF2B5EF4-FFF2-40B4-BE49-F238E27FC236}">
              <a16:creationId xmlns:a16="http://schemas.microsoft.com/office/drawing/2014/main" id="{00000000-0008-0000-0700-0000D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0" name="Shape 9">
          <a:extLst>
            <a:ext uri="{FF2B5EF4-FFF2-40B4-BE49-F238E27FC236}">
              <a16:creationId xmlns:a16="http://schemas.microsoft.com/office/drawing/2014/main" id="{00000000-0008-0000-0700-0000D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1" name="Shape 9">
          <a:extLst>
            <a:ext uri="{FF2B5EF4-FFF2-40B4-BE49-F238E27FC236}">
              <a16:creationId xmlns:a16="http://schemas.microsoft.com/office/drawing/2014/main" id="{00000000-0008-0000-0700-0000D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2" name="Shape 9">
          <a:extLst>
            <a:ext uri="{FF2B5EF4-FFF2-40B4-BE49-F238E27FC236}">
              <a16:creationId xmlns:a16="http://schemas.microsoft.com/office/drawing/2014/main" id="{00000000-0008-0000-0700-0000D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3" name="Shape 9">
          <a:extLst>
            <a:ext uri="{FF2B5EF4-FFF2-40B4-BE49-F238E27FC236}">
              <a16:creationId xmlns:a16="http://schemas.microsoft.com/office/drawing/2014/main" id="{00000000-0008-0000-0700-0000D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4" name="Shape 10">
          <a:extLst>
            <a:ext uri="{FF2B5EF4-FFF2-40B4-BE49-F238E27FC236}">
              <a16:creationId xmlns:a16="http://schemas.microsoft.com/office/drawing/2014/main" id="{00000000-0008-0000-0700-0000D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5" name="Shape 10">
          <a:extLst>
            <a:ext uri="{FF2B5EF4-FFF2-40B4-BE49-F238E27FC236}">
              <a16:creationId xmlns:a16="http://schemas.microsoft.com/office/drawing/2014/main" id="{00000000-0008-0000-0700-0000D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6" name="Shape 10">
          <a:extLst>
            <a:ext uri="{FF2B5EF4-FFF2-40B4-BE49-F238E27FC236}">
              <a16:creationId xmlns:a16="http://schemas.microsoft.com/office/drawing/2014/main" id="{00000000-0008-0000-0700-0000E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7" name="Shape 10">
          <a:extLst>
            <a:ext uri="{FF2B5EF4-FFF2-40B4-BE49-F238E27FC236}">
              <a16:creationId xmlns:a16="http://schemas.microsoft.com/office/drawing/2014/main" id="{00000000-0008-0000-0700-0000E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8" name="Shape 9">
          <a:extLst>
            <a:ext uri="{FF2B5EF4-FFF2-40B4-BE49-F238E27FC236}">
              <a16:creationId xmlns:a16="http://schemas.microsoft.com/office/drawing/2014/main" id="{00000000-0008-0000-0700-0000E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9" name="Shape 9">
          <a:extLst>
            <a:ext uri="{FF2B5EF4-FFF2-40B4-BE49-F238E27FC236}">
              <a16:creationId xmlns:a16="http://schemas.microsoft.com/office/drawing/2014/main" id="{00000000-0008-0000-0700-0000E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0" name="Shape 9">
          <a:extLst>
            <a:ext uri="{FF2B5EF4-FFF2-40B4-BE49-F238E27FC236}">
              <a16:creationId xmlns:a16="http://schemas.microsoft.com/office/drawing/2014/main" id="{00000000-0008-0000-0700-0000E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1" name="Shape 9">
          <a:extLst>
            <a:ext uri="{FF2B5EF4-FFF2-40B4-BE49-F238E27FC236}">
              <a16:creationId xmlns:a16="http://schemas.microsoft.com/office/drawing/2014/main" id="{00000000-0008-0000-0700-0000E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2" name="Shape 9">
          <a:extLst>
            <a:ext uri="{FF2B5EF4-FFF2-40B4-BE49-F238E27FC236}">
              <a16:creationId xmlns:a16="http://schemas.microsoft.com/office/drawing/2014/main" id="{00000000-0008-0000-0700-0000E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3" name="Shape 9">
          <a:extLst>
            <a:ext uri="{FF2B5EF4-FFF2-40B4-BE49-F238E27FC236}">
              <a16:creationId xmlns:a16="http://schemas.microsoft.com/office/drawing/2014/main" id="{00000000-0008-0000-0700-0000E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4" name="Shape 9">
          <a:extLst>
            <a:ext uri="{FF2B5EF4-FFF2-40B4-BE49-F238E27FC236}">
              <a16:creationId xmlns:a16="http://schemas.microsoft.com/office/drawing/2014/main" id="{00000000-0008-0000-0700-0000E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5" name="Shape 7">
          <a:extLst>
            <a:ext uri="{FF2B5EF4-FFF2-40B4-BE49-F238E27FC236}">
              <a16:creationId xmlns:a16="http://schemas.microsoft.com/office/drawing/2014/main" id="{00000000-0008-0000-0700-0000E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6" name="Shape 7">
          <a:extLst>
            <a:ext uri="{FF2B5EF4-FFF2-40B4-BE49-F238E27FC236}">
              <a16:creationId xmlns:a16="http://schemas.microsoft.com/office/drawing/2014/main" id="{00000000-0008-0000-0700-0000E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7" name="Shape 7">
          <a:extLst>
            <a:ext uri="{FF2B5EF4-FFF2-40B4-BE49-F238E27FC236}">
              <a16:creationId xmlns:a16="http://schemas.microsoft.com/office/drawing/2014/main" id="{00000000-0008-0000-0700-0000E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8" name="Shape 7">
          <a:extLst>
            <a:ext uri="{FF2B5EF4-FFF2-40B4-BE49-F238E27FC236}">
              <a16:creationId xmlns:a16="http://schemas.microsoft.com/office/drawing/2014/main" id="{00000000-0008-0000-0700-0000E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29" name="Shape 8">
          <a:extLst>
            <a:ext uri="{FF2B5EF4-FFF2-40B4-BE49-F238E27FC236}">
              <a16:creationId xmlns:a16="http://schemas.microsoft.com/office/drawing/2014/main" id="{00000000-0008-0000-0700-0000E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0" name="Shape 8">
          <a:extLst>
            <a:ext uri="{FF2B5EF4-FFF2-40B4-BE49-F238E27FC236}">
              <a16:creationId xmlns:a16="http://schemas.microsoft.com/office/drawing/2014/main" id="{00000000-0008-0000-0700-0000E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1" name="Shape 8">
          <a:extLst>
            <a:ext uri="{FF2B5EF4-FFF2-40B4-BE49-F238E27FC236}">
              <a16:creationId xmlns:a16="http://schemas.microsoft.com/office/drawing/2014/main" id="{00000000-0008-0000-0700-0000E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2" name="Shape 8">
          <a:extLst>
            <a:ext uri="{FF2B5EF4-FFF2-40B4-BE49-F238E27FC236}">
              <a16:creationId xmlns:a16="http://schemas.microsoft.com/office/drawing/2014/main" id="{00000000-0008-0000-0700-0000F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3" name="Shape 7">
          <a:extLst>
            <a:ext uri="{FF2B5EF4-FFF2-40B4-BE49-F238E27FC236}">
              <a16:creationId xmlns:a16="http://schemas.microsoft.com/office/drawing/2014/main" id="{00000000-0008-0000-0700-0000F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4" name="Shape 7">
          <a:extLst>
            <a:ext uri="{FF2B5EF4-FFF2-40B4-BE49-F238E27FC236}">
              <a16:creationId xmlns:a16="http://schemas.microsoft.com/office/drawing/2014/main" id="{00000000-0008-0000-0700-0000F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5" name="Shape 7">
          <a:extLst>
            <a:ext uri="{FF2B5EF4-FFF2-40B4-BE49-F238E27FC236}">
              <a16:creationId xmlns:a16="http://schemas.microsoft.com/office/drawing/2014/main" id="{00000000-0008-0000-0700-0000F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6" name="Shape 7">
          <a:extLst>
            <a:ext uri="{FF2B5EF4-FFF2-40B4-BE49-F238E27FC236}">
              <a16:creationId xmlns:a16="http://schemas.microsoft.com/office/drawing/2014/main" id="{00000000-0008-0000-0700-0000F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7" name="Shape 7">
          <a:extLst>
            <a:ext uri="{FF2B5EF4-FFF2-40B4-BE49-F238E27FC236}">
              <a16:creationId xmlns:a16="http://schemas.microsoft.com/office/drawing/2014/main" id="{00000000-0008-0000-0700-0000F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8" name="Shape 7">
          <a:extLst>
            <a:ext uri="{FF2B5EF4-FFF2-40B4-BE49-F238E27FC236}">
              <a16:creationId xmlns:a16="http://schemas.microsoft.com/office/drawing/2014/main" id="{00000000-0008-0000-0700-0000F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9" name="Shape 7">
          <a:extLst>
            <a:ext uri="{FF2B5EF4-FFF2-40B4-BE49-F238E27FC236}">
              <a16:creationId xmlns:a16="http://schemas.microsoft.com/office/drawing/2014/main" id="{00000000-0008-0000-0700-0000F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0" name="Shape 9">
          <a:extLst>
            <a:ext uri="{FF2B5EF4-FFF2-40B4-BE49-F238E27FC236}">
              <a16:creationId xmlns:a16="http://schemas.microsoft.com/office/drawing/2014/main" id="{00000000-0008-0000-0700-0000F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1" name="Shape 9">
          <a:extLst>
            <a:ext uri="{FF2B5EF4-FFF2-40B4-BE49-F238E27FC236}">
              <a16:creationId xmlns:a16="http://schemas.microsoft.com/office/drawing/2014/main" id="{00000000-0008-0000-0700-0000F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2" name="Shape 9">
          <a:extLst>
            <a:ext uri="{FF2B5EF4-FFF2-40B4-BE49-F238E27FC236}">
              <a16:creationId xmlns:a16="http://schemas.microsoft.com/office/drawing/2014/main" id="{00000000-0008-0000-0700-0000F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3" name="Shape 9">
          <a:extLst>
            <a:ext uri="{FF2B5EF4-FFF2-40B4-BE49-F238E27FC236}">
              <a16:creationId xmlns:a16="http://schemas.microsoft.com/office/drawing/2014/main" id="{00000000-0008-0000-0700-0000F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4" name="Shape 10">
          <a:extLst>
            <a:ext uri="{FF2B5EF4-FFF2-40B4-BE49-F238E27FC236}">
              <a16:creationId xmlns:a16="http://schemas.microsoft.com/office/drawing/2014/main" id="{00000000-0008-0000-0700-0000F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5" name="Shape 10">
          <a:extLst>
            <a:ext uri="{FF2B5EF4-FFF2-40B4-BE49-F238E27FC236}">
              <a16:creationId xmlns:a16="http://schemas.microsoft.com/office/drawing/2014/main" id="{00000000-0008-0000-0700-0000F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6" name="Shape 10">
          <a:extLst>
            <a:ext uri="{FF2B5EF4-FFF2-40B4-BE49-F238E27FC236}">
              <a16:creationId xmlns:a16="http://schemas.microsoft.com/office/drawing/2014/main" id="{00000000-0008-0000-0700-0000F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7" name="Shape 10">
          <a:extLst>
            <a:ext uri="{FF2B5EF4-FFF2-40B4-BE49-F238E27FC236}">
              <a16:creationId xmlns:a16="http://schemas.microsoft.com/office/drawing/2014/main" id="{00000000-0008-0000-0700-0000F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8" name="Shape 9">
          <a:extLst>
            <a:ext uri="{FF2B5EF4-FFF2-40B4-BE49-F238E27FC236}">
              <a16:creationId xmlns:a16="http://schemas.microsoft.com/office/drawing/2014/main" id="{00000000-0008-0000-0700-00000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9" name="Shape 9">
          <a:extLst>
            <a:ext uri="{FF2B5EF4-FFF2-40B4-BE49-F238E27FC236}">
              <a16:creationId xmlns:a16="http://schemas.microsoft.com/office/drawing/2014/main" id="{00000000-0008-0000-0700-00000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0" name="Shape 9">
          <a:extLst>
            <a:ext uri="{FF2B5EF4-FFF2-40B4-BE49-F238E27FC236}">
              <a16:creationId xmlns:a16="http://schemas.microsoft.com/office/drawing/2014/main" id="{00000000-0008-0000-0700-00000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1" name="Shape 9">
          <a:extLst>
            <a:ext uri="{FF2B5EF4-FFF2-40B4-BE49-F238E27FC236}">
              <a16:creationId xmlns:a16="http://schemas.microsoft.com/office/drawing/2014/main" id="{00000000-0008-0000-0700-00000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2" name="Shape 9">
          <a:extLst>
            <a:ext uri="{FF2B5EF4-FFF2-40B4-BE49-F238E27FC236}">
              <a16:creationId xmlns:a16="http://schemas.microsoft.com/office/drawing/2014/main" id="{00000000-0008-0000-0700-00000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3" name="Shape 9">
          <a:extLst>
            <a:ext uri="{FF2B5EF4-FFF2-40B4-BE49-F238E27FC236}">
              <a16:creationId xmlns:a16="http://schemas.microsoft.com/office/drawing/2014/main" id="{00000000-0008-0000-0700-00000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4" name="Shape 9">
          <a:extLst>
            <a:ext uri="{FF2B5EF4-FFF2-40B4-BE49-F238E27FC236}">
              <a16:creationId xmlns:a16="http://schemas.microsoft.com/office/drawing/2014/main" id="{00000000-0008-0000-0700-00000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5" name="Shape 7">
          <a:extLst>
            <a:ext uri="{FF2B5EF4-FFF2-40B4-BE49-F238E27FC236}">
              <a16:creationId xmlns:a16="http://schemas.microsoft.com/office/drawing/2014/main" id="{00000000-0008-0000-0700-00000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6" name="Shape 7">
          <a:extLst>
            <a:ext uri="{FF2B5EF4-FFF2-40B4-BE49-F238E27FC236}">
              <a16:creationId xmlns:a16="http://schemas.microsoft.com/office/drawing/2014/main" id="{00000000-0008-0000-0700-00000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7" name="Shape 7">
          <a:extLst>
            <a:ext uri="{FF2B5EF4-FFF2-40B4-BE49-F238E27FC236}">
              <a16:creationId xmlns:a16="http://schemas.microsoft.com/office/drawing/2014/main" id="{00000000-0008-0000-0700-00000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8" name="Shape 7">
          <a:extLst>
            <a:ext uri="{FF2B5EF4-FFF2-40B4-BE49-F238E27FC236}">
              <a16:creationId xmlns:a16="http://schemas.microsoft.com/office/drawing/2014/main" id="{00000000-0008-0000-0700-00000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59" name="Shape 8">
          <a:extLst>
            <a:ext uri="{FF2B5EF4-FFF2-40B4-BE49-F238E27FC236}">
              <a16:creationId xmlns:a16="http://schemas.microsoft.com/office/drawing/2014/main" id="{00000000-0008-0000-0700-00000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0" name="Shape 8">
          <a:extLst>
            <a:ext uri="{FF2B5EF4-FFF2-40B4-BE49-F238E27FC236}">
              <a16:creationId xmlns:a16="http://schemas.microsoft.com/office/drawing/2014/main" id="{00000000-0008-0000-0700-00000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1" name="Shape 8">
          <a:extLs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2" name="Shape 8">
          <a:extLst>
            <a:ext uri="{FF2B5EF4-FFF2-40B4-BE49-F238E27FC236}">
              <a16:creationId xmlns:a16="http://schemas.microsoft.com/office/drawing/2014/main" id="{00000000-0008-0000-0700-00000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3" name="Shape 7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4" name="Shape 7">
          <a:extLst>
            <a:ext uri="{FF2B5EF4-FFF2-40B4-BE49-F238E27FC236}">
              <a16:creationId xmlns:a16="http://schemas.microsoft.com/office/drawing/2014/main" id="{00000000-0008-0000-0700-00001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5" name="Shape 7">
          <a:extLst>
            <a:ext uri="{FF2B5EF4-FFF2-40B4-BE49-F238E27FC236}">
              <a16:creationId xmlns:a16="http://schemas.microsoft.com/office/drawing/2014/main" id="{00000000-0008-0000-0700-00001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6" name="Shape 7">
          <a:extLst>
            <a:ext uri="{FF2B5EF4-FFF2-40B4-BE49-F238E27FC236}">
              <a16:creationId xmlns:a16="http://schemas.microsoft.com/office/drawing/2014/main" id="{00000000-0008-0000-0700-00001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7" name="Shape 7">
          <a:extLst>
            <a:ext uri="{FF2B5EF4-FFF2-40B4-BE49-F238E27FC236}">
              <a16:creationId xmlns:a16="http://schemas.microsoft.com/office/drawing/2014/main" id="{00000000-0008-0000-0700-00001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8" name="Shape 7">
          <a:extLst>
            <a:ext uri="{FF2B5EF4-FFF2-40B4-BE49-F238E27FC236}">
              <a16:creationId xmlns:a16="http://schemas.microsoft.com/office/drawing/2014/main" id="{00000000-0008-0000-0700-00001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9" name="Shape 7">
          <a:extLst>
            <a:ext uri="{FF2B5EF4-FFF2-40B4-BE49-F238E27FC236}">
              <a16:creationId xmlns:a16="http://schemas.microsoft.com/office/drawing/2014/main" id="{00000000-0008-0000-0700-00001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0" name="Shape 9">
          <a:extLst>
            <a:ext uri="{FF2B5EF4-FFF2-40B4-BE49-F238E27FC236}">
              <a16:creationId xmlns:a16="http://schemas.microsoft.com/office/drawing/2014/main" id="{00000000-0008-0000-0700-00001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1" name="Shape 9">
          <a:extLst>
            <a:ext uri="{FF2B5EF4-FFF2-40B4-BE49-F238E27FC236}">
              <a16:creationId xmlns:a16="http://schemas.microsoft.com/office/drawing/2014/main" id="{00000000-0008-0000-0700-00001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2" name="Shape 9">
          <a:extLst>
            <a:ext uri="{FF2B5EF4-FFF2-40B4-BE49-F238E27FC236}">
              <a16:creationId xmlns:a16="http://schemas.microsoft.com/office/drawing/2014/main" id="{00000000-0008-0000-0700-00001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3" name="Shape 9">
          <a:extLs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4" name="Shape 10">
          <a:extLs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5" name="Shape 10">
          <a:extLst>
            <a:ext uri="{FF2B5EF4-FFF2-40B4-BE49-F238E27FC236}">
              <a16:creationId xmlns:a16="http://schemas.microsoft.com/office/drawing/2014/main" id="{00000000-0008-0000-0700-00001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6" name="Shape 10">
          <a:extLst>
            <a:ext uri="{FF2B5EF4-FFF2-40B4-BE49-F238E27FC236}">
              <a16:creationId xmlns:a16="http://schemas.microsoft.com/office/drawing/2014/main" id="{00000000-0008-0000-0700-00001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7" name="Shape 10">
          <a:extLst>
            <a:ext uri="{FF2B5EF4-FFF2-40B4-BE49-F238E27FC236}">
              <a16:creationId xmlns:a16="http://schemas.microsoft.com/office/drawing/2014/main" id="{00000000-0008-0000-0700-00001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8" name="Shape 9">
          <a:extLst>
            <a:ext uri="{FF2B5EF4-FFF2-40B4-BE49-F238E27FC236}">
              <a16:creationId xmlns:a16="http://schemas.microsoft.com/office/drawing/2014/main" id="{00000000-0008-0000-0700-00001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9" name="Shape 9">
          <a:extLst>
            <a:ext uri="{FF2B5EF4-FFF2-40B4-BE49-F238E27FC236}">
              <a16:creationId xmlns:a16="http://schemas.microsoft.com/office/drawing/2014/main" id="{00000000-0008-0000-0700-00001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0" name="Shape 9">
          <a:extLst>
            <a:ext uri="{FF2B5EF4-FFF2-40B4-BE49-F238E27FC236}">
              <a16:creationId xmlns:a16="http://schemas.microsoft.com/office/drawing/2014/main" id="{00000000-0008-0000-0700-00002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1" name="Shape 9">
          <a:extLst>
            <a:ext uri="{FF2B5EF4-FFF2-40B4-BE49-F238E27FC236}">
              <a16:creationId xmlns:a16="http://schemas.microsoft.com/office/drawing/2014/main" id="{00000000-0008-0000-0700-00002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2" name="Shape 9">
          <a:extLst>
            <a:ext uri="{FF2B5EF4-FFF2-40B4-BE49-F238E27FC236}">
              <a16:creationId xmlns:a16="http://schemas.microsoft.com/office/drawing/2014/main" id="{00000000-0008-0000-0700-00002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3" name="Shape 9">
          <a:extLst>
            <a:ext uri="{FF2B5EF4-FFF2-40B4-BE49-F238E27FC236}">
              <a16:creationId xmlns:a16="http://schemas.microsoft.com/office/drawing/2014/main" id="{00000000-0008-0000-0700-00002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4" name="Shape 9">
          <a:extLst>
            <a:ext uri="{FF2B5EF4-FFF2-40B4-BE49-F238E27FC236}">
              <a16:creationId xmlns:a16="http://schemas.microsoft.com/office/drawing/2014/main" id="{00000000-0008-0000-0700-00002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5" name="Shape 7">
          <a:extLst>
            <a:ext uri="{FF2B5EF4-FFF2-40B4-BE49-F238E27FC236}">
              <a16:creationId xmlns:a16="http://schemas.microsoft.com/office/drawing/2014/main" id="{00000000-0008-0000-0700-00002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6" name="Shape 7">
          <a:extLst>
            <a:ext uri="{FF2B5EF4-FFF2-40B4-BE49-F238E27FC236}">
              <a16:creationId xmlns:a16="http://schemas.microsoft.com/office/drawing/2014/main" id="{00000000-0008-0000-0700-00002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7" name="Shape 7">
          <a:extLst>
            <a:ext uri="{FF2B5EF4-FFF2-40B4-BE49-F238E27FC236}">
              <a16:creationId xmlns:a16="http://schemas.microsoft.com/office/drawing/2014/main" id="{00000000-0008-0000-0700-00002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8" name="Shape 7">
          <a:extLst>
            <a:ext uri="{FF2B5EF4-FFF2-40B4-BE49-F238E27FC236}">
              <a16:creationId xmlns:a16="http://schemas.microsoft.com/office/drawing/2014/main" id="{00000000-0008-0000-0700-00002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89" name="Shape 8">
          <a:extLst>
            <a:ext uri="{FF2B5EF4-FFF2-40B4-BE49-F238E27FC236}">
              <a16:creationId xmlns:a16="http://schemas.microsoft.com/office/drawing/2014/main" id="{00000000-0008-0000-0700-00002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0" name="Shape 8">
          <a:extLst>
            <a:ext uri="{FF2B5EF4-FFF2-40B4-BE49-F238E27FC236}">
              <a16:creationId xmlns:a16="http://schemas.microsoft.com/office/drawing/2014/main" id="{00000000-0008-0000-0700-00002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1" name="Shape 8">
          <a:extLst>
            <a:ext uri="{FF2B5EF4-FFF2-40B4-BE49-F238E27FC236}">
              <a16:creationId xmlns:a16="http://schemas.microsoft.com/office/drawing/2014/main" id="{00000000-0008-0000-0700-00002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2" name="Shape 8">
          <a:extLst>
            <a:ext uri="{FF2B5EF4-FFF2-40B4-BE49-F238E27FC236}">
              <a16:creationId xmlns:a16="http://schemas.microsoft.com/office/drawing/2014/main" id="{00000000-0008-0000-0700-00002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3" name="Shape 7">
          <a:extLst>
            <a:ext uri="{FF2B5EF4-FFF2-40B4-BE49-F238E27FC236}">
              <a16:creationId xmlns:a16="http://schemas.microsoft.com/office/drawing/2014/main" id="{00000000-0008-0000-0700-00002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4" name="Shape 7">
          <a:extLst>
            <a:ext uri="{FF2B5EF4-FFF2-40B4-BE49-F238E27FC236}">
              <a16:creationId xmlns:a16="http://schemas.microsoft.com/office/drawing/2014/main" id="{00000000-0008-0000-0700-00002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5" name="Shape 7">
          <a:extLst>
            <a:ext uri="{FF2B5EF4-FFF2-40B4-BE49-F238E27FC236}">
              <a16:creationId xmlns:a16="http://schemas.microsoft.com/office/drawing/2014/main" id="{00000000-0008-0000-0700-00002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6" name="Shape 7">
          <a:extLst>
            <a:ext uri="{FF2B5EF4-FFF2-40B4-BE49-F238E27FC236}">
              <a16:creationId xmlns:a16="http://schemas.microsoft.com/office/drawing/2014/main" id="{00000000-0008-0000-0700-00003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7" name="Shape 7">
          <a:extLst>
            <a:ext uri="{FF2B5EF4-FFF2-40B4-BE49-F238E27FC236}">
              <a16:creationId xmlns:a16="http://schemas.microsoft.com/office/drawing/2014/main" id="{00000000-0008-0000-0700-00003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8" name="Shape 7">
          <a:extLst>
            <a:ext uri="{FF2B5EF4-FFF2-40B4-BE49-F238E27FC236}">
              <a16:creationId xmlns:a16="http://schemas.microsoft.com/office/drawing/2014/main" id="{00000000-0008-0000-0700-00003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9" name="Shape 7">
          <a:extLst>
            <a:ext uri="{FF2B5EF4-FFF2-40B4-BE49-F238E27FC236}">
              <a16:creationId xmlns:a16="http://schemas.microsoft.com/office/drawing/2014/main" id="{00000000-0008-0000-0700-00003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0" name="Shape 9">
          <a:extLst>
            <a:ext uri="{FF2B5EF4-FFF2-40B4-BE49-F238E27FC236}">
              <a16:creationId xmlns:a16="http://schemas.microsoft.com/office/drawing/2014/main" id="{00000000-0008-0000-0700-00003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1" name="Shape 9">
          <a:extLst>
            <a:ext uri="{FF2B5EF4-FFF2-40B4-BE49-F238E27FC236}">
              <a16:creationId xmlns:a16="http://schemas.microsoft.com/office/drawing/2014/main" id="{00000000-0008-0000-0700-00003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2" name="Shape 9">
          <a:extLst>
            <a:ext uri="{FF2B5EF4-FFF2-40B4-BE49-F238E27FC236}">
              <a16:creationId xmlns:a16="http://schemas.microsoft.com/office/drawing/2014/main" id="{00000000-0008-0000-0700-00003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3" name="Shape 9">
          <a:extLst>
            <a:ext uri="{FF2B5EF4-FFF2-40B4-BE49-F238E27FC236}">
              <a16:creationId xmlns:a16="http://schemas.microsoft.com/office/drawing/2014/main" id="{00000000-0008-0000-0700-00003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4" name="Shape 10">
          <a:extLst>
            <a:ext uri="{FF2B5EF4-FFF2-40B4-BE49-F238E27FC236}">
              <a16:creationId xmlns:a16="http://schemas.microsoft.com/office/drawing/2014/main" id="{00000000-0008-0000-0700-00003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5" name="Shape 10">
          <a:extLst>
            <a:ext uri="{FF2B5EF4-FFF2-40B4-BE49-F238E27FC236}">
              <a16:creationId xmlns:a16="http://schemas.microsoft.com/office/drawing/2014/main" id="{00000000-0008-0000-0700-00003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6" name="Shape 10">
          <a:extLst>
            <a:ext uri="{FF2B5EF4-FFF2-40B4-BE49-F238E27FC236}">
              <a16:creationId xmlns:a16="http://schemas.microsoft.com/office/drawing/2014/main" id="{00000000-0008-0000-0700-00003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7" name="Shape 10">
          <a:extLst>
            <a:ext uri="{FF2B5EF4-FFF2-40B4-BE49-F238E27FC236}">
              <a16:creationId xmlns:a16="http://schemas.microsoft.com/office/drawing/2014/main" id="{00000000-0008-0000-0700-00003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8" name="Shape 9">
          <a:extLst>
            <a:ext uri="{FF2B5EF4-FFF2-40B4-BE49-F238E27FC236}">
              <a16:creationId xmlns:a16="http://schemas.microsoft.com/office/drawing/2014/main" id="{00000000-0008-0000-0700-00003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9" name="Shape 9">
          <a:extLst>
            <a:ext uri="{FF2B5EF4-FFF2-40B4-BE49-F238E27FC236}">
              <a16:creationId xmlns:a16="http://schemas.microsoft.com/office/drawing/2014/main" id="{00000000-0008-0000-0700-00003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0" name="Shape 9">
          <a:extLst>
            <a:ext uri="{FF2B5EF4-FFF2-40B4-BE49-F238E27FC236}">
              <a16:creationId xmlns:a16="http://schemas.microsoft.com/office/drawing/2014/main" id="{00000000-0008-0000-0700-00003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1" name="Shape 9">
          <a:extLst>
            <a:ext uri="{FF2B5EF4-FFF2-40B4-BE49-F238E27FC236}">
              <a16:creationId xmlns:a16="http://schemas.microsoft.com/office/drawing/2014/main" id="{00000000-0008-0000-0700-00003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2" name="Shape 9">
          <a:extLst>
            <a:ext uri="{FF2B5EF4-FFF2-40B4-BE49-F238E27FC236}">
              <a16:creationId xmlns:a16="http://schemas.microsoft.com/office/drawing/2014/main" id="{00000000-0008-0000-0700-00004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3" name="Shape 9">
          <a:extLst>
            <a:ext uri="{FF2B5EF4-FFF2-40B4-BE49-F238E27FC236}">
              <a16:creationId xmlns:a16="http://schemas.microsoft.com/office/drawing/2014/main" id="{00000000-0008-0000-0700-00004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4" name="Shape 9">
          <a:extLst>
            <a:ext uri="{FF2B5EF4-FFF2-40B4-BE49-F238E27FC236}">
              <a16:creationId xmlns:a16="http://schemas.microsoft.com/office/drawing/2014/main" id="{00000000-0008-0000-0700-00004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5" name="Shape 7">
          <a:extLst>
            <a:ext uri="{FF2B5EF4-FFF2-40B4-BE49-F238E27FC236}">
              <a16:creationId xmlns:a16="http://schemas.microsoft.com/office/drawing/2014/main" id="{00000000-0008-0000-0700-00004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6" name="Shape 7">
          <a:extLst>
            <a:ext uri="{FF2B5EF4-FFF2-40B4-BE49-F238E27FC236}">
              <a16:creationId xmlns:a16="http://schemas.microsoft.com/office/drawing/2014/main" id="{00000000-0008-0000-0700-00004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7" name="Shape 7">
          <a:extLst>
            <a:ext uri="{FF2B5EF4-FFF2-40B4-BE49-F238E27FC236}">
              <a16:creationId xmlns:a16="http://schemas.microsoft.com/office/drawing/2014/main" id="{00000000-0008-0000-0700-00004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8" name="Shape 7">
          <a:extLst>
            <a:ext uri="{FF2B5EF4-FFF2-40B4-BE49-F238E27FC236}">
              <a16:creationId xmlns:a16="http://schemas.microsoft.com/office/drawing/2014/main" id="{00000000-0008-0000-0700-00004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19" name="Shape 8">
          <a:extLst>
            <a:ext uri="{FF2B5EF4-FFF2-40B4-BE49-F238E27FC236}">
              <a16:creationId xmlns:a16="http://schemas.microsoft.com/office/drawing/2014/main" id="{00000000-0008-0000-0700-00004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0" name="Shape 8">
          <a:extLst>
            <a:ext uri="{FF2B5EF4-FFF2-40B4-BE49-F238E27FC236}">
              <a16:creationId xmlns:a16="http://schemas.microsoft.com/office/drawing/2014/main" id="{00000000-0008-0000-0700-00004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1" name="Shape 8">
          <a:extLst>
            <a:ext uri="{FF2B5EF4-FFF2-40B4-BE49-F238E27FC236}">
              <a16:creationId xmlns:a16="http://schemas.microsoft.com/office/drawing/2014/main" id="{00000000-0008-0000-0700-00004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2" name="Shape 8">
          <a:extLst>
            <a:ext uri="{FF2B5EF4-FFF2-40B4-BE49-F238E27FC236}">
              <a16:creationId xmlns:a16="http://schemas.microsoft.com/office/drawing/2014/main" id="{00000000-0008-0000-0700-00004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3" name="Shape 7">
          <a:extLst>
            <a:ext uri="{FF2B5EF4-FFF2-40B4-BE49-F238E27FC236}">
              <a16:creationId xmlns:a16="http://schemas.microsoft.com/office/drawing/2014/main" id="{00000000-0008-0000-0700-00004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4" name="Shape 7">
          <a:extLst>
            <a:ext uri="{FF2B5EF4-FFF2-40B4-BE49-F238E27FC236}">
              <a16:creationId xmlns:a16="http://schemas.microsoft.com/office/drawing/2014/main" id="{00000000-0008-0000-0700-00004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5" name="Shape 7">
          <a:extLst>
            <a:ext uri="{FF2B5EF4-FFF2-40B4-BE49-F238E27FC236}">
              <a16:creationId xmlns:a16="http://schemas.microsoft.com/office/drawing/2014/main" id="{00000000-0008-0000-0700-00004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6" name="Shape 7">
          <a:extLst>
            <a:ext uri="{FF2B5EF4-FFF2-40B4-BE49-F238E27FC236}">
              <a16:creationId xmlns:a16="http://schemas.microsoft.com/office/drawing/2014/main" id="{00000000-0008-0000-0700-00004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7" name="Shape 7">
          <a:extLst>
            <a:ext uri="{FF2B5EF4-FFF2-40B4-BE49-F238E27FC236}">
              <a16:creationId xmlns:a16="http://schemas.microsoft.com/office/drawing/2014/main" id="{00000000-0008-0000-0700-00004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8" name="Shape 7">
          <a:extLst>
            <a:ext uri="{FF2B5EF4-FFF2-40B4-BE49-F238E27FC236}">
              <a16:creationId xmlns:a16="http://schemas.microsoft.com/office/drawing/2014/main" id="{00000000-0008-0000-0700-00005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9" name="Shape 7">
          <a:extLst>
            <a:ext uri="{FF2B5EF4-FFF2-40B4-BE49-F238E27FC236}">
              <a16:creationId xmlns:a16="http://schemas.microsoft.com/office/drawing/2014/main" id="{00000000-0008-0000-0700-00005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0" name="Shape 9">
          <a:extLst>
            <a:ext uri="{FF2B5EF4-FFF2-40B4-BE49-F238E27FC236}">
              <a16:creationId xmlns:a16="http://schemas.microsoft.com/office/drawing/2014/main" id="{00000000-0008-0000-0700-00005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1" name="Shape 9">
          <a:extLst>
            <a:ext uri="{FF2B5EF4-FFF2-40B4-BE49-F238E27FC236}">
              <a16:creationId xmlns:a16="http://schemas.microsoft.com/office/drawing/2014/main" id="{00000000-0008-0000-0700-00005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2" name="Shape 9">
          <a:extLst>
            <a:ext uri="{FF2B5EF4-FFF2-40B4-BE49-F238E27FC236}">
              <a16:creationId xmlns:a16="http://schemas.microsoft.com/office/drawing/2014/main" id="{00000000-0008-0000-0700-00005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3" name="Shape 9">
          <a:extLst>
            <a:ext uri="{FF2B5EF4-FFF2-40B4-BE49-F238E27FC236}">
              <a16:creationId xmlns:a16="http://schemas.microsoft.com/office/drawing/2014/main" id="{00000000-0008-0000-0700-00005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4" name="Shape 10">
          <a:extLst>
            <a:ext uri="{FF2B5EF4-FFF2-40B4-BE49-F238E27FC236}">
              <a16:creationId xmlns:a16="http://schemas.microsoft.com/office/drawing/2014/main" id="{00000000-0008-0000-0700-00005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5" name="Shape 10">
          <a:extLst>
            <a:ext uri="{FF2B5EF4-FFF2-40B4-BE49-F238E27FC236}">
              <a16:creationId xmlns:a16="http://schemas.microsoft.com/office/drawing/2014/main" id="{00000000-0008-0000-0700-00005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6" name="Shape 10">
          <a:extLst>
            <a:ext uri="{FF2B5EF4-FFF2-40B4-BE49-F238E27FC236}">
              <a16:creationId xmlns:a16="http://schemas.microsoft.com/office/drawing/2014/main" id="{00000000-0008-0000-0700-00005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7" name="Shape 10">
          <a:extLst>
            <a:ext uri="{FF2B5EF4-FFF2-40B4-BE49-F238E27FC236}">
              <a16:creationId xmlns:a16="http://schemas.microsoft.com/office/drawing/2014/main" id="{00000000-0008-0000-0700-00005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8" name="Shape 9">
          <a:extLst>
            <a:ext uri="{FF2B5EF4-FFF2-40B4-BE49-F238E27FC236}">
              <a16:creationId xmlns:a16="http://schemas.microsoft.com/office/drawing/2014/main" id="{00000000-0008-0000-0700-00005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9" name="Shape 9">
          <a:extLst>
            <a:ext uri="{FF2B5EF4-FFF2-40B4-BE49-F238E27FC236}">
              <a16:creationId xmlns:a16="http://schemas.microsoft.com/office/drawing/2014/main" id="{00000000-0008-0000-0700-00005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0" name="Shape 9">
          <a:extLst>
            <a:ext uri="{FF2B5EF4-FFF2-40B4-BE49-F238E27FC236}">
              <a16:creationId xmlns:a16="http://schemas.microsoft.com/office/drawing/2014/main" id="{00000000-0008-0000-0700-00005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1" name="Shape 9">
          <a:extLst>
            <a:ext uri="{FF2B5EF4-FFF2-40B4-BE49-F238E27FC236}">
              <a16:creationId xmlns:a16="http://schemas.microsoft.com/office/drawing/2014/main" id="{00000000-0008-0000-0700-00005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2" name="Shape 9">
          <a:extLst>
            <a:ext uri="{FF2B5EF4-FFF2-40B4-BE49-F238E27FC236}">
              <a16:creationId xmlns:a16="http://schemas.microsoft.com/office/drawing/2014/main" id="{00000000-0008-0000-0700-00005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3" name="Shape 9">
          <a:extLst>
            <a:ext uri="{FF2B5EF4-FFF2-40B4-BE49-F238E27FC236}">
              <a16:creationId xmlns:a16="http://schemas.microsoft.com/office/drawing/2014/main" id="{00000000-0008-0000-0700-00005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4" name="Shape 9">
          <a:extLst>
            <a:ext uri="{FF2B5EF4-FFF2-40B4-BE49-F238E27FC236}">
              <a16:creationId xmlns:a16="http://schemas.microsoft.com/office/drawing/2014/main" id="{00000000-0008-0000-0700-00006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5" name="Shape 7">
          <a:extLst>
            <a:ext uri="{FF2B5EF4-FFF2-40B4-BE49-F238E27FC236}">
              <a16:creationId xmlns:a16="http://schemas.microsoft.com/office/drawing/2014/main" id="{00000000-0008-0000-0700-00006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6" name="Shape 7">
          <a:extLst>
            <a:ext uri="{FF2B5EF4-FFF2-40B4-BE49-F238E27FC236}">
              <a16:creationId xmlns:a16="http://schemas.microsoft.com/office/drawing/2014/main" id="{00000000-0008-0000-0700-00006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7" name="Shape 7">
          <a:extLst>
            <a:ext uri="{FF2B5EF4-FFF2-40B4-BE49-F238E27FC236}">
              <a16:creationId xmlns:a16="http://schemas.microsoft.com/office/drawing/2014/main" id="{00000000-0008-0000-0700-00006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8" name="Shape 7">
          <a:extLst>
            <a:ext uri="{FF2B5EF4-FFF2-40B4-BE49-F238E27FC236}">
              <a16:creationId xmlns:a16="http://schemas.microsoft.com/office/drawing/2014/main" id="{00000000-0008-0000-0700-00006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49" name="Shape 8">
          <a:extLst>
            <a:ext uri="{FF2B5EF4-FFF2-40B4-BE49-F238E27FC236}">
              <a16:creationId xmlns:a16="http://schemas.microsoft.com/office/drawing/2014/main" id="{00000000-0008-0000-0700-00006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0" name="Shape 8">
          <a:extLst>
            <a:ext uri="{FF2B5EF4-FFF2-40B4-BE49-F238E27FC236}">
              <a16:creationId xmlns:a16="http://schemas.microsoft.com/office/drawing/2014/main" id="{00000000-0008-0000-0700-00006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1" name="Shape 8">
          <a:extLst>
            <a:ext uri="{FF2B5EF4-FFF2-40B4-BE49-F238E27FC236}">
              <a16:creationId xmlns:a16="http://schemas.microsoft.com/office/drawing/2014/main" id="{00000000-0008-0000-0700-00006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2" name="Shape 8">
          <a:extLst>
            <a:ext uri="{FF2B5EF4-FFF2-40B4-BE49-F238E27FC236}">
              <a16:creationId xmlns:a16="http://schemas.microsoft.com/office/drawing/2014/main" id="{00000000-0008-0000-0700-00006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3" name="Shape 7">
          <a:extLst>
            <a:ext uri="{FF2B5EF4-FFF2-40B4-BE49-F238E27FC236}">
              <a16:creationId xmlns:a16="http://schemas.microsoft.com/office/drawing/2014/main" id="{00000000-0008-0000-0700-00006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4" name="Shape 7">
          <a:extLst>
            <a:ext uri="{FF2B5EF4-FFF2-40B4-BE49-F238E27FC236}">
              <a16:creationId xmlns:a16="http://schemas.microsoft.com/office/drawing/2014/main" id="{00000000-0008-0000-0700-00006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5" name="Shape 7">
          <a:extLst>
            <a:ext uri="{FF2B5EF4-FFF2-40B4-BE49-F238E27FC236}">
              <a16:creationId xmlns:a16="http://schemas.microsoft.com/office/drawing/2014/main" id="{00000000-0008-0000-0700-00006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6" name="Shape 7">
          <a:extLst>
            <a:ext uri="{FF2B5EF4-FFF2-40B4-BE49-F238E27FC236}">
              <a16:creationId xmlns:a16="http://schemas.microsoft.com/office/drawing/2014/main" id="{00000000-0008-0000-0700-00006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7" name="Shape 7">
          <a:extLst>
            <a:ext uri="{FF2B5EF4-FFF2-40B4-BE49-F238E27FC236}">
              <a16:creationId xmlns:a16="http://schemas.microsoft.com/office/drawing/2014/main" id="{00000000-0008-0000-0700-00006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8" name="Shape 7">
          <a:extLst>
            <a:ext uri="{FF2B5EF4-FFF2-40B4-BE49-F238E27FC236}">
              <a16:creationId xmlns:a16="http://schemas.microsoft.com/office/drawing/2014/main" id="{00000000-0008-0000-0700-00006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9" name="Shape 7">
          <a:extLst>
            <a:ext uri="{FF2B5EF4-FFF2-40B4-BE49-F238E27FC236}">
              <a16:creationId xmlns:a16="http://schemas.microsoft.com/office/drawing/2014/main" id="{00000000-0008-0000-0700-00006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0" name="Shape 9">
          <a:extLst>
            <a:ext uri="{FF2B5EF4-FFF2-40B4-BE49-F238E27FC236}">
              <a16:creationId xmlns:a16="http://schemas.microsoft.com/office/drawing/2014/main" id="{00000000-0008-0000-0700-00007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1" name="Shape 9">
          <a:extLst>
            <a:ext uri="{FF2B5EF4-FFF2-40B4-BE49-F238E27FC236}">
              <a16:creationId xmlns:a16="http://schemas.microsoft.com/office/drawing/2014/main" id="{00000000-0008-0000-0700-00007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2" name="Shape 9">
          <a:extLst>
            <a:ext uri="{FF2B5EF4-FFF2-40B4-BE49-F238E27FC236}">
              <a16:creationId xmlns:a16="http://schemas.microsoft.com/office/drawing/2014/main" id="{00000000-0008-0000-0700-00007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3" name="Shape 9">
          <a:extLst>
            <a:ext uri="{FF2B5EF4-FFF2-40B4-BE49-F238E27FC236}">
              <a16:creationId xmlns:a16="http://schemas.microsoft.com/office/drawing/2014/main" id="{00000000-0008-0000-0700-00007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4" name="Shape 10">
          <a:extLst>
            <a:ext uri="{FF2B5EF4-FFF2-40B4-BE49-F238E27FC236}">
              <a16:creationId xmlns:a16="http://schemas.microsoft.com/office/drawing/2014/main" id="{00000000-0008-0000-0700-00007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5" name="Shape 10">
          <a:extLst>
            <a:ext uri="{FF2B5EF4-FFF2-40B4-BE49-F238E27FC236}">
              <a16:creationId xmlns:a16="http://schemas.microsoft.com/office/drawing/2014/main" id="{00000000-0008-0000-0700-00007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6" name="Shape 10">
          <a:extLst>
            <a:ext uri="{FF2B5EF4-FFF2-40B4-BE49-F238E27FC236}">
              <a16:creationId xmlns:a16="http://schemas.microsoft.com/office/drawing/2014/main" id="{00000000-0008-0000-0700-00007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7" name="Shape 10">
          <a:extLst>
            <a:ext uri="{FF2B5EF4-FFF2-40B4-BE49-F238E27FC236}">
              <a16:creationId xmlns:a16="http://schemas.microsoft.com/office/drawing/2014/main" id="{00000000-0008-0000-0700-00007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8" name="Shape 9">
          <a:extLst>
            <a:ext uri="{FF2B5EF4-FFF2-40B4-BE49-F238E27FC236}">
              <a16:creationId xmlns:a16="http://schemas.microsoft.com/office/drawing/2014/main" id="{00000000-0008-0000-0700-00007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9" name="Shape 9">
          <a:extLst>
            <a:ext uri="{FF2B5EF4-FFF2-40B4-BE49-F238E27FC236}">
              <a16:creationId xmlns:a16="http://schemas.microsoft.com/office/drawing/2014/main" id="{00000000-0008-0000-0700-00007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0" name="Shape 9">
          <a:extLst>
            <a:ext uri="{FF2B5EF4-FFF2-40B4-BE49-F238E27FC236}">
              <a16:creationId xmlns:a16="http://schemas.microsoft.com/office/drawing/2014/main" id="{00000000-0008-0000-0700-00007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1" name="Shape 9">
          <a:extLst>
            <a:ext uri="{FF2B5EF4-FFF2-40B4-BE49-F238E27FC236}">
              <a16:creationId xmlns:a16="http://schemas.microsoft.com/office/drawing/2014/main" id="{00000000-0008-0000-0700-00007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2" name="Shape 9">
          <a:extLst>
            <a:ext uri="{FF2B5EF4-FFF2-40B4-BE49-F238E27FC236}">
              <a16:creationId xmlns:a16="http://schemas.microsoft.com/office/drawing/2014/main" id="{00000000-0008-0000-0700-00007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3" name="Shape 9">
          <a:extLst>
            <a:ext uri="{FF2B5EF4-FFF2-40B4-BE49-F238E27FC236}">
              <a16:creationId xmlns:a16="http://schemas.microsoft.com/office/drawing/2014/main" id="{00000000-0008-0000-0700-00007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4" name="Shape 9">
          <a:extLst>
            <a:ext uri="{FF2B5EF4-FFF2-40B4-BE49-F238E27FC236}">
              <a16:creationId xmlns:a16="http://schemas.microsoft.com/office/drawing/2014/main" id="{00000000-0008-0000-0700-00007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5" name="Shape 7">
          <a:extLst>
            <a:ext uri="{FF2B5EF4-FFF2-40B4-BE49-F238E27FC236}">
              <a16:creationId xmlns:a16="http://schemas.microsoft.com/office/drawing/2014/main" id="{00000000-0008-0000-0700-00007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6" name="Shape 7">
          <a:extLst>
            <a:ext uri="{FF2B5EF4-FFF2-40B4-BE49-F238E27FC236}">
              <a16:creationId xmlns:a16="http://schemas.microsoft.com/office/drawing/2014/main" id="{00000000-0008-0000-0700-00008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7" name="Shape 7">
          <a:extLst>
            <a:ext uri="{FF2B5EF4-FFF2-40B4-BE49-F238E27FC236}">
              <a16:creationId xmlns:a16="http://schemas.microsoft.com/office/drawing/2014/main" id="{00000000-0008-0000-0700-00008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8" name="Shape 7">
          <a:extLst>
            <a:ext uri="{FF2B5EF4-FFF2-40B4-BE49-F238E27FC236}">
              <a16:creationId xmlns:a16="http://schemas.microsoft.com/office/drawing/2014/main" id="{00000000-0008-0000-0700-00008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79" name="Shape 8">
          <a:extLst>
            <a:ext uri="{FF2B5EF4-FFF2-40B4-BE49-F238E27FC236}">
              <a16:creationId xmlns:a16="http://schemas.microsoft.com/office/drawing/2014/main" id="{00000000-0008-0000-0700-00008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0" name="Shape 8">
          <a:extLst>
            <a:ext uri="{FF2B5EF4-FFF2-40B4-BE49-F238E27FC236}">
              <a16:creationId xmlns:a16="http://schemas.microsoft.com/office/drawing/2014/main" id="{00000000-0008-0000-0700-00008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1" name="Shape 8">
          <a:extLst>
            <a:ext uri="{FF2B5EF4-FFF2-40B4-BE49-F238E27FC236}">
              <a16:creationId xmlns:a16="http://schemas.microsoft.com/office/drawing/2014/main" id="{00000000-0008-0000-0700-00008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2" name="Shape 8">
          <a:extLst>
            <a:ext uri="{FF2B5EF4-FFF2-40B4-BE49-F238E27FC236}">
              <a16:creationId xmlns:a16="http://schemas.microsoft.com/office/drawing/2014/main" id="{00000000-0008-0000-0700-00008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3" name="Shape 7">
          <a:extLst>
            <a:ext uri="{FF2B5EF4-FFF2-40B4-BE49-F238E27FC236}">
              <a16:creationId xmlns:a16="http://schemas.microsoft.com/office/drawing/2014/main" id="{00000000-0008-0000-0700-00008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4" name="Shape 7">
          <a:extLst>
            <a:ext uri="{FF2B5EF4-FFF2-40B4-BE49-F238E27FC236}">
              <a16:creationId xmlns:a16="http://schemas.microsoft.com/office/drawing/2014/main" id="{00000000-0008-0000-0700-00008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5" name="Shape 7">
          <a:extLst>
            <a:ext uri="{FF2B5EF4-FFF2-40B4-BE49-F238E27FC236}">
              <a16:creationId xmlns:a16="http://schemas.microsoft.com/office/drawing/2014/main" id="{00000000-0008-0000-0700-00008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6" name="Shape 7">
          <a:extLst>
            <a:ext uri="{FF2B5EF4-FFF2-40B4-BE49-F238E27FC236}">
              <a16:creationId xmlns:a16="http://schemas.microsoft.com/office/drawing/2014/main" id="{00000000-0008-0000-0700-00008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7" name="Shape 7">
          <a:extLst>
            <a:ext uri="{FF2B5EF4-FFF2-40B4-BE49-F238E27FC236}">
              <a16:creationId xmlns:a16="http://schemas.microsoft.com/office/drawing/2014/main" id="{00000000-0008-0000-0700-00008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8" name="Shape 7">
          <a:extLst>
            <a:ext uri="{FF2B5EF4-FFF2-40B4-BE49-F238E27FC236}">
              <a16:creationId xmlns:a16="http://schemas.microsoft.com/office/drawing/2014/main" id="{00000000-0008-0000-0700-00008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9" name="Shape 7">
          <a:extLst>
            <a:ext uri="{FF2B5EF4-FFF2-40B4-BE49-F238E27FC236}">
              <a16:creationId xmlns:a16="http://schemas.microsoft.com/office/drawing/2014/main" id="{00000000-0008-0000-0700-00008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0" name="Shape 9">
          <a:extLst>
            <a:ext uri="{FF2B5EF4-FFF2-40B4-BE49-F238E27FC236}">
              <a16:creationId xmlns:a16="http://schemas.microsoft.com/office/drawing/2014/main" id="{00000000-0008-0000-0700-00008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1" name="Shape 9">
          <a:extLst>
            <a:ext uri="{FF2B5EF4-FFF2-40B4-BE49-F238E27FC236}">
              <a16:creationId xmlns:a16="http://schemas.microsoft.com/office/drawing/2014/main" id="{00000000-0008-0000-0700-00008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2" name="Shape 9">
          <a:extLst>
            <a:ext uri="{FF2B5EF4-FFF2-40B4-BE49-F238E27FC236}">
              <a16:creationId xmlns:a16="http://schemas.microsoft.com/office/drawing/2014/main" id="{00000000-0008-0000-0700-00009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3" name="Shape 9">
          <a:extLst>
            <a:ext uri="{FF2B5EF4-FFF2-40B4-BE49-F238E27FC236}">
              <a16:creationId xmlns:a16="http://schemas.microsoft.com/office/drawing/2014/main" id="{00000000-0008-0000-0700-00009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4" name="Shape 10">
          <a:extLst>
            <a:ext uri="{FF2B5EF4-FFF2-40B4-BE49-F238E27FC236}">
              <a16:creationId xmlns:a16="http://schemas.microsoft.com/office/drawing/2014/main" id="{00000000-0008-0000-0700-00009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5" name="Shape 10">
          <a:extLst>
            <a:ext uri="{FF2B5EF4-FFF2-40B4-BE49-F238E27FC236}">
              <a16:creationId xmlns:a16="http://schemas.microsoft.com/office/drawing/2014/main" id="{00000000-0008-0000-0700-00009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6" name="Shape 10">
          <a:extLst>
            <a:ext uri="{FF2B5EF4-FFF2-40B4-BE49-F238E27FC236}">
              <a16:creationId xmlns:a16="http://schemas.microsoft.com/office/drawing/2014/main" id="{00000000-0008-0000-0700-00009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7" name="Shape 10">
          <a:extLst>
            <a:ext uri="{FF2B5EF4-FFF2-40B4-BE49-F238E27FC236}">
              <a16:creationId xmlns:a16="http://schemas.microsoft.com/office/drawing/2014/main" id="{00000000-0008-0000-0700-00009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8" name="Shape 9">
          <a:extLst>
            <a:ext uri="{FF2B5EF4-FFF2-40B4-BE49-F238E27FC236}">
              <a16:creationId xmlns:a16="http://schemas.microsoft.com/office/drawing/2014/main" id="{00000000-0008-0000-0700-00009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9" name="Shape 9">
          <a:extLst>
            <a:ext uri="{FF2B5EF4-FFF2-40B4-BE49-F238E27FC236}">
              <a16:creationId xmlns:a16="http://schemas.microsoft.com/office/drawing/2014/main" id="{00000000-0008-0000-0700-00009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0" name="Shape 9">
          <a:extLst>
            <a:ext uri="{FF2B5EF4-FFF2-40B4-BE49-F238E27FC236}">
              <a16:creationId xmlns:a16="http://schemas.microsoft.com/office/drawing/2014/main" id="{00000000-0008-0000-0700-00009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1" name="Shape 9">
          <a:extLst>
            <a:ext uri="{FF2B5EF4-FFF2-40B4-BE49-F238E27FC236}">
              <a16:creationId xmlns:a16="http://schemas.microsoft.com/office/drawing/2014/main" id="{00000000-0008-0000-0700-00009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2" name="Shape 9">
          <a:extLst>
            <a:ext uri="{FF2B5EF4-FFF2-40B4-BE49-F238E27FC236}">
              <a16:creationId xmlns:a16="http://schemas.microsoft.com/office/drawing/2014/main" id="{00000000-0008-0000-0700-00009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3" name="Shape 9">
          <a:extLst>
            <a:ext uri="{FF2B5EF4-FFF2-40B4-BE49-F238E27FC236}">
              <a16:creationId xmlns:a16="http://schemas.microsoft.com/office/drawing/2014/main" id="{00000000-0008-0000-0700-00009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4" name="Shape 9">
          <a:extLst>
            <a:ext uri="{FF2B5EF4-FFF2-40B4-BE49-F238E27FC236}">
              <a16:creationId xmlns:a16="http://schemas.microsoft.com/office/drawing/2014/main" id="{00000000-0008-0000-0700-00009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5" name="Shape 7">
          <a:extLst>
            <a:ext uri="{FF2B5EF4-FFF2-40B4-BE49-F238E27FC236}">
              <a16:creationId xmlns:a16="http://schemas.microsoft.com/office/drawing/2014/main" id="{00000000-0008-0000-0700-00009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6" name="Shape 7">
          <a:extLst>
            <a:ext uri="{FF2B5EF4-FFF2-40B4-BE49-F238E27FC236}">
              <a16:creationId xmlns:a16="http://schemas.microsoft.com/office/drawing/2014/main" id="{00000000-0008-0000-0700-00009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7" name="Shape 7">
          <a:extLst>
            <a:ext uri="{FF2B5EF4-FFF2-40B4-BE49-F238E27FC236}">
              <a16:creationId xmlns:a16="http://schemas.microsoft.com/office/drawing/2014/main" id="{00000000-0008-0000-0700-00009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8" name="Shape 7">
          <a:extLst>
            <a:ext uri="{FF2B5EF4-FFF2-40B4-BE49-F238E27FC236}">
              <a16:creationId xmlns:a16="http://schemas.microsoft.com/office/drawing/2014/main" id="{00000000-0008-0000-0700-0000A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09" name="Shape 8">
          <a:extLst>
            <a:ext uri="{FF2B5EF4-FFF2-40B4-BE49-F238E27FC236}">
              <a16:creationId xmlns:a16="http://schemas.microsoft.com/office/drawing/2014/main" id="{00000000-0008-0000-0700-0000A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0" name="Shape 8">
          <a:extLst>
            <a:ext uri="{FF2B5EF4-FFF2-40B4-BE49-F238E27FC236}">
              <a16:creationId xmlns:a16="http://schemas.microsoft.com/office/drawing/2014/main" id="{00000000-0008-0000-0700-0000A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1" name="Shape 8">
          <a:extLst>
            <a:ext uri="{FF2B5EF4-FFF2-40B4-BE49-F238E27FC236}">
              <a16:creationId xmlns:a16="http://schemas.microsoft.com/office/drawing/2014/main" id="{00000000-0008-0000-0700-0000A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2" name="Shape 8">
          <a:extLst>
            <a:ext uri="{FF2B5EF4-FFF2-40B4-BE49-F238E27FC236}">
              <a16:creationId xmlns:a16="http://schemas.microsoft.com/office/drawing/2014/main" id="{00000000-0008-0000-0700-0000A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3" name="Shape 7">
          <a:extLst>
            <a:ext uri="{FF2B5EF4-FFF2-40B4-BE49-F238E27FC236}">
              <a16:creationId xmlns:a16="http://schemas.microsoft.com/office/drawing/2014/main" id="{00000000-0008-0000-0700-0000A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4" name="Shape 7">
          <a:extLst>
            <a:ext uri="{FF2B5EF4-FFF2-40B4-BE49-F238E27FC236}">
              <a16:creationId xmlns:a16="http://schemas.microsoft.com/office/drawing/2014/main" id="{00000000-0008-0000-0700-0000A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5" name="Shape 7">
          <a:extLst>
            <a:ext uri="{FF2B5EF4-FFF2-40B4-BE49-F238E27FC236}">
              <a16:creationId xmlns:a16="http://schemas.microsoft.com/office/drawing/2014/main" id="{00000000-0008-0000-0700-0000A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6" name="Shape 7">
          <a:extLst>
            <a:ext uri="{FF2B5EF4-FFF2-40B4-BE49-F238E27FC236}">
              <a16:creationId xmlns:a16="http://schemas.microsoft.com/office/drawing/2014/main" id="{00000000-0008-0000-0700-0000A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7" name="Shape 7">
          <a:extLst>
            <a:ext uri="{FF2B5EF4-FFF2-40B4-BE49-F238E27FC236}">
              <a16:creationId xmlns:a16="http://schemas.microsoft.com/office/drawing/2014/main" id="{00000000-0008-0000-0700-0000A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8" name="Shape 7">
          <a:extLst>
            <a:ext uri="{FF2B5EF4-FFF2-40B4-BE49-F238E27FC236}">
              <a16:creationId xmlns:a16="http://schemas.microsoft.com/office/drawing/2014/main" id="{00000000-0008-0000-0700-0000A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9" name="Shape 7">
          <a:extLst>
            <a:ext uri="{FF2B5EF4-FFF2-40B4-BE49-F238E27FC236}">
              <a16:creationId xmlns:a16="http://schemas.microsoft.com/office/drawing/2014/main" id="{00000000-0008-0000-0700-0000A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0" name="Shape 9">
          <a:extLst>
            <a:ext uri="{FF2B5EF4-FFF2-40B4-BE49-F238E27FC236}">
              <a16:creationId xmlns:a16="http://schemas.microsoft.com/office/drawing/2014/main" id="{00000000-0008-0000-0700-0000A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1" name="Shape 9">
          <a:extLst>
            <a:ext uri="{FF2B5EF4-FFF2-40B4-BE49-F238E27FC236}">
              <a16:creationId xmlns:a16="http://schemas.microsoft.com/office/drawing/2014/main" id="{00000000-0008-0000-0700-0000A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2" name="Shape 9">
          <a:extLst>
            <a:ext uri="{FF2B5EF4-FFF2-40B4-BE49-F238E27FC236}">
              <a16:creationId xmlns:a16="http://schemas.microsoft.com/office/drawing/2014/main" id="{00000000-0008-0000-0700-0000A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3" name="Shape 9">
          <a:extLst>
            <a:ext uri="{FF2B5EF4-FFF2-40B4-BE49-F238E27FC236}">
              <a16:creationId xmlns:a16="http://schemas.microsoft.com/office/drawing/2014/main" id="{00000000-0008-0000-0700-0000A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4" name="Shape 10">
          <a:extLst>
            <a:ext uri="{FF2B5EF4-FFF2-40B4-BE49-F238E27FC236}">
              <a16:creationId xmlns:a16="http://schemas.microsoft.com/office/drawing/2014/main" id="{00000000-0008-0000-0700-0000B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5" name="Shape 10">
          <a:extLst>
            <a:ext uri="{FF2B5EF4-FFF2-40B4-BE49-F238E27FC236}">
              <a16:creationId xmlns:a16="http://schemas.microsoft.com/office/drawing/2014/main" id="{00000000-0008-0000-0700-0000B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6" name="Shape 10">
          <a:extLst>
            <a:ext uri="{FF2B5EF4-FFF2-40B4-BE49-F238E27FC236}">
              <a16:creationId xmlns:a16="http://schemas.microsoft.com/office/drawing/2014/main" id="{00000000-0008-0000-0700-0000B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7" name="Shape 10">
          <a:extLst>
            <a:ext uri="{FF2B5EF4-FFF2-40B4-BE49-F238E27FC236}">
              <a16:creationId xmlns:a16="http://schemas.microsoft.com/office/drawing/2014/main" id="{00000000-0008-0000-0700-0000B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8" name="Shape 9">
          <a:extLst>
            <a:ext uri="{FF2B5EF4-FFF2-40B4-BE49-F238E27FC236}">
              <a16:creationId xmlns:a16="http://schemas.microsoft.com/office/drawing/2014/main" id="{00000000-0008-0000-0700-0000B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9" name="Shape 9">
          <a:extLst>
            <a:ext uri="{FF2B5EF4-FFF2-40B4-BE49-F238E27FC236}">
              <a16:creationId xmlns:a16="http://schemas.microsoft.com/office/drawing/2014/main" id="{00000000-0008-0000-0700-0000B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0" name="Shape 9">
          <a:extLst>
            <a:ext uri="{FF2B5EF4-FFF2-40B4-BE49-F238E27FC236}">
              <a16:creationId xmlns:a16="http://schemas.microsoft.com/office/drawing/2014/main" id="{00000000-0008-0000-0700-0000B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1" name="Shape 9">
          <a:extLst>
            <a:ext uri="{FF2B5EF4-FFF2-40B4-BE49-F238E27FC236}">
              <a16:creationId xmlns:a16="http://schemas.microsoft.com/office/drawing/2014/main" id="{00000000-0008-0000-0700-0000B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2" name="Shape 9">
          <a:extLst>
            <a:ext uri="{FF2B5EF4-FFF2-40B4-BE49-F238E27FC236}">
              <a16:creationId xmlns:a16="http://schemas.microsoft.com/office/drawing/2014/main" id="{00000000-0008-0000-0700-0000B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3" name="Shape 9">
          <a:extLst>
            <a:ext uri="{FF2B5EF4-FFF2-40B4-BE49-F238E27FC236}">
              <a16:creationId xmlns:a16="http://schemas.microsoft.com/office/drawing/2014/main" id="{00000000-0008-0000-0700-0000B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4" name="Shape 9">
          <a:extLst>
            <a:ext uri="{FF2B5EF4-FFF2-40B4-BE49-F238E27FC236}">
              <a16:creationId xmlns:a16="http://schemas.microsoft.com/office/drawing/2014/main" id="{00000000-0008-0000-0700-0000B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5" name="Shape 7">
          <a:extLst>
            <a:ext uri="{FF2B5EF4-FFF2-40B4-BE49-F238E27FC236}">
              <a16:creationId xmlns:a16="http://schemas.microsoft.com/office/drawing/2014/main" id="{00000000-0008-0000-0700-0000B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6" name="Shape 7">
          <a:extLst>
            <a:ext uri="{FF2B5EF4-FFF2-40B4-BE49-F238E27FC236}">
              <a16:creationId xmlns:a16="http://schemas.microsoft.com/office/drawing/2014/main" id="{00000000-0008-0000-0700-0000B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7" name="Shape 7">
          <a:extLst>
            <a:ext uri="{FF2B5EF4-FFF2-40B4-BE49-F238E27FC236}">
              <a16:creationId xmlns:a16="http://schemas.microsoft.com/office/drawing/2014/main" id="{00000000-0008-0000-0700-0000B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8" name="Shape 7">
          <a:extLst>
            <a:ext uri="{FF2B5EF4-FFF2-40B4-BE49-F238E27FC236}">
              <a16:creationId xmlns:a16="http://schemas.microsoft.com/office/drawing/2014/main" id="{00000000-0008-0000-0700-0000B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39" name="Shape 8">
          <a:extLst>
            <a:ext uri="{FF2B5EF4-FFF2-40B4-BE49-F238E27FC236}">
              <a16:creationId xmlns:a16="http://schemas.microsoft.com/office/drawing/2014/main" id="{00000000-0008-0000-0700-0000B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0" name="Shape 8">
          <a:extLst>
            <a:ext uri="{FF2B5EF4-FFF2-40B4-BE49-F238E27FC236}">
              <a16:creationId xmlns:a16="http://schemas.microsoft.com/office/drawing/2014/main" id="{00000000-0008-0000-0700-0000C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1" name="Shape 8">
          <a:extLst>
            <a:ext uri="{FF2B5EF4-FFF2-40B4-BE49-F238E27FC236}">
              <a16:creationId xmlns:a16="http://schemas.microsoft.com/office/drawing/2014/main" id="{00000000-0008-0000-0700-0000C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2" name="Shape 8">
          <a:extLst>
            <a:ext uri="{FF2B5EF4-FFF2-40B4-BE49-F238E27FC236}">
              <a16:creationId xmlns:a16="http://schemas.microsoft.com/office/drawing/2014/main" id="{00000000-0008-0000-0700-0000C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3" name="Shape 7">
          <a:extLst>
            <a:ext uri="{FF2B5EF4-FFF2-40B4-BE49-F238E27FC236}">
              <a16:creationId xmlns:a16="http://schemas.microsoft.com/office/drawing/2014/main" id="{00000000-0008-0000-0700-0000C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4" name="Shape 7">
          <a:extLst>
            <a:ext uri="{FF2B5EF4-FFF2-40B4-BE49-F238E27FC236}">
              <a16:creationId xmlns:a16="http://schemas.microsoft.com/office/drawing/2014/main" id="{00000000-0008-0000-0700-0000C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5" name="Shape 7">
          <a:extLst>
            <a:ext uri="{FF2B5EF4-FFF2-40B4-BE49-F238E27FC236}">
              <a16:creationId xmlns:a16="http://schemas.microsoft.com/office/drawing/2014/main" id="{00000000-0008-0000-0700-0000C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6" name="Shape 7">
          <a:extLst>
            <a:ext uri="{FF2B5EF4-FFF2-40B4-BE49-F238E27FC236}">
              <a16:creationId xmlns:a16="http://schemas.microsoft.com/office/drawing/2014/main" id="{00000000-0008-0000-0700-0000C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7" name="Shape 7">
          <a:extLst>
            <a:ext uri="{FF2B5EF4-FFF2-40B4-BE49-F238E27FC236}">
              <a16:creationId xmlns:a16="http://schemas.microsoft.com/office/drawing/2014/main" id="{00000000-0008-0000-0700-0000C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8" name="Shape 7">
          <a:extLst>
            <a:ext uri="{FF2B5EF4-FFF2-40B4-BE49-F238E27FC236}">
              <a16:creationId xmlns:a16="http://schemas.microsoft.com/office/drawing/2014/main" id="{00000000-0008-0000-0700-0000C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9" name="Shape 7">
          <a:extLst>
            <a:ext uri="{FF2B5EF4-FFF2-40B4-BE49-F238E27FC236}">
              <a16:creationId xmlns:a16="http://schemas.microsoft.com/office/drawing/2014/main" id="{00000000-0008-0000-0700-0000C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0" name="Shape 9">
          <a:extLst>
            <a:ext uri="{FF2B5EF4-FFF2-40B4-BE49-F238E27FC236}">
              <a16:creationId xmlns:a16="http://schemas.microsoft.com/office/drawing/2014/main" id="{00000000-0008-0000-0700-0000C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1" name="Shape 9">
          <a:extLst>
            <a:ext uri="{FF2B5EF4-FFF2-40B4-BE49-F238E27FC236}">
              <a16:creationId xmlns:a16="http://schemas.microsoft.com/office/drawing/2014/main" id="{00000000-0008-0000-0700-0000C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2" name="Shape 9">
          <a:extLst>
            <a:ext uri="{FF2B5EF4-FFF2-40B4-BE49-F238E27FC236}">
              <a16:creationId xmlns:a16="http://schemas.microsoft.com/office/drawing/2014/main" id="{00000000-0008-0000-0700-0000C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3" name="Shape 9">
          <a:extLst>
            <a:ext uri="{FF2B5EF4-FFF2-40B4-BE49-F238E27FC236}">
              <a16:creationId xmlns:a16="http://schemas.microsoft.com/office/drawing/2014/main" id="{00000000-0008-0000-0700-0000C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4" name="Shape 10">
          <a:extLst>
            <a:ext uri="{FF2B5EF4-FFF2-40B4-BE49-F238E27FC236}">
              <a16:creationId xmlns:a16="http://schemas.microsoft.com/office/drawing/2014/main" id="{00000000-0008-0000-0700-0000C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5" name="Shape 10">
          <a:extLst>
            <a:ext uri="{FF2B5EF4-FFF2-40B4-BE49-F238E27FC236}">
              <a16:creationId xmlns:a16="http://schemas.microsoft.com/office/drawing/2014/main" id="{00000000-0008-0000-0700-0000C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6" name="Shape 10">
          <a:extLst>
            <a:ext uri="{FF2B5EF4-FFF2-40B4-BE49-F238E27FC236}">
              <a16:creationId xmlns:a16="http://schemas.microsoft.com/office/drawing/2014/main" id="{00000000-0008-0000-0700-0000D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7" name="Shape 10">
          <a:extLst>
            <a:ext uri="{FF2B5EF4-FFF2-40B4-BE49-F238E27FC236}">
              <a16:creationId xmlns:a16="http://schemas.microsoft.com/office/drawing/2014/main" id="{00000000-0008-0000-0700-0000D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8" name="Shape 9">
          <a:extLst>
            <a:ext uri="{FF2B5EF4-FFF2-40B4-BE49-F238E27FC236}">
              <a16:creationId xmlns:a16="http://schemas.microsoft.com/office/drawing/2014/main" id="{00000000-0008-0000-0700-0000D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9" name="Shape 9">
          <a:extLst>
            <a:ext uri="{FF2B5EF4-FFF2-40B4-BE49-F238E27FC236}">
              <a16:creationId xmlns:a16="http://schemas.microsoft.com/office/drawing/2014/main" id="{00000000-0008-0000-0700-0000D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0" name="Shape 9">
          <a:extLst>
            <a:ext uri="{FF2B5EF4-FFF2-40B4-BE49-F238E27FC236}">
              <a16:creationId xmlns:a16="http://schemas.microsoft.com/office/drawing/2014/main" id="{00000000-0008-0000-0700-0000D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1" name="Shape 9">
          <a:extLst>
            <a:ext uri="{FF2B5EF4-FFF2-40B4-BE49-F238E27FC236}">
              <a16:creationId xmlns:a16="http://schemas.microsoft.com/office/drawing/2014/main" id="{00000000-0008-0000-0700-0000D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2" name="Shape 9">
          <a:extLst>
            <a:ext uri="{FF2B5EF4-FFF2-40B4-BE49-F238E27FC236}">
              <a16:creationId xmlns:a16="http://schemas.microsoft.com/office/drawing/2014/main" id="{00000000-0008-0000-0700-0000D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3" name="Shape 9">
          <a:extLst>
            <a:ext uri="{FF2B5EF4-FFF2-40B4-BE49-F238E27FC236}">
              <a16:creationId xmlns:a16="http://schemas.microsoft.com/office/drawing/2014/main" id="{00000000-0008-0000-0700-0000D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4" name="Shape 9">
          <a:extLst>
            <a:ext uri="{FF2B5EF4-FFF2-40B4-BE49-F238E27FC236}">
              <a16:creationId xmlns:a16="http://schemas.microsoft.com/office/drawing/2014/main" id="{00000000-0008-0000-0700-0000D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5" name="Shape 7">
          <a:extLst>
            <a:ext uri="{FF2B5EF4-FFF2-40B4-BE49-F238E27FC236}">
              <a16:creationId xmlns:a16="http://schemas.microsoft.com/office/drawing/2014/main" id="{00000000-0008-0000-0700-0000D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6" name="Shape 7">
          <a:extLst>
            <a:ext uri="{FF2B5EF4-FFF2-40B4-BE49-F238E27FC236}">
              <a16:creationId xmlns:a16="http://schemas.microsoft.com/office/drawing/2014/main" id="{00000000-0008-0000-0700-0000D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7" name="Shape 7">
          <a:extLst>
            <a:ext uri="{FF2B5EF4-FFF2-40B4-BE49-F238E27FC236}">
              <a16:creationId xmlns:a16="http://schemas.microsoft.com/office/drawing/2014/main" id="{00000000-0008-0000-0700-0000D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8" name="Shape 7">
          <a:extLst>
            <a:ext uri="{FF2B5EF4-FFF2-40B4-BE49-F238E27FC236}">
              <a16:creationId xmlns:a16="http://schemas.microsoft.com/office/drawing/2014/main" id="{00000000-0008-0000-0700-0000D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69" name="Shape 8">
          <a:extLst>
            <a:ext uri="{FF2B5EF4-FFF2-40B4-BE49-F238E27FC236}">
              <a16:creationId xmlns:a16="http://schemas.microsoft.com/office/drawing/2014/main" id="{00000000-0008-0000-0700-0000D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0" name="Shape 8">
          <a:extLst>
            <a:ext uri="{FF2B5EF4-FFF2-40B4-BE49-F238E27FC236}">
              <a16:creationId xmlns:a16="http://schemas.microsoft.com/office/drawing/2014/main" id="{00000000-0008-0000-0700-0000D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1" name="Shape 8">
          <a:extLst>
            <a:ext uri="{FF2B5EF4-FFF2-40B4-BE49-F238E27FC236}">
              <a16:creationId xmlns:a16="http://schemas.microsoft.com/office/drawing/2014/main" id="{00000000-0008-0000-0700-0000D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2" name="Shape 8">
          <a:extLst>
            <a:ext uri="{FF2B5EF4-FFF2-40B4-BE49-F238E27FC236}">
              <a16:creationId xmlns:a16="http://schemas.microsoft.com/office/drawing/2014/main" id="{00000000-0008-0000-0700-0000E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3" name="Shape 7">
          <a:extLst>
            <a:ext uri="{FF2B5EF4-FFF2-40B4-BE49-F238E27FC236}">
              <a16:creationId xmlns:a16="http://schemas.microsoft.com/office/drawing/2014/main" id="{00000000-0008-0000-0700-0000E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4" name="Shape 7">
          <a:extLst>
            <a:ext uri="{FF2B5EF4-FFF2-40B4-BE49-F238E27FC236}">
              <a16:creationId xmlns:a16="http://schemas.microsoft.com/office/drawing/2014/main" id="{00000000-0008-0000-0700-0000E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5" name="Shape 7">
          <a:extLst>
            <a:ext uri="{FF2B5EF4-FFF2-40B4-BE49-F238E27FC236}">
              <a16:creationId xmlns:a16="http://schemas.microsoft.com/office/drawing/2014/main" id="{00000000-0008-0000-0700-0000E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6" name="Shape 7">
          <a:extLst>
            <a:ext uri="{FF2B5EF4-FFF2-40B4-BE49-F238E27FC236}">
              <a16:creationId xmlns:a16="http://schemas.microsoft.com/office/drawing/2014/main" id="{00000000-0008-0000-0700-0000E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7" name="Shape 7">
          <a:extLst>
            <a:ext uri="{FF2B5EF4-FFF2-40B4-BE49-F238E27FC236}">
              <a16:creationId xmlns:a16="http://schemas.microsoft.com/office/drawing/2014/main" id="{00000000-0008-0000-0700-0000E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8" name="Shape 7">
          <a:extLst>
            <a:ext uri="{FF2B5EF4-FFF2-40B4-BE49-F238E27FC236}">
              <a16:creationId xmlns:a16="http://schemas.microsoft.com/office/drawing/2014/main" id="{00000000-0008-0000-0700-0000E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9" name="Shape 7">
          <a:extLst>
            <a:ext uri="{FF2B5EF4-FFF2-40B4-BE49-F238E27FC236}">
              <a16:creationId xmlns:a16="http://schemas.microsoft.com/office/drawing/2014/main" id="{00000000-0008-0000-0700-0000E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0" name="Shape 9">
          <a:extLst>
            <a:ext uri="{FF2B5EF4-FFF2-40B4-BE49-F238E27FC236}">
              <a16:creationId xmlns:a16="http://schemas.microsoft.com/office/drawing/2014/main" id="{00000000-0008-0000-0700-0000E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1" name="Shape 9">
          <a:extLst>
            <a:ext uri="{FF2B5EF4-FFF2-40B4-BE49-F238E27FC236}">
              <a16:creationId xmlns:a16="http://schemas.microsoft.com/office/drawing/2014/main" id="{00000000-0008-0000-0700-0000E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2" name="Shape 9">
          <a:extLst>
            <a:ext uri="{FF2B5EF4-FFF2-40B4-BE49-F238E27FC236}">
              <a16:creationId xmlns:a16="http://schemas.microsoft.com/office/drawing/2014/main" id="{00000000-0008-0000-0700-0000E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3" name="Shape 9">
          <a:extLst>
            <a:ext uri="{FF2B5EF4-FFF2-40B4-BE49-F238E27FC236}">
              <a16:creationId xmlns:a16="http://schemas.microsoft.com/office/drawing/2014/main" id="{00000000-0008-0000-0700-0000E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4" name="Shape 10">
          <a:extLst>
            <a:ext uri="{FF2B5EF4-FFF2-40B4-BE49-F238E27FC236}">
              <a16:creationId xmlns:a16="http://schemas.microsoft.com/office/drawing/2014/main" id="{00000000-0008-0000-0700-0000E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5" name="Shape 10">
          <a:extLst>
            <a:ext uri="{FF2B5EF4-FFF2-40B4-BE49-F238E27FC236}">
              <a16:creationId xmlns:a16="http://schemas.microsoft.com/office/drawing/2014/main" id="{00000000-0008-0000-0700-0000E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6" name="Shape 10">
          <a:extLst>
            <a:ext uri="{FF2B5EF4-FFF2-40B4-BE49-F238E27FC236}">
              <a16:creationId xmlns:a16="http://schemas.microsoft.com/office/drawing/2014/main" id="{00000000-0008-0000-0700-0000E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7" name="Shape 10">
          <a:extLst>
            <a:ext uri="{FF2B5EF4-FFF2-40B4-BE49-F238E27FC236}">
              <a16:creationId xmlns:a16="http://schemas.microsoft.com/office/drawing/2014/main" id="{00000000-0008-0000-0700-0000E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8" name="Shape 9">
          <a:extLst>
            <a:ext uri="{FF2B5EF4-FFF2-40B4-BE49-F238E27FC236}">
              <a16:creationId xmlns:a16="http://schemas.microsoft.com/office/drawing/2014/main" id="{00000000-0008-0000-0700-0000F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9" name="Shape 9">
          <a:extLst>
            <a:ext uri="{FF2B5EF4-FFF2-40B4-BE49-F238E27FC236}">
              <a16:creationId xmlns:a16="http://schemas.microsoft.com/office/drawing/2014/main" id="{00000000-0008-0000-0700-0000F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0" name="Shape 9">
          <a:extLst>
            <a:ext uri="{FF2B5EF4-FFF2-40B4-BE49-F238E27FC236}">
              <a16:creationId xmlns:a16="http://schemas.microsoft.com/office/drawing/2014/main" id="{00000000-0008-0000-0700-0000F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1" name="Shape 9">
          <a:extLst>
            <a:ext uri="{FF2B5EF4-FFF2-40B4-BE49-F238E27FC236}">
              <a16:creationId xmlns:a16="http://schemas.microsoft.com/office/drawing/2014/main" id="{00000000-0008-0000-0700-0000F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2" name="Shape 9">
          <a:extLst>
            <a:ext uri="{FF2B5EF4-FFF2-40B4-BE49-F238E27FC236}">
              <a16:creationId xmlns:a16="http://schemas.microsoft.com/office/drawing/2014/main" id="{00000000-0008-0000-0700-0000F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3" name="Shape 9">
          <a:extLst>
            <a:ext uri="{FF2B5EF4-FFF2-40B4-BE49-F238E27FC236}">
              <a16:creationId xmlns:a16="http://schemas.microsoft.com/office/drawing/2014/main" id="{00000000-0008-0000-0700-0000F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4" name="Shape 9">
          <a:extLst>
            <a:ext uri="{FF2B5EF4-FFF2-40B4-BE49-F238E27FC236}">
              <a16:creationId xmlns:a16="http://schemas.microsoft.com/office/drawing/2014/main" id="{00000000-0008-0000-0700-0000F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5" name="Shape 7">
          <a:extLst>
            <a:ext uri="{FF2B5EF4-FFF2-40B4-BE49-F238E27FC236}">
              <a16:creationId xmlns:a16="http://schemas.microsoft.com/office/drawing/2014/main" id="{00000000-0008-0000-0700-0000F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6" name="Shape 7">
          <a:extLst>
            <a:ext uri="{FF2B5EF4-FFF2-40B4-BE49-F238E27FC236}">
              <a16:creationId xmlns:a16="http://schemas.microsoft.com/office/drawing/2014/main" id="{00000000-0008-0000-0700-0000F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7" name="Shape 7">
          <a:extLst>
            <a:ext uri="{FF2B5EF4-FFF2-40B4-BE49-F238E27FC236}">
              <a16:creationId xmlns:a16="http://schemas.microsoft.com/office/drawing/2014/main" id="{00000000-0008-0000-0700-0000F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8" name="Shape 7">
          <a:extLst>
            <a:ext uri="{FF2B5EF4-FFF2-40B4-BE49-F238E27FC236}">
              <a16:creationId xmlns:a16="http://schemas.microsoft.com/office/drawing/2014/main" id="{00000000-0008-0000-0700-0000F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99" name="Shape 8">
          <a:extLst>
            <a:ext uri="{FF2B5EF4-FFF2-40B4-BE49-F238E27FC236}">
              <a16:creationId xmlns:a16="http://schemas.microsoft.com/office/drawing/2014/main" id="{00000000-0008-0000-0700-0000F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0" name="Shape 8">
          <a:extLst>
            <a:ext uri="{FF2B5EF4-FFF2-40B4-BE49-F238E27FC236}">
              <a16:creationId xmlns:a16="http://schemas.microsoft.com/office/drawing/2014/main" id="{00000000-0008-0000-0700-0000F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1" name="Shape 8">
          <a:extLst>
            <a:ext uri="{FF2B5EF4-FFF2-40B4-BE49-F238E27FC236}">
              <a16:creationId xmlns:a16="http://schemas.microsoft.com/office/drawing/2014/main" id="{00000000-0008-0000-0700-0000F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2" name="Shape 8">
          <a:extLst>
            <a:ext uri="{FF2B5EF4-FFF2-40B4-BE49-F238E27FC236}">
              <a16:creationId xmlns:a16="http://schemas.microsoft.com/office/drawing/2014/main" id="{00000000-0008-0000-0700-0000F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3" name="Shape 7">
          <a:extLst>
            <a:ext uri="{FF2B5EF4-FFF2-40B4-BE49-F238E27FC236}">
              <a16:creationId xmlns:a16="http://schemas.microsoft.com/office/drawing/2014/main" id="{00000000-0008-0000-0700-0000F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4" name="Shape 7">
          <a:extLst>
            <a:ext uri="{FF2B5EF4-FFF2-40B4-BE49-F238E27FC236}">
              <a16:creationId xmlns:a16="http://schemas.microsoft.com/office/drawing/2014/main" id="{00000000-0008-0000-0700-00000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5" name="Shape 7">
          <a:extLst>
            <a:ext uri="{FF2B5EF4-FFF2-40B4-BE49-F238E27FC236}">
              <a16:creationId xmlns:a16="http://schemas.microsoft.com/office/drawing/2014/main" id="{00000000-0008-0000-0700-00000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6" name="Shape 7">
          <a:extLst>
            <a:ext uri="{FF2B5EF4-FFF2-40B4-BE49-F238E27FC236}">
              <a16:creationId xmlns:a16="http://schemas.microsoft.com/office/drawing/2014/main" id="{00000000-0008-0000-0700-00000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7" name="Shape 7">
          <a:extLst>
            <a:ext uri="{FF2B5EF4-FFF2-40B4-BE49-F238E27FC236}">
              <a16:creationId xmlns:a16="http://schemas.microsoft.com/office/drawing/2014/main" id="{00000000-0008-0000-0700-00000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8" name="Shape 7">
          <a:extLst>
            <a:ext uri="{FF2B5EF4-FFF2-40B4-BE49-F238E27FC236}">
              <a16:creationId xmlns:a16="http://schemas.microsoft.com/office/drawing/2014/main" id="{00000000-0008-0000-0700-00000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9" name="Shape 7">
          <a:extLst>
            <a:ext uri="{FF2B5EF4-FFF2-40B4-BE49-F238E27FC236}">
              <a16:creationId xmlns:a16="http://schemas.microsoft.com/office/drawing/2014/main" id="{00000000-0008-0000-0700-00000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0" name="Shape 9">
          <a:extLst>
            <a:ext uri="{FF2B5EF4-FFF2-40B4-BE49-F238E27FC236}">
              <a16:creationId xmlns:a16="http://schemas.microsoft.com/office/drawing/2014/main" id="{00000000-0008-0000-0700-00000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1" name="Shape 9">
          <a:extLst>
            <a:ext uri="{FF2B5EF4-FFF2-40B4-BE49-F238E27FC236}">
              <a16:creationId xmlns:a16="http://schemas.microsoft.com/office/drawing/2014/main" id="{00000000-0008-0000-0700-00000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2" name="Shape 9">
          <a:extLst>
            <a:ext uri="{FF2B5EF4-FFF2-40B4-BE49-F238E27FC236}">
              <a16:creationId xmlns:a16="http://schemas.microsoft.com/office/drawing/2014/main" id="{00000000-0008-0000-0700-00000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3" name="Shape 9">
          <a:extLst>
            <a:ext uri="{FF2B5EF4-FFF2-40B4-BE49-F238E27FC236}">
              <a16:creationId xmlns:a16="http://schemas.microsoft.com/office/drawing/2014/main" id="{00000000-0008-0000-0700-00000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4" name="Shape 10">
          <a:extLst>
            <a:ext uri="{FF2B5EF4-FFF2-40B4-BE49-F238E27FC236}">
              <a16:creationId xmlns:a16="http://schemas.microsoft.com/office/drawing/2014/main" id="{00000000-0008-0000-0700-00000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5" name="Shape 10">
          <a:extLst>
            <a:ext uri="{FF2B5EF4-FFF2-40B4-BE49-F238E27FC236}">
              <a16:creationId xmlns:a16="http://schemas.microsoft.com/office/drawing/2014/main" id="{00000000-0008-0000-0700-00000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6" name="Shape 10">
          <a:extLst>
            <a:ext uri="{FF2B5EF4-FFF2-40B4-BE49-F238E27FC236}">
              <a16:creationId xmlns:a16="http://schemas.microsoft.com/office/drawing/2014/main" id="{00000000-0008-0000-0700-00000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7" name="Shape 10">
          <a:extLst>
            <a:ext uri="{FF2B5EF4-FFF2-40B4-BE49-F238E27FC236}">
              <a16:creationId xmlns:a16="http://schemas.microsoft.com/office/drawing/2014/main" id="{00000000-0008-0000-0700-00000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8" name="Shape 9">
          <a:extLst>
            <a:ext uri="{FF2B5EF4-FFF2-40B4-BE49-F238E27FC236}">
              <a16:creationId xmlns:a16="http://schemas.microsoft.com/office/drawing/2014/main" id="{00000000-0008-0000-0700-00000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9" name="Shape 9">
          <a:extLst>
            <a:ext uri="{FF2B5EF4-FFF2-40B4-BE49-F238E27FC236}">
              <a16:creationId xmlns:a16="http://schemas.microsoft.com/office/drawing/2014/main" id="{00000000-0008-0000-0700-00000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0" name="Shape 9">
          <a:extLst>
            <a:ext uri="{FF2B5EF4-FFF2-40B4-BE49-F238E27FC236}">
              <a16:creationId xmlns:a16="http://schemas.microsoft.com/office/drawing/2014/main" id="{00000000-0008-0000-0700-00001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1" name="Shape 9">
          <a:extLst>
            <a:ext uri="{FF2B5EF4-FFF2-40B4-BE49-F238E27FC236}">
              <a16:creationId xmlns:a16="http://schemas.microsoft.com/office/drawing/2014/main" id="{00000000-0008-0000-0700-00001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2" name="Shape 9">
          <a:extLst>
            <a:ext uri="{FF2B5EF4-FFF2-40B4-BE49-F238E27FC236}">
              <a16:creationId xmlns:a16="http://schemas.microsoft.com/office/drawing/2014/main" id="{00000000-0008-0000-0700-00001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3" name="Shape 9">
          <a:extLst>
            <a:ext uri="{FF2B5EF4-FFF2-40B4-BE49-F238E27FC236}">
              <a16:creationId xmlns:a16="http://schemas.microsoft.com/office/drawing/2014/main" id="{00000000-0008-0000-0700-00001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4" name="Shape 9">
          <a:extLst>
            <a:ext uri="{FF2B5EF4-FFF2-40B4-BE49-F238E27FC236}">
              <a16:creationId xmlns:a16="http://schemas.microsoft.com/office/drawing/2014/main" id="{00000000-0008-0000-0700-00001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5" name="Shape 7">
          <a:extLst>
            <a:ext uri="{FF2B5EF4-FFF2-40B4-BE49-F238E27FC236}">
              <a16:creationId xmlns:a16="http://schemas.microsoft.com/office/drawing/2014/main" id="{00000000-0008-0000-0700-00001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6" name="Shape 7">
          <a:extLst>
            <a:ext uri="{FF2B5EF4-FFF2-40B4-BE49-F238E27FC236}">
              <a16:creationId xmlns:a16="http://schemas.microsoft.com/office/drawing/2014/main" id="{00000000-0008-0000-0700-00001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7" name="Shape 7">
          <a:extLst>
            <a:ext uri="{FF2B5EF4-FFF2-40B4-BE49-F238E27FC236}">
              <a16:creationId xmlns:a16="http://schemas.microsoft.com/office/drawing/2014/main" id="{00000000-0008-0000-0700-00001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8" name="Shape 7">
          <a:extLst>
            <a:ext uri="{FF2B5EF4-FFF2-40B4-BE49-F238E27FC236}">
              <a16:creationId xmlns:a16="http://schemas.microsoft.com/office/drawing/2014/main" id="{00000000-0008-0000-0700-00001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29" name="Shape 8">
          <a:extLst>
            <a:ext uri="{FF2B5EF4-FFF2-40B4-BE49-F238E27FC236}">
              <a16:creationId xmlns:a16="http://schemas.microsoft.com/office/drawing/2014/main" id="{00000000-0008-0000-0700-00001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0" name="Shape 8">
          <a:extLst>
            <a:ext uri="{FF2B5EF4-FFF2-40B4-BE49-F238E27FC236}">
              <a16:creationId xmlns:a16="http://schemas.microsoft.com/office/drawing/2014/main" id="{00000000-0008-0000-0700-00001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1" name="Shape 8">
          <a:extLst>
            <a:ext uri="{FF2B5EF4-FFF2-40B4-BE49-F238E27FC236}">
              <a16:creationId xmlns:a16="http://schemas.microsoft.com/office/drawing/2014/main" id="{00000000-0008-0000-0700-00001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2" name="Shape 8">
          <a:extLst>
            <a:ext uri="{FF2B5EF4-FFF2-40B4-BE49-F238E27FC236}">
              <a16:creationId xmlns:a16="http://schemas.microsoft.com/office/drawing/2014/main" id="{00000000-0008-0000-0700-00001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3" name="Shape 7">
          <a:extLst>
            <a:ext uri="{FF2B5EF4-FFF2-40B4-BE49-F238E27FC236}">
              <a16:creationId xmlns:a16="http://schemas.microsoft.com/office/drawing/2014/main" id="{00000000-0008-0000-0700-00001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4" name="Shape 7">
          <a:extLst>
            <a:ext uri="{FF2B5EF4-FFF2-40B4-BE49-F238E27FC236}">
              <a16:creationId xmlns:a16="http://schemas.microsoft.com/office/drawing/2014/main" id="{00000000-0008-0000-0700-00001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5" name="Shape 7">
          <a:extLst>
            <a:ext uri="{FF2B5EF4-FFF2-40B4-BE49-F238E27FC236}">
              <a16:creationId xmlns:a16="http://schemas.microsoft.com/office/drawing/2014/main" id="{00000000-0008-0000-0700-00001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6" name="Shape 7">
          <a:extLst>
            <a:ext uri="{FF2B5EF4-FFF2-40B4-BE49-F238E27FC236}">
              <a16:creationId xmlns:a16="http://schemas.microsoft.com/office/drawing/2014/main" id="{00000000-0008-0000-0700-00002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7" name="Shape 7">
          <a:extLst>
            <a:ext uri="{FF2B5EF4-FFF2-40B4-BE49-F238E27FC236}">
              <a16:creationId xmlns:a16="http://schemas.microsoft.com/office/drawing/2014/main" id="{00000000-0008-0000-0700-00002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8" name="Shape 7">
          <a:extLst>
            <a:ext uri="{FF2B5EF4-FFF2-40B4-BE49-F238E27FC236}">
              <a16:creationId xmlns:a16="http://schemas.microsoft.com/office/drawing/2014/main" id="{00000000-0008-0000-0700-00002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9" name="Shape 7">
          <a:extLst>
            <a:ext uri="{FF2B5EF4-FFF2-40B4-BE49-F238E27FC236}">
              <a16:creationId xmlns:a16="http://schemas.microsoft.com/office/drawing/2014/main" id="{00000000-0008-0000-0700-00002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0" name="Shape 9">
          <a:extLst>
            <a:ext uri="{FF2B5EF4-FFF2-40B4-BE49-F238E27FC236}">
              <a16:creationId xmlns:a16="http://schemas.microsoft.com/office/drawing/2014/main" id="{00000000-0008-0000-0700-00002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1" name="Shape 9">
          <a:extLst>
            <a:ext uri="{FF2B5EF4-FFF2-40B4-BE49-F238E27FC236}">
              <a16:creationId xmlns:a16="http://schemas.microsoft.com/office/drawing/2014/main" id="{00000000-0008-0000-0700-00002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2" name="Shape 9">
          <a:extLst>
            <a:ext uri="{FF2B5EF4-FFF2-40B4-BE49-F238E27FC236}">
              <a16:creationId xmlns:a16="http://schemas.microsoft.com/office/drawing/2014/main" id="{00000000-0008-0000-0700-00002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3" name="Shape 9">
          <a:extLst>
            <a:ext uri="{FF2B5EF4-FFF2-40B4-BE49-F238E27FC236}">
              <a16:creationId xmlns:a16="http://schemas.microsoft.com/office/drawing/2014/main" id="{00000000-0008-0000-0700-00002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4" name="Shape 10">
          <a:extLst>
            <a:ext uri="{FF2B5EF4-FFF2-40B4-BE49-F238E27FC236}">
              <a16:creationId xmlns:a16="http://schemas.microsoft.com/office/drawing/2014/main" id="{00000000-0008-0000-0700-00002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5" name="Shape 10">
          <a:extLst>
            <a:ext uri="{FF2B5EF4-FFF2-40B4-BE49-F238E27FC236}">
              <a16:creationId xmlns:a16="http://schemas.microsoft.com/office/drawing/2014/main" id="{00000000-0008-0000-0700-00002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6" name="Shape 10">
          <a:extLst>
            <a:ext uri="{FF2B5EF4-FFF2-40B4-BE49-F238E27FC236}">
              <a16:creationId xmlns:a16="http://schemas.microsoft.com/office/drawing/2014/main" id="{00000000-0008-0000-0700-00002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7" name="Shape 10">
          <a:extLst>
            <a:ext uri="{FF2B5EF4-FFF2-40B4-BE49-F238E27FC236}">
              <a16:creationId xmlns:a16="http://schemas.microsoft.com/office/drawing/2014/main" id="{00000000-0008-0000-0700-00002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8" name="Shape 9">
          <a:extLst>
            <a:ext uri="{FF2B5EF4-FFF2-40B4-BE49-F238E27FC236}">
              <a16:creationId xmlns:a16="http://schemas.microsoft.com/office/drawing/2014/main" id="{00000000-0008-0000-0700-00002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9" name="Shape 9">
          <a:extLst>
            <a:ext uri="{FF2B5EF4-FFF2-40B4-BE49-F238E27FC236}">
              <a16:creationId xmlns:a16="http://schemas.microsoft.com/office/drawing/2014/main" id="{00000000-0008-0000-0700-00002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0" name="Shape 9">
          <a:extLst>
            <a:ext uri="{FF2B5EF4-FFF2-40B4-BE49-F238E27FC236}">
              <a16:creationId xmlns:a16="http://schemas.microsoft.com/office/drawing/2014/main" id="{00000000-0008-0000-0700-00002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1" name="Shape 9">
          <a:extLst>
            <a:ext uri="{FF2B5EF4-FFF2-40B4-BE49-F238E27FC236}">
              <a16:creationId xmlns:a16="http://schemas.microsoft.com/office/drawing/2014/main" id="{00000000-0008-0000-0700-00002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2" name="Shape 9">
          <a:extLst>
            <a:ext uri="{FF2B5EF4-FFF2-40B4-BE49-F238E27FC236}">
              <a16:creationId xmlns:a16="http://schemas.microsoft.com/office/drawing/2014/main" id="{00000000-0008-0000-0700-00003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3" name="Shape 9">
          <a:extLst>
            <a:ext uri="{FF2B5EF4-FFF2-40B4-BE49-F238E27FC236}">
              <a16:creationId xmlns:a16="http://schemas.microsoft.com/office/drawing/2014/main" id="{00000000-0008-0000-0700-00003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4" name="Shape 9">
          <a:extLst>
            <a:ext uri="{FF2B5EF4-FFF2-40B4-BE49-F238E27FC236}">
              <a16:creationId xmlns:a16="http://schemas.microsoft.com/office/drawing/2014/main" id="{00000000-0008-0000-0700-00003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5" name="Shape 7">
          <a:extLst>
            <a:ext uri="{FF2B5EF4-FFF2-40B4-BE49-F238E27FC236}">
              <a16:creationId xmlns:a16="http://schemas.microsoft.com/office/drawing/2014/main" id="{00000000-0008-0000-0700-00003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6" name="Shape 7">
          <a:extLst>
            <a:ext uri="{FF2B5EF4-FFF2-40B4-BE49-F238E27FC236}">
              <a16:creationId xmlns:a16="http://schemas.microsoft.com/office/drawing/2014/main" id="{00000000-0008-0000-0700-00003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7" name="Shape 7">
          <a:extLst>
            <a:ext uri="{FF2B5EF4-FFF2-40B4-BE49-F238E27FC236}">
              <a16:creationId xmlns:a16="http://schemas.microsoft.com/office/drawing/2014/main" id="{00000000-0008-0000-0700-00003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8" name="Shape 7">
          <a:extLst>
            <a:ext uri="{FF2B5EF4-FFF2-40B4-BE49-F238E27FC236}">
              <a16:creationId xmlns:a16="http://schemas.microsoft.com/office/drawing/2014/main" id="{00000000-0008-0000-0700-00003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59" name="Shape 8">
          <a:extLst>
            <a:ext uri="{FF2B5EF4-FFF2-40B4-BE49-F238E27FC236}">
              <a16:creationId xmlns:a16="http://schemas.microsoft.com/office/drawing/2014/main" id="{00000000-0008-0000-0700-00003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0" name="Shape 8">
          <a:extLst>
            <a:ext uri="{FF2B5EF4-FFF2-40B4-BE49-F238E27FC236}">
              <a16:creationId xmlns:a16="http://schemas.microsoft.com/office/drawing/2014/main" id="{00000000-0008-0000-0700-00003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1" name="Shape 8">
          <a:extLst>
            <a:ext uri="{FF2B5EF4-FFF2-40B4-BE49-F238E27FC236}">
              <a16:creationId xmlns:a16="http://schemas.microsoft.com/office/drawing/2014/main" id="{00000000-0008-0000-0700-00003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2" name="Shape 8">
          <a:extLst>
            <a:ext uri="{FF2B5EF4-FFF2-40B4-BE49-F238E27FC236}">
              <a16:creationId xmlns:a16="http://schemas.microsoft.com/office/drawing/2014/main" id="{00000000-0008-0000-0700-00003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3" name="Shape 7">
          <a:extLst>
            <a:ext uri="{FF2B5EF4-FFF2-40B4-BE49-F238E27FC236}">
              <a16:creationId xmlns:a16="http://schemas.microsoft.com/office/drawing/2014/main" id="{00000000-0008-0000-0700-00003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4" name="Shape 7">
          <a:extLst>
            <a:ext uri="{FF2B5EF4-FFF2-40B4-BE49-F238E27FC236}">
              <a16:creationId xmlns:a16="http://schemas.microsoft.com/office/drawing/2014/main" id="{00000000-0008-0000-0700-00003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5" name="Shape 7">
          <a:extLst>
            <a:ext uri="{FF2B5EF4-FFF2-40B4-BE49-F238E27FC236}">
              <a16:creationId xmlns:a16="http://schemas.microsoft.com/office/drawing/2014/main" id="{00000000-0008-0000-0700-00003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6" name="Shape 7">
          <a:extLst>
            <a:ext uri="{FF2B5EF4-FFF2-40B4-BE49-F238E27FC236}">
              <a16:creationId xmlns:a16="http://schemas.microsoft.com/office/drawing/2014/main" id="{00000000-0008-0000-0700-00003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7" name="Shape 7">
          <a:extLst>
            <a:ext uri="{FF2B5EF4-FFF2-40B4-BE49-F238E27FC236}">
              <a16:creationId xmlns:a16="http://schemas.microsoft.com/office/drawing/2014/main" id="{00000000-0008-0000-0700-00003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8" name="Shape 7">
          <a:extLst>
            <a:ext uri="{FF2B5EF4-FFF2-40B4-BE49-F238E27FC236}">
              <a16:creationId xmlns:a16="http://schemas.microsoft.com/office/drawing/2014/main" id="{00000000-0008-0000-0700-00004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9" name="Shape 7">
          <a:extLst>
            <a:ext uri="{FF2B5EF4-FFF2-40B4-BE49-F238E27FC236}">
              <a16:creationId xmlns:a16="http://schemas.microsoft.com/office/drawing/2014/main" id="{00000000-0008-0000-0700-00004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0" name="Shape 9">
          <a:extLst>
            <a:ext uri="{FF2B5EF4-FFF2-40B4-BE49-F238E27FC236}">
              <a16:creationId xmlns:a16="http://schemas.microsoft.com/office/drawing/2014/main" id="{00000000-0008-0000-0700-00004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1" name="Shape 9">
          <a:extLst>
            <a:ext uri="{FF2B5EF4-FFF2-40B4-BE49-F238E27FC236}">
              <a16:creationId xmlns:a16="http://schemas.microsoft.com/office/drawing/2014/main" id="{00000000-0008-0000-0700-00004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2" name="Shape 9">
          <a:extLst>
            <a:ext uri="{FF2B5EF4-FFF2-40B4-BE49-F238E27FC236}">
              <a16:creationId xmlns:a16="http://schemas.microsoft.com/office/drawing/2014/main" id="{00000000-0008-0000-0700-00004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3" name="Shape 9">
          <a:extLst>
            <a:ext uri="{FF2B5EF4-FFF2-40B4-BE49-F238E27FC236}">
              <a16:creationId xmlns:a16="http://schemas.microsoft.com/office/drawing/2014/main" id="{00000000-0008-0000-0700-00004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4" name="Shape 10">
          <a:extLst>
            <a:ext uri="{FF2B5EF4-FFF2-40B4-BE49-F238E27FC236}">
              <a16:creationId xmlns:a16="http://schemas.microsoft.com/office/drawing/2014/main" id="{00000000-0008-0000-0700-00004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5" name="Shape 10">
          <a:extLst>
            <a:ext uri="{FF2B5EF4-FFF2-40B4-BE49-F238E27FC236}">
              <a16:creationId xmlns:a16="http://schemas.microsoft.com/office/drawing/2014/main" id="{00000000-0008-0000-0700-00004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6" name="Shape 10">
          <a:extLst>
            <a:ext uri="{FF2B5EF4-FFF2-40B4-BE49-F238E27FC236}">
              <a16:creationId xmlns:a16="http://schemas.microsoft.com/office/drawing/2014/main" id="{00000000-0008-0000-0700-00004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7" name="Shape 10">
          <a:extLst>
            <a:ext uri="{FF2B5EF4-FFF2-40B4-BE49-F238E27FC236}">
              <a16:creationId xmlns:a16="http://schemas.microsoft.com/office/drawing/2014/main" id="{00000000-0008-0000-0700-00004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8" name="Shape 9">
          <a:extLst>
            <a:ext uri="{FF2B5EF4-FFF2-40B4-BE49-F238E27FC236}">
              <a16:creationId xmlns:a16="http://schemas.microsoft.com/office/drawing/2014/main" id="{00000000-0008-0000-0700-00004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9" name="Shape 9">
          <a:extLst>
            <a:ext uri="{FF2B5EF4-FFF2-40B4-BE49-F238E27FC236}">
              <a16:creationId xmlns:a16="http://schemas.microsoft.com/office/drawing/2014/main" id="{00000000-0008-0000-0700-00004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0" name="Shape 9">
          <a:extLst>
            <a:ext uri="{FF2B5EF4-FFF2-40B4-BE49-F238E27FC236}">
              <a16:creationId xmlns:a16="http://schemas.microsoft.com/office/drawing/2014/main" id="{00000000-0008-0000-0700-00004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1" name="Shape 9">
          <a:extLst>
            <a:ext uri="{FF2B5EF4-FFF2-40B4-BE49-F238E27FC236}">
              <a16:creationId xmlns:a16="http://schemas.microsoft.com/office/drawing/2014/main" id="{00000000-0008-0000-0700-00004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2" name="Shape 9">
          <a:extLst>
            <a:ext uri="{FF2B5EF4-FFF2-40B4-BE49-F238E27FC236}">
              <a16:creationId xmlns:a16="http://schemas.microsoft.com/office/drawing/2014/main" id="{00000000-0008-0000-0700-00004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3" name="Shape 9">
          <a:extLst>
            <a:ext uri="{FF2B5EF4-FFF2-40B4-BE49-F238E27FC236}">
              <a16:creationId xmlns:a16="http://schemas.microsoft.com/office/drawing/2014/main" id="{00000000-0008-0000-0700-00004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4" name="Shape 9">
          <a:extLst>
            <a:ext uri="{FF2B5EF4-FFF2-40B4-BE49-F238E27FC236}">
              <a16:creationId xmlns:a16="http://schemas.microsoft.com/office/drawing/2014/main" id="{00000000-0008-0000-0700-00005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5" name="Shape 7">
          <a:extLst>
            <a:ext uri="{FF2B5EF4-FFF2-40B4-BE49-F238E27FC236}">
              <a16:creationId xmlns:a16="http://schemas.microsoft.com/office/drawing/2014/main" id="{00000000-0008-0000-0700-00005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6" name="Shape 7">
          <a:extLst>
            <a:ext uri="{FF2B5EF4-FFF2-40B4-BE49-F238E27FC236}">
              <a16:creationId xmlns:a16="http://schemas.microsoft.com/office/drawing/2014/main" id="{00000000-0008-0000-0700-00005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7" name="Shape 7">
          <a:extLst>
            <a:ext uri="{FF2B5EF4-FFF2-40B4-BE49-F238E27FC236}">
              <a16:creationId xmlns:a16="http://schemas.microsoft.com/office/drawing/2014/main" id="{00000000-0008-0000-0700-00005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8" name="Shape 7">
          <a:extLst>
            <a:ext uri="{FF2B5EF4-FFF2-40B4-BE49-F238E27FC236}">
              <a16:creationId xmlns:a16="http://schemas.microsoft.com/office/drawing/2014/main" id="{00000000-0008-0000-0700-00005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89" name="Shape 8">
          <a:extLst>
            <a:ext uri="{FF2B5EF4-FFF2-40B4-BE49-F238E27FC236}">
              <a16:creationId xmlns:a16="http://schemas.microsoft.com/office/drawing/2014/main" id="{00000000-0008-0000-0700-00005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0" name="Shape 8">
          <a:extLst>
            <a:ext uri="{FF2B5EF4-FFF2-40B4-BE49-F238E27FC236}">
              <a16:creationId xmlns:a16="http://schemas.microsoft.com/office/drawing/2014/main" id="{00000000-0008-0000-0700-00005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1" name="Shape 8">
          <a:extLst>
            <a:ext uri="{FF2B5EF4-FFF2-40B4-BE49-F238E27FC236}">
              <a16:creationId xmlns:a16="http://schemas.microsoft.com/office/drawing/2014/main" id="{00000000-0008-0000-0700-00005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2" name="Shape 8">
          <a:extLst>
            <a:ext uri="{FF2B5EF4-FFF2-40B4-BE49-F238E27FC236}">
              <a16:creationId xmlns:a16="http://schemas.microsoft.com/office/drawing/2014/main" id="{00000000-0008-0000-0700-00005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3" name="Shape 7">
          <a:extLst>
            <a:ext uri="{FF2B5EF4-FFF2-40B4-BE49-F238E27FC236}">
              <a16:creationId xmlns:a16="http://schemas.microsoft.com/office/drawing/2014/main" id="{00000000-0008-0000-0700-00005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4" name="Shape 7">
          <a:extLst>
            <a:ext uri="{FF2B5EF4-FFF2-40B4-BE49-F238E27FC236}">
              <a16:creationId xmlns:a16="http://schemas.microsoft.com/office/drawing/2014/main" id="{00000000-0008-0000-0700-00005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5" name="Shape 7">
          <a:extLst>
            <a:ext uri="{FF2B5EF4-FFF2-40B4-BE49-F238E27FC236}">
              <a16:creationId xmlns:a16="http://schemas.microsoft.com/office/drawing/2014/main" id="{00000000-0008-0000-0700-00005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6" name="Shape 7">
          <a:extLst>
            <a:ext uri="{FF2B5EF4-FFF2-40B4-BE49-F238E27FC236}">
              <a16:creationId xmlns:a16="http://schemas.microsoft.com/office/drawing/2014/main" id="{00000000-0008-0000-0700-00005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7" name="Shape 7">
          <a:extLst>
            <a:ext uri="{FF2B5EF4-FFF2-40B4-BE49-F238E27FC236}">
              <a16:creationId xmlns:a16="http://schemas.microsoft.com/office/drawing/2014/main" id="{00000000-0008-0000-0700-00005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8" name="Shape 7">
          <a:extLst>
            <a:ext uri="{FF2B5EF4-FFF2-40B4-BE49-F238E27FC236}">
              <a16:creationId xmlns:a16="http://schemas.microsoft.com/office/drawing/2014/main" id="{00000000-0008-0000-0700-00005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9" name="Shape 7">
          <a:extLst>
            <a:ext uri="{FF2B5EF4-FFF2-40B4-BE49-F238E27FC236}">
              <a16:creationId xmlns:a16="http://schemas.microsoft.com/office/drawing/2014/main" id="{00000000-0008-0000-0700-00005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0" name="Shape 9">
          <a:extLst>
            <a:ext uri="{FF2B5EF4-FFF2-40B4-BE49-F238E27FC236}">
              <a16:creationId xmlns:a16="http://schemas.microsoft.com/office/drawing/2014/main" id="{00000000-0008-0000-0700-00006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1" name="Shape 9">
          <a:extLst>
            <a:ext uri="{FF2B5EF4-FFF2-40B4-BE49-F238E27FC236}">
              <a16:creationId xmlns:a16="http://schemas.microsoft.com/office/drawing/2014/main" id="{00000000-0008-0000-0700-00006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2" name="Shape 9">
          <a:extLst>
            <a:ext uri="{FF2B5EF4-FFF2-40B4-BE49-F238E27FC236}">
              <a16:creationId xmlns:a16="http://schemas.microsoft.com/office/drawing/2014/main" id="{00000000-0008-0000-0700-00006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3" name="Shape 9">
          <a:extLst>
            <a:ext uri="{FF2B5EF4-FFF2-40B4-BE49-F238E27FC236}">
              <a16:creationId xmlns:a16="http://schemas.microsoft.com/office/drawing/2014/main" id="{00000000-0008-0000-0700-00006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4" name="Shape 10">
          <a:extLst>
            <a:ext uri="{FF2B5EF4-FFF2-40B4-BE49-F238E27FC236}">
              <a16:creationId xmlns:a16="http://schemas.microsoft.com/office/drawing/2014/main" id="{00000000-0008-0000-0700-00006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5" name="Shape 10">
          <a:extLst>
            <a:ext uri="{FF2B5EF4-FFF2-40B4-BE49-F238E27FC236}">
              <a16:creationId xmlns:a16="http://schemas.microsoft.com/office/drawing/2014/main" id="{00000000-0008-0000-0700-00006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6" name="Shape 10">
          <a:extLst>
            <a:ext uri="{FF2B5EF4-FFF2-40B4-BE49-F238E27FC236}">
              <a16:creationId xmlns:a16="http://schemas.microsoft.com/office/drawing/2014/main" id="{00000000-0008-0000-0700-00006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7" name="Shape 10">
          <a:extLst>
            <a:ext uri="{FF2B5EF4-FFF2-40B4-BE49-F238E27FC236}">
              <a16:creationId xmlns:a16="http://schemas.microsoft.com/office/drawing/2014/main" id="{00000000-0008-0000-0700-00006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8" name="Shape 9">
          <a:extLst>
            <a:ext uri="{FF2B5EF4-FFF2-40B4-BE49-F238E27FC236}">
              <a16:creationId xmlns:a16="http://schemas.microsoft.com/office/drawing/2014/main" id="{00000000-0008-0000-0700-00006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9" name="Shape 9">
          <a:extLst>
            <a:ext uri="{FF2B5EF4-FFF2-40B4-BE49-F238E27FC236}">
              <a16:creationId xmlns:a16="http://schemas.microsoft.com/office/drawing/2014/main" id="{00000000-0008-0000-0700-00006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0" name="Shape 9">
          <a:extLst>
            <a:ext uri="{FF2B5EF4-FFF2-40B4-BE49-F238E27FC236}">
              <a16:creationId xmlns:a16="http://schemas.microsoft.com/office/drawing/2014/main" id="{00000000-0008-0000-0700-00006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1" name="Shape 9">
          <a:extLst>
            <a:ext uri="{FF2B5EF4-FFF2-40B4-BE49-F238E27FC236}">
              <a16:creationId xmlns:a16="http://schemas.microsoft.com/office/drawing/2014/main" id="{00000000-0008-0000-0700-00006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2" name="Shape 9">
          <a:extLst>
            <a:ext uri="{FF2B5EF4-FFF2-40B4-BE49-F238E27FC236}">
              <a16:creationId xmlns:a16="http://schemas.microsoft.com/office/drawing/2014/main" id="{00000000-0008-0000-0700-00006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3" name="Shape 9">
          <a:extLst>
            <a:ext uri="{FF2B5EF4-FFF2-40B4-BE49-F238E27FC236}">
              <a16:creationId xmlns:a16="http://schemas.microsoft.com/office/drawing/2014/main" id="{00000000-0008-0000-0700-00006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4" name="Shape 9">
          <a:extLst>
            <a:ext uri="{FF2B5EF4-FFF2-40B4-BE49-F238E27FC236}">
              <a16:creationId xmlns:a16="http://schemas.microsoft.com/office/drawing/2014/main" id="{00000000-0008-0000-0700-00006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5" name="Shape 7">
          <a:extLst>
            <a:ext uri="{FF2B5EF4-FFF2-40B4-BE49-F238E27FC236}">
              <a16:creationId xmlns:a16="http://schemas.microsoft.com/office/drawing/2014/main" id="{00000000-0008-0000-0700-00006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6" name="Shape 7">
          <a:extLst>
            <a:ext uri="{FF2B5EF4-FFF2-40B4-BE49-F238E27FC236}">
              <a16:creationId xmlns:a16="http://schemas.microsoft.com/office/drawing/2014/main" id="{00000000-0008-0000-0700-00007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7" name="Shape 7">
          <a:extLst>
            <a:ext uri="{FF2B5EF4-FFF2-40B4-BE49-F238E27FC236}">
              <a16:creationId xmlns:a16="http://schemas.microsoft.com/office/drawing/2014/main" id="{00000000-0008-0000-0700-00007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8" name="Shape 7">
          <a:extLst>
            <a:ext uri="{FF2B5EF4-FFF2-40B4-BE49-F238E27FC236}">
              <a16:creationId xmlns:a16="http://schemas.microsoft.com/office/drawing/2014/main" id="{00000000-0008-0000-0700-00007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19" name="Shape 8">
          <a:extLst>
            <a:ext uri="{FF2B5EF4-FFF2-40B4-BE49-F238E27FC236}">
              <a16:creationId xmlns:a16="http://schemas.microsoft.com/office/drawing/2014/main" id="{00000000-0008-0000-0700-00007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0" name="Shape 8">
          <a:extLst>
            <a:ext uri="{FF2B5EF4-FFF2-40B4-BE49-F238E27FC236}">
              <a16:creationId xmlns:a16="http://schemas.microsoft.com/office/drawing/2014/main" id="{00000000-0008-0000-0700-00007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1" name="Shape 8">
          <a:extLst>
            <a:ext uri="{FF2B5EF4-FFF2-40B4-BE49-F238E27FC236}">
              <a16:creationId xmlns:a16="http://schemas.microsoft.com/office/drawing/2014/main" id="{00000000-0008-0000-0700-00007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2" name="Shape 8">
          <a:extLst>
            <a:ext uri="{FF2B5EF4-FFF2-40B4-BE49-F238E27FC236}">
              <a16:creationId xmlns:a16="http://schemas.microsoft.com/office/drawing/2014/main" id="{00000000-0008-0000-0700-00007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3" name="Shape 7">
          <a:extLst>
            <a:ext uri="{FF2B5EF4-FFF2-40B4-BE49-F238E27FC236}">
              <a16:creationId xmlns:a16="http://schemas.microsoft.com/office/drawing/2014/main" id="{00000000-0008-0000-0700-00007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4" name="Shape 7">
          <a:extLst>
            <a:ext uri="{FF2B5EF4-FFF2-40B4-BE49-F238E27FC236}">
              <a16:creationId xmlns:a16="http://schemas.microsoft.com/office/drawing/2014/main" id="{00000000-0008-0000-0700-00007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5" name="Shape 7">
          <a:extLst>
            <a:ext uri="{FF2B5EF4-FFF2-40B4-BE49-F238E27FC236}">
              <a16:creationId xmlns:a16="http://schemas.microsoft.com/office/drawing/2014/main" id="{00000000-0008-0000-0700-00007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6" name="Shape 7">
          <a:extLst>
            <a:ext uri="{FF2B5EF4-FFF2-40B4-BE49-F238E27FC236}">
              <a16:creationId xmlns:a16="http://schemas.microsoft.com/office/drawing/2014/main" id="{00000000-0008-0000-0700-00007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7" name="Shape 7">
          <a:extLst>
            <a:ext uri="{FF2B5EF4-FFF2-40B4-BE49-F238E27FC236}">
              <a16:creationId xmlns:a16="http://schemas.microsoft.com/office/drawing/2014/main" id="{00000000-0008-0000-0700-00007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8" name="Shape 7">
          <a:extLst>
            <a:ext uri="{FF2B5EF4-FFF2-40B4-BE49-F238E27FC236}">
              <a16:creationId xmlns:a16="http://schemas.microsoft.com/office/drawing/2014/main" id="{00000000-0008-0000-0700-00007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9" name="Shape 7">
          <a:extLst>
            <a:ext uri="{FF2B5EF4-FFF2-40B4-BE49-F238E27FC236}">
              <a16:creationId xmlns:a16="http://schemas.microsoft.com/office/drawing/2014/main" id="{00000000-0008-0000-0700-00007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0" name="Shape 9">
          <a:extLst>
            <a:ext uri="{FF2B5EF4-FFF2-40B4-BE49-F238E27FC236}">
              <a16:creationId xmlns:a16="http://schemas.microsoft.com/office/drawing/2014/main" id="{00000000-0008-0000-0700-00007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1" name="Shape 9">
          <a:extLst>
            <a:ext uri="{FF2B5EF4-FFF2-40B4-BE49-F238E27FC236}">
              <a16:creationId xmlns:a16="http://schemas.microsoft.com/office/drawing/2014/main" id="{00000000-0008-0000-0700-00007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2" name="Shape 9">
          <a:extLst>
            <a:ext uri="{FF2B5EF4-FFF2-40B4-BE49-F238E27FC236}">
              <a16:creationId xmlns:a16="http://schemas.microsoft.com/office/drawing/2014/main" id="{00000000-0008-0000-0700-00008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3" name="Shape 9">
          <a:extLst>
            <a:ext uri="{FF2B5EF4-FFF2-40B4-BE49-F238E27FC236}">
              <a16:creationId xmlns:a16="http://schemas.microsoft.com/office/drawing/2014/main" id="{00000000-0008-0000-0700-00008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4" name="Shape 10">
          <a:extLst>
            <a:ext uri="{FF2B5EF4-FFF2-40B4-BE49-F238E27FC236}">
              <a16:creationId xmlns:a16="http://schemas.microsoft.com/office/drawing/2014/main" id="{00000000-0008-0000-0700-00008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5" name="Shape 10">
          <a:extLst>
            <a:ext uri="{FF2B5EF4-FFF2-40B4-BE49-F238E27FC236}">
              <a16:creationId xmlns:a16="http://schemas.microsoft.com/office/drawing/2014/main" id="{00000000-0008-0000-0700-00008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6" name="Shape 10">
          <a:extLst>
            <a:ext uri="{FF2B5EF4-FFF2-40B4-BE49-F238E27FC236}">
              <a16:creationId xmlns:a16="http://schemas.microsoft.com/office/drawing/2014/main" id="{00000000-0008-0000-0700-00008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7" name="Shape 10">
          <a:extLst>
            <a:ext uri="{FF2B5EF4-FFF2-40B4-BE49-F238E27FC236}">
              <a16:creationId xmlns:a16="http://schemas.microsoft.com/office/drawing/2014/main" id="{00000000-0008-0000-0700-00008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8" name="Shape 9">
          <a:extLst>
            <a:ext uri="{FF2B5EF4-FFF2-40B4-BE49-F238E27FC236}">
              <a16:creationId xmlns:a16="http://schemas.microsoft.com/office/drawing/2014/main" id="{00000000-0008-0000-0700-00008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9" name="Shape 9">
          <a:extLst>
            <a:ext uri="{FF2B5EF4-FFF2-40B4-BE49-F238E27FC236}">
              <a16:creationId xmlns:a16="http://schemas.microsoft.com/office/drawing/2014/main" id="{00000000-0008-0000-0700-00008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0" name="Shape 9">
          <a:extLst>
            <a:ext uri="{FF2B5EF4-FFF2-40B4-BE49-F238E27FC236}">
              <a16:creationId xmlns:a16="http://schemas.microsoft.com/office/drawing/2014/main" id="{00000000-0008-0000-0700-00008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1" name="Shape 9">
          <a:extLst>
            <a:ext uri="{FF2B5EF4-FFF2-40B4-BE49-F238E27FC236}">
              <a16:creationId xmlns:a16="http://schemas.microsoft.com/office/drawing/2014/main" id="{00000000-0008-0000-0700-00008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2" name="Shape 9">
          <a:extLst>
            <a:ext uri="{FF2B5EF4-FFF2-40B4-BE49-F238E27FC236}">
              <a16:creationId xmlns:a16="http://schemas.microsoft.com/office/drawing/2014/main" id="{00000000-0008-0000-0700-00008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3" name="Shape 9">
          <a:extLst>
            <a:ext uri="{FF2B5EF4-FFF2-40B4-BE49-F238E27FC236}">
              <a16:creationId xmlns:a16="http://schemas.microsoft.com/office/drawing/2014/main" id="{00000000-0008-0000-0700-00008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4" name="Shape 9">
          <a:extLst>
            <a:ext uri="{FF2B5EF4-FFF2-40B4-BE49-F238E27FC236}">
              <a16:creationId xmlns:a16="http://schemas.microsoft.com/office/drawing/2014/main" id="{00000000-0008-0000-0700-00008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5" name="Shape 7">
          <a:extLst>
            <a:ext uri="{FF2B5EF4-FFF2-40B4-BE49-F238E27FC236}">
              <a16:creationId xmlns:a16="http://schemas.microsoft.com/office/drawing/2014/main" id="{00000000-0008-0000-0700-00008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6" name="Shape 7">
          <a:extLst>
            <a:ext uri="{FF2B5EF4-FFF2-40B4-BE49-F238E27FC236}">
              <a16:creationId xmlns:a16="http://schemas.microsoft.com/office/drawing/2014/main" id="{00000000-0008-0000-0700-00008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7" name="Shape 7">
          <a:extLst>
            <a:ext uri="{FF2B5EF4-FFF2-40B4-BE49-F238E27FC236}">
              <a16:creationId xmlns:a16="http://schemas.microsoft.com/office/drawing/2014/main" id="{00000000-0008-0000-0700-00008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8" name="Shape 7">
          <a:extLst>
            <a:ext uri="{FF2B5EF4-FFF2-40B4-BE49-F238E27FC236}">
              <a16:creationId xmlns:a16="http://schemas.microsoft.com/office/drawing/2014/main" id="{00000000-0008-0000-0700-00009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49" name="Shape 8">
          <a:extLst>
            <a:ext uri="{FF2B5EF4-FFF2-40B4-BE49-F238E27FC236}">
              <a16:creationId xmlns:a16="http://schemas.microsoft.com/office/drawing/2014/main" id="{00000000-0008-0000-0700-00009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0" name="Shape 8">
          <a:extLst>
            <a:ext uri="{FF2B5EF4-FFF2-40B4-BE49-F238E27FC236}">
              <a16:creationId xmlns:a16="http://schemas.microsoft.com/office/drawing/2014/main" id="{00000000-0008-0000-0700-00009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1" name="Shape 8">
          <a:extLst>
            <a:ext uri="{FF2B5EF4-FFF2-40B4-BE49-F238E27FC236}">
              <a16:creationId xmlns:a16="http://schemas.microsoft.com/office/drawing/2014/main" id="{00000000-0008-0000-0700-00009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2" name="Shape 8">
          <a:extLst>
            <a:ext uri="{FF2B5EF4-FFF2-40B4-BE49-F238E27FC236}">
              <a16:creationId xmlns:a16="http://schemas.microsoft.com/office/drawing/2014/main" id="{00000000-0008-0000-0700-00009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3" name="Shape 7">
          <a:extLst>
            <a:ext uri="{FF2B5EF4-FFF2-40B4-BE49-F238E27FC236}">
              <a16:creationId xmlns:a16="http://schemas.microsoft.com/office/drawing/2014/main" id="{00000000-0008-0000-0700-00009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4" name="Shape 7">
          <a:extLst>
            <a:ext uri="{FF2B5EF4-FFF2-40B4-BE49-F238E27FC236}">
              <a16:creationId xmlns:a16="http://schemas.microsoft.com/office/drawing/2014/main" id="{00000000-0008-0000-0700-00009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5" name="Shape 7">
          <a:extLst>
            <a:ext uri="{FF2B5EF4-FFF2-40B4-BE49-F238E27FC236}">
              <a16:creationId xmlns:a16="http://schemas.microsoft.com/office/drawing/2014/main" id="{00000000-0008-0000-0700-00009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6" name="Shape 7">
          <a:extLst>
            <a:ext uri="{FF2B5EF4-FFF2-40B4-BE49-F238E27FC236}">
              <a16:creationId xmlns:a16="http://schemas.microsoft.com/office/drawing/2014/main" id="{00000000-0008-0000-0700-00009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7" name="Shape 7">
          <a:extLst>
            <a:ext uri="{FF2B5EF4-FFF2-40B4-BE49-F238E27FC236}">
              <a16:creationId xmlns:a16="http://schemas.microsoft.com/office/drawing/2014/main" id="{00000000-0008-0000-0700-00009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8" name="Shape 7">
          <a:extLst>
            <a:ext uri="{FF2B5EF4-FFF2-40B4-BE49-F238E27FC236}">
              <a16:creationId xmlns:a16="http://schemas.microsoft.com/office/drawing/2014/main" id="{00000000-0008-0000-0700-00009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9" name="Shape 7">
          <a:extLst>
            <a:ext uri="{FF2B5EF4-FFF2-40B4-BE49-F238E27FC236}">
              <a16:creationId xmlns:a16="http://schemas.microsoft.com/office/drawing/2014/main" id="{00000000-0008-0000-0700-00009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0" name="Shape 9">
          <a:extLst>
            <a:ext uri="{FF2B5EF4-FFF2-40B4-BE49-F238E27FC236}">
              <a16:creationId xmlns:a16="http://schemas.microsoft.com/office/drawing/2014/main" id="{00000000-0008-0000-0700-00009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1" name="Shape 9">
          <a:extLst>
            <a:ext uri="{FF2B5EF4-FFF2-40B4-BE49-F238E27FC236}">
              <a16:creationId xmlns:a16="http://schemas.microsoft.com/office/drawing/2014/main" id="{00000000-0008-0000-0700-00009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2" name="Shape 9">
          <a:extLst>
            <a:ext uri="{FF2B5EF4-FFF2-40B4-BE49-F238E27FC236}">
              <a16:creationId xmlns:a16="http://schemas.microsoft.com/office/drawing/2014/main" id="{00000000-0008-0000-0700-00009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3" name="Shape 9">
          <a:extLst>
            <a:ext uri="{FF2B5EF4-FFF2-40B4-BE49-F238E27FC236}">
              <a16:creationId xmlns:a16="http://schemas.microsoft.com/office/drawing/2014/main" id="{00000000-0008-0000-0700-00009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4" name="Shape 10">
          <a:extLst>
            <a:ext uri="{FF2B5EF4-FFF2-40B4-BE49-F238E27FC236}">
              <a16:creationId xmlns:a16="http://schemas.microsoft.com/office/drawing/2014/main" id="{00000000-0008-0000-0700-0000A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5" name="Shape 10">
          <a:extLst>
            <a:ext uri="{FF2B5EF4-FFF2-40B4-BE49-F238E27FC236}">
              <a16:creationId xmlns:a16="http://schemas.microsoft.com/office/drawing/2014/main" id="{00000000-0008-0000-0700-0000A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6" name="Shape 10">
          <a:extLst>
            <a:ext uri="{FF2B5EF4-FFF2-40B4-BE49-F238E27FC236}">
              <a16:creationId xmlns:a16="http://schemas.microsoft.com/office/drawing/2014/main" id="{00000000-0008-0000-0700-0000A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7" name="Shape 10">
          <a:extLst>
            <a:ext uri="{FF2B5EF4-FFF2-40B4-BE49-F238E27FC236}">
              <a16:creationId xmlns:a16="http://schemas.microsoft.com/office/drawing/2014/main" id="{00000000-0008-0000-0700-0000A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8" name="Shape 9">
          <a:extLst>
            <a:ext uri="{FF2B5EF4-FFF2-40B4-BE49-F238E27FC236}">
              <a16:creationId xmlns:a16="http://schemas.microsoft.com/office/drawing/2014/main" id="{00000000-0008-0000-0700-0000A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9" name="Shape 9">
          <a:extLst>
            <a:ext uri="{FF2B5EF4-FFF2-40B4-BE49-F238E27FC236}">
              <a16:creationId xmlns:a16="http://schemas.microsoft.com/office/drawing/2014/main" id="{00000000-0008-0000-0700-0000A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0" name="Shape 9">
          <a:extLst>
            <a:ext uri="{FF2B5EF4-FFF2-40B4-BE49-F238E27FC236}">
              <a16:creationId xmlns:a16="http://schemas.microsoft.com/office/drawing/2014/main" id="{00000000-0008-0000-0700-0000A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1" name="Shape 9">
          <a:extLst>
            <a:ext uri="{FF2B5EF4-FFF2-40B4-BE49-F238E27FC236}">
              <a16:creationId xmlns:a16="http://schemas.microsoft.com/office/drawing/2014/main" id="{00000000-0008-0000-0700-0000A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2" name="Shape 9">
          <a:extLst>
            <a:ext uri="{FF2B5EF4-FFF2-40B4-BE49-F238E27FC236}">
              <a16:creationId xmlns:a16="http://schemas.microsoft.com/office/drawing/2014/main" id="{00000000-0008-0000-0700-0000A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3" name="Shape 9">
          <a:extLst>
            <a:ext uri="{FF2B5EF4-FFF2-40B4-BE49-F238E27FC236}">
              <a16:creationId xmlns:a16="http://schemas.microsoft.com/office/drawing/2014/main" id="{00000000-0008-0000-0700-0000A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4" name="Shape 9">
          <a:extLst>
            <a:ext uri="{FF2B5EF4-FFF2-40B4-BE49-F238E27FC236}">
              <a16:creationId xmlns:a16="http://schemas.microsoft.com/office/drawing/2014/main" id="{00000000-0008-0000-0700-0000A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5" name="Shape 7">
          <a:extLst>
            <a:ext uri="{FF2B5EF4-FFF2-40B4-BE49-F238E27FC236}">
              <a16:creationId xmlns:a16="http://schemas.microsoft.com/office/drawing/2014/main" id="{00000000-0008-0000-0700-0000A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6" name="Shape 7">
          <a:extLst>
            <a:ext uri="{FF2B5EF4-FFF2-40B4-BE49-F238E27FC236}">
              <a16:creationId xmlns:a16="http://schemas.microsoft.com/office/drawing/2014/main" id="{00000000-0008-0000-0700-0000A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7" name="Shape 7">
          <a:extLst>
            <a:ext uri="{FF2B5EF4-FFF2-40B4-BE49-F238E27FC236}">
              <a16:creationId xmlns:a16="http://schemas.microsoft.com/office/drawing/2014/main" id="{00000000-0008-0000-0700-0000A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8" name="Shape 7">
          <a:extLst>
            <a:ext uri="{FF2B5EF4-FFF2-40B4-BE49-F238E27FC236}">
              <a16:creationId xmlns:a16="http://schemas.microsoft.com/office/drawing/2014/main" id="{00000000-0008-0000-0700-0000A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79" name="Shape 8">
          <a:extLst>
            <a:ext uri="{FF2B5EF4-FFF2-40B4-BE49-F238E27FC236}">
              <a16:creationId xmlns:a16="http://schemas.microsoft.com/office/drawing/2014/main" id="{00000000-0008-0000-0700-0000A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0" name="Shape 8">
          <a:extLst>
            <a:ext uri="{FF2B5EF4-FFF2-40B4-BE49-F238E27FC236}">
              <a16:creationId xmlns:a16="http://schemas.microsoft.com/office/drawing/2014/main" id="{00000000-0008-0000-0700-0000B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1" name="Shape 8">
          <a:extLst>
            <a:ext uri="{FF2B5EF4-FFF2-40B4-BE49-F238E27FC236}">
              <a16:creationId xmlns:a16="http://schemas.microsoft.com/office/drawing/2014/main" id="{00000000-0008-0000-0700-0000B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2" name="Shape 8">
          <a:extLst>
            <a:ext uri="{FF2B5EF4-FFF2-40B4-BE49-F238E27FC236}">
              <a16:creationId xmlns:a16="http://schemas.microsoft.com/office/drawing/2014/main" id="{00000000-0008-0000-0700-0000B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3" name="Shape 7">
          <a:extLst>
            <a:ext uri="{FF2B5EF4-FFF2-40B4-BE49-F238E27FC236}">
              <a16:creationId xmlns:a16="http://schemas.microsoft.com/office/drawing/2014/main" id="{00000000-0008-0000-0700-0000B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4" name="Shape 7">
          <a:extLst>
            <a:ext uri="{FF2B5EF4-FFF2-40B4-BE49-F238E27FC236}">
              <a16:creationId xmlns:a16="http://schemas.microsoft.com/office/drawing/2014/main" id="{00000000-0008-0000-0700-0000B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5" name="Shape 7">
          <a:extLst>
            <a:ext uri="{FF2B5EF4-FFF2-40B4-BE49-F238E27FC236}">
              <a16:creationId xmlns:a16="http://schemas.microsoft.com/office/drawing/2014/main" id="{00000000-0008-0000-0700-0000B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6" name="Shape 7">
          <a:extLst>
            <a:ext uri="{FF2B5EF4-FFF2-40B4-BE49-F238E27FC236}">
              <a16:creationId xmlns:a16="http://schemas.microsoft.com/office/drawing/2014/main" id="{00000000-0008-0000-0700-0000B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7" name="Shape 7">
          <a:extLst>
            <a:ext uri="{FF2B5EF4-FFF2-40B4-BE49-F238E27FC236}">
              <a16:creationId xmlns:a16="http://schemas.microsoft.com/office/drawing/2014/main" id="{00000000-0008-0000-0700-0000B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8" name="Shape 7">
          <a:extLst>
            <a:ext uri="{FF2B5EF4-FFF2-40B4-BE49-F238E27FC236}">
              <a16:creationId xmlns:a16="http://schemas.microsoft.com/office/drawing/2014/main" id="{00000000-0008-0000-0700-0000B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9" name="Shape 7">
          <a:extLst>
            <a:ext uri="{FF2B5EF4-FFF2-40B4-BE49-F238E27FC236}">
              <a16:creationId xmlns:a16="http://schemas.microsoft.com/office/drawing/2014/main" id="{00000000-0008-0000-0700-0000B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0" name="Shape 9">
          <a:extLst>
            <a:ext uri="{FF2B5EF4-FFF2-40B4-BE49-F238E27FC236}">
              <a16:creationId xmlns:a16="http://schemas.microsoft.com/office/drawing/2014/main" id="{00000000-0008-0000-0700-0000B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1" name="Shape 9">
          <a:extLst>
            <a:ext uri="{FF2B5EF4-FFF2-40B4-BE49-F238E27FC236}">
              <a16:creationId xmlns:a16="http://schemas.microsoft.com/office/drawing/2014/main" id="{00000000-0008-0000-0700-0000B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2" name="Shape 9">
          <a:extLst>
            <a:ext uri="{FF2B5EF4-FFF2-40B4-BE49-F238E27FC236}">
              <a16:creationId xmlns:a16="http://schemas.microsoft.com/office/drawing/2014/main" id="{00000000-0008-0000-0700-0000B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3" name="Shape 9">
          <a:extLst>
            <a:ext uri="{FF2B5EF4-FFF2-40B4-BE49-F238E27FC236}">
              <a16:creationId xmlns:a16="http://schemas.microsoft.com/office/drawing/2014/main" id="{00000000-0008-0000-0700-0000B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4" name="Shape 10">
          <a:extLst>
            <a:ext uri="{FF2B5EF4-FFF2-40B4-BE49-F238E27FC236}">
              <a16:creationId xmlns:a16="http://schemas.microsoft.com/office/drawing/2014/main" id="{00000000-0008-0000-0700-0000B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5" name="Shape 10">
          <a:extLst>
            <a:ext uri="{FF2B5EF4-FFF2-40B4-BE49-F238E27FC236}">
              <a16:creationId xmlns:a16="http://schemas.microsoft.com/office/drawing/2014/main" id="{00000000-0008-0000-0700-0000B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6" name="Shape 10">
          <a:extLst>
            <a:ext uri="{FF2B5EF4-FFF2-40B4-BE49-F238E27FC236}">
              <a16:creationId xmlns:a16="http://schemas.microsoft.com/office/drawing/2014/main" id="{00000000-0008-0000-0700-0000C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7" name="Shape 10">
          <a:extLst>
            <a:ext uri="{FF2B5EF4-FFF2-40B4-BE49-F238E27FC236}">
              <a16:creationId xmlns:a16="http://schemas.microsoft.com/office/drawing/2014/main" id="{00000000-0008-0000-0700-0000C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8" name="Shape 9">
          <a:extLst>
            <a:ext uri="{FF2B5EF4-FFF2-40B4-BE49-F238E27FC236}">
              <a16:creationId xmlns:a16="http://schemas.microsoft.com/office/drawing/2014/main" id="{00000000-0008-0000-0700-0000C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9" name="Shape 9">
          <a:extLst>
            <a:ext uri="{FF2B5EF4-FFF2-40B4-BE49-F238E27FC236}">
              <a16:creationId xmlns:a16="http://schemas.microsoft.com/office/drawing/2014/main" id="{00000000-0008-0000-0700-0000C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0" name="Shape 9">
          <a:extLst>
            <a:ext uri="{FF2B5EF4-FFF2-40B4-BE49-F238E27FC236}">
              <a16:creationId xmlns:a16="http://schemas.microsoft.com/office/drawing/2014/main" id="{00000000-0008-0000-0700-0000C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1" name="Shape 9">
          <a:extLst>
            <a:ext uri="{FF2B5EF4-FFF2-40B4-BE49-F238E27FC236}">
              <a16:creationId xmlns:a16="http://schemas.microsoft.com/office/drawing/2014/main" id="{00000000-0008-0000-0700-0000C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2" name="Shape 9">
          <a:extLst>
            <a:ext uri="{FF2B5EF4-FFF2-40B4-BE49-F238E27FC236}">
              <a16:creationId xmlns:a16="http://schemas.microsoft.com/office/drawing/2014/main" id="{00000000-0008-0000-0700-0000C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3" name="Shape 9">
          <a:extLst>
            <a:ext uri="{FF2B5EF4-FFF2-40B4-BE49-F238E27FC236}">
              <a16:creationId xmlns:a16="http://schemas.microsoft.com/office/drawing/2014/main" id="{00000000-0008-0000-0700-0000C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4" name="Shape 9">
          <a:extLst>
            <a:ext uri="{FF2B5EF4-FFF2-40B4-BE49-F238E27FC236}">
              <a16:creationId xmlns:a16="http://schemas.microsoft.com/office/drawing/2014/main" id="{00000000-0008-0000-0700-0000C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5" name="Shape 7">
          <a:extLst>
            <a:ext uri="{FF2B5EF4-FFF2-40B4-BE49-F238E27FC236}">
              <a16:creationId xmlns:a16="http://schemas.microsoft.com/office/drawing/2014/main" id="{00000000-0008-0000-0700-0000C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6" name="Shape 7">
          <a:extLst>
            <a:ext uri="{FF2B5EF4-FFF2-40B4-BE49-F238E27FC236}">
              <a16:creationId xmlns:a16="http://schemas.microsoft.com/office/drawing/2014/main" id="{00000000-0008-0000-0700-0000C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7" name="Shape 7">
          <a:extLst>
            <a:ext uri="{FF2B5EF4-FFF2-40B4-BE49-F238E27FC236}">
              <a16:creationId xmlns:a16="http://schemas.microsoft.com/office/drawing/2014/main" id="{00000000-0008-0000-0700-0000C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8" name="Shape 7">
          <a:extLst>
            <a:ext uri="{FF2B5EF4-FFF2-40B4-BE49-F238E27FC236}">
              <a16:creationId xmlns:a16="http://schemas.microsoft.com/office/drawing/2014/main" id="{00000000-0008-0000-0700-0000C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09" name="Shape 8">
          <a:extLst>
            <a:ext uri="{FF2B5EF4-FFF2-40B4-BE49-F238E27FC236}">
              <a16:creationId xmlns:a16="http://schemas.microsoft.com/office/drawing/2014/main" id="{00000000-0008-0000-0700-0000C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0" name="Shape 8">
          <a:extLst>
            <a:ext uri="{FF2B5EF4-FFF2-40B4-BE49-F238E27FC236}">
              <a16:creationId xmlns:a16="http://schemas.microsoft.com/office/drawing/2014/main" id="{00000000-0008-0000-0700-0000C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1" name="Shape 8">
          <a:extLst>
            <a:ext uri="{FF2B5EF4-FFF2-40B4-BE49-F238E27FC236}">
              <a16:creationId xmlns:a16="http://schemas.microsoft.com/office/drawing/2014/main" id="{00000000-0008-0000-0700-0000C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2" name="Shape 8">
          <a:extLst>
            <a:ext uri="{FF2B5EF4-FFF2-40B4-BE49-F238E27FC236}">
              <a16:creationId xmlns:a16="http://schemas.microsoft.com/office/drawing/2014/main" id="{00000000-0008-0000-0700-0000D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3" name="Shape 7">
          <a:extLst>
            <a:ext uri="{FF2B5EF4-FFF2-40B4-BE49-F238E27FC236}">
              <a16:creationId xmlns:a16="http://schemas.microsoft.com/office/drawing/2014/main" id="{00000000-0008-0000-0700-0000D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4" name="Shape 7">
          <a:extLst>
            <a:ext uri="{FF2B5EF4-FFF2-40B4-BE49-F238E27FC236}">
              <a16:creationId xmlns:a16="http://schemas.microsoft.com/office/drawing/2014/main" id="{00000000-0008-0000-0700-0000D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5" name="Shape 7">
          <a:extLst>
            <a:ext uri="{FF2B5EF4-FFF2-40B4-BE49-F238E27FC236}">
              <a16:creationId xmlns:a16="http://schemas.microsoft.com/office/drawing/2014/main" id="{00000000-0008-0000-0700-0000D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6" name="Shape 7">
          <a:extLst>
            <a:ext uri="{FF2B5EF4-FFF2-40B4-BE49-F238E27FC236}">
              <a16:creationId xmlns:a16="http://schemas.microsoft.com/office/drawing/2014/main" id="{00000000-0008-0000-0700-0000D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7" name="Shape 7">
          <a:extLst>
            <a:ext uri="{FF2B5EF4-FFF2-40B4-BE49-F238E27FC236}">
              <a16:creationId xmlns:a16="http://schemas.microsoft.com/office/drawing/2014/main" id="{00000000-0008-0000-0700-0000D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8" name="Shape 7">
          <a:extLst>
            <a:ext uri="{FF2B5EF4-FFF2-40B4-BE49-F238E27FC236}">
              <a16:creationId xmlns:a16="http://schemas.microsoft.com/office/drawing/2014/main" id="{00000000-0008-0000-0700-0000D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9" name="Shape 7">
          <a:extLst>
            <a:ext uri="{FF2B5EF4-FFF2-40B4-BE49-F238E27FC236}">
              <a16:creationId xmlns:a16="http://schemas.microsoft.com/office/drawing/2014/main" id="{00000000-0008-0000-0700-0000D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0" name="Shape 9">
          <a:extLst>
            <a:ext uri="{FF2B5EF4-FFF2-40B4-BE49-F238E27FC236}">
              <a16:creationId xmlns:a16="http://schemas.microsoft.com/office/drawing/2014/main" id="{00000000-0008-0000-0700-0000D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1" name="Shape 9">
          <a:extLst>
            <a:ext uri="{FF2B5EF4-FFF2-40B4-BE49-F238E27FC236}">
              <a16:creationId xmlns:a16="http://schemas.microsoft.com/office/drawing/2014/main" id="{00000000-0008-0000-0700-0000D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2" name="Shape 9">
          <a:extLst>
            <a:ext uri="{FF2B5EF4-FFF2-40B4-BE49-F238E27FC236}">
              <a16:creationId xmlns:a16="http://schemas.microsoft.com/office/drawing/2014/main" id="{00000000-0008-0000-0700-0000D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3" name="Shape 9">
          <a:extLst>
            <a:ext uri="{FF2B5EF4-FFF2-40B4-BE49-F238E27FC236}">
              <a16:creationId xmlns:a16="http://schemas.microsoft.com/office/drawing/2014/main" id="{00000000-0008-0000-0700-0000D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4" name="Shape 10">
          <a:extLst>
            <a:ext uri="{FF2B5EF4-FFF2-40B4-BE49-F238E27FC236}">
              <a16:creationId xmlns:a16="http://schemas.microsoft.com/office/drawing/2014/main" id="{00000000-0008-0000-0700-0000D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5" name="Shape 10">
          <a:extLst>
            <a:ext uri="{FF2B5EF4-FFF2-40B4-BE49-F238E27FC236}">
              <a16:creationId xmlns:a16="http://schemas.microsoft.com/office/drawing/2014/main" id="{00000000-0008-0000-0700-0000D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6" name="Shape 10">
          <a:extLst>
            <a:ext uri="{FF2B5EF4-FFF2-40B4-BE49-F238E27FC236}">
              <a16:creationId xmlns:a16="http://schemas.microsoft.com/office/drawing/2014/main" id="{00000000-0008-0000-0700-0000D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7" name="Shape 10">
          <a:extLst>
            <a:ext uri="{FF2B5EF4-FFF2-40B4-BE49-F238E27FC236}">
              <a16:creationId xmlns:a16="http://schemas.microsoft.com/office/drawing/2014/main" id="{00000000-0008-0000-0700-0000D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8" name="Shape 9">
          <a:extLst>
            <a:ext uri="{FF2B5EF4-FFF2-40B4-BE49-F238E27FC236}">
              <a16:creationId xmlns:a16="http://schemas.microsoft.com/office/drawing/2014/main" id="{00000000-0008-0000-0700-0000E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9" name="Shape 9">
          <a:extLst>
            <a:ext uri="{FF2B5EF4-FFF2-40B4-BE49-F238E27FC236}">
              <a16:creationId xmlns:a16="http://schemas.microsoft.com/office/drawing/2014/main" id="{00000000-0008-0000-0700-0000E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0" name="Shape 9">
          <a:extLst>
            <a:ext uri="{FF2B5EF4-FFF2-40B4-BE49-F238E27FC236}">
              <a16:creationId xmlns:a16="http://schemas.microsoft.com/office/drawing/2014/main" id="{00000000-0008-0000-0700-0000E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1" name="Shape 9">
          <a:extLst>
            <a:ext uri="{FF2B5EF4-FFF2-40B4-BE49-F238E27FC236}">
              <a16:creationId xmlns:a16="http://schemas.microsoft.com/office/drawing/2014/main" id="{00000000-0008-0000-0700-0000E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2" name="Shape 9">
          <a:extLst>
            <a:ext uri="{FF2B5EF4-FFF2-40B4-BE49-F238E27FC236}">
              <a16:creationId xmlns:a16="http://schemas.microsoft.com/office/drawing/2014/main" id="{00000000-0008-0000-0700-0000E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3" name="Shape 9">
          <a:extLst>
            <a:ext uri="{FF2B5EF4-FFF2-40B4-BE49-F238E27FC236}">
              <a16:creationId xmlns:a16="http://schemas.microsoft.com/office/drawing/2014/main" id="{00000000-0008-0000-0700-0000E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4" name="Shape 9">
          <a:extLst>
            <a:ext uri="{FF2B5EF4-FFF2-40B4-BE49-F238E27FC236}">
              <a16:creationId xmlns:a16="http://schemas.microsoft.com/office/drawing/2014/main" id="{00000000-0008-0000-0700-0000E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5" name="Shape 7">
          <a:extLst>
            <a:ext uri="{FF2B5EF4-FFF2-40B4-BE49-F238E27FC236}">
              <a16:creationId xmlns:a16="http://schemas.microsoft.com/office/drawing/2014/main" id="{00000000-0008-0000-0700-0000E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6" name="Shape 7">
          <a:extLst>
            <a:ext uri="{FF2B5EF4-FFF2-40B4-BE49-F238E27FC236}">
              <a16:creationId xmlns:a16="http://schemas.microsoft.com/office/drawing/2014/main" id="{00000000-0008-0000-0700-0000E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7" name="Shape 7">
          <a:extLst>
            <a:ext uri="{FF2B5EF4-FFF2-40B4-BE49-F238E27FC236}">
              <a16:creationId xmlns:a16="http://schemas.microsoft.com/office/drawing/2014/main" id="{00000000-0008-0000-0700-0000E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8" name="Shape 7">
          <a:extLst>
            <a:ext uri="{FF2B5EF4-FFF2-40B4-BE49-F238E27FC236}">
              <a16:creationId xmlns:a16="http://schemas.microsoft.com/office/drawing/2014/main" id="{00000000-0008-0000-0700-0000E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39" name="Shape 8">
          <a:extLst>
            <a:ext uri="{FF2B5EF4-FFF2-40B4-BE49-F238E27FC236}">
              <a16:creationId xmlns:a16="http://schemas.microsoft.com/office/drawing/2014/main" id="{00000000-0008-0000-0700-0000E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0" name="Shape 8">
          <a:extLst>
            <a:ext uri="{FF2B5EF4-FFF2-40B4-BE49-F238E27FC236}">
              <a16:creationId xmlns:a16="http://schemas.microsoft.com/office/drawing/2014/main" id="{00000000-0008-0000-0700-0000E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1" name="Shape 8">
          <a:extLst>
            <a:ext uri="{FF2B5EF4-FFF2-40B4-BE49-F238E27FC236}">
              <a16:creationId xmlns:a16="http://schemas.microsoft.com/office/drawing/2014/main" id="{00000000-0008-0000-0700-0000E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2" name="Shape 8">
          <a:extLst>
            <a:ext uri="{FF2B5EF4-FFF2-40B4-BE49-F238E27FC236}">
              <a16:creationId xmlns:a16="http://schemas.microsoft.com/office/drawing/2014/main" id="{00000000-0008-0000-0700-0000E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3" name="Shape 7">
          <a:extLst>
            <a:ext uri="{FF2B5EF4-FFF2-40B4-BE49-F238E27FC236}">
              <a16:creationId xmlns:a16="http://schemas.microsoft.com/office/drawing/2014/main" id="{00000000-0008-0000-0700-0000E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4" name="Shape 7">
          <a:extLst>
            <a:ext uri="{FF2B5EF4-FFF2-40B4-BE49-F238E27FC236}">
              <a16:creationId xmlns:a16="http://schemas.microsoft.com/office/drawing/2014/main" id="{00000000-0008-0000-0700-0000F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5" name="Shape 7">
          <a:extLst>
            <a:ext uri="{FF2B5EF4-FFF2-40B4-BE49-F238E27FC236}">
              <a16:creationId xmlns:a16="http://schemas.microsoft.com/office/drawing/2014/main" id="{00000000-0008-0000-0700-0000F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6" name="Shape 7">
          <a:extLst>
            <a:ext uri="{FF2B5EF4-FFF2-40B4-BE49-F238E27FC236}">
              <a16:creationId xmlns:a16="http://schemas.microsoft.com/office/drawing/2014/main" id="{00000000-0008-0000-0700-0000F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7" name="Shape 7">
          <a:extLst>
            <a:ext uri="{FF2B5EF4-FFF2-40B4-BE49-F238E27FC236}">
              <a16:creationId xmlns:a16="http://schemas.microsoft.com/office/drawing/2014/main" id="{00000000-0008-0000-0700-0000F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8" name="Shape 7">
          <a:extLst>
            <a:ext uri="{FF2B5EF4-FFF2-40B4-BE49-F238E27FC236}">
              <a16:creationId xmlns:a16="http://schemas.microsoft.com/office/drawing/2014/main" id="{00000000-0008-0000-0700-0000F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9" name="Shape 7">
          <a:extLst>
            <a:ext uri="{FF2B5EF4-FFF2-40B4-BE49-F238E27FC236}">
              <a16:creationId xmlns:a16="http://schemas.microsoft.com/office/drawing/2014/main" id="{00000000-0008-0000-0700-0000F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0" name="Shape 9">
          <a:extLst>
            <a:ext uri="{FF2B5EF4-FFF2-40B4-BE49-F238E27FC236}">
              <a16:creationId xmlns:a16="http://schemas.microsoft.com/office/drawing/2014/main" id="{00000000-0008-0000-0700-0000F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1" name="Shape 9">
          <a:extLst>
            <a:ext uri="{FF2B5EF4-FFF2-40B4-BE49-F238E27FC236}">
              <a16:creationId xmlns:a16="http://schemas.microsoft.com/office/drawing/2014/main" id="{00000000-0008-0000-0700-0000F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2" name="Shape 9">
          <a:extLst>
            <a:ext uri="{FF2B5EF4-FFF2-40B4-BE49-F238E27FC236}">
              <a16:creationId xmlns:a16="http://schemas.microsoft.com/office/drawing/2014/main" id="{00000000-0008-0000-0700-0000F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3" name="Shape 9">
          <a:extLst>
            <a:ext uri="{FF2B5EF4-FFF2-40B4-BE49-F238E27FC236}">
              <a16:creationId xmlns:a16="http://schemas.microsoft.com/office/drawing/2014/main" id="{00000000-0008-0000-0700-0000F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4" name="Shape 10">
          <a:extLst>
            <a:ext uri="{FF2B5EF4-FFF2-40B4-BE49-F238E27FC236}">
              <a16:creationId xmlns:a16="http://schemas.microsoft.com/office/drawing/2014/main" id="{00000000-0008-0000-0700-0000F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5" name="Shape 10">
          <a:extLst>
            <a:ext uri="{FF2B5EF4-FFF2-40B4-BE49-F238E27FC236}">
              <a16:creationId xmlns:a16="http://schemas.microsoft.com/office/drawing/2014/main" id="{00000000-0008-0000-0700-0000F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6" name="Shape 10">
          <a:extLst>
            <a:ext uri="{FF2B5EF4-FFF2-40B4-BE49-F238E27FC236}">
              <a16:creationId xmlns:a16="http://schemas.microsoft.com/office/drawing/2014/main" id="{00000000-0008-0000-0700-0000F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7" name="Shape 10">
          <a:extLst>
            <a:ext uri="{FF2B5EF4-FFF2-40B4-BE49-F238E27FC236}">
              <a16:creationId xmlns:a16="http://schemas.microsoft.com/office/drawing/2014/main" id="{00000000-0008-0000-0700-0000F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8" name="Shape 9">
          <a:extLst>
            <a:ext uri="{FF2B5EF4-FFF2-40B4-BE49-F238E27FC236}">
              <a16:creationId xmlns:a16="http://schemas.microsoft.com/office/drawing/2014/main" id="{00000000-0008-0000-0700-0000F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9" name="Shape 9">
          <a:extLst>
            <a:ext uri="{FF2B5EF4-FFF2-40B4-BE49-F238E27FC236}">
              <a16:creationId xmlns:a16="http://schemas.microsoft.com/office/drawing/2014/main" id="{00000000-0008-0000-0700-0000F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0" name="Shape 9">
          <a:extLst>
            <a:ext uri="{FF2B5EF4-FFF2-40B4-BE49-F238E27FC236}">
              <a16:creationId xmlns:a16="http://schemas.microsoft.com/office/drawing/2014/main" id="{00000000-0008-0000-0700-00000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1" name="Shape 9">
          <a:extLst>
            <a:ext uri="{FF2B5EF4-FFF2-40B4-BE49-F238E27FC236}">
              <a16:creationId xmlns:a16="http://schemas.microsoft.com/office/drawing/2014/main" id="{00000000-0008-0000-0700-00000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2" name="Shape 9">
          <a:extLst>
            <a:ext uri="{FF2B5EF4-FFF2-40B4-BE49-F238E27FC236}">
              <a16:creationId xmlns:a16="http://schemas.microsoft.com/office/drawing/2014/main" id="{00000000-0008-0000-0700-00000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3" name="Shape 9">
          <a:extLst>
            <a:ext uri="{FF2B5EF4-FFF2-40B4-BE49-F238E27FC236}">
              <a16:creationId xmlns:a16="http://schemas.microsoft.com/office/drawing/2014/main" id="{00000000-0008-0000-0700-00000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4" name="Shape 9">
          <a:extLst>
            <a:ext uri="{FF2B5EF4-FFF2-40B4-BE49-F238E27FC236}">
              <a16:creationId xmlns:a16="http://schemas.microsoft.com/office/drawing/2014/main" id="{00000000-0008-0000-0700-00000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5" name="Shape 7">
          <a:extLst>
            <a:ext uri="{FF2B5EF4-FFF2-40B4-BE49-F238E27FC236}">
              <a16:creationId xmlns:a16="http://schemas.microsoft.com/office/drawing/2014/main" id="{00000000-0008-0000-0700-00000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6" name="Shape 7">
          <a:extLst>
            <a:ext uri="{FF2B5EF4-FFF2-40B4-BE49-F238E27FC236}">
              <a16:creationId xmlns:a16="http://schemas.microsoft.com/office/drawing/2014/main" id="{00000000-0008-0000-0700-00000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7" name="Shape 7">
          <a:extLst>
            <a:ext uri="{FF2B5EF4-FFF2-40B4-BE49-F238E27FC236}">
              <a16:creationId xmlns:a16="http://schemas.microsoft.com/office/drawing/2014/main" id="{00000000-0008-0000-0700-00000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8" name="Shape 7">
          <a:extLst>
            <a:ext uri="{FF2B5EF4-FFF2-40B4-BE49-F238E27FC236}">
              <a16:creationId xmlns:a16="http://schemas.microsoft.com/office/drawing/2014/main" id="{00000000-0008-0000-0700-00000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69" name="Shape 8">
          <a:extLst>
            <a:ext uri="{FF2B5EF4-FFF2-40B4-BE49-F238E27FC236}">
              <a16:creationId xmlns:a16="http://schemas.microsoft.com/office/drawing/2014/main" id="{00000000-0008-0000-0700-00000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0" name="Shape 8">
          <a:extLst>
            <a:ext uri="{FF2B5EF4-FFF2-40B4-BE49-F238E27FC236}">
              <a16:creationId xmlns:a16="http://schemas.microsoft.com/office/drawing/2014/main" id="{00000000-0008-0000-0700-00000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1" name="Shape 8">
          <a:extLst>
            <a:ext uri="{FF2B5EF4-FFF2-40B4-BE49-F238E27FC236}">
              <a16:creationId xmlns:a16="http://schemas.microsoft.com/office/drawing/2014/main" id="{00000000-0008-0000-0700-00000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2" name="Shape 8">
          <a:extLst>
            <a:ext uri="{FF2B5EF4-FFF2-40B4-BE49-F238E27FC236}">
              <a16:creationId xmlns:a16="http://schemas.microsoft.com/office/drawing/2014/main" id="{00000000-0008-0000-0700-00000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3" name="Shape 7">
          <a:extLst>
            <a:ext uri="{FF2B5EF4-FFF2-40B4-BE49-F238E27FC236}">
              <a16:creationId xmlns:a16="http://schemas.microsoft.com/office/drawing/2014/main" id="{00000000-0008-0000-0700-00000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4" name="Shape 7">
          <a:extLst>
            <a:ext uri="{FF2B5EF4-FFF2-40B4-BE49-F238E27FC236}">
              <a16:creationId xmlns:a16="http://schemas.microsoft.com/office/drawing/2014/main" id="{00000000-0008-0000-0700-00000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5" name="Shape 7">
          <a:extLst>
            <a:ext uri="{FF2B5EF4-FFF2-40B4-BE49-F238E27FC236}">
              <a16:creationId xmlns:a16="http://schemas.microsoft.com/office/drawing/2014/main" id="{00000000-0008-0000-0700-00000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6" name="Shape 7">
          <a:extLst>
            <a:ext uri="{FF2B5EF4-FFF2-40B4-BE49-F238E27FC236}">
              <a16:creationId xmlns:a16="http://schemas.microsoft.com/office/drawing/2014/main" id="{00000000-0008-0000-0700-00001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7" name="Shape 7">
          <a:extLst>
            <a:ext uri="{FF2B5EF4-FFF2-40B4-BE49-F238E27FC236}">
              <a16:creationId xmlns:a16="http://schemas.microsoft.com/office/drawing/2014/main" id="{00000000-0008-0000-0700-00001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8" name="Shape 7">
          <a:extLst>
            <a:ext uri="{FF2B5EF4-FFF2-40B4-BE49-F238E27FC236}">
              <a16:creationId xmlns:a16="http://schemas.microsoft.com/office/drawing/2014/main" id="{00000000-0008-0000-0700-00001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9" name="Shape 7">
          <a:extLst>
            <a:ext uri="{FF2B5EF4-FFF2-40B4-BE49-F238E27FC236}">
              <a16:creationId xmlns:a16="http://schemas.microsoft.com/office/drawing/2014/main" id="{00000000-0008-0000-0700-00001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0" name="Shape 9">
          <a:extLst>
            <a:ext uri="{FF2B5EF4-FFF2-40B4-BE49-F238E27FC236}">
              <a16:creationId xmlns:a16="http://schemas.microsoft.com/office/drawing/2014/main" id="{00000000-0008-0000-0700-00001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1" name="Shape 9">
          <a:extLst>
            <a:ext uri="{FF2B5EF4-FFF2-40B4-BE49-F238E27FC236}">
              <a16:creationId xmlns:a16="http://schemas.microsoft.com/office/drawing/2014/main" id="{00000000-0008-0000-0700-00001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2" name="Shape 9">
          <a:extLst>
            <a:ext uri="{FF2B5EF4-FFF2-40B4-BE49-F238E27FC236}">
              <a16:creationId xmlns:a16="http://schemas.microsoft.com/office/drawing/2014/main" id="{00000000-0008-0000-0700-00001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3" name="Shape 9">
          <a:extLst>
            <a:ext uri="{FF2B5EF4-FFF2-40B4-BE49-F238E27FC236}">
              <a16:creationId xmlns:a16="http://schemas.microsoft.com/office/drawing/2014/main" id="{00000000-0008-0000-0700-00001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4" name="Shape 10">
          <a:extLst>
            <a:ext uri="{FF2B5EF4-FFF2-40B4-BE49-F238E27FC236}">
              <a16:creationId xmlns:a16="http://schemas.microsoft.com/office/drawing/2014/main" id="{00000000-0008-0000-0700-00001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5" name="Shape 10">
          <a:extLst>
            <a:ext uri="{FF2B5EF4-FFF2-40B4-BE49-F238E27FC236}">
              <a16:creationId xmlns:a16="http://schemas.microsoft.com/office/drawing/2014/main" id="{00000000-0008-0000-0700-00001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6" name="Shape 10">
          <a:extLst>
            <a:ext uri="{FF2B5EF4-FFF2-40B4-BE49-F238E27FC236}">
              <a16:creationId xmlns:a16="http://schemas.microsoft.com/office/drawing/2014/main" id="{00000000-0008-0000-0700-00001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7" name="Shape 10">
          <a:extLst>
            <a:ext uri="{FF2B5EF4-FFF2-40B4-BE49-F238E27FC236}">
              <a16:creationId xmlns:a16="http://schemas.microsoft.com/office/drawing/2014/main" id="{00000000-0008-0000-0700-00001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8" name="Shape 9">
          <a:extLst>
            <a:ext uri="{FF2B5EF4-FFF2-40B4-BE49-F238E27FC236}">
              <a16:creationId xmlns:a16="http://schemas.microsoft.com/office/drawing/2014/main" id="{00000000-0008-0000-0700-00001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9" name="Shape 9">
          <a:extLst>
            <a:ext uri="{FF2B5EF4-FFF2-40B4-BE49-F238E27FC236}">
              <a16:creationId xmlns:a16="http://schemas.microsoft.com/office/drawing/2014/main" id="{00000000-0008-0000-0700-00001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0" name="Shape 9">
          <a:extLst>
            <a:ext uri="{FF2B5EF4-FFF2-40B4-BE49-F238E27FC236}">
              <a16:creationId xmlns:a16="http://schemas.microsoft.com/office/drawing/2014/main" id="{00000000-0008-0000-0700-00001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1" name="Shape 9">
          <a:extLst>
            <a:ext uri="{FF2B5EF4-FFF2-40B4-BE49-F238E27FC236}">
              <a16:creationId xmlns:a16="http://schemas.microsoft.com/office/drawing/2014/main" id="{00000000-0008-0000-0700-00001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2" name="Shape 9">
          <a:extLst>
            <a:ext uri="{FF2B5EF4-FFF2-40B4-BE49-F238E27FC236}">
              <a16:creationId xmlns:a16="http://schemas.microsoft.com/office/drawing/2014/main" id="{00000000-0008-0000-0700-00002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3" name="Shape 9">
          <a:extLst>
            <a:ext uri="{FF2B5EF4-FFF2-40B4-BE49-F238E27FC236}">
              <a16:creationId xmlns:a16="http://schemas.microsoft.com/office/drawing/2014/main" id="{00000000-0008-0000-0700-00002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4" name="Shape 9">
          <a:extLst>
            <a:ext uri="{FF2B5EF4-FFF2-40B4-BE49-F238E27FC236}">
              <a16:creationId xmlns:a16="http://schemas.microsoft.com/office/drawing/2014/main" id="{00000000-0008-0000-0700-00002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5" name="Shape 7">
          <a:extLst>
            <a:ext uri="{FF2B5EF4-FFF2-40B4-BE49-F238E27FC236}">
              <a16:creationId xmlns:a16="http://schemas.microsoft.com/office/drawing/2014/main" id="{00000000-0008-0000-0700-00002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6" name="Shape 7">
          <a:extLst>
            <a:ext uri="{FF2B5EF4-FFF2-40B4-BE49-F238E27FC236}">
              <a16:creationId xmlns:a16="http://schemas.microsoft.com/office/drawing/2014/main" id="{00000000-0008-0000-0700-00002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7" name="Shape 7">
          <a:extLst>
            <a:ext uri="{FF2B5EF4-FFF2-40B4-BE49-F238E27FC236}">
              <a16:creationId xmlns:a16="http://schemas.microsoft.com/office/drawing/2014/main" id="{00000000-0008-0000-0700-00002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8" name="Shape 7">
          <a:extLst>
            <a:ext uri="{FF2B5EF4-FFF2-40B4-BE49-F238E27FC236}">
              <a16:creationId xmlns:a16="http://schemas.microsoft.com/office/drawing/2014/main" id="{00000000-0008-0000-0700-00002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99" name="Shape 8">
          <a:extLst>
            <a:ext uri="{FF2B5EF4-FFF2-40B4-BE49-F238E27FC236}">
              <a16:creationId xmlns:a16="http://schemas.microsoft.com/office/drawing/2014/main" id="{00000000-0008-0000-0700-00002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0" name="Shape 8">
          <a:extLst>
            <a:ext uri="{FF2B5EF4-FFF2-40B4-BE49-F238E27FC236}">
              <a16:creationId xmlns:a16="http://schemas.microsoft.com/office/drawing/2014/main" id="{00000000-0008-0000-0700-00002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1" name="Shape 8">
          <a:extLst>
            <a:ext uri="{FF2B5EF4-FFF2-40B4-BE49-F238E27FC236}">
              <a16:creationId xmlns:a16="http://schemas.microsoft.com/office/drawing/2014/main" id="{00000000-0008-0000-0700-00002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2" name="Shape 8">
          <a:extLst>
            <a:ext uri="{FF2B5EF4-FFF2-40B4-BE49-F238E27FC236}">
              <a16:creationId xmlns:a16="http://schemas.microsoft.com/office/drawing/2014/main" id="{00000000-0008-0000-0700-00002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3" name="Shape 7">
          <a:extLst>
            <a:ext uri="{FF2B5EF4-FFF2-40B4-BE49-F238E27FC236}">
              <a16:creationId xmlns:a16="http://schemas.microsoft.com/office/drawing/2014/main" id="{00000000-0008-0000-0700-00002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4" name="Shape 7">
          <a:extLst>
            <a:ext uri="{FF2B5EF4-FFF2-40B4-BE49-F238E27FC236}">
              <a16:creationId xmlns:a16="http://schemas.microsoft.com/office/drawing/2014/main" id="{00000000-0008-0000-0700-00002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5" name="Shape 7">
          <a:extLst>
            <a:ext uri="{FF2B5EF4-FFF2-40B4-BE49-F238E27FC236}">
              <a16:creationId xmlns:a16="http://schemas.microsoft.com/office/drawing/2014/main" id="{00000000-0008-0000-0700-00002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6" name="Shape 7">
          <a:extLst>
            <a:ext uri="{FF2B5EF4-FFF2-40B4-BE49-F238E27FC236}">
              <a16:creationId xmlns:a16="http://schemas.microsoft.com/office/drawing/2014/main" id="{00000000-0008-0000-0700-00002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7" name="Shape 7">
          <a:extLst>
            <a:ext uri="{FF2B5EF4-FFF2-40B4-BE49-F238E27FC236}">
              <a16:creationId xmlns:a16="http://schemas.microsoft.com/office/drawing/2014/main" id="{00000000-0008-0000-0700-00002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8" name="Shape 7">
          <a:extLst>
            <a:ext uri="{FF2B5EF4-FFF2-40B4-BE49-F238E27FC236}">
              <a16:creationId xmlns:a16="http://schemas.microsoft.com/office/drawing/2014/main" id="{00000000-0008-0000-0700-00003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9" name="Shape 7">
          <a:extLst>
            <a:ext uri="{FF2B5EF4-FFF2-40B4-BE49-F238E27FC236}">
              <a16:creationId xmlns:a16="http://schemas.microsoft.com/office/drawing/2014/main" id="{00000000-0008-0000-0700-00003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0" name="Shape 9">
          <a:extLst>
            <a:ext uri="{FF2B5EF4-FFF2-40B4-BE49-F238E27FC236}">
              <a16:creationId xmlns:a16="http://schemas.microsoft.com/office/drawing/2014/main" id="{00000000-0008-0000-0700-00003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1" name="Shape 9">
          <a:extLst>
            <a:ext uri="{FF2B5EF4-FFF2-40B4-BE49-F238E27FC236}">
              <a16:creationId xmlns:a16="http://schemas.microsoft.com/office/drawing/2014/main" id="{00000000-0008-0000-0700-00003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2" name="Shape 9">
          <a:extLst>
            <a:ext uri="{FF2B5EF4-FFF2-40B4-BE49-F238E27FC236}">
              <a16:creationId xmlns:a16="http://schemas.microsoft.com/office/drawing/2014/main" id="{00000000-0008-0000-0700-00003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3" name="Shape 9">
          <a:extLst>
            <a:ext uri="{FF2B5EF4-FFF2-40B4-BE49-F238E27FC236}">
              <a16:creationId xmlns:a16="http://schemas.microsoft.com/office/drawing/2014/main" id="{00000000-0008-0000-0700-00003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4" name="Shape 10">
          <a:extLst>
            <a:ext uri="{FF2B5EF4-FFF2-40B4-BE49-F238E27FC236}">
              <a16:creationId xmlns:a16="http://schemas.microsoft.com/office/drawing/2014/main" id="{00000000-0008-0000-0700-00003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5" name="Shape 10">
          <a:extLst>
            <a:ext uri="{FF2B5EF4-FFF2-40B4-BE49-F238E27FC236}">
              <a16:creationId xmlns:a16="http://schemas.microsoft.com/office/drawing/2014/main" id="{00000000-0008-0000-0700-00003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6" name="Shape 10">
          <a:extLst>
            <a:ext uri="{FF2B5EF4-FFF2-40B4-BE49-F238E27FC236}">
              <a16:creationId xmlns:a16="http://schemas.microsoft.com/office/drawing/2014/main" id="{00000000-0008-0000-0700-00003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7" name="Shape 10">
          <a:extLst>
            <a:ext uri="{FF2B5EF4-FFF2-40B4-BE49-F238E27FC236}">
              <a16:creationId xmlns:a16="http://schemas.microsoft.com/office/drawing/2014/main" id="{00000000-0008-0000-0700-00003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8" name="Shape 9">
          <a:extLst>
            <a:ext uri="{FF2B5EF4-FFF2-40B4-BE49-F238E27FC236}">
              <a16:creationId xmlns:a16="http://schemas.microsoft.com/office/drawing/2014/main" id="{00000000-0008-0000-0700-00003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9" name="Shape 9">
          <a:extLst>
            <a:ext uri="{FF2B5EF4-FFF2-40B4-BE49-F238E27FC236}">
              <a16:creationId xmlns:a16="http://schemas.microsoft.com/office/drawing/2014/main" id="{00000000-0008-0000-0700-00003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0" name="Shape 9">
          <a:extLst>
            <a:ext uri="{FF2B5EF4-FFF2-40B4-BE49-F238E27FC236}">
              <a16:creationId xmlns:a16="http://schemas.microsoft.com/office/drawing/2014/main" id="{00000000-0008-0000-0700-00003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1" name="Shape 9">
          <a:extLst>
            <a:ext uri="{FF2B5EF4-FFF2-40B4-BE49-F238E27FC236}">
              <a16:creationId xmlns:a16="http://schemas.microsoft.com/office/drawing/2014/main" id="{00000000-0008-0000-0700-00003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2" name="Shape 9">
          <a:extLst>
            <a:ext uri="{FF2B5EF4-FFF2-40B4-BE49-F238E27FC236}">
              <a16:creationId xmlns:a16="http://schemas.microsoft.com/office/drawing/2014/main" id="{00000000-0008-0000-0700-00003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3" name="Shape 9">
          <a:extLst>
            <a:ext uri="{FF2B5EF4-FFF2-40B4-BE49-F238E27FC236}">
              <a16:creationId xmlns:a16="http://schemas.microsoft.com/office/drawing/2014/main" id="{00000000-0008-0000-0700-00003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4" name="Shape 9">
          <a:extLst>
            <a:ext uri="{FF2B5EF4-FFF2-40B4-BE49-F238E27FC236}">
              <a16:creationId xmlns:a16="http://schemas.microsoft.com/office/drawing/2014/main" id="{00000000-0008-0000-0700-00004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5" name="Shape 7">
          <a:extLst>
            <a:ext uri="{FF2B5EF4-FFF2-40B4-BE49-F238E27FC236}">
              <a16:creationId xmlns:a16="http://schemas.microsoft.com/office/drawing/2014/main" id="{00000000-0008-0000-0700-00004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6" name="Shape 7">
          <a:extLst>
            <a:ext uri="{FF2B5EF4-FFF2-40B4-BE49-F238E27FC236}">
              <a16:creationId xmlns:a16="http://schemas.microsoft.com/office/drawing/2014/main" id="{00000000-0008-0000-0700-00004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7" name="Shape 7">
          <a:extLst>
            <a:ext uri="{FF2B5EF4-FFF2-40B4-BE49-F238E27FC236}">
              <a16:creationId xmlns:a16="http://schemas.microsoft.com/office/drawing/2014/main" id="{00000000-0008-0000-0700-00004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8" name="Shape 7">
          <a:extLst>
            <a:ext uri="{FF2B5EF4-FFF2-40B4-BE49-F238E27FC236}">
              <a16:creationId xmlns:a16="http://schemas.microsoft.com/office/drawing/2014/main" id="{00000000-0008-0000-0700-00004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29" name="Shape 8">
          <a:extLst>
            <a:ext uri="{FF2B5EF4-FFF2-40B4-BE49-F238E27FC236}">
              <a16:creationId xmlns:a16="http://schemas.microsoft.com/office/drawing/2014/main" id="{00000000-0008-0000-0700-00004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0" name="Shape 8">
          <a:extLst>
            <a:ext uri="{FF2B5EF4-FFF2-40B4-BE49-F238E27FC236}">
              <a16:creationId xmlns:a16="http://schemas.microsoft.com/office/drawing/2014/main" id="{00000000-0008-0000-0700-00004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1" name="Shape 8">
          <a:extLst>
            <a:ext uri="{FF2B5EF4-FFF2-40B4-BE49-F238E27FC236}">
              <a16:creationId xmlns:a16="http://schemas.microsoft.com/office/drawing/2014/main" id="{00000000-0008-0000-0700-00004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2" name="Shape 8">
          <a:extLst>
            <a:ext uri="{FF2B5EF4-FFF2-40B4-BE49-F238E27FC236}">
              <a16:creationId xmlns:a16="http://schemas.microsoft.com/office/drawing/2014/main" id="{00000000-0008-0000-0700-00004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3" name="Shape 7">
          <a:extLst>
            <a:ext uri="{FF2B5EF4-FFF2-40B4-BE49-F238E27FC236}">
              <a16:creationId xmlns:a16="http://schemas.microsoft.com/office/drawing/2014/main" id="{00000000-0008-0000-0700-00004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4" name="Shape 7">
          <a:extLst>
            <a:ext uri="{FF2B5EF4-FFF2-40B4-BE49-F238E27FC236}">
              <a16:creationId xmlns:a16="http://schemas.microsoft.com/office/drawing/2014/main" id="{00000000-0008-0000-0700-00004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5" name="Shape 7">
          <a:extLst>
            <a:ext uri="{FF2B5EF4-FFF2-40B4-BE49-F238E27FC236}">
              <a16:creationId xmlns:a16="http://schemas.microsoft.com/office/drawing/2014/main" id="{00000000-0008-0000-0700-00004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6" name="Shape 7">
          <a:extLst>
            <a:ext uri="{FF2B5EF4-FFF2-40B4-BE49-F238E27FC236}">
              <a16:creationId xmlns:a16="http://schemas.microsoft.com/office/drawing/2014/main" id="{00000000-0008-0000-0700-00004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7" name="Shape 7">
          <a:extLst>
            <a:ext uri="{FF2B5EF4-FFF2-40B4-BE49-F238E27FC236}">
              <a16:creationId xmlns:a16="http://schemas.microsoft.com/office/drawing/2014/main" id="{00000000-0008-0000-0700-00004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8" name="Shape 7">
          <a:extLst>
            <a:ext uri="{FF2B5EF4-FFF2-40B4-BE49-F238E27FC236}">
              <a16:creationId xmlns:a16="http://schemas.microsoft.com/office/drawing/2014/main" id="{00000000-0008-0000-0700-00004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9" name="Shape 7">
          <a:extLst>
            <a:ext uri="{FF2B5EF4-FFF2-40B4-BE49-F238E27FC236}">
              <a16:creationId xmlns:a16="http://schemas.microsoft.com/office/drawing/2014/main" id="{00000000-0008-0000-0700-00004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0" name="Shape 9">
          <a:extLst>
            <a:ext uri="{FF2B5EF4-FFF2-40B4-BE49-F238E27FC236}">
              <a16:creationId xmlns:a16="http://schemas.microsoft.com/office/drawing/2014/main" id="{00000000-0008-0000-0700-00005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1" name="Shape 9">
          <a:extLst>
            <a:ext uri="{FF2B5EF4-FFF2-40B4-BE49-F238E27FC236}">
              <a16:creationId xmlns:a16="http://schemas.microsoft.com/office/drawing/2014/main" id="{00000000-0008-0000-0700-00005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2" name="Shape 9">
          <a:extLst>
            <a:ext uri="{FF2B5EF4-FFF2-40B4-BE49-F238E27FC236}">
              <a16:creationId xmlns:a16="http://schemas.microsoft.com/office/drawing/2014/main" id="{00000000-0008-0000-0700-00005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3" name="Shape 9">
          <a:extLst>
            <a:ext uri="{FF2B5EF4-FFF2-40B4-BE49-F238E27FC236}">
              <a16:creationId xmlns:a16="http://schemas.microsoft.com/office/drawing/2014/main" id="{00000000-0008-0000-0700-00005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4" name="Shape 10">
          <a:extLst>
            <a:ext uri="{FF2B5EF4-FFF2-40B4-BE49-F238E27FC236}">
              <a16:creationId xmlns:a16="http://schemas.microsoft.com/office/drawing/2014/main" id="{00000000-0008-0000-0700-00005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5" name="Shape 10">
          <a:extLst>
            <a:ext uri="{FF2B5EF4-FFF2-40B4-BE49-F238E27FC236}">
              <a16:creationId xmlns:a16="http://schemas.microsoft.com/office/drawing/2014/main" id="{00000000-0008-0000-0700-00005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6" name="Shape 10">
          <a:extLst>
            <a:ext uri="{FF2B5EF4-FFF2-40B4-BE49-F238E27FC236}">
              <a16:creationId xmlns:a16="http://schemas.microsoft.com/office/drawing/2014/main" id="{00000000-0008-0000-0700-00005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7" name="Shape 10">
          <a:extLst>
            <a:ext uri="{FF2B5EF4-FFF2-40B4-BE49-F238E27FC236}">
              <a16:creationId xmlns:a16="http://schemas.microsoft.com/office/drawing/2014/main" id="{00000000-0008-0000-0700-00005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8" name="Shape 9">
          <a:extLst>
            <a:ext uri="{FF2B5EF4-FFF2-40B4-BE49-F238E27FC236}">
              <a16:creationId xmlns:a16="http://schemas.microsoft.com/office/drawing/2014/main" id="{00000000-0008-0000-0700-00005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9" name="Shape 9">
          <a:extLst>
            <a:ext uri="{FF2B5EF4-FFF2-40B4-BE49-F238E27FC236}">
              <a16:creationId xmlns:a16="http://schemas.microsoft.com/office/drawing/2014/main" id="{00000000-0008-0000-0700-00005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0" name="Shape 9">
          <a:extLst>
            <a:ext uri="{FF2B5EF4-FFF2-40B4-BE49-F238E27FC236}">
              <a16:creationId xmlns:a16="http://schemas.microsoft.com/office/drawing/2014/main" id="{00000000-0008-0000-0700-00005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1" name="Shape 9">
          <a:extLst>
            <a:ext uri="{FF2B5EF4-FFF2-40B4-BE49-F238E27FC236}">
              <a16:creationId xmlns:a16="http://schemas.microsoft.com/office/drawing/2014/main" id="{00000000-0008-0000-0700-00005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2" name="Shape 9">
          <a:extLst>
            <a:ext uri="{FF2B5EF4-FFF2-40B4-BE49-F238E27FC236}">
              <a16:creationId xmlns:a16="http://schemas.microsoft.com/office/drawing/2014/main" id="{00000000-0008-0000-0700-00005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3" name="Shape 9">
          <a:extLst>
            <a:ext uri="{FF2B5EF4-FFF2-40B4-BE49-F238E27FC236}">
              <a16:creationId xmlns:a16="http://schemas.microsoft.com/office/drawing/2014/main" id="{00000000-0008-0000-0700-00005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4" name="Shape 9">
          <a:extLst>
            <a:ext uri="{FF2B5EF4-FFF2-40B4-BE49-F238E27FC236}">
              <a16:creationId xmlns:a16="http://schemas.microsoft.com/office/drawing/2014/main" id="{00000000-0008-0000-0700-00005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5" name="Shape 7">
          <a:extLst>
            <a:ext uri="{FF2B5EF4-FFF2-40B4-BE49-F238E27FC236}">
              <a16:creationId xmlns:a16="http://schemas.microsoft.com/office/drawing/2014/main" id="{00000000-0008-0000-0700-00005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6" name="Shape 7">
          <a:extLst>
            <a:ext uri="{FF2B5EF4-FFF2-40B4-BE49-F238E27FC236}">
              <a16:creationId xmlns:a16="http://schemas.microsoft.com/office/drawing/2014/main" id="{00000000-0008-0000-0700-00006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7" name="Shape 7">
          <a:extLst>
            <a:ext uri="{FF2B5EF4-FFF2-40B4-BE49-F238E27FC236}">
              <a16:creationId xmlns:a16="http://schemas.microsoft.com/office/drawing/2014/main" id="{00000000-0008-0000-0700-00006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8" name="Shape 7">
          <a:extLst>
            <a:ext uri="{FF2B5EF4-FFF2-40B4-BE49-F238E27FC236}">
              <a16:creationId xmlns:a16="http://schemas.microsoft.com/office/drawing/2014/main" id="{00000000-0008-0000-0700-00006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59" name="Shape 8">
          <a:extLst>
            <a:ext uri="{FF2B5EF4-FFF2-40B4-BE49-F238E27FC236}">
              <a16:creationId xmlns:a16="http://schemas.microsoft.com/office/drawing/2014/main" id="{00000000-0008-0000-0700-00006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0" name="Shape 8">
          <a:extLst>
            <a:ext uri="{FF2B5EF4-FFF2-40B4-BE49-F238E27FC236}">
              <a16:creationId xmlns:a16="http://schemas.microsoft.com/office/drawing/2014/main" id="{00000000-0008-0000-0700-00006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1" name="Shape 8">
          <a:extLst>
            <a:ext uri="{FF2B5EF4-FFF2-40B4-BE49-F238E27FC236}">
              <a16:creationId xmlns:a16="http://schemas.microsoft.com/office/drawing/2014/main" id="{00000000-0008-0000-0700-00006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2" name="Shape 8">
          <a:extLst>
            <a:ext uri="{FF2B5EF4-FFF2-40B4-BE49-F238E27FC236}">
              <a16:creationId xmlns:a16="http://schemas.microsoft.com/office/drawing/2014/main" id="{00000000-0008-0000-0700-00006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3" name="Shape 7">
          <a:extLst>
            <a:ext uri="{FF2B5EF4-FFF2-40B4-BE49-F238E27FC236}">
              <a16:creationId xmlns:a16="http://schemas.microsoft.com/office/drawing/2014/main" id="{00000000-0008-0000-0700-00006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4" name="Shape 7">
          <a:extLst>
            <a:ext uri="{FF2B5EF4-FFF2-40B4-BE49-F238E27FC236}">
              <a16:creationId xmlns:a16="http://schemas.microsoft.com/office/drawing/2014/main" id="{00000000-0008-0000-0700-00006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5" name="Shape 7">
          <a:extLst>
            <a:ext uri="{FF2B5EF4-FFF2-40B4-BE49-F238E27FC236}">
              <a16:creationId xmlns:a16="http://schemas.microsoft.com/office/drawing/2014/main" id="{00000000-0008-0000-0700-00006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6" name="Shape 7">
          <a:extLst>
            <a:ext uri="{FF2B5EF4-FFF2-40B4-BE49-F238E27FC236}">
              <a16:creationId xmlns:a16="http://schemas.microsoft.com/office/drawing/2014/main" id="{00000000-0008-0000-0700-00006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7" name="Shape 7">
          <a:extLst>
            <a:ext uri="{FF2B5EF4-FFF2-40B4-BE49-F238E27FC236}">
              <a16:creationId xmlns:a16="http://schemas.microsoft.com/office/drawing/2014/main" id="{00000000-0008-0000-0700-00006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8" name="Shape 7">
          <a:extLst>
            <a:ext uri="{FF2B5EF4-FFF2-40B4-BE49-F238E27FC236}">
              <a16:creationId xmlns:a16="http://schemas.microsoft.com/office/drawing/2014/main" id="{00000000-0008-0000-0700-00006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9" name="Shape 7">
          <a:extLst>
            <a:ext uri="{FF2B5EF4-FFF2-40B4-BE49-F238E27FC236}">
              <a16:creationId xmlns:a16="http://schemas.microsoft.com/office/drawing/2014/main" id="{00000000-0008-0000-0700-00006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0" name="Shape 9">
          <a:extLst>
            <a:ext uri="{FF2B5EF4-FFF2-40B4-BE49-F238E27FC236}">
              <a16:creationId xmlns:a16="http://schemas.microsoft.com/office/drawing/2014/main" id="{00000000-0008-0000-0700-00006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1" name="Shape 9">
          <a:extLst>
            <a:ext uri="{FF2B5EF4-FFF2-40B4-BE49-F238E27FC236}">
              <a16:creationId xmlns:a16="http://schemas.microsoft.com/office/drawing/2014/main" id="{00000000-0008-0000-0700-00006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2" name="Shape 9">
          <a:extLst>
            <a:ext uri="{FF2B5EF4-FFF2-40B4-BE49-F238E27FC236}">
              <a16:creationId xmlns:a16="http://schemas.microsoft.com/office/drawing/2014/main" id="{00000000-0008-0000-0700-00007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3" name="Shape 9">
          <a:extLst>
            <a:ext uri="{FF2B5EF4-FFF2-40B4-BE49-F238E27FC236}">
              <a16:creationId xmlns:a16="http://schemas.microsoft.com/office/drawing/2014/main" id="{00000000-0008-0000-0700-00007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4" name="Shape 10">
          <a:extLst>
            <a:ext uri="{FF2B5EF4-FFF2-40B4-BE49-F238E27FC236}">
              <a16:creationId xmlns:a16="http://schemas.microsoft.com/office/drawing/2014/main" id="{00000000-0008-0000-0700-00007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5" name="Shape 10">
          <a:extLst>
            <a:ext uri="{FF2B5EF4-FFF2-40B4-BE49-F238E27FC236}">
              <a16:creationId xmlns:a16="http://schemas.microsoft.com/office/drawing/2014/main" id="{00000000-0008-0000-0700-00007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6" name="Shape 10">
          <a:extLst>
            <a:ext uri="{FF2B5EF4-FFF2-40B4-BE49-F238E27FC236}">
              <a16:creationId xmlns:a16="http://schemas.microsoft.com/office/drawing/2014/main" id="{00000000-0008-0000-0700-00007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7" name="Shape 10">
          <a:extLst>
            <a:ext uri="{FF2B5EF4-FFF2-40B4-BE49-F238E27FC236}">
              <a16:creationId xmlns:a16="http://schemas.microsoft.com/office/drawing/2014/main" id="{00000000-0008-0000-0700-00007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8" name="Shape 9">
          <a:extLst>
            <a:ext uri="{FF2B5EF4-FFF2-40B4-BE49-F238E27FC236}">
              <a16:creationId xmlns:a16="http://schemas.microsoft.com/office/drawing/2014/main" id="{00000000-0008-0000-0700-00007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9" name="Shape 9">
          <a:extLst>
            <a:ext uri="{FF2B5EF4-FFF2-40B4-BE49-F238E27FC236}">
              <a16:creationId xmlns:a16="http://schemas.microsoft.com/office/drawing/2014/main" id="{00000000-0008-0000-0700-00007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0" name="Shape 9">
          <a:extLst>
            <a:ext uri="{FF2B5EF4-FFF2-40B4-BE49-F238E27FC236}">
              <a16:creationId xmlns:a16="http://schemas.microsoft.com/office/drawing/2014/main" id="{00000000-0008-0000-0700-00007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1" name="Shape 9">
          <a:extLst>
            <a:ext uri="{FF2B5EF4-FFF2-40B4-BE49-F238E27FC236}">
              <a16:creationId xmlns:a16="http://schemas.microsoft.com/office/drawing/2014/main" id="{00000000-0008-0000-0700-00007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2" name="Shape 9">
          <a:extLst>
            <a:ext uri="{FF2B5EF4-FFF2-40B4-BE49-F238E27FC236}">
              <a16:creationId xmlns:a16="http://schemas.microsoft.com/office/drawing/2014/main" id="{00000000-0008-0000-0700-00007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3" name="Shape 9">
          <a:extLst>
            <a:ext uri="{FF2B5EF4-FFF2-40B4-BE49-F238E27FC236}">
              <a16:creationId xmlns:a16="http://schemas.microsoft.com/office/drawing/2014/main" id="{00000000-0008-0000-0700-00007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4" name="Shape 9">
          <a:extLst>
            <a:ext uri="{FF2B5EF4-FFF2-40B4-BE49-F238E27FC236}">
              <a16:creationId xmlns:a16="http://schemas.microsoft.com/office/drawing/2014/main" id="{00000000-0008-0000-0700-00007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5" name="Shape 7">
          <a:extLst>
            <a:ext uri="{FF2B5EF4-FFF2-40B4-BE49-F238E27FC236}">
              <a16:creationId xmlns:a16="http://schemas.microsoft.com/office/drawing/2014/main" id="{00000000-0008-0000-0700-00007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6" name="Shape 7">
          <a:extLst>
            <a:ext uri="{FF2B5EF4-FFF2-40B4-BE49-F238E27FC236}">
              <a16:creationId xmlns:a16="http://schemas.microsoft.com/office/drawing/2014/main" id="{00000000-0008-0000-0700-00007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7" name="Shape 7">
          <a:extLst>
            <a:ext uri="{FF2B5EF4-FFF2-40B4-BE49-F238E27FC236}">
              <a16:creationId xmlns:a16="http://schemas.microsoft.com/office/drawing/2014/main" id="{00000000-0008-0000-0700-00007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8" name="Shape 7">
          <a:extLst>
            <a:ext uri="{FF2B5EF4-FFF2-40B4-BE49-F238E27FC236}">
              <a16:creationId xmlns:a16="http://schemas.microsoft.com/office/drawing/2014/main" id="{00000000-0008-0000-0700-00008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89" name="Shape 8">
          <a:extLst>
            <a:ext uri="{FF2B5EF4-FFF2-40B4-BE49-F238E27FC236}">
              <a16:creationId xmlns:a16="http://schemas.microsoft.com/office/drawing/2014/main" id="{00000000-0008-0000-0700-00008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0" name="Shape 8">
          <a:extLst>
            <a:ext uri="{FF2B5EF4-FFF2-40B4-BE49-F238E27FC236}">
              <a16:creationId xmlns:a16="http://schemas.microsoft.com/office/drawing/2014/main" id="{00000000-0008-0000-0700-00008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1" name="Shape 8">
          <a:extLst>
            <a:ext uri="{FF2B5EF4-FFF2-40B4-BE49-F238E27FC236}">
              <a16:creationId xmlns:a16="http://schemas.microsoft.com/office/drawing/2014/main" id="{00000000-0008-0000-0700-00008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2" name="Shape 8">
          <a:extLst>
            <a:ext uri="{FF2B5EF4-FFF2-40B4-BE49-F238E27FC236}">
              <a16:creationId xmlns:a16="http://schemas.microsoft.com/office/drawing/2014/main" id="{00000000-0008-0000-0700-00008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3" name="Shape 7">
          <a:extLst>
            <a:ext uri="{FF2B5EF4-FFF2-40B4-BE49-F238E27FC236}">
              <a16:creationId xmlns:a16="http://schemas.microsoft.com/office/drawing/2014/main" id="{00000000-0008-0000-0700-00008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4" name="Shape 7">
          <a:extLst>
            <a:ext uri="{FF2B5EF4-FFF2-40B4-BE49-F238E27FC236}">
              <a16:creationId xmlns:a16="http://schemas.microsoft.com/office/drawing/2014/main" id="{00000000-0008-0000-0700-00008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5" name="Shape 7">
          <a:extLst>
            <a:ext uri="{FF2B5EF4-FFF2-40B4-BE49-F238E27FC236}">
              <a16:creationId xmlns:a16="http://schemas.microsoft.com/office/drawing/2014/main" id="{00000000-0008-0000-0700-00008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6" name="Shape 7">
          <a:extLst>
            <a:ext uri="{FF2B5EF4-FFF2-40B4-BE49-F238E27FC236}">
              <a16:creationId xmlns:a16="http://schemas.microsoft.com/office/drawing/2014/main" id="{00000000-0008-0000-0700-00008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7" name="Shape 7">
          <a:extLst>
            <a:ext uri="{FF2B5EF4-FFF2-40B4-BE49-F238E27FC236}">
              <a16:creationId xmlns:a16="http://schemas.microsoft.com/office/drawing/2014/main" id="{00000000-0008-0000-0700-00008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8" name="Shape 7">
          <a:extLst>
            <a:ext uri="{FF2B5EF4-FFF2-40B4-BE49-F238E27FC236}">
              <a16:creationId xmlns:a16="http://schemas.microsoft.com/office/drawing/2014/main" id="{00000000-0008-0000-0700-00008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9" name="Shape 7">
          <a:extLst>
            <a:ext uri="{FF2B5EF4-FFF2-40B4-BE49-F238E27FC236}">
              <a16:creationId xmlns:a16="http://schemas.microsoft.com/office/drawing/2014/main" id="{00000000-0008-0000-0700-00008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0" name="Shape 9">
          <a:extLst>
            <a:ext uri="{FF2B5EF4-FFF2-40B4-BE49-F238E27FC236}">
              <a16:creationId xmlns:a16="http://schemas.microsoft.com/office/drawing/2014/main" id="{00000000-0008-0000-0700-00008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1" name="Shape 9">
          <a:extLst>
            <a:ext uri="{FF2B5EF4-FFF2-40B4-BE49-F238E27FC236}">
              <a16:creationId xmlns:a16="http://schemas.microsoft.com/office/drawing/2014/main" id="{00000000-0008-0000-0700-00008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2" name="Shape 9">
          <a:extLst>
            <a:ext uri="{FF2B5EF4-FFF2-40B4-BE49-F238E27FC236}">
              <a16:creationId xmlns:a16="http://schemas.microsoft.com/office/drawing/2014/main" id="{00000000-0008-0000-0700-00008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3" name="Shape 9">
          <a:extLst>
            <a:ext uri="{FF2B5EF4-FFF2-40B4-BE49-F238E27FC236}">
              <a16:creationId xmlns:a16="http://schemas.microsoft.com/office/drawing/2014/main" id="{00000000-0008-0000-0700-00008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4" name="Shape 10">
          <a:extLst>
            <a:ext uri="{FF2B5EF4-FFF2-40B4-BE49-F238E27FC236}">
              <a16:creationId xmlns:a16="http://schemas.microsoft.com/office/drawing/2014/main" id="{00000000-0008-0000-0700-00009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5" name="Shape 10">
          <a:extLst>
            <a:ext uri="{FF2B5EF4-FFF2-40B4-BE49-F238E27FC236}">
              <a16:creationId xmlns:a16="http://schemas.microsoft.com/office/drawing/2014/main" id="{00000000-0008-0000-0700-00009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6" name="Shape 10">
          <a:extLst>
            <a:ext uri="{FF2B5EF4-FFF2-40B4-BE49-F238E27FC236}">
              <a16:creationId xmlns:a16="http://schemas.microsoft.com/office/drawing/2014/main" id="{00000000-0008-0000-0700-00009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7" name="Shape 10">
          <a:extLst>
            <a:ext uri="{FF2B5EF4-FFF2-40B4-BE49-F238E27FC236}">
              <a16:creationId xmlns:a16="http://schemas.microsoft.com/office/drawing/2014/main" id="{00000000-0008-0000-0700-00009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8" name="Shape 9">
          <a:extLst>
            <a:ext uri="{FF2B5EF4-FFF2-40B4-BE49-F238E27FC236}">
              <a16:creationId xmlns:a16="http://schemas.microsoft.com/office/drawing/2014/main" id="{00000000-0008-0000-0700-00009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9" name="Shape 9">
          <a:extLst>
            <a:ext uri="{FF2B5EF4-FFF2-40B4-BE49-F238E27FC236}">
              <a16:creationId xmlns:a16="http://schemas.microsoft.com/office/drawing/2014/main" id="{00000000-0008-0000-0700-00009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0" name="Shape 9">
          <a:extLst>
            <a:ext uri="{FF2B5EF4-FFF2-40B4-BE49-F238E27FC236}">
              <a16:creationId xmlns:a16="http://schemas.microsoft.com/office/drawing/2014/main" id="{00000000-0008-0000-0700-00009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1" name="Shape 9">
          <a:extLst>
            <a:ext uri="{FF2B5EF4-FFF2-40B4-BE49-F238E27FC236}">
              <a16:creationId xmlns:a16="http://schemas.microsoft.com/office/drawing/2014/main" id="{00000000-0008-0000-0700-00009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2" name="Shape 9">
          <a:extLst>
            <a:ext uri="{FF2B5EF4-FFF2-40B4-BE49-F238E27FC236}">
              <a16:creationId xmlns:a16="http://schemas.microsoft.com/office/drawing/2014/main" id="{00000000-0008-0000-0700-00009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3" name="Shape 9">
          <a:extLst>
            <a:ext uri="{FF2B5EF4-FFF2-40B4-BE49-F238E27FC236}">
              <a16:creationId xmlns:a16="http://schemas.microsoft.com/office/drawing/2014/main" id="{00000000-0008-0000-0700-00009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4" name="Shape 9">
          <a:extLst>
            <a:ext uri="{FF2B5EF4-FFF2-40B4-BE49-F238E27FC236}">
              <a16:creationId xmlns:a16="http://schemas.microsoft.com/office/drawing/2014/main" id="{00000000-0008-0000-0700-00009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5" name="Shape 7">
          <a:extLst>
            <a:ext uri="{FF2B5EF4-FFF2-40B4-BE49-F238E27FC236}">
              <a16:creationId xmlns:a16="http://schemas.microsoft.com/office/drawing/2014/main" id="{00000000-0008-0000-0700-00009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6" name="Shape 7">
          <a:extLst>
            <a:ext uri="{FF2B5EF4-FFF2-40B4-BE49-F238E27FC236}">
              <a16:creationId xmlns:a16="http://schemas.microsoft.com/office/drawing/2014/main" id="{00000000-0008-0000-0700-00009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7" name="Shape 7">
          <a:extLst>
            <a:ext uri="{FF2B5EF4-FFF2-40B4-BE49-F238E27FC236}">
              <a16:creationId xmlns:a16="http://schemas.microsoft.com/office/drawing/2014/main" id="{00000000-0008-0000-0700-00009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8" name="Shape 7">
          <a:extLst>
            <a:ext uri="{FF2B5EF4-FFF2-40B4-BE49-F238E27FC236}">
              <a16:creationId xmlns:a16="http://schemas.microsoft.com/office/drawing/2014/main" id="{00000000-0008-0000-0700-00009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19" name="Shape 8">
          <a:extLst>
            <a:ext uri="{FF2B5EF4-FFF2-40B4-BE49-F238E27FC236}">
              <a16:creationId xmlns:a16="http://schemas.microsoft.com/office/drawing/2014/main" id="{00000000-0008-0000-0700-00009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0" name="Shape 8">
          <a:extLst>
            <a:ext uri="{FF2B5EF4-FFF2-40B4-BE49-F238E27FC236}">
              <a16:creationId xmlns:a16="http://schemas.microsoft.com/office/drawing/2014/main" id="{00000000-0008-0000-0700-0000A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1" name="Shape 8">
          <a:extLst>
            <a:ext uri="{FF2B5EF4-FFF2-40B4-BE49-F238E27FC236}">
              <a16:creationId xmlns:a16="http://schemas.microsoft.com/office/drawing/2014/main" id="{00000000-0008-0000-0700-0000A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2" name="Shape 8">
          <a:extLst>
            <a:ext uri="{FF2B5EF4-FFF2-40B4-BE49-F238E27FC236}">
              <a16:creationId xmlns:a16="http://schemas.microsoft.com/office/drawing/2014/main" id="{00000000-0008-0000-0700-0000A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3" name="Shape 7">
          <a:extLst>
            <a:ext uri="{FF2B5EF4-FFF2-40B4-BE49-F238E27FC236}">
              <a16:creationId xmlns:a16="http://schemas.microsoft.com/office/drawing/2014/main" id="{00000000-0008-0000-0700-0000A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4" name="Shape 7">
          <a:extLst>
            <a:ext uri="{FF2B5EF4-FFF2-40B4-BE49-F238E27FC236}">
              <a16:creationId xmlns:a16="http://schemas.microsoft.com/office/drawing/2014/main" id="{00000000-0008-0000-0700-0000A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5" name="Shape 7">
          <a:extLst>
            <a:ext uri="{FF2B5EF4-FFF2-40B4-BE49-F238E27FC236}">
              <a16:creationId xmlns:a16="http://schemas.microsoft.com/office/drawing/2014/main" id="{00000000-0008-0000-0700-0000A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6" name="Shape 7">
          <a:extLst>
            <a:ext uri="{FF2B5EF4-FFF2-40B4-BE49-F238E27FC236}">
              <a16:creationId xmlns:a16="http://schemas.microsoft.com/office/drawing/2014/main" id="{00000000-0008-0000-0700-0000A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7" name="Shape 7">
          <a:extLst>
            <a:ext uri="{FF2B5EF4-FFF2-40B4-BE49-F238E27FC236}">
              <a16:creationId xmlns:a16="http://schemas.microsoft.com/office/drawing/2014/main" id="{00000000-0008-0000-0700-0000A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8" name="Shape 7">
          <a:extLst>
            <a:ext uri="{FF2B5EF4-FFF2-40B4-BE49-F238E27FC236}">
              <a16:creationId xmlns:a16="http://schemas.microsoft.com/office/drawing/2014/main" id="{00000000-0008-0000-0700-0000A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9" name="Shape 7">
          <a:extLst>
            <a:ext uri="{FF2B5EF4-FFF2-40B4-BE49-F238E27FC236}">
              <a16:creationId xmlns:a16="http://schemas.microsoft.com/office/drawing/2014/main" id="{00000000-0008-0000-0700-0000A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0" name="Shape 9">
          <a:extLst>
            <a:ext uri="{FF2B5EF4-FFF2-40B4-BE49-F238E27FC236}">
              <a16:creationId xmlns:a16="http://schemas.microsoft.com/office/drawing/2014/main" id="{00000000-0008-0000-0700-0000A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1" name="Shape 9">
          <a:extLst>
            <a:ext uri="{FF2B5EF4-FFF2-40B4-BE49-F238E27FC236}">
              <a16:creationId xmlns:a16="http://schemas.microsoft.com/office/drawing/2014/main" id="{00000000-0008-0000-0700-0000A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2" name="Shape 9">
          <a:extLst>
            <a:ext uri="{FF2B5EF4-FFF2-40B4-BE49-F238E27FC236}">
              <a16:creationId xmlns:a16="http://schemas.microsoft.com/office/drawing/2014/main" id="{00000000-0008-0000-0700-0000A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3" name="Shape 9">
          <a:extLst>
            <a:ext uri="{FF2B5EF4-FFF2-40B4-BE49-F238E27FC236}">
              <a16:creationId xmlns:a16="http://schemas.microsoft.com/office/drawing/2014/main" id="{00000000-0008-0000-0700-0000A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4" name="Shape 10">
          <a:extLst>
            <a:ext uri="{FF2B5EF4-FFF2-40B4-BE49-F238E27FC236}">
              <a16:creationId xmlns:a16="http://schemas.microsoft.com/office/drawing/2014/main" id="{00000000-0008-0000-0700-0000A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5" name="Shape 10">
          <a:extLst>
            <a:ext uri="{FF2B5EF4-FFF2-40B4-BE49-F238E27FC236}">
              <a16:creationId xmlns:a16="http://schemas.microsoft.com/office/drawing/2014/main" id="{00000000-0008-0000-0700-0000A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6" name="Shape 10">
          <a:extLst>
            <a:ext uri="{FF2B5EF4-FFF2-40B4-BE49-F238E27FC236}">
              <a16:creationId xmlns:a16="http://schemas.microsoft.com/office/drawing/2014/main" id="{00000000-0008-0000-0700-0000B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7" name="Shape 10">
          <a:extLst>
            <a:ext uri="{FF2B5EF4-FFF2-40B4-BE49-F238E27FC236}">
              <a16:creationId xmlns:a16="http://schemas.microsoft.com/office/drawing/2014/main" id="{00000000-0008-0000-0700-0000B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8" name="Shape 9">
          <a:extLst>
            <a:ext uri="{FF2B5EF4-FFF2-40B4-BE49-F238E27FC236}">
              <a16:creationId xmlns:a16="http://schemas.microsoft.com/office/drawing/2014/main" id="{00000000-0008-0000-0700-0000B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9" name="Shape 9">
          <a:extLst>
            <a:ext uri="{FF2B5EF4-FFF2-40B4-BE49-F238E27FC236}">
              <a16:creationId xmlns:a16="http://schemas.microsoft.com/office/drawing/2014/main" id="{00000000-0008-0000-0700-0000B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0" name="Shape 9">
          <a:extLst>
            <a:ext uri="{FF2B5EF4-FFF2-40B4-BE49-F238E27FC236}">
              <a16:creationId xmlns:a16="http://schemas.microsoft.com/office/drawing/2014/main" id="{00000000-0008-0000-0700-0000B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1" name="Shape 9">
          <a:extLst>
            <a:ext uri="{FF2B5EF4-FFF2-40B4-BE49-F238E27FC236}">
              <a16:creationId xmlns:a16="http://schemas.microsoft.com/office/drawing/2014/main" id="{00000000-0008-0000-0700-0000B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2" name="Shape 9">
          <a:extLst>
            <a:ext uri="{FF2B5EF4-FFF2-40B4-BE49-F238E27FC236}">
              <a16:creationId xmlns:a16="http://schemas.microsoft.com/office/drawing/2014/main" id="{00000000-0008-0000-0700-0000B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3" name="Shape 9">
          <a:extLst>
            <a:ext uri="{FF2B5EF4-FFF2-40B4-BE49-F238E27FC236}">
              <a16:creationId xmlns:a16="http://schemas.microsoft.com/office/drawing/2014/main" id="{00000000-0008-0000-0700-0000B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4" name="Shape 9">
          <a:extLst>
            <a:ext uri="{FF2B5EF4-FFF2-40B4-BE49-F238E27FC236}">
              <a16:creationId xmlns:a16="http://schemas.microsoft.com/office/drawing/2014/main" id="{00000000-0008-0000-0700-0000B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5" name="Shape 7">
          <a:extLst>
            <a:ext uri="{FF2B5EF4-FFF2-40B4-BE49-F238E27FC236}">
              <a16:creationId xmlns:a16="http://schemas.microsoft.com/office/drawing/2014/main" id="{00000000-0008-0000-0700-0000B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6" name="Shape 7">
          <a:extLst>
            <a:ext uri="{FF2B5EF4-FFF2-40B4-BE49-F238E27FC236}">
              <a16:creationId xmlns:a16="http://schemas.microsoft.com/office/drawing/2014/main" id="{00000000-0008-0000-0700-0000B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7" name="Shape 7">
          <a:extLst>
            <a:ext uri="{FF2B5EF4-FFF2-40B4-BE49-F238E27FC236}">
              <a16:creationId xmlns:a16="http://schemas.microsoft.com/office/drawing/2014/main" id="{00000000-0008-0000-0700-0000B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8" name="Shape 7">
          <a:extLst>
            <a:ext uri="{FF2B5EF4-FFF2-40B4-BE49-F238E27FC236}">
              <a16:creationId xmlns:a16="http://schemas.microsoft.com/office/drawing/2014/main" id="{00000000-0008-0000-0700-0000B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49" name="Shape 8">
          <a:extLst>
            <a:ext uri="{FF2B5EF4-FFF2-40B4-BE49-F238E27FC236}">
              <a16:creationId xmlns:a16="http://schemas.microsoft.com/office/drawing/2014/main" id="{00000000-0008-0000-0700-0000B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0" name="Shape 8">
          <a:extLst>
            <a:ext uri="{FF2B5EF4-FFF2-40B4-BE49-F238E27FC236}">
              <a16:creationId xmlns:a16="http://schemas.microsoft.com/office/drawing/2014/main" id="{00000000-0008-0000-0700-0000B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1" name="Shape 8">
          <a:extLst>
            <a:ext uri="{FF2B5EF4-FFF2-40B4-BE49-F238E27FC236}">
              <a16:creationId xmlns:a16="http://schemas.microsoft.com/office/drawing/2014/main" id="{00000000-0008-0000-0700-0000B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2" name="Shape 8">
          <a:extLst>
            <a:ext uri="{FF2B5EF4-FFF2-40B4-BE49-F238E27FC236}">
              <a16:creationId xmlns:a16="http://schemas.microsoft.com/office/drawing/2014/main" id="{00000000-0008-0000-0700-0000C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3" name="Shape 7">
          <a:extLst>
            <a:ext uri="{FF2B5EF4-FFF2-40B4-BE49-F238E27FC236}">
              <a16:creationId xmlns:a16="http://schemas.microsoft.com/office/drawing/2014/main" id="{00000000-0008-0000-0700-0000C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4" name="Shape 7">
          <a:extLst>
            <a:ext uri="{FF2B5EF4-FFF2-40B4-BE49-F238E27FC236}">
              <a16:creationId xmlns:a16="http://schemas.microsoft.com/office/drawing/2014/main" id="{00000000-0008-0000-0700-0000C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5" name="Shape 7">
          <a:extLst>
            <a:ext uri="{FF2B5EF4-FFF2-40B4-BE49-F238E27FC236}">
              <a16:creationId xmlns:a16="http://schemas.microsoft.com/office/drawing/2014/main" id="{00000000-0008-0000-0700-0000C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6" name="Shape 7">
          <a:extLst>
            <a:ext uri="{FF2B5EF4-FFF2-40B4-BE49-F238E27FC236}">
              <a16:creationId xmlns:a16="http://schemas.microsoft.com/office/drawing/2014/main" id="{00000000-0008-0000-0700-0000C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7" name="Shape 7">
          <a:extLst>
            <a:ext uri="{FF2B5EF4-FFF2-40B4-BE49-F238E27FC236}">
              <a16:creationId xmlns:a16="http://schemas.microsoft.com/office/drawing/2014/main" id="{00000000-0008-0000-0700-0000C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8" name="Shape 7">
          <a:extLst>
            <a:ext uri="{FF2B5EF4-FFF2-40B4-BE49-F238E27FC236}">
              <a16:creationId xmlns:a16="http://schemas.microsoft.com/office/drawing/2014/main" id="{00000000-0008-0000-0700-0000C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9" name="Shape 7">
          <a:extLst>
            <a:ext uri="{FF2B5EF4-FFF2-40B4-BE49-F238E27FC236}">
              <a16:creationId xmlns:a16="http://schemas.microsoft.com/office/drawing/2014/main" id="{00000000-0008-0000-0700-0000C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0" name="Shape 9">
          <a:extLst>
            <a:ext uri="{FF2B5EF4-FFF2-40B4-BE49-F238E27FC236}">
              <a16:creationId xmlns:a16="http://schemas.microsoft.com/office/drawing/2014/main" id="{00000000-0008-0000-0700-0000C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1" name="Shape 9">
          <a:extLst>
            <a:ext uri="{FF2B5EF4-FFF2-40B4-BE49-F238E27FC236}">
              <a16:creationId xmlns:a16="http://schemas.microsoft.com/office/drawing/2014/main" id="{00000000-0008-0000-0700-0000C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2" name="Shape 9">
          <a:extLst>
            <a:ext uri="{FF2B5EF4-FFF2-40B4-BE49-F238E27FC236}">
              <a16:creationId xmlns:a16="http://schemas.microsoft.com/office/drawing/2014/main" id="{00000000-0008-0000-0700-0000C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3" name="Shape 9">
          <a:extLst>
            <a:ext uri="{FF2B5EF4-FFF2-40B4-BE49-F238E27FC236}">
              <a16:creationId xmlns:a16="http://schemas.microsoft.com/office/drawing/2014/main" id="{00000000-0008-0000-0700-0000C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4" name="Shape 10">
          <a:extLst>
            <a:ext uri="{FF2B5EF4-FFF2-40B4-BE49-F238E27FC236}">
              <a16:creationId xmlns:a16="http://schemas.microsoft.com/office/drawing/2014/main" id="{00000000-0008-0000-0700-0000C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5" name="Shape 10">
          <a:extLst>
            <a:ext uri="{FF2B5EF4-FFF2-40B4-BE49-F238E27FC236}">
              <a16:creationId xmlns:a16="http://schemas.microsoft.com/office/drawing/2014/main" id="{00000000-0008-0000-0700-0000C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6" name="Shape 10">
          <a:extLst>
            <a:ext uri="{FF2B5EF4-FFF2-40B4-BE49-F238E27FC236}">
              <a16:creationId xmlns:a16="http://schemas.microsoft.com/office/drawing/2014/main" id="{00000000-0008-0000-0700-0000C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7" name="Shape 10">
          <a:extLst>
            <a:ext uri="{FF2B5EF4-FFF2-40B4-BE49-F238E27FC236}">
              <a16:creationId xmlns:a16="http://schemas.microsoft.com/office/drawing/2014/main" id="{00000000-0008-0000-0700-0000C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8" name="Shape 9">
          <a:extLst>
            <a:ext uri="{FF2B5EF4-FFF2-40B4-BE49-F238E27FC236}">
              <a16:creationId xmlns:a16="http://schemas.microsoft.com/office/drawing/2014/main" id="{00000000-0008-0000-0700-0000D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9" name="Shape 9">
          <a:extLst>
            <a:ext uri="{FF2B5EF4-FFF2-40B4-BE49-F238E27FC236}">
              <a16:creationId xmlns:a16="http://schemas.microsoft.com/office/drawing/2014/main" id="{00000000-0008-0000-0700-0000D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0" name="Shape 9">
          <a:extLst>
            <a:ext uri="{FF2B5EF4-FFF2-40B4-BE49-F238E27FC236}">
              <a16:creationId xmlns:a16="http://schemas.microsoft.com/office/drawing/2014/main" id="{00000000-0008-0000-0700-0000D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1" name="Shape 9">
          <a:extLst>
            <a:ext uri="{FF2B5EF4-FFF2-40B4-BE49-F238E27FC236}">
              <a16:creationId xmlns:a16="http://schemas.microsoft.com/office/drawing/2014/main" id="{00000000-0008-0000-0700-0000D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2" name="Shape 9">
          <a:extLst>
            <a:ext uri="{FF2B5EF4-FFF2-40B4-BE49-F238E27FC236}">
              <a16:creationId xmlns:a16="http://schemas.microsoft.com/office/drawing/2014/main" id="{00000000-0008-0000-0700-0000D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3" name="Shape 9">
          <a:extLst>
            <a:ext uri="{FF2B5EF4-FFF2-40B4-BE49-F238E27FC236}">
              <a16:creationId xmlns:a16="http://schemas.microsoft.com/office/drawing/2014/main" id="{00000000-0008-0000-0700-0000D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7" name="Shape 4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1" name="Shape 4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2" name="Shape 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1" name="Shape 4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2" name="Shape 4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0" name="Shape 4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1" name="Shape 4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2" name="Shape 4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3" name="Shape 4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5" name="Shape 4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6" name="Shape 4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7" name="Shape 4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8" name="Shape 4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0" name="Shape 4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1" name="Shape 4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3" name="Shape 4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1" name="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2" name="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3" name="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4" name="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5" name="Shape 6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6" name="Shape 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7" name="Shape 6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8" name="Shape 6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9" name="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0" name="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1" name="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2" name="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3" name="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4" name="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5" name="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6" name="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7" name="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8" name="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9" name="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0" name="Shape 6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1" name="Shape 6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2" name="Shape 6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3" name="Shape 6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4" name="Shape 5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5" name="Shape 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6" name="Shape 5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7" name="Shape 5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8" name="Shape 5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9" name="Shape 5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90" name="Shape 5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1" name="Shape 5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2" name="Shape 5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3" name="Shape 5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4" name="Shape 5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5" name="Shape 6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6" name="Shape 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7" name="Shape 6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8" name="Shape 6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9" name="Shape 5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0" name="Shape 5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1" name="Shape 5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2" name="Shape 5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3" name="Shape 5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4" name="Shape 5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5" name="Shape 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6" name="Shape 5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7" name="Shape 5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8" name="Shape 5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9" name="Shape 5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0" name="Shape 6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1" name="Shape 6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2" name="Shape 6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3" name="Shape 6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4" name="Shape 5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5" name="Shape 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6" name="Shape 5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7" name="Shape 5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8" name="Shape 5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9" name="Shape 5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20" name="Shape 5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1" name="Shape 5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2" name="Shape 5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3" name="Shape 5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4" name="Shape 5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5" name="Shape 6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6" name="Shape 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7" name="Shape 6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8" name="Shape 6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9" name="Shape 5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0" name="Shape 5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1" name="Shape 5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2" name="Shape 5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3" name="Shape 5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4" name="Shape 5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5" name="Shape 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6" name="Shape 5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7" name="Shape 5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8" name="Shape 5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9" name="Shape 5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0" name="Shape 6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1" name="Shape 6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2" name="Shape 6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3" name="Shape 6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4" name="Shape 5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5" name="Shape 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6" name="Shape 5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7" name="Shape 5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8" name="Shape 5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9" name="Shape 5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50" name="Shape 5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1" name="Shape 5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2" name="Shape 5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3" name="Shape 5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4" name="Shape 5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5" name="Shape 6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6" name="Shape 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7" name="Shape 6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8" name="Shape 6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9" name="Shape 5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0" name="Shape 5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1" name="Shape 5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2" name="Shape 5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3" name="Shape 5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4" name="Shape 5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5" name="Shape 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6" name="Shape 5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7" name="Shape 5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8" name="Shape 5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9" name="Shape 5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0" name="Shape 6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1" name="Shape 6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2" name="Shape 6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3" name="Shape 6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4" name="Shape 5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5" name="Shape 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6" name="Shape 5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7" name="Shape 5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8" name="Shape 5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9" name="Shape 5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80" name="Shape 5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5" name="Shape 4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6" name="Shape 4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7" name="Shape 4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8" name="Shape 4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0" name="Shape 4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1" name="Shape 4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2" name="Shape 4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3" name="Shape 4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5" name="Shape 4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6" name="Shape 4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7" name="Shape 4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8" name="Shape 4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0" name="Shape 4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1" name="Shape 4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2" name="Shape 4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3" name="Shape 4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5" name="Shape 4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6" name="Shape 4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7" name="Shape 4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8" name="Shape 4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0" name="Shape 4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1" name="Shape 4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2" name="Shape 4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3" name="Shape 4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5" name="Shape 4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6" name="Shape 4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7" name="Shape 4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8" name="Shape 4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0" name="Shape 4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1" name="Shape 4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2" name="Shape 4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3" name="Shape 4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5" name="Shape 4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6" name="Shape 4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7" name="Shape 4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8" name="Shape 4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0" name="Shape 4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1" name="Shape 4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2" name="Shape 4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3" name="Shape 4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5" name="Shape 4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6" name="Shape 4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7" name="Shape 4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8" name="Shape 4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0" name="Shape 4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1" name="Shape 4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2" name="Shape 4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3" name="Shape 4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5" name="Shape 4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6" name="Shape 4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7" name="Shape 4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8" name="Shape 4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0" name="Shape 4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1" name="Shape 4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2" name="Shape 4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3" name="Shape 4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5" name="Shape 4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6" name="Shape 4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7" name="Shape 4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8" name="Shape 4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0" name="Shape 4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1" name="Shape 4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2" name="Shape 4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3" name="Shape 4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1" name="Shape 5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2" name="Shape 5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3" name="Shape 5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4" name="Shape 5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5" name="Shape 6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6" name="Shape 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7" name="Shape 6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8" name="Shape 6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9" name="Shape 5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0" name="Shape 5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1" name="Shape 5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2" name="Shape 5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3" name="Shape 5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4" name="Shape 5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5" name="Shape 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6" name="Shape 5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7" name="Shape 5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8" name="Shape 5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9" name="Shape 5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0" name="Shape 6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1" name="Shape 6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2" name="Shape 6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3" name="Shape 6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4" name="Shape 5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5" name="Shape 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6" name="Shape 5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7" name="Shape 5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8" name="Shape 5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9" name="Shape 5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50" name="Shape 5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1" name="Shape 5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2" name="Shape 5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3" name="Shape 5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4" name="Shape 5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5" name="Shape 6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6" name="Shape 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7" name="Shape 6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8" name="Shape 6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9" name="Shape 5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0" name="Shape 5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1" name="Shape 5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2" name="Shape 5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3" name="Shape 5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4" name="Shape 5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5" name="Shape 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6" name="Shape 5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7" name="Shape 5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8" name="Shape 5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9" name="Shape 5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0" name="Shape 6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1" name="Shape 6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2" name="Shape 6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3" name="Shape 6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4" name="Shape 5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5" name="Shape 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6" name="Shape 5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7" name="Shape 5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8" name="Shape 5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9" name="Shape 5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80" name="Shape 5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1" name="Shape 5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2" name="Shape 5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3" name="Shape 5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4" name="Shape 5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5" name="Shape 6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6" name="Shape 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7" name="Shape 6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8" name="Shape 6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9" name="Shape 5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0" name="Shape 5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1" name="Shape 5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2" name="Shape 5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3" name="Shape 5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4" name="Shape 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5" name="Shape 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6" name="Shape 5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7" name="Shape 5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8" name="Shape 5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9" name="Shape 5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0" name="Shape 6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1" name="Shape 6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2" name="Shape 6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3" name="Shape 6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4" name="Shape 5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5" name="Shape 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6" name="Shape 5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7" name="Shape 5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8" name="Shape 5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9" name="Shape 5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10" name="Shape 5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1" name="Shape 5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2" name="Shape 5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3" name="Shape 5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4" name="Shape 5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5" name="Shape 6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6" name="Shape 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7" name="Shape 6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8" name="Shape 6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9" name="Shape 5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0" name="Shape 5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1" name="Shape 5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2" name="Shape 5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3" name="Shape 5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4" name="Shape 5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5" name="Shape 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6" name="Shape 5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7" name="Shape 5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8" name="Shape 5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9" name="Shape 5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0" name="Shape 6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1" name="Shape 6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2" name="Shape 6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3" name="Shape 6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4" name="Shape 5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5" name="Shape 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6" name="Shape 5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7" name="Shape 5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8" name="Shape 5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9" name="Shape 5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40" name="Shape 5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1" name="Shape 5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2" name="Shape 5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3" name="Shape 5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4" name="Shape 5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5" name="Shape 6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6" name="Shape 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7" name="Shape 6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8" name="Shape 6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9" name="Shape 5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0" name="Shape 5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1" name="Shape 5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2" name="Shape 5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3" name="Shape 5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4" name="Shape 5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5" name="Shape 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6" name="Shape 5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7" name="Shape 5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8" name="Shape 5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9" name="Shape 5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0" name="Shape 6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1" name="Shape 6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2" name="Shape 6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3" name="Shape 6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4" name="Shape 5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5" name="Shape 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6" name="Shape 5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7" name="Shape 5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8" name="Shape 5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9" name="Shape 5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70" name="Shape 5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1" name="Shape 5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2" name="Shape 5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3" name="Shape 5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4" name="Shape 5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5" name="Shape 6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6" name="Shape 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7" name="Shape 6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8" name="Shape 6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9" name="Shape 5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0" name="Shape 5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1" name="Shape 5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2" name="Shape 5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3" name="Shape 5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4" name="Shape 5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5" name="Shape 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6" name="Shape 5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7" name="Shape 5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8" name="Shape 5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9" name="Shape 5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0" name="Shape 6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1" name="Shape 6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2" name="Shape 6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3" name="Shape 6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4" name="Shape 5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5" name="Shape 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6" name="Shape 5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7" name="Shape 5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8" name="Shape 5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9" name="Shape 5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900" name="Shape 5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1" name="Shape 5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2" name="Shape 5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3" name="Shape 5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4" name="Shape 5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5" name="Shape 6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6" name="Shape 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7" name="Shape 6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8" name="Shape 6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9" name="Shape 5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0" name="Shape 5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1" name="Shape 5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2" name="Shape 5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3" name="Shape 5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4" name="Shape 5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5" name="Shape 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6" name="Shape 5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7" name="Shape 5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8" name="Shape 5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9" name="Shape 5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0" name="Shape 6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1" name="Shape 6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2" name="Shape 6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3" name="Shape 6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4" name="Shape 5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5" name="Shape 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6" name="Shape 5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7" name="Shape 5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8" name="Shape 5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9" name="Shape 5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30" name="Shape 5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1" name="Shape 5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2" name="Shape 5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3" name="Shape 5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4" name="Shape 5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5" name="Shape 6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6" name="Shape 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7" name="Shape 6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8" name="Shape 6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9" name="Shape 5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0" name="Shape 5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1" name="Shape 5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2" name="Shape 5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3" name="Shape 5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4" name="Shape 5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5" name="Shape 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6" name="Shape 5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7" name="Shape 5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8" name="Shape 5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9" name="Shape 5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0" name="Shape 6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1" name="Shape 6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2" name="Shape 6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3" name="Shape 6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4" name="Shape 5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5" name="Shape 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6" name="Shape 5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7" name="Shape 5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8" name="Shape 5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9" name="Shape 5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60" name="Shape 5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1" name="Shape 5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2" name="Shape 5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3" name="Shape 5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4" name="Shape 5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5" name="Shape 6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6" name="Shape 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7" name="Shape 6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8" name="Shape 6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9" name="Shape 5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0" name="Shape 5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1" name="Shape 5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2" name="Shape 5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3" name="Shape 5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4" name="Shape 5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5" name="Shape 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6" name="Shape 5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7" name="Shape 5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8" name="Shape 5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9" name="Shape 5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0" name="Shape 6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1" name="Shape 6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2" name="Shape 6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3" name="Shape 6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4" name="Shape 5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5" name="Shape 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6" name="Shape 5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7" name="Shape 5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8" name="Shape 5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9" name="Shape 5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90" name="Shape 5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1" name="Shape 3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2" name="Shape 3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3" name="Shape 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4" name="Shape 3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5" name="Shape 4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6" name="Shape 4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7" name="Shape 4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8" name="Shape 4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9" name="Shape 3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0" name="Shape 3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1" name="Shape 3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2" name="Shape 3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3" name="Shape 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4" name="Shape 3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5" name="Shape 3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6" name="Shape 3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7" name="Shape 3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8" name="Shape 3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9" name="Shape 3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0" name="Shape 4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1" name="Shape 4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2" name="Shape 4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3" name="Shape 4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4" name="Shape 3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5" name="Shape 3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6" name="Shape 3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7" name="Shape 3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8" name="Shape 3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9" name="Shape 3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20" name="Shape 3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1" name="Shape 3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2" name="Shape 3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3" name="Shape 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4" name="Shape 3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5" name="Shape 4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6" name="Shape 4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7" name="Shape 4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8" name="Shape 4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9" name="Shape 3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0" name="Shape 3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1" name="Shape 3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2" name="Shape 3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3" name="Shape 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4" name="Shape 3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5" name="Shape 3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6" name="Shape 3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7" name="Shape 3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8" name="Shape 3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9" name="Shape 3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0" name="Shape 4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1" name="Shape 4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2" name="Shape 4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3" name="Shape 4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4" name="Shape 3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5" name="Shape 3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6" name="Shape 3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7" name="Shape 3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8" name="Shape 3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9" name="Shape 3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0" name="Shape 3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1" name="Shape 3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2" name="Shape 3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3" name="Shape 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4" name="Shape 3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5" name="Shape 4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6" name="Shape 4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7" name="Shape 4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8" name="Shape 4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9" name="Shape 3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0" name="Shape 3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1" name="Shape 3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2" name="Shape 3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3" name="Shape 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4" name="Shape 3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5" name="Shape 3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6" name="Shape 3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7" name="Shape 3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8" name="Shape 3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69" name="Shape 4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0" name="Shape 4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1" name="Shape 4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2" name="Shape 4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3" name="Shape 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4" name="Shape 3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5" name="Shape 3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6" name="Shape 3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7" name="Shape 3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8" name="Shape 3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9" name="Shape 3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0" name="Shape 3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1" name="Shape 3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2" name="Shape 3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3" name="Shape 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4" name="Shape 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5" name="Shape 4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6" name="Shape 4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7" name="Shape 4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8" name="Shape 3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9" name="Shape 3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0" name="Shape 3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1" name="Shape 3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2" name="Shape 3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3" name="Shape 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4" name="Shape 3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5" name="Shape 3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6" name="Shape 3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7" name="Shape 3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8" name="Shape 3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099" name="Shape 4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0" name="Shape 4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1" name="Shape 4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2" name="Shape 4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3" name="Shape 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4" name="Shape 3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5" name="Shape 3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6" name="Shape 3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7" name="Shape 3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8" name="Shape 3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9" name="Shape 3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0" name="Shape 3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1" name="Shape 3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2" name="Shape 3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3" name="Shape 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4" name="Shape 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5" name="Shape 4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6" name="Shape 4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7" name="Shape 4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8" name="Shape 3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9" name="Shape 3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0" name="Shape 3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1" name="Shape 3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2" name="Shape 3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3" name="Shape 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4" name="Shape 3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5" name="Shape 3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6" name="Shape 3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7" name="Shape 3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29" name="Shape 4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0" name="Shape 4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1" name="Shape 4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2" name="Shape 4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3" name="Shape 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6" name="Shape 3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7" name="Shape 3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8" name="Shape 3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9" name="Shape 3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0" name="Shape 3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1" name="Shape 3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2" name="Shape 3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3" name="Shape 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4" name="Shape 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5" name="Shape 4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6" name="Shape 4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7" name="Shape 4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8" name="Shape 3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9" name="Shape 3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0" name="Shape 3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1" name="Shape 3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2" name="Shape 3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3" name="Shape 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4" name="Shape 3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5" name="Shape 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6" name="Shape 5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7" name="Shape 5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8" name="Shape 5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59" name="Shape 6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0" name="Shape 6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1" name="Shape 6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2" name="Shape 6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3" name="Shape 5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4" name="Shape 5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5" name="Shape 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6" name="Shape 5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7" name="Shape 5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8" name="Shape 5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9" name="Shape 5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0" name="Shape 5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1" name="Shape 5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2" name="Shape 5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3" name="Shape 5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4" name="Shape 6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5" name="Shape 6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6" name="Shape 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7" name="Shape 6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8" name="Shape 5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9" name="Shape 5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0" name="Shape 5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1" name="Shape 5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2" name="Shape 5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3" name="Shape 5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4" name="Shape 5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5" name="Shape 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6" name="Shape 5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7" name="Shape 5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8" name="Shape 5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89" name="Shape 6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0" name="Shape 6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1" name="Shape 6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2" name="Shape 6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3" name="Shape 5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4" name="Shape 5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5" name="Shape 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6" name="Shape 5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7" name="Shape 5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8" name="Shape 5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9" name="Shape 5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0" name="Shape 5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1" name="Shape 5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2" name="Shape 5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3" name="Shape 5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4" name="Shape 6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5" name="Shape 6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6" name="Shape 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7" name="Shape 6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8" name="Shape 5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9" name="Shape 5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0" name="Shape 5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1" name="Shape 5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2" name="Shape 5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3" name="Shape 5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4" name="Shape 5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5" name="Shape 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6" name="Shape 5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7" name="Shape 5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8" name="Shape 5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19" name="Shape 6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0" name="Shape 6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1" name="Shape 6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2" name="Shape 6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3" name="Shape 5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4" name="Shape 5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5" name="Shape 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6" name="Shape 5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7" name="Shape 5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8" name="Shape 5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9" name="Shape 5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0" name="Shape 5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1" name="Shape 5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2" name="Shape 5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3" name="Shape 5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4" name="Shape 6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5" name="Shape 6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6" name="Shape 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7" name="Shape 6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8" name="Shape 5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9" name="Shape 5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0" name="Shape 5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1" name="Shape 5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2" name="Shape 5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3" name="Shape 5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4" name="Shape 5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5" name="Shape 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6" name="Shape 5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7" name="Shape 5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8" name="Shape 5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49" name="Shape 6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0" name="Shape 6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1" name="Shape 6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2" name="Shape 6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3" name="Shape 5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4" name="Shape 5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5" name="Shape 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6" name="Shape 5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7" name="Shape 5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8" name="Shape 5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9" name="Shape 5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0" name="Shape 5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1" name="Shape 5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2" name="Shape 5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3" name="Shape 5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4" name="Shape 6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5" name="Shape 6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6" name="Shape 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7" name="Shape 6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8" name="Shape 5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9" name="Shape 5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0" name="Shape 5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1" name="Shape 5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2" name="Shape 5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3" name="Shape 5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4" name="Shape 5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5" name="Shape 3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6" name="Shape 3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7" name="Shape 3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8" name="Shape 3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79" name="Shape 4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0" name="Shape 4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1" name="Shape 4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2" name="Shape 4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3" name="Shape 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4" name="Shape 3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5" name="Shape 3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6" name="Shape 3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7" name="Shape 3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8" name="Shape 3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9" name="Shape 3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0" name="Shape 3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1" name="Shape 3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2" name="Shape 3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3" name="Shape 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4" name="Shape 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5" name="Shape 4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6" name="Shape 4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7" name="Shape 4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0" name="Shape 3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1" name="Shape 3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2" name="Shape 3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3" name="Shape 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4" name="Shape 3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5" name="Shape 3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6" name="Shape 3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7" name="Shape 3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8" name="Shape 3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09" name="Shape 4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0" name="Shape 4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1" name="Shape 4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2" name="Shape 4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3" name="Shape 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4" name="Shape 3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5" name="Shape 3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6" name="Shape 3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7" name="Shape 3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8" name="Shape 3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9" name="Shape 3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0" name="Shape 3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1" name="Shape 3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2" name="Shape 3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3" name="Shape 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4" name="Shape 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5" name="Shape 4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6" name="Shape 4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7" name="Shape 4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8" name="Shape 3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9" name="Shape 3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0" name="Shape 3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1" name="Shape 3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2" name="Shape 3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3" name="Shape 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4" name="Shape 3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5" name="Shape 3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6" name="Shape 3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7" name="Shape 3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8" name="Shape 3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39" name="Shape 4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0" name="Shape 4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1" name="Shape 4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2" name="Shape 4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3" name="Shape 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4" name="Shape 3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5" name="Shape 3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6" name="Shape 3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7" name="Shape 3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8" name="Shape 3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9" name="Shape 3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0" name="Shape 3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1" name="Shape 3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2" name="Shape 3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3" name="Shape 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4" name="Shape 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5" name="Shape 4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6" name="Shape 4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7" name="Shape 4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8" name="Shape 3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9" name="Shape 3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0" name="Shape 3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1" name="Shape 3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2" name="Shape 3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3" name="Shape 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4" name="Shape 3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5" name="Shape 3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6" name="Shape 3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7" name="Shape 3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8" name="Shape 3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69" name="Shape 4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0" name="Shape 4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1" name="Shape 4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2" name="Shape 4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3" name="Shape 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4" name="Shape 3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5" name="Shape 3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6" name="Shape 3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7" name="Shape 3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8" name="Shape 3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9" name="Shape 3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0" name="Shape 3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1" name="Shape 3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2" name="Shape 3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3" name="Shape 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4" name="Shape 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5" name="Shape 4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6" name="Shape 4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7" name="Shape 4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8" name="Shape 3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9" name="Shape 3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0" name="Shape 3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1" name="Shape 3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2" name="Shape 3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3" name="Shape 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4" name="Shape 3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5" name="Shape 3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399" name="Shape 4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0" name="Shape 4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1" name="Shape 4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2" name="Shape 4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4" name="Shape 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5" name="Shape 4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6" name="Shape 4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7" name="Shape 4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2" name="Shape 3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3" name="Shape 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6" name="Shape 3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7" name="Shape 3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8" name="Shape 3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29" name="Shape 4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0" name="Shape 4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1" name="Shape 4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2" name="Shape 4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7" name="Shape 3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8" name="Shape 3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1" name="Shape 3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2" name="Shape 3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3" name="Shape 3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4" name="Shape 4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5" name="Shape 4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6" name="Shape 4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7" name="Shape 4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59" name="Shape 4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0" name="Shape 4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1" name="Shape 4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2" name="Shape 4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4" name="Shape 3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5" name="Shape 3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6" name="Shape 3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4" name="Shape 4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5" name="Shape 4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6" name="Shape 4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7" name="Shape 4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9" name="Shape 3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0" name="Shape 3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1" name="Shape 3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89" name="Shape 4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0" name="Shape 4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1" name="Shape 4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2" name="Shape 4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6" name="Shape 3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7" name="Shape 3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8" name="Shape 3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9" name="Shape 3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0" name="Shape 3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1" name="Shape 3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2" name="Shape 3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3" name="Shape 3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4" name="Shape 4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5" name="Shape 4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6" name="Shape 4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7" name="Shape 4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8" name="Shape 3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9" name="Shape 3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0" name="Shape 3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1" name="Shape 3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2" name="Shape 3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3" name="Shape 3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4" name="Shape 3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5" name="Shape 5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6" name="Shape 5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7" name="Shape 5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8" name="Shape 5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19" name="Shape 6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0" name="Shape 6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1" name="Shape 6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2" name="Shape 6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3" name="Shape 5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4" name="Shape 5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5" name="Shape 5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6" name="Shape 5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7" name="Shape 5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8" name="Shape 5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9" name="Shape 5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0" name="Shape 5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1" name="Shape 5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2" name="Shape 5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3" name="Shape 5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4" name="Shape 6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5" name="Shape 6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6" name="Shape 6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7" name="Shape 6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8" name="Shape 5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9" name="Shape 5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0" name="Shape 5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1" name="Shape 5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2" name="Shape 5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3" name="Shape 5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4" name="Shape 5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5" name="Shape 5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6" name="Shape 5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7" name="Shape 5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8" name="Shape 5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49" name="Shape 6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0" name="Shape 6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1" name="Shape 6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2" name="Shape 6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3" name="Shape 5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4" name="Shape 5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5" name="Shape 5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6" name="Shape 5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7" name="Shape 5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8" name="Shape 5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9" name="Shape 5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0" name="Shape 5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1" name="Shape 5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2" name="Shape 5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3" name="Shape 5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4" name="Shape 6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5" name="Shape 6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6" name="Shape 6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7" name="Shape 6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8" name="Shape 5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9" name="Shape 5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0" name="Shape 5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1" name="Shape 5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2" name="Shape 5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3" name="Shape 5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4" name="Shape 5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5" name="Shape 5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6" name="Shape 5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7" name="Shape 5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8" name="Shape 5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79" name="Shape 6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0" name="Shape 6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1" name="Shape 6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2" name="Shape 6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3" name="Shape 5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4" name="Shape 5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5" name="Shape 5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6" name="Shape 5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7" name="Shape 5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8" name="Shape 5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9" name="Shape 5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0" name="Shape 5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1" name="Shape 5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2" name="Shape 5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3" name="Shape 5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4" name="Shape 6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5" name="Shape 6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6" name="Shape 6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7" name="Shape 6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8" name="Shape 5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9" name="Shape 5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0" name="Shape 5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1" name="Shape 5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2" name="Shape 5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3" name="Shape 5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4" name="Shape 5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5" name="Shape 5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6" name="Shape 5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7" name="Shape 5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8" name="Shape 5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09" name="Shape 6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0" name="Shape 6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1" name="Shape 6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2" name="Shape 6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3" name="Shape 5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4" name="Shape 5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5" name="Shape 5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6" name="Shape 5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7" name="Shape 5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8" name="Shape 5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9" name="Shape 5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0" name="Shape 5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1" name="Shape 5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2" name="Shape 5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3" name="Shape 5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4" name="Shape 6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5" name="Shape 6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6" name="Shape 6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7" name="Shape 6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8" name="Shape 5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9" name="Shape 5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0" name="Shape 5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1" name="Shape 5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2" name="Shape 5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3" name="Shape 5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4" name="Shape 5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5" name="Shape 5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6" name="Shape 5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7" name="Shape 5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8" name="Shape 5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39" name="Shape 6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0" name="Shape 6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1" name="Shape 6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2" name="Shape 6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3" name="Shape 5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4" name="Shape 5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5" name="Shape 5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6" name="Shape 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7" name="Shape 5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8" name="Shape 5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9" name="Shape 5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0" name="Shape 5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1" name="Shape 5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2" name="Shape 5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3" name="Shape 5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4" name="Shape 6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5" name="Shape 6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6" name="Shape 6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7" name="Shape 6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8" name="Shape 5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9" name="Shape 5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0" name="Shape 5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1" name="Shape 5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2" name="Shape 5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3" name="Shape 5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4" name="Shape 5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5" name="Shape 5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6" name="Shape 5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7" name="Shape 5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8" name="Shape 5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69" name="Shape 6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0" name="Shape 6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1" name="Shape 6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2" name="Shape 6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3" name="Shape 5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4" name="Shape 5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5" name="Shape 5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6" name="Shape 5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7" name="Shape 5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8" name="Shape 5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9" name="Shape 5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0" name="Shape 5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1" name="Shape 5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2" name="Shape 5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3" name="Shape 5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4" name="Shape 6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5" name="Shape 6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6" name="Shape 6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7" name="Shape 6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8" name="Shape 5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9" name="Shape 5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0" name="Shape 5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1" name="Shape 5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2" name="Shape 5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3" name="Shape 5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4" name="Shape 5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5" name="Shape 5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6" name="Shape 5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7" name="Shape 5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8" name="Shape 5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699" name="Shape 6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0" name="Shape 6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1" name="Shape 6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2" name="Shape 6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3" name="Shape 5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4" name="Shape 5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5" name="Shape 5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6" name="Shape 5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7" name="Shape 5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8" name="Shape 5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9" name="Shape 5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0" name="Shape 5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1" name="Shape 5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2" name="Shape 5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3" name="Shape 5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4" name="Shape 6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5" name="Shape 6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6" name="Shape 6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7" name="Shape 6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8" name="Shape 5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9" name="Shape 5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0" name="Shape 5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1" name="Shape 5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2" name="Shape 5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3" name="Shape 5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4" name="Shape 5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5" name="Shape 5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6" name="Shape 5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7" name="Shape 5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8" name="Shape 5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29" name="Shape 6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0" name="Shape 6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1" name="Shape 6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2" name="Shape 6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3" name="Shape 5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4" name="Shape 5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5" name="Shape 5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6" name="Shape 5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7" name="Shape 5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8" name="Shape 5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9" name="Shape 5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0" name="Shape 5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1" name="Shape 5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2" name="Shape 5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3" name="Shape 5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4" name="Shape 6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5" name="Shape 6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6" name="Shape 6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7" name="Shape 6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8" name="Shape 5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9" name="Shape 5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0" name="Shape 5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1" name="Shape 5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2" name="Shape 5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3" name="Shape 5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4" name="Shape 5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5" name="Shape 5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6" name="Shape 5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7" name="Shape 5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8" name="Shape 5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59" name="Shape 6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0" name="Shape 6">
          <a:extLst>
            <a:ext uri="{FF2B5EF4-FFF2-40B4-BE49-F238E27FC236}">
              <a16:creationId xmlns:a16="http://schemas.microsoft.com/office/drawing/2014/main" id="{00000000-0008-0000-0800-0000E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1" name="Shape 6">
          <a:extLst>
            <a:ext uri="{FF2B5EF4-FFF2-40B4-BE49-F238E27FC236}">
              <a16:creationId xmlns:a16="http://schemas.microsoft.com/office/drawing/2014/main" id="{00000000-0008-0000-0800-0000E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2" name="Shape 6">
          <a:extLst>
            <a:ext uri="{FF2B5EF4-FFF2-40B4-BE49-F238E27FC236}">
              <a16:creationId xmlns:a16="http://schemas.microsoft.com/office/drawing/2014/main" id="{00000000-0008-0000-0800-0000E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3" name="Shape 5">
          <a:extLst>
            <a:ext uri="{FF2B5EF4-FFF2-40B4-BE49-F238E27FC236}">
              <a16:creationId xmlns:a16="http://schemas.microsoft.com/office/drawing/2014/main" id="{00000000-0008-0000-0800-0000E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4" name="Shape 5">
          <a:extLst>
            <a:ext uri="{FF2B5EF4-FFF2-40B4-BE49-F238E27FC236}">
              <a16:creationId xmlns:a16="http://schemas.microsoft.com/office/drawing/2014/main" id="{00000000-0008-0000-0800-0000E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5" name="Shape 5">
          <a:extLst>
            <a:ext uri="{FF2B5EF4-FFF2-40B4-BE49-F238E27FC236}">
              <a16:creationId xmlns:a16="http://schemas.microsoft.com/office/drawing/2014/main" id="{00000000-0008-0000-0800-0000E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6" name="Shape 5">
          <a:extLst>
            <a:ext uri="{FF2B5EF4-FFF2-40B4-BE49-F238E27FC236}">
              <a16:creationId xmlns:a16="http://schemas.microsoft.com/office/drawing/2014/main" id="{00000000-0008-0000-0800-0000E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7" name="Shape 5">
          <a:extLst>
            <a:ext uri="{FF2B5EF4-FFF2-40B4-BE49-F238E27FC236}">
              <a16:creationId xmlns:a16="http://schemas.microsoft.com/office/drawing/2014/main" id="{00000000-0008-0000-0800-0000E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8" name="Shape 5">
          <a:extLst>
            <a:ext uri="{FF2B5EF4-FFF2-40B4-BE49-F238E27FC236}">
              <a16:creationId xmlns:a16="http://schemas.microsoft.com/office/drawing/2014/main" id="{00000000-0008-0000-0800-0000E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9" name="Shape 5">
          <a:extLst>
            <a:ext uri="{FF2B5EF4-FFF2-40B4-BE49-F238E27FC236}">
              <a16:creationId xmlns:a16="http://schemas.microsoft.com/office/drawing/2014/main" id="{00000000-0008-0000-0800-0000E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0" name="Shape 5">
          <a:extLst>
            <a:ext uri="{FF2B5EF4-FFF2-40B4-BE49-F238E27FC236}">
              <a16:creationId xmlns:a16="http://schemas.microsoft.com/office/drawing/2014/main" id="{00000000-0008-0000-0800-0000E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1" name="Shape 5">
          <a:extLst>
            <a:ext uri="{FF2B5EF4-FFF2-40B4-BE49-F238E27FC236}">
              <a16:creationId xmlns:a16="http://schemas.microsoft.com/office/drawing/2014/main" id="{00000000-0008-0000-0800-0000E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2" name="Shape 5">
          <a:extLst>
            <a:ext uri="{FF2B5EF4-FFF2-40B4-BE49-F238E27FC236}">
              <a16:creationId xmlns:a16="http://schemas.microsoft.com/office/drawing/2014/main" id="{00000000-0008-0000-0800-0000E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3" name="Shape 5">
          <a:extLst>
            <a:ext uri="{FF2B5EF4-FFF2-40B4-BE49-F238E27FC236}">
              <a16:creationId xmlns:a16="http://schemas.microsoft.com/office/drawing/2014/main" id="{00000000-0008-0000-0800-0000E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4" name="Shape 6">
          <a:extLst>
            <a:ext uri="{FF2B5EF4-FFF2-40B4-BE49-F238E27FC236}">
              <a16:creationId xmlns:a16="http://schemas.microsoft.com/office/drawing/2014/main" id="{00000000-0008-0000-0800-0000E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5" name="Shape 6">
          <a:extLst>
            <a:ext uri="{FF2B5EF4-FFF2-40B4-BE49-F238E27FC236}">
              <a16:creationId xmlns:a16="http://schemas.microsoft.com/office/drawing/2014/main" id="{00000000-0008-0000-0800-0000E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6" name="Shape 6">
          <a:extLst>
            <a:ext uri="{FF2B5EF4-FFF2-40B4-BE49-F238E27FC236}">
              <a16:creationId xmlns:a16="http://schemas.microsoft.com/office/drawing/2014/main" id="{00000000-0008-0000-0800-0000F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7" name="Shape 6">
          <a:extLst>
            <a:ext uri="{FF2B5EF4-FFF2-40B4-BE49-F238E27FC236}">
              <a16:creationId xmlns:a16="http://schemas.microsoft.com/office/drawing/2014/main" id="{00000000-0008-0000-0800-0000F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8" name="Shape 5">
          <a:extLst>
            <a:ext uri="{FF2B5EF4-FFF2-40B4-BE49-F238E27FC236}">
              <a16:creationId xmlns:a16="http://schemas.microsoft.com/office/drawing/2014/main" id="{00000000-0008-0000-0800-0000F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9" name="Shape 5">
          <a:extLst>
            <a:ext uri="{FF2B5EF4-FFF2-40B4-BE49-F238E27FC236}">
              <a16:creationId xmlns:a16="http://schemas.microsoft.com/office/drawing/2014/main" id="{00000000-0008-0000-0800-0000F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0" name="Shape 5">
          <a:extLst>
            <a:ext uri="{FF2B5EF4-FFF2-40B4-BE49-F238E27FC236}">
              <a16:creationId xmlns:a16="http://schemas.microsoft.com/office/drawing/2014/main" id="{00000000-0008-0000-0800-0000F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1" name="Shape 5">
          <a:extLst>
            <a:ext uri="{FF2B5EF4-FFF2-40B4-BE49-F238E27FC236}">
              <a16:creationId xmlns:a16="http://schemas.microsoft.com/office/drawing/2014/main" id="{00000000-0008-0000-0800-0000F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2" name="Shape 5">
          <a:extLst>
            <a:ext uri="{FF2B5EF4-FFF2-40B4-BE49-F238E27FC236}">
              <a16:creationId xmlns:a16="http://schemas.microsoft.com/office/drawing/2014/main" id="{00000000-0008-0000-0800-0000F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3" name="Shape 5">
          <a:extLst>
            <a:ext uri="{FF2B5EF4-FFF2-40B4-BE49-F238E27FC236}">
              <a16:creationId xmlns:a16="http://schemas.microsoft.com/office/drawing/2014/main" id="{00000000-0008-0000-0800-0000F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4" name="Shape 5">
          <a:extLst>
            <a:ext uri="{FF2B5EF4-FFF2-40B4-BE49-F238E27FC236}">
              <a16:creationId xmlns:a16="http://schemas.microsoft.com/office/drawing/2014/main" id="{00000000-0008-0000-0800-0000F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5" name="Shape 5">
          <a:extLst>
            <a:ext uri="{FF2B5EF4-FFF2-40B4-BE49-F238E27FC236}">
              <a16:creationId xmlns:a16="http://schemas.microsoft.com/office/drawing/2014/main" id="{00000000-0008-0000-0800-0000F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6" name="Shape 5">
          <a:extLst>
            <a:ext uri="{FF2B5EF4-FFF2-40B4-BE49-F238E27FC236}">
              <a16:creationId xmlns:a16="http://schemas.microsoft.com/office/drawing/2014/main" id="{00000000-0008-0000-0800-0000F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7" name="Shape 5">
          <a:extLst>
            <a:ext uri="{FF2B5EF4-FFF2-40B4-BE49-F238E27FC236}">
              <a16:creationId xmlns:a16="http://schemas.microsoft.com/office/drawing/2014/main" id="{00000000-0008-0000-0800-0000F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8" name="Shape 5">
          <a:extLst>
            <a:ext uri="{FF2B5EF4-FFF2-40B4-BE49-F238E27FC236}">
              <a16:creationId xmlns:a16="http://schemas.microsoft.com/office/drawing/2014/main" id="{00000000-0008-0000-0800-0000F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89" name="Shape 6">
          <a:extLst>
            <a:ext uri="{FF2B5EF4-FFF2-40B4-BE49-F238E27FC236}">
              <a16:creationId xmlns:a16="http://schemas.microsoft.com/office/drawing/2014/main" id="{00000000-0008-0000-0800-0000F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0" name="Shape 6">
          <a:extLst>
            <a:ext uri="{FF2B5EF4-FFF2-40B4-BE49-F238E27FC236}">
              <a16:creationId xmlns:a16="http://schemas.microsoft.com/office/drawing/2014/main" id="{00000000-0008-0000-0800-0000F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1" name="Shape 6">
          <a:extLst>
            <a:ext uri="{FF2B5EF4-FFF2-40B4-BE49-F238E27FC236}">
              <a16:creationId xmlns:a16="http://schemas.microsoft.com/office/drawing/2014/main" id="{00000000-0008-0000-0800-0000F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2" name="Shape 6">
          <a:extLst>
            <a:ext uri="{FF2B5EF4-FFF2-40B4-BE49-F238E27FC236}">
              <a16:creationId xmlns:a16="http://schemas.microsoft.com/office/drawing/2014/main" id="{00000000-0008-0000-0800-00000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3" name="Shape 5">
          <a:extLst>
            <a:ext uri="{FF2B5EF4-FFF2-40B4-BE49-F238E27FC236}">
              <a16:creationId xmlns:a16="http://schemas.microsoft.com/office/drawing/2014/main" id="{00000000-0008-0000-0800-00000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4" name="Shape 5">
          <a:extLst>
            <a:ext uri="{FF2B5EF4-FFF2-40B4-BE49-F238E27FC236}">
              <a16:creationId xmlns:a16="http://schemas.microsoft.com/office/drawing/2014/main" id="{00000000-0008-0000-0800-00000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5" name="Shape 5">
          <a:extLst>
            <a:ext uri="{FF2B5EF4-FFF2-40B4-BE49-F238E27FC236}">
              <a16:creationId xmlns:a16="http://schemas.microsoft.com/office/drawing/2014/main" id="{00000000-0008-0000-0800-00000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6" name="Shape 5">
          <a:extLst>
            <a:ext uri="{FF2B5EF4-FFF2-40B4-BE49-F238E27FC236}">
              <a16:creationId xmlns:a16="http://schemas.microsoft.com/office/drawing/2014/main" id="{00000000-0008-0000-0800-00000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7" name="Shape 5">
          <a:extLst>
            <a:ext uri="{FF2B5EF4-FFF2-40B4-BE49-F238E27FC236}">
              <a16:creationId xmlns:a16="http://schemas.microsoft.com/office/drawing/2014/main" id="{00000000-0008-0000-0800-00000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8" name="Shape 5">
          <a:extLst>
            <a:ext uri="{FF2B5EF4-FFF2-40B4-BE49-F238E27FC236}">
              <a16:creationId xmlns:a16="http://schemas.microsoft.com/office/drawing/2014/main" id="{00000000-0008-0000-0800-00000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9" name="Shape 5">
          <a:extLst>
            <a:ext uri="{FF2B5EF4-FFF2-40B4-BE49-F238E27FC236}">
              <a16:creationId xmlns:a16="http://schemas.microsoft.com/office/drawing/2014/main" id="{00000000-0008-0000-0800-00000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0" name="Shape 5">
          <a:extLst>
            <a:ext uri="{FF2B5EF4-FFF2-40B4-BE49-F238E27FC236}">
              <a16:creationId xmlns:a16="http://schemas.microsoft.com/office/drawing/2014/main" id="{00000000-0008-0000-0800-00000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1" name="Shape 5">
          <a:extLst>
            <a:ext uri="{FF2B5EF4-FFF2-40B4-BE49-F238E27FC236}">
              <a16:creationId xmlns:a16="http://schemas.microsoft.com/office/drawing/2014/main" id="{00000000-0008-0000-0800-00000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2" name="Shape 5">
          <a:extLst>
            <a:ext uri="{FF2B5EF4-FFF2-40B4-BE49-F238E27FC236}">
              <a16:creationId xmlns:a16="http://schemas.microsoft.com/office/drawing/2014/main" id="{00000000-0008-0000-0800-00000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3" name="Shape 5">
          <a:extLst>
            <a:ext uri="{FF2B5EF4-FFF2-40B4-BE49-F238E27FC236}">
              <a16:creationId xmlns:a16="http://schemas.microsoft.com/office/drawing/2014/main" id="{00000000-0008-0000-0800-00000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4" name="Shape 6">
          <a:extLst>
            <a:ext uri="{FF2B5EF4-FFF2-40B4-BE49-F238E27FC236}">
              <a16:creationId xmlns:a16="http://schemas.microsoft.com/office/drawing/2014/main" id="{00000000-0008-0000-0800-00000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5" name="Shape 6">
          <a:extLst>
            <a:ext uri="{FF2B5EF4-FFF2-40B4-BE49-F238E27FC236}">
              <a16:creationId xmlns:a16="http://schemas.microsoft.com/office/drawing/2014/main" id="{00000000-0008-0000-0800-00000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6" name="Shape 6">
          <a:extLst>
            <a:ext uri="{FF2B5EF4-FFF2-40B4-BE49-F238E27FC236}">
              <a16:creationId xmlns:a16="http://schemas.microsoft.com/office/drawing/2014/main" id="{00000000-0008-0000-0800-00000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7" name="Shape 6">
          <a:extLst>
            <a:ext uri="{FF2B5EF4-FFF2-40B4-BE49-F238E27FC236}">
              <a16:creationId xmlns:a16="http://schemas.microsoft.com/office/drawing/2014/main" id="{00000000-0008-0000-0800-00000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8" name="Shape 5">
          <a:extLst>
            <a:ext uri="{FF2B5EF4-FFF2-40B4-BE49-F238E27FC236}">
              <a16:creationId xmlns:a16="http://schemas.microsoft.com/office/drawing/2014/main" id="{00000000-0008-0000-0800-00001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9" name="Shape 5">
          <a:extLst>
            <a:ext uri="{FF2B5EF4-FFF2-40B4-BE49-F238E27FC236}">
              <a16:creationId xmlns:a16="http://schemas.microsoft.com/office/drawing/2014/main" id="{00000000-0008-0000-0800-00001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0" name="Shape 5">
          <a:extLst>
            <a:ext uri="{FF2B5EF4-FFF2-40B4-BE49-F238E27FC236}">
              <a16:creationId xmlns:a16="http://schemas.microsoft.com/office/drawing/2014/main" id="{00000000-0008-0000-0800-00001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1" name="Shape 5">
          <a:extLst>
            <a:ext uri="{FF2B5EF4-FFF2-40B4-BE49-F238E27FC236}">
              <a16:creationId xmlns:a16="http://schemas.microsoft.com/office/drawing/2014/main" id="{00000000-0008-0000-0800-00001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2" name="Shape 5">
          <a:extLst>
            <a:ext uri="{FF2B5EF4-FFF2-40B4-BE49-F238E27FC236}">
              <a16:creationId xmlns:a16="http://schemas.microsoft.com/office/drawing/2014/main" id="{00000000-0008-0000-0800-00001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3" name="Shape 5">
          <a:extLst>
            <a:ext uri="{FF2B5EF4-FFF2-40B4-BE49-F238E27FC236}">
              <a16:creationId xmlns:a16="http://schemas.microsoft.com/office/drawing/2014/main" id="{00000000-0008-0000-0800-00001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4" name="Shape 5">
          <a:extLst>
            <a:ext uri="{FF2B5EF4-FFF2-40B4-BE49-F238E27FC236}">
              <a16:creationId xmlns:a16="http://schemas.microsoft.com/office/drawing/2014/main" id="{00000000-0008-0000-0800-00001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5" name="Shape 11">
          <a:extLst>
            <a:ext uri="{FF2B5EF4-FFF2-40B4-BE49-F238E27FC236}">
              <a16:creationId xmlns:a16="http://schemas.microsoft.com/office/drawing/2014/main" id="{00000000-0008-0000-0800-00001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6" name="Shape 11">
          <a:extLst>
            <a:ext uri="{FF2B5EF4-FFF2-40B4-BE49-F238E27FC236}">
              <a16:creationId xmlns:a16="http://schemas.microsoft.com/office/drawing/2014/main" id="{00000000-0008-0000-0800-00001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7" name="Shape 11">
          <a:extLst>
            <a:ext uri="{FF2B5EF4-FFF2-40B4-BE49-F238E27FC236}">
              <a16:creationId xmlns:a16="http://schemas.microsoft.com/office/drawing/2014/main" id="{00000000-0008-0000-0800-00001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8" name="Shape 11">
          <a:extLst>
            <a:ext uri="{FF2B5EF4-FFF2-40B4-BE49-F238E27FC236}">
              <a16:creationId xmlns:a16="http://schemas.microsoft.com/office/drawing/2014/main" id="{00000000-0008-0000-0800-00001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19" name="Shape 12">
          <a:extLst>
            <a:ext uri="{FF2B5EF4-FFF2-40B4-BE49-F238E27FC236}">
              <a16:creationId xmlns:a16="http://schemas.microsoft.com/office/drawing/2014/main" id="{00000000-0008-0000-0800-00001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0" name="Shape 12">
          <a:extLst>
            <a:ext uri="{FF2B5EF4-FFF2-40B4-BE49-F238E27FC236}">
              <a16:creationId xmlns:a16="http://schemas.microsoft.com/office/drawing/2014/main" id="{00000000-0008-0000-0800-00001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1" name="Shape 12">
          <a:extLst>
            <a:ext uri="{FF2B5EF4-FFF2-40B4-BE49-F238E27FC236}">
              <a16:creationId xmlns:a16="http://schemas.microsoft.com/office/drawing/2014/main" id="{00000000-0008-0000-0800-00001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2" name="Shape 12">
          <a:extLst>
            <a:ext uri="{FF2B5EF4-FFF2-40B4-BE49-F238E27FC236}">
              <a16:creationId xmlns:a16="http://schemas.microsoft.com/office/drawing/2014/main" id="{00000000-0008-0000-0800-00001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3" name="Shape 11">
          <a:extLst>
            <a:ext uri="{FF2B5EF4-FFF2-40B4-BE49-F238E27FC236}">
              <a16:creationId xmlns:a16="http://schemas.microsoft.com/office/drawing/2014/main" id="{00000000-0008-0000-0800-00001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4" name="Shape 11">
          <a:extLst>
            <a:ext uri="{FF2B5EF4-FFF2-40B4-BE49-F238E27FC236}">
              <a16:creationId xmlns:a16="http://schemas.microsoft.com/office/drawing/2014/main" id="{00000000-0008-0000-0800-00002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5" name="Shape 11">
          <a:extLst>
            <a:ext uri="{FF2B5EF4-FFF2-40B4-BE49-F238E27FC236}">
              <a16:creationId xmlns:a16="http://schemas.microsoft.com/office/drawing/2014/main" id="{00000000-0008-0000-0800-00002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6" name="Shape 11">
          <a:extLst>
            <a:ext uri="{FF2B5EF4-FFF2-40B4-BE49-F238E27FC236}">
              <a16:creationId xmlns:a16="http://schemas.microsoft.com/office/drawing/2014/main" id="{00000000-0008-0000-0800-00002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7" name="Shape 11">
          <a:extLst>
            <a:ext uri="{FF2B5EF4-FFF2-40B4-BE49-F238E27FC236}">
              <a16:creationId xmlns:a16="http://schemas.microsoft.com/office/drawing/2014/main" id="{00000000-0008-0000-0800-00002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8" name="Shape 11">
          <a:extLst>
            <a:ext uri="{FF2B5EF4-FFF2-40B4-BE49-F238E27FC236}">
              <a16:creationId xmlns:a16="http://schemas.microsoft.com/office/drawing/2014/main" id="{00000000-0008-0000-0800-00002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9" name="Shape 11">
          <a:extLst>
            <a:ext uri="{FF2B5EF4-FFF2-40B4-BE49-F238E27FC236}">
              <a16:creationId xmlns:a16="http://schemas.microsoft.com/office/drawing/2014/main" id="{00000000-0008-0000-0800-00002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0" name="Shape 5">
          <a:extLst>
            <a:ext uri="{FF2B5EF4-FFF2-40B4-BE49-F238E27FC236}">
              <a16:creationId xmlns:a16="http://schemas.microsoft.com/office/drawing/2014/main" id="{00000000-0008-0000-0800-00002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1" name="Shape 5">
          <a:extLst>
            <a:ext uri="{FF2B5EF4-FFF2-40B4-BE49-F238E27FC236}">
              <a16:creationId xmlns:a16="http://schemas.microsoft.com/office/drawing/2014/main" id="{00000000-0008-0000-0800-00002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2" name="Shape 5">
          <a:extLst>
            <a:ext uri="{FF2B5EF4-FFF2-40B4-BE49-F238E27FC236}">
              <a16:creationId xmlns:a16="http://schemas.microsoft.com/office/drawing/2014/main" id="{00000000-0008-0000-0800-00002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3" name="Shape 5">
          <a:extLst>
            <a:ext uri="{FF2B5EF4-FFF2-40B4-BE49-F238E27FC236}">
              <a16:creationId xmlns:a16="http://schemas.microsoft.com/office/drawing/2014/main" id="{00000000-0008-0000-0800-00002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4" name="Shape 6">
          <a:extLst>
            <a:ext uri="{FF2B5EF4-FFF2-40B4-BE49-F238E27FC236}">
              <a16:creationId xmlns:a16="http://schemas.microsoft.com/office/drawing/2014/main" id="{00000000-0008-0000-0800-00002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5" name="Shape 6">
          <a:extLst>
            <a:ext uri="{FF2B5EF4-FFF2-40B4-BE49-F238E27FC236}">
              <a16:creationId xmlns:a16="http://schemas.microsoft.com/office/drawing/2014/main" id="{00000000-0008-0000-0800-00002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6" name="Shape 6">
          <a:extLst>
            <a:ext uri="{FF2B5EF4-FFF2-40B4-BE49-F238E27FC236}">
              <a16:creationId xmlns:a16="http://schemas.microsoft.com/office/drawing/2014/main" id="{00000000-0008-0000-0800-00002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7" name="Shape 6">
          <a:extLst>
            <a:ext uri="{FF2B5EF4-FFF2-40B4-BE49-F238E27FC236}">
              <a16:creationId xmlns:a16="http://schemas.microsoft.com/office/drawing/2014/main" id="{00000000-0008-0000-0800-00002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8" name="Shape 5">
          <a:extLst>
            <a:ext uri="{FF2B5EF4-FFF2-40B4-BE49-F238E27FC236}">
              <a16:creationId xmlns:a16="http://schemas.microsoft.com/office/drawing/2014/main" id="{00000000-0008-0000-0800-00002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9" name="Shape 5">
          <a:extLst>
            <a:ext uri="{FF2B5EF4-FFF2-40B4-BE49-F238E27FC236}">
              <a16:creationId xmlns:a16="http://schemas.microsoft.com/office/drawing/2014/main" id="{00000000-0008-0000-0800-00002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0" name="Shape 5">
          <a:extLst>
            <a:ext uri="{FF2B5EF4-FFF2-40B4-BE49-F238E27FC236}">
              <a16:creationId xmlns:a16="http://schemas.microsoft.com/office/drawing/2014/main" id="{00000000-0008-0000-0800-00003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1" name="Shape 5">
          <a:extLst>
            <a:ext uri="{FF2B5EF4-FFF2-40B4-BE49-F238E27FC236}">
              <a16:creationId xmlns:a16="http://schemas.microsoft.com/office/drawing/2014/main" id="{00000000-0008-0000-0800-00003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2" name="Shape 5">
          <a:extLst>
            <a:ext uri="{FF2B5EF4-FFF2-40B4-BE49-F238E27FC236}">
              <a16:creationId xmlns:a16="http://schemas.microsoft.com/office/drawing/2014/main" id="{00000000-0008-0000-0800-00003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3" name="Shape 5">
          <a:extLst>
            <a:ext uri="{FF2B5EF4-FFF2-40B4-BE49-F238E27FC236}">
              <a16:creationId xmlns:a16="http://schemas.microsoft.com/office/drawing/2014/main" id="{00000000-0008-0000-0800-00003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4" name="Shape 5">
          <a:extLst>
            <a:ext uri="{FF2B5EF4-FFF2-40B4-BE49-F238E27FC236}">
              <a16:creationId xmlns:a16="http://schemas.microsoft.com/office/drawing/2014/main" id="{00000000-0008-0000-0800-00003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5" name="Shape 11">
          <a:extLst>
            <a:ext uri="{FF2B5EF4-FFF2-40B4-BE49-F238E27FC236}">
              <a16:creationId xmlns:a16="http://schemas.microsoft.com/office/drawing/2014/main" id="{00000000-0008-0000-0800-00003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6" name="Shape 11">
          <a:extLst>
            <a:ext uri="{FF2B5EF4-FFF2-40B4-BE49-F238E27FC236}">
              <a16:creationId xmlns:a16="http://schemas.microsoft.com/office/drawing/2014/main" id="{00000000-0008-0000-0800-00003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7" name="Shape 11">
          <a:extLst>
            <a:ext uri="{FF2B5EF4-FFF2-40B4-BE49-F238E27FC236}">
              <a16:creationId xmlns:a16="http://schemas.microsoft.com/office/drawing/2014/main" id="{00000000-0008-0000-0800-00003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8" name="Shape 11">
          <a:extLst>
            <a:ext uri="{FF2B5EF4-FFF2-40B4-BE49-F238E27FC236}">
              <a16:creationId xmlns:a16="http://schemas.microsoft.com/office/drawing/2014/main" id="{00000000-0008-0000-0800-00003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49" name="Shape 12">
          <a:extLst>
            <a:ext uri="{FF2B5EF4-FFF2-40B4-BE49-F238E27FC236}">
              <a16:creationId xmlns:a16="http://schemas.microsoft.com/office/drawing/2014/main" id="{00000000-0008-0000-0800-00003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0" name="Shape 12">
          <a:extLst>
            <a:ext uri="{FF2B5EF4-FFF2-40B4-BE49-F238E27FC236}">
              <a16:creationId xmlns:a16="http://schemas.microsoft.com/office/drawing/2014/main" id="{00000000-0008-0000-0800-00003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1" name="Shape 12">
          <a:extLst>
            <a:ext uri="{FF2B5EF4-FFF2-40B4-BE49-F238E27FC236}">
              <a16:creationId xmlns:a16="http://schemas.microsoft.com/office/drawing/2014/main" id="{00000000-0008-0000-0800-00003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2" name="Shape 12">
          <a:extLst>
            <a:ext uri="{FF2B5EF4-FFF2-40B4-BE49-F238E27FC236}">
              <a16:creationId xmlns:a16="http://schemas.microsoft.com/office/drawing/2014/main" id="{00000000-0008-0000-0800-00003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3" name="Shape 11">
          <a:extLst>
            <a:ext uri="{FF2B5EF4-FFF2-40B4-BE49-F238E27FC236}">
              <a16:creationId xmlns:a16="http://schemas.microsoft.com/office/drawing/2014/main" id="{00000000-0008-0000-0800-00003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4" name="Shape 11">
          <a:extLst>
            <a:ext uri="{FF2B5EF4-FFF2-40B4-BE49-F238E27FC236}">
              <a16:creationId xmlns:a16="http://schemas.microsoft.com/office/drawing/2014/main" id="{00000000-0008-0000-0800-00003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5" name="Shape 11">
          <a:extLst>
            <a:ext uri="{FF2B5EF4-FFF2-40B4-BE49-F238E27FC236}">
              <a16:creationId xmlns:a16="http://schemas.microsoft.com/office/drawing/2014/main" id="{00000000-0008-0000-0800-00003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6" name="Shape 11">
          <a:extLst>
            <a:ext uri="{FF2B5EF4-FFF2-40B4-BE49-F238E27FC236}">
              <a16:creationId xmlns:a16="http://schemas.microsoft.com/office/drawing/2014/main" id="{00000000-0008-0000-0800-00004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7" name="Shape 11">
          <a:extLst>
            <a:ext uri="{FF2B5EF4-FFF2-40B4-BE49-F238E27FC236}">
              <a16:creationId xmlns:a16="http://schemas.microsoft.com/office/drawing/2014/main" id="{00000000-0008-0000-0800-00004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8" name="Shape 11">
          <a:extLst>
            <a:ext uri="{FF2B5EF4-FFF2-40B4-BE49-F238E27FC236}">
              <a16:creationId xmlns:a16="http://schemas.microsoft.com/office/drawing/2014/main" id="{00000000-0008-0000-0800-00004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9" name="Shape 11">
          <a:extLst>
            <a:ext uri="{FF2B5EF4-FFF2-40B4-BE49-F238E27FC236}">
              <a16:creationId xmlns:a16="http://schemas.microsoft.com/office/drawing/2014/main" id="{00000000-0008-0000-0800-00004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0" name="Shape 5">
          <a:extLst>
            <a:ext uri="{FF2B5EF4-FFF2-40B4-BE49-F238E27FC236}">
              <a16:creationId xmlns:a16="http://schemas.microsoft.com/office/drawing/2014/main" id="{00000000-0008-0000-0800-00004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1" name="Shape 5">
          <a:extLst>
            <a:ext uri="{FF2B5EF4-FFF2-40B4-BE49-F238E27FC236}">
              <a16:creationId xmlns:a16="http://schemas.microsoft.com/office/drawing/2014/main" id="{00000000-0008-0000-0800-00004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2" name="Shape 5">
          <a:extLst>
            <a:ext uri="{FF2B5EF4-FFF2-40B4-BE49-F238E27FC236}">
              <a16:creationId xmlns:a16="http://schemas.microsoft.com/office/drawing/2014/main" id="{00000000-0008-0000-0800-00004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3" name="Shape 5">
          <a:extLst>
            <a:ext uri="{FF2B5EF4-FFF2-40B4-BE49-F238E27FC236}">
              <a16:creationId xmlns:a16="http://schemas.microsoft.com/office/drawing/2014/main" id="{00000000-0008-0000-0800-00004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4" name="Shape 6">
          <a:extLst>
            <a:ext uri="{FF2B5EF4-FFF2-40B4-BE49-F238E27FC236}">
              <a16:creationId xmlns:a16="http://schemas.microsoft.com/office/drawing/2014/main" id="{00000000-0008-0000-0800-00004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5" name="Shape 6">
          <a:extLst>
            <a:ext uri="{FF2B5EF4-FFF2-40B4-BE49-F238E27FC236}">
              <a16:creationId xmlns:a16="http://schemas.microsoft.com/office/drawing/2014/main" id="{00000000-0008-0000-0800-00004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6" name="Shape 6">
          <a:extLst>
            <a:ext uri="{FF2B5EF4-FFF2-40B4-BE49-F238E27FC236}">
              <a16:creationId xmlns:a16="http://schemas.microsoft.com/office/drawing/2014/main" id="{00000000-0008-0000-0800-00004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7" name="Shape 6">
          <a:extLst>
            <a:ext uri="{FF2B5EF4-FFF2-40B4-BE49-F238E27FC236}">
              <a16:creationId xmlns:a16="http://schemas.microsoft.com/office/drawing/2014/main" id="{00000000-0008-0000-0800-00004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8" name="Shape 5">
          <a:extLst>
            <a:ext uri="{FF2B5EF4-FFF2-40B4-BE49-F238E27FC236}">
              <a16:creationId xmlns:a16="http://schemas.microsoft.com/office/drawing/2014/main" id="{00000000-0008-0000-0800-00004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9" name="Shape 5">
          <a:extLst>
            <a:ext uri="{FF2B5EF4-FFF2-40B4-BE49-F238E27FC236}">
              <a16:creationId xmlns:a16="http://schemas.microsoft.com/office/drawing/2014/main" id="{00000000-0008-0000-0800-00004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0" name="Shape 5">
          <a:extLst>
            <a:ext uri="{FF2B5EF4-FFF2-40B4-BE49-F238E27FC236}">
              <a16:creationId xmlns:a16="http://schemas.microsoft.com/office/drawing/2014/main" id="{00000000-0008-0000-0800-00004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1" name="Shape 5">
          <a:extLst>
            <a:ext uri="{FF2B5EF4-FFF2-40B4-BE49-F238E27FC236}">
              <a16:creationId xmlns:a16="http://schemas.microsoft.com/office/drawing/2014/main" id="{00000000-0008-0000-0800-00004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2" name="Shape 5">
          <a:extLst>
            <a:ext uri="{FF2B5EF4-FFF2-40B4-BE49-F238E27FC236}">
              <a16:creationId xmlns:a16="http://schemas.microsoft.com/office/drawing/2014/main" id="{00000000-0008-0000-0800-00005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3" name="Shape 5">
          <a:extLst>
            <a:ext uri="{FF2B5EF4-FFF2-40B4-BE49-F238E27FC236}">
              <a16:creationId xmlns:a16="http://schemas.microsoft.com/office/drawing/2014/main" id="{00000000-0008-0000-0800-00005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4" name="Shape 5">
          <a:extLst>
            <a:ext uri="{FF2B5EF4-FFF2-40B4-BE49-F238E27FC236}">
              <a16:creationId xmlns:a16="http://schemas.microsoft.com/office/drawing/2014/main" id="{00000000-0008-0000-0800-00005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5" name="Shape 11">
          <a:extLst>
            <a:ext uri="{FF2B5EF4-FFF2-40B4-BE49-F238E27FC236}">
              <a16:creationId xmlns:a16="http://schemas.microsoft.com/office/drawing/2014/main" id="{00000000-0008-0000-0800-00005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6" name="Shape 11">
          <a:extLst>
            <a:ext uri="{FF2B5EF4-FFF2-40B4-BE49-F238E27FC236}">
              <a16:creationId xmlns:a16="http://schemas.microsoft.com/office/drawing/2014/main" id="{00000000-0008-0000-0800-00005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7" name="Shape 11">
          <a:extLst>
            <a:ext uri="{FF2B5EF4-FFF2-40B4-BE49-F238E27FC236}">
              <a16:creationId xmlns:a16="http://schemas.microsoft.com/office/drawing/2014/main" id="{00000000-0008-0000-0800-00005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8" name="Shape 11">
          <a:extLst>
            <a:ext uri="{FF2B5EF4-FFF2-40B4-BE49-F238E27FC236}">
              <a16:creationId xmlns:a16="http://schemas.microsoft.com/office/drawing/2014/main" id="{00000000-0008-0000-0800-00005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79" name="Shape 12">
          <a:extLst>
            <a:ext uri="{FF2B5EF4-FFF2-40B4-BE49-F238E27FC236}">
              <a16:creationId xmlns:a16="http://schemas.microsoft.com/office/drawing/2014/main" id="{00000000-0008-0000-0800-00005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0" name="Shape 12">
          <a:extLst>
            <a:ext uri="{FF2B5EF4-FFF2-40B4-BE49-F238E27FC236}">
              <a16:creationId xmlns:a16="http://schemas.microsoft.com/office/drawing/2014/main" id="{00000000-0008-0000-0800-00005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1" name="Shape 12">
          <a:extLst>
            <a:ext uri="{FF2B5EF4-FFF2-40B4-BE49-F238E27FC236}">
              <a16:creationId xmlns:a16="http://schemas.microsoft.com/office/drawing/2014/main" id="{00000000-0008-0000-0800-00005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2" name="Shape 12">
          <a:extLst>
            <a:ext uri="{FF2B5EF4-FFF2-40B4-BE49-F238E27FC236}">
              <a16:creationId xmlns:a16="http://schemas.microsoft.com/office/drawing/2014/main" id="{00000000-0008-0000-0800-00005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3" name="Shape 11">
          <a:extLst>
            <a:ext uri="{FF2B5EF4-FFF2-40B4-BE49-F238E27FC236}">
              <a16:creationId xmlns:a16="http://schemas.microsoft.com/office/drawing/2014/main" id="{00000000-0008-0000-0800-00005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4" name="Shape 11">
          <a:extLst>
            <a:ext uri="{FF2B5EF4-FFF2-40B4-BE49-F238E27FC236}">
              <a16:creationId xmlns:a16="http://schemas.microsoft.com/office/drawing/2014/main" id="{00000000-0008-0000-0800-00005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5" name="Shape 11">
          <a:extLst>
            <a:ext uri="{FF2B5EF4-FFF2-40B4-BE49-F238E27FC236}">
              <a16:creationId xmlns:a16="http://schemas.microsoft.com/office/drawing/2014/main" id="{00000000-0008-0000-0800-00005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6" name="Shape 11">
          <a:extLst>
            <a:ext uri="{FF2B5EF4-FFF2-40B4-BE49-F238E27FC236}">
              <a16:creationId xmlns:a16="http://schemas.microsoft.com/office/drawing/2014/main" id="{00000000-0008-0000-0800-00005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7" name="Shape 11">
          <a:extLst>
            <a:ext uri="{FF2B5EF4-FFF2-40B4-BE49-F238E27FC236}">
              <a16:creationId xmlns:a16="http://schemas.microsoft.com/office/drawing/2014/main" id="{00000000-0008-0000-0800-00005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8" name="Shape 11">
          <a:extLst>
            <a:ext uri="{FF2B5EF4-FFF2-40B4-BE49-F238E27FC236}">
              <a16:creationId xmlns:a16="http://schemas.microsoft.com/office/drawing/2014/main" id="{00000000-0008-0000-0800-00006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9" name="Shape 11">
          <a:extLst>
            <a:ext uri="{FF2B5EF4-FFF2-40B4-BE49-F238E27FC236}">
              <a16:creationId xmlns:a16="http://schemas.microsoft.com/office/drawing/2014/main" id="{00000000-0008-0000-0800-00006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0" name="Shape 5">
          <a:extLst>
            <a:ext uri="{FF2B5EF4-FFF2-40B4-BE49-F238E27FC236}">
              <a16:creationId xmlns:a16="http://schemas.microsoft.com/office/drawing/2014/main" id="{00000000-0008-0000-0800-00006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1" name="Shape 5">
          <a:extLst>
            <a:ext uri="{FF2B5EF4-FFF2-40B4-BE49-F238E27FC236}">
              <a16:creationId xmlns:a16="http://schemas.microsoft.com/office/drawing/2014/main" id="{00000000-0008-0000-0800-00006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2" name="Shape 5">
          <a:extLst>
            <a:ext uri="{FF2B5EF4-FFF2-40B4-BE49-F238E27FC236}">
              <a16:creationId xmlns:a16="http://schemas.microsoft.com/office/drawing/2014/main" id="{00000000-0008-0000-0800-00006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3" name="Shape 5">
          <a:extLst>
            <a:ext uri="{FF2B5EF4-FFF2-40B4-BE49-F238E27FC236}">
              <a16:creationId xmlns:a16="http://schemas.microsoft.com/office/drawing/2014/main" id="{00000000-0008-0000-0800-00006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4" name="Shape 6">
          <a:extLst>
            <a:ext uri="{FF2B5EF4-FFF2-40B4-BE49-F238E27FC236}">
              <a16:creationId xmlns:a16="http://schemas.microsoft.com/office/drawing/2014/main" id="{00000000-0008-0000-0800-00006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5" name="Shape 6">
          <a:extLst>
            <a:ext uri="{FF2B5EF4-FFF2-40B4-BE49-F238E27FC236}">
              <a16:creationId xmlns:a16="http://schemas.microsoft.com/office/drawing/2014/main" id="{00000000-0008-0000-0800-00006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6" name="Shape 6">
          <a:extLst>
            <a:ext uri="{FF2B5EF4-FFF2-40B4-BE49-F238E27FC236}">
              <a16:creationId xmlns:a16="http://schemas.microsoft.com/office/drawing/2014/main" id="{00000000-0008-0000-0800-00006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7" name="Shape 6">
          <a:extLst>
            <a:ext uri="{FF2B5EF4-FFF2-40B4-BE49-F238E27FC236}">
              <a16:creationId xmlns:a16="http://schemas.microsoft.com/office/drawing/2014/main" id="{00000000-0008-0000-0800-00006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8" name="Shape 5">
          <a:extLst>
            <a:ext uri="{FF2B5EF4-FFF2-40B4-BE49-F238E27FC236}">
              <a16:creationId xmlns:a16="http://schemas.microsoft.com/office/drawing/2014/main" id="{00000000-0008-0000-0800-00006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9" name="Shape 5">
          <a:extLst>
            <a:ext uri="{FF2B5EF4-FFF2-40B4-BE49-F238E27FC236}">
              <a16:creationId xmlns:a16="http://schemas.microsoft.com/office/drawing/2014/main" id="{00000000-0008-0000-0800-00006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0" name="Shape 5">
          <a:extLst>
            <a:ext uri="{FF2B5EF4-FFF2-40B4-BE49-F238E27FC236}">
              <a16:creationId xmlns:a16="http://schemas.microsoft.com/office/drawing/2014/main" id="{00000000-0008-0000-0800-00006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1" name="Shape 5">
          <a:extLst>
            <a:ext uri="{FF2B5EF4-FFF2-40B4-BE49-F238E27FC236}">
              <a16:creationId xmlns:a16="http://schemas.microsoft.com/office/drawing/2014/main" id="{00000000-0008-0000-0800-00006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2" name="Shape 5">
          <a:extLst>
            <a:ext uri="{FF2B5EF4-FFF2-40B4-BE49-F238E27FC236}">
              <a16:creationId xmlns:a16="http://schemas.microsoft.com/office/drawing/2014/main" id="{00000000-0008-0000-0800-00006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3" name="Shape 5">
          <a:extLst>
            <a:ext uri="{FF2B5EF4-FFF2-40B4-BE49-F238E27FC236}">
              <a16:creationId xmlns:a16="http://schemas.microsoft.com/office/drawing/2014/main" id="{00000000-0008-0000-0800-00006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4" name="Shape 5">
          <a:extLst>
            <a:ext uri="{FF2B5EF4-FFF2-40B4-BE49-F238E27FC236}">
              <a16:creationId xmlns:a16="http://schemas.microsoft.com/office/drawing/2014/main" id="{00000000-0008-0000-0800-00007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5" name="Shape 11">
          <a:extLst>
            <a:ext uri="{FF2B5EF4-FFF2-40B4-BE49-F238E27FC236}">
              <a16:creationId xmlns:a16="http://schemas.microsoft.com/office/drawing/2014/main" id="{00000000-0008-0000-0800-00007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6" name="Shape 11">
          <a:extLst>
            <a:ext uri="{FF2B5EF4-FFF2-40B4-BE49-F238E27FC236}">
              <a16:creationId xmlns:a16="http://schemas.microsoft.com/office/drawing/2014/main" id="{00000000-0008-0000-0800-00007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7" name="Shape 11">
          <a:extLst>
            <a:ext uri="{FF2B5EF4-FFF2-40B4-BE49-F238E27FC236}">
              <a16:creationId xmlns:a16="http://schemas.microsoft.com/office/drawing/2014/main" id="{00000000-0008-0000-0800-00007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8" name="Shape 11">
          <a:extLst>
            <a:ext uri="{FF2B5EF4-FFF2-40B4-BE49-F238E27FC236}">
              <a16:creationId xmlns:a16="http://schemas.microsoft.com/office/drawing/2014/main" id="{00000000-0008-0000-0800-00007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09" name="Shape 12">
          <a:extLst>
            <a:ext uri="{FF2B5EF4-FFF2-40B4-BE49-F238E27FC236}">
              <a16:creationId xmlns:a16="http://schemas.microsoft.com/office/drawing/2014/main" id="{00000000-0008-0000-0800-00007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0" name="Shape 12">
          <a:extLst>
            <a:ext uri="{FF2B5EF4-FFF2-40B4-BE49-F238E27FC236}">
              <a16:creationId xmlns:a16="http://schemas.microsoft.com/office/drawing/2014/main" id="{00000000-0008-0000-0800-00007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1" name="Shape 12">
          <a:extLst>
            <a:ext uri="{FF2B5EF4-FFF2-40B4-BE49-F238E27FC236}">
              <a16:creationId xmlns:a16="http://schemas.microsoft.com/office/drawing/2014/main" id="{00000000-0008-0000-0800-00007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2" name="Shape 12">
          <a:extLst>
            <a:ext uri="{FF2B5EF4-FFF2-40B4-BE49-F238E27FC236}">
              <a16:creationId xmlns:a16="http://schemas.microsoft.com/office/drawing/2014/main" id="{00000000-0008-0000-0800-00007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3" name="Shape 11">
          <a:extLst>
            <a:ext uri="{FF2B5EF4-FFF2-40B4-BE49-F238E27FC236}">
              <a16:creationId xmlns:a16="http://schemas.microsoft.com/office/drawing/2014/main" id="{00000000-0008-0000-0800-00007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4" name="Shape 11">
          <a:extLst>
            <a:ext uri="{FF2B5EF4-FFF2-40B4-BE49-F238E27FC236}">
              <a16:creationId xmlns:a16="http://schemas.microsoft.com/office/drawing/2014/main" id="{00000000-0008-0000-0800-00007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5" name="Shape 11">
          <a:extLst>
            <a:ext uri="{FF2B5EF4-FFF2-40B4-BE49-F238E27FC236}">
              <a16:creationId xmlns:a16="http://schemas.microsoft.com/office/drawing/2014/main" id="{00000000-0008-0000-0800-00007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6" name="Shape 11">
          <a:extLst>
            <a:ext uri="{FF2B5EF4-FFF2-40B4-BE49-F238E27FC236}">
              <a16:creationId xmlns:a16="http://schemas.microsoft.com/office/drawing/2014/main" id="{00000000-0008-0000-0800-00007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7" name="Shape 11">
          <a:extLst>
            <a:ext uri="{FF2B5EF4-FFF2-40B4-BE49-F238E27FC236}">
              <a16:creationId xmlns:a16="http://schemas.microsoft.com/office/drawing/2014/main" id="{00000000-0008-0000-0800-00007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8" name="Shape 11">
          <a:extLst>
            <a:ext uri="{FF2B5EF4-FFF2-40B4-BE49-F238E27FC236}">
              <a16:creationId xmlns:a16="http://schemas.microsoft.com/office/drawing/2014/main" id="{00000000-0008-0000-0800-00007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9" name="Shape 11">
          <a:extLst>
            <a:ext uri="{FF2B5EF4-FFF2-40B4-BE49-F238E27FC236}">
              <a16:creationId xmlns:a16="http://schemas.microsoft.com/office/drawing/2014/main" id="{00000000-0008-0000-0800-00007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0" name="Shape 5">
          <a:extLst>
            <a:ext uri="{FF2B5EF4-FFF2-40B4-BE49-F238E27FC236}">
              <a16:creationId xmlns:a16="http://schemas.microsoft.com/office/drawing/2014/main" id="{00000000-0008-0000-0800-00008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1" name="Shape 5">
          <a:extLst>
            <a:ext uri="{FF2B5EF4-FFF2-40B4-BE49-F238E27FC236}">
              <a16:creationId xmlns:a16="http://schemas.microsoft.com/office/drawing/2014/main" id="{00000000-0008-0000-0800-00008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2" name="Shape 5">
          <a:extLst>
            <a:ext uri="{FF2B5EF4-FFF2-40B4-BE49-F238E27FC236}">
              <a16:creationId xmlns:a16="http://schemas.microsoft.com/office/drawing/2014/main" id="{00000000-0008-0000-0800-00008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3" name="Shape 5">
          <a:extLst>
            <a:ext uri="{FF2B5EF4-FFF2-40B4-BE49-F238E27FC236}">
              <a16:creationId xmlns:a16="http://schemas.microsoft.com/office/drawing/2014/main" id="{00000000-0008-0000-0800-00008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4" name="Shape 6">
          <a:extLst>
            <a:ext uri="{FF2B5EF4-FFF2-40B4-BE49-F238E27FC236}">
              <a16:creationId xmlns:a16="http://schemas.microsoft.com/office/drawing/2014/main" id="{00000000-0008-0000-0800-00008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5" name="Shape 6">
          <a:extLst>
            <a:ext uri="{FF2B5EF4-FFF2-40B4-BE49-F238E27FC236}">
              <a16:creationId xmlns:a16="http://schemas.microsoft.com/office/drawing/2014/main" id="{00000000-0008-0000-0800-00008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6" name="Shape 6">
          <a:extLst>
            <a:ext uri="{FF2B5EF4-FFF2-40B4-BE49-F238E27FC236}">
              <a16:creationId xmlns:a16="http://schemas.microsoft.com/office/drawing/2014/main" id="{00000000-0008-0000-0800-00008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7" name="Shape 6">
          <a:extLst>
            <a:ext uri="{FF2B5EF4-FFF2-40B4-BE49-F238E27FC236}">
              <a16:creationId xmlns:a16="http://schemas.microsoft.com/office/drawing/2014/main" id="{00000000-0008-0000-0800-00008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8" name="Shape 5">
          <a:extLst>
            <a:ext uri="{FF2B5EF4-FFF2-40B4-BE49-F238E27FC236}">
              <a16:creationId xmlns:a16="http://schemas.microsoft.com/office/drawing/2014/main" id="{00000000-0008-0000-0800-00008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9" name="Shape 5">
          <a:extLst>
            <a:ext uri="{FF2B5EF4-FFF2-40B4-BE49-F238E27FC236}">
              <a16:creationId xmlns:a16="http://schemas.microsoft.com/office/drawing/2014/main" id="{00000000-0008-0000-0800-00008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0" name="Shape 5">
          <a:extLst>
            <a:ext uri="{FF2B5EF4-FFF2-40B4-BE49-F238E27FC236}">
              <a16:creationId xmlns:a16="http://schemas.microsoft.com/office/drawing/2014/main" id="{00000000-0008-0000-0800-00008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1" name="Shape 5">
          <a:extLst>
            <a:ext uri="{FF2B5EF4-FFF2-40B4-BE49-F238E27FC236}">
              <a16:creationId xmlns:a16="http://schemas.microsoft.com/office/drawing/2014/main" id="{00000000-0008-0000-0800-00008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2" name="Shape 5">
          <a:extLst>
            <a:ext uri="{FF2B5EF4-FFF2-40B4-BE49-F238E27FC236}">
              <a16:creationId xmlns:a16="http://schemas.microsoft.com/office/drawing/2014/main" id="{00000000-0008-0000-0800-00008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3" name="Shape 5">
          <a:extLst>
            <a:ext uri="{FF2B5EF4-FFF2-40B4-BE49-F238E27FC236}">
              <a16:creationId xmlns:a16="http://schemas.microsoft.com/office/drawing/2014/main" id="{00000000-0008-0000-0800-00008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4" name="Shape 5">
          <a:extLst>
            <a:ext uri="{FF2B5EF4-FFF2-40B4-BE49-F238E27FC236}">
              <a16:creationId xmlns:a16="http://schemas.microsoft.com/office/drawing/2014/main" id="{00000000-0008-0000-0800-00008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5" name="Shape 11">
          <a:extLst>
            <a:ext uri="{FF2B5EF4-FFF2-40B4-BE49-F238E27FC236}">
              <a16:creationId xmlns:a16="http://schemas.microsoft.com/office/drawing/2014/main" id="{00000000-0008-0000-0800-00008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6" name="Shape 11">
          <a:extLst>
            <a:ext uri="{FF2B5EF4-FFF2-40B4-BE49-F238E27FC236}">
              <a16:creationId xmlns:a16="http://schemas.microsoft.com/office/drawing/2014/main" id="{00000000-0008-0000-0800-00009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7" name="Shape 11">
          <a:extLst>
            <a:ext uri="{FF2B5EF4-FFF2-40B4-BE49-F238E27FC236}">
              <a16:creationId xmlns:a16="http://schemas.microsoft.com/office/drawing/2014/main" id="{00000000-0008-0000-0800-00009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8" name="Shape 11">
          <a:extLst>
            <a:ext uri="{FF2B5EF4-FFF2-40B4-BE49-F238E27FC236}">
              <a16:creationId xmlns:a16="http://schemas.microsoft.com/office/drawing/2014/main" id="{00000000-0008-0000-0800-00009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39" name="Shape 12">
          <a:extLst>
            <a:ext uri="{FF2B5EF4-FFF2-40B4-BE49-F238E27FC236}">
              <a16:creationId xmlns:a16="http://schemas.microsoft.com/office/drawing/2014/main" id="{00000000-0008-0000-0800-00009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0" name="Shape 12">
          <a:extLst>
            <a:ext uri="{FF2B5EF4-FFF2-40B4-BE49-F238E27FC236}">
              <a16:creationId xmlns:a16="http://schemas.microsoft.com/office/drawing/2014/main" id="{00000000-0008-0000-0800-00009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1" name="Shape 12">
          <a:extLst>
            <a:ext uri="{FF2B5EF4-FFF2-40B4-BE49-F238E27FC236}">
              <a16:creationId xmlns:a16="http://schemas.microsoft.com/office/drawing/2014/main" id="{00000000-0008-0000-0800-00009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2" name="Shape 12">
          <a:extLst>
            <a:ext uri="{FF2B5EF4-FFF2-40B4-BE49-F238E27FC236}">
              <a16:creationId xmlns:a16="http://schemas.microsoft.com/office/drawing/2014/main" id="{00000000-0008-0000-0800-00009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3" name="Shape 11">
          <a:extLst>
            <a:ext uri="{FF2B5EF4-FFF2-40B4-BE49-F238E27FC236}">
              <a16:creationId xmlns:a16="http://schemas.microsoft.com/office/drawing/2014/main" id="{00000000-0008-0000-0800-00009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4" name="Shape 11">
          <a:extLst>
            <a:ext uri="{FF2B5EF4-FFF2-40B4-BE49-F238E27FC236}">
              <a16:creationId xmlns:a16="http://schemas.microsoft.com/office/drawing/2014/main" id="{00000000-0008-0000-0800-00009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5" name="Shape 11">
          <a:extLst>
            <a:ext uri="{FF2B5EF4-FFF2-40B4-BE49-F238E27FC236}">
              <a16:creationId xmlns:a16="http://schemas.microsoft.com/office/drawing/2014/main" id="{00000000-0008-0000-0800-00009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6" name="Shape 11">
          <a:extLst>
            <a:ext uri="{FF2B5EF4-FFF2-40B4-BE49-F238E27FC236}">
              <a16:creationId xmlns:a16="http://schemas.microsoft.com/office/drawing/2014/main" id="{00000000-0008-0000-0800-00009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7" name="Shape 11">
          <a:extLst>
            <a:ext uri="{FF2B5EF4-FFF2-40B4-BE49-F238E27FC236}">
              <a16:creationId xmlns:a16="http://schemas.microsoft.com/office/drawing/2014/main" id="{00000000-0008-0000-0800-00009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8" name="Shape 11">
          <a:extLst>
            <a:ext uri="{FF2B5EF4-FFF2-40B4-BE49-F238E27FC236}">
              <a16:creationId xmlns:a16="http://schemas.microsoft.com/office/drawing/2014/main" id="{00000000-0008-0000-0800-00009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9" name="Shape 11">
          <a:extLst>
            <a:ext uri="{FF2B5EF4-FFF2-40B4-BE49-F238E27FC236}">
              <a16:creationId xmlns:a16="http://schemas.microsoft.com/office/drawing/2014/main" id="{00000000-0008-0000-0800-00009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0" name="Shape 5">
          <a:extLst>
            <a:ext uri="{FF2B5EF4-FFF2-40B4-BE49-F238E27FC236}">
              <a16:creationId xmlns:a16="http://schemas.microsoft.com/office/drawing/2014/main" id="{00000000-0008-0000-0800-00009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1" name="Shape 5">
          <a:extLst>
            <a:ext uri="{FF2B5EF4-FFF2-40B4-BE49-F238E27FC236}">
              <a16:creationId xmlns:a16="http://schemas.microsoft.com/office/drawing/2014/main" id="{00000000-0008-0000-0800-00009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2" name="Shape 5">
          <a:extLst>
            <a:ext uri="{FF2B5EF4-FFF2-40B4-BE49-F238E27FC236}">
              <a16:creationId xmlns:a16="http://schemas.microsoft.com/office/drawing/2014/main" id="{00000000-0008-0000-0800-0000A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3" name="Shape 5">
          <a:extLst>
            <a:ext uri="{FF2B5EF4-FFF2-40B4-BE49-F238E27FC236}">
              <a16:creationId xmlns:a16="http://schemas.microsoft.com/office/drawing/2014/main" id="{00000000-0008-0000-0800-0000A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4" name="Shape 6">
          <a:extLst>
            <a:ext uri="{FF2B5EF4-FFF2-40B4-BE49-F238E27FC236}">
              <a16:creationId xmlns:a16="http://schemas.microsoft.com/office/drawing/2014/main" id="{00000000-0008-0000-0800-0000A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5" name="Shape 6">
          <a:extLst>
            <a:ext uri="{FF2B5EF4-FFF2-40B4-BE49-F238E27FC236}">
              <a16:creationId xmlns:a16="http://schemas.microsoft.com/office/drawing/2014/main" id="{00000000-0008-0000-0800-0000A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6" name="Shape 6">
          <a:extLst>
            <a:ext uri="{FF2B5EF4-FFF2-40B4-BE49-F238E27FC236}">
              <a16:creationId xmlns:a16="http://schemas.microsoft.com/office/drawing/2014/main" id="{00000000-0008-0000-0800-0000A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7" name="Shape 6">
          <a:extLst>
            <a:ext uri="{FF2B5EF4-FFF2-40B4-BE49-F238E27FC236}">
              <a16:creationId xmlns:a16="http://schemas.microsoft.com/office/drawing/2014/main" id="{00000000-0008-0000-0800-0000A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8" name="Shape 5">
          <a:extLst>
            <a:ext uri="{FF2B5EF4-FFF2-40B4-BE49-F238E27FC236}">
              <a16:creationId xmlns:a16="http://schemas.microsoft.com/office/drawing/2014/main" id="{00000000-0008-0000-0800-0000A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9" name="Shape 5">
          <a:extLst>
            <a:ext uri="{FF2B5EF4-FFF2-40B4-BE49-F238E27FC236}">
              <a16:creationId xmlns:a16="http://schemas.microsoft.com/office/drawing/2014/main" id="{00000000-0008-0000-0800-0000A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0" name="Shape 5">
          <a:extLst>
            <a:ext uri="{FF2B5EF4-FFF2-40B4-BE49-F238E27FC236}">
              <a16:creationId xmlns:a16="http://schemas.microsoft.com/office/drawing/2014/main" id="{00000000-0008-0000-0800-0000A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1" name="Shape 5">
          <a:extLst>
            <a:ext uri="{FF2B5EF4-FFF2-40B4-BE49-F238E27FC236}">
              <a16:creationId xmlns:a16="http://schemas.microsoft.com/office/drawing/2014/main" id="{00000000-0008-0000-0800-0000A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2" name="Shape 5">
          <a:extLst>
            <a:ext uri="{FF2B5EF4-FFF2-40B4-BE49-F238E27FC236}">
              <a16:creationId xmlns:a16="http://schemas.microsoft.com/office/drawing/2014/main" id="{00000000-0008-0000-0800-0000A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3" name="Shape 5">
          <a:extLst>
            <a:ext uri="{FF2B5EF4-FFF2-40B4-BE49-F238E27FC236}">
              <a16:creationId xmlns:a16="http://schemas.microsoft.com/office/drawing/2014/main" id="{00000000-0008-0000-0800-0000A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4" name="Shape 5">
          <a:extLst>
            <a:ext uri="{FF2B5EF4-FFF2-40B4-BE49-F238E27FC236}">
              <a16:creationId xmlns:a16="http://schemas.microsoft.com/office/drawing/2014/main" id="{00000000-0008-0000-0800-0000A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5" name="Shape 11">
          <a:extLst>
            <a:ext uri="{FF2B5EF4-FFF2-40B4-BE49-F238E27FC236}">
              <a16:creationId xmlns:a16="http://schemas.microsoft.com/office/drawing/2014/main" id="{00000000-0008-0000-0800-0000A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6" name="Shape 11">
          <a:extLst>
            <a:ext uri="{FF2B5EF4-FFF2-40B4-BE49-F238E27FC236}">
              <a16:creationId xmlns:a16="http://schemas.microsoft.com/office/drawing/2014/main" id="{00000000-0008-0000-0800-0000A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7" name="Shape 11">
          <a:extLst>
            <a:ext uri="{FF2B5EF4-FFF2-40B4-BE49-F238E27FC236}">
              <a16:creationId xmlns:a16="http://schemas.microsoft.com/office/drawing/2014/main" id="{00000000-0008-0000-0800-0000A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8" name="Shape 11">
          <a:extLst>
            <a:ext uri="{FF2B5EF4-FFF2-40B4-BE49-F238E27FC236}">
              <a16:creationId xmlns:a16="http://schemas.microsoft.com/office/drawing/2014/main" id="{00000000-0008-0000-0800-0000B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69" name="Shape 12">
          <a:extLst>
            <a:ext uri="{FF2B5EF4-FFF2-40B4-BE49-F238E27FC236}">
              <a16:creationId xmlns:a16="http://schemas.microsoft.com/office/drawing/2014/main" id="{00000000-0008-0000-0800-0000B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0" name="Shape 12">
          <a:extLst>
            <a:ext uri="{FF2B5EF4-FFF2-40B4-BE49-F238E27FC236}">
              <a16:creationId xmlns:a16="http://schemas.microsoft.com/office/drawing/2014/main" id="{00000000-0008-0000-0800-0000B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1" name="Shape 12">
          <a:extLst>
            <a:ext uri="{FF2B5EF4-FFF2-40B4-BE49-F238E27FC236}">
              <a16:creationId xmlns:a16="http://schemas.microsoft.com/office/drawing/2014/main" id="{00000000-0008-0000-0800-0000B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2" name="Shape 12">
          <a:extLst>
            <a:ext uri="{FF2B5EF4-FFF2-40B4-BE49-F238E27FC236}">
              <a16:creationId xmlns:a16="http://schemas.microsoft.com/office/drawing/2014/main" id="{00000000-0008-0000-0800-0000B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3" name="Shape 11">
          <a:extLst>
            <a:ext uri="{FF2B5EF4-FFF2-40B4-BE49-F238E27FC236}">
              <a16:creationId xmlns:a16="http://schemas.microsoft.com/office/drawing/2014/main" id="{00000000-0008-0000-0800-0000B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4" name="Shape 11">
          <a:extLst>
            <a:ext uri="{FF2B5EF4-FFF2-40B4-BE49-F238E27FC236}">
              <a16:creationId xmlns:a16="http://schemas.microsoft.com/office/drawing/2014/main" id="{00000000-0008-0000-0800-0000B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5" name="Shape 11">
          <a:extLst>
            <a:ext uri="{FF2B5EF4-FFF2-40B4-BE49-F238E27FC236}">
              <a16:creationId xmlns:a16="http://schemas.microsoft.com/office/drawing/2014/main" id="{00000000-0008-0000-0800-0000B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6" name="Shape 11">
          <a:extLst>
            <a:ext uri="{FF2B5EF4-FFF2-40B4-BE49-F238E27FC236}">
              <a16:creationId xmlns:a16="http://schemas.microsoft.com/office/drawing/2014/main" id="{00000000-0008-0000-0800-0000B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7" name="Shape 11">
          <a:extLst>
            <a:ext uri="{FF2B5EF4-FFF2-40B4-BE49-F238E27FC236}">
              <a16:creationId xmlns:a16="http://schemas.microsoft.com/office/drawing/2014/main" id="{00000000-0008-0000-0800-0000B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8" name="Shape 11">
          <a:extLst>
            <a:ext uri="{FF2B5EF4-FFF2-40B4-BE49-F238E27FC236}">
              <a16:creationId xmlns:a16="http://schemas.microsoft.com/office/drawing/2014/main" id="{00000000-0008-0000-0800-0000B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9" name="Shape 11">
          <a:extLst>
            <a:ext uri="{FF2B5EF4-FFF2-40B4-BE49-F238E27FC236}">
              <a16:creationId xmlns:a16="http://schemas.microsoft.com/office/drawing/2014/main" id="{00000000-0008-0000-0800-0000B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0" name="Shape 5">
          <a:extLst>
            <a:ext uri="{FF2B5EF4-FFF2-40B4-BE49-F238E27FC236}">
              <a16:creationId xmlns:a16="http://schemas.microsoft.com/office/drawing/2014/main" id="{00000000-0008-0000-0800-0000B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1" name="Shape 5">
          <a:extLst>
            <a:ext uri="{FF2B5EF4-FFF2-40B4-BE49-F238E27FC236}">
              <a16:creationId xmlns:a16="http://schemas.microsoft.com/office/drawing/2014/main" id="{00000000-0008-0000-0800-0000B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2" name="Shape 5">
          <a:extLst>
            <a:ext uri="{FF2B5EF4-FFF2-40B4-BE49-F238E27FC236}">
              <a16:creationId xmlns:a16="http://schemas.microsoft.com/office/drawing/2014/main" id="{00000000-0008-0000-0800-0000B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3" name="Shape 5">
          <a:extLst>
            <a:ext uri="{FF2B5EF4-FFF2-40B4-BE49-F238E27FC236}">
              <a16:creationId xmlns:a16="http://schemas.microsoft.com/office/drawing/2014/main" id="{00000000-0008-0000-0800-0000B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4" name="Shape 6">
          <a:extLst>
            <a:ext uri="{FF2B5EF4-FFF2-40B4-BE49-F238E27FC236}">
              <a16:creationId xmlns:a16="http://schemas.microsoft.com/office/drawing/2014/main" id="{00000000-0008-0000-0800-0000C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5" name="Shape 6">
          <a:extLst>
            <a:ext uri="{FF2B5EF4-FFF2-40B4-BE49-F238E27FC236}">
              <a16:creationId xmlns:a16="http://schemas.microsoft.com/office/drawing/2014/main" id="{00000000-0008-0000-0800-0000C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6" name="Shape 6">
          <a:extLst>
            <a:ext uri="{FF2B5EF4-FFF2-40B4-BE49-F238E27FC236}">
              <a16:creationId xmlns:a16="http://schemas.microsoft.com/office/drawing/2014/main" id="{00000000-0008-0000-0800-0000C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7" name="Shape 6">
          <a:extLst>
            <a:ext uri="{FF2B5EF4-FFF2-40B4-BE49-F238E27FC236}">
              <a16:creationId xmlns:a16="http://schemas.microsoft.com/office/drawing/2014/main" id="{00000000-0008-0000-0800-0000C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8" name="Shape 5">
          <a:extLst>
            <a:ext uri="{FF2B5EF4-FFF2-40B4-BE49-F238E27FC236}">
              <a16:creationId xmlns:a16="http://schemas.microsoft.com/office/drawing/2014/main" id="{00000000-0008-0000-0800-0000C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9" name="Shape 5">
          <a:extLst>
            <a:ext uri="{FF2B5EF4-FFF2-40B4-BE49-F238E27FC236}">
              <a16:creationId xmlns:a16="http://schemas.microsoft.com/office/drawing/2014/main" id="{00000000-0008-0000-0800-0000C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0" name="Shape 5">
          <a:extLst>
            <a:ext uri="{FF2B5EF4-FFF2-40B4-BE49-F238E27FC236}">
              <a16:creationId xmlns:a16="http://schemas.microsoft.com/office/drawing/2014/main" id="{00000000-0008-0000-0800-0000C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1" name="Shape 5">
          <a:extLst>
            <a:ext uri="{FF2B5EF4-FFF2-40B4-BE49-F238E27FC236}">
              <a16:creationId xmlns:a16="http://schemas.microsoft.com/office/drawing/2014/main" id="{00000000-0008-0000-0800-0000C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2" name="Shape 5">
          <a:extLst>
            <a:ext uri="{FF2B5EF4-FFF2-40B4-BE49-F238E27FC236}">
              <a16:creationId xmlns:a16="http://schemas.microsoft.com/office/drawing/2014/main" id="{00000000-0008-0000-0800-0000C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3" name="Shape 5">
          <a:extLst>
            <a:ext uri="{FF2B5EF4-FFF2-40B4-BE49-F238E27FC236}">
              <a16:creationId xmlns:a16="http://schemas.microsoft.com/office/drawing/2014/main" id="{00000000-0008-0000-0800-0000C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4" name="Shape 5">
          <a:extLst>
            <a:ext uri="{FF2B5EF4-FFF2-40B4-BE49-F238E27FC236}">
              <a16:creationId xmlns:a16="http://schemas.microsoft.com/office/drawing/2014/main" id="{00000000-0008-0000-0800-0000C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5" name="Shape 11">
          <a:extLst>
            <a:ext uri="{FF2B5EF4-FFF2-40B4-BE49-F238E27FC236}">
              <a16:creationId xmlns:a16="http://schemas.microsoft.com/office/drawing/2014/main" id="{00000000-0008-0000-0800-0000C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6" name="Shape 11">
          <a:extLst>
            <a:ext uri="{FF2B5EF4-FFF2-40B4-BE49-F238E27FC236}">
              <a16:creationId xmlns:a16="http://schemas.microsoft.com/office/drawing/2014/main" id="{00000000-0008-0000-0800-0000C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7" name="Shape 11">
          <a:extLst>
            <a:ext uri="{FF2B5EF4-FFF2-40B4-BE49-F238E27FC236}">
              <a16:creationId xmlns:a16="http://schemas.microsoft.com/office/drawing/2014/main" id="{00000000-0008-0000-0800-0000C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8" name="Shape 11">
          <a:extLst>
            <a:ext uri="{FF2B5EF4-FFF2-40B4-BE49-F238E27FC236}">
              <a16:creationId xmlns:a16="http://schemas.microsoft.com/office/drawing/2014/main" id="{00000000-0008-0000-0800-0000C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99" name="Shape 12">
          <a:extLst>
            <a:ext uri="{FF2B5EF4-FFF2-40B4-BE49-F238E27FC236}">
              <a16:creationId xmlns:a16="http://schemas.microsoft.com/office/drawing/2014/main" id="{00000000-0008-0000-0800-0000C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0" name="Shape 12">
          <a:extLst>
            <a:ext uri="{FF2B5EF4-FFF2-40B4-BE49-F238E27FC236}">
              <a16:creationId xmlns:a16="http://schemas.microsoft.com/office/drawing/2014/main" id="{00000000-0008-0000-0800-0000D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1" name="Shape 12">
          <a:extLst>
            <a:ext uri="{FF2B5EF4-FFF2-40B4-BE49-F238E27FC236}">
              <a16:creationId xmlns:a16="http://schemas.microsoft.com/office/drawing/2014/main" id="{00000000-0008-0000-0800-0000D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2" name="Shape 12">
          <a:extLst>
            <a:ext uri="{FF2B5EF4-FFF2-40B4-BE49-F238E27FC236}">
              <a16:creationId xmlns:a16="http://schemas.microsoft.com/office/drawing/2014/main" id="{00000000-0008-0000-0800-0000D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3" name="Shape 11">
          <a:extLst>
            <a:ext uri="{FF2B5EF4-FFF2-40B4-BE49-F238E27FC236}">
              <a16:creationId xmlns:a16="http://schemas.microsoft.com/office/drawing/2014/main" id="{00000000-0008-0000-0800-0000D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4" name="Shape 11">
          <a:extLst>
            <a:ext uri="{FF2B5EF4-FFF2-40B4-BE49-F238E27FC236}">
              <a16:creationId xmlns:a16="http://schemas.microsoft.com/office/drawing/2014/main" id="{00000000-0008-0000-0800-0000D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5" name="Shape 11">
          <a:extLst>
            <a:ext uri="{FF2B5EF4-FFF2-40B4-BE49-F238E27FC236}">
              <a16:creationId xmlns:a16="http://schemas.microsoft.com/office/drawing/2014/main" id="{00000000-0008-0000-0800-0000D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6" name="Shape 11">
          <a:extLst>
            <a:ext uri="{FF2B5EF4-FFF2-40B4-BE49-F238E27FC236}">
              <a16:creationId xmlns:a16="http://schemas.microsoft.com/office/drawing/2014/main" id="{00000000-0008-0000-0800-0000D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7" name="Shape 11">
          <a:extLst>
            <a:ext uri="{FF2B5EF4-FFF2-40B4-BE49-F238E27FC236}">
              <a16:creationId xmlns:a16="http://schemas.microsoft.com/office/drawing/2014/main" id="{00000000-0008-0000-0800-0000D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8" name="Shape 11">
          <a:extLst>
            <a:ext uri="{FF2B5EF4-FFF2-40B4-BE49-F238E27FC236}">
              <a16:creationId xmlns:a16="http://schemas.microsoft.com/office/drawing/2014/main" id="{00000000-0008-0000-0800-0000D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9" name="Shape 11">
          <a:extLst>
            <a:ext uri="{FF2B5EF4-FFF2-40B4-BE49-F238E27FC236}">
              <a16:creationId xmlns:a16="http://schemas.microsoft.com/office/drawing/2014/main" id="{00000000-0008-0000-0800-0000D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0" name="Shape 5">
          <a:extLst>
            <a:ext uri="{FF2B5EF4-FFF2-40B4-BE49-F238E27FC236}">
              <a16:creationId xmlns:a16="http://schemas.microsoft.com/office/drawing/2014/main" id="{00000000-0008-0000-0800-0000D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1" name="Shape 5">
          <a:extLst>
            <a:ext uri="{FF2B5EF4-FFF2-40B4-BE49-F238E27FC236}">
              <a16:creationId xmlns:a16="http://schemas.microsoft.com/office/drawing/2014/main" id="{00000000-0008-0000-0800-0000D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2" name="Shape 5">
          <a:extLst>
            <a:ext uri="{FF2B5EF4-FFF2-40B4-BE49-F238E27FC236}">
              <a16:creationId xmlns:a16="http://schemas.microsoft.com/office/drawing/2014/main" id="{00000000-0008-0000-0800-0000D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3" name="Shape 5">
          <a:extLst>
            <a:ext uri="{FF2B5EF4-FFF2-40B4-BE49-F238E27FC236}">
              <a16:creationId xmlns:a16="http://schemas.microsoft.com/office/drawing/2014/main" id="{00000000-0008-0000-0800-0000D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4" name="Shape 6">
          <a:extLst>
            <a:ext uri="{FF2B5EF4-FFF2-40B4-BE49-F238E27FC236}">
              <a16:creationId xmlns:a16="http://schemas.microsoft.com/office/drawing/2014/main" id="{00000000-0008-0000-0800-0000D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5" name="Shape 6">
          <a:extLst>
            <a:ext uri="{FF2B5EF4-FFF2-40B4-BE49-F238E27FC236}">
              <a16:creationId xmlns:a16="http://schemas.microsoft.com/office/drawing/2014/main" id="{00000000-0008-0000-0800-0000D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6" name="Shape 6">
          <a:extLst>
            <a:ext uri="{FF2B5EF4-FFF2-40B4-BE49-F238E27FC236}">
              <a16:creationId xmlns:a16="http://schemas.microsoft.com/office/drawing/2014/main" id="{00000000-0008-0000-0800-0000E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7" name="Shape 6">
          <a:extLst>
            <a:ext uri="{FF2B5EF4-FFF2-40B4-BE49-F238E27FC236}">
              <a16:creationId xmlns:a16="http://schemas.microsoft.com/office/drawing/2014/main" id="{00000000-0008-0000-0800-0000E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8" name="Shape 5">
          <a:extLst>
            <a:ext uri="{FF2B5EF4-FFF2-40B4-BE49-F238E27FC236}">
              <a16:creationId xmlns:a16="http://schemas.microsoft.com/office/drawing/2014/main" id="{00000000-0008-0000-0800-0000E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9" name="Shape 5">
          <a:extLst>
            <a:ext uri="{FF2B5EF4-FFF2-40B4-BE49-F238E27FC236}">
              <a16:creationId xmlns:a16="http://schemas.microsoft.com/office/drawing/2014/main" id="{00000000-0008-0000-0800-0000E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0" name="Shape 5">
          <a:extLst>
            <a:ext uri="{FF2B5EF4-FFF2-40B4-BE49-F238E27FC236}">
              <a16:creationId xmlns:a16="http://schemas.microsoft.com/office/drawing/2014/main" id="{00000000-0008-0000-0800-0000E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1" name="Shape 5">
          <a:extLst>
            <a:ext uri="{FF2B5EF4-FFF2-40B4-BE49-F238E27FC236}">
              <a16:creationId xmlns:a16="http://schemas.microsoft.com/office/drawing/2014/main" id="{00000000-0008-0000-0800-0000E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2" name="Shape 5">
          <a:extLst>
            <a:ext uri="{FF2B5EF4-FFF2-40B4-BE49-F238E27FC236}">
              <a16:creationId xmlns:a16="http://schemas.microsoft.com/office/drawing/2014/main" id="{00000000-0008-0000-0800-0000E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3" name="Shape 5">
          <a:extLst>
            <a:ext uri="{FF2B5EF4-FFF2-40B4-BE49-F238E27FC236}">
              <a16:creationId xmlns:a16="http://schemas.microsoft.com/office/drawing/2014/main" id="{00000000-0008-0000-0800-0000E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4" name="Shape 5">
          <a:extLst>
            <a:ext uri="{FF2B5EF4-FFF2-40B4-BE49-F238E27FC236}">
              <a16:creationId xmlns:a16="http://schemas.microsoft.com/office/drawing/2014/main" id="{00000000-0008-0000-0800-0000E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5" name="Shape 11">
          <a:extLst>
            <a:ext uri="{FF2B5EF4-FFF2-40B4-BE49-F238E27FC236}">
              <a16:creationId xmlns:a16="http://schemas.microsoft.com/office/drawing/2014/main" id="{00000000-0008-0000-0800-0000E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6" name="Shape 11">
          <a:extLst>
            <a:ext uri="{FF2B5EF4-FFF2-40B4-BE49-F238E27FC236}">
              <a16:creationId xmlns:a16="http://schemas.microsoft.com/office/drawing/2014/main" id="{00000000-0008-0000-0800-0000E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7" name="Shape 11">
          <a:extLst>
            <a:ext uri="{FF2B5EF4-FFF2-40B4-BE49-F238E27FC236}">
              <a16:creationId xmlns:a16="http://schemas.microsoft.com/office/drawing/2014/main" id="{00000000-0008-0000-0800-0000E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8" name="Shape 11">
          <a:extLst>
            <a:ext uri="{FF2B5EF4-FFF2-40B4-BE49-F238E27FC236}">
              <a16:creationId xmlns:a16="http://schemas.microsoft.com/office/drawing/2014/main" id="{00000000-0008-0000-0800-0000E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29" name="Shape 12">
          <a:extLst>
            <a:ext uri="{FF2B5EF4-FFF2-40B4-BE49-F238E27FC236}">
              <a16:creationId xmlns:a16="http://schemas.microsoft.com/office/drawing/2014/main" id="{00000000-0008-0000-0800-0000E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0" name="Shape 12">
          <a:extLst>
            <a:ext uri="{FF2B5EF4-FFF2-40B4-BE49-F238E27FC236}">
              <a16:creationId xmlns:a16="http://schemas.microsoft.com/office/drawing/2014/main" id="{00000000-0008-0000-0800-0000E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1" name="Shape 12">
          <a:extLst>
            <a:ext uri="{FF2B5EF4-FFF2-40B4-BE49-F238E27FC236}">
              <a16:creationId xmlns:a16="http://schemas.microsoft.com/office/drawing/2014/main" id="{00000000-0008-0000-0800-0000E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2" name="Shape 12">
          <a:extLst>
            <a:ext uri="{FF2B5EF4-FFF2-40B4-BE49-F238E27FC236}">
              <a16:creationId xmlns:a16="http://schemas.microsoft.com/office/drawing/2014/main" id="{00000000-0008-0000-0800-0000F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3" name="Shape 11">
          <a:extLst>
            <a:ext uri="{FF2B5EF4-FFF2-40B4-BE49-F238E27FC236}">
              <a16:creationId xmlns:a16="http://schemas.microsoft.com/office/drawing/2014/main" id="{00000000-0008-0000-0800-0000F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4" name="Shape 11">
          <a:extLst>
            <a:ext uri="{FF2B5EF4-FFF2-40B4-BE49-F238E27FC236}">
              <a16:creationId xmlns:a16="http://schemas.microsoft.com/office/drawing/2014/main" id="{00000000-0008-0000-0800-0000F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5" name="Shape 11">
          <a:extLst>
            <a:ext uri="{FF2B5EF4-FFF2-40B4-BE49-F238E27FC236}">
              <a16:creationId xmlns:a16="http://schemas.microsoft.com/office/drawing/2014/main" id="{00000000-0008-0000-0800-0000F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6" name="Shape 11">
          <a:extLst>
            <a:ext uri="{FF2B5EF4-FFF2-40B4-BE49-F238E27FC236}">
              <a16:creationId xmlns:a16="http://schemas.microsoft.com/office/drawing/2014/main" id="{00000000-0008-0000-0800-0000F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7" name="Shape 11">
          <a:extLst>
            <a:ext uri="{FF2B5EF4-FFF2-40B4-BE49-F238E27FC236}">
              <a16:creationId xmlns:a16="http://schemas.microsoft.com/office/drawing/2014/main" id="{00000000-0008-0000-0800-0000F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8" name="Shape 11">
          <a:extLst>
            <a:ext uri="{FF2B5EF4-FFF2-40B4-BE49-F238E27FC236}">
              <a16:creationId xmlns:a16="http://schemas.microsoft.com/office/drawing/2014/main" id="{00000000-0008-0000-0800-0000F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9" name="Shape 11">
          <a:extLst>
            <a:ext uri="{FF2B5EF4-FFF2-40B4-BE49-F238E27FC236}">
              <a16:creationId xmlns:a16="http://schemas.microsoft.com/office/drawing/2014/main" id="{00000000-0008-0000-0800-0000F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0" name="Shape 5">
          <a:extLst>
            <a:ext uri="{FF2B5EF4-FFF2-40B4-BE49-F238E27FC236}">
              <a16:creationId xmlns:a16="http://schemas.microsoft.com/office/drawing/2014/main" id="{00000000-0008-0000-0800-0000F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1" name="Shape 5">
          <a:extLst>
            <a:ext uri="{FF2B5EF4-FFF2-40B4-BE49-F238E27FC236}">
              <a16:creationId xmlns:a16="http://schemas.microsoft.com/office/drawing/2014/main" id="{00000000-0008-0000-0800-0000F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2" name="Shape 5">
          <a:extLst>
            <a:ext uri="{FF2B5EF4-FFF2-40B4-BE49-F238E27FC236}">
              <a16:creationId xmlns:a16="http://schemas.microsoft.com/office/drawing/2014/main" id="{00000000-0008-0000-0800-0000F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3" name="Shape 5">
          <a:extLst>
            <a:ext uri="{FF2B5EF4-FFF2-40B4-BE49-F238E27FC236}">
              <a16:creationId xmlns:a16="http://schemas.microsoft.com/office/drawing/2014/main" id="{00000000-0008-0000-0800-0000F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4" name="Shape 6">
          <a:extLst>
            <a:ext uri="{FF2B5EF4-FFF2-40B4-BE49-F238E27FC236}">
              <a16:creationId xmlns:a16="http://schemas.microsoft.com/office/drawing/2014/main" id="{00000000-0008-0000-0800-0000F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5" name="Shape 6">
          <a:extLst>
            <a:ext uri="{FF2B5EF4-FFF2-40B4-BE49-F238E27FC236}">
              <a16:creationId xmlns:a16="http://schemas.microsoft.com/office/drawing/2014/main" id="{00000000-0008-0000-0800-0000F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6" name="Shape 6">
          <a:extLst>
            <a:ext uri="{FF2B5EF4-FFF2-40B4-BE49-F238E27FC236}">
              <a16:creationId xmlns:a16="http://schemas.microsoft.com/office/drawing/2014/main" id="{00000000-0008-0000-0800-0000F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7" name="Shape 6">
          <a:extLst>
            <a:ext uri="{FF2B5EF4-FFF2-40B4-BE49-F238E27FC236}">
              <a16:creationId xmlns:a16="http://schemas.microsoft.com/office/drawing/2014/main" id="{00000000-0008-0000-0800-0000F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8" name="Shape 5">
          <a:extLst>
            <a:ext uri="{FF2B5EF4-FFF2-40B4-BE49-F238E27FC236}">
              <a16:creationId xmlns:a16="http://schemas.microsoft.com/office/drawing/2014/main" id="{00000000-0008-0000-0800-00000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9" name="Shape 5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0" name="Shape 5">
          <a:extLst>
            <a:ext uri="{FF2B5EF4-FFF2-40B4-BE49-F238E27FC236}">
              <a16:creationId xmlns:a16="http://schemas.microsoft.com/office/drawing/2014/main" id="{00000000-0008-0000-0800-00000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1" name="Shape 5">
          <a:extLst>
            <a:ext uri="{FF2B5EF4-FFF2-40B4-BE49-F238E27FC236}">
              <a16:creationId xmlns:a16="http://schemas.microsoft.com/office/drawing/2014/main" id="{00000000-0008-0000-0800-00000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2" name="Shape 5">
          <a:extLst>
            <a:ext uri="{FF2B5EF4-FFF2-40B4-BE49-F238E27FC236}">
              <a16:creationId xmlns:a16="http://schemas.microsoft.com/office/drawing/2014/main" id="{00000000-0008-0000-0800-00000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3" name="Shape 5">
          <a:extLst>
            <a:ext uri="{FF2B5EF4-FFF2-40B4-BE49-F238E27FC236}">
              <a16:creationId xmlns:a16="http://schemas.microsoft.com/office/drawing/2014/main" id="{00000000-0008-0000-0800-00000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4" name="Shape 5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5" name="Shape 11">
          <a:extLst>
            <a:ext uri="{FF2B5EF4-FFF2-40B4-BE49-F238E27FC236}">
              <a16:creationId xmlns:a16="http://schemas.microsoft.com/office/drawing/2014/main" id="{00000000-0008-0000-0800-00000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6" name="Shape 11">
          <a:extLst>
            <a:ext uri="{FF2B5EF4-FFF2-40B4-BE49-F238E27FC236}">
              <a16:creationId xmlns:a16="http://schemas.microsoft.com/office/drawing/2014/main" id="{00000000-0008-0000-0800-00000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7" name="Shape 11">
          <a:extLst>
            <a:ext uri="{FF2B5EF4-FFF2-40B4-BE49-F238E27FC236}">
              <a16:creationId xmlns:a16="http://schemas.microsoft.com/office/drawing/2014/main" id="{00000000-0008-0000-0800-00000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8" name="Shape 11">
          <a:extLst>
            <a:ext uri="{FF2B5EF4-FFF2-40B4-BE49-F238E27FC236}">
              <a16:creationId xmlns:a16="http://schemas.microsoft.com/office/drawing/2014/main" id="{00000000-0008-0000-0800-00000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59" name="Shape 12">
          <a:extLst>
            <a:ext uri="{FF2B5EF4-FFF2-40B4-BE49-F238E27FC236}">
              <a16:creationId xmlns:a16="http://schemas.microsoft.com/office/drawing/2014/main" id="{00000000-0008-0000-0800-00000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0" name="Shape 12">
          <a:extLst>
            <a:ext uri="{FF2B5EF4-FFF2-40B4-BE49-F238E27FC236}">
              <a16:creationId xmlns:a16="http://schemas.microsoft.com/office/drawing/2014/main" id="{00000000-0008-0000-0800-00000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1" name="Shape 12">
          <a:extLst>
            <a:ext uri="{FF2B5EF4-FFF2-40B4-BE49-F238E27FC236}">
              <a16:creationId xmlns:a16="http://schemas.microsoft.com/office/drawing/2014/main" id="{00000000-0008-0000-0800-00000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2" name="Shape 12">
          <a:extLst>
            <a:ext uri="{FF2B5EF4-FFF2-40B4-BE49-F238E27FC236}">
              <a16:creationId xmlns:a16="http://schemas.microsoft.com/office/drawing/2014/main" id="{00000000-0008-0000-0800-00000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3" name="Shape 11">
          <a:extLst>
            <a:ext uri="{FF2B5EF4-FFF2-40B4-BE49-F238E27FC236}">
              <a16:creationId xmlns:a16="http://schemas.microsoft.com/office/drawing/2014/main" id="{00000000-0008-0000-0800-00000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4" name="Shape 11">
          <a:extLst>
            <a:ext uri="{FF2B5EF4-FFF2-40B4-BE49-F238E27FC236}">
              <a16:creationId xmlns:a16="http://schemas.microsoft.com/office/drawing/2014/main" id="{00000000-0008-0000-0800-00001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5" name="Shape 11">
          <a:extLst>
            <a:ext uri="{FF2B5EF4-FFF2-40B4-BE49-F238E27FC236}">
              <a16:creationId xmlns:a16="http://schemas.microsoft.com/office/drawing/2014/main" id="{00000000-0008-0000-0800-00001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6" name="Shape 11">
          <a:extLst>
            <a:ext uri="{FF2B5EF4-FFF2-40B4-BE49-F238E27FC236}">
              <a16:creationId xmlns:a16="http://schemas.microsoft.com/office/drawing/2014/main" id="{00000000-0008-0000-0800-00001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7" name="Shape 11">
          <a:extLst>
            <a:ext uri="{FF2B5EF4-FFF2-40B4-BE49-F238E27FC236}">
              <a16:creationId xmlns:a16="http://schemas.microsoft.com/office/drawing/2014/main" id="{00000000-0008-0000-0800-00001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8" name="Shape 11">
          <a:extLst>
            <a:ext uri="{FF2B5EF4-FFF2-40B4-BE49-F238E27FC236}">
              <a16:creationId xmlns:a16="http://schemas.microsoft.com/office/drawing/2014/main" id="{00000000-0008-0000-0800-00001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9" name="Shape 11">
          <a:extLst>
            <a:ext uri="{FF2B5EF4-FFF2-40B4-BE49-F238E27FC236}">
              <a16:creationId xmlns:a16="http://schemas.microsoft.com/office/drawing/2014/main" id="{00000000-0008-0000-0800-00001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0" name="Shape 5">
          <a:extLst>
            <a:ext uri="{FF2B5EF4-FFF2-40B4-BE49-F238E27FC236}">
              <a16:creationId xmlns:a16="http://schemas.microsoft.com/office/drawing/2014/main" id="{00000000-0008-0000-0800-00001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1" name="Shape 5">
          <a:extLst>
            <a:ext uri="{FF2B5EF4-FFF2-40B4-BE49-F238E27FC236}">
              <a16:creationId xmlns:a16="http://schemas.microsoft.com/office/drawing/2014/main" id="{00000000-0008-0000-0800-00001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2" name="Shape 5">
          <a:extLst>
            <a:ext uri="{FF2B5EF4-FFF2-40B4-BE49-F238E27FC236}">
              <a16:creationId xmlns:a16="http://schemas.microsoft.com/office/drawing/2014/main" id="{00000000-0008-0000-0800-00001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3" name="Shape 5">
          <a:extLst>
            <a:ext uri="{FF2B5EF4-FFF2-40B4-BE49-F238E27FC236}">
              <a16:creationId xmlns:a16="http://schemas.microsoft.com/office/drawing/2014/main" id="{00000000-0008-0000-0800-00001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4" name="Shape 6">
          <a:extLst>
            <a:ext uri="{FF2B5EF4-FFF2-40B4-BE49-F238E27FC236}">
              <a16:creationId xmlns:a16="http://schemas.microsoft.com/office/drawing/2014/main" id="{00000000-0008-0000-0800-00001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5" name="Shape 6">
          <a:extLst>
            <a:ext uri="{FF2B5EF4-FFF2-40B4-BE49-F238E27FC236}">
              <a16:creationId xmlns:a16="http://schemas.microsoft.com/office/drawing/2014/main" id="{00000000-0008-0000-0800-00001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6" name="Shape 6">
          <a:extLst>
            <a:ext uri="{FF2B5EF4-FFF2-40B4-BE49-F238E27FC236}">
              <a16:creationId xmlns:a16="http://schemas.microsoft.com/office/drawing/2014/main" id="{00000000-0008-0000-0800-00001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7" name="Shape 6">
          <a:extLst>
            <a:ext uri="{FF2B5EF4-FFF2-40B4-BE49-F238E27FC236}">
              <a16:creationId xmlns:a16="http://schemas.microsoft.com/office/drawing/2014/main" id="{00000000-0008-0000-0800-00001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8" name="Shape 5">
          <a:extLst>
            <a:ext uri="{FF2B5EF4-FFF2-40B4-BE49-F238E27FC236}">
              <a16:creationId xmlns:a16="http://schemas.microsoft.com/office/drawing/2014/main" id="{00000000-0008-0000-0800-00001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9" name="Shape 5">
          <a:extLst>
            <a:ext uri="{FF2B5EF4-FFF2-40B4-BE49-F238E27FC236}">
              <a16:creationId xmlns:a16="http://schemas.microsoft.com/office/drawing/2014/main" id="{00000000-0008-0000-0800-00001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0" name="Shape 5">
          <a:extLst>
            <a:ext uri="{FF2B5EF4-FFF2-40B4-BE49-F238E27FC236}">
              <a16:creationId xmlns:a16="http://schemas.microsoft.com/office/drawing/2014/main" id="{00000000-0008-0000-0800-00002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1" name="Shape 5">
          <a:extLst>
            <a:ext uri="{FF2B5EF4-FFF2-40B4-BE49-F238E27FC236}">
              <a16:creationId xmlns:a16="http://schemas.microsoft.com/office/drawing/2014/main" id="{00000000-0008-0000-0800-00002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2" name="Shape 5">
          <a:extLst>
            <a:ext uri="{FF2B5EF4-FFF2-40B4-BE49-F238E27FC236}">
              <a16:creationId xmlns:a16="http://schemas.microsoft.com/office/drawing/2014/main" id="{00000000-0008-0000-0800-00002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3" name="Shape 5">
          <a:extLst>
            <a:ext uri="{FF2B5EF4-FFF2-40B4-BE49-F238E27FC236}">
              <a16:creationId xmlns:a16="http://schemas.microsoft.com/office/drawing/2014/main" id="{00000000-0008-0000-0800-00002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4" name="Shape 5">
          <a:extLst>
            <a:ext uri="{FF2B5EF4-FFF2-40B4-BE49-F238E27FC236}">
              <a16:creationId xmlns:a16="http://schemas.microsoft.com/office/drawing/2014/main" id="{00000000-0008-0000-0800-00002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5" name="Shape 11">
          <a:extLst>
            <a:ext uri="{FF2B5EF4-FFF2-40B4-BE49-F238E27FC236}">
              <a16:creationId xmlns:a16="http://schemas.microsoft.com/office/drawing/2014/main" id="{00000000-0008-0000-0800-00002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6" name="Shape 11">
          <a:extLst>
            <a:ext uri="{FF2B5EF4-FFF2-40B4-BE49-F238E27FC236}">
              <a16:creationId xmlns:a16="http://schemas.microsoft.com/office/drawing/2014/main" id="{00000000-0008-0000-0800-00002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7" name="Shape 11">
          <a:extLst>
            <a:ext uri="{FF2B5EF4-FFF2-40B4-BE49-F238E27FC236}">
              <a16:creationId xmlns:a16="http://schemas.microsoft.com/office/drawing/2014/main" id="{00000000-0008-0000-0800-00002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8" name="Shape 11">
          <a:extLst>
            <a:ext uri="{FF2B5EF4-FFF2-40B4-BE49-F238E27FC236}">
              <a16:creationId xmlns:a16="http://schemas.microsoft.com/office/drawing/2014/main" id="{00000000-0008-0000-0800-00002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89" name="Shape 12">
          <a:extLst>
            <a:ext uri="{FF2B5EF4-FFF2-40B4-BE49-F238E27FC236}">
              <a16:creationId xmlns:a16="http://schemas.microsoft.com/office/drawing/2014/main" id="{00000000-0008-0000-0800-00002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0" name="Shape 12">
          <a:extLst>
            <a:ext uri="{FF2B5EF4-FFF2-40B4-BE49-F238E27FC236}">
              <a16:creationId xmlns:a16="http://schemas.microsoft.com/office/drawing/2014/main" id="{00000000-0008-0000-0800-00002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1" name="Shape 12">
          <a:extLst>
            <a:ext uri="{FF2B5EF4-FFF2-40B4-BE49-F238E27FC236}">
              <a16:creationId xmlns:a16="http://schemas.microsoft.com/office/drawing/2014/main" id="{00000000-0008-0000-0800-00002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2" name="Shape 12">
          <a:extLst>
            <a:ext uri="{FF2B5EF4-FFF2-40B4-BE49-F238E27FC236}">
              <a16:creationId xmlns:a16="http://schemas.microsoft.com/office/drawing/2014/main" id="{00000000-0008-0000-0800-00002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3" name="Shape 11">
          <a:extLst>
            <a:ext uri="{FF2B5EF4-FFF2-40B4-BE49-F238E27FC236}">
              <a16:creationId xmlns:a16="http://schemas.microsoft.com/office/drawing/2014/main" id="{00000000-0008-0000-0800-00002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4" name="Shape 11">
          <a:extLst>
            <a:ext uri="{FF2B5EF4-FFF2-40B4-BE49-F238E27FC236}">
              <a16:creationId xmlns:a16="http://schemas.microsoft.com/office/drawing/2014/main" id="{00000000-0008-0000-0800-00002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5" name="Shape 11">
          <a:extLst>
            <a:ext uri="{FF2B5EF4-FFF2-40B4-BE49-F238E27FC236}">
              <a16:creationId xmlns:a16="http://schemas.microsoft.com/office/drawing/2014/main" id="{00000000-0008-0000-0800-00002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6" name="Shape 11">
          <a:extLst>
            <a:ext uri="{FF2B5EF4-FFF2-40B4-BE49-F238E27FC236}">
              <a16:creationId xmlns:a16="http://schemas.microsoft.com/office/drawing/2014/main" id="{00000000-0008-0000-0800-00003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7" name="Shape 11">
          <a:extLst>
            <a:ext uri="{FF2B5EF4-FFF2-40B4-BE49-F238E27FC236}">
              <a16:creationId xmlns:a16="http://schemas.microsoft.com/office/drawing/2014/main" id="{00000000-0008-0000-0800-00003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8" name="Shape 11">
          <a:extLst>
            <a:ext uri="{FF2B5EF4-FFF2-40B4-BE49-F238E27FC236}">
              <a16:creationId xmlns:a16="http://schemas.microsoft.com/office/drawing/2014/main" id="{00000000-0008-0000-0800-00003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9" name="Shape 11">
          <a:extLst>
            <a:ext uri="{FF2B5EF4-FFF2-40B4-BE49-F238E27FC236}">
              <a16:creationId xmlns:a16="http://schemas.microsoft.com/office/drawing/2014/main" id="{00000000-0008-0000-0800-00003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0" name="Shape 5">
          <a:extLst>
            <a:ext uri="{FF2B5EF4-FFF2-40B4-BE49-F238E27FC236}">
              <a16:creationId xmlns:a16="http://schemas.microsoft.com/office/drawing/2014/main" id="{00000000-0008-0000-0800-00003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1" name="Shape 5">
          <a:extLst>
            <a:ext uri="{FF2B5EF4-FFF2-40B4-BE49-F238E27FC236}">
              <a16:creationId xmlns:a16="http://schemas.microsoft.com/office/drawing/2014/main" id="{00000000-0008-0000-0800-00003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2" name="Shape 5">
          <a:extLst>
            <a:ext uri="{FF2B5EF4-FFF2-40B4-BE49-F238E27FC236}">
              <a16:creationId xmlns:a16="http://schemas.microsoft.com/office/drawing/2014/main" id="{00000000-0008-0000-0800-00003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3" name="Shape 5">
          <a:extLst>
            <a:ext uri="{FF2B5EF4-FFF2-40B4-BE49-F238E27FC236}">
              <a16:creationId xmlns:a16="http://schemas.microsoft.com/office/drawing/2014/main" id="{00000000-0008-0000-0800-00003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4" name="Shape 6">
          <a:extLst>
            <a:ext uri="{FF2B5EF4-FFF2-40B4-BE49-F238E27FC236}">
              <a16:creationId xmlns:a16="http://schemas.microsoft.com/office/drawing/2014/main" id="{00000000-0008-0000-0800-00003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5" name="Shape 6">
          <a:extLst>
            <a:ext uri="{FF2B5EF4-FFF2-40B4-BE49-F238E27FC236}">
              <a16:creationId xmlns:a16="http://schemas.microsoft.com/office/drawing/2014/main" id="{00000000-0008-0000-0800-00003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6" name="Shape 6">
          <a:extLst>
            <a:ext uri="{FF2B5EF4-FFF2-40B4-BE49-F238E27FC236}">
              <a16:creationId xmlns:a16="http://schemas.microsoft.com/office/drawing/2014/main" id="{00000000-0008-0000-0800-00003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7" name="Shape 6">
          <a:extLst>
            <a:ext uri="{FF2B5EF4-FFF2-40B4-BE49-F238E27FC236}">
              <a16:creationId xmlns:a16="http://schemas.microsoft.com/office/drawing/2014/main" id="{00000000-0008-0000-0800-00003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8" name="Shape 5">
          <a:extLst>
            <a:ext uri="{FF2B5EF4-FFF2-40B4-BE49-F238E27FC236}">
              <a16:creationId xmlns:a16="http://schemas.microsoft.com/office/drawing/2014/main" id="{00000000-0008-0000-0800-00003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9" name="Shape 5">
          <a:extLst>
            <a:ext uri="{FF2B5EF4-FFF2-40B4-BE49-F238E27FC236}">
              <a16:creationId xmlns:a16="http://schemas.microsoft.com/office/drawing/2014/main" id="{00000000-0008-0000-0800-00003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0" name="Shape 5">
          <a:extLst>
            <a:ext uri="{FF2B5EF4-FFF2-40B4-BE49-F238E27FC236}">
              <a16:creationId xmlns:a16="http://schemas.microsoft.com/office/drawing/2014/main" id="{00000000-0008-0000-0800-00003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1" name="Shape 5">
          <a:extLst>
            <a:ext uri="{FF2B5EF4-FFF2-40B4-BE49-F238E27FC236}">
              <a16:creationId xmlns:a16="http://schemas.microsoft.com/office/drawing/2014/main" id="{00000000-0008-0000-0800-00003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2" name="Shape 5">
          <a:extLst>
            <a:ext uri="{FF2B5EF4-FFF2-40B4-BE49-F238E27FC236}">
              <a16:creationId xmlns:a16="http://schemas.microsoft.com/office/drawing/2014/main" id="{00000000-0008-0000-0800-00004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3" name="Shape 5">
          <a:extLst>
            <a:ext uri="{FF2B5EF4-FFF2-40B4-BE49-F238E27FC236}">
              <a16:creationId xmlns:a16="http://schemas.microsoft.com/office/drawing/2014/main" id="{00000000-0008-0000-0800-00004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4" name="Shape 5">
          <a:extLst>
            <a:ext uri="{FF2B5EF4-FFF2-40B4-BE49-F238E27FC236}">
              <a16:creationId xmlns:a16="http://schemas.microsoft.com/office/drawing/2014/main" id="{00000000-0008-0000-0800-00004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5" name="Shape 11">
          <a:extLst>
            <a:ext uri="{FF2B5EF4-FFF2-40B4-BE49-F238E27FC236}">
              <a16:creationId xmlns:a16="http://schemas.microsoft.com/office/drawing/2014/main" id="{00000000-0008-0000-0800-00004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6" name="Shape 11">
          <a:extLst>
            <a:ext uri="{FF2B5EF4-FFF2-40B4-BE49-F238E27FC236}">
              <a16:creationId xmlns:a16="http://schemas.microsoft.com/office/drawing/2014/main" id="{00000000-0008-0000-0800-00004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7" name="Shape 11">
          <a:extLst>
            <a:ext uri="{FF2B5EF4-FFF2-40B4-BE49-F238E27FC236}">
              <a16:creationId xmlns:a16="http://schemas.microsoft.com/office/drawing/2014/main" id="{00000000-0008-0000-0800-00004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8" name="Shape 11">
          <a:extLst>
            <a:ext uri="{FF2B5EF4-FFF2-40B4-BE49-F238E27FC236}">
              <a16:creationId xmlns:a16="http://schemas.microsoft.com/office/drawing/2014/main" id="{00000000-0008-0000-0800-00004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19" name="Shape 12">
          <a:extLst>
            <a:ext uri="{FF2B5EF4-FFF2-40B4-BE49-F238E27FC236}">
              <a16:creationId xmlns:a16="http://schemas.microsoft.com/office/drawing/2014/main" id="{00000000-0008-0000-0800-00004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0" name="Shape 12">
          <a:extLst>
            <a:ext uri="{FF2B5EF4-FFF2-40B4-BE49-F238E27FC236}">
              <a16:creationId xmlns:a16="http://schemas.microsoft.com/office/drawing/2014/main" id="{00000000-0008-0000-0800-00004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1" name="Shape 12">
          <a:extLst>
            <a:ext uri="{FF2B5EF4-FFF2-40B4-BE49-F238E27FC236}">
              <a16:creationId xmlns:a16="http://schemas.microsoft.com/office/drawing/2014/main" id="{00000000-0008-0000-0800-00004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2" name="Shape 12">
          <a:extLst>
            <a:ext uri="{FF2B5EF4-FFF2-40B4-BE49-F238E27FC236}">
              <a16:creationId xmlns:a16="http://schemas.microsoft.com/office/drawing/2014/main" id="{00000000-0008-0000-0800-00004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3" name="Shape 11">
          <a:extLst>
            <a:ext uri="{FF2B5EF4-FFF2-40B4-BE49-F238E27FC236}">
              <a16:creationId xmlns:a16="http://schemas.microsoft.com/office/drawing/2014/main" id="{00000000-0008-0000-0800-00004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4" name="Shape 11">
          <a:extLst>
            <a:ext uri="{FF2B5EF4-FFF2-40B4-BE49-F238E27FC236}">
              <a16:creationId xmlns:a16="http://schemas.microsoft.com/office/drawing/2014/main" id="{00000000-0008-0000-0800-00004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5" name="Shape 11">
          <a:extLst>
            <a:ext uri="{FF2B5EF4-FFF2-40B4-BE49-F238E27FC236}">
              <a16:creationId xmlns:a16="http://schemas.microsoft.com/office/drawing/2014/main" id="{00000000-0008-0000-0800-00004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6" name="Shape 11">
          <a:extLst>
            <a:ext uri="{FF2B5EF4-FFF2-40B4-BE49-F238E27FC236}">
              <a16:creationId xmlns:a16="http://schemas.microsoft.com/office/drawing/2014/main" id="{00000000-0008-0000-0800-00004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7" name="Shape 11">
          <a:extLst>
            <a:ext uri="{FF2B5EF4-FFF2-40B4-BE49-F238E27FC236}">
              <a16:creationId xmlns:a16="http://schemas.microsoft.com/office/drawing/2014/main" id="{00000000-0008-0000-0800-00004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8" name="Shape 11">
          <a:extLst>
            <a:ext uri="{FF2B5EF4-FFF2-40B4-BE49-F238E27FC236}">
              <a16:creationId xmlns:a16="http://schemas.microsoft.com/office/drawing/2014/main" id="{00000000-0008-0000-0800-00005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9" name="Shape 11">
          <a:extLst>
            <a:ext uri="{FF2B5EF4-FFF2-40B4-BE49-F238E27FC236}">
              <a16:creationId xmlns:a16="http://schemas.microsoft.com/office/drawing/2014/main" id="{00000000-0008-0000-0800-00005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0" name="Shape 5">
          <a:extLst>
            <a:ext uri="{FF2B5EF4-FFF2-40B4-BE49-F238E27FC236}">
              <a16:creationId xmlns:a16="http://schemas.microsoft.com/office/drawing/2014/main" id="{00000000-0008-0000-0800-00005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1" name="Shape 5">
          <a:extLst>
            <a:ext uri="{FF2B5EF4-FFF2-40B4-BE49-F238E27FC236}">
              <a16:creationId xmlns:a16="http://schemas.microsoft.com/office/drawing/2014/main" id="{00000000-0008-0000-0800-00005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2" name="Shape 5">
          <a:extLst>
            <a:ext uri="{FF2B5EF4-FFF2-40B4-BE49-F238E27FC236}">
              <a16:creationId xmlns:a16="http://schemas.microsoft.com/office/drawing/2014/main" id="{00000000-0008-0000-0800-00005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3" name="Shape 5">
          <a:extLst>
            <a:ext uri="{FF2B5EF4-FFF2-40B4-BE49-F238E27FC236}">
              <a16:creationId xmlns:a16="http://schemas.microsoft.com/office/drawing/2014/main" id="{00000000-0008-0000-0800-00005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4" name="Shape 6">
          <a:extLst>
            <a:ext uri="{FF2B5EF4-FFF2-40B4-BE49-F238E27FC236}">
              <a16:creationId xmlns:a16="http://schemas.microsoft.com/office/drawing/2014/main" id="{00000000-0008-0000-0800-00005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5" name="Shape 6">
          <a:extLst>
            <a:ext uri="{FF2B5EF4-FFF2-40B4-BE49-F238E27FC236}">
              <a16:creationId xmlns:a16="http://schemas.microsoft.com/office/drawing/2014/main" id="{00000000-0008-0000-0800-00005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6" name="Shape 6">
          <a:extLst>
            <a:ext uri="{FF2B5EF4-FFF2-40B4-BE49-F238E27FC236}">
              <a16:creationId xmlns:a16="http://schemas.microsoft.com/office/drawing/2014/main" id="{00000000-0008-0000-0800-00005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7" name="Shape 6">
          <a:extLst>
            <a:ext uri="{FF2B5EF4-FFF2-40B4-BE49-F238E27FC236}">
              <a16:creationId xmlns:a16="http://schemas.microsoft.com/office/drawing/2014/main" id="{00000000-0008-0000-0800-00005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8" name="Shape 5">
          <a:extLst>
            <a:ext uri="{FF2B5EF4-FFF2-40B4-BE49-F238E27FC236}">
              <a16:creationId xmlns:a16="http://schemas.microsoft.com/office/drawing/2014/main" id="{00000000-0008-0000-0800-00005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9" name="Shape 5">
          <a:extLst>
            <a:ext uri="{FF2B5EF4-FFF2-40B4-BE49-F238E27FC236}">
              <a16:creationId xmlns:a16="http://schemas.microsoft.com/office/drawing/2014/main" id="{00000000-0008-0000-0800-00005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0" name="Shape 5">
          <a:extLst>
            <a:ext uri="{FF2B5EF4-FFF2-40B4-BE49-F238E27FC236}">
              <a16:creationId xmlns:a16="http://schemas.microsoft.com/office/drawing/2014/main" id="{00000000-0008-0000-0800-00005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1" name="Shape 5">
          <a:extLst>
            <a:ext uri="{FF2B5EF4-FFF2-40B4-BE49-F238E27FC236}">
              <a16:creationId xmlns:a16="http://schemas.microsoft.com/office/drawing/2014/main" id="{00000000-0008-0000-0800-00005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2" name="Shape 5">
          <a:extLst>
            <a:ext uri="{FF2B5EF4-FFF2-40B4-BE49-F238E27FC236}">
              <a16:creationId xmlns:a16="http://schemas.microsoft.com/office/drawing/2014/main" id="{00000000-0008-0000-0800-00005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3" name="Shape 5">
          <a:extLst>
            <a:ext uri="{FF2B5EF4-FFF2-40B4-BE49-F238E27FC236}">
              <a16:creationId xmlns:a16="http://schemas.microsoft.com/office/drawing/2014/main" id="{00000000-0008-0000-0800-00005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4" name="Shape 5">
          <a:extLst>
            <a:ext uri="{FF2B5EF4-FFF2-40B4-BE49-F238E27FC236}">
              <a16:creationId xmlns:a16="http://schemas.microsoft.com/office/drawing/2014/main" id="{00000000-0008-0000-0800-00006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5" name="Shape 11">
          <a:extLst>
            <a:ext uri="{FF2B5EF4-FFF2-40B4-BE49-F238E27FC236}">
              <a16:creationId xmlns:a16="http://schemas.microsoft.com/office/drawing/2014/main" id="{00000000-0008-0000-0800-00006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6" name="Shape 11">
          <a:extLst>
            <a:ext uri="{FF2B5EF4-FFF2-40B4-BE49-F238E27FC236}">
              <a16:creationId xmlns:a16="http://schemas.microsoft.com/office/drawing/2014/main" id="{00000000-0008-0000-0800-00006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7" name="Shape 11">
          <a:extLst>
            <a:ext uri="{FF2B5EF4-FFF2-40B4-BE49-F238E27FC236}">
              <a16:creationId xmlns:a16="http://schemas.microsoft.com/office/drawing/2014/main" id="{00000000-0008-0000-0800-00006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8" name="Shape 11">
          <a:extLst>
            <a:ext uri="{FF2B5EF4-FFF2-40B4-BE49-F238E27FC236}">
              <a16:creationId xmlns:a16="http://schemas.microsoft.com/office/drawing/2014/main" id="{00000000-0008-0000-0800-00006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49" name="Shape 12">
          <a:extLst>
            <a:ext uri="{FF2B5EF4-FFF2-40B4-BE49-F238E27FC236}">
              <a16:creationId xmlns:a16="http://schemas.microsoft.com/office/drawing/2014/main" id="{00000000-0008-0000-0800-00006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0" name="Shape 12">
          <a:extLst>
            <a:ext uri="{FF2B5EF4-FFF2-40B4-BE49-F238E27FC236}">
              <a16:creationId xmlns:a16="http://schemas.microsoft.com/office/drawing/2014/main" id="{00000000-0008-0000-0800-00006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1" name="Shape 12">
          <a:extLst>
            <a:ext uri="{FF2B5EF4-FFF2-40B4-BE49-F238E27FC236}">
              <a16:creationId xmlns:a16="http://schemas.microsoft.com/office/drawing/2014/main" id="{00000000-0008-0000-0800-00006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2" name="Shape 12">
          <a:extLst>
            <a:ext uri="{FF2B5EF4-FFF2-40B4-BE49-F238E27FC236}">
              <a16:creationId xmlns:a16="http://schemas.microsoft.com/office/drawing/2014/main" id="{00000000-0008-0000-0800-00006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3" name="Shape 11">
          <a:extLst>
            <a:ext uri="{FF2B5EF4-FFF2-40B4-BE49-F238E27FC236}">
              <a16:creationId xmlns:a16="http://schemas.microsoft.com/office/drawing/2014/main" id="{00000000-0008-0000-0800-00006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4" name="Shape 11">
          <a:extLst>
            <a:ext uri="{FF2B5EF4-FFF2-40B4-BE49-F238E27FC236}">
              <a16:creationId xmlns:a16="http://schemas.microsoft.com/office/drawing/2014/main" id="{00000000-0008-0000-0800-00006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5" name="Shape 11">
          <a:extLst>
            <a:ext uri="{FF2B5EF4-FFF2-40B4-BE49-F238E27FC236}">
              <a16:creationId xmlns:a16="http://schemas.microsoft.com/office/drawing/2014/main" id="{00000000-0008-0000-0800-00006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6" name="Shape 11">
          <a:extLst>
            <a:ext uri="{FF2B5EF4-FFF2-40B4-BE49-F238E27FC236}">
              <a16:creationId xmlns:a16="http://schemas.microsoft.com/office/drawing/2014/main" id="{00000000-0008-0000-0800-00006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7" name="Shape 11">
          <a:extLst>
            <a:ext uri="{FF2B5EF4-FFF2-40B4-BE49-F238E27FC236}">
              <a16:creationId xmlns:a16="http://schemas.microsoft.com/office/drawing/2014/main" id="{00000000-0008-0000-0800-00006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8" name="Shape 11">
          <a:extLst>
            <a:ext uri="{FF2B5EF4-FFF2-40B4-BE49-F238E27FC236}">
              <a16:creationId xmlns:a16="http://schemas.microsoft.com/office/drawing/2014/main" id="{00000000-0008-0000-0800-00006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9" name="Shape 11">
          <a:extLst>
            <a:ext uri="{FF2B5EF4-FFF2-40B4-BE49-F238E27FC236}">
              <a16:creationId xmlns:a16="http://schemas.microsoft.com/office/drawing/2014/main" id="{00000000-0008-0000-0800-00006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0" name="Shape 5">
          <a:extLst>
            <a:ext uri="{FF2B5EF4-FFF2-40B4-BE49-F238E27FC236}">
              <a16:creationId xmlns:a16="http://schemas.microsoft.com/office/drawing/2014/main" id="{00000000-0008-0000-0800-00007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1" name="Shape 5">
          <a:extLst>
            <a:ext uri="{FF2B5EF4-FFF2-40B4-BE49-F238E27FC236}">
              <a16:creationId xmlns:a16="http://schemas.microsoft.com/office/drawing/2014/main" id="{00000000-0008-0000-0800-00007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2" name="Shape 5">
          <a:extLst>
            <a:ext uri="{FF2B5EF4-FFF2-40B4-BE49-F238E27FC236}">
              <a16:creationId xmlns:a16="http://schemas.microsoft.com/office/drawing/2014/main" id="{00000000-0008-0000-0800-00007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3" name="Shape 5">
          <a:extLst>
            <a:ext uri="{FF2B5EF4-FFF2-40B4-BE49-F238E27FC236}">
              <a16:creationId xmlns:a16="http://schemas.microsoft.com/office/drawing/2014/main" id="{00000000-0008-0000-0800-00007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4" name="Shape 6">
          <a:extLst>
            <a:ext uri="{FF2B5EF4-FFF2-40B4-BE49-F238E27FC236}">
              <a16:creationId xmlns:a16="http://schemas.microsoft.com/office/drawing/2014/main" id="{00000000-0008-0000-0800-00007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5" name="Shape 6">
          <a:extLst>
            <a:ext uri="{FF2B5EF4-FFF2-40B4-BE49-F238E27FC236}">
              <a16:creationId xmlns:a16="http://schemas.microsoft.com/office/drawing/2014/main" id="{00000000-0008-0000-0800-00007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6" name="Shape 6">
          <a:extLst>
            <a:ext uri="{FF2B5EF4-FFF2-40B4-BE49-F238E27FC236}">
              <a16:creationId xmlns:a16="http://schemas.microsoft.com/office/drawing/2014/main" id="{00000000-0008-0000-0800-00007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7" name="Shape 6">
          <a:extLst>
            <a:ext uri="{FF2B5EF4-FFF2-40B4-BE49-F238E27FC236}">
              <a16:creationId xmlns:a16="http://schemas.microsoft.com/office/drawing/2014/main" id="{00000000-0008-0000-0800-00007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8" name="Shape 5">
          <a:extLst>
            <a:ext uri="{FF2B5EF4-FFF2-40B4-BE49-F238E27FC236}">
              <a16:creationId xmlns:a16="http://schemas.microsoft.com/office/drawing/2014/main" id="{00000000-0008-0000-0800-00007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9" name="Shape 5">
          <a:extLst>
            <a:ext uri="{FF2B5EF4-FFF2-40B4-BE49-F238E27FC236}">
              <a16:creationId xmlns:a16="http://schemas.microsoft.com/office/drawing/2014/main" id="{00000000-0008-0000-0800-00007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0" name="Shape 5">
          <a:extLst>
            <a:ext uri="{FF2B5EF4-FFF2-40B4-BE49-F238E27FC236}">
              <a16:creationId xmlns:a16="http://schemas.microsoft.com/office/drawing/2014/main" id="{00000000-0008-0000-0800-00007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1" name="Shape 5">
          <a:extLst>
            <a:ext uri="{FF2B5EF4-FFF2-40B4-BE49-F238E27FC236}">
              <a16:creationId xmlns:a16="http://schemas.microsoft.com/office/drawing/2014/main" id="{00000000-0008-0000-0800-00007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2" name="Shape 5">
          <a:extLst>
            <a:ext uri="{FF2B5EF4-FFF2-40B4-BE49-F238E27FC236}">
              <a16:creationId xmlns:a16="http://schemas.microsoft.com/office/drawing/2014/main" id="{00000000-0008-0000-0800-00007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3" name="Shape 5">
          <a:extLst>
            <a:ext uri="{FF2B5EF4-FFF2-40B4-BE49-F238E27FC236}">
              <a16:creationId xmlns:a16="http://schemas.microsoft.com/office/drawing/2014/main" id="{00000000-0008-0000-0800-00007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4" name="Shape 5">
          <a:extLst>
            <a:ext uri="{FF2B5EF4-FFF2-40B4-BE49-F238E27FC236}">
              <a16:creationId xmlns:a16="http://schemas.microsoft.com/office/drawing/2014/main" id="{00000000-0008-0000-0800-00007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5" name="Shape 11">
          <a:extLst>
            <a:ext uri="{FF2B5EF4-FFF2-40B4-BE49-F238E27FC236}">
              <a16:creationId xmlns:a16="http://schemas.microsoft.com/office/drawing/2014/main" id="{00000000-0008-0000-0800-00007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6" name="Shape 11">
          <a:extLst>
            <a:ext uri="{FF2B5EF4-FFF2-40B4-BE49-F238E27FC236}">
              <a16:creationId xmlns:a16="http://schemas.microsoft.com/office/drawing/2014/main" id="{00000000-0008-0000-0800-00008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7" name="Shape 11">
          <a:extLst>
            <a:ext uri="{FF2B5EF4-FFF2-40B4-BE49-F238E27FC236}">
              <a16:creationId xmlns:a16="http://schemas.microsoft.com/office/drawing/2014/main" id="{00000000-0008-0000-0800-00008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8" name="Shape 11">
          <a:extLst>
            <a:ext uri="{FF2B5EF4-FFF2-40B4-BE49-F238E27FC236}">
              <a16:creationId xmlns:a16="http://schemas.microsoft.com/office/drawing/2014/main" id="{00000000-0008-0000-0800-00008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79" name="Shape 12">
          <a:extLst>
            <a:ext uri="{FF2B5EF4-FFF2-40B4-BE49-F238E27FC236}">
              <a16:creationId xmlns:a16="http://schemas.microsoft.com/office/drawing/2014/main" id="{00000000-0008-0000-0800-00008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0" name="Shape 12">
          <a:extLst>
            <a:ext uri="{FF2B5EF4-FFF2-40B4-BE49-F238E27FC236}">
              <a16:creationId xmlns:a16="http://schemas.microsoft.com/office/drawing/2014/main" id="{00000000-0008-0000-0800-00008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1" name="Shape 12">
          <a:extLst>
            <a:ext uri="{FF2B5EF4-FFF2-40B4-BE49-F238E27FC236}">
              <a16:creationId xmlns:a16="http://schemas.microsoft.com/office/drawing/2014/main" id="{00000000-0008-0000-0800-00008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2" name="Shape 12">
          <a:extLst>
            <a:ext uri="{FF2B5EF4-FFF2-40B4-BE49-F238E27FC236}">
              <a16:creationId xmlns:a16="http://schemas.microsoft.com/office/drawing/2014/main" id="{00000000-0008-0000-0800-00008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3" name="Shape 11">
          <a:extLst>
            <a:ext uri="{FF2B5EF4-FFF2-40B4-BE49-F238E27FC236}">
              <a16:creationId xmlns:a16="http://schemas.microsoft.com/office/drawing/2014/main" id="{00000000-0008-0000-0800-00008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4" name="Shape 11">
          <a:extLst>
            <a:ext uri="{FF2B5EF4-FFF2-40B4-BE49-F238E27FC236}">
              <a16:creationId xmlns:a16="http://schemas.microsoft.com/office/drawing/2014/main" id="{00000000-0008-0000-0800-00008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5" name="Shape 11">
          <a:extLst>
            <a:ext uri="{FF2B5EF4-FFF2-40B4-BE49-F238E27FC236}">
              <a16:creationId xmlns:a16="http://schemas.microsoft.com/office/drawing/2014/main" id="{00000000-0008-0000-0800-00008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6" name="Shape 11">
          <a:extLst>
            <a:ext uri="{FF2B5EF4-FFF2-40B4-BE49-F238E27FC236}">
              <a16:creationId xmlns:a16="http://schemas.microsoft.com/office/drawing/2014/main" id="{00000000-0008-0000-0800-00008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7" name="Shape 11">
          <a:extLst>
            <a:ext uri="{FF2B5EF4-FFF2-40B4-BE49-F238E27FC236}">
              <a16:creationId xmlns:a16="http://schemas.microsoft.com/office/drawing/2014/main" id="{00000000-0008-0000-0800-00008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8" name="Shape 11">
          <a:extLst>
            <a:ext uri="{FF2B5EF4-FFF2-40B4-BE49-F238E27FC236}">
              <a16:creationId xmlns:a16="http://schemas.microsoft.com/office/drawing/2014/main" id="{00000000-0008-0000-0800-00008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9" name="Shape 11">
          <a:extLst>
            <a:ext uri="{FF2B5EF4-FFF2-40B4-BE49-F238E27FC236}">
              <a16:creationId xmlns:a16="http://schemas.microsoft.com/office/drawing/2014/main" id="{00000000-0008-0000-0800-00008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0" name="Shape 5">
          <a:extLst>
            <a:ext uri="{FF2B5EF4-FFF2-40B4-BE49-F238E27FC236}">
              <a16:creationId xmlns:a16="http://schemas.microsoft.com/office/drawing/2014/main" id="{00000000-0008-0000-0800-00008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1" name="Shape 5">
          <a:extLst>
            <a:ext uri="{FF2B5EF4-FFF2-40B4-BE49-F238E27FC236}">
              <a16:creationId xmlns:a16="http://schemas.microsoft.com/office/drawing/2014/main" id="{00000000-0008-0000-0800-00008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2" name="Shape 5">
          <a:extLst>
            <a:ext uri="{FF2B5EF4-FFF2-40B4-BE49-F238E27FC236}">
              <a16:creationId xmlns:a16="http://schemas.microsoft.com/office/drawing/2014/main" id="{00000000-0008-0000-0800-00009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3" name="Shape 5">
          <a:extLst>
            <a:ext uri="{FF2B5EF4-FFF2-40B4-BE49-F238E27FC236}">
              <a16:creationId xmlns:a16="http://schemas.microsoft.com/office/drawing/2014/main" id="{00000000-0008-0000-0800-00009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4" name="Shape 6">
          <a:extLst>
            <a:ext uri="{FF2B5EF4-FFF2-40B4-BE49-F238E27FC236}">
              <a16:creationId xmlns:a16="http://schemas.microsoft.com/office/drawing/2014/main" id="{00000000-0008-0000-0800-00009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5" name="Shape 6">
          <a:extLst>
            <a:ext uri="{FF2B5EF4-FFF2-40B4-BE49-F238E27FC236}">
              <a16:creationId xmlns:a16="http://schemas.microsoft.com/office/drawing/2014/main" id="{00000000-0008-0000-0800-00009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6" name="Shape 6">
          <a:extLst>
            <a:ext uri="{FF2B5EF4-FFF2-40B4-BE49-F238E27FC236}">
              <a16:creationId xmlns:a16="http://schemas.microsoft.com/office/drawing/2014/main" id="{00000000-0008-0000-0800-00009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7" name="Shape 6">
          <a:extLst>
            <a:ext uri="{FF2B5EF4-FFF2-40B4-BE49-F238E27FC236}">
              <a16:creationId xmlns:a16="http://schemas.microsoft.com/office/drawing/2014/main" id="{00000000-0008-0000-0800-00009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8" name="Shape 5">
          <a:extLst>
            <a:ext uri="{FF2B5EF4-FFF2-40B4-BE49-F238E27FC236}">
              <a16:creationId xmlns:a16="http://schemas.microsoft.com/office/drawing/2014/main" id="{00000000-0008-0000-0800-00009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9" name="Shape 5">
          <a:extLst>
            <a:ext uri="{FF2B5EF4-FFF2-40B4-BE49-F238E27FC236}">
              <a16:creationId xmlns:a16="http://schemas.microsoft.com/office/drawing/2014/main" id="{00000000-0008-0000-0800-00009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0" name="Shape 5">
          <a:extLst>
            <a:ext uri="{FF2B5EF4-FFF2-40B4-BE49-F238E27FC236}">
              <a16:creationId xmlns:a16="http://schemas.microsoft.com/office/drawing/2014/main" id="{00000000-0008-0000-0800-00009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1" name="Shape 5">
          <a:extLst>
            <a:ext uri="{FF2B5EF4-FFF2-40B4-BE49-F238E27FC236}">
              <a16:creationId xmlns:a16="http://schemas.microsoft.com/office/drawing/2014/main" id="{00000000-0008-0000-0800-00009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2" name="Shape 5">
          <a:extLst>
            <a:ext uri="{FF2B5EF4-FFF2-40B4-BE49-F238E27FC236}">
              <a16:creationId xmlns:a16="http://schemas.microsoft.com/office/drawing/2014/main" id="{00000000-0008-0000-0800-00009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3" name="Shape 5">
          <a:extLst>
            <a:ext uri="{FF2B5EF4-FFF2-40B4-BE49-F238E27FC236}">
              <a16:creationId xmlns:a16="http://schemas.microsoft.com/office/drawing/2014/main" id="{00000000-0008-0000-0800-00009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4" name="Shape 5">
          <a:extLst>
            <a:ext uri="{FF2B5EF4-FFF2-40B4-BE49-F238E27FC236}">
              <a16:creationId xmlns:a16="http://schemas.microsoft.com/office/drawing/2014/main" id="{00000000-0008-0000-0800-00009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5" name="Shape 11">
          <a:extLst>
            <a:ext uri="{FF2B5EF4-FFF2-40B4-BE49-F238E27FC236}">
              <a16:creationId xmlns:a16="http://schemas.microsoft.com/office/drawing/2014/main" id="{00000000-0008-0000-0800-00009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6" name="Shape 11">
          <a:extLst>
            <a:ext uri="{FF2B5EF4-FFF2-40B4-BE49-F238E27FC236}">
              <a16:creationId xmlns:a16="http://schemas.microsoft.com/office/drawing/2014/main" id="{00000000-0008-0000-0800-00009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7" name="Shape 11">
          <a:extLst>
            <a:ext uri="{FF2B5EF4-FFF2-40B4-BE49-F238E27FC236}">
              <a16:creationId xmlns:a16="http://schemas.microsoft.com/office/drawing/2014/main" id="{00000000-0008-0000-0800-00009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8" name="Shape 11">
          <a:extLst>
            <a:ext uri="{FF2B5EF4-FFF2-40B4-BE49-F238E27FC236}">
              <a16:creationId xmlns:a16="http://schemas.microsoft.com/office/drawing/2014/main" id="{00000000-0008-0000-0800-0000A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09" name="Shape 12">
          <a:extLst>
            <a:ext uri="{FF2B5EF4-FFF2-40B4-BE49-F238E27FC236}">
              <a16:creationId xmlns:a16="http://schemas.microsoft.com/office/drawing/2014/main" id="{00000000-0008-0000-0800-0000A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0" name="Shape 12">
          <a:extLst>
            <a:ext uri="{FF2B5EF4-FFF2-40B4-BE49-F238E27FC236}">
              <a16:creationId xmlns:a16="http://schemas.microsoft.com/office/drawing/2014/main" id="{00000000-0008-0000-0800-0000A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1" name="Shape 12">
          <a:extLst>
            <a:ext uri="{FF2B5EF4-FFF2-40B4-BE49-F238E27FC236}">
              <a16:creationId xmlns:a16="http://schemas.microsoft.com/office/drawing/2014/main" id="{00000000-0008-0000-0800-0000A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2" name="Shape 12">
          <a:extLst>
            <a:ext uri="{FF2B5EF4-FFF2-40B4-BE49-F238E27FC236}">
              <a16:creationId xmlns:a16="http://schemas.microsoft.com/office/drawing/2014/main" id="{00000000-0008-0000-0800-0000A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3" name="Shape 11">
          <a:extLst>
            <a:ext uri="{FF2B5EF4-FFF2-40B4-BE49-F238E27FC236}">
              <a16:creationId xmlns:a16="http://schemas.microsoft.com/office/drawing/2014/main" id="{00000000-0008-0000-0800-0000A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4" name="Shape 11">
          <a:extLst>
            <a:ext uri="{FF2B5EF4-FFF2-40B4-BE49-F238E27FC236}">
              <a16:creationId xmlns:a16="http://schemas.microsoft.com/office/drawing/2014/main" id="{00000000-0008-0000-0800-0000A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5" name="Shape 11">
          <a:extLst>
            <a:ext uri="{FF2B5EF4-FFF2-40B4-BE49-F238E27FC236}">
              <a16:creationId xmlns:a16="http://schemas.microsoft.com/office/drawing/2014/main" id="{00000000-0008-0000-0800-0000A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6" name="Shape 11">
          <a:extLst>
            <a:ext uri="{FF2B5EF4-FFF2-40B4-BE49-F238E27FC236}">
              <a16:creationId xmlns:a16="http://schemas.microsoft.com/office/drawing/2014/main" id="{00000000-0008-0000-0800-0000A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7" name="Shape 11">
          <a:extLst>
            <a:ext uri="{FF2B5EF4-FFF2-40B4-BE49-F238E27FC236}">
              <a16:creationId xmlns:a16="http://schemas.microsoft.com/office/drawing/2014/main" id="{00000000-0008-0000-0800-0000A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8" name="Shape 11">
          <a:extLst>
            <a:ext uri="{FF2B5EF4-FFF2-40B4-BE49-F238E27FC236}">
              <a16:creationId xmlns:a16="http://schemas.microsoft.com/office/drawing/2014/main" id="{00000000-0008-0000-0800-0000A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9" name="Shape 11">
          <a:extLst>
            <a:ext uri="{FF2B5EF4-FFF2-40B4-BE49-F238E27FC236}">
              <a16:creationId xmlns:a16="http://schemas.microsoft.com/office/drawing/2014/main" id="{00000000-0008-0000-0800-0000A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0" name="Shape 5">
          <a:extLst>
            <a:ext uri="{FF2B5EF4-FFF2-40B4-BE49-F238E27FC236}">
              <a16:creationId xmlns:a16="http://schemas.microsoft.com/office/drawing/2014/main" id="{00000000-0008-0000-0800-0000A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1" name="Shape 5">
          <a:extLst>
            <a:ext uri="{FF2B5EF4-FFF2-40B4-BE49-F238E27FC236}">
              <a16:creationId xmlns:a16="http://schemas.microsoft.com/office/drawing/2014/main" id="{00000000-0008-0000-0800-0000A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2" name="Shape 5">
          <a:extLst>
            <a:ext uri="{FF2B5EF4-FFF2-40B4-BE49-F238E27FC236}">
              <a16:creationId xmlns:a16="http://schemas.microsoft.com/office/drawing/2014/main" id="{00000000-0008-0000-0800-0000A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3" name="Shape 5">
          <a:extLst>
            <a:ext uri="{FF2B5EF4-FFF2-40B4-BE49-F238E27FC236}">
              <a16:creationId xmlns:a16="http://schemas.microsoft.com/office/drawing/2014/main" id="{00000000-0008-0000-0800-0000A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4" name="Shape 6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5" name="Shape 6">
          <a:extLst>
            <a:ext uri="{FF2B5EF4-FFF2-40B4-BE49-F238E27FC236}">
              <a16:creationId xmlns:a16="http://schemas.microsoft.com/office/drawing/2014/main" id="{00000000-0008-0000-0800-0000B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6" name="Shape 6">
          <a:extLst>
            <a:ext uri="{FF2B5EF4-FFF2-40B4-BE49-F238E27FC236}">
              <a16:creationId xmlns:a16="http://schemas.microsoft.com/office/drawing/2014/main" id="{00000000-0008-0000-0800-0000B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7" name="Shape 6">
          <a:extLst>
            <a:ext uri="{FF2B5EF4-FFF2-40B4-BE49-F238E27FC236}">
              <a16:creationId xmlns:a16="http://schemas.microsoft.com/office/drawing/2014/main" id="{00000000-0008-0000-0800-0000B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8" name="Shape 5">
          <a:extLst>
            <a:ext uri="{FF2B5EF4-FFF2-40B4-BE49-F238E27FC236}">
              <a16:creationId xmlns:a16="http://schemas.microsoft.com/office/drawing/2014/main" id="{00000000-0008-0000-0800-0000B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9" name="Shape 5">
          <a:extLst>
            <a:ext uri="{FF2B5EF4-FFF2-40B4-BE49-F238E27FC236}">
              <a16:creationId xmlns:a16="http://schemas.microsoft.com/office/drawing/2014/main" id="{00000000-0008-0000-0800-0000B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0" name="Shape 5">
          <a:extLst>
            <a:ext uri="{FF2B5EF4-FFF2-40B4-BE49-F238E27FC236}">
              <a16:creationId xmlns:a16="http://schemas.microsoft.com/office/drawing/2014/main" id="{00000000-0008-0000-0800-0000B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1" name="Shape 5">
          <a:extLst>
            <a:ext uri="{FF2B5EF4-FFF2-40B4-BE49-F238E27FC236}">
              <a16:creationId xmlns:a16="http://schemas.microsoft.com/office/drawing/2014/main" id="{00000000-0008-0000-0800-0000B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2" name="Shape 5">
          <a:extLst>
            <a:ext uri="{FF2B5EF4-FFF2-40B4-BE49-F238E27FC236}">
              <a16:creationId xmlns:a16="http://schemas.microsoft.com/office/drawing/2014/main" id="{00000000-0008-0000-0800-0000B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3" name="Shape 5">
          <a:extLst>
            <a:ext uri="{FF2B5EF4-FFF2-40B4-BE49-F238E27FC236}">
              <a16:creationId xmlns:a16="http://schemas.microsoft.com/office/drawing/2014/main" id="{00000000-0008-0000-0800-0000B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4" name="Shape 5">
          <a:extLst>
            <a:ext uri="{FF2B5EF4-FFF2-40B4-BE49-F238E27FC236}">
              <a16:creationId xmlns:a16="http://schemas.microsoft.com/office/drawing/2014/main" id="{00000000-0008-0000-0800-0000B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5" name="Shape 11">
          <a:extLst>
            <a:ext uri="{FF2B5EF4-FFF2-40B4-BE49-F238E27FC236}">
              <a16:creationId xmlns:a16="http://schemas.microsoft.com/office/drawing/2014/main" id="{00000000-0008-0000-0800-0000B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6" name="Shape 11">
          <a:extLst>
            <a:ext uri="{FF2B5EF4-FFF2-40B4-BE49-F238E27FC236}">
              <a16:creationId xmlns:a16="http://schemas.microsoft.com/office/drawing/2014/main" id="{00000000-0008-0000-0800-0000B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7" name="Shape 11">
          <a:extLst>
            <a:ext uri="{FF2B5EF4-FFF2-40B4-BE49-F238E27FC236}">
              <a16:creationId xmlns:a16="http://schemas.microsoft.com/office/drawing/2014/main" id="{00000000-0008-0000-0800-0000B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8" name="Shape 11">
          <a:extLst>
            <a:ext uri="{FF2B5EF4-FFF2-40B4-BE49-F238E27FC236}">
              <a16:creationId xmlns:a16="http://schemas.microsoft.com/office/drawing/2014/main" id="{00000000-0008-0000-0800-0000B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39" name="Shape 12">
          <a:extLst>
            <a:ext uri="{FF2B5EF4-FFF2-40B4-BE49-F238E27FC236}">
              <a16:creationId xmlns:a16="http://schemas.microsoft.com/office/drawing/2014/main" id="{00000000-0008-0000-0800-0000B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0" name="Shape 12">
          <a:extLst>
            <a:ext uri="{FF2B5EF4-FFF2-40B4-BE49-F238E27FC236}">
              <a16:creationId xmlns:a16="http://schemas.microsoft.com/office/drawing/2014/main" id="{00000000-0008-0000-0800-0000C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1" name="Shape 12">
          <a:extLst>
            <a:ext uri="{FF2B5EF4-FFF2-40B4-BE49-F238E27FC236}">
              <a16:creationId xmlns:a16="http://schemas.microsoft.com/office/drawing/2014/main" id="{00000000-0008-0000-0800-0000C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2" name="Shape 12">
          <a:extLst>
            <a:ext uri="{FF2B5EF4-FFF2-40B4-BE49-F238E27FC236}">
              <a16:creationId xmlns:a16="http://schemas.microsoft.com/office/drawing/2014/main" id="{00000000-0008-0000-0800-0000C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3" name="Shape 11">
          <a:extLst>
            <a:ext uri="{FF2B5EF4-FFF2-40B4-BE49-F238E27FC236}">
              <a16:creationId xmlns:a16="http://schemas.microsoft.com/office/drawing/2014/main" id="{00000000-0008-0000-0800-0000C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4" name="Shape 11">
          <a:extLst>
            <a:ext uri="{FF2B5EF4-FFF2-40B4-BE49-F238E27FC236}">
              <a16:creationId xmlns:a16="http://schemas.microsoft.com/office/drawing/2014/main" id="{00000000-0008-0000-0800-0000C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5" name="Shape 11">
          <a:extLst>
            <a:ext uri="{FF2B5EF4-FFF2-40B4-BE49-F238E27FC236}">
              <a16:creationId xmlns:a16="http://schemas.microsoft.com/office/drawing/2014/main" id="{00000000-0008-0000-0800-0000C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6" name="Shape 11">
          <a:extLst>
            <a:ext uri="{FF2B5EF4-FFF2-40B4-BE49-F238E27FC236}">
              <a16:creationId xmlns:a16="http://schemas.microsoft.com/office/drawing/2014/main" id="{00000000-0008-0000-0800-0000C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7" name="Shape 11">
          <a:extLst>
            <a:ext uri="{FF2B5EF4-FFF2-40B4-BE49-F238E27FC236}">
              <a16:creationId xmlns:a16="http://schemas.microsoft.com/office/drawing/2014/main" id="{00000000-0008-0000-0800-0000C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8" name="Shape 11">
          <a:extLst>
            <a:ext uri="{FF2B5EF4-FFF2-40B4-BE49-F238E27FC236}">
              <a16:creationId xmlns:a16="http://schemas.microsoft.com/office/drawing/2014/main" id="{00000000-0008-0000-0800-0000C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9" name="Shape 11">
          <a:extLst>
            <a:ext uri="{FF2B5EF4-FFF2-40B4-BE49-F238E27FC236}">
              <a16:creationId xmlns:a16="http://schemas.microsoft.com/office/drawing/2014/main" id="{00000000-0008-0000-0800-0000C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0" name="Shape 5">
          <a:extLst>
            <a:ext uri="{FF2B5EF4-FFF2-40B4-BE49-F238E27FC236}">
              <a16:creationId xmlns:a16="http://schemas.microsoft.com/office/drawing/2014/main" id="{00000000-0008-0000-0800-0000C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1" name="Shape 5">
          <a:extLst>
            <a:ext uri="{FF2B5EF4-FFF2-40B4-BE49-F238E27FC236}">
              <a16:creationId xmlns:a16="http://schemas.microsoft.com/office/drawing/2014/main" id="{00000000-0008-0000-0800-0000C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2" name="Shape 5">
          <a:extLst>
            <a:ext uri="{FF2B5EF4-FFF2-40B4-BE49-F238E27FC236}">
              <a16:creationId xmlns:a16="http://schemas.microsoft.com/office/drawing/2014/main" id="{00000000-0008-0000-0800-0000C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3" name="Shape 5">
          <a:extLst>
            <a:ext uri="{FF2B5EF4-FFF2-40B4-BE49-F238E27FC236}">
              <a16:creationId xmlns:a16="http://schemas.microsoft.com/office/drawing/2014/main" id="{00000000-0008-0000-0800-0000C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4" name="Shape 6">
          <a:extLst>
            <a:ext uri="{FF2B5EF4-FFF2-40B4-BE49-F238E27FC236}">
              <a16:creationId xmlns:a16="http://schemas.microsoft.com/office/drawing/2014/main" id="{00000000-0008-0000-0800-0000C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5" name="Shape 6">
          <a:extLst>
            <a:ext uri="{FF2B5EF4-FFF2-40B4-BE49-F238E27FC236}">
              <a16:creationId xmlns:a16="http://schemas.microsoft.com/office/drawing/2014/main" id="{00000000-0008-0000-0800-0000C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6" name="Shape 6">
          <a:extLst>
            <a:ext uri="{FF2B5EF4-FFF2-40B4-BE49-F238E27FC236}">
              <a16:creationId xmlns:a16="http://schemas.microsoft.com/office/drawing/2014/main" id="{00000000-0008-0000-0800-0000D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7" name="Shape 6">
          <a:extLst>
            <a:ext uri="{FF2B5EF4-FFF2-40B4-BE49-F238E27FC236}">
              <a16:creationId xmlns:a16="http://schemas.microsoft.com/office/drawing/2014/main" id="{00000000-0008-0000-0800-0000D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8" name="Shape 5">
          <a:extLst>
            <a:ext uri="{FF2B5EF4-FFF2-40B4-BE49-F238E27FC236}">
              <a16:creationId xmlns:a16="http://schemas.microsoft.com/office/drawing/2014/main" id="{00000000-0008-0000-0800-0000D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9" name="Shape 5">
          <a:extLst>
            <a:ext uri="{FF2B5EF4-FFF2-40B4-BE49-F238E27FC236}">
              <a16:creationId xmlns:a16="http://schemas.microsoft.com/office/drawing/2014/main" id="{00000000-0008-0000-0800-0000D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0" name="Shape 5">
          <a:extLst>
            <a:ext uri="{FF2B5EF4-FFF2-40B4-BE49-F238E27FC236}">
              <a16:creationId xmlns:a16="http://schemas.microsoft.com/office/drawing/2014/main" id="{00000000-0008-0000-0800-0000D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1" name="Shape 5">
          <a:extLst>
            <a:ext uri="{FF2B5EF4-FFF2-40B4-BE49-F238E27FC236}">
              <a16:creationId xmlns:a16="http://schemas.microsoft.com/office/drawing/2014/main" id="{00000000-0008-0000-0800-0000D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2" name="Shape 5">
          <a:extLst>
            <a:ext uri="{FF2B5EF4-FFF2-40B4-BE49-F238E27FC236}">
              <a16:creationId xmlns:a16="http://schemas.microsoft.com/office/drawing/2014/main" id="{00000000-0008-0000-0800-0000D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3" name="Shape 5">
          <a:extLst>
            <a:ext uri="{FF2B5EF4-FFF2-40B4-BE49-F238E27FC236}">
              <a16:creationId xmlns:a16="http://schemas.microsoft.com/office/drawing/2014/main" id="{00000000-0008-0000-0800-0000D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4" name="Shape 5">
          <a:extLst>
            <a:ext uri="{FF2B5EF4-FFF2-40B4-BE49-F238E27FC236}">
              <a16:creationId xmlns:a16="http://schemas.microsoft.com/office/drawing/2014/main" id="{00000000-0008-0000-0800-0000D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5" name="Shape 11">
          <a:extLst>
            <a:ext uri="{FF2B5EF4-FFF2-40B4-BE49-F238E27FC236}">
              <a16:creationId xmlns:a16="http://schemas.microsoft.com/office/drawing/2014/main" id="{00000000-0008-0000-0800-0000D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6" name="Shape 11">
          <a:extLst>
            <a:ext uri="{FF2B5EF4-FFF2-40B4-BE49-F238E27FC236}">
              <a16:creationId xmlns:a16="http://schemas.microsoft.com/office/drawing/2014/main" id="{00000000-0008-0000-0800-0000D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7" name="Shape 11">
          <a:extLst>
            <a:ext uri="{FF2B5EF4-FFF2-40B4-BE49-F238E27FC236}">
              <a16:creationId xmlns:a16="http://schemas.microsoft.com/office/drawing/2014/main" id="{00000000-0008-0000-0800-0000D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8" name="Shape 11">
          <a:extLst>
            <a:ext uri="{FF2B5EF4-FFF2-40B4-BE49-F238E27FC236}">
              <a16:creationId xmlns:a16="http://schemas.microsoft.com/office/drawing/2014/main" id="{00000000-0008-0000-0800-0000D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69" name="Shape 12">
          <a:extLst>
            <a:ext uri="{FF2B5EF4-FFF2-40B4-BE49-F238E27FC236}">
              <a16:creationId xmlns:a16="http://schemas.microsoft.com/office/drawing/2014/main" id="{00000000-0008-0000-0800-0000D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0" name="Shape 12">
          <a:extLst>
            <a:ext uri="{FF2B5EF4-FFF2-40B4-BE49-F238E27FC236}">
              <a16:creationId xmlns:a16="http://schemas.microsoft.com/office/drawing/2014/main" id="{00000000-0008-0000-0800-0000D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1" name="Shape 12">
          <a:extLst>
            <a:ext uri="{FF2B5EF4-FFF2-40B4-BE49-F238E27FC236}">
              <a16:creationId xmlns:a16="http://schemas.microsoft.com/office/drawing/2014/main" id="{00000000-0008-0000-0800-0000D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2" name="Shape 12">
          <a:extLst>
            <a:ext uri="{FF2B5EF4-FFF2-40B4-BE49-F238E27FC236}">
              <a16:creationId xmlns:a16="http://schemas.microsoft.com/office/drawing/2014/main" id="{00000000-0008-0000-0800-0000E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3" name="Shape 11">
          <a:extLst>
            <a:ext uri="{FF2B5EF4-FFF2-40B4-BE49-F238E27FC236}">
              <a16:creationId xmlns:a16="http://schemas.microsoft.com/office/drawing/2014/main" id="{00000000-0008-0000-0800-0000E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4" name="Shape 11">
          <a:extLst>
            <a:ext uri="{FF2B5EF4-FFF2-40B4-BE49-F238E27FC236}">
              <a16:creationId xmlns:a16="http://schemas.microsoft.com/office/drawing/2014/main" id="{00000000-0008-0000-0800-0000E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5" name="Shape 11">
          <a:extLst>
            <a:ext uri="{FF2B5EF4-FFF2-40B4-BE49-F238E27FC236}">
              <a16:creationId xmlns:a16="http://schemas.microsoft.com/office/drawing/2014/main" id="{00000000-0008-0000-0800-0000E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6" name="Shape 11">
          <a:extLst>
            <a:ext uri="{FF2B5EF4-FFF2-40B4-BE49-F238E27FC236}">
              <a16:creationId xmlns:a16="http://schemas.microsoft.com/office/drawing/2014/main" id="{00000000-0008-0000-0800-0000E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7" name="Shape 11">
          <a:extLst>
            <a:ext uri="{FF2B5EF4-FFF2-40B4-BE49-F238E27FC236}">
              <a16:creationId xmlns:a16="http://schemas.microsoft.com/office/drawing/2014/main" id="{00000000-0008-0000-0800-0000E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8" name="Shape 11">
          <a:extLst>
            <a:ext uri="{FF2B5EF4-FFF2-40B4-BE49-F238E27FC236}">
              <a16:creationId xmlns:a16="http://schemas.microsoft.com/office/drawing/2014/main" id="{00000000-0008-0000-0800-0000E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9" name="Shape 11">
          <a:extLst>
            <a:ext uri="{FF2B5EF4-FFF2-40B4-BE49-F238E27FC236}">
              <a16:creationId xmlns:a16="http://schemas.microsoft.com/office/drawing/2014/main" id="{00000000-0008-0000-0800-0000E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0" name="Shape 5">
          <a:extLst>
            <a:ext uri="{FF2B5EF4-FFF2-40B4-BE49-F238E27FC236}">
              <a16:creationId xmlns:a16="http://schemas.microsoft.com/office/drawing/2014/main" id="{00000000-0008-0000-0800-0000E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1" name="Shape 5">
          <a:extLst>
            <a:ext uri="{FF2B5EF4-FFF2-40B4-BE49-F238E27FC236}">
              <a16:creationId xmlns:a16="http://schemas.microsoft.com/office/drawing/2014/main" id="{00000000-0008-0000-0800-0000E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2" name="Shape 5">
          <a:extLst>
            <a:ext uri="{FF2B5EF4-FFF2-40B4-BE49-F238E27FC236}">
              <a16:creationId xmlns:a16="http://schemas.microsoft.com/office/drawing/2014/main" id="{00000000-0008-0000-0800-0000E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3" name="Shape 5">
          <a:extLst>
            <a:ext uri="{FF2B5EF4-FFF2-40B4-BE49-F238E27FC236}">
              <a16:creationId xmlns:a16="http://schemas.microsoft.com/office/drawing/2014/main" id="{00000000-0008-0000-0800-0000E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4" name="Shape 6">
          <a:extLst>
            <a:ext uri="{FF2B5EF4-FFF2-40B4-BE49-F238E27FC236}">
              <a16:creationId xmlns:a16="http://schemas.microsoft.com/office/drawing/2014/main" id="{00000000-0008-0000-0800-0000E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5" name="Shape 6">
          <a:extLst>
            <a:ext uri="{FF2B5EF4-FFF2-40B4-BE49-F238E27FC236}">
              <a16:creationId xmlns:a16="http://schemas.microsoft.com/office/drawing/2014/main" id="{00000000-0008-0000-0800-0000E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6" name="Shape 6">
          <a:extLst>
            <a:ext uri="{FF2B5EF4-FFF2-40B4-BE49-F238E27FC236}">
              <a16:creationId xmlns:a16="http://schemas.microsoft.com/office/drawing/2014/main" id="{00000000-0008-0000-0800-0000E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7" name="Shape 6">
          <a:extLst>
            <a:ext uri="{FF2B5EF4-FFF2-40B4-BE49-F238E27FC236}">
              <a16:creationId xmlns:a16="http://schemas.microsoft.com/office/drawing/2014/main" id="{00000000-0008-0000-0800-0000E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8" name="Shape 5">
          <a:extLst>
            <a:ext uri="{FF2B5EF4-FFF2-40B4-BE49-F238E27FC236}">
              <a16:creationId xmlns:a16="http://schemas.microsoft.com/office/drawing/2014/main" id="{00000000-0008-0000-0800-0000F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9" name="Shape 5">
          <a:extLst>
            <a:ext uri="{FF2B5EF4-FFF2-40B4-BE49-F238E27FC236}">
              <a16:creationId xmlns:a16="http://schemas.microsoft.com/office/drawing/2014/main" id="{00000000-0008-0000-0800-0000F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0" name="Shape 5">
          <a:extLst>
            <a:ext uri="{FF2B5EF4-FFF2-40B4-BE49-F238E27FC236}">
              <a16:creationId xmlns:a16="http://schemas.microsoft.com/office/drawing/2014/main" id="{00000000-0008-0000-0800-0000F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1" name="Shape 5">
          <a:extLst>
            <a:ext uri="{FF2B5EF4-FFF2-40B4-BE49-F238E27FC236}">
              <a16:creationId xmlns:a16="http://schemas.microsoft.com/office/drawing/2014/main" id="{00000000-0008-0000-0800-0000F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2" name="Shape 5">
          <a:extLst>
            <a:ext uri="{FF2B5EF4-FFF2-40B4-BE49-F238E27FC236}">
              <a16:creationId xmlns:a16="http://schemas.microsoft.com/office/drawing/2014/main" id="{00000000-0008-0000-0800-0000F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3" name="Shape 5">
          <a:extLst>
            <a:ext uri="{FF2B5EF4-FFF2-40B4-BE49-F238E27FC236}">
              <a16:creationId xmlns:a16="http://schemas.microsoft.com/office/drawing/2014/main" id="{00000000-0008-0000-0800-0000F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4" name="Shape 5">
          <a:extLst>
            <a:ext uri="{FF2B5EF4-FFF2-40B4-BE49-F238E27FC236}">
              <a16:creationId xmlns:a16="http://schemas.microsoft.com/office/drawing/2014/main" id="{00000000-0008-0000-0800-0000F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5" name="Shape 11">
          <a:extLst>
            <a:ext uri="{FF2B5EF4-FFF2-40B4-BE49-F238E27FC236}">
              <a16:creationId xmlns:a16="http://schemas.microsoft.com/office/drawing/2014/main" id="{00000000-0008-0000-0800-0000F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6" name="Shape 11">
          <a:extLst>
            <a:ext uri="{FF2B5EF4-FFF2-40B4-BE49-F238E27FC236}">
              <a16:creationId xmlns:a16="http://schemas.microsoft.com/office/drawing/2014/main" id="{00000000-0008-0000-0800-0000F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7" name="Shape 11">
          <a:extLst>
            <a:ext uri="{FF2B5EF4-FFF2-40B4-BE49-F238E27FC236}">
              <a16:creationId xmlns:a16="http://schemas.microsoft.com/office/drawing/2014/main" id="{00000000-0008-0000-0800-0000F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8" name="Shape 11">
          <a:extLst>
            <a:ext uri="{FF2B5EF4-FFF2-40B4-BE49-F238E27FC236}">
              <a16:creationId xmlns:a16="http://schemas.microsoft.com/office/drawing/2014/main" id="{00000000-0008-0000-0800-0000F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99" name="Shape 12">
          <a:extLst>
            <a:ext uri="{FF2B5EF4-FFF2-40B4-BE49-F238E27FC236}">
              <a16:creationId xmlns:a16="http://schemas.microsoft.com/office/drawing/2014/main" id="{00000000-0008-0000-0800-0000F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0" name="Shape 12">
          <a:extLst>
            <a:ext uri="{FF2B5EF4-FFF2-40B4-BE49-F238E27FC236}">
              <a16:creationId xmlns:a16="http://schemas.microsoft.com/office/drawing/2014/main" id="{00000000-0008-0000-0800-0000F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1" name="Shape 12">
          <a:extLst>
            <a:ext uri="{FF2B5EF4-FFF2-40B4-BE49-F238E27FC236}">
              <a16:creationId xmlns:a16="http://schemas.microsoft.com/office/drawing/2014/main" id="{00000000-0008-0000-0800-0000F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2" name="Shape 12">
          <a:extLst>
            <a:ext uri="{FF2B5EF4-FFF2-40B4-BE49-F238E27FC236}">
              <a16:creationId xmlns:a16="http://schemas.microsoft.com/office/drawing/2014/main" id="{00000000-0008-0000-0800-0000F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3" name="Shape 11">
          <a:extLst>
            <a:ext uri="{FF2B5EF4-FFF2-40B4-BE49-F238E27FC236}">
              <a16:creationId xmlns:a16="http://schemas.microsoft.com/office/drawing/2014/main" id="{00000000-0008-0000-0800-0000F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4" name="Shape 11">
          <a:extLst>
            <a:ext uri="{FF2B5EF4-FFF2-40B4-BE49-F238E27FC236}">
              <a16:creationId xmlns:a16="http://schemas.microsoft.com/office/drawing/2014/main" id="{00000000-0008-0000-0800-00000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5" name="Shape 11">
          <a:extLst>
            <a:ext uri="{FF2B5EF4-FFF2-40B4-BE49-F238E27FC236}">
              <a16:creationId xmlns:a16="http://schemas.microsoft.com/office/drawing/2014/main" id="{00000000-0008-0000-0800-00000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6" name="Shape 11">
          <a:extLst>
            <a:ext uri="{FF2B5EF4-FFF2-40B4-BE49-F238E27FC236}">
              <a16:creationId xmlns:a16="http://schemas.microsoft.com/office/drawing/2014/main" id="{00000000-0008-0000-0800-00000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7" name="Shape 11">
          <a:extLst>
            <a:ext uri="{FF2B5EF4-FFF2-40B4-BE49-F238E27FC236}">
              <a16:creationId xmlns:a16="http://schemas.microsoft.com/office/drawing/2014/main" id="{00000000-0008-0000-0800-00000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8" name="Shape 11">
          <a:extLst>
            <a:ext uri="{FF2B5EF4-FFF2-40B4-BE49-F238E27FC236}">
              <a16:creationId xmlns:a16="http://schemas.microsoft.com/office/drawing/2014/main" id="{00000000-0008-0000-0800-00000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9" name="Shape 11">
          <a:extLst>
            <a:ext uri="{FF2B5EF4-FFF2-40B4-BE49-F238E27FC236}">
              <a16:creationId xmlns:a16="http://schemas.microsoft.com/office/drawing/2014/main" id="{00000000-0008-0000-0800-00000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0" name="Shape 5">
          <a:extLst>
            <a:ext uri="{FF2B5EF4-FFF2-40B4-BE49-F238E27FC236}">
              <a16:creationId xmlns:a16="http://schemas.microsoft.com/office/drawing/2014/main" id="{00000000-0008-0000-0800-00000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1" name="Shape 5">
          <a:extLst>
            <a:ext uri="{FF2B5EF4-FFF2-40B4-BE49-F238E27FC236}">
              <a16:creationId xmlns:a16="http://schemas.microsoft.com/office/drawing/2014/main" id="{00000000-0008-0000-0800-00000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2" name="Shape 5">
          <a:extLst>
            <a:ext uri="{FF2B5EF4-FFF2-40B4-BE49-F238E27FC236}">
              <a16:creationId xmlns:a16="http://schemas.microsoft.com/office/drawing/2014/main" id="{00000000-0008-0000-0800-00000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3" name="Shape 5">
          <a:extLst>
            <a:ext uri="{FF2B5EF4-FFF2-40B4-BE49-F238E27FC236}">
              <a16:creationId xmlns:a16="http://schemas.microsoft.com/office/drawing/2014/main" id="{00000000-0008-0000-0800-00000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4" name="Shape 6">
          <a:extLst>
            <a:ext uri="{FF2B5EF4-FFF2-40B4-BE49-F238E27FC236}">
              <a16:creationId xmlns:a16="http://schemas.microsoft.com/office/drawing/2014/main" id="{00000000-0008-0000-0800-00000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5" name="Shape 6">
          <a:extLst>
            <a:ext uri="{FF2B5EF4-FFF2-40B4-BE49-F238E27FC236}">
              <a16:creationId xmlns:a16="http://schemas.microsoft.com/office/drawing/2014/main" id="{00000000-0008-0000-0800-00000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6" name="Shape 6">
          <a:extLst>
            <a:ext uri="{FF2B5EF4-FFF2-40B4-BE49-F238E27FC236}">
              <a16:creationId xmlns:a16="http://schemas.microsoft.com/office/drawing/2014/main" id="{00000000-0008-0000-0800-00000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7" name="Shape 6">
          <a:extLst>
            <a:ext uri="{FF2B5EF4-FFF2-40B4-BE49-F238E27FC236}">
              <a16:creationId xmlns:a16="http://schemas.microsoft.com/office/drawing/2014/main" id="{00000000-0008-0000-0800-00000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8" name="Shape 5">
          <a:extLst>
            <a:ext uri="{FF2B5EF4-FFF2-40B4-BE49-F238E27FC236}">
              <a16:creationId xmlns:a16="http://schemas.microsoft.com/office/drawing/2014/main" id="{00000000-0008-0000-0800-00000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9" name="Shape 5">
          <a:extLst>
            <a:ext uri="{FF2B5EF4-FFF2-40B4-BE49-F238E27FC236}">
              <a16:creationId xmlns:a16="http://schemas.microsoft.com/office/drawing/2014/main" id="{00000000-0008-0000-0800-00000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0" name="Shape 5">
          <a:extLst>
            <a:ext uri="{FF2B5EF4-FFF2-40B4-BE49-F238E27FC236}">
              <a16:creationId xmlns:a16="http://schemas.microsoft.com/office/drawing/2014/main" id="{00000000-0008-0000-0800-00001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1" name="Shape 5">
          <a:extLst>
            <a:ext uri="{FF2B5EF4-FFF2-40B4-BE49-F238E27FC236}">
              <a16:creationId xmlns:a16="http://schemas.microsoft.com/office/drawing/2014/main" id="{00000000-0008-0000-0800-00001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2" name="Shape 5">
          <a:extLst>
            <a:ext uri="{FF2B5EF4-FFF2-40B4-BE49-F238E27FC236}">
              <a16:creationId xmlns:a16="http://schemas.microsoft.com/office/drawing/2014/main" id="{00000000-0008-0000-0800-00001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3" name="Shape 5">
          <a:extLst>
            <a:ext uri="{FF2B5EF4-FFF2-40B4-BE49-F238E27FC236}">
              <a16:creationId xmlns:a16="http://schemas.microsoft.com/office/drawing/2014/main" id="{00000000-0008-0000-0800-00001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4" name="Shape 5">
          <a:extLst>
            <a:ext uri="{FF2B5EF4-FFF2-40B4-BE49-F238E27FC236}">
              <a16:creationId xmlns:a16="http://schemas.microsoft.com/office/drawing/2014/main" id="{00000000-0008-0000-0800-00001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5" name="Shape 11">
          <a:extLst>
            <a:ext uri="{FF2B5EF4-FFF2-40B4-BE49-F238E27FC236}">
              <a16:creationId xmlns:a16="http://schemas.microsoft.com/office/drawing/2014/main" id="{00000000-0008-0000-0800-00001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6" name="Shape 11">
          <a:extLst>
            <a:ext uri="{FF2B5EF4-FFF2-40B4-BE49-F238E27FC236}">
              <a16:creationId xmlns:a16="http://schemas.microsoft.com/office/drawing/2014/main" id="{00000000-0008-0000-0800-00001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7" name="Shape 11">
          <a:extLst>
            <a:ext uri="{FF2B5EF4-FFF2-40B4-BE49-F238E27FC236}">
              <a16:creationId xmlns:a16="http://schemas.microsoft.com/office/drawing/2014/main" id="{00000000-0008-0000-0800-00001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8" name="Shape 11">
          <a:extLst>
            <a:ext uri="{FF2B5EF4-FFF2-40B4-BE49-F238E27FC236}">
              <a16:creationId xmlns:a16="http://schemas.microsoft.com/office/drawing/2014/main" id="{00000000-0008-0000-0800-00001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29" name="Shape 12">
          <a:extLst>
            <a:ext uri="{FF2B5EF4-FFF2-40B4-BE49-F238E27FC236}">
              <a16:creationId xmlns:a16="http://schemas.microsoft.com/office/drawing/2014/main" id="{00000000-0008-0000-0800-00001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0" name="Shape 12">
          <a:extLst>
            <a:ext uri="{FF2B5EF4-FFF2-40B4-BE49-F238E27FC236}">
              <a16:creationId xmlns:a16="http://schemas.microsoft.com/office/drawing/2014/main" id="{00000000-0008-0000-0800-00001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1" name="Shape 12">
          <a:extLst>
            <a:ext uri="{FF2B5EF4-FFF2-40B4-BE49-F238E27FC236}">
              <a16:creationId xmlns:a16="http://schemas.microsoft.com/office/drawing/2014/main" id="{00000000-0008-0000-0800-00001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2" name="Shape 12">
          <a:extLst>
            <a:ext uri="{FF2B5EF4-FFF2-40B4-BE49-F238E27FC236}">
              <a16:creationId xmlns:a16="http://schemas.microsoft.com/office/drawing/2014/main" id="{00000000-0008-0000-0800-00001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3" name="Shape 11">
          <a:extLst>
            <a:ext uri="{FF2B5EF4-FFF2-40B4-BE49-F238E27FC236}">
              <a16:creationId xmlns:a16="http://schemas.microsoft.com/office/drawing/2014/main" id="{00000000-0008-0000-0800-00001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4" name="Shape 11">
          <a:extLst>
            <a:ext uri="{FF2B5EF4-FFF2-40B4-BE49-F238E27FC236}">
              <a16:creationId xmlns:a16="http://schemas.microsoft.com/office/drawing/2014/main" id="{00000000-0008-0000-0800-00001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5" name="Shape 11">
          <a:extLst>
            <a:ext uri="{FF2B5EF4-FFF2-40B4-BE49-F238E27FC236}">
              <a16:creationId xmlns:a16="http://schemas.microsoft.com/office/drawing/2014/main" id="{00000000-0008-0000-0800-00001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6" name="Shape 11">
          <a:extLst>
            <a:ext uri="{FF2B5EF4-FFF2-40B4-BE49-F238E27FC236}">
              <a16:creationId xmlns:a16="http://schemas.microsoft.com/office/drawing/2014/main" id="{00000000-0008-0000-0800-00002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7" name="Shape 11">
          <a:extLst>
            <a:ext uri="{FF2B5EF4-FFF2-40B4-BE49-F238E27FC236}">
              <a16:creationId xmlns:a16="http://schemas.microsoft.com/office/drawing/2014/main" id="{00000000-0008-0000-0800-00002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8" name="Shape 11">
          <a:extLst>
            <a:ext uri="{FF2B5EF4-FFF2-40B4-BE49-F238E27FC236}">
              <a16:creationId xmlns:a16="http://schemas.microsoft.com/office/drawing/2014/main" id="{00000000-0008-0000-0800-00002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9" name="Shape 11">
          <a:extLst>
            <a:ext uri="{FF2B5EF4-FFF2-40B4-BE49-F238E27FC236}">
              <a16:creationId xmlns:a16="http://schemas.microsoft.com/office/drawing/2014/main" id="{00000000-0008-0000-0800-00002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0" name="Shape 5">
          <a:extLst>
            <a:ext uri="{FF2B5EF4-FFF2-40B4-BE49-F238E27FC236}">
              <a16:creationId xmlns:a16="http://schemas.microsoft.com/office/drawing/2014/main" id="{00000000-0008-0000-0800-00002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1" name="Shape 5">
          <a:extLst>
            <a:ext uri="{FF2B5EF4-FFF2-40B4-BE49-F238E27FC236}">
              <a16:creationId xmlns:a16="http://schemas.microsoft.com/office/drawing/2014/main" id="{00000000-0008-0000-0800-00002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2" name="Shape 5">
          <a:extLst>
            <a:ext uri="{FF2B5EF4-FFF2-40B4-BE49-F238E27FC236}">
              <a16:creationId xmlns:a16="http://schemas.microsoft.com/office/drawing/2014/main" id="{00000000-0008-0000-0800-00002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3" name="Shape 5">
          <a:extLst>
            <a:ext uri="{FF2B5EF4-FFF2-40B4-BE49-F238E27FC236}">
              <a16:creationId xmlns:a16="http://schemas.microsoft.com/office/drawing/2014/main" id="{00000000-0008-0000-0800-00002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4" name="Shape 6">
          <a:extLst>
            <a:ext uri="{FF2B5EF4-FFF2-40B4-BE49-F238E27FC236}">
              <a16:creationId xmlns:a16="http://schemas.microsoft.com/office/drawing/2014/main" id="{00000000-0008-0000-0800-00002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5" name="Shape 6">
          <a:extLst>
            <a:ext uri="{FF2B5EF4-FFF2-40B4-BE49-F238E27FC236}">
              <a16:creationId xmlns:a16="http://schemas.microsoft.com/office/drawing/2014/main" id="{00000000-0008-0000-0800-00002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6" name="Shape 6">
          <a:extLst>
            <a:ext uri="{FF2B5EF4-FFF2-40B4-BE49-F238E27FC236}">
              <a16:creationId xmlns:a16="http://schemas.microsoft.com/office/drawing/2014/main" id="{00000000-0008-0000-0800-00002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7" name="Shape 6">
          <a:extLst>
            <a:ext uri="{FF2B5EF4-FFF2-40B4-BE49-F238E27FC236}">
              <a16:creationId xmlns:a16="http://schemas.microsoft.com/office/drawing/2014/main" id="{00000000-0008-0000-0800-00002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8" name="Shape 5">
          <a:extLst>
            <a:ext uri="{FF2B5EF4-FFF2-40B4-BE49-F238E27FC236}">
              <a16:creationId xmlns:a16="http://schemas.microsoft.com/office/drawing/2014/main" id="{00000000-0008-0000-0800-00002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9" name="Shape 5">
          <a:extLst>
            <a:ext uri="{FF2B5EF4-FFF2-40B4-BE49-F238E27FC236}">
              <a16:creationId xmlns:a16="http://schemas.microsoft.com/office/drawing/2014/main" id="{00000000-0008-0000-0800-00002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0" name="Shape 5">
          <a:extLst>
            <a:ext uri="{FF2B5EF4-FFF2-40B4-BE49-F238E27FC236}">
              <a16:creationId xmlns:a16="http://schemas.microsoft.com/office/drawing/2014/main" id="{00000000-0008-0000-0800-00002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1" name="Shape 5">
          <a:extLst>
            <a:ext uri="{FF2B5EF4-FFF2-40B4-BE49-F238E27FC236}">
              <a16:creationId xmlns:a16="http://schemas.microsoft.com/office/drawing/2014/main" id="{00000000-0008-0000-0800-00002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2" name="Shape 5">
          <a:extLst>
            <a:ext uri="{FF2B5EF4-FFF2-40B4-BE49-F238E27FC236}">
              <a16:creationId xmlns:a16="http://schemas.microsoft.com/office/drawing/2014/main" id="{00000000-0008-0000-0800-00003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3" name="Shape 5">
          <a:extLst>
            <a:ext uri="{FF2B5EF4-FFF2-40B4-BE49-F238E27FC236}">
              <a16:creationId xmlns:a16="http://schemas.microsoft.com/office/drawing/2014/main" id="{00000000-0008-0000-0800-00003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4" name="Shape 5">
          <a:extLst>
            <a:ext uri="{FF2B5EF4-FFF2-40B4-BE49-F238E27FC236}">
              <a16:creationId xmlns:a16="http://schemas.microsoft.com/office/drawing/2014/main" id="{00000000-0008-0000-0800-00003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5" name="Shape 11">
          <a:extLst>
            <a:ext uri="{FF2B5EF4-FFF2-40B4-BE49-F238E27FC236}">
              <a16:creationId xmlns:a16="http://schemas.microsoft.com/office/drawing/2014/main" id="{00000000-0008-0000-0800-00003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6" name="Shape 11">
          <a:extLst>
            <a:ext uri="{FF2B5EF4-FFF2-40B4-BE49-F238E27FC236}">
              <a16:creationId xmlns:a16="http://schemas.microsoft.com/office/drawing/2014/main" id="{00000000-0008-0000-0800-00003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7" name="Shape 11">
          <a:extLst>
            <a:ext uri="{FF2B5EF4-FFF2-40B4-BE49-F238E27FC236}">
              <a16:creationId xmlns:a16="http://schemas.microsoft.com/office/drawing/2014/main" id="{00000000-0008-0000-0800-00003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8" name="Shape 11">
          <a:extLst>
            <a:ext uri="{FF2B5EF4-FFF2-40B4-BE49-F238E27FC236}">
              <a16:creationId xmlns:a16="http://schemas.microsoft.com/office/drawing/2014/main" id="{00000000-0008-0000-0800-00003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59" name="Shape 12">
          <a:extLst>
            <a:ext uri="{FF2B5EF4-FFF2-40B4-BE49-F238E27FC236}">
              <a16:creationId xmlns:a16="http://schemas.microsoft.com/office/drawing/2014/main" id="{00000000-0008-0000-0800-00003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0" name="Shape 12">
          <a:extLst>
            <a:ext uri="{FF2B5EF4-FFF2-40B4-BE49-F238E27FC236}">
              <a16:creationId xmlns:a16="http://schemas.microsoft.com/office/drawing/2014/main" id="{00000000-0008-0000-0800-00003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1" name="Shape 12">
          <a:extLst>
            <a:ext uri="{FF2B5EF4-FFF2-40B4-BE49-F238E27FC236}">
              <a16:creationId xmlns:a16="http://schemas.microsoft.com/office/drawing/2014/main" id="{00000000-0008-0000-0800-00003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2" name="Shape 12">
          <a:extLst>
            <a:ext uri="{FF2B5EF4-FFF2-40B4-BE49-F238E27FC236}">
              <a16:creationId xmlns:a16="http://schemas.microsoft.com/office/drawing/2014/main" id="{00000000-0008-0000-0800-00003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3" name="Shape 11">
          <a:extLst>
            <a:ext uri="{FF2B5EF4-FFF2-40B4-BE49-F238E27FC236}">
              <a16:creationId xmlns:a16="http://schemas.microsoft.com/office/drawing/2014/main" id="{00000000-0008-0000-0800-00003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4" name="Shape 11">
          <a:extLst>
            <a:ext uri="{FF2B5EF4-FFF2-40B4-BE49-F238E27FC236}">
              <a16:creationId xmlns:a16="http://schemas.microsoft.com/office/drawing/2014/main" id="{00000000-0008-0000-0800-00003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5" name="Shape 11">
          <a:extLst>
            <a:ext uri="{FF2B5EF4-FFF2-40B4-BE49-F238E27FC236}">
              <a16:creationId xmlns:a16="http://schemas.microsoft.com/office/drawing/2014/main" id="{00000000-0008-0000-0800-00003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6" name="Shape 11">
          <a:extLst>
            <a:ext uri="{FF2B5EF4-FFF2-40B4-BE49-F238E27FC236}">
              <a16:creationId xmlns:a16="http://schemas.microsoft.com/office/drawing/2014/main" id="{00000000-0008-0000-0800-00003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7" name="Shape 11">
          <a:extLst>
            <a:ext uri="{FF2B5EF4-FFF2-40B4-BE49-F238E27FC236}">
              <a16:creationId xmlns:a16="http://schemas.microsoft.com/office/drawing/2014/main" id="{00000000-0008-0000-0800-00003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8" name="Shape 11">
          <a:extLst>
            <a:ext uri="{FF2B5EF4-FFF2-40B4-BE49-F238E27FC236}">
              <a16:creationId xmlns:a16="http://schemas.microsoft.com/office/drawing/2014/main" id="{00000000-0008-0000-0800-00004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9" name="Shape 11">
          <a:extLst>
            <a:ext uri="{FF2B5EF4-FFF2-40B4-BE49-F238E27FC236}">
              <a16:creationId xmlns:a16="http://schemas.microsoft.com/office/drawing/2014/main" id="{00000000-0008-0000-0800-00004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0" name="Shape 5">
          <a:extLst>
            <a:ext uri="{FF2B5EF4-FFF2-40B4-BE49-F238E27FC236}">
              <a16:creationId xmlns:a16="http://schemas.microsoft.com/office/drawing/2014/main" id="{00000000-0008-0000-0800-00004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1" name="Shape 5">
          <a:extLst>
            <a:ext uri="{FF2B5EF4-FFF2-40B4-BE49-F238E27FC236}">
              <a16:creationId xmlns:a16="http://schemas.microsoft.com/office/drawing/2014/main" id="{00000000-0008-0000-0800-00004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2" name="Shape 5">
          <a:extLst>
            <a:ext uri="{FF2B5EF4-FFF2-40B4-BE49-F238E27FC236}">
              <a16:creationId xmlns:a16="http://schemas.microsoft.com/office/drawing/2014/main" id="{00000000-0008-0000-0800-00004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3" name="Shape 5">
          <a:extLst>
            <a:ext uri="{FF2B5EF4-FFF2-40B4-BE49-F238E27FC236}">
              <a16:creationId xmlns:a16="http://schemas.microsoft.com/office/drawing/2014/main" id="{00000000-0008-0000-0800-00004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4" name="Shape 6">
          <a:extLst>
            <a:ext uri="{FF2B5EF4-FFF2-40B4-BE49-F238E27FC236}">
              <a16:creationId xmlns:a16="http://schemas.microsoft.com/office/drawing/2014/main" id="{00000000-0008-0000-0800-00004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5" name="Shape 6">
          <a:extLst>
            <a:ext uri="{FF2B5EF4-FFF2-40B4-BE49-F238E27FC236}">
              <a16:creationId xmlns:a16="http://schemas.microsoft.com/office/drawing/2014/main" id="{00000000-0008-0000-0800-00004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6" name="Shape 6">
          <a:extLst>
            <a:ext uri="{FF2B5EF4-FFF2-40B4-BE49-F238E27FC236}">
              <a16:creationId xmlns:a16="http://schemas.microsoft.com/office/drawing/2014/main" id="{00000000-0008-0000-0800-00004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7" name="Shape 6">
          <a:extLst>
            <a:ext uri="{FF2B5EF4-FFF2-40B4-BE49-F238E27FC236}">
              <a16:creationId xmlns:a16="http://schemas.microsoft.com/office/drawing/2014/main" id="{00000000-0008-0000-0800-00004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8" name="Shape 5">
          <a:extLst>
            <a:ext uri="{FF2B5EF4-FFF2-40B4-BE49-F238E27FC236}">
              <a16:creationId xmlns:a16="http://schemas.microsoft.com/office/drawing/2014/main" id="{00000000-0008-0000-0800-00004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9" name="Shape 5">
          <a:extLst>
            <a:ext uri="{FF2B5EF4-FFF2-40B4-BE49-F238E27FC236}">
              <a16:creationId xmlns:a16="http://schemas.microsoft.com/office/drawing/2014/main" id="{00000000-0008-0000-0800-00004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0" name="Shape 5">
          <a:extLst>
            <a:ext uri="{FF2B5EF4-FFF2-40B4-BE49-F238E27FC236}">
              <a16:creationId xmlns:a16="http://schemas.microsoft.com/office/drawing/2014/main" id="{00000000-0008-0000-0800-00004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1" name="Shape 5">
          <a:extLst>
            <a:ext uri="{FF2B5EF4-FFF2-40B4-BE49-F238E27FC236}">
              <a16:creationId xmlns:a16="http://schemas.microsoft.com/office/drawing/2014/main" id="{00000000-0008-0000-0800-00004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2" name="Shape 5">
          <a:extLst>
            <a:ext uri="{FF2B5EF4-FFF2-40B4-BE49-F238E27FC236}">
              <a16:creationId xmlns:a16="http://schemas.microsoft.com/office/drawing/2014/main" id="{00000000-0008-0000-0800-00004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3" name="Shape 5">
          <a:extLst>
            <a:ext uri="{FF2B5EF4-FFF2-40B4-BE49-F238E27FC236}">
              <a16:creationId xmlns:a16="http://schemas.microsoft.com/office/drawing/2014/main" id="{00000000-0008-0000-0800-00004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4" name="Shape 5">
          <a:extLst>
            <a:ext uri="{FF2B5EF4-FFF2-40B4-BE49-F238E27FC236}">
              <a16:creationId xmlns:a16="http://schemas.microsoft.com/office/drawing/2014/main" id="{00000000-0008-0000-0800-00005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5" name="Shape 11">
          <a:extLst>
            <a:ext uri="{FF2B5EF4-FFF2-40B4-BE49-F238E27FC236}">
              <a16:creationId xmlns:a16="http://schemas.microsoft.com/office/drawing/2014/main" id="{00000000-0008-0000-0800-00005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6" name="Shape 11">
          <a:extLst>
            <a:ext uri="{FF2B5EF4-FFF2-40B4-BE49-F238E27FC236}">
              <a16:creationId xmlns:a16="http://schemas.microsoft.com/office/drawing/2014/main" id="{00000000-0008-0000-0800-00005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7" name="Shape 11">
          <a:extLst>
            <a:ext uri="{FF2B5EF4-FFF2-40B4-BE49-F238E27FC236}">
              <a16:creationId xmlns:a16="http://schemas.microsoft.com/office/drawing/2014/main" id="{00000000-0008-0000-0800-00005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8" name="Shape 11">
          <a:extLst>
            <a:ext uri="{FF2B5EF4-FFF2-40B4-BE49-F238E27FC236}">
              <a16:creationId xmlns:a16="http://schemas.microsoft.com/office/drawing/2014/main" id="{00000000-0008-0000-0800-00005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89" name="Shape 12">
          <a:extLst>
            <a:ext uri="{FF2B5EF4-FFF2-40B4-BE49-F238E27FC236}">
              <a16:creationId xmlns:a16="http://schemas.microsoft.com/office/drawing/2014/main" id="{00000000-0008-0000-0800-00005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0" name="Shape 12">
          <a:extLst>
            <a:ext uri="{FF2B5EF4-FFF2-40B4-BE49-F238E27FC236}">
              <a16:creationId xmlns:a16="http://schemas.microsoft.com/office/drawing/2014/main" id="{00000000-0008-0000-0800-00005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1" name="Shape 12">
          <a:extLst>
            <a:ext uri="{FF2B5EF4-FFF2-40B4-BE49-F238E27FC236}">
              <a16:creationId xmlns:a16="http://schemas.microsoft.com/office/drawing/2014/main" id="{00000000-0008-0000-0800-00005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2" name="Shape 12">
          <a:extLst>
            <a:ext uri="{FF2B5EF4-FFF2-40B4-BE49-F238E27FC236}">
              <a16:creationId xmlns:a16="http://schemas.microsoft.com/office/drawing/2014/main" id="{00000000-0008-0000-0800-00005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3" name="Shape 11">
          <a:extLst>
            <a:ext uri="{FF2B5EF4-FFF2-40B4-BE49-F238E27FC236}">
              <a16:creationId xmlns:a16="http://schemas.microsoft.com/office/drawing/2014/main" id="{00000000-0008-0000-0800-00005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4" name="Shape 11">
          <a:extLst>
            <a:ext uri="{FF2B5EF4-FFF2-40B4-BE49-F238E27FC236}">
              <a16:creationId xmlns:a16="http://schemas.microsoft.com/office/drawing/2014/main" id="{00000000-0008-0000-0800-00005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5" name="Shape 11">
          <a:extLst>
            <a:ext uri="{FF2B5EF4-FFF2-40B4-BE49-F238E27FC236}">
              <a16:creationId xmlns:a16="http://schemas.microsoft.com/office/drawing/2014/main" id="{00000000-0008-0000-0800-00005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6" name="Shape 11">
          <a:extLst>
            <a:ext uri="{FF2B5EF4-FFF2-40B4-BE49-F238E27FC236}">
              <a16:creationId xmlns:a16="http://schemas.microsoft.com/office/drawing/2014/main" id="{00000000-0008-0000-0800-00005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7" name="Shape 11">
          <a:extLst>
            <a:ext uri="{FF2B5EF4-FFF2-40B4-BE49-F238E27FC236}">
              <a16:creationId xmlns:a16="http://schemas.microsoft.com/office/drawing/2014/main" id="{00000000-0008-0000-0800-00005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8" name="Shape 11">
          <a:extLst>
            <a:ext uri="{FF2B5EF4-FFF2-40B4-BE49-F238E27FC236}">
              <a16:creationId xmlns:a16="http://schemas.microsoft.com/office/drawing/2014/main" id="{00000000-0008-0000-0800-00005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9" name="Shape 11">
          <a:extLst>
            <a:ext uri="{FF2B5EF4-FFF2-40B4-BE49-F238E27FC236}">
              <a16:creationId xmlns:a16="http://schemas.microsoft.com/office/drawing/2014/main" id="{00000000-0008-0000-0800-00005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0" name="Shape 5">
          <a:extLst>
            <a:ext uri="{FF2B5EF4-FFF2-40B4-BE49-F238E27FC236}">
              <a16:creationId xmlns:a16="http://schemas.microsoft.com/office/drawing/2014/main" id="{00000000-0008-0000-0800-00006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1" name="Shape 5">
          <a:extLst>
            <a:ext uri="{FF2B5EF4-FFF2-40B4-BE49-F238E27FC236}">
              <a16:creationId xmlns:a16="http://schemas.microsoft.com/office/drawing/2014/main" id="{00000000-0008-0000-0800-00006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2" name="Shape 5">
          <a:extLst>
            <a:ext uri="{FF2B5EF4-FFF2-40B4-BE49-F238E27FC236}">
              <a16:creationId xmlns:a16="http://schemas.microsoft.com/office/drawing/2014/main" id="{00000000-0008-0000-0800-00006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3" name="Shape 5">
          <a:extLst>
            <a:ext uri="{FF2B5EF4-FFF2-40B4-BE49-F238E27FC236}">
              <a16:creationId xmlns:a16="http://schemas.microsoft.com/office/drawing/2014/main" id="{00000000-0008-0000-0800-00006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4" name="Shape 6">
          <a:extLst>
            <a:ext uri="{FF2B5EF4-FFF2-40B4-BE49-F238E27FC236}">
              <a16:creationId xmlns:a16="http://schemas.microsoft.com/office/drawing/2014/main" id="{00000000-0008-0000-0800-00006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5" name="Shape 6">
          <a:extLst>
            <a:ext uri="{FF2B5EF4-FFF2-40B4-BE49-F238E27FC236}">
              <a16:creationId xmlns:a16="http://schemas.microsoft.com/office/drawing/2014/main" id="{00000000-0008-0000-0800-00006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6" name="Shape 6">
          <a:extLst>
            <a:ext uri="{FF2B5EF4-FFF2-40B4-BE49-F238E27FC236}">
              <a16:creationId xmlns:a16="http://schemas.microsoft.com/office/drawing/2014/main" id="{00000000-0008-0000-0800-00006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7" name="Shape 6">
          <a:extLst>
            <a:ext uri="{FF2B5EF4-FFF2-40B4-BE49-F238E27FC236}">
              <a16:creationId xmlns:a16="http://schemas.microsoft.com/office/drawing/2014/main" id="{00000000-0008-0000-0800-00006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8" name="Shape 5">
          <a:extLst>
            <a:ext uri="{FF2B5EF4-FFF2-40B4-BE49-F238E27FC236}">
              <a16:creationId xmlns:a16="http://schemas.microsoft.com/office/drawing/2014/main" id="{00000000-0008-0000-0800-00006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9" name="Shape 5">
          <a:extLst>
            <a:ext uri="{FF2B5EF4-FFF2-40B4-BE49-F238E27FC236}">
              <a16:creationId xmlns:a16="http://schemas.microsoft.com/office/drawing/2014/main" id="{00000000-0008-0000-0800-00006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0" name="Shape 5">
          <a:extLst>
            <a:ext uri="{FF2B5EF4-FFF2-40B4-BE49-F238E27FC236}">
              <a16:creationId xmlns:a16="http://schemas.microsoft.com/office/drawing/2014/main" id="{00000000-0008-0000-0800-00006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1" name="Shape 5">
          <a:extLst>
            <a:ext uri="{FF2B5EF4-FFF2-40B4-BE49-F238E27FC236}">
              <a16:creationId xmlns:a16="http://schemas.microsoft.com/office/drawing/2014/main" id="{00000000-0008-0000-0800-00006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2" name="Shape 5">
          <a:extLst>
            <a:ext uri="{FF2B5EF4-FFF2-40B4-BE49-F238E27FC236}">
              <a16:creationId xmlns:a16="http://schemas.microsoft.com/office/drawing/2014/main" id="{00000000-0008-0000-0800-00006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3" name="Shape 5">
          <a:extLst>
            <a:ext uri="{FF2B5EF4-FFF2-40B4-BE49-F238E27FC236}">
              <a16:creationId xmlns:a16="http://schemas.microsoft.com/office/drawing/2014/main" id="{00000000-0008-0000-0800-00006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4" name="Shape 5">
          <a:extLst>
            <a:ext uri="{FF2B5EF4-FFF2-40B4-BE49-F238E27FC236}">
              <a16:creationId xmlns:a16="http://schemas.microsoft.com/office/drawing/2014/main" id="{00000000-0008-0000-0800-00006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5" name="Shape 11">
          <a:extLst>
            <a:ext uri="{FF2B5EF4-FFF2-40B4-BE49-F238E27FC236}">
              <a16:creationId xmlns:a16="http://schemas.microsoft.com/office/drawing/2014/main" id="{00000000-0008-0000-0800-00006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6" name="Shape 11">
          <a:extLst>
            <a:ext uri="{FF2B5EF4-FFF2-40B4-BE49-F238E27FC236}">
              <a16:creationId xmlns:a16="http://schemas.microsoft.com/office/drawing/2014/main" id="{00000000-0008-0000-0800-00007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7" name="Shape 11">
          <a:extLst>
            <a:ext uri="{FF2B5EF4-FFF2-40B4-BE49-F238E27FC236}">
              <a16:creationId xmlns:a16="http://schemas.microsoft.com/office/drawing/2014/main" id="{00000000-0008-0000-0800-00007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8" name="Shape 11">
          <a:extLst>
            <a:ext uri="{FF2B5EF4-FFF2-40B4-BE49-F238E27FC236}">
              <a16:creationId xmlns:a16="http://schemas.microsoft.com/office/drawing/2014/main" id="{00000000-0008-0000-0800-00007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19" name="Shape 12">
          <a:extLst>
            <a:ext uri="{FF2B5EF4-FFF2-40B4-BE49-F238E27FC236}">
              <a16:creationId xmlns:a16="http://schemas.microsoft.com/office/drawing/2014/main" id="{00000000-0008-0000-0800-00007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0" name="Shape 12">
          <a:extLst>
            <a:ext uri="{FF2B5EF4-FFF2-40B4-BE49-F238E27FC236}">
              <a16:creationId xmlns:a16="http://schemas.microsoft.com/office/drawing/2014/main" id="{00000000-0008-0000-0800-00007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1" name="Shape 12">
          <a:extLst>
            <a:ext uri="{FF2B5EF4-FFF2-40B4-BE49-F238E27FC236}">
              <a16:creationId xmlns:a16="http://schemas.microsoft.com/office/drawing/2014/main" id="{00000000-0008-0000-0800-00007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2" name="Shape 12">
          <a:extLst>
            <a:ext uri="{FF2B5EF4-FFF2-40B4-BE49-F238E27FC236}">
              <a16:creationId xmlns:a16="http://schemas.microsoft.com/office/drawing/2014/main" id="{00000000-0008-0000-0800-00007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3" name="Shape 11">
          <a:extLst>
            <a:ext uri="{FF2B5EF4-FFF2-40B4-BE49-F238E27FC236}">
              <a16:creationId xmlns:a16="http://schemas.microsoft.com/office/drawing/2014/main" id="{00000000-0008-0000-0800-00007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4" name="Shape 11">
          <a:extLst>
            <a:ext uri="{FF2B5EF4-FFF2-40B4-BE49-F238E27FC236}">
              <a16:creationId xmlns:a16="http://schemas.microsoft.com/office/drawing/2014/main" id="{00000000-0008-0000-0800-00007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5" name="Shape 11">
          <a:extLst>
            <a:ext uri="{FF2B5EF4-FFF2-40B4-BE49-F238E27FC236}">
              <a16:creationId xmlns:a16="http://schemas.microsoft.com/office/drawing/2014/main" id="{00000000-0008-0000-0800-00007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6" name="Shape 11">
          <a:extLst>
            <a:ext uri="{FF2B5EF4-FFF2-40B4-BE49-F238E27FC236}">
              <a16:creationId xmlns:a16="http://schemas.microsoft.com/office/drawing/2014/main" id="{00000000-0008-0000-0800-00007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7" name="Shape 11">
          <a:extLst>
            <a:ext uri="{FF2B5EF4-FFF2-40B4-BE49-F238E27FC236}">
              <a16:creationId xmlns:a16="http://schemas.microsoft.com/office/drawing/2014/main" id="{00000000-0008-0000-0800-00007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8" name="Shape 11">
          <a:extLst>
            <a:ext uri="{FF2B5EF4-FFF2-40B4-BE49-F238E27FC236}">
              <a16:creationId xmlns:a16="http://schemas.microsoft.com/office/drawing/2014/main" id="{00000000-0008-0000-0800-00007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9" name="Shape 11">
          <a:extLst>
            <a:ext uri="{FF2B5EF4-FFF2-40B4-BE49-F238E27FC236}">
              <a16:creationId xmlns:a16="http://schemas.microsoft.com/office/drawing/2014/main" id="{00000000-0008-0000-0800-00007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0" name="Shape 5">
          <a:extLst>
            <a:ext uri="{FF2B5EF4-FFF2-40B4-BE49-F238E27FC236}">
              <a16:creationId xmlns:a16="http://schemas.microsoft.com/office/drawing/2014/main" id="{00000000-0008-0000-0800-00007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1" name="Shape 5">
          <a:extLst>
            <a:ext uri="{FF2B5EF4-FFF2-40B4-BE49-F238E27FC236}">
              <a16:creationId xmlns:a16="http://schemas.microsoft.com/office/drawing/2014/main" id="{00000000-0008-0000-0800-00007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2" name="Shape 5">
          <a:extLst>
            <a:ext uri="{FF2B5EF4-FFF2-40B4-BE49-F238E27FC236}">
              <a16:creationId xmlns:a16="http://schemas.microsoft.com/office/drawing/2014/main" id="{00000000-0008-0000-0800-00008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3" name="Shape 5">
          <a:extLst>
            <a:ext uri="{FF2B5EF4-FFF2-40B4-BE49-F238E27FC236}">
              <a16:creationId xmlns:a16="http://schemas.microsoft.com/office/drawing/2014/main" id="{00000000-0008-0000-0800-00008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4" name="Shape 6">
          <a:extLst>
            <a:ext uri="{FF2B5EF4-FFF2-40B4-BE49-F238E27FC236}">
              <a16:creationId xmlns:a16="http://schemas.microsoft.com/office/drawing/2014/main" id="{00000000-0008-0000-0800-00008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5" name="Shape 6">
          <a:extLst>
            <a:ext uri="{FF2B5EF4-FFF2-40B4-BE49-F238E27FC236}">
              <a16:creationId xmlns:a16="http://schemas.microsoft.com/office/drawing/2014/main" id="{00000000-0008-0000-0800-00008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6" name="Shape 6">
          <a:extLst>
            <a:ext uri="{FF2B5EF4-FFF2-40B4-BE49-F238E27FC236}">
              <a16:creationId xmlns:a16="http://schemas.microsoft.com/office/drawing/2014/main" id="{00000000-0008-0000-0800-00008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7" name="Shape 6">
          <a:extLst>
            <a:ext uri="{FF2B5EF4-FFF2-40B4-BE49-F238E27FC236}">
              <a16:creationId xmlns:a16="http://schemas.microsoft.com/office/drawing/2014/main" id="{00000000-0008-0000-0800-00008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8" name="Shape 5">
          <a:extLst>
            <a:ext uri="{FF2B5EF4-FFF2-40B4-BE49-F238E27FC236}">
              <a16:creationId xmlns:a16="http://schemas.microsoft.com/office/drawing/2014/main" id="{00000000-0008-0000-0800-00008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9" name="Shape 5">
          <a:extLst>
            <a:ext uri="{FF2B5EF4-FFF2-40B4-BE49-F238E27FC236}">
              <a16:creationId xmlns:a16="http://schemas.microsoft.com/office/drawing/2014/main" id="{00000000-0008-0000-0800-00008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0" name="Shape 5">
          <a:extLst>
            <a:ext uri="{FF2B5EF4-FFF2-40B4-BE49-F238E27FC236}">
              <a16:creationId xmlns:a16="http://schemas.microsoft.com/office/drawing/2014/main" id="{00000000-0008-0000-0800-00008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1" name="Shape 5">
          <a:extLst>
            <a:ext uri="{FF2B5EF4-FFF2-40B4-BE49-F238E27FC236}">
              <a16:creationId xmlns:a16="http://schemas.microsoft.com/office/drawing/2014/main" id="{00000000-0008-0000-0800-00008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2" name="Shape 5">
          <a:extLst>
            <a:ext uri="{FF2B5EF4-FFF2-40B4-BE49-F238E27FC236}">
              <a16:creationId xmlns:a16="http://schemas.microsoft.com/office/drawing/2014/main" id="{00000000-0008-0000-0800-00008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3" name="Shape 5">
          <a:extLst>
            <a:ext uri="{FF2B5EF4-FFF2-40B4-BE49-F238E27FC236}">
              <a16:creationId xmlns:a16="http://schemas.microsoft.com/office/drawing/2014/main" id="{00000000-0008-0000-0800-00008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4" name="Shape 5">
          <a:extLst>
            <a:ext uri="{FF2B5EF4-FFF2-40B4-BE49-F238E27FC236}">
              <a16:creationId xmlns:a16="http://schemas.microsoft.com/office/drawing/2014/main" id="{00000000-0008-0000-0800-00008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5" name="Shape 11">
          <a:extLst>
            <a:ext uri="{FF2B5EF4-FFF2-40B4-BE49-F238E27FC236}">
              <a16:creationId xmlns:a16="http://schemas.microsoft.com/office/drawing/2014/main" id="{00000000-0008-0000-0800-00008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6" name="Shape 11">
          <a:extLst>
            <a:ext uri="{FF2B5EF4-FFF2-40B4-BE49-F238E27FC236}">
              <a16:creationId xmlns:a16="http://schemas.microsoft.com/office/drawing/2014/main" id="{00000000-0008-0000-0800-00008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7" name="Shape 11">
          <a:extLst>
            <a:ext uri="{FF2B5EF4-FFF2-40B4-BE49-F238E27FC236}">
              <a16:creationId xmlns:a16="http://schemas.microsoft.com/office/drawing/2014/main" id="{00000000-0008-0000-0800-00008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8" name="Shape 11">
          <a:extLst>
            <a:ext uri="{FF2B5EF4-FFF2-40B4-BE49-F238E27FC236}">
              <a16:creationId xmlns:a16="http://schemas.microsoft.com/office/drawing/2014/main" id="{00000000-0008-0000-0800-00009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49" name="Shape 12">
          <a:extLst>
            <a:ext uri="{FF2B5EF4-FFF2-40B4-BE49-F238E27FC236}">
              <a16:creationId xmlns:a16="http://schemas.microsoft.com/office/drawing/2014/main" id="{00000000-0008-0000-0800-00009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0" name="Shape 12">
          <a:extLst>
            <a:ext uri="{FF2B5EF4-FFF2-40B4-BE49-F238E27FC236}">
              <a16:creationId xmlns:a16="http://schemas.microsoft.com/office/drawing/2014/main" id="{00000000-0008-0000-0800-00009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1" name="Shape 12">
          <a:extLst>
            <a:ext uri="{FF2B5EF4-FFF2-40B4-BE49-F238E27FC236}">
              <a16:creationId xmlns:a16="http://schemas.microsoft.com/office/drawing/2014/main" id="{00000000-0008-0000-0800-00009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2" name="Shape 12">
          <a:extLst>
            <a:ext uri="{FF2B5EF4-FFF2-40B4-BE49-F238E27FC236}">
              <a16:creationId xmlns:a16="http://schemas.microsoft.com/office/drawing/2014/main" id="{00000000-0008-0000-0800-00009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3" name="Shape 11">
          <a:extLst>
            <a:ext uri="{FF2B5EF4-FFF2-40B4-BE49-F238E27FC236}">
              <a16:creationId xmlns:a16="http://schemas.microsoft.com/office/drawing/2014/main" id="{00000000-0008-0000-0800-00009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4" name="Shape 11">
          <a:extLst>
            <a:ext uri="{FF2B5EF4-FFF2-40B4-BE49-F238E27FC236}">
              <a16:creationId xmlns:a16="http://schemas.microsoft.com/office/drawing/2014/main" id="{00000000-0008-0000-0800-00009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5" name="Shape 11">
          <a:extLst>
            <a:ext uri="{FF2B5EF4-FFF2-40B4-BE49-F238E27FC236}">
              <a16:creationId xmlns:a16="http://schemas.microsoft.com/office/drawing/2014/main" id="{00000000-0008-0000-0800-00009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6" name="Shape 11">
          <a:extLst>
            <a:ext uri="{FF2B5EF4-FFF2-40B4-BE49-F238E27FC236}">
              <a16:creationId xmlns:a16="http://schemas.microsoft.com/office/drawing/2014/main" id="{00000000-0008-0000-0800-00009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7" name="Shape 11">
          <a:extLst>
            <a:ext uri="{FF2B5EF4-FFF2-40B4-BE49-F238E27FC236}">
              <a16:creationId xmlns:a16="http://schemas.microsoft.com/office/drawing/2014/main" id="{00000000-0008-0000-0800-00009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8" name="Shape 11">
          <a:extLst>
            <a:ext uri="{FF2B5EF4-FFF2-40B4-BE49-F238E27FC236}">
              <a16:creationId xmlns:a16="http://schemas.microsoft.com/office/drawing/2014/main" id="{00000000-0008-0000-0800-00009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9" name="Shape 11">
          <a:extLst>
            <a:ext uri="{FF2B5EF4-FFF2-40B4-BE49-F238E27FC236}">
              <a16:creationId xmlns:a16="http://schemas.microsoft.com/office/drawing/2014/main" id="{00000000-0008-0000-0800-00009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0" name="Shape 5">
          <a:extLst>
            <a:ext uri="{FF2B5EF4-FFF2-40B4-BE49-F238E27FC236}">
              <a16:creationId xmlns:a16="http://schemas.microsoft.com/office/drawing/2014/main" id="{00000000-0008-0000-0800-00009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1" name="Shape 5">
          <a:extLst>
            <a:ext uri="{FF2B5EF4-FFF2-40B4-BE49-F238E27FC236}">
              <a16:creationId xmlns:a16="http://schemas.microsoft.com/office/drawing/2014/main" id="{00000000-0008-0000-0800-00009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2" name="Shape 5">
          <a:extLst>
            <a:ext uri="{FF2B5EF4-FFF2-40B4-BE49-F238E27FC236}">
              <a16:creationId xmlns:a16="http://schemas.microsoft.com/office/drawing/2014/main" id="{00000000-0008-0000-0800-00009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3" name="Shape 5">
          <a:extLst>
            <a:ext uri="{FF2B5EF4-FFF2-40B4-BE49-F238E27FC236}">
              <a16:creationId xmlns:a16="http://schemas.microsoft.com/office/drawing/2014/main" id="{00000000-0008-0000-0800-00009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4" name="Shape 6">
          <a:extLst>
            <a:ext uri="{FF2B5EF4-FFF2-40B4-BE49-F238E27FC236}">
              <a16:creationId xmlns:a16="http://schemas.microsoft.com/office/drawing/2014/main" id="{00000000-0008-0000-0800-0000A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5" name="Shape 6">
          <a:extLst>
            <a:ext uri="{FF2B5EF4-FFF2-40B4-BE49-F238E27FC236}">
              <a16:creationId xmlns:a16="http://schemas.microsoft.com/office/drawing/2014/main" id="{00000000-0008-0000-0800-0000A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6" name="Shape 6">
          <a:extLst>
            <a:ext uri="{FF2B5EF4-FFF2-40B4-BE49-F238E27FC236}">
              <a16:creationId xmlns:a16="http://schemas.microsoft.com/office/drawing/2014/main" id="{00000000-0008-0000-0800-0000A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7" name="Shape 6">
          <a:extLst>
            <a:ext uri="{FF2B5EF4-FFF2-40B4-BE49-F238E27FC236}">
              <a16:creationId xmlns:a16="http://schemas.microsoft.com/office/drawing/2014/main" id="{00000000-0008-0000-0800-0000A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8" name="Shape 5">
          <a:extLst>
            <a:ext uri="{FF2B5EF4-FFF2-40B4-BE49-F238E27FC236}">
              <a16:creationId xmlns:a16="http://schemas.microsoft.com/office/drawing/2014/main" id="{00000000-0008-0000-0800-0000A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9" name="Shape 5">
          <a:extLst>
            <a:ext uri="{FF2B5EF4-FFF2-40B4-BE49-F238E27FC236}">
              <a16:creationId xmlns:a16="http://schemas.microsoft.com/office/drawing/2014/main" id="{00000000-0008-0000-0800-0000A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0" name="Shape 5">
          <a:extLst>
            <a:ext uri="{FF2B5EF4-FFF2-40B4-BE49-F238E27FC236}">
              <a16:creationId xmlns:a16="http://schemas.microsoft.com/office/drawing/2014/main" id="{00000000-0008-0000-0800-0000A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1" name="Shape 5">
          <a:extLst>
            <a:ext uri="{FF2B5EF4-FFF2-40B4-BE49-F238E27FC236}">
              <a16:creationId xmlns:a16="http://schemas.microsoft.com/office/drawing/2014/main" id="{00000000-0008-0000-0800-0000A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2" name="Shape 5">
          <a:extLst>
            <a:ext uri="{FF2B5EF4-FFF2-40B4-BE49-F238E27FC236}">
              <a16:creationId xmlns:a16="http://schemas.microsoft.com/office/drawing/2014/main" id="{00000000-0008-0000-0800-0000A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3" name="Shape 5">
          <a:extLst>
            <a:ext uri="{FF2B5EF4-FFF2-40B4-BE49-F238E27FC236}">
              <a16:creationId xmlns:a16="http://schemas.microsoft.com/office/drawing/2014/main" id="{00000000-0008-0000-0800-0000A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4" name="Shape 5">
          <a:extLst>
            <a:ext uri="{FF2B5EF4-FFF2-40B4-BE49-F238E27FC236}">
              <a16:creationId xmlns:a16="http://schemas.microsoft.com/office/drawing/2014/main" id="{00000000-0008-0000-0800-0000A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5" name="Shape 11">
          <a:extLst>
            <a:ext uri="{FF2B5EF4-FFF2-40B4-BE49-F238E27FC236}">
              <a16:creationId xmlns:a16="http://schemas.microsoft.com/office/drawing/2014/main" id="{00000000-0008-0000-0800-0000A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6" name="Shape 11">
          <a:extLst>
            <a:ext uri="{FF2B5EF4-FFF2-40B4-BE49-F238E27FC236}">
              <a16:creationId xmlns:a16="http://schemas.microsoft.com/office/drawing/2014/main" id="{00000000-0008-0000-0800-0000A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7" name="Shape 11">
          <a:extLst>
            <a:ext uri="{FF2B5EF4-FFF2-40B4-BE49-F238E27FC236}">
              <a16:creationId xmlns:a16="http://schemas.microsoft.com/office/drawing/2014/main" id="{00000000-0008-0000-0800-0000A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8" name="Shape 11">
          <a:extLst>
            <a:ext uri="{FF2B5EF4-FFF2-40B4-BE49-F238E27FC236}">
              <a16:creationId xmlns:a16="http://schemas.microsoft.com/office/drawing/2014/main" id="{00000000-0008-0000-0800-0000A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79" name="Shape 12">
          <a:extLst>
            <a:ext uri="{FF2B5EF4-FFF2-40B4-BE49-F238E27FC236}">
              <a16:creationId xmlns:a16="http://schemas.microsoft.com/office/drawing/2014/main" id="{00000000-0008-0000-0800-0000A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0" name="Shape 12">
          <a:extLst>
            <a:ext uri="{FF2B5EF4-FFF2-40B4-BE49-F238E27FC236}">
              <a16:creationId xmlns:a16="http://schemas.microsoft.com/office/drawing/2014/main" id="{00000000-0008-0000-0800-0000B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1" name="Shape 12">
          <a:extLst>
            <a:ext uri="{FF2B5EF4-FFF2-40B4-BE49-F238E27FC236}">
              <a16:creationId xmlns:a16="http://schemas.microsoft.com/office/drawing/2014/main" id="{00000000-0008-0000-0800-0000B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2" name="Shape 12">
          <a:extLst>
            <a:ext uri="{FF2B5EF4-FFF2-40B4-BE49-F238E27FC236}">
              <a16:creationId xmlns:a16="http://schemas.microsoft.com/office/drawing/2014/main" id="{00000000-0008-0000-0800-0000B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3" name="Shape 11">
          <a:extLst>
            <a:ext uri="{FF2B5EF4-FFF2-40B4-BE49-F238E27FC236}">
              <a16:creationId xmlns:a16="http://schemas.microsoft.com/office/drawing/2014/main" id="{00000000-0008-0000-0800-0000B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4" name="Shape 11">
          <a:extLst>
            <a:ext uri="{FF2B5EF4-FFF2-40B4-BE49-F238E27FC236}">
              <a16:creationId xmlns:a16="http://schemas.microsoft.com/office/drawing/2014/main" id="{00000000-0008-0000-0800-0000B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5" name="Shape 11">
          <a:extLst>
            <a:ext uri="{FF2B5EF4-FFF2-40B4-BE49-F238E27FC236}">
              <a16:creationId xmlns:a16="http://schemas.microsoft.com/office/drawing/2014/main" id="{00000000-0008-0000-0800-0000B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6" name="Shape 11">
          <a:extLst>
            <a:ext uri="{FF2B5EF4-FFF2-40B4-BE49-F238E27FC236}">
              <a16:creationId xmlns:a16="http://schemas.microsoft.com/office/drawing/2014/main" id="{00000000-0008-0000-0800-0000B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7" name="Shape 11">
          <a:extLst>
            <a:ext uri="{FF2B5EF4-FFF2-40B4-BE49-F238E27FC236}">
              <a16:creationId xmlns:a16="http://schemas.microsoft.com/office/drawing/2014/main" id="{00000000-0008-0000-0800-0000B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8" name="Shape 11">
          <a:extLst>
            <a:ext uri="{FF2B5EF4-FFF2-40B4-BE49-F238E27FC236}">
              <a16:creationId xmlns:a16="http://schemas.microsoft.com/office/drawing/2014/main" id="{00000000-0008-0000-0800-0000B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9" name="Shape 11">
          <a:extLst>
            <a:ext uri="{FF2B5EF4-FFF2-40B4-BE49-F238E27FC236}">
              <a16:creationId xmlns:a16="http://schemas.microsoft.com/office/drawing/2014/main" id="{00000000-0008-0000-0800-0000B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0" name="Shape 5">
          <a:extLst>
            <a:ext uri="{FF2B5EF4-FFF2-40B4-BE49-F238E27FC236}">
              <a16:creationId xmlns:a16="http://schemas.microsoft.com/office/drawing/2014/main" id="{00000000-0008-0000-0800-0000B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1" name="Shape 5">
          <a:extLst>
            <a:ext uri="{FF2B5EF4-FFF2-40B4-BE49-F238E27FC236}">
              <a16:creationId xmlns:a16="http://schemas.microsoft.com/office/drawing/2014/main" id="{00000000-0008-0000-0800-0000B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2" name="Shape 5">
          <a:extLst>
            <a:ext uri="{FF2B5EF4-FFF2-40B4-BE49-F238E27FC236}">
              <a16:creationId xmlns:a16="http://schemas.microsoft.com/office/drawing/2014/main" id="{00000000-0008-0000-0800-0000B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3" name="Shape 5">
          <a:extLst>
            <a:ext uri="{FF2B5EF4-FFF2-40B4-BE49-F238E27FC236}">
              <a16:creationId xmlns:a16="http://schemas.microsoft.com/office/drawing/2014/main" id="{00000000-0008-0000-0800-0000B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4" name="Shape 6">
          <a:extLst>
            <a:ext uri="{FF2B5EF4-FFF2-40B4-BE49-F238E27FC236}">
              <a16:creationId xmlns:a16="http://schemas.microsoft.com/office/drawing/2014/main" id="{00000000-0008-0000-0800-0000B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5" name="Shape 6">
          <a:extLst>
            <a:ext uri="{FF2B5EF4-FFF2-40B4-BE49-F238E27FC236}">
              <a16:creationId xmlns:a16="http://schemas.microsoft.com/office/drawing/2014/main" id="{00000000-0008-0000-0800-0000B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6" name="Shape 6">
          <a:extLst>
            <a:ext uri="{FF2B5EF4-FFF2-40B4-BE49-F238E27FC236}">
              <a16:creationId xmlns:a16="http://schemas.microsoft.com/office/drawing/2014/main" id="{00000000-0008-0000-0800-0000C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7" name="Shape 6">
          <a:extLst>
            <a:ext uri="{FF2B5EF4-FFF2-40B4-BE49-F238E27FC236}">
              <a16:creationId xmlns:a16="http://schemas.microsoft.com/office/drawing/2014/main" id="{00000000-0008-0000-0800-0000C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8" name="Shape 5">
          <a:extLst>
            <a:ext uri="{FF2B5EF4-FFF2-40B4-BE49-F238E27FC236}">
              <a16:creationId xmlns:a16="http://schemas.microsoft.com/office/drawing/2014/main" id="{00000000-0008-0000-0800-0000C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9" name="Shape 5">
          <a:extLst>
            <a:ext uri="{FF2B5EF4-FFF2-40B4-BE49-F238E27FC236}">
              <a16:creationId xmlns:a16="http://schemas.microsoft.com/office/drawing/2014/main" id="{00000000-0008-0000-0800-0000C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0" name="Shape 5">
          <a:extLst>
            <a:ext uri="{FF2B5EF4-FFF2-40B4-BE49-F238E27FC236}">
              <a16:creationId xmlns:a16="http://schemas.microsoft.com/office/drawing/2014/main" id="{00000000-0008-0000-0800-0000C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1" name="Shape 5">
          <a:extLst>
            <a:ext uri="{FF2B5EF4-FFF2-40B4-BE49-F238E27FC236}">
              <a16:creationId xmlns:a16="http://schemas.microsoft.com/office/drawing/2014/main" id="{00000000-0008-0000-0800-0000C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2" name="Shape 5">
          <a:extLst>
            <a:ext uri="{FF2B5EF4-FFF2-40B4-BE49-F238E27FC236}">
              <a16:creationId xmlns:a16="http://schemas.microsoft.com/office/drawing/2014/main" id="{00000000-0008-0000-0800-0000C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3" name="Shape 5">
          <a:extLst>
            <a:ext uri="{FF2B5EF4-FFF2-40B4-BE49-F238E27FC236}">
              <a16:creationId xmlns:a16="http://schemas.microsoft.com/office/drawing/2014/main" id="{00000000-0008-0000-0800-0000C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4" name="Shape 5">
          <a:extLst>
            <a:ext uri="{FF2B5EF4-FFF2-40B4-BE49-F238E27FC236}">
              <a16:creationId xmlns:a16="http://schemas.microsoft.com/office/drawing/2014/main" id="{00000000-0008-0000-0800-0000C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5" name="Shape 11">
          <a:extLst>
            <a:ext uri="{FF2B5EF4-FFF2-40B4-BE49-F238E27FC236}">
              <a16:creationId xmlns:a16="http://schemas.microsoft.com/office/drawing/2014/main" id="{00000000-0008-0000-0800-0000C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6" name="Shape 11">
          <a:extLst>
            <a:ext uri="{FF2B5EF4-FFF2-40B4-BE49-F238E27FC236}">
              <a16:creationId xmlns:a16="http://schemas.microsoft.com/office/drawing/2014/main" id="{00000000-0008-0000-0800-0000C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7" name="Shape 11">
          <a:extLst>
            <a:ext uri="{FF2B5EF4-FFF2-40B4-BE49-F238E27FC236}">
              <a16:creationId xmlns:a16="http://schemas.microsoft.com/office/drawing/2014/main" id="{00000000-0008-0000-0800-0000C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8" name="Shape 11">
          <a:extLst>
            <a:ext uri="{FF2B5EF4-FFF2-40B4-BE49-F238E27FC236}">
              <a16:creationId xmlns:a16="http://schemas.microsoft.com/office/drawing/2014/main" id="{00000000-0008-0000-0800-0000C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09" name="Shape 12">
          <a:extLst>
            <a:ext uri="{FF2B5EF4-FFF2-40B4-BE49-F238E27FC236}">
              <a16:creationId xmlns:a16="http://schemas.microsoft.com/office/drawing/2014/main" id="{00000000-0008-0000-0800-0000C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0" name="Shape 12">
          <a:extLst>
            <a:ext uri="{FF2B5EF4-FFF2-40B4-BE49-F238E27FC236}">
              <a16:creationId xmlns:a16="http://schemas.microsoft.com/office/drawing/2014/main" id="{00000000-0008-0000-0800-0000C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1" name="Shape 12">
          <a:extLst>
            <a:ext uri="{FF2B5EF4-FFF2-40B4-BE49-F238E27FC236}">
              <a16:creationId xmlns:a16="http://schemas.microsoft.com/office/drawing/2014/main" id="{00000000-0008-0000-0800-0000C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2" name="Shape 12">
          <a:extLst>
            <a:ext uri="{FF2B5EF4-FFF2-40B4-BE49-F238E27FC236}">
              <a16:creationId xmlns:a16="http://schemas.microsoft.com/office/drawing/2014/main" id="{00000000-0008-0000-0800-0000D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3" name="Shape 11">
          <a:extLst>
            <a:ext uri="{FF2B5EF4-FFF2-40B4-BE49-F238E27FC236}">
              <a16:creationId xmlns:a16="http://schemas.microsoft.com/office/drawing/2014/main" id="{00000000-0008-0000-0800-0000D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4" name="Shape 11">
          <a:extLst>
            <a:ext uri="{FF2B5EF4-FFF2-40B4-BE49-F238E27FC236}">
              <a16:creationId xmlns:a16="http://schemas.microsoft.com/office/drawing/2014/main" id="{00000000-0008-0000-0800-0000D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5" name="Shape 11">
          <a:extLst>
            <a:ext uri="{FF2B5EF4-FFF2-40B4-BE49-F238E27FC236}">
              <a16:creationId xmlns:a16="http://schemas.microsoft.com/office/drawing/2014/main" id="{00000000-0008-0000-0800-0000D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6" name="Shape 11">
          <a:extLst>
            <a:ext uri="{FF2B5EF4-FFF2-40B4-BE49-F238E27FC236}">
              <a16:creationId xmlns:a16="http://schemas.microsoft.com/office/drawing/2014/main" id="{00000000-0008-0000-0800-0000D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7" name="Shape 11">
          <a:extLst>
            <a:ext uri="{FF2B5EF4-FFF2-40B4-BE49-F238E27FC236}">
              <a16:creationId xmlns:a16="http://schemas.microsoft.com/office/drawing/2014/main" id="{00000000-0008-0000-0800-0000D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8" name="Shape 11">
          <a:extLst>
            <a:ext uri="{FF2B5EF4-FFF2-40B4-BE49-F238E27FC236}">
              <a16:creationId xmlns:a16="http://schemas.microsoft.com/office/drawing/2014/main" id="{00000000-0008-0000-0800-0000D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9" name="Shape 11">
          <a:extLst>
            <a:ext uri="{FF2B5EF4-FFF2-40B4-BE49-F238E27FC236}">
              <a16:creationId xmlns:a16="http://schemas.microsoft.com/office/drawing/2014/main" id="{00000000-0008-0000-0800-0000D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0" name="Shape 5">
          <a:extLst>
            <a:ext uri="{FF2B5EF4-FFF2-40B4-BE49-F238E27FC236}">
              <a16:creationId xmlns:a16="http://schemas.microsoft.com/office/drawing/2014/main" id="{00000000-0008-0000-0800-0000D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1" name="Shape 5">
          <a:extLst>
            <a:ext uri="{FF2B5EF4-FFF2-40B4-BE49-F238E27FC236}">
              <a16:creationId xmlns:a16="http://schemas.microsoft.com/office/drawing/2014/main" id="{00000000-0008-0000-0800-0000D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2" name="Shape 5">
          <a:extLst>
            <a:ext uri="{FF2B5EF4-FFF2-40B4-BE49-F238E27FC236}">
              <a16:creationId xmlns:a16="http://schemas.microsoft.com/office/drawing/2014/main" id="{00000000-0008-0000-0800-0000D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3" name="Shape 5">
          <a:extLst>
            <a:ext uri="{FF2B5EF4-FFF2-40B4-BE49-F238E27FC236}">
              <a16:creationId xmlns:a16="http://schemas.microsoft.com/office/drawing/2014/main" id="{00000000-0008-0000-0800-0000D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4" name="Shape 6">
          <a:extLst>
            <a:ext uri="{FF2B5EF4-FFF2-40B4-BE49-F238E27FC236}">
              <a16:creationId xmlns:a16="http://schemas.microsoft.com/office/drawing/2014/main" id="{00000000-0008-0000-0800-0000D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5" name="Shape 6">
          <a:extLst>
            <a:ext uri="{FF2B5EF4-FFF2-40B4-BE49-F238E27FC236}">
              <a16:creationId xmlns:a16="http://schemas.microsoft.com/office/drawing/2014/main" id="{00000000-0008-0000-0800-0000D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6" name="Shape 6">
          <a:extLst>
            <a:ext uri="{FF2B5EF4-FFF2-40B4-BE49-F238E27FC236}">
              <a16:creationId xmlns:a16="http://schemas.microsoft.com/office/drawing/2014/main" id="{00000000-0008-0000-0800-0000D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7" name="Shape 6">
          <a:extLst>
            <a:ext uri="{FF2B5EF4-FFF2-40B4-BE49-F238E27FC236}">
              <a16:creationId xmlns:a16="http://schemas.microsoft.com/office/drawing/2014/main" id="{00000000-0008-0000-0800-0000D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8" name="Shape 5">
          <a:extLst>
            <a:ext uri="{FF2B5EF4-FFF2-40B4-BE49-F238E27FC236}">
              <a16:creationId xmlns:a16="http://schemas.microsoft.com/office/drawing/2014/main" id="{00000000-0008-0000-0800-0000E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9" name="Shape 5">
          <a:extLst>
            <a:ext uri="{FF2B5EF4-FFF2-40B4-BE49-F238E27FC236}">
              <a16:creationId xmlns:a16="http://schemas.microsoft.com/office/drawing/2014/main" id="{00000000-0008-0000-0800-0000E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0" name="Shape 5">
          <a:extLst>
            <a:ext uri="{FF2B5EF4-FFF2-40B4-BE49-F238E27FC236}">
              <a16:creationId xmlns:a16="http://schemas.microsoft.com/office/drawing/2014/main" id="{00000000-0008-0000-0800-0000E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1" name="Shape 5">
          <a:extLst>
            <a:ext uri="{FF2B5EF4-FFF2-40B4-BE49-F238E27FC236}">
              <a16:creationId xmlns:a16="http://schemas.microsoft.com/office/drawing/2014/main" id="{00000000-0008-0000-0800-0000E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2" name="Shape 5">
          <a:extLst>
            <a:ext uri="{FF2B5EF4-FFF2-40B4-BE49-F238E27FC236}">
              <a16:creationId xmlns:a16="http://schemas.microsoft.com/office/drawing/2014/main" id="{00000000-0008-0000-0800-0000E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3" name="Shape 5">
          <a:extLst>
            <a:ext uri="{FF2B5EF4-FFF2-40B4-BE49-F238E27FC236}">
              <a16:creationId xmlns:a16="http://schemas.microsoft.com/office/drawing/2014/main" id="{00000000-0008-0000-0800-0000E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4" name="Shape 5">
          <a:extLst>
            <a:ext uri="{FF2B5EF4-FFF2-40B4-BE49-F238E27FC236}">
              <a16:creationId xmlns:a16="http://schemas.microsoft.com/office/drawing/2014/main" id="{00000000-0008-0000-0800-0000E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5" name="Shape 11">
          <a:extLst>
            <a:ext uri="{FF2B5EF4-FFF2-40B4-BE49-F238E27FC236}">
              <a16:creationId xmlns:a16="http://schemas.microsoft.com/office/drawing/2014/main" id="{00000000-0008-0000-0800-0000E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6" name="Shape 11">
          <a:extLst>
            <a:ext uri="{FF2B5EF4-FFF2-40B4-BE49-F238E27FC236}">
              <a16:creationId xmlns:a16="http://schemas.microsoft.com/office/drawing/2014/main" id="{00000000-0008-0000-0800-0000E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7" name="Shape 11">
          <a:extLst>
            <a:ext uri="{FF2B5EF4-FFF2-40B4-BE49-F238E27FC236}">
              <a16:creationId xmlns:a16="http://schemas.microsoft.com/office/drawing/2014/main" id="{00000000-0008-0000-0800-0000E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8" name="Shape 11">
          <a:extLst>
            <a:ext uri="{FF2B5EF4-FFF2-40B4-BE49-F238E27FC236}">
              <a16:creationId xmlns:a16="http://schemas.microsoft.com/office/drawing/2014/main" id="{00000000-0008-0000-0800-0000E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39" name="Shape 12">
          <a:extLst>
            <a:ext uri="{FF2B5EF4-FFF2-40B4-BE49-F238E27FC236}">
              <a16:creationId xmlns:a16="http://schemas.microsoft.com/office/drawing/2014/main" id="{00000000-0008-0000-0800-0000E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0" name="Shape 12">
          <a:extLst>
            <a:ext uri="{FF2B5EF4-FFF2-40B4-BE49-F238E27FC236}">
              <a16:creationId xmlns:a16="http://schemas.microsoft.com/office/drawing/2014/main" id="{00000000-0008-0000-0800-0000E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1" name="Shape 12">
          <a:extLst>
            <a:ext uri="{FF2B5EF4-FFF2-40B4-BE49-F238E27FC236}">
              <a16:creationId xmlns:a16="http://schemas.microsoft.com/office/drawing/2014/main" id="{00000000-0008-0000-0800-0000E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2" name="Shape 12">
          <a:extLst>
            <a:ext uri="{FF2B5EF4-FFF2-40B4-BE49-F238E27FC236}">
              <a16:creationId xmlns:a16="http://schemas.microsoft.com/office/drawing/2014/main" id="{00000000-0008-0000-0800-0000E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3" name="Shape 11">
          <a:extLst>
            <a:ext uri="{FF2B5EF4-FFF2-40B4-BE49-F238E27FC236}">
              <a16:creationId xmlns:a16="http://schemas.microsoft.com/office/drawing/2014/main" id="{00000000-0008-0000-0800-0000E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4" name="Shape 11">
          <a:extLst>
            <a:ext uri="{FF2B5EF4-FFF2-40B4-BE49-F238E27FC236}">
              <a16:creationId xmlns:a16="http://schemas.microsoft.com/office/drawing/2014/main" id="{00000000-0008-0000-0800-0000F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5" name="Shape 11">
          <a:extLst>
            <a:ext uri="{FF2B5EF4-FFF2-40B4-BE49-F238E27FC236}">
              <a16:creationId xmlns:a16="http://schemas.microsoft.com/office/drawing/2014/main" id="{00000000-0008-0000-0800-0000F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6" name="Shape 11">
          <a:extLst>
            <a:ext uri="{FF2B5EF4-FFF2-40B4-BE49-F238E27FC236}">
              <a16:creationId xmlns:a16="http://schemas.microsoft.com/office/drawing/2014/main" id="{00000000-0008-0000-0800-0000F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7" name="Shape 11">
          <a:extLst>
            <a:ext uri="{FF2B5EF4-FFF2-40B4-BE49-F238E27FC236}">
              <a16:creationId xmlns:a16="http://schemas.microsoft.com/office/drawing/2014/main" id="{00000000-0008-0000-0800-0000F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8" name="Shape 11">
          <a:extLst>
            <a:ext uri="{FF2B5EF4-FFF2-40B4-BE49-F238E27FC236}">
              <a16:creationId xmlns:a16="http://schemas.microsoft.com/office/drawing/2014/main" id="{00000000-0008-0000-0800-0000F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9" name="Shape 11">
          <a:extLst>
            <a:ext uri="{FF2B5EF4-FFF2-40B4-BE49-F238E27FC236}">
              <a16:creationId xmlns:a16="http://schemas.microsoft.com/office/drawing/2014/main" id="{00000000-0008-0000-0800-0000F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0" name="Shape 5">
          <a:extLst>
            <a:ext uri="{FF2B5EF4-FFF2-40B4-BE49-F238E27FC236}">
              <a16:creationId xmlns:a16="http://schemas.microsoft.com/office/drawing/2014/main" id="{00000000-0008-0000-0800-0000F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1" name="Shape 5">
          <a:extLst>
            <a:ext uri="{FF2B5EF4-FFF2-40B4-BE49-F238E27FC236}">
              <a16:creationId xmlns:a16="http://schemas.microsoft.com/office/drawing/2014/main" id="{00000000-0008-0000-0800-0000F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2" name="Shape 5">
          <a:extLst>
            <a:ext uri="{FF2B5EF4-FFF2-40B4-BE49-F238E27FC236}">
              <a16:creationId xmlns:a16="http://schemas.microsoft.com/office/drawing/2014/main" id="{00000000-0008-0000-0800-0000F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3" name="Shape 5">
          <a:extLst>
            <a:ext uri="{FF2B5EF4-FFF2-40B4-BE49-F238E27FC236}">
              <a16:creationId xmlns:a16="http://schemas.microsoft.com/office/drawing/2014/main" id="{00000000-0008-0000-0800-0000F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4" name="Shape 6">
          <a:extLst>
            <a:ext uri="{FF2B5EF4-FFF2-40B4-BE49-F238E27FC236}">
              <a16:creationId xmlns:a16="http://schemas.microsoft.com/office/drawing/2014/main" id="{00000000-0008-0000-0800-0000F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5" name="Shape 6">
          <a:extLst>
            <a:ext uri="{FF2B5EF4-FFF2-40B4-BE49-F238E27FC236}">
              <a16:creationId xmlns:a16="http://schemas.microsoft.com/office/drawing/2014/main" id="{00000000-0008-0000-0800-0000F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6" name="Shape 6">
          <a:extLst>
            <a:ext uri="{FF2B5EF4-FFF2-40B4-BE49-F238E27FC236}">
              <a16:creationId xmlns:a16="http://schemas.microsoft.com/office/drawing/2014/main" id="{00000000-0008-0000-0800-0000F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7" name="Shape 6">
          <a:extLst>
            <a:ext uri="{FF2B5EF4-FFF2-40B4-BE49-F238E27FC236}">
              <a16:creationId xmlns:a16="http://schemas.microsoft.com/office/drawing/2014/main" id="{00000000-0008-0000-0800-0000F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8" name="Shape 5">
          <a:extLst>
            <a:ext uri="{FF2B5EF4-FFF2-40B4-BE49-F238E27FC236}">
              <a16:creationId xmlns:a16="http://schemas.microsoft.com/office/drawing/2014/main" id="{00000000-0008-0000-0800-0000F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9" name="Shape 5">
          <a:extLst>
            <a:ext uri="{FF2B5EF4-FFF2-40B4-BE49-F238E27FC236}">
              <a16:creationId xmlns:a16="http://schemas.microsoft.com/office/drawing/2014/main" id="{00000000-0008-0000-0800-0000F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0" name="Shape 5">
          <a:extLst>
            <a:ext uri="{FF2B5EF4-FFF2-40B4-BE49-F238E27FC236}">
              <a16:creationId xmlns:a16="http://schemas.microsoft.com/office/drawing/2014/main" id="{00000000-0008-0000-0800-00000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1" name="Shape 5">
          <a:extLst>
            <a:ext uri="{FF2B5EF4-FFF2-40B4-BE49-F238E27FC236}">
              <a16:creationId xmlns:a16="http://schemas.microsoft.com/office/drawing/2014/main" id="{00000000-0008-0000-0800-00000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2" name="Shape 5">
          <a:extLst>
            <a:ext uri="{FF2B5EF4-FFF2-40B4-BE49-F238E27FC236}">
              <a16:creationId xmlns:a16="http://schemas.microsoft.com/office/drawing/2014/main" id="{00000000-0008-0000-0800-00000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3" name="Shape 5">
          <a:extLst>
            <a:ext uri="{FF2B5EF4-FFF2-40B4-BE49-F238E27FC236}">
              <a16:creationId xmlns:a16="http://schemas.microsoft.com/office/drawing/2014/main" id="{00000000-0008-0000-0800-00000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4" name="Shape 5">
          <a:extLst>
            <a:ext uri="{FF2B5EF4-FFF2-40B4-BE49-F238E27FC236}">
              <a16:creationId xmlns:a16="http://schemas.microsoft.com/office/drawing/2014/main" id="{00000000-0008-0000-0800-00000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5" name="Shape 11">
          <a:extLst>
            <a:ext uri="{FF2B5EF4-FFF2-40B4-BE49-F238E27FC236}">
              <a16:creationId xmlns:a16="http://schemas.microsoft.com/office/drawing/2014/main" id="{00000000-0008-0000-0800-00000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6" name="Shape 11">
          <a:extLst>
            <a:ext uri="{FF2B5EF4-FFF2-40B4-BE49-F238E27FC236}">
              <a16:creationId xmlns:a16="http://schemas.microsoft.com/office/drawing/2014/main" id="{00000000-0008-0000-0800-00000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7" name="Shape 11">
          <a:extLst>
            <a:ext uri="{FF2B5EF4-FFF2-40B4-BE49-F238E27FC236}">
              <a16:creationId xmlns:a16="http://schemas.microsoft.com/office/drawing/2014/main" id="{00000000-0008-0000-0800-00000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8" name="Shape 11">
          <a:extLst>
            <a:ext uri="{FF2B5EF4-FFF2-40B4-BE49-F238E27FC236}">
              <a16:creationId xmlns:a16="http://schemas.microsoft.com/office/drawing/2014/main" id="{00000000-0008-0000-0800-00000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69" name="Shape 12">
          <a:extLst>
            <a:ext uri="{FF2B5EF4-FFF2-40B4-BE49-F238E27FC236}">
              <a16:creationId xmlns:a16="http://schemas.microsoft.com/office/drawing/2014/main" id="{00000000-0008-0000-0800-00000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0" name="Shape 12">
          <a:extLst>
            <a:ext uri="{FF2B5EF4-FFF2-40B4-BE49-F238E27FC236}">
              <a16:creationId xmlns:a16="http://schemas.microsoft.com/office/drawing/2014/main" id="{00000000-0008-0000-0800-00000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1" name="Shape 12">
          <a:extLst>
            <a:ext uri="{FF2B5EF4-FFF2-40B4-BE49-F238E27FC236}">
              <a16:creationId xmlns:a16="http://schemas.microsoft.com/office/drawing/2014/main" id="{00000000-0008-0000-0800-00000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2" name="Shape 12">
          <a:extLst>
            <a:ext uri="{FF2B5EF4-FFF2-40B4-BE49-F238E27FC236}">
              <a16:creationId xmlns:a16="http://schemas.microsoft.com/office/drawing/2014/main" id="{00000000-0008-0000-0800-00000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3" name="Shape 11">
          <a:extLst>
            <a:ext uri="{FF2B5EF4-FFF2-40B4-BE49-F238E27FC236}">
              <a16:creationId xmlns:a16="http://schemas.microsoft.com/office/drawing/2014/main" id="{00000000-0008-0000-0800-00000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4" name="Shape 11">
          <a:extLst>
            <a:ext uri="{FF2B5EF4-FFF2-40B4-BE49-F238E27FC236}">
              <a16:creationId xmlns:a16="http://schemas.microsoft.com/office/drawing/2014/main" id="{00000000-0008-0000-0800-00000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5" name="Shape 11">
          <a:extLst>
            <a:ext uri="{FF2B5EF4-FFF2-40B4-BE49-F238E27FC236}">
              <a16:creationId xmlns:a16="http://schemas.microsoft.com/office/drawing/2014/main" id="{00000000-0008-0000-0800-00000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6" name="Shape 11">
          <a:extLst>
            <a:ext uri="{FF2B5EF4-FFF2-40B4-BE49-F238E27FC236}">
              <a16:creationId xmlns:a16="http://schemas.microsoft.com/office/drawing/2014/main" id="{00000000-0008-0000-0800-00001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7" name="Shape 11">
          <a:extLst>
            <a:ext uri="{FF2B5EF4-FFF2-40B4-BE49-F238E27FC236}">
              <a16:creationId xmlns:a16="http://schemas.microsoft.com/office/drawing/2014/main" id="{00000000-0008-0000-0800-00001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8" name="Shape 11">
          <a:extLst>
            <a:ext uri="{FF2B5EF4-FFF2-40B4-BE49-F238E27FC236}">
              <a16:creationId xmlns:a16="http://schemas.microsoft.com/office/drawing/2014/main" id="{00000000-0008-0000-0800-00001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9" name="Shape 11">
          <a:extLst>
            <a:ext uri="{FF2B5EF4-FFF2-40B4-BE49-F238E27FC236}">
              <a16:creationId xmlns:a16="http://schemas.microsoft.com/office/drawing/2014/main" id="{00000000-0008-0000-0800-00001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0" name="Shape 5">
          <a:extLst>
            <a:ext uri="{FF2B5EF4-FFF2-40B4-BE49-F238E27FC236}">
              <a16:creationId xmlns:a16="http://schemas.microsoft.com/office/drawing/2014/main" id="{00000000-0008-0000-0800-00001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1" name="Shape 5">
          <a:extLst>
            <a:ext uri="{FF2B5EF4-FFF2-40B4-BE49-F238E27FC236}">
              <a16:creationId xmlns:a16="http://schemas.microsoft.com/office/drawing/2014/main" id="{00000000-0008-0000-0800-00001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2" name="Shape 5">
          <a:extLst>
            <a:ext uri="{FF2B5EF4-FFF2-40B4-BE49-F238E27FC236}">
              <a16:creationId xmlns:a16="http://schemas.microsoft.com/office/drawing/2014/main" id="{00000000-0008-0000-0800-00001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3" name="Shape 5">
          <a:extLst>
            <a:ext uri="{FF2B5EF4-FFF2-40B4-BE49-F238E27FC236}">
              <a16:creationId xmlns:a16="http://schemas.microsoft.com/office/drawing/2014/main" id="{00000000-0008-0000-0800-00001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4" name="Shape 6">
          <a:extLst>
            <a:ext uri="{FF2B5EF4-FFF2-40B4-BE49-F238E27FC236}">
              <a16:creationId xmlns:a16="http://schemas.microsoft.com/office/drawing/2014/main" id="{00000000-0008-0000-0800-00001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5" name="Shape 6">
          <a:extLst>
            <a:ext uri="{FF2B5EF4-FFF2-40B4-BE49-F238E27FC236}">
              <a16:creationId xmlns:a16="http://schemas.microsoft.com/office/drawing/2014/main" id="{00000000-0008-0000-0800-00001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6" name="Shape 6">
          <a:extLst>
            <a:ext uri="{FF2B5EF4-FFF2-40B4-BE49-F238E27FC236}">
              <a16:creationId xmlns:a16="http://schemas.microsoft.com/office/drawing/2014/main" id="{00000000-0008-0000-0800-00001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7" name="Shape 6">
          <a:extLst>
            <a:ext uri="{FF2B5EF4-FFF2-40B4-BE49-F238E27FC236}">
              <a16:creationId xmlns:a16="http://schemas.microsoft.com/office/drawing/2014/main" id="{00000000-0008-0000-0800-00001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8" name="Shape 5">
          <a:extLst>
            <a:ext uri="{FF2B5EF4-FFF2-40B4-BE49-F238E27FC236}">
              <a16:creationId xmlns:a16="http://schemas.microsoft.com/office/drawing/2014/main" id="{00000000-0008-0000-0800-00001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9" name="Shape 5">
          <a:extLst>
            <a:ext uri="{FF2B5EF4-FFF2-40B4-BE49-F238E27FC236}">
              <a16:creationId xmlns:a16="http://schemas.microsoft.com/office/drawing/2014/main" id="{00000000-0008-0000-0800-00001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0" name="Shape 5">
          <a:extLst>
            <a:ext uri="{FF2B5EF4-FFF2-40B4-BE49-F238E27FC236}">
              <a16:creationId xmlns:a16="http://schemas.microsoft.com/office/drawing/2014/main" id="{00000000-0008-0000-0800-00001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1" name="Shape 5">
          <a:extLst>
            <a:ext uri="{FF2B5EF4-FFF2-40B4-BE49-F238E27FC236}">
              <a16:creationId xmlns:a16="http://schemas.microsoft.com/office/drawing/2014/main" id="{00000000-0008-0000-0800-00001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2" name="Shape 5">
          <a:extLst>
            <a:ext uri="{FF2B5EF4-FFF2-40B4-BE49-F238E27FC236}">
              <a16:creationId xmlns:a16="http://schemas.microsoft.com/office/drawing/2014/main" id="{00000000-0008-0000-0800-00002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3" name="Shape 5">
          <a:extLst>
            <a:ext uri="{FF2B5EF4-FFF2-40B4-BE49-F238E27FC236}">
              <a16:creationId xmlns:a16="http://schemas.microsoft.com/office/drawing/2014/main" id="{00000000-0008-0000-0800-00002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4" name="Shape 5">
          <a:extLst>
            <a:ext uri="{FF2B5EF4-FFF2-40B4-BE49-F238E27FC236}">
              <a16:creationId xmlns:a16="http://schemas.microsoft.com/office/drawing/2014/main" id="{00000000-0008-0000-0800-00002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5" name="Shape 11">
          <a:extLst>
            <a:ext uri="{FF2B5EF4-FFF2-40B4-BE49-F238E27FC236}">
              <a16:creationId xmlns:a16="http://schemas.microsoft.com/office/drawing/2014/main" id="{00000000-0008-0000-0800-00002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6" name="Shape 11">
          <a:extLst>
            <a:ext uri="{FF2B5EF4-FFF2-40B4-BE49-F238E27FC236}">
              <a16:creationId xmlns:a16="http://schemas.microsoft.com/office/drawing/2014/main" id="{00000000-0008-0000-0800-00002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7" name="Shape 11">
          <a:extLst>
            <a:ext uri="{FF2B5EF4-FFF2-40B4-BE49-F238E27FC236}">
              <a16:creationId xmlns:a16="http://schemas.microsoft.com/office/drawing/2014/main" id="{00000000-0008-0000-0800-00002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8" name="Shape 11">
          <a:extLst>
            <a:ext uri="{FF2B5EF4-FFF2-40B4-BE49-F238E27FC236}">
              <a16:creationId xmlns:a16="http://schemas.microsoft.com/office/drawing/2014/main" id="{00000000-0008-0000-0800-00002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99" name="Shape 12">
          <a:extLst>
            <a:ext uri="{FF2B5EF4-FFF2-40B4-BE49-F238E27FC236}">
              <a16:creationId xmlns:a16="http://schemas.microsoft.com/office/drawing/2014/main" id="{00000000-0008-0000-0800-00002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0" name="Shape 12">
          <a:extLst>
            <a:ext uri="{FF2B5EF4-FFF2-40B4-BE49-F238E27FC236}">
              <a16:creationId xmlns:a16="http://schemas.microsoft.com/office/drawing/2014/main" id="{00000000-0008-0000-0800-00002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1" name="Shape 12">
          <a:extLst>
            <a:ext uri="{FF2B5EF4-FFF2-40B4-BE49-F238E27FC236}">
              <a16:creationId xmlns:a16="http://schemas.microsoft.com/office/drawing/2014/main" id="{00000000-0008-0000-0800-00002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2" name="Shape 12">
          <a:extLst>
            <a:ext uri="{FF2B5EF4-FFF2-40B4-BE49-F238E27FC236}">
              <a16:creationId xmlns:a16="http://schemas.microsoft.com/office/drawing/2014/main" id="{00000000-0008-0000-0800-00002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3" name="Shape 11">
          <a:extLst>
            <a:ext uri="{FF2B5EF4-FFF2-40B4-BE49-F238E27FC236}">
              <a16:creationId xmlns:a16="http://schemas.microsoft.com/office/drawing/2014/main" id="{00000000-0008-0000-0800-00002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4" name="Shape 11">
          <a:extLst>
            <a:ext uri="{FF2B5EF4-FFF2-40B4-BE49-F238E27FC236}">
              <a16:creationId xmlns:a16="http://schemas.microsoft.com/office/drawing/2014/main" id="{00000000-0008-0000-0800-00002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5" name="Shape 11">
          <a:extLst>
            <a:ext uri="{FF2B5EF4-FFF2-40B4-BE49-F238E27FC236}">
              <a16:creationId xmlns:a16="http://schemas.microsoft.com/office/drawing/2014/main" id="{00000000-0008-0000-0800-00002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6" name="Shape 11">
          <a:extLst>
            <a:ext uri="{FF2B5EF4-FFF2-40B4-BE49-F238E27FC236}">
              <a16:creationId xmlns:a16="http://schemas.microsoft.com/office/drawing/2014/main" id="{00000000-0008-0000-0800-00002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7" name="Shape 11">
          <a:extLst>
            <a:ext uri="{FF2B5EF4-FFF2-40B4-BE49-F238E27FC236}">
              <a16:creationId xmlns:a16="http://schemas.microsoft.com/office/drawing/2014/main" id="{00000000-0008-0000-0800-00002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8" name="Shape 11">
          <a:extLst>
            <a:ext uri="{FF2B5EF4-FFF2-40B4-BE49-F238E27FC236}">
              <a16:creationId xmlns:a16="http://schemas.microsoft.com/office/drawing/2014/main" id="{00000000-0008-0000-0800-00003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9" name="Shape 11">
          <a:extLst>
            <a:ext uri="{FF2B5EF4-FFF2-40B4-BE49-F238E27FC236}">
              <a16:creationId xmlns:a16="http://schemas.microsoft.com/office/drawing/2014/main" id="{00000000-0008-0000-0800-00003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0" name="Shape 5">
          <a:extLst>
            <a:ext uri="{FF2B5EF4-FFF2-40B4-BE49-F238E27FC236}">
              <a16:creationId xmlns:a16="http://schemas.microsoft.com/office/drawing/2014/main" id="{00000000-0008-0000-0800-00003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1" name="Shape 5">
          <a:extLst>
            <a:ext uri="{FF2B5EF4-FFF2-40B4-BE49-F238E27FC236}">
              <a16:creationId xmlns:a16="http://schemas.microsoft.com/office/drawing/2014/main" id="{00000000-0008-0000-0800-00003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2" name="Shape 5">
          <a:extLst>
            <a:ext uri="{FF2B5EF4-FFF2-40B4-BE49-F238E27FC236}">
              <a16:creationId xmlns:a16="http://schemas.microsoft.com/office/drawing/2014/main" id="{00000000-0008-0000-0800-00003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3" name="Shape 5">
          <a:extLst>
            <a:ext uri="{FF2B5EF4-FFF2-40B4-BE49-F238E27FC236}">
              <a16:creationId xmlns:a16="http://schemas.microsoft.com/office/drawing/2014/main" id="{00000000-0008-0000-0800-00003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4" name="Shape 6">
          <a:extLst>
            <a:ext uri="{FF2B5EF4-FFF2-40B4-BE49-F238E27FC236}">
              <a16:creationId xmlns:a16="http://schemas.microsoft.com/office/drawing/2014/main" id="{00000000-0008-0000-0800-00003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5" name="Shape 6">
          <a:extLst>
            <a:ext uri="{FF2B5EF4-FFF2-40B4-BE49-F238E27FC236}">
              <a16:creationId xmlns:a16="http://schemas.microsoft.com/office/drawing/2014/main" id="{00000000-0008-0000-0800-00003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6" name="Shape 6">
          <a:extLst>
            <a:ext uri="{FF2B5EF4-FFF2-40B4-BE49-F238E27FC236}">
              <a16:creationId xmlns:a16="http://schemas.microsoft.com/office/drawing/2014/main" id="{00000000-0008-0000-0800-00003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7" name="Shape 6">
          <a:extLst>
            <a:ext uri="{FF2B5EF4-FFF2-40B4-BE49-F238E27FC236}">
              <a16:creationId xmlns:a16="http://schemas.microsoft.com/office/drawing/2014/main" id="{00000000-0008-0000-0800-00003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8" name="Shape 5">
          <a:extLst>
            <a:ext uri="{FF2B5EF4-FFF2-40B4-BE49-F238E27FC236}">
              <a16:creationId xmlns:a16="http://schemas.microsoft.com/office/drawing/2014/main" id="{00000000-0008-0000-0800-00003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9" name="Shape 5">
          <a:extLst>
            <a:ext uri="{FF2B5EF4-FFF2-40B4-BE49-F238E27FC236}">
              <a16:creationId xmlns:a16="http://schemas.microsoft.com/office/drawing/2014/main" id="{00000000-0008-0000-0800-00003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0" name="Shape 5">
          <a:extLst>
            <a:ext uri="{FF2B5EF4-FFF2-40B4-BE49-F238E27FC236}">
              <a16:creationId xmlns:a16="http://schemas.microsoft.com/office/drawing/2014/main" id="{00000000-0008-0000-0800-00003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1" name="Shape 5">
          <a:extLst>
            <a:ext uri="{FF2B5EF4-FFF2-40B4-BE49-F238E27FC236}">
              <a16:creationId xmlns:a16="http://schemas.microsoft.com/office/drawing/2014/main" id="{00000000-0008-0000-0800-00003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2" name="Shape 5">
          <a:extLst>
            <a:ext uri="{FF2B5EF4-FFF2-40B4-BE49-F238E27FC236}">
              <a16:creationId xmlns:a16="http://schemas.microsoft.com/office/drawing/2014/main" id="{00000000-0008-0000-0800-00003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3" name="Shape 5">
          <a:extLst>
            <a:ext uri="{FF2B5EF4-FFF2-40B4-BE49-F238E27FC236}">
              <a16:creationId xmlns:a16="http://schemas.microsoft.com/office/drawing/2014/main" id="{00000000-0008-0000-0800-00003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4" name="Shape 5">
          <a:extLst>
            <a:ext uri="{FF2B5EF4-FFF2-40B4-BE49-F238E27FC236}">
              <a16:creationId xmlns:a16="http://schemas.microsoft.com/office/drawing/2014/main" id="{00000000-0008-0000-0800-00004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5" name="Shape 11">
          <a:extLst>
            <a:ext uri="{FF2B5EF4-FFF2-40B4-BE49-F238E27FC236}">
              <a16:creationId xmlns:a16="http://schemas.microsoft.com/office/drawing/2014/main" id="{00000000-0008-0000-0800-00004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6" name="Shape 11">
          <a:extLst>
            <a:ext uri="{FF2B5EF4-FFF2-40B4-BE49-F238E27FC236}">
              <a16:creationId xmlns:a16="http://schemas.microsoft.com/office/drawing/2014/main" id="{00000000-0008-0000-0800-00004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7" name="Shape 11">
          <a:extLst>
            <a:ext uri="{FF2B5EF4-FFF2-40B4-BE49-F238E27FC236}">
              <a16:creationId xmlns:a16="http://schemas.microsoft.com/office/drawing/2014/main" id="{00000000-0008-0000-0800-00004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8" name="Shape 11">
          <a:extLst>
            <a:ext uri="{FF2B5EF4-FFF2-40B4-BE49-F238E27FC236}">
              <a16:creationId xmlns:a16="http://schemas.microsoft.com/office/drawing/2014/main" id="{00000000-0008-0000-0800-00004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29" name="Shape 12">
          <a:extLst>
            <a:ext uri="{FF2B5EF4-FFF2-40B4-BE49-F238E27FC236}">
              <a16:creationId xmlns:a16="http://schemas.microsoft.com/office/drawing/2014/main" id="{00000000-0008-0000-0800-00004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0" name="Shape 12">
          <a:extLst>
            <a:ext uri="{FF2B5EF4-FFF2-40B4-BE49-F238E27FC236}">
              <a16:creationId xmlns:a16="http://schemas.microsoft.com/office/drawing/2014/main" id="{00000000-0008-0000-0800-00004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1" name="Shape 12">
          <a:extLst>
            <a:ext uri="{FF2B5EF4-FFF2-40B4-BE49-F238E27FC236}">
              <a16:creationId xmlns:a16="http://schemas.microsoft.com/office/drawing/2014/main" id="{00000000-0008-0000-0800-00004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2" name="Shape 12">
          <a:extLst>
            <a:ext uri="{FF2B5EF4-FFF2-40B4-BE49-F238E27FC236}">
              <a16:creationId xmlns:a16="http://schemas.microsoft.com/office/drawing/2014/main" id="{00000000-0008-0000-0800-00004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3" name="Shape 11">
          <a:extLst>
            <a:ext uri="{FF2B5EF4-FFF2-40B4-BE49-F238E27FC236}">
              <a16:creationId xmlns:a16="http://schemas.microsoft.com/office/drawing/2014/main" id="{00000000-0008-0000-0800-00004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4" name="Shape 11">
          <a:extLst>
            <a:ext uri="{FF2B5EF4-FFF2-40B4-BE49-F238E27FC236}">
              <a16:creationId xmlns:a16="http://schemas.microsoft.com/office/drawing/2014/main" id="{00000000-0008-0000-0800-00004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5" name="Shape 11">
          <a:extLst>
            <a:ext uri="{FF2B5EF4-FFF2-40B4-BE49-F238E27FC236}">
              <a16:creationId xmlns:a16="http://schemas.microsoft.com/office/drawing/2014/main" id="{00000000-0008-0000-0800-00004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6" name="Shape 11">
          <a:extLst>
            <a:ext uri="{FF2B5EF4-FFF2-40B4-BE49-F238E27FC236}">
              <a16:creationId xmlns:a16="http://schemas.microsoft.com/office/drawing/2014/main" id="{00000000-0008-0000-0800-00004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7" name="Shape 11">
          <a:extLst>
            <a:ext uri="{FF2B5EF4-FFF2-40B4-BE49-F238E27FC236}">
              <a16:creationId xmlns:a16="http://schemas.microsoft.com/office/drawing/2014/main" id="{00000000-0008-0000-0800-00004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8" name="Shape 11">
          <a:extLst>
            <a:ext uri="{FF2B5EF4-FFF2-40B4-BE49-F238E27FC236}">
              <a16:creationId xmlns:a16="http://schemas.microsoft.com/office/drawing/2014/main" id="{00000000-0008-0000-0800-00004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9" name="Shape 11">
          <a:extLst>
            <a:ext uri="{FF2B5EF4-FFF2-40B4-BE49-F238E27FC236}">
              <a16:creationId xmlns:a16="http://schemas.microsoft.com/office/drawing/2014/main" id="{00000000-0008-0000-0800-00004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0" name="Shape 5">
          <a:extLst>
            <a:ext uri="{FF2B5EF4-FFF2-40B4-BE49-F238E27FC236}">
              <a16:creationId xmlns:a16="http://schemas.microsoft.com/office/drawing/2014/main" id="{00000000-0008-0000-0800-00005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1" name="Shape 5">
          <a:extLst>
            <a:ext uri="{FF2B5EF4-FFF2-40B4-BE49-F238E27FC236}">
              <a16:creationId xmlns:a16="http://schemas.microsoft.com/office/drawing/2014/main" id="{00000000-0008-0000-0800-00005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2" name="Shape 5">
          <a:extLst>
            <a:ext uri="{FF2B5EF4-FFF2-40B4-BE49-F238E27FC236}">
              <a16:creationId xmlns:a16="http://schemas.microsoft.com/office/drawing/2014/main" id="{00000000-0008-0000-0800-00005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3" name="Shape 5">
          <a:extLst>
            <a:ext uri="{FF2B5EF4-FFF2-40B4-BE49-F238E27FC236}">
              <a16:creationId xmlns:a16="http://schemas.microsoft.com/office/drawing/2014/main" id="{00000000-0008-0000-0800-00005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4" name="Shape 6">
          <a:extLst>
            <a:ext uri="{FF2B5EF4-FFF2-40B4-BE49-F238E27FC236}">
              <a16:creationId xmlns:a16="http://schemas.microsoft.com/office/drawing/2014/main" id="{00000000-0008-0000-0800-00005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5" name="Shape 6">
          <a:extLst>
            <a:ext uri="{FF2B5EF4-FFF2-40B4-BE49-F238E27FC236}">
              <a16:creationId xmlns:a16="http://schemas.microsoft.com/office/drawing/2014/main" id="{00000000-0008-0000-0800-00005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6" name="Shape 6">
          <a:extLst>
            <a:ext uri="{FF2B5EF4-FFF2-40B4-BE49-F238E27FC236}">
              <a16:creationId xmlns:a16="http://schemas.microsoft.com/office/drawing/2014/main" id="{00000000-0008-0000-0800-00005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7" name="Shape 6">
          <a:extLst>
            <a:ext uri="{FF2B5EF4-FFF2-40B4-BE49-F238E27FC236}">
              <a16:creationId xmlns:a16="http://schemas.microsoft.com/office/drawing/2014/main" id="{00000000-0008-0000-0800-00005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8" name="Shape 5">
          <a:extLst>
            <a:ext uri="{FF2B5EF4-FFF2-40B4-BE49-F238E27FC236}">
              <a16:creationId xmlns:a16="http://schemas.microsoft.com/office/drawing/2014/main" id="{00000000-0008-0000-0800-00005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9" name="Shape 5">
          <a:extLst>
            <a:ext uri="{FF2B5EF4-FFF2-40B4-BE49-F238E27FC236}">
              <a16:creationId xmlns:a16="http://schemas.microsoft.com/office/drawing/2014/main" id="{00000000-0008-0000-0800-00005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0" name="Shape 5">
          <a:extLst>
            <a:ext uri="{FF2B5EF4-FFF2-40B4-BE49-F238E27FC236}">
              <a16:creationId xmlns:a16="http://schemas.microsoft.com/office/drawing/2014/main" id="{00000000-0008-0000-0800-00005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1" name="Shape 5">
          <a:extLst>
            <a:ext uri="{FF2B5EF4-FFF2-40B4-BE49-F238E27FC236}">
              <a16:creationId xmlns:a16="http://schemas.microsoft.com/office/drawing/2014/main" id="{00000000-0008-0000-0800-00005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2" name="Shape 5">
          <a:extLst>
            <a:ext uri="{FF2B5EF4-FFF2-40B4-BE49-F238E27FC236}">
              <a16:creationId xmlns:a16="http://schemas.microsoft.com/office/drawing/2014/main" id="{00000000-0008-0000-0800-00005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3" name="Shape 5">
          <a:extLst>
            <a:ext uri="{FF2B5EF4-FFF2-40B4-BE49-F238E27FC236}">
              <a16:creationId xmlns:a16="http://schemas.microsoft.com/office/drawing/2014/main" id="{00000000-0008-0000-0800-00005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4" name="Shape 5">
          <a:extLst>
            <a:ext uri="{FF2B5EF4-FFF2-40B4-BE49-F238E27FC236}">
              <a16:creationId xmlns:a16="http://schemas.microsoft.com/office/drawing/2014/main" id="{00000000-0008-0000-0800-00005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5" name="Shape 11">
          <a:extLst>
            <a:ext uri="{FF2B5EF4-FFF2-40B4-BE49-F238E27FC236}">
              <a16:creationId xmlns:a16="http://schemas.microsoft.com/office/drawing/2014/main" id="{00000000-0008-0000-0800-00005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6" name="Shape 11">
          <a:extLst>
            <a:ext uri="{FF2B5EF4-FFF2-40B4-BE49-F238E27FC236}">
              <a16:creationId xmlns:a16="http://schemas.microsoft.com/office/drawing/2014/main" id="{00000000-0008-0000-0800-00006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7" name="Shape 11">
          <a:extLst>
            <a:ext uri="{FF2B5EF4-FFF2-40B4-BE49-F238E27FC236}">
              <a16:creationId xmlns:a16="http://schemas.microsoft.com/office/drawing/2014/main" id="{00000000-0008-0000-0800-00006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8" name="Shape 11">
          <a:extLst>
            <a:ext uri="{FF2B5EF4-FFF2-40B4-BE49-F238E27FC236}">
              <a16:creationId xmlns:a16="http://schemas.microsoft.com/office/drawing/2014/main" id="{00000000-0008-0000-0800-00006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59" name="Shape 12">
          <a:extLst>
            <a:ext uri="{FF2B5EF4-FFF2-40B4-BE49-F238E27FC236}">
              <a16:creationId xmlns:a16="http://schemas.microsoft.com/office/drawing/2014/main" id="{00000000-0008-0000-0800-00006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0" name="Shape 12">
          <a:extLst>
            <a:ext uri="{FF2B5EF4-FFF2-40B4-BE49-F238E27FC236}">
              <a16:creationId xmlns:a16="http://schemas.microsoft.com/office/drawing/2014/main" id="{00000000-0008-0000-0800-00006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1" name="Shape 12">
          <a:extLst>
            <a:ext uri="{FF2B5EF4-FFF2-40B4-BE49-F238E27FC236}">
              <a16:creationId xmlns:a16="http://schemas.microsoft.com/office/drawing/2014/main" id="{00000000-0008-0000-0800-00006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2" name="Shape 12">
          <a:extLst>
            <a:ext uri="{FF2B5EF4-FFF2-40B4-BE49-F238E27FC236}">
              <a16:creationId xmlns:a16="http://schemas.microsoft.com/office/drawing/2014/main" id="{00000000-0008-0000-0800-00006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3" name="Shape 11">
          <a:extLst>
            <a:ext uri="{FF2B5EF4-FFF2-40B4-BE49-F238E27FC236}">
              <a16:creationId xmlns:a16="http://schemas.microsoft.com/office/drawing/2014/main" id="{00000000-0008-0000-0800-00006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4" name="Shape 11">
          <a:extLst>
            <a:ext uri="{FF2B5EF4-FFF2-40B4-BE49-F238E27FC236}">
              <a16:creationId xmlns:a16="http://schemas.microsoft.com/office/drawing/2014/main" id="{00000000-0008-0000-0800-00006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5" name="Shape 11">
          <a:extLst>
            <a:ext uri="{FF2B5EF4-FFF2-40B4-BE49-F238E27FC236}">
              <a16:creationId xmlns:a16="http://schemas.microsoft.com/office/drawing/2014/main" id="{00000000-0008-0000-0800-00006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6" name="Shape 11">
          <a:extLst>
            <a:ext uri="{FF2B5EF4-FFF2-40B4-BE49-F238E27FC236}">
              <a16:creationId xmlns:a16="http://schemas.microsoft.com/office/drawing/2014/main" id="{00000000-0008-0000-0800-00006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7" name="Shape 11">
          <a:extLst>
            <a:ext uri="{FF2B5EF4-FFF2-40B4-BE49-F238E27FC236}">
              <a16:creationId xmlns:a16="http://schemas.microsoft.com/office/drawing/2014/main" id="{00000000-0008-0000-0800-00006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8" name="Shape 11">
          <a:extLst>
            <a:ext uri="{FF2B5EF4-FFF2-40B4-BE49-F238E27FC236}">
              <a16:creationId xmlns:a16="http://schemas.microsoft.com/office/drawing/2014/main" id="{00000000-0008-0000-0800-00006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9" name="Shape 11">
          <a:extLst>
            <a:ext uri="{FF2B5EF4-FFF2-40B4-BE49-F238E27FC236}">
              <a16:creationId xmlns:a16="http://schemas.microsoft.com/office/drawing/2014/main" id="{00000000-0008-0000-0800-00006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0" name="Shape 5">
          <a:extLst>
            <a:ext uri="{FF2B5EF4-FFF2-40B4-BE49-F238E27FC236}">
              <a16:creationId xmlns:a16="http://schemas.microsoft.com/office/drawing/2014/main" id="{00000000-0008-0000-0800-00006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1" name="Shape 5">
          <a:extLst>
            <a:ext uri="{FF2B5EF4-FFF2-40B4-BE49-F238E27FC236}">
              <a16:creationId xmlns:a16="http://schemas.microsoft.com/office/drawing/2014/main" id="{00000000-0008-0000-0800-00006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2" name="Shape 5">
          <a:extLst>
            <a:ext uri="{FF2B5EF4-FFF2-40B4-BE49-F238E27FC236}">
              <a16:creationId xmlns:a16="http://schemas.microsoft.com/office/drawing/2014/main" id="{00000000-0008-0000-0800-00007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3" name="Shape 5">
          <a:extLst>
            <a:ext uri="{FF2B5EF4-FFF2-40B4-BE49-F238E27FC236}">
              <a16:creationId xmlns:a16="http://schemas.microsoft.com/office/drawing/2014/main" id="{00000000-0008-0000-0800-00007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4" name="Shape 6">
          <a:extLst>
            <a:ext uri="{FF2B5EF4-FFF2-40B4-BE49-F238E27FC236}">
              <a16:creationId xmlns:a16="http://schemas.microsoft.com/office/drawing/2014/main" id="{00000000-0008-0000-0800-00007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5" name="Shape 6">
          <a:extLst>
            <a:ext uri="{FF2B5EF4-FFF2-40B4-BE49-F238E27FC236}">
              <a16:creationId xmlns:a16="http://schemas.microsoft.com/office/drawing/2014/main" id="{00000000-0008-0000-0800-00007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6" name="Shape 6">
          <a:extLst>
            <a:ext uri="{FF2B5EF4-FFF2-40B4-BE49-F238E27FC236}">
              <a16:creationId xmlns:a16="http://schemas.microsoft.com/office/drawing/2014/main" id="{00000000-0008-0000-0800-00007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7" name="Shape 6">
          <a:extLst>
            <a:ext uri="{FF2B5EF4-FFF2-40B4-BE49-F238E27FC236}">
              <a16:creationId xmlns:a16="http://schemas.microsoft.com/office/drawing/2014/main" id="{00000000-0008-0000-0800-00007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8" name="Shape 5">
          <a:extLst>
            <a:ext uri="{FF2B5EF4-FFF2-40B4-BE49-F238E27FC236}">
              <a16:creationId xmlns:a16="http://schemas.microsoft.com/office/drawing/2014/main" id="{00000000-0008-0000-0800-00007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9" name="Shape 5">
          <a:extLst>
            <a:ext uri="{FF2B5EF4-FFF2-40B4-BE49-F238E27FC236}">
              <a16:creationId xmlns:a16="http://schemas.microsoft.com/office/drawing/2014/main" id="{00000000-0008-0000-0800-00007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0" name="Shape 5">
          <a:extLst>
            <a:ext uri="{FF2B5EF4-FFF2-40B4-BE49-F238E27FC236}">
              <a16:creationId xmlns:a16="http://schemas.microsoft.com/office/drawing/2014/main" id="{00000000-0008-0000-0800-00007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1" name="Shape 5">
          <a:extLst>
            <a:ext uri="{FF2B5EF4-FFF2-40B4-BE49-F238E27FC236}">
              <a16:creationId xmlns:a16="http://schemas.microsoft.com/office/drawing/2014/main" id="{00000000-0008-0000-0800-00007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2" name="Shape 5">
          <a:extLst>
            <a:ext uri="{FF2B5EF4-FFF2-40B4-BE49-F238E27FC236}">
              <a16:creationId xmlns:a16="http://schemas.microsoft.com/office/drawing/2014/main" id="{00000000-0008-0000-0800-00007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3" name="Shape 5">
          <a:extLst>
            <a:ext uri="{FF2B5EF4-FFF2-40B4-BE49-F238E27FC236}">
              <a16:creationId xmlns:a16="http://schemas.microsoft.com/office/drawing/2014/main" id="{00000000-0008-0000-0800-00007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4" name="Shape 5">
          <a:extLst>
            <a:ext uri="{FF2B5EF4-FFF2-40B4-BE49-F238E27FC236}">
              <a16:creationId xmlns:a16="http://schemas.microsoft.com/office/drawing/2014/main" id="{00000000-0008-0000-0800-00007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5" name="Shape 11">
          <a:extLst>
            <a:ext uri="{FF2B5EF4-FFF2-40B4-BE49-F238E27FC236}">
              <a16:creationId xmlns:a16="http://schemas.microsoft.com/office/drawing/2014/main" id="{00000000-0008-0000-0800-00007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6" name="Shape 11">
          <a:extLst>
            <a:ext uri="{FF2B5EF4-FFF2-40B4-BE49-F238E27FC236}">
              <a16:creationId xmlns:a16="http://schemas.microsoft.com/office/drawing/2014/main" id="{00000000-0008-0000-0800-00007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7" name="Shape 11">
          <a:extLst>
            <a:ext uri="{FF2B5EF4-FFF2-40B4-BE49-F238E27FC236}">
              <a16:creationId xmlns:a16="http://schemas.microsoft.com/office/drawing/2014/main" id="{00000000-0008-0000-0800-00007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8" name="Shape 11">
          <a:extLst>
            <a:ext uri="{FF2B5EF4-FFF2-40B4-BE49-F238E27FC236}">
              <a16:creationId xmlns:a16="http://schemas.microsoft.com/office/drawing/2014/main" id="{00000000-0008-0000-0800-00008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89" name="Shape 12">
          <a:extLst>
            <a:ext uri="{FF2B5EF4-FFF2-40B4-BE49-F238E27FC236}">
              <a16:creationId xmlns:a16="http://schemas.microsoft.com/office/drawing/2014/main" id="{00000000-0008-0000-0800-00008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0" name="Shape 12">
          <a:extLst>
            <a:ext uri="{FF2B5EF4-FFF2-40B4-BE49-F238E27FC236}">
              <a16:creationId xmlns:a16="http://schemas.microsoft.com/office/drawing/2014/main" id="{00000000-0008-0000-0800-00008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1" name="Shape 12">
          <a:extLst>
            <a:ext uri="{FF2B5EF4-FFF2-40B4-BE49-F238E27FC236}">
              <a16:creationId xmlns:a16="http://schemas.microsoft.com/office/drawing/2014/main" id="{00000000-0008-0000-0800-00008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2" name="Shape 12">
          <a:extLst>
            <a:ext uri="{FF2B5EF4-FFF2-40B4-BE49-F238E27FC236}">
              <a16:creationId xmlns:a16="http://schemas.microsoft.com/office/drawing/2014/main" id="{00000000-0008-0000-0800-00008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3" name="Shape 11">
          <a:extLst>
            <a:ext uri="{FF2B5EF4-FFF2-40B4-BE49-F238E27FC236}">
              <a16:creationId xmlns:a16="http://schemas.microsoft.com/office/drawing/2014/main" id="{00000000-0008-0000-0800-00008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4" name="Shape 11">
          <a:extLst>
            <a:ext uri="{FF2B5EF4-FFF2-40B4-BE49-F238E27FC236}">
              <a16:creationId xmlns:a16="http://schemas.microsoft.com/office/drawing/2014/main" id="{00000000-0008-0000-0800-00008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5" name="Shape 11">
          <a:extLst>
            <a:ext uri="{FF2B5EF4-FFF2-40B4-BE49-F238E27FC236}">
              <a16:creationId xmlns:a16="http://schemas.microsoft.com/office/drawing/2014/main" id="{00000000-0008-0000-0800-00008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6" name="Shape 11">
          <a:extLst>
            <a:ext uri="{FF2B5EF4-FFF2-40B4-BE49-F238E27FC236}">
              <a16:creationId xmlns:a16="http://schemas.microsoft.com/office/drawing/2014/main" id="{00000000-0008-0000-0800-00008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7" name="Shape 11">
          <a:extLst>
            <a:ext uri="{FF2B5EF4-FFF2-40B4-BE49-F238E27FC236}">
              <a16:creationId xmlns:a16="http://schemas.microsoft.com/office/drawing/2014/main" id="{00000000-0008-0000-0800-00008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8" name="Shape 11">
          <a:extLst>
            <a:ext uri="{FF2B5EF4-FFF2-40B4-BE49-F238E27FC236}">
              <a16:creationId xmlns:a16="http://schemas.microsoft.com/office/drawing/2014/main" id="{00000000-0008-0000-0800-00008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9" name="Shape 11">
          <a:extLst>
            <a:ext uri="{FF2B5EF4-FFF2-40B4-BE49-F238E27FC236}">
              <a16:creationId xmlns:a16="http://schemas.microsoft.com/office/drawing/2014/main" id="{00000000-0008-0000-0800-00008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0" name="Shape 5">
          <a:extLst>
            <a:ext uri="{FF2B5EF4-FFF2-40B4-BE49-F238E27FC236}">
              <a16:creationId xmlns:a16="http://schemas.microsoft.com/office/drawing/2014/main" id="{00000000-0008-0000-0800-00008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1" name="Shape 5">
          <a:extLst>
            <a:ext uri="{FF2B5EF4-FFF2-40B4-BE49-F238E27FC236}">
              <a16:creationId xmlns:a16="http://schemas.microsoft.com/office/drawing/2014/main" id="{00000000-0008-0000-0800-00008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2" name="Shape 5">
          <a:extLst>
            <a:ext uri="{FF2B5EF4-FFF2-40B4-BE49-F238E27FC236}">
              <a16:creationId xmlns:a16="http://schemas.microsoft.com/office/drawing/2014/main" id="{00000000-0008-0000-0800-00008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3" name="Shape 5">
          <a:extLst>
            <a:ext uri="{FF2B5EF4-FFF2-40B4-BE49-F238E27FC236}">
              <a16:creationId xmlns:a16="http://schemas.microsoft.com/office/drawing/2014/main" id="{00000000-0008-0000-0800-00008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4" name="Shape 6">
          <a:extLst>
            <a:ext uri="{FF2B5EF4-FFF2-40B4-BE49-F238E27FC236}">
              <a16:creationId xmlns:a16="http://schemas.microsoft.com/office/drawing/2014/main" id="{00000000-0008-0000-0800-00009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5" name="Shape 6">
          <a:extLst>
            <a:ext uri="{FF2B5EF4-FFF2-40B4-BE49-F238E27FC236}">
              <a16:creationId xmlns:a16="http://schemas.microsoft.com/office/drawing/2014/main" id="{00000000-0008-0000-0800-00009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6" name="Shape 6">
          <a:extLst>
            <a:ext uri="{FF2B5EF4-FFF2-40B4-BE49-F238E27FC236}">
              <a16:creationId xmlns:a16="http://schemas.microsoft.com/office/drawing/2014/main" id="{00000000-0008-0000-0800-00009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7" name="Shape 6">
          <a:extLst>
            <a:ext uri="{FF2B5EF4-FFF2-40B4-BE49-F238E27FC236}">
              <a16:creationId xmlns:a16="http://schemas.microsoft.com/office/drawing/2014/main" id="{00000000-0008-0000-0800-00009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8" name="Shape 5">
          <a:extLst>
            <a:ext uri="{FF2B5EF4-FFF2-40B4-BE49-F238E27FC236}">
              <a16:creationId xmlns:a16="http://schemas.microsoft.com/office/drawing/2014/main" id="{00000000-0008-0000-0800-00009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9" name="Shape 5">
          <a:extLst>
            <a:ext uri="{FF2B5EF4-FFF2-40B4-BE49-F238E27FC236}">
              <a16:creationId xmlns:a16="http://schemas.microsoft.com/office/drawing/2014/main" id="{00000000-0008-0000-0800-00009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0" name="Shape 5">
          <a:extLst>
            <a:ext uri="{FF2B5EF4-FFF2-40B4-BE49-F238E27FC236}">
              <a16:creationId xmlns:a16="http://schemas.microsoft.com/office/drawing/2014/main" id="{00000000-0008-0000-0800-00009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1" name="Shape 5">
          <a:extLst>
            <a:ext uri="{FF2B5EF4-FFF2-40B4-BE49-F238E27FC236}">
              <a16:creationId xmlns:a16="http://schemas.microsoft.com/office/drawing/2014/main" id="{00000000-0008-0000-0800-00009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2" name="Shape 5">
          <a:extLst>
            <a:ext uri="{FF2B5EF4-FFF2-40B4-BE49-F238E27FC236}">
              <a16:creationId xmlns:a16="http://schemas.microsoft.com/office/drawing/2014/main" id="{00000000-0008-0000-0800-00009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3" name="Shape 5">
          <a:extLst>
            <a:ext uri="{FF2B5EF4-FFF2-40B4-BE49-F238E27FC236}">
              <a16:creationId xmlns:a16="http://schemas.microsoft.com/office/drawing/2014/main" id="{00000000-0008-0000-0800-00009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4" name="Shape 5">
          <a:extLst>
            <a:ext uri="{FF2B5EF4-FFF2-40B4-BE49-F238E27FC236}">
              <a16:creationId xmlns:a16="http://schemas.microsoft.com/office/drawing/2014/main" id="{00000000-0008-0000-0800-00009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5" name="Shape 11">
          <a:extLst>
            <a:ext uri="{FF2B5EF4-FFF2-40B4-BE49-F238E27FC236}">
              <a16:creationId xmlns:a16="http://schemas.microsoft.com/office/drawing/2014/main" id="{00000000-0008-0000-0800-00009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6" name="Shape 11">
          <a:extLst>
            <a:ext uri="{FF2B5EF4-FFF2-40B4-BE49-F238E27FC236}">
              <a16:creationId xmlns:a16="http://schemas.microsoft.com/office/drawing/2014/main" id="{00000000-0008-0000-0800-00009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7" name="Shape 11">
          <a:extLst>
            <a:ext uri="{FF2B5EF4-FFF2-40B4-BE49-F238E27FC236}">
              <a16:creationId xmlns:a16="http://schemas.microsoft.com/office/drawing/2014/main" id="{00000000-0008-0000-0800-00009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8" name="Shape 11">
          <a:extLst>
            <a:ext uri="{FF2B5EF4-FFF2-40B4-BE49-F238E27FC236}">
              <a16:creationId xmlns:a16="http://schemas.microsoft.com/office/drawing/2014/main" id="{00000000-0008-0000-0800-00009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19" name="Shape 12">
          <a:extLst>
            <a:ext uri="{FF2B5EF4-FFF2-40B4-BE49-F238E27FC236}">
              <a16:creationId xmlns:a16="http://schemas.microsoft.com/office/drawing/2014/main" id="{00000000-0008-0000-0800-00009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0" name="Shape 12">
          <a:extLst>
            <a:ext uri="{FF2B5EF4-FFF2-40B4-BE49-F238E27FC236}">
              <a16:creationId xmlns:a16="http://schemas.microsoft.com/office/drawing/2014/main" id="{00000000-0008-0000-0800-0000A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1" name="Shape 12">
          <a:extLst>
            <a:ext uri="{FF2B5EF4-FFF2-40B4-BE49-F238E27FC236}">
              <a16:creationId xmlns:a16="http://schemas.microsoft.com/office/drawing/2014/main" id="{00000000-0008-0000-0800-0000A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2" name="Shape 12">
          <a:extLst>
            <a:ext uri="{FF2B5EF4-FFF2-40B4-BE49-F238E27FC236}">
              <a16:creationId xmlns:a16="http://schemas.microsoft.com/office/drawing/2014/main" id="{00000000-0008-0000-0800-0000A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3" name="Shape 11">
          <a:extLst>
            <a:ext uri="{FF2B5EF4-FFF2-40B4-BE49-F238E27FC236}">
              <a16:creationId xmlns:a16="http://schemas.microsoft.com/office/drawing/2014/main" id="{00000000-0008-0000-0800-0000A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4" name="Shape 11">
          <a:extLst>
            <a:ext uri="{FF2B5EF4-FFF2-40B4-BE49-F238E27FC236}">
              <a16:creationId xmlns:a16="http://schemas.microsoft.com/office/drawing/2014/main" id="{00000000-0008-0000-0800-0000A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5" name="Shape 11">
          <a:extLst>
            <a:ext uri="{FF2B5EF4-FFF2-40B4-BE49-F238E27FC236}">
              <a16:creationId xmlns:a16="http://schemas.microsoft.com/office/drawing/2014/main" id="{00000000-0008-0000-0800-0000A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6" name="Shape 11">
          <a:extLst>
            <a:ext uri="{FF2B5EF4-FFF2-40B4-BE49-F238E27FC236}">
              <a16:creationId xmlns:a16="http://schemas.microsoft.com/office/drawing/2014/main" id="{00000000-0008-0000-0800-0000A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7" name="Shape 11">
          <a:extLst>
            <a:ext uri="{FF2B5EF4-FFF2-40B4-BE49-F238E27FC236}">
              <a16:creationId xmlns:a16="http://schemas.microsoft.com/office/drawing/2014/main" id="{00000000-0008-0000-0800-0000A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8" name="Shape 11">
          <a:extLst>
            <a:ext uri="{FF2B5EF4-FFF2-40B4-BE49-F238E27FC236}">
              <a16:creationId xmlns:a16="http://schemas.microsoft.com/office/drawing/2014/main" id="{00000000-0008-0000-0800-0000A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9" name="Shape 11">
          <a:extLst>
            <a:ext uri="{FF2B5EF4-FFF2-40B4-BE49-F238E27FC236}">
              <a16:creationId xmlns:a16="http://schemas.microsoft.com/office/drawing/2014/main" id="{00000000-0008-0000-0800-0000A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0" name="Shape 5">
          <a:extLst>
            <a:ext uri="{FF2B5EF4-FFF2-40B4-BE49-F238E27FC236}">
              <a16:creationId xmlns:a16="http://schemas.microsoft.com/office/drawing/2014/main" id="{00000000-0008-0000-0800-0000A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1" name="Shape 5">
          <a:extLst>
            <a:ext uri="{FF2B5EF4-FFF2-40B4-BE49-F238E27FC236}">
              <a16:creationId xmlns:a16="http://schemas.microsoft.com/office/drawing/2014/main" id="{00000000-0008-0000-0800-0000A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2" name="Shape 5">
          <a:extLst>
            <a:ext uri="{FF2B5EF4-FFF2-40B4-BE49-F238E27FC236}">
              <a16:creationId xmlns:a16="http://schemas.microsoft.com/office/drawing/2014/main" id="{00000000-0008-0000-0800-0000A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3" name="Shape 5">
          <a:extLst>
            <a:ext uri="{FF2B5EF4-FFF2-40B4-BE49-F238E27FC236}">
              <a16:creationId xmlns:a16="http://schemas.microsoft.com/office/drawing/2014/main" id="{00000000-0008-0000-0800-0000A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4" name="Shape 6">
          <a:extLst>
            <a:ext uri="{FF2B5EF4-FFF2-40B4-BE49-F238E27FC236}">
              <a16:creationId xmlns:a16="http://schemas.microsoft.com/office/drawing/2014/main" id="{00000000-0008-0000-0800-0000A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5" name="Shape 6">
          <a:extLst>
            <a:ext uri="{FF2B5EF4-FFF2-40B4-BE49-F238E27FC236}">
              <a16:creationId xmlns:a16="http://schemas.microsoft.com/office/drawing/2014/main" id="{00000000-0008-0000-0800-0000A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6" name="Shape 6">
          <a:extLst>
            <a:ext uri="{FF2B5EF4-FFF2-40B4-BE49-F238E27FC236}">
              <a16:creationId xmlns:a16="http://schemas.microsoft.com/office/drawing/2014/main" id="{00000000-0008-0000-0800-0000B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7" name="Shape 6">
          <a:extLst>
            <a:ext uri="{FF2B5EF4-FFF2-40B4-BE49-F238E27FC236}">
              <a16:creationId xmlns:a16="http://schemas.microsoft.com/office/drawing/2014/main" id="{00000000-0008-0000-0800-0000B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8" name="Shape 5">
          <a:extLst>
            <a:ext uri="{FF2B5EF4-FFF2-40B4-BE49-F238E27FC236}">
              <a16:creationId xmlns:a16="http://schemas.microsoft.com/office/drawing/2014/main" id="{00000000-0008-0000-0800-0000B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9" name="Shape 5">
          <a:extLst>
            <a:ext uri="{FF2B5EF4-FFF2-40B4-BE49-F238E27FC236}">
              <a16:creationId xmlns:a16="http://schemas.microsoft.com/office/drawing/2014/main" id="{00000000-0008-0000-0800-0000B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0" name="Shape 5">
          <a:extLst>
            <a:ext uri="{FF2B5EF4-FFF2-40B4-BE49-F238E27FC236}">
              <a16:creationId xmlns:a16="http://schemas.microsoft.com/office/drawing/2014/main" id="{00000000-0008-0000-0800-0000B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1" name="Shape 5">
          <a:extLst>
            <a:ext uri="{FF2B5EF4-FFF2-40B4-BE49-F238E27FC236}">
              <a16:creationId xmlns:a16="http://schemas.microsoft.com/office/drawing/2014/main" id="{00000000-0008-0000-0800-0000B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2" name="Shape 5">
          <a:extLst>
            <a:ext uri="{FF2B5EF4-FFF2-40B4-BE49-F238E27FC236}">
              <a16:creationId xmlns:a16="http://schemas.microsoft.com/office/drawing/2014/main" id="{00000000-0008-0000-0800-0000B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3" name="Shape 5">
          <a:extLst>
            <a:ext uri="{FF2B5EF4-FFF2-40B4-BE49-F238E27FC236}">
              <a16:creationId xmlns:a16="http://schemas.microsoft.com/office/drawing/2014/main" id="{00000000-0008-0000-0800-0000B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4" name="Shape 5">
          <a:extLst>
            <a:ext uri="{FF2B5EF4-FFF2-40B4-BE49-F238E27FC236}">
              <a16:creationId xmlns:a16="http://schemas.microsoft.com/office/drawing/2014/main" id="{00000000-0008-0000-0800-0000B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5" name="Shape 11">
          <a:extLst>
            <a:ext uri="{FF2B5EF4-FFF2-40B4-BE49-F238E27FC236}">
              <a16:creationId xmlns:a16="http://schemas.microsoft.com/office/drawing/2014/main" id="{00000000-0008-0000-0800-0000B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6" name="Shape 11">
          <a:extLst>
            <a:ext uri="{FF2B5EF4-FFF2-40B4-BE49-F238E27FC236}">
              <a16:creationId xmlns:a16="http://schemas.microsoft.com/office/drawing/2014/main" id="{00000000-0008-0000-0800-0000B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7" name="Shape 11">
          <a:extLst>
            <a:ext uri="{FF2B5EF4-FFF2-40B4-BE49-F238E27FC236}">
              <a16:creationId xmlns:a16="http://schemas.microsoft.com/office/drawing/2014/main" id="{00000000-0008-0000-0800-0000B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8" name="Shape 11">
          <a:extLst>
            <a:ext uri="{FF2B5EF4-FFF2-40B4-BE49-F238E27FC236}">
              <a16:creationId xmlns:a16="http://schemas.microsoft.com/office/drawing/2014/main" id="{00000000-0008-0000-0800-0000B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49" name="Shape 12">
          <a:extLst>
            <a:ext uri="{FF2B5EF4-FFF2-40B4-BE49-F238E27FC236}">
              <a16:creationId xmlns:a16="http://schemas.microsoft.com/office/drawing/2014/main" id="{00000000-0008-0000-0800-0000B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0" name="Shape 12">
          <a:extLst>
            <a:ext uri="{FF2B5EF4-FFF2-40B4-BE49-F238E27FC236}">
              <a16:creationId xmlns:a16="http://schemas.microsoft.com/office/drawing/2014/main" id="{00000000-0008-0000-0800-0000B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1" name="Shape 12">
          <a:extLst>
            <a:ext uri="{FF2B5EF4-FFF2-40B4-BE49-F238E27FC236}">
              <a16:creationId xmlns:a16="http://schemas.microsoft.com/office/drawing/2014/main" id="{00000000-0008-0000-0800-0000B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2" name="Shape 12">
          <a:extLst>
            <a:ext uri="{FF2B5EF4-FFF2-40B4-BE49-F238E27FC236}">
              <a16:creationId xmlns:a16="http://schemas.microsoft.com/office/drawing/2014/main" id="{00000000-0008-0000-0800-0000C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3" name="Shape 11">
          <a:extLst>
            <a:ext uri="{FF2B5EF4-FFF2-40B4-BE49-F238E27FC236}">
              <a16:creationId xmlns:a16="http://schemas.microsoft.com/office/drawing/2014/main" id="{00000000-0008-0000-0800-0000C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4" name="Shape 11">
          <a:extLst>
            <a:ext uri="{FF2B5EF4-FFF2-40B4-BE49-F238E27FC236}">
              <a16:creationId xmlns:a16="http://schemas.microsoft.com/office/drawing/2014/main" id="{00000000-0008-0000-0800-0000C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5" name="Shape 11">
          <a:extLst>
            <a:ext uri="{FF2B5EF4-FFF2-40B4-BE49-F238E27FC236}">
              <a16:creationId xmlns:a16="http://schemas.microsoft.com/office/drawing/2014/main" id="{00000000-0008-0000-0800-0000C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6" name="Shape 11">
          <a:extLst>
            <a:ext uri="{FF2B5EF4-FFF2-40B4-BE49-F238E27FC236}">
              <a16:creationId xmlns:a16="http://schemas.microsoft.com/office/drawing/2014/main" id="{00000000-0008-0000-0800-0000C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7" name="Shape 11">
          <a:extLst>
            <a:ext uri="{FF2B5EF4-FFF2-40B4-BE49-F238E27FC236}">
              <a16:creationId xmlns:a16="http://schemas.microsoft.com/office/drawing/2014/main" id="{00000000-0008-0000-0800-0000C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8" name="Shape 11">
          <a:extLst>
            <a:ext uri="{FF2B5EF4-FFF2-40B4-BE49-F238E27FC236}">
              <a16:creationId xmlns:a16="http://schemas.microsoft.com/office/drawing/2014/main" id="{00000000-0008-0000-0800-0000C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9" name="Shape 11">
          <a:extLst>
            <a:ext uri="{FF2B5EF4-FFF2-40B4-BE49-F238E27FC236}">
              <a16:creationId xmlns:a16="http://schemas.microsoft.com/office/drawing/2014/main" id="{00000000-0008-0000-0800-0000C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0" name="Shape 5">
          <a:extLst>
            <a:ext uri="{FF2B5EF4-FFF2-40B4-BE49-F238E27FC236}">
              <a16:creationId xmlns:a16="http://schemas.microsoft.com/office/drawing/2014/main" id="{00000000-0008-0000-0800-0000C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1" name="Shape 5">
          <a:extLst>
            <a:ext uri="{FF2B5EF4-FFF2-40B4-BE49-F238E27FC236}">
              <a16:creationId xmlns:a16="http://schemas.microsoft.com/office/drawing/2014/main" id="{00000000-0008-0000-0800-0000C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2" name="Shape 5">
          <a:extLst>
            <a:ext uri="{FF2B5EF4-FFF2-40B4-BE49-F238E27FC236}">
              <a16:creationId xmlns:a16="http://schemas.microsoft.com/office/drawing/2014/main" id="{00000000-0008-0000-0800-0000C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3" name="Shape 5">
          <a:extLst>
            <a:ext uri="{FF2B5EF4-FFF2-40B4-BE49-F238E27FC236}">
              <a16:creationId xmlns:a16="http://schemas.microsoft.com/office/drawing/2014/main" id="{00000000-0008-0000-0800-0000C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4" name="Shape 6">
          <a:extLst>
            <a:ext uri="{FF2B5EF4-FFF2-40B4-BE49-F238E27FC236}">
              <a16:creationId xmlns:a16="http://schemas.microsoft.com/office/drawing/2014/main" id="{00000000-0008-0000-0800-0000C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5" name="Shape 6">
          <a:extLst>
            <a:ext uri="{FF2B5EF4-FFF2-40B4-BE49-F238E27FC236}">
              <a16:creationId xmlns:a16="http://schemas.microsoft.com/office/drawing/2014/main" id="{00000000-0008-0000-0800-0000C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6" name="Shape 6">
          <a:extLst>
            <a:ext uri="{FF2B5EF4-FFF2-40B4-BE49-F238E27FC236}">
              <a16:creationId xmlns:a16="http://schemas.microsoft.com/office/drawing/2014/main" id="{00000000-0008-0000-0800-0000C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7" name="Shape 6">
          <a:extLst>
            <a:ext uri="{FF2B5EF4-FFF2-40B4-BE49-F238E27FC236}">
              <a16:creationId xmlns:a16="http://schemas.microsoft.com/office/drawing/2014/main" id="{00000000-0008-0000-0800-0000C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8" name="Shape 5">
          <a:extLst>
            <a:ext uri="{FF2B5EF4-FFF2-40B4-BE49-F238E27FC236}">
              <a16:creationId xmlns:a16="http://schemas.microsoft.com/office/drawing/2014/main" id="{00000000-0008-0000-0800-0000D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9" name="Shape 5">
          <a:extLst>
            <a:ext uri="{FF2B5EF4-FFF2-40B4-BE49-F238E27FC236}">
              <a16:creationId xmlns:a16="http://schemas.microsoft.com/office/drawing/2014/main" id="{00000000-0008-0000-0800-0000D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0" name="Shape 5">
          <a:extLst>
            <a:ext uri="{FF2B5EF4-FFF2-40B4-BE49-F238E27FC236}">
              <a16:creationId xmlns:a16="http://schemas.microsoft.com/office/drawing/2014/main" id="{00000000-0008-0000-0800-0000D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1" name="Shape 5">
          <a:extLst>
            <a:ext uri="{FF2B5EF4-FFF2-40B4-BE49-F238E27FC236}">
              <a16:creationId xmlns:a16="http://schemas.microsoft.com/office/drawing/2014/main" id="{00000000-0008-0000-0800-0000D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2" name="Shape 5">
          <a:extLst>
            <a:ext uri="{FF2B5EF4-FFF2-40B4-BE49-F238E27FC236}">
              <a16:creationId xmlns:a16="http://schemas.microsoft.com/office/drawing/2014/main" id="{00000000-0008-0000-0800-0000D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3" name="Shape 5">
          <a:extLst>
            <a:ext uri="{FF2B5EF4-FFF2-40B4-BE49-F238E27FC236}">
              <a16:creationId xmlns:a16="http://schemas.microsoft.com/office/drawing/2014/main" id="{00000000-0008-0000-0800-0000D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4" name="Shape 5">
          <a:extLst>
            <a:ext uri="{FF2B5EF4-FFF2-40B4-BE49-F238E27FC236}">
              <a16:creationId xmlns:a16="http://schemas.microsoft.com/office/drawing/2014/main" id="{00000000-0008-0000-0800-0000D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7</xdr:row>
      <xdr:rowOff>0</xdr:rowOff>
    </xdr:from>
    <xdr:ext cx="247650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7</xdr:row>
      <xdr:rowOff>0</xdr:rowOff>
    </xdr:from>
    <xdr:ext cx="247650" cy="323850"/>
    <xdr:sp macro="" textlink="">
      <xdr:nvSpPr>
        <xdr:cNvPr id="6" name="Shape 1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7</xdr:row>
      <xdr:rowOff>0</xdr:rowOff>
    </xdr:from>
    <xdr:ext cx="247650" cy="323850"/>
    <xdr:sp macro="" textlink="">
      <xdr:nvSpPr>
        <xdr:cNvPr id="7" name="Shape 1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7</xdr:row>
      <xdr:rowOff>0</xdr:rowOff>
    </xdr:from>
    <xdr:ext cx="247650" cy="323850"/>
    <xdr:sp macro="" textlink="">
      <xdr:nvSpPr>
        <xdr:cNvPr id="8" name="Shape 1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7</xdr:row>
      <xdr:rowOff>0</xdr:rowOff>
    </xdr:from>
    <xdr:ext cx="257175" cy="3238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1" name="Shape 1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2" name="Shape 1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3" name="Shape 1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4" name="Shape 1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36" name="Shape 13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37" name="Shape 1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38" name="Shape 1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39" name="Shape 13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51" name="Shape 1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52" name="Shape 13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53" name="Shape 13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54" name="Shape 1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66" name="Shape 13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67" name="Shape 1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68" name="Shape 1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69" name="Shape 13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81" name="Shape 13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82" name="Shape 13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83" name="Shape 13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84" name="Shape 13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96" name="Shape 13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97" name="Shape 13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98" name="Shape 13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99" name="Shape 1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10" name="Shape 13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11" name="Shape 13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12" name="Shape 13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13" name="Shape 13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25" name="Shape 13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26" name="Shape 13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27" name="Shape 13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28" name="Shape 13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40" name="Shape 13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41" name="Shape 13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42" name="Shape 13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43" name="Shape 13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55" name="Shape 13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56" name="Shape 13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57" name="Shape 1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58" name="Shape 13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70" name="Shape 13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71" name="Shape 13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72" name="Shape 13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73" name="Shape 13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85" name="Shape 13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86" name="Shape 13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87" name="Shape 13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88" name="Shape 13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00" name="Shape 13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01" name="Shape 13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02" name="Shape 13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203" name="Shape 13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215" name="Shape 13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216" name="Shape 13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217" name="Shape 13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218" name="Shape 13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230" name="Shape 13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231" name="Shape 13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232" name="Shape 13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233" name="Shape 13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245" name="Shape 13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246" name="Shape 13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247" name="Shape 13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248" name="Shape 13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260" name="Shape 13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261" name="Shape 13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262" name="Shape 13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263" name="Shape 13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275" name="Shape 13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276" name="Shape 13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277" name="Shape 13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278" name="Shape 13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290" name="Shape 13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291" name="Shape 13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292" name="Shape 13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293" name="Shape 13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305" name="Shape 13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306" name="Shape 13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307" name="Shape 13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308" name="Shape 13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320" name="Shape 13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321" name="Shape 13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322" name="Shape 13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323" name="Shape 13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335" name="Shape 13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336" name="Shape 13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337" name="Shape 13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338" name="Shape 13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350" name="Shape 13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351" name="Shape 13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352" name="Shape 13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78" name="Shape 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79" name="Shape 3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381" name="Shape 1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383" name="Shape 13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4" name="Shape 3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5" name="Shape 3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6" name="Shape 3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7" name="Shape 3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8" name="Shape 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89" name="Shape 3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390" name="Shape 3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391" name="Shape 3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392" name="Shape 3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393" name="Shape 3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394" name="Shape 3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395" name="Shape 13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397" name="Shape 13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399" name="Shape 3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0" name="Shape 3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1" name="Shape 3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2" name="Shape 3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3" name="Shape 3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4" name="Shape 3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405" name="Shape 3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06" name="Shape 3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07" name="Shape 3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08" name="Shape 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09" name="Shape 3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4" name="Shape 3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5" name="Shape 3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6" name="Shape 3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7" name="Shape 3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8" name="Shape 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19" name="Shape 3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420" name="Shape 3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21" name="Shape 3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22" name="Shape 3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23" name="Shape 3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24" name="Shape 3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29" name="Shape 3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0" name="Shape 3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1" name="Shape 3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2" name="Shape 3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3" name="Shape 3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4" name="Shape 3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435" name="Shape 3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36" name="Shape 3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37" name="Shape 3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38" name="Shape 3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39" name="Shape 3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4" name="Shape 3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5" name="Shape 3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6" name="Shape 3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7" name="Shape 3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8" name="Shape 3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49" name="Shape 3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450" name="Shape 3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51" name="Shape 3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52" name="Shape 3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53" name="Shape 3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54" name="Shape 3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59" name="Shape 3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0" name="Shape 3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1" name="Shape 3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2" name="Shape 3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3" name="Shape 3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4" name="Shape 3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465" name="Shape 3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66" name="Shape 3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67" name="Shape 3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68" name="Shape 3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69" name="Shape 3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4" name="Shape 3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5" name="Shape 3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6" name="Shape 3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7" name="Shape 3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8" name="Shape 3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79" name="Shape 3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480" name="Shape 3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488" name="Shape 13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500" name="Shape 13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530" name="Shape 13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531" name="Shape 13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532" name="Shape 13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533" name="Shape 13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545" name="Shape 13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546" name="Shape 13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547" name="Shape 13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548" name="Shape 13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560" name="Shape 13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561" name="Shape 13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562" name="Shape 13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563" name="Shape 13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575" name="Shape 13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576" name="Shape 13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577" name="Shape 13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578" name="Shape 13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590" name="Shape 1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591" name="Shape 13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592" name="Shape 13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593" name="Shape 13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605" name="Shape 13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606" name="Shape 13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607" name="Shape 13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608" name="Shape 13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620" name="Shape 13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621" name="Shape 13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622" name="Shape 13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623" name="Shape 13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635" name="Shape 13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636" name="Shape 13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637" name="Shape 13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638" name="Shape 13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650" name="Shape 13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651" name="Shape 13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652" name="Shape 13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653" name="Shape 1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665" name="Shape 13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666" name="Shape 13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667" name="Shape 13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668" name="Shape 13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680" name="Shape 13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681" name="Shape 13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682" name="Shape 13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683" name="Shape 13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695" name="Shape 13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696" name="Shape 13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697" name="Shape 13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698" name="Shape 13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711" name="Shape 13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713" name="Shape 1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21" name="Shape 3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22" name="Shape 3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725" name="Shape 13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727" name="Shape 13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29" name="Shape 3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0" name="Shape 3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1" name="Shape 3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2" name="Shape 3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3" name="Shape 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4" name="Shape 3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735" name="Shape 3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740" name="Shape 13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741" name="Shape 13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742" name="Shape 13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743" name="Shape 13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4" name="Shape 3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5" name="Shape 3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6" name="Shape 3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7" name="Shape 3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8" name="Shape 3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49" name="Shape 3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750" name="Shape 3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51" name="Shape 3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52" name="Shape 3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53" name="Shape 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54" name="Shape 3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755" name="Shape 13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756" name="Shape 13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757" name="Shape 13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758" name="Shape 13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59" name="Shape 3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0" name="Shape 3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1" name="Shape 3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2" name="Shape 3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3" name="Shape 3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4" name="Shape 3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765" name="Shape 3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66" name="Shape 3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67" name="Shape 3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68" name="Shape 3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69" name="Shape 3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770" name="Shape 13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771" name="Shape 13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772" name="Shape 13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773" name="Shape 1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4" name="Shape 3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5" name="Shape 3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6" name="Shape 3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7" name="Shape 3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8" name="Shape 3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79" name="Shape 3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780" name="Shape 3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81" name="Shape 3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82" name="Shape 3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83" name="Shape 3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84" name="Shape 3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785" name="Shape 13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786" name="Shape 13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787" name="Shape 13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788" name="Shape 13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89" name="Shape 3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0" name="Shape 3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1" name="Shape 3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2" name="Shape 3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3" name="Shape 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4" name="Shape 3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795" name="Shape 3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796" name="Shape 3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797" name="Shape 3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798" name="Shape 3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799" name="Shape 3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800" name="Shape 13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801" name="Shape 13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802" name="Shape 13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803" name="Shape 13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4" name="Shape 3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5" name="Shape 3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6" name="Shape 3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7" name="Shape 3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8" name="Shape 3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09" name="Shape 3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810" name="Shape 3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11" name="Shape 3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12" name="Shape 3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13" name="Shape 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14" name="Shape 3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815" name="Shape 13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816" name="Shape 13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817" name="Shape 13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818" name="Shape 13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19" name="Shape 3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0" name="Shape 3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1" name="Shape 3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2" name="Shape 3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3" name="Shape 3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4" name="Shape 3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825" name="Shape 3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26" name="Shape 3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27" name="Shape 3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28" name="Shape 3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29" name="Shape 3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830" name="Shape 13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831" name="Shape 13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832" name="Shape 13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833" name="Shape 1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4" name="Shape 3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5" name="Shape 3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6" name="Shape 3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7" name="Shape 3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8" name="Shape 3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39" name="Shape 3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840" name="Shape 3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41" name="Shape 3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42" name="Shape 3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43" name="Shape 3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44" name="Shape 3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845" name="Shape 13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846" name="Shape 13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847" name="Shape 13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848" name="Shape 13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49" name="Shape 3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0" name="Shape 3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1" name="Shape 3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2" name="Shape 3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3" name="Shape 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4" name="Shape 3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855" name="Shape 3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56" name="Shape 3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57" name="Shape 3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58" name="Shape 3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59" name="Shape 3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860" name="Shape 13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861" name="Shape 13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862" name="Shape 13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863" name="Shape 13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4" name="Shape 3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5" name="Shape 3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6" name="Shape 3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7" name="Shape 3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8" name="Shape 3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69" name="Shape 3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870" name="Shape 3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71" name="Shape 3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72" name="Shape 3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73" name="Shape 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74" name="Shape 3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875" name="Shape 13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876" name="Shape 13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877" name="Shape 13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878" name="Shape 13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79" name="Shape 3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0" name="Shape 3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1" name="Shape 3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2" name="Shape 3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3" name="Shape 3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4" name="Shape 3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885" name="Shape 3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86" name="Shape 3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87" name="Shape 3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88" name="Shape 3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89" name="Shape 3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890" name="Shape 13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891" name="Shape 13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892" name="Shape 13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893" name="Shape 1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4" name="Shape 3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5" name="Shape 3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6" name="Shape 3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7" name="Shape 3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8" name="Shape 3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899" name="Shape 3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900" name="Shape 3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01" name="Shape 3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02" name="Shape 3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03" name="Shape 3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04" name="Shape 3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905" name="Shape 13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906" name="Shape 13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907" name="Shape 13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908" name="Shape 13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09" name="Shape 3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0" name="Shape 3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1" name="Shape 3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2" name="Shape 3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3" name="Shape 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4" name="Shape 3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915" name="Shape 3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16" name="Shape 3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17" name="Shape 3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18" name="Shape 3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19" name="Shape 3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920" name="Shape 13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921" name="Shape 13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922" name="Shape 13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923" name="Shape 13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4" name="Shape 3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5" name="Shape 3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6" name="Shape 3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7" name="Shape 3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8" name="Shape 3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29" name="Shape 3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930" name="Shape 3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31" name="Shape 3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32" name="Shape 3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33" name="Shape 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34" name="Shape 3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935" name="Shape 13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936" name="Shape 13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937" name="Shape 13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938" name="Shape 13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39" name="Shape 3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0" name="Shape 3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1" name="Shape 3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2" name="Shape 3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3" name="Shape 3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4" name="Shape 3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945" name="Shape 3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46" name="Shape 3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47" name="Shape 3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48" name="Shape 3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49" name="Shape 3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950" name="Shape 13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951" name="Shape 13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952" name="Shape 13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953" name="Shape 13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4" name="Shape 3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5" name="Shape 3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6" name="Shape 3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7" name="Shape 3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8" name="Shape 3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59" name="Shape 3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960" name="Shape 3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61" name="Shape 3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62" name="Shape 3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63" name="Shape 3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64" name="Shape 3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965" name="Shape 13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966" name="Shape 13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967" name="Shape 13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968" name="Shape 13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69" name="Shape 3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0" name="Shape 3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1" name="Shape 3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2" name="Shape 3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3" name="Shape 3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4" name="Shape 3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975" name="Shape 3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76" name="Shape 3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77" name="Shape 3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78" name="Shape 3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79" name="Shape 3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980" name="Shape 13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982" name="Shape 13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4" name="Shape 3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5" name="Shape 3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6" name="Shape 3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7" name="Shape 3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8" name="Shape 3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89" name="Shape 3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990" name="Shape 3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991" name="Shape 3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992" name="Shape 3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993" name="Shape 3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994" name="Shape 3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995" name="Shape 4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996" name="Shape 4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997" name="Shape 4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8</xdr:row>
      <xdr:rowOff>0</xdr:rowOff>
    </xdr:from>
    <xdr:ext cx="247650" cy="323850"/>
    <xdr:sp macro="" textlink="">
      <xdr:nvSpPr>
        <xdr:cNvPr id="998" name="Shape 4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999" name="Shape 3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0" name="Shape 3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1" name="Shape 3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2" name="Shape 3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3" name="Shape 3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4" name="Shape 3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8</xdr:row>
      <xdr:rowOff>0</xdr:rowOff>
    </xdr:from>
    <xdr:ext cx="257175" cy="323850"/>
    <xdr:sp macro="" textlink="">
      <xdr:nvSpPr>
        <xdr:cNvPr id="1005" name="Shape 3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06" name="Shape 3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07" name="Shape 3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08" name="Shape 3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09" name="Shape 3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1010" name="Shape 4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1011" name="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1012" name="Shape 4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9</xdr:row>
      <xdr:rowOff>0</xdr:rowOff>
    </xdr:from>
    <xdr:ext cx="247650" cy="323850"/>
    <xdr:sp macro="" textlink="">
      <xdr:nvSpPr>
        <xdr:cNvPr id="1013" name="Shape 4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4" name="Shape 3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5" name="Shape 3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6" name="Shape 3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7" name="Shape 3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8" name="Shape 3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19" name="Shape 3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</xdr:row>
      <xdr:rowOff>0</xdr:rowOff>
    </xdr:from>
    <xdr:ext cx="257175" cy="323850"/>
    <xdr:sp macro="" textlink="">
      <xdr:nvSpPr>
        <xdr:cNvPr id="1020" name="Shape 3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21" name="Shape 3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22" name="Shape 3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23" name="Shape 3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24" name="Shape 3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1025" name="Shape 4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1026" name="Shape 4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1027" name="Shape 4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10</xdr:row>
      <xdr:rowOff>0</xdr:rowOff>
    </xdr:from>
    <xdr:ext cx="247650" cy="323850"/>
    <xdr:sp macro="" textlink="">
      <xdr:nvSpPr>
        <xdr:cNvPr id="1028" name="Shape 4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29" name="Shape 3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0" name="Shape 3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1" name="Shape 3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2" name="Shape 3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3" name="Shape 3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4" name="Shape 3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10</xdr:row>
      <xdr:rowOff>0</xdr:rowOff>
    </xdr:from>
    <xdr:ext cx="257175" cy="323850"/>
    <xdr:sp macro="" textlink="">
      <xdr:nvSpPr>
        <xdr:cNvPr id="1035" name="Shape 3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36" name="Shape 3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37" name="Shape 3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38" name="Shape 3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39" name="Shape 3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1040" name="Shape 4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1041" name="Shape 4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1042" name="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11</xdr:row>
      <xdr:rowOff>0</xdr:rowOff>
    </xdr:from>
    <xdr:ext cx="247650" cy="323850"/>
    <xdr:sp macro="" textlink="">
      <xdr:nvSpPr>
        <xdr:cNvPr id="1043" name="Shape 4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4" name="Shape 3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5" name="Shape 3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6" name="Shape 3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7" name="Shape 3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8" name="Shape 3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49" name="Shape 3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11</xdr:row>
      <xdr:rowOff>0</xdr:rowOff>
    </xdr:from>
    <xdr:ext cx="257175" cy="323850"/>
    <xdr:sp macro="" textlink="">
      <xdr:nvSpPr>
        <xdr:cNvPr id="1050" name="Shape 3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51" name="Shape 3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52" name="Shape 3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53" name="Shape 3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54" name="Shape 3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055" name="Shape 4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056" name="Shape 4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057" name="Shape 4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12</xdr:row>
      <xdr:rowOff>0</xdr:rowOff>
    </xdr:from>
    <xdr:ext cx="247650" cy="323850"/>
    <xdr:sp macro="" textlink="">
      <xdr:nvSpPr>
        <xdr:cNvPr id="1058" name="Shape 4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59" name="Shape 3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60" name="Shape 3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61" name="Shape 3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62" name="Shape 3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63" name="Shape 3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12</xdr:row>
      <xdr:rowOff>0</xdr:rowOff>
    </xdr:from>
    <xdr:ext cx="257175" cy="323850"/>
    <xdr:sp macro="" textlink="">
      <xdr:nvSpPr>
        <xdr:cNvPr id="1064" name="Shape 3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65" name="Shape 3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66" name="Shape 3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67" name="Shape 3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68" name="Shape 3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069" name="Shape 4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070" name="Shape 4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071" name="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13</xdr:row>
      <xdr:rowOff>0</xdr:rowOff>
    </xdr:from>
    <xdr:ext cx="247650" cy="323850"/>
    <xdr:sp macro="" textlink="">
      <xdr:nvSpPr>
        <xdr:cNvPr id="1072" name="Shape 4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3" name="Shape 3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4" name="Shape 3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5" name="Shape 3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6" name="Shape 3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7" name="Shape 3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8" name="Shape 3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13</xdr:row>
      <xdr:rowOff>0</xdr:rowOff>
    </xdr:from>
    <xdr:ext cx="257175" cy="323850"/>
    <xdr:sp macro="" textlink="">
      <xdr:nvSpPr>
        <xdr:cNvPr id="1079" name="Shape 3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0" name="Shape 3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1" name="Shape 3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2" name="Shape 3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3" name="Shape 3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084" name="Shape 4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085" name="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086" name="Shape 4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14</xdr:row>
      <xdr:rowOff>0</xdr:rowOff>
    </xdr:from>
    <xdr:ext cx="247650" cy="323850"/>
    <xdr:sp macro="" textlink="">
      <xdr:nvSpPr>
        <xdr:cNvPr id="1087" name="Shape 4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8" name="Shape 3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89" name="Shape 3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90" name="Shape 3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91" name="Shape 3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92" name="Shape 3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93" name="Shape 3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14</xdr:row>
      <xdr:rowOff>0</xdr:rowOff>
    </xdr:from>
    <xdr:ext cx="257175" cy="323850"/>
    <xdr:sp macro="" textlink="">
      <xdr:nvSpPr>
        <xdr:cNvPr id="1094" name="Shape 3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095" name="Shape 3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096" name="Shape 3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097" name="Shape 3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098" name="Shape 3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1099" name="Shape 4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1100" name="Shape 4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1101" name="Shape 4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15</xdr:row>
      <xdr:rowOff>0</xdr:rowOff>
    </xdr:from>
    <xdr:ext cx="247650" cy="323850"/>
    <xdr:sp macro="" textlink="">
      <xdr:nvSpPr>
        <xdr:cNvPr id="1102" name="Shape 4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3" name="Shape 3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4" name="Shape 3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5" name="Shape 3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6" name="Shape 3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7" name="Shape 3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8" name="Shape 3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15</xdr:row>
      <xdr:rowOff>0</xdr:rowOff>
    </xdr:from>
    <xdr:ext cx="257175" cy="323850"/>
    <xdr:sp macro="" textlink="">
      <xdr:nvSpPr>
        <xdr:cNvPr id="1109" name="Shape 3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0" name="Shape 3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1" name="Shape 3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2" name="Shape 3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3" name="Shape 3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1114" name="Shape 4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1115" name="Shape 4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1116" name="Shape 4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16</xdr:row>
      <xdr:rowOff>0</xdr:rowOff>
    </xdr:from>
    <xdr:ext cx="247650" cy="323850"/>
    <xdr:sp macro="" textlink="">
      <xdr:nvSpPr>
        <xdr:cNvPr id="1117" name="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8" name="Shape 3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19" name="Shape 3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20" name="Shape 3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21" name="Shape 3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22" name="Shape 3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23" name="Shape 3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16</xdr:row>
      <xdr:rowOff>0</xdr:rowOff>
    </xdr:from>
    <xdr:ext cx="257175" cy="323850"/>
    <xdr:sp macro="" textlink="">
      <xdr:nvSpPr>
        <xdr:cNvPr id="1124" name="Shape 3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25" name="Shape 3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26" name="Shape 3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27" name="Shape 3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1129" name="Shape 4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1130" name="Shape 4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1131" name="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17</xdr:row>
      <xdr:rowOff>0</xdr:rowOff>
    </xdr:from>
    <xdr:ext cx="247650" cy="323850"/>
    <xdr:sp macro="" textlink="">
      <xdr:nvSpPr>
        <xdr:cNvPr id="1132" name="Shape 4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3" name="Shape 3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6" name="Shape 3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7" name="Shape 3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8" name="Shape 3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17</xdr:row>
      <xdr:rowOff>0</xdr:rowOff>
    </xdr:from>
    <xdr:ext cx="257175" cy="323850"/>
    <xdr:sp macro="" textlink="">
      <xdr:nvSpPr>
        <xdr:cNvPr id="1139" name="Shape 3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0" name="Shape 3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1" name="Shape 3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2" name="Shape 3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3" name="Shape 3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1144" name="Shape 4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1145" name="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1146" name="Shape 4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18</xdr:row>
      <xdr:rowOff>0</xdr:rowOff>
    </xdr:from>
    <xdr:ext cx="247650" cy="323850"/>
    <xdr:sp macro="" textlink="">
      <xdr:nvSpPr>
        <xdr:cNvPr id="1147" name="Shape 4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8" name="Shape 3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49" name="Shape 3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50" name="Shape 3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51" name="Shape 3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52" name="Shape 3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53" name="Shape 3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18</xdr:row>
      <xdr:rowOff>0</xdr:rowOff>
    </xdr:from>
    <xdr:ext cx="257175" cy="323850"/>
    <xdr:sp macro="" textlink="">
      <xdr:nvSpPr>
        <xdr:cNvPr id="1154" name="Shape 3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55" name="Shape 3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56" name="Shape 3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57" name="Shape 3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58" name="Shape 3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1159" name="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1160" name="Shape 4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1161" name="Shape 4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19</xdr:row>
      <xdr:rowOff>0</xdr:rowOff>
    </xdr:from>
    <xdr:ext cx="247650" cy="323850"/>
    <xdr:sp macro="" textlink="">
      <xdr:nvSpPr>
        <xdr:cNvPr id="1162" name="Shape 4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3" name="Shape 3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4" name="Shape 3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5" name="Shape 3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6" name="Shape 3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7" name="Shape 3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8" name="Shape 3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19</xdr:row>
      <xdr:rowOff>0</xdr:rowOff>
    </xdr:from>
    <xdr:ext cx="257175" cy="323850"/>
    <xdr:sp macro="" textlink="">
      <xdr:nvSpPr>
        <xdr:cNvPr id="1169" name="Shape 3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0" name="Shape 3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1" name="Shape 3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2" name="Shape 3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3" name="Shape 3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1174" name="Shape 4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1175" name="Shape 4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1176" name="Shape 4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20</xdr:row>
      <xdr:rowOff>0</xdr:rowOff>
    </xdr:from>
    <xdr:ext cx="247650" cy="323850"/>
    <xdr:sp macro="" textlink="">
      <xdr:nvSpPr>
        <xdr:cNvPr id="1177" name="Shape 4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8" name="Shape 3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79" name="Shape 3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80" name="Shape 3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81" name="Shape 3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82" name="Shape 3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83" name="Shape 3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20</xdr:row>
      <xdr:rowOff>0</xdr:rowOff>
    </xdr:from>
    <xdr:ext cx="257175" cy="323850"/>
    <xdr:sp macro="" textlink="">
      <xdr:nvSpPr>
        <xdr:cNvPr id="1184" name="Shape 3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85" name="Shape 3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86" name="Shape 3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87" name="Shape 3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88" name="Shape 3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1189" name="Shape 4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1190" name="Shape 4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1191" name="Shape 4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21</xdr:row>
      <xdr:rowOff>0</xdr:rowOff>
    </xdr:from>
    <xdr:ext cx="247650" cy="323850"/>
    <xdr:sp macro="" textlink="">
      <xdr:nvSpPr>
        <xdr:cNvPr id="1192" name="Shape 4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3" name="Shape 3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4" name="Shape 3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5" name="Shape 3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6" name="Shape 3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7" name="Shape 3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8" name="Shape 3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21</xdr:row>
      <xdr:rowOff>0</xdr:rowOff>
    </xdr:from>
    <xdr:ext cx="257175" cy="323850"/>
    <xdr:sp macro="" textlink="">
      <xdr:nvSpPr>
        <xdr:cNvPr id="1199" name="Shape 3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0" name="Shape 3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1" name="Shape 3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2" name="Shape 3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3" name="Shape 3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1204" name="Shape 4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1205" name="Shape 4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1206" name="Shape 4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22</xdr:row>
      <xdr:rowOff>0</xdr:rowOff>
    </xdr:from>
    <xdr:ext cx="247650" cy="323850"/>
    <xdr:sp macro="" textlink="">
      <xdr:nvSpPr>
        <xdr:cNvPr id="1207" name="Shape 4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8" name="Shape 3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09" name="Shape 3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10" name="Shape 3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11" name="Shape 3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12" name="Shape 3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13" name="Shape 3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22</xdr:row>
      <xdr:rowOff>0</xdr:rowOff>
    </xdr:from>
    <xdr:ext cx="257175" cy="323850"/>
    <xdr:sp macro="" textlink="">
      <xdr:nvSpPr>
        <xdr:cNvPr id="1214" name="Shape 3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15" name="Shape 3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16" name="Shape 3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17" name="Shape 3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18" name="Shape 3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1219" name="Shape 4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1220" name="Shape 4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1221" name="Shape 4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23</xdr:row>
      <xdr:rowOff>0</xdr:rowOff>
    </xdr:from>
    <xdr:ext cx="247650" cy="323850"/>
    <xdr:sp macro="" textlink="">
      <xdr:nvSpPr>
        <xdr:cNvPr id="1222" name="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3" name="Shape 3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4" name="Shape 3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5" name="Shape 3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6" name="Shape 3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7" name="Shape 3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8" name="Shape 3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23</xdr:row>
      <xdr:rowOff>0</xdr:rowOff>
    </xdr:from>
    <xdr:ext cx="257175" cy="323850"/>
    <xdr:sp macro="" textlink="">
      <xdr:nvSpPr>
        <xdr:cNvPr id="1229" name="Shape 3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0" name="Shape 3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1" name="Shape 3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2" name="Shape 3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3" name="Shape 3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1234" name="Shape 4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1235" name="Shape 4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1236" name="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24</xdr:row>
      <xdr:rowOff>0</xdr:rowOff>
    </xdr:from>
    <xdr:ext cx="247650" cy="323850"/>
    <xdr:sp macro="" textlink="">
      <xdr:nvSpPr>
        <xdr:cNvPr id="1237" name="Shape 4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8" name="Shape 3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39" name="Shape 3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40" name="Shape 3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41" name="Shape 3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42" name="Shape 3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43" name="Shape 3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24</xdr:row>
      <xdr:rowOff>0</xdr:rowOff>
    </xdr:from>
    <xdr:ext cx="257175" cy="323850"/>
    <xdr:sp macro="" textlink="">
      <xdr:nvSpPr>
        <xdr:cNvPr id="1244" name="Shape 3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45" name="Shape 3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46" name="Shape 3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47" name="Shape 3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48" name="Shape 3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1249" name="Shape 4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1250" name="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1251" name="Shape 4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25</xdr:row>
      <xdr:rowOff>0</xdr:rowOff>
    </xdr:from>
    <xdr:ext cx="247650" cy="323850"/>
    <xdr:sp macro="" textlink="">
      <xdr:nvSpPr>
        <xdr:cNvPr id="1252" name="Shape 4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3" name="Shape 3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4" name="Shape 3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5" name="Shape 3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6" name="Shape 3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7" name="Shape 3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8" name="Shape 3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25</xdr:row>
      <xdr:rowOff>0</xdr:rowOff>
    </xdr:from>
    <xdr:ext cx="257175" cy="323850"/>
    <xdr:sp macro="" textlink="">
      <xdr:nvSpPr>
        <xdr:cNvPr id="1259" name="Shape 3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0" name="Shape 3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1" name="Shape 3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2" name="Shape 3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3" name="Shape 3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1264" name="Shape 4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1265" name="Shape 4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1266" name="Shape 4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26</xdr:row>
      <xdr:rowOff>0</xdr:rowOff>
    </xdr:from>
    <xdr:ext cx="247650" cy="323850"/>
    <xdr:sp macro="" textlink="">
      <xdr:nvSpPr>
        <xdr:cNvPr id="1267" name="Shape 4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8" name="Shape 3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69" name="Shape 3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70" name="Shape 3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71" name="Shape 3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72" name="Shape 3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73" name="Shape 3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26</xdr:row>
      <xdr:rowOff>0</xdr:rowOff>
    </xdr:from>
    <xdr:ext cx="257175" cy="323850"/>
    <xdr:sp macro="" textlink="">
      <xdr:nvSpPr>
        <xdr:cNvPr id="1274" name="Shape 3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75" name="Shape 3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76" name="Shape 3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77" name="Shape 3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78" name="Shape 3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1279" name="Shape 4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1280" name="Shape 4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1281" name="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27</xdr:row>
      <xdr:rowOff>0</xdr:rowOff>
    </xdr:from>
    <xdr:ext cx="247650" cy="323850"/>
    <xdr:sp macro="" textlink="">
      <xdr:nvSpPr>
        <xdr:cNvPr id="1282" name="Shape 4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3" name="Shape 3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4" name="Shape 3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5" name="Shape 3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6" name="Shape 3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7" name="Shape 3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8" name="Shape 3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27</xdr:row>
      <xdr:rowOff>0</xdr:rowOff>
    </xdr:from>
    <xdr:ext cx="257175" cy="323850"/>
    <xdr:sp macro="" textlink="">
      <xdr:nvSpPr>
        <xdr:cNvPr id="1289" name="Shape 3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0" name="Shape 3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1" name="Shape 3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2" name="Shape 3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3" name="Shape 3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1294" name="Shape 4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1295" name="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1296" name="Shape 4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28</xdr:row>
      <xdr:rowOff>0</xdr:rowOff>
    </xdr:from>
    <xdr:ext cx="247650" cy="323850"/>
    <xdr:sp macro="" textlink="">
      <xdr:nvSpPr>
        <xdr:cNvPr id="1297" name="Shape 4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300" name="Shape 3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301" name="Shape 3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302" name="Shape 3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303" name="Shape 3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28</xdr:row>
      <xdr:rowOff>0</xdr:rowOff>
    </xdr:from>
    <xdr:ext cx="257175" cy="323850"/>
    <xdr:sp macro="" textlink="">
      <xdr:nvSpPr>
        <xdr:cNvPr id="1304" name="Shape 3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05" name="Shape 3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06" name="Shape 3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07" name="Shape 3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08" name="Shape 3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1309" name="Shape 4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1310" name="Shape 4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1311" name="Shape 4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29</xdr:row>
      <xdr:rowOff>0</xdr:rowOff>
    </xdr:from>
    <xdr:ext cx="247650" cy="323850"/>
    <xdr:sp macro="" textlink="">
      <xdr:nvSpPr>
        <xdr:cNvPr id="1312" name="Shape 4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3" name="Shape 3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4" name="Shape 3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5" name="Shape 3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6" name="Shape 3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7" name="Shape 3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8" name="Shape 3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29</xdr:row>
      <xdr:rowOff>0</xdr:rowOff>
    </xdr:from>
    <xdr:ext cx="257175" cy="323850"/>
    <xdr:sp macro="" textlink="">
      <xdr:nvSpPr>
        <xdr:cNvPr id="1319" name="Shape 3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0" name="Shape 3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1" name="Shape 3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2" name="Shape 3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3" name="Shape 3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1324" name="Shape 4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1325" name="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1326" name="Shape 4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30</xdr:row>
      <xdr:rowOff>0</xdr:rowOff>
    </xdr:from>
    <xdr:ext cx="247650" cy="323850"/>
    <xdr:sp macro="" textlink="">
      <xdr:nvSpPr>
        <xdr:cNvPr id="1327" name="Shape 4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8" name="Shape 3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29" name="Shape 3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30" name="Shape 3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31" name="Shape 3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32" name="Shape 3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33" name="Shape 3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30</xdr:row>
      <xdr:rowOff>0</xdr:rowOff>
    </xdr:from>
    <xdr:ext cx="257175" cy="323850"/>
    <xdr:sp macro="" textlink="">
      <xdr:nvSpPr>
        <xdr:cNvPr id="1334" name="Shape 3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35" name="Shape 3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36" name="Shape 3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37" name="Shape 3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38" name="Shape 3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1339" name="Shape 4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1340" name="Shape 4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1341" name="Shape 4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31</xdr:row>
      <xdr:rowOff>0</xdr:rowOff>
    </xdr:from>
    <xdr:ext cx="247650" cy="323850"/>
    <xdr:sp macro="" textlink="">
      <xdr:nvSpPr>
        <xdr:cNvPr id="1342" name="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3" name="Shape 3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4" name="Shape 3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5" name="Shape 3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6" name="Shape 3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7" name="Shape 3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8" name="Shape 3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31</xdr:row>
      <xdr:rowOff>0</xdr:rowOff>
    </xdr:from>
    <xdr:ext cx="257175" cy="323850"/>
    <xdr:sp macro="" textlink="">
      <xdr:nvSpPr>
        <xdr:cNvPr id="1349" name="Shape 3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0" name="Shape 3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1" name="Shape 3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2" name="Shape 3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3" name="Shape 3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1354" name="Shape 4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1355" name="Shape 4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1356" name="Shape 4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32</xdr:row>
      <xdr:rowOff>0</xdr:rowOff>
    </xdr:from>
    <xdr:ext cx="247650" cy="323850"/>
    <xdr:sp macro="" textlink="">
      <xdr:nvSpPr>
        <xdr:cNvPr id="1357" name="Shape 4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8" name="Shape 3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59" name="Shape 3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60" name="Shape 3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61" name="Shape 3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62" name="Shape 3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63" name="Shape 3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32</xdr:row>
      <xdr:rowOff>0</xdr:rowOff>
    </xdr:from>
    <xdr:ext cx="257175" cy="323850"/>
    <xdr:sp macro="" textlink="">
      <xdr:nvSpPr>
        <xdr:cNvPr id="1364" name="Shape 3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65" name="Shape 3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66" name="Shape 3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67" name="Shape 3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68" name="Shape 3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1369" name="Shape 4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1370" name="Shape 4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1371" name="Shape 4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33</xdr:row>
      <xdr:rowOff>0</xdr:rowOff>
    </xdr:from>
    <xdr:ext cx="247650" cy="323850"/>
    <xdr:sp macro="" textlink="">
      <xdr:nvSpPr>
        <xdr:cNvPr id="1372" name="Shape 4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3" name="Shape 3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4" name="Shape 3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5" name="Shape 3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6" name="Shape 3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7" name="Shape 3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8" name="Shape 3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33</xdr:row>
      <xdr:rowOff>0</xdr:rowOff>
    </xdr:from>
    <xdr:ext cx="257175" cy="323850"/>
    <xdr:sp macro="" textlink="">
      <xdr:nvSpPr>
        <xdr:cNvPr id="1379" name="Shape 3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0" name="Shape 3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1" name="Shape 3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2" name="Shape 3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3" name="Shape 3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1384" name="Shape 4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1385" name="Shape 4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1386" name="Shape 4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34</xdr:row>
      <xdr:rowOff>0</xdr:rowOff>
    </xdr:from>
    <xdr:ext cx="247650" cy="323850"/>
    <xdr:sp macro="" textlink="">
      <xdr:nvSpPr>
        <xdr:cNvPr id="1387" name="Shape 4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8" name="Shape 3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89" name="Shape 3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90" name="Shape 3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91" name="Shape 3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92" name="Shape 3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93" name="Shape 3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34</xdr:row>
      <xdr:rowOff>0</xdr:rowOff>
    </xdr:from>
    <xdr:ext cx="257175" cy="323850"/>
    <xdr:sp macro="" textlink="">
      <xdr:nvSpPr>
        <xdr:cNvPr id="1394" name="Shape 3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395" name="Shape 3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1399" name="Shape 4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1400" name="Shape 4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1401" name="Shape 4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35</xdr:row>
      <xdr:rowOff>0</xdr:rowOff>
    </xdr:from>
    <xdr:ext cx="247650" cy="323850"/>
    <xdr:sp macro="" textlink="">
      <xdr:nvSpPr>
        <xdr:cNvPr id="1402" name="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35</xdr:row>
      <xdr:rowOff>0</xdr:rowOff>
    </xdr:from>
    <xdr:ext cx="257175" cy="323850"/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1414" name="Shape 4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1415" name="Shape 4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1416" name="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36</xdr:row>
      <xdr:rowOff>0</xdr:rowOff>
    </xdr:from>
    <xdr:ext cx="247650" cy="323850"/>
    <xdr:sp macro="" textlink="">
      <xdr:nvSpPr>
        <xdr:cNvPr id="1417" name="Shape 4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22" name="Shape 3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23" name="Shape 3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36</xdr:row>
      <xdr:rowOff>0</xdr:rowOff>
    </xdr:from>
    <xdr:ext cx="257175" cy="323850"/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26" name="Shape 3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27" name="Shape 3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28" name="Shape 3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1429" name="Shape 4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1430" name="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1431" name="Shape 4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37</xdr:row>
      <xdr:rowOff>0</xdr:rowOff>
    </xdr:from>
    <xdr:ext cx="247650" cy="323850"/>
    <xdr:sp macro="" textlink="">
      <xdr:nvSpPr>
        <xdr:cNvPr id="1432" name="Shape 4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7" name="Shape 3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8" name="Shape 3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37</xdr:row>
      <xdr:rowOff>0</xdr:rowOff>
    </xdr:from>
    <xdr:ext cx="257175" cy="323850"/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1" name="Shape 3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2" name="Shape 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3" name="Shape 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1444" name="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1445" name="Shape 4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1446" name="Shape 4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38</xdr:row>
      <xdr:rowOff>0</xdr:rowOff>
    </xdr:from>
    <xdr:ext cx="247650" cy="323850"/>
    <xdr:sp macro="" textlink="">
      <xdr:nvSpPr>
        <xdr:cNvPr id="1447" name="Shape 4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38</xdr:row>
      <xdr:rowOff>0</xdr:rowOff>
    </xdr:from>
    <xdr:ext cx="257175" cy="323850"/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1459" name="Shape 4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1460" name="Shape 4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1461" name="Shape 4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39</xdr:row>
      <xdr:rowOff>0</xdr:rowOff>
    </xdr:from>
    <xdr:ext cx="247650" cy="323850"/>
    <xdr:sp macro="" textlink="">
      <xdr:nvSpPr>
        <xdr:cNvPr id="1462" name="Shape 4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4" name="Shape 3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5" name="Shape 3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6" name="Shape 3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39</xdr:row>
      <xdr:rowOff>0</xdr:rowOff>
    </xdr:from>
    <xdr:ext cx="257175" cy="323850"/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1474" name="Shape 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1475" name="Shape 4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1476" name="Shape 4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40</xdr:row>
      <xdr:rowOff>0</xdr:rowOff>
    </xdr:from>
    <xdr:ext cx="247650" cy="323850"/>
    <xdr:sp macro="" textlink="">
      <xdr:nvSpPr>
        <xdr:cNvPr id="1477" name="Shape 4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79" name="Shape 3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80" name="Shape 3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81" name="Shape 3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40</xdr:row>
      <xdr:rowOff>0</xdr:rowOff>
    </xdr:from>
    <xdr:ext cx="257175" cy="323850"/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1489" name="Shape 4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1490" name="Shape 4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1491" name="Shape 4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41</xdr:row>
      <xdr:rowOff>0</xdr:rowOff>
    </xdr:from>
    <xdr:ext cx="247650" cy="323850"/>
    <xdr:sp macro="" textlink="">
      <xdr:nvSpPr>
        <xdr:cNvPr id="1492" name="Shape 4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6" name="Shape 3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7" name="Shape 3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8" name="Shape 3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41</xdr:row>
      <xdr:rowOff>0</xdr:rowOff>
    </xdr:from>
    <xdr:ext cx="257175" cy="323850"/>
    <xdr:sp macro="" textlink="">
      <xdr:nvSpPr>
        <xdr:cNvPr id="1499" name="Shape 3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0" name="Shape 3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1" name="Shape 3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2" name="Shape 3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3" name="Shape 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1504" name="Shape 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1505" name="Shape 4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1506" name="Shape 4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42</xdr:row>
      <xdr:rowOff>0</xdr:rowOff>
    </xdr:from>
    <xdr:ext cx="247650" cy="323850"/>
    <xdr:sp macro="" textlink="">
      <xdr:nvSpPr>
        <xdr:cNvPr id="1507" name="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8" name="Shape 3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09" name="Shape 3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10" name="Shape 3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11" name="Shape 3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12" name="Shape 3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13" name="Shape 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42</xdr:row>
      <xdr:rowOff>0</xdr:rowOff>
    </xdr:from>
    <xdr:ext cx="257175" cy="323850"/>
    <xdr:sp macro="" textlink="">
      <xdr:nvSpPr>
        <xdr:cNvPr id="1514" name="Shape 3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15" name="Shape 3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16" name="Shape 3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17" name="Shape 3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18" name="Shape 3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1519" name="Shape 4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1520" name="Shape 4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1521" name="Shape 4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43</xdr:row>
      <xdr:rowOff>0</xdr:rowOff>
    </xdr:from>
    <xdr:ext cx="247650" cy="323850"/>
    <xdr:sp macro="" textlink="">
      <xdr:nvSpPr>
        <xdr:cNvPr id="1522" name="Shape 4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3" name="Shape 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4" name="Shape 3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5" name="Shape 3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6" name="Shape 3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7" name="Shape 3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8" name="Shape 3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43</xdr:row>
      <xdr:rowOff>0</xdr:rowOff>
    </xdr:from>
    <xdr:ext cx="257175" cy="323850"/>
    <xdr:sp macro="" textlink="">
      <xdr:nvSpPr>
        <xdr:cNvPr id="1529" name="Shape 3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0" name="Shape 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1" name="Shape 3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2" name="Shape 3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3" name="Shape 3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1534" name="Shape 4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1535" name="Shape 4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1536" name="Shape 4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44</xdr:row>
      <xdr:rowOff>0</xdr:rowOff>
    </xdr:from>
    <xdr:ext cx="247650" cy="323850"/>
    <xdr:sp macro="" textlink="">
      <xdr:nvSpPr>
        <xdr:cNvPr id="1537" name="Shape 4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8" name="Shape 3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39" name="Shape 3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40" name="Shape 3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41" name="Shape 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42" name="Shape 3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43" name="Shape 3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44</xdr:row>
      <xdr:rowOff>0</xdr:rowOff>
    </xdr:from>
    <xdr:ext cx="257175" cy="323850"/>
    <xdr:sp macro="" textlink="">
      <xdr:nvSpPr>
        <xdr:cNvPr id="1544" name="Shape 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45" name="Shape 3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46" name="Shape 3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47" name="Shape 3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48" name="Shape 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1549" name="Shape 4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1550" name="Shape 4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1551" name="Shape 4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45</xdr:row>
      <xdr:rowOff>0</xdr:rowOff>
    </xdr:from>
    <xdr:ext cx="247650" cy="323850"/>
    <xdr:sp macro="" textlink="">
      <xdr:nvSpPr>
        <xdr:cNvPr id="1552" name="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3" name="Shape 3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4" name="Shape 3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5" name="Shape 3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6" name="Shape 3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7" name="Shape 3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8" name="Shape 3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45</xdr:row>
      <xdr:rowOff>0</xdr:rowOff>
    </xdr:from>
    <xdr:ext cx="257175" cy="323850"/>
    <xdr:sp macro="" textlink="">
      <xdr:nvSpPr>
        <xdr:cNvPr id="1559" name="Shape 3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0" name="Shape 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1" name="Shape 3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2" name="Shape 3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3" name="Shape 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1564" name="Shape 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1565" name="Shape 4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1566" name="Shape 4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46</xdr:row>
      <xdr:rowOff>0</xdr:rowOff>
    </xdr:from>
    <xdr:ext cx="247650" cy="323850"/>
    <xdr:sp macro="" textlink="">
      <xdr:nvSpPr>
        <xdr:cNvPr id="1567" name="Shape 4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8" name="Shape 3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69" name="Shape 3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70" name="Shape 3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71" name="Shape 3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72" name="Shape 3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73" name="Shape 3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46</xdr:row>
      <xdr:rowOff>0</xdr:rowOff>
    </xdr:from>
    <xdr:ext cx="257175" cy="323850"/>
    <xdr:sp macro="" textlink="">
      <xdr:nvSpPr>
        <xdr:cNvPr id="1574" name="Shape 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75" name="Shape 3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76" name="Shape 3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77" name="Shape 3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78" name="Shape 3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1579" name="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1580" name="Shape 4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1581" name="Shape 4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47</xdr:row>
      <xdr:rowOff>0</xdr:rowOff>
    </xdr:from>
    <xdr:ext cx="247650" cy="323850"/>
    <xdr:sp macro="" textlink="">
      <xdr:nvSpPr>
        <xdr:cNvPr id="1582" name="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3" name="Shape 3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4" name="Shape 3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5" name="Shape 3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6" name="Shape 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7" name="Shape 3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8" name="Shape 3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47</xdr:row>
      <xdr:rowOff>0</xdr:rowOff>
    </xdr:from>
    <xdr:ext cx="257175" cy="323850"/>
    <xdr:sp macro="" textlink="">
      <xdr:nvSpPr>
        <xdr:cNvPr id="1589" name="Shape 3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0" name="Shape 3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1" name="Shape 3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2" name="Shape 3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3" name="Shape 3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1594" name="Shape 4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1595" name="Shape 4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1596" name="Shape 4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48</xdr:row>
      <xdr:rowOff>0</xdr:rowOff>
    </xdr:from>
    <xdr:ext cx="247650" cy="323850"/>
    <xdr:sp macro="" textlink="">
      <xdr:nvSpPr>
        <xdr:cNvPr id="1597" name="Shape 4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8" name="Shape 3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599" name="Shape 3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600" name="Shape 3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601" name="Shape 3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602" name="Shape 3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603" name="Shape 3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48</xdr:row>
      <xdr:rowOff>0</xdr:rowOff>
    </xdr:from>
    <xdr:ext cx="257175" cy="323850"/>
    <xdr:sp macro="" textlink="">
      <xdr:nvSpPr>
        <xdr:cNvPr id="1604" name="Shape 3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05" name="Shape 3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06" name="Shape 3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07" name="Shape 3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08" name="Shape 3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1609" name="Shape 4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1610" name="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1611" name="Shape 4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49</xdr:row>
      <xdr:rowOff>0</xdr:rowOff>
    </xdr:from>
    <xdr:ext cx="247650" cy="323850"/>
    <xdr:sp macro="" textlink="">
      <xdr:nvSpPr>
        <xdr:cNvPr id="1612" name="Shape 4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3" name="Shape 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4" name="Shape 3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5" name="Shape 3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6" name="Shape 3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7" name="Shape 3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8" name="Shape 3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49</xdr:row>
      <xdr:rowOff>0</xdr:rowOff>
    </xdr:from>
    <xdr:ext cx="257175" cy="323850"/>
    <xdr:sp macro="" textlink="">
      <xdr:nvSpPr>
        <xdr:cNvPr id="1619" name="Shape 3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0" name="Shape 3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1" name="Shape 3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2" name="Shape 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3" name="Shape 3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624" name="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625" name="Shape 4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626" name="Shape 4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627" name="Shape 4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8" name="Shape 3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29" name="Shape 3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30" name="Shape 3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31" name="Shape 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32" name="Shape 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33" name="Shape 3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634" name="Shape 3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35" name="Shape 3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36" name="Shape 3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37" name="Shape 3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38" name="Shape 3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639" name="Shape 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640" name="Shape 4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641" name="Shape 4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642" name="Shape 4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3" name="Shape 3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4" name="Shape 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5" name="Shape 3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6" name="Shape 3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7" name="Shape 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8" name="Shape 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649" name="Shape 3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0" name="Shape 3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1" name="Shape 3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2" name="Shape 3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3" name="Shape 3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654" name="Shape 4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655" name="Shape 4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656" name="Shape 4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657" name="Shape 4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8" name="Shape 3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59" name="Shape 3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60" name="Shape 3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61" name="Shape 3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62" name="Shape 3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63" name="Shape 3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664" name="Shape 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65" name="Shape 3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66" name="Shape 3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67" name="Shape 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68" name="Shape 3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669" name="Shape 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670" name="Shape 4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671" name="Shape 4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672" name="Shape 4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3" name="Shape 3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4" name="Shape 3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5" name="Shape 3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6" name="Shape 3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7" name="Shape 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8" name="Shape 3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679" name="Shape 3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0" name="Shape 3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1" name="Shape 3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2" name="Shape 3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3" name="Shape 3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1684" name="Shape 4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1685" name="Shape 4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1686" name="Shape 4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1687" name="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8" name="Shape 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89" name="Shape 3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90" name="Shape 3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91" name="Shape 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92" name="Shape 3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93" name="Shape 3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1694" name="Shape 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695" name="Shape 3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696" name="Shape 3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697" name="Shape 3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698" name="Shape 3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1699" name="Shape 4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1700" name="Shape 4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1701" name="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1702" name="Shape 4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3" name="Shape 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4" name="Shape 3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5" name="Shape 3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6" name="Shape 3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7" name="Shape 3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8" name="Shape 3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1709" name="Shape 3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0" name="Shape 3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1" name="Shape 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2" name="Shape 3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3" name="Shape 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1714" name="Shape 4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1715" name="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1716" name="Shape 4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1717" name="Shape 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8" name="Shape 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19" name="Shape 3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20" name="Shape 3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21" name="Shape 3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22" name="Shape 3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23" name="Shape 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1724" name="Shape 3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25" name="Shape 3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26" name="Shape 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27" name="Shape 3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28" name="Shape 3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1729" name="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1730" name="Shape 4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1731" name="Shape 4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1732" name="Shape 4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3" name="Shape 3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4" name="Shape 3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5" name="Shape 3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6" name="Shape 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7" name="Shape 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8" name="Shape 3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1739" name="Shape 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0" name="Shape 3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1" name="Shape 3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2" name="Shape 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3" name="Shape 3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1744" name="Shape 4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1745" name="Shape 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1746" name="Shape 4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1747" name="Shape 4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8" name="Shape 3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49" name="Shape 3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50" name="Shape 3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51" name="Shape 3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52" name="Shape 3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53" name="Shape 3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1754" name="Shape 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55" name="Shape 3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56" name="Shape 3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57" name="Shape 3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58" name="Shape 3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1759" name="Shape 4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1760" name="Shape 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1761" name="Shape 4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1762" name="Shape 4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3" name="Shape 3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4" name="Shape 3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5" name="Shape 3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6" name="Shape 3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7" name="Shape 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8" name="Shape 3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1769" name="Shape 3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0" name="Shape 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1" name="Shape 3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2" name="Shape 3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3" name="Shape 3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1774" name="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1775" name="Shape 4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1776" name="Shape 4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1777" name="Shape 4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8" name="Shape 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79" name="Shape 3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80" name="Shape 3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81" name="Shape 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82" name="Shape 3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83" name="Shape 3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1784" name="Shape 3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85" name="Shape 3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86" name="Shape 3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87" name="Shape 3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88" name="Shape 3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1789" name="Shape 4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1790" name="Shape 4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1791" name="Shape 4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1792" name="Shape 4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3" name="Shape 3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4" name="Shape 3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5" name="Shape 3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6" name="Shape 3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7" name="Shape 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8" name="Shape 3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1799" name="Shape 3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0" name="Shape 3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1" name="Shape 3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2" name="Shape 3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3" name="Shape 3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1804" name="Shape 4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1805" name="Shape 4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1806" name="Shape 4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1807" name="Shape 4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8" name="Shape 3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09" name="Shape 3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10" name="Shape 3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11" name="Shape 3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12" name="Shape 3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13" name="Shape 3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1814" name="Shape 3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15" name="Shape 11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16" name="Shape 11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17" name="Shape 11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18" name="Shape 11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19" name="Shape 12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20" name="Shape 12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21" name="Shape 12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22" name="Shape 1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3" name="Shape 1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4" name="Shape 11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5" name="Shape 11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6" name="Shape 11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7" name="Shape 11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8" name="Shape 11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29" name="Shape 11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0" name="Shape 5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1" name="Shape 5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2" name="Shape 5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3" name="Shape 5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34" name="Shape 6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35" name="Shape 6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36" name="Shape 6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37" name="Shape 6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8" name="Shape 5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39" name="Shape 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40" name="Shape 5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41" name="Shape 5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42" name="Shape 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43" name="Shape 5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44" name="Shape 5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45" name="Shape 11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46" name="Shape 1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47" name="Shape 11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48" name="Shape 11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49" name="Shape 12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50" name="Shape 1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51" name="Shape 1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50</xdr:row>
      <xdr:rowOff>0</xdr:rowOff>
    </xdr:from>
    <xdr:ext cx="247650" cy="323850"/>
    <xdr:sp macro="" textlink="">
      <xdr:nvSpPr>
        <xdr:cNvPr id="1852" name="Shape 1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3" name="Shape 11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4" name="Shape 11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5" name="Shape 1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6" name="Shape 11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7" name="Shape 11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8" name="Shape 11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50</xdr:row>
      <xdr:rowOff>0</xdr:rowOff>
    </xdr:from>
    <xdr:ext cx="257175" cy="323850"/>
    <xdr:sp macro="" textlink="">
      <xdr:nvSpPr>
        <xdr:cNvPr id="1859" name="Shape 11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0" name="Shape 5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1" name="Shape 5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2" name="Shape 5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3" name="Shape 5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64" name="Shape 6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65" name="Shape 6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66" name="Shape 6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67" name="Shape 6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8" name="Shape 5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69" name="Shape 5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0" name="Shape 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1" name="Shape 5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2" name="Shape 5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3" name="Shape 5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4" name="Shape 5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5" name="Shape 11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6" name="Shape 1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7" name="Shape 11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78" name="Shape 11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79" name="Shape 12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80" name="Shape 1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81" name="Shape 12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882" name="Shape 12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3" name="Shape 1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4" name="Shape 1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5" name="Shape 11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6" name="Shape 11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7" name="Shape 11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8" name="Shape 11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889" name="Shape 11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0" name="Shape 5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1" name="Shape 5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2" name="Shape 5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3" name="Shape 5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894" name="Shape 6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895" name="Shape 6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896" name="Shape 6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897" name="Shape 6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8" name="Shape 5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899" name="Shape 5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00" name="Shape 5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01" name="Shape 5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02" name="Shape 5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03" name="Shape 5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04" name="Shape 5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05" name="Shape 11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06" name="Shape 11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07" name="Shape 11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08" name="Shape 1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909" name="Shape 1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910" name="Shape 12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911" name="Shape 1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51</xdr:row>
      <xdr:rowOff>0</xdr:rowOff>
    </xdr:from>
    <xdr:ext cx="247650" cy="323850"/>
    <xdr:sp macro="" textlink="">
      <xdr:nvSpPr>
        <xdr:cNvPr id="1912" name="Shape 12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3" name="Shape 1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4" name="Shape 11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5" name="Shape 11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6" name="Shape 11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7" name="Shape 11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8" name="Shape 1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51</xdr:row>
      <xdr:rowOff>0</xdr:rowOff>
    </xdr:from>
    <xdr:ext cx="257175" cy="323850"/>
    <xdr:sp macro="" textlink="">
      <xdr:nvSpPr>
        <xdr:cNvPr id="1919" name="Shape 1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0" name="Shape 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1" name="Shape 5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2" name="Shape 5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3" name="Shape 5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24" name="Shape 6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25" name="Shape 6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26" name="Shape 6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27" name="Shape 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8" name="Shape 5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29" name="Shape 5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0" name="Shape 5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1" name="Shape 5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2" name="Shape 5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3" name="Shape 5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4" name="Shape 5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5" name="Shape 11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6" name="Shape 11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7" name="Shape 11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38" name="Shape 11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39" name="Shape 1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40" name="Shape 12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41" name="Shape 1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42" name="Shape 12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3" name="Shape 11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4" name="Shape 1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5" name="Shape 11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6" name="Shape 11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7" name="Shape 11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8" name="Shape 11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49" name="Shape 11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0" name="Shape 5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1" name="Shape 5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2" name="Shape 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3" name="Shape 5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54" name="Shape 6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55" name="Shape 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56" name="Shape 6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57" name="Shape 6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8" name="Shape 5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59" name="Shape 5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60" name="Shape 5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61" name="Shape 5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62" name="Shape 5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63" name="Shape 5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64" name="Shape 5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65" name="Shape 11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66" name="Shape 11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67" name="Shape 11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68" name="Shape 11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69" name="Shape 1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70" name="Shape 12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71" name="Shape 12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52</xdr:row>
      <xdr:rowOff>0</xdr:rowOff>
    </xdr:from>
    <xdr:ext cx="247650" cy="323850"/>
    <xdr:sp macro="" textlink="">
      <xdr:nvSpPr>
        <xdr:cNvPr id="1972" name="Shape 1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3" name="Shape 11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4" name="Shape 11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5" name="Shape 11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6" name="Shape 11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7" name="Shape 11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8" name="Shape 11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52</xdr:row>
      <xdr:rowOff>0</xdr:rowOff>
    </xdr:from>
    <xdr:ext cx="257175" cy="323850"/>
    <xdr:sp macro="" textlink="">
      <xdr:nvSpPr>
        <xdr:cNvPr id="1979" name="Shape 1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0" name="Shape 5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1" name="Shape 5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2" name="Shape 5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3" name="Shape 5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84" name="Shape 6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85" name="Shape 6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86" name="Shape 6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87" name="Shape 6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8" name="Shape 5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89" name="Shape 5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0" name="Shape 5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1" name="Shape 5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2" name="Shape 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3" name="Shape 5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4" name="Shape 5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5" name="Shape 11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6" name="Shape 11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7" name="Shape 11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1998" name="Shape 11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1999" name="Shape 12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00" name="Shape 12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01" name="Shape 12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02" name="Shape 1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3" name="Shape 11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4" name="Shape 11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5" name="Shape 11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6" name="Shape 11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7" name="Shape 11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8" name="Shape 11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09" name="Shape 11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0" name="Shape 5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1" name="Shape 5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2" name="Shape 5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3" name="Shape 5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14" name="Shape 6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15" name="Shape 6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16" name="Shape 6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17" name="Shape 6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8" name="Shape 5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19" name="Shape 5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20" name="Shape 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21" name="Shape 5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22" name="Shape 5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23" name="Shape 5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24" name="Shape 5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25" name="Shape 11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26" name="Shape 11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27" name="Shape 1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28" name="Shape 11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29" name="Shape 12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30" name="Shape 12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31" name="Shape 12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53</xdr:row>
      <xdr:rowOff>0</xdr:rowOff>
    </xdr:from>
    <xdr:ext cx="247650" cy="323850"/>
    <xdr:sp macro="" textlink="">
      <xdr:nvSpPr>
        <xdr:cNvPr id="2032" name="Shape 12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3" name="Shape 11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4" name="Shape 11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5" name="Shape 11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6" name="Shape 11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7" name="Shape 11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8" name="Shape 11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53</xdr:row>
      <xdr:rowOff>0</xdr:rowOff>
    </xdr:from>
    <xdr:ext cx="257175" cy="323850"/>
    <xdr:sp macro="" textlink="">
      <xdr:nvSpPr>
        <xdr:cNvPr id="2039" name="Shape 11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0" name="Shape 5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1" name="Shape 5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2" name="Shape 5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3" name="Shape 5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44" name="Shape 6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45" name="Shape 6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46" name="Shape 6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47" name="Shape 6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8" name="Shape 5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49" name="Shape 5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0" name="Shape 5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1" name="Shape 5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2" name="Shape 5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3" name="Shape 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4" name="Shape 5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5" name="Shape 11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6" name="Shape 11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7" name="Shape 11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58" name="Shape 11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59" name="Shape 12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60" name="Shape 12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61" name="Shape 1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62" name="Shape 1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3" name="Shape 11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4" name="Shape 11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5" name="Shape 11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6" name="Shape 11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7" name="Shape 1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8" name="Shape 11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69" name="Shape 11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0" name="Shape 5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1" name="Shape 5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2" name="Shape 5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3" name="Shape 5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074" name="Shape 6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075" name="Shape 6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076" name="Shape 6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077" name="Shape 6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8" name="Shape 5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79" name="Shape 5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80" name="Shape 5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81" name="Shape 5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82" name="Shape 5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83" name="Shape 5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084" name="Shape 5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85" name="Shape 1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86" name="Shape 11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87" name="Shape 11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88" name="Shape 11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89" name="Shape 12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90" name="Shape 12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91" name="Shape 12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54</xdr:row>
      <xdr:rowOff>0</xdr:rowOff>
    </xdr:from>
    <xdr:ext cx="247650" cy="323850"/>
    <xdr:sp macro="" textlink="">
      <xdr:nvSpPr>
        <xdr:cNvPr id="2092" name="Shape 12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3" name="Shape 11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4" name="Shape 11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5" name="Shape 11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6" name="Shape 11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7" name="Shape 11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8" name="Shape 11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54</xdr:row>
      <xdr:rowOff>0</xdr:rowOff>
    </xdr:from>
    <xdr:ext cx="257175" cy="323850"/>
    <xdr:sp macro="" textlink="">
      <xdr:nvSpPr>
        <xdr:cNvPr id="2099" name="Shape 11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0" name="Shape 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1" name="Shape 5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2" name="Shape 5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3" name="Shape 5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04" name="Shape 6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05" name="Shape 6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06" name="Shape 6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07" name="Shape 6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8" name="Shape 5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09" name="Shape 5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0" name="Shape 5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1" name="Shape 5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2" name="Shape 5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3" name="Shape 5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4" name="Shape 5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5" name="Shape 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6" name="Shape 11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7" name="Shape 11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18" name="Shape 11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19" name="Shape 12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20" name="Shape 12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21" name="Shape 12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22" name="Shape 12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3" name="Shape 11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4" name="Shape 11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5" name="Shape 1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6" name="Shape 11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7" name="Shape 11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8" name="Shape 1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29" name="Shape 11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0" name="Shape 5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1" name="Shape 5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2" name="Shape 5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3" name="Shape 5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34" name="Shape 6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35" name="Shape 6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36" name="Shape 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37" name="Shape 6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8" name="Shape 5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39" name="Shape 5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40" name="Shape 5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41" name="Shape 5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42" name="Shape 5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43" name="Shape 5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44" name="Shape 5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45" name="Shape 11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46" name="Shape 11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47" name="Shape 11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48" name="Shape 11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49" name="Shape 1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50" name="Shape 12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51" name="Shape 12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55</xdr:row>
      <xdr:rowOff>0</xdr:rowOff>
    </xdr:from>
    <xdr:ext cx="247650" cy="323850"/>
    <xdr:sp macro="" textlink="">
      <xdr:nvSpPr>
        <xdr:cNvPr id="2152" name="Shape 12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3" name="Shape 1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4" name="Shape 11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5" name="Shape 11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6" name="Shape 11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7" name="Shape 11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8" name="Shape 11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55</xdr:row>
      <xdr:rowOff>0</xdr:rowOff>
    </xdr:from>
    <xdr:ext cx="257175" cy="323850"/>
    <xdr:sp macro="" textlink="">
      <xdr:nvSpPr>
        <xdr:cNvPr id="2159" name="Shape 11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0" name="Shape 5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1" name="Shape 5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2" name="Shape 5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3" name="Shape 5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64" name="Shape 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65" name="Shape 6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66" name="Shape 6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67" name="Shape 6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8" name="Shape 5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69" name="Shape 5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0" name="Shape 5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1" name="Shape 5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2" name="Shape 5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3" name="Shape 5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4" name="Shape 5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5" name="Shape 1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6" name="Shape 11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7" name="Shape 11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78" name="Shape 11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79" name="Shape 12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80" name="Shape 12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81" name="Shape 12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182" name="Shape 1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3" name="Shape 11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4" name="Shape 11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5" name="Shape 11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6" name="Shape 11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7" name="Shape 1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8" name="Shape 11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189" name="Shape 11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0" name="Shape 5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1" name="Shape 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2" name="Shape 5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3" name="Shape 5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194" name="Shape 6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195" name="Shape 6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196" name="Shape 6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197" name="Shape 6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8" name="Shape 5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199" name="Shape 5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00" name="Shape 5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01" name="Shape 5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02" name="Shape 5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03" name="Shape 5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04" name="Shape 5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05" name="Shape 11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06" name="Shape 11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07" name="Shape 11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08" name="Shape 11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209" name="Shape 12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210" name="Shape 1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211" name="Shape 1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56</xdr:row>
      <xdr:rowOff>0</xdr:rowOff>
    </xdr:from>
    <xdr:ext cx="247650" cy="323850"/>
    <xdr:sp macro="" textlink="">
      <xdr:nvSpPr>
        <xdr:cNvPr id="2212" name="Shape 1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3" name="Shape 11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4" name="Shape 11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5" name="Shape 11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6" name="Shape 1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7" name="Shape 11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8" name="Shape 11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56</xdr:row>
      <xdr:rowOff>0</xdr:rowOff>
    </xdr:from>
    <xdr:ext cx="257175" cy="323850"/>
    <xdr:sp macro="" textlink="">
      <xdr:nvSpPr>
        <xdr:cNvPr id="2219" name="Shape 11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0" name="Shape 5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1" name="Shape 5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2" name="Shape 5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3" name="Shape 5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24" name="Shape 6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25" name="Shape 6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26" name="Shape 6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27" name="Shape 6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8" name="Shape 5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29" name="Shape 5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0" name="Shape 5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1" name="Shape 5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2" name="Shape 5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3" name="Shape 5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4" name="Shape 5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5" name="Shape 11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6" name="Shape 11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7" name="Shape 11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38" name="Shape 11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39" name="Shape 12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40" name="Shape 1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41" name="Shape 12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42" name="Shape 12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3" name="Shape 11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4" name="Shape 11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5" name="Shape 11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6" name="Shape 11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7" name="Shape 11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8" name="Shape 11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49" name="Shape 11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0" name="Shape 5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1" name="Shape 5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2" name="Shape 5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3" name="Shape 5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54" name="Shape 6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55" name="Shape 6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56" name="Shape 6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57" name="Shape 6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8" name="Shape 5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59" name="Shape 5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60" name="Shape 5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61" name="Shape 5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62" name="Shape 5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63" name="Shape 5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64" name="Shape 5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65" name="Shape 11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66" name="Shape 11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67" name="Shape 11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68" name="Shape 11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69" name="Shape 12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70" name="Shape 12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71" name="Shape 12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57</xdr:row>
      <xdr:rowOff>0</xdr:rowOff>
    </xdr:from>
    <xdr:ext cx="247650" cy="323850"/>
    <xdr:sp macro="" textlink="">
      <xdr:nvSpPr>
        <xdr:cNvPr id="2272" name="Shape 12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3" name="Shape 11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4" name="Shape 11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5" name="Shape 11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6" name="Shape 11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7" name="Shape 11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8" name="Shape 11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57</xdr:row>
      <xdr:rowOff>0</xdr:rowOff>
    </xdr:from>
    <xdr:ext cx="257175" cy="323850"/>
    <xdr:sp macro="" textlink="">
      <xdr:nvSpPr>
        <xdr:cNvPr id="2279" name="Shape 11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0" name="Shape 5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1" name="Shape 5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2" name="Shape 5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3" name="Shape 5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84" name="Shape 6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85" name="Shape 6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86" name="Shape 6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87" name="Shape 6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8" name="Shape 5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89" name="Shape 5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0" name="Shape 5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1" name="Shape 5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2" name="Shape 5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3" name="Shape 5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4" name="Shape 5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5" name="Shape 11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6" name="Shape 11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7" name="Shape 11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298" name="Shape 11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299" name="Shape 12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00" name="Shape 12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01" name="Shape 12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02" name="Shape 12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3" name="Shape 11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4" name="Shape 11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5" name="Shape 11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6" name="Shape 11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7" name="Shape 11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8" name="Shape 11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09" name="Shape 11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0" name="Shape 5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1" name="Shape 5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2" name="Shape 5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3" name="Shape 5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14" name="Shape 6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15" name="Shape 6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16" name="Shape 6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17" name="Shape 6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8" name="Shape 5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19" name="Shape 5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20" name="Shape 5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21" name="Shape 5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22" name="Shape 5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23" name="Shape 5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24" name="Shape 5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25" name="Shape 11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26" name="Shape 11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27" name="Shape 11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28" name="Shape 11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29" name="Shape 1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30" name="Shape 12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31" name="Shape 1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58</xdr:row>
      <xdr:rowOff>0</xdr:rowOff>
    </xdr:from>
    <xdr:ext cx="247650" cy="323850"/>
    <xdr:sp macro="" textlink="">
      <xdr:nvSpPr>
        <xdr:cNvPr id="2332" name="Shape 12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3" name="Shape 11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4" name="Shape 11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5" name="Shape 11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6" name="Shape 11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7" name="Shape 11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8" name="Shape 11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58</xdr:row>
      <xdr:rowOff>0</xdr:rowOff>
    </xdr:from>
    <xdr:ext cx="257175" cy="323850"/>
    <xdr:sp macro="" textlink="">
      <xdr:nvSpPr>
        <xdr:cNvPr id="2339" name="Shape 11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0" name="Shape 5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1" name="Shape 5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2" name="Shape 5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3" name="Shape 5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44" name="Shape 6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45" name="Shape 6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46" name="Shape 6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47" name="Shape 6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8" name="Shape 5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49" name="Shape 5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0" name="Shape 5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1" name="Shape 5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2" name="Shape 5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3" name="Shape 5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4" name="Shape 5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5" name="Shape 11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6" name="Shape 11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7" name="Shape 11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58" name="Shape 11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59" name="Shape 12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60" name="Shape 1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61" name="Shape 12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62" name="Shape 12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3" name="Shape 11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4" name="Shape 11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5" name="Shape 11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6" name="Shape 11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7" name="Shape 11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8" name="Shape 11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69" name="Shape 11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0" name="Shape 5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1" name="Shape 5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2" name="Shape 5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3" name="Shape 5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374" name="Shape 6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375" name="Shape 6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376" name="Shape 6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377" name="Shape 6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8" name="Shape 5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79" name="Shape 5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80" name="Shape 5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81" name="Shape 5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82" name="Shape 5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83" name="Shape 5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384" name="Shape 5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85" name="Shape 11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86" name="Shape 11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87" name="Shape 11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88" name="Shape 11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89" name="Shape 12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90" name="Shape 1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91" name="Shape 12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59</xdr:row>
      <xdr:rowOff>0</xdr:rowOff>
    </xdr:from>
    <xdr:ext cx="247650" cy="323850"/>
    <xdr:sp macro="" textlink="">
      <xdr:nvSpPr>
        <xdr:cNvPr id="2392" name="Shape 1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3" name="Shape 11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4" name="Shape 11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5" name="Shape 11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6" name="Shape 11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7" name="Shape 11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8" name="Shape 11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59</xdr:row>
      <xdr:rowOff>0</xdr:rowOff>
    </xdr:from>
    <xdr:ext cx="257175" cy="323850"/>
    <xdr:sp macro="" textlink="">
      <xdr:nvSpPr>
        <xdr:cNvPr id="2399" name="Shape 11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0" name="Shape 5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1" name="Shape 5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2" name="Shape 5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3" name="Shape 5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04" name="Shape 6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05" name="Shape 6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06" name="Shape 6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07" name="Shape 6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8" name="Shape 5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09" name="Shape 5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0" name="Shape 5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1" name="Shape 5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2" name="Shape 5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3" name="Shape 5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4" name="Shape 5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5" name="Shape 11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6" name="Shape 11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7" name="Shape 11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18" name="Shape 11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19" name="Shape 12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20" name="Shape 1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21" name="Shape 12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22" name="Shape 12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3" name="Shape 11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4" name="Shape 11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5" name="Shape 11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6" name="Shape 11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7" name="Shape 11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8" name="Shape 11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29" name="Shape 11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0" name="Shape 5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1" name="Shape 5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2" name="Shape 5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3" name="Shape 5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34" name="Shape 6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35" name="Shape 6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36" name="Shape 6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37" name="Shape 6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8" name="Shape 5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39" name="Shape 5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40" name="Shape 5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41" name="Shape 5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42" name="Shape 5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43" name="Shape 5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44" name="Shape 5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45" name="Shape 11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46" name="Shape 11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47" name="Shape 11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48" name="Shape 11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49" name="Shape 12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50" name="Shape 12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51" name="Shape 12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60</xdr:row>
      <xdr:rowOff>0</xdr:rowOff>
    </xdr:from>
    <xdr:ext cx="247650" cy="323850"/>
    <xdr:sp macro="" textlink="">
      <xdr:nvSpPr>
        <xdr:cNvPr id="2452" name="Shape 12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3" name="Shape 11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4" name="Shape 11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5" name="Shape 11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6" name="Shape 11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7" name="Shape 11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8" name="Shape 11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60</xdr:row>
      <xdr:rowOff>0</xdr:rowOff>
    </xdr:from>
    <xdr:ext cx="257175" cy="323850"/>
    <xdr:sp macro="" textlink="">
      <xdr:nvSpPr>
        <xdr:cNvPr id="2459" name="Shape 11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0" name="Shape 5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1" name="Shape 5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2" name="Shape 5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3" name="Shape 5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64" name="Shape 6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65" name="Shape 6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66" name="Shape 6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67" name="Shape 6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8" name="Shape 5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69" name="Shape 5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0" name="Shape 5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1" name="Shape 5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2" name="Shape 5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3" name="Shape 5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4" name="Shape 5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5" name="Shape 11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6" name="Shape 11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7" name="Shape 11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78" name="Shape 11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79" name="Shape 12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80" name="Shape 12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81" name="Shape 1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482" name="Shape 12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3" name="Shape 11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4" name="Shape 11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5" name="Shape 11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6" name="Shape 11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7" name="Shape 11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8" name="Shape 11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489" name="Shape 11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0" name="Shape 5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1" name="Shape 5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2" name="Shape 5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3" name="Shape 5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494" name="Shape 6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495" name="Shape 6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496" name="Shape 6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497" name="Shape 6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8" name="Shape 5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499" name="Shape 5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00" name="Shape 5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01" name="Shape 5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02" name="Shape 5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03" name="Shape 5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04" name="Shape 5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05" name="Shape 11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06" name="Shape 11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07" name="Shape 11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08" name="Shape 11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509" name="Shape 1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510" name="Shape 12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511" name="Shape 1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61</xdr:row>
      <xdr:rowOff>0</xdr:rowOff>
    </xdr:from>
    <xdr:ext cx="247650" cy="323850"/>
    <xdr:sp macro="" textlink="">
      <xdr:nvSpPr>
        <xdr:cNvPr id="2512" name="Shape 12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3" name="Shape 11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4" name="Shape 11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5" name="Shape 11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6" name="Shape 11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7" name="Shape 11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8" name="Shape 11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61</xdr:row>
      <xdr:rowOff>0</xdr:rowOff>
    </xdr:from>
    <xdr:ext cx="257175" cy="323850"/>
    <xdr:sp macro="" textlink="">
      <xdr:nvSpPr>
        <xdr:cNvPr id="2519" name="Shape 11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0" name="Shape 5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1" name="Shape 5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2" name="Shape 5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3" name="Shape 5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24" name="Shape 6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25" name="Shape 6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26" name="Shape 6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27" name="Shape 6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8" name="Shape 5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29" name="Shape 5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0" name="Shape 5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1" name="Shape 5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2" name="Shape 5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3" name="Shape 5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4" name="Shape 5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5" name="Shape 11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6" name="Shape 11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7" name="Shape 11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38" name="Shape 11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39" name="Shape 1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40" name="Shape 12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41" name="Shape 12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42" name="Shape 12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3" name="Shape 1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4" name="Shape 11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5" name="Shape 11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6" name="Shape 11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7" name="Shape 11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8" name="Shape 11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49" name="Shape 11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0" name="Shape 5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1" name="Shape 5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2" name="Shape 5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3" name="Shape 5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54" name="Shape 6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55" name="Shape 6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56" name="Shape 6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57" name="Shape 6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8" name="Shape 5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59" name="Shape 5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60" name="Shape 5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61" name="Shape 5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62" name="Shape 5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63" name="Shape 5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64" name="Shape 5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65" name="Shape 11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66" name="Shape 11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67" name="Shape 11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68" name="Shape 11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69" name="Shape 12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70" name="Shape 1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71" name="Shape 12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62</xdr:row>
      <xdr:rowOff>0</xdr:rowOff>
    </xdr:from>
    <xdr:ext cx="247650" cy="323850"/>
    <xdr:sp macro="" textlink="">
      <xdr:nvSpPr>
        <xdr:cNvPr id="2572" name="Shape 12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3" name="Shape 11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4" name="Shape 11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5" name="Shape 11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6" name="Shape 11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7" name="Shape 11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8" name="Shape 11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62</xdr:row>
      <xdr:rowOff>0</xdr:rowOff>
    </xdr:from>
    <xdr:ext cx="257175" cy="323850"/>
    <xdr:sp macro="" textlink="">
      <xdr:nvSpPr>
        <xdr:cNvPr id="2579" name="Shape 11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0" name="Shape 5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1" name="Shape 5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2" name="Shape 5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3" name="Shape 5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84" name="Shape 6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85" name="Shape 6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86" name="Shape 6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87" name="Shape 6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8" name="Shape 5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89" name="Shape 5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0" name="Shape 5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1" name="Shape 5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2" name="Shape 5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3" name="Shape 5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4" name="Shape 5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5" name="Shape 11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6" name="Shape 11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7" name="Shape 11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598" name="Shape 11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599" name="Shape 12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00" name="Shape 1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01" name="Shape 12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02" name="Shape 12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3" name="Shape 11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4" name="Shape 11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5" name="Shape 11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6" name="Shape 11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7" name="Shape 11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8" name="Shape 11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09" name="Shape 11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0" name="Shape 5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1" name="Shape 5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2" name="Shape 5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3" name="Shape 5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14" name="Shape 6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15" name="Shape 6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16" name="Shape 6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17" name="Shape 6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8" name="Shape 5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19" name="Shape 5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0" name="Shape 5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1" name="Shape 5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2" name="Shape 5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3" name="Shape 5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4" name="Shape 5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5" name="Shape 11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6" name="Shape 11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7" name="Shape 11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28" name="Shape 11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29" name="Shape 1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30" name="Shape 12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31" name="Shape 1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32" name="Shape 12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3" name="Shape 11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4" name="Shape 11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5" name="Shape 11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6" name="Shape 11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7" name="Shape 11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8" name="Shape 11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39" name="Shape 11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0" name="Shape 5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1" name="Shape 5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2" name="Shape 5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3" name="Shape 5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44" name="Shape 6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45" name="Shape 6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46" name="Shape 6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47" name="Shape 6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8" name="Shape 5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49" name="Shape 5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0" name="Shape 5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1" name="Shape 5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2" name="Shape 5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3" name="Shape 5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4" name="Shape 5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5" name="Shape 11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6" name="Shape 11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7" name="Shape 11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58" name="Shape 11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59" name="Shape 12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60" name="Shape 12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61" name="Shape 1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62" name="Shape 12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3" name="Shape 11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4" name="Shape 11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5" name="Shape 11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6" name="Shape 11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7" name="Shape 11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8" name="Shape 11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69" name="Shape 11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0" name="Shape 5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1" name="Shape 5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2" name="Shape 5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3" name="Shape 5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74" name="Shape 6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75" name="Shape 6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76" name="Shape 6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77" name="Shape 6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8" name="Shape 5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79" name="Shape 5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0" name="Shape 5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1" name="Shape 5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2" name="Shape 5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3" name="Shape 5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4" name="Shape 5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5" name="Shape 11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6" name="Shape 11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7" name="Shape 11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88" name="Shape 11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89" name="Shape 1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90" name="Shape 12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91" name="Shape 1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692" name="Shape 12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3" name="Shape 11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4" name="Shape 11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5" name="Shape 11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6" name="Shape 11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7" name="Shape 11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8" name="Shape 11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699" name="Shape 11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0" name="Shape 5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1" name="Shape 5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2" name="Shape 5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3" name="Shape 5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04" name="Shape 6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05" name="Shape 6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06" name="Shape 6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07" name="Shape 6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8" name="Shape 5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09" name="Shape 5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0" name="Shape 5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1" name="Shape 5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2" name="Shape 5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3" name="Shape 5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4" name="Shape 5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5" name="Shape 11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6" name="Shape 11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7" name="Shape 11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18" name="Shape 11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19" name="Shape 1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20" name="Shape 12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21" name="Shape 12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22" name="Shape 12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3" name="Shape 11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4" name="Shape 11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5" name="Shape 11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6" name="Shape 11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7" name="Shape 11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8" name="Shape 11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29" name="Shape 11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0" name="Shape 5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1" name="Shape 5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2" name="Shape 5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3" name="Shape 5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34" name="Shape 6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35" name="Shape 6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36" name="Shape 6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37" name="Shape 6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8" name="Shape 5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39" name="Shape 5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0" name="Shape 5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1" name="Shape 5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2" name="Shape 5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3" name="Shape 5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4" name="Shape 5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5" name="Shape 11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6" name="Shape 11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7" name="Shape 11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48" name="Shape 11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49" name="Shape 12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50" name="Shape 12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51" name="Shape 12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52" name="Shape 1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3" name="Shape 11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4" name="Shape 11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5" name="Shape 11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6" name="Shape 11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7" name="Shape 11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8" name="Shape 11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59" name="Shape 11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0" name="Shape 5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1" name="Shape 5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2" name="Shape 5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3" name="Shape 5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64" name="Shape 6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65" name="Shape 6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66" name="Shape 6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63</xdr:row>
      <xdr:rowOff>0</xdr:rowOff>
    </xdr:from>
    <xdr:ext cx="247650" cy="323850"/>
    <xdr:sp macro="" textlink="">
      <xdr:nvSpPr>
        <xdr:cNvPr id="2767" name="Shape 6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8" name="Shape 5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69" name="Shape 5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70" name="Shape 5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71" name="Shape 5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72" name="Shape 5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73" name="Shape 5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63</xdr:row>
      <xdr:rowOff>0</xdr:rowOff>
    </xdr:from>
    <xdr:ext cx="257175" cy="323850"/>
    <xdr:sp macro="" textlink="">
      <xdr:nvSpPr>
        <xdr:cNvPr id="2774" name="Shape 5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7</xdr:row>
      <xdr:rowOff>0</xdr:rowOff>
    </xdr:from>
    <xdr:ext cx="2476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7</xdr:row>
      <xdr:rowOff>0</xdr:rowOff>
    </xdr:from>
    <xdr:ext cx="257175" cy="3238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A00-00008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A00-00009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A00-00009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A00-00009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A00-00009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A00-00009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00000000-0008-0000-0A00-00009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00000000-0008-0000-0A00-00009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A00-00009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A00-0000A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A00-0000A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A00-0000A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A00-0000A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A00-0000A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A00-0000B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A00-0000B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A00-0000B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A00-0000B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A00-0000B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A00-0000B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0000000-0008-0000-0A00-0000B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A00-0000C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A00-0000C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A00-0000C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A00-0000C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A00-0000C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A00-0000C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A00-0000C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A00-0000C7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00000000-0008-0000-0A00-0000C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00000000-0008-0000-0A00-0000C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00000000-0008-0000-0A00-0000C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00000000-0008-0000-0A00-0000CB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A00-0000C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A00-0000C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A00-0000C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A00-0000C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A00-0000D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A00-0000D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A00-0000D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A00-0000D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A00-0000D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A00-0000D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A00-0000D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00000000-0008-0000-0A00-0000D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00000000-0008-0000-0A00-0000D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7" name="Shape 4">
          <a:extLst>
            <a:ext uri="{FF2B5EF4-FFF2-40B4-BE49-F238E27FC236}">
              <a16:creationId xmlns:a16="http://schemas.microsoft.com/office/drawing/2014/main" id="{00000000-0008-0000-0A00-0000D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00000000-0008-0000-0A00-0000DA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A00-0000D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A00-0000D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A00-0000D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A00-0000D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A00-0000D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A00-0000E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A00-0000E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A00-0000E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A00-0000E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A00-0000E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A00-0000E5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00000000-0008-0000-0A00-0000E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1" name="Shape 4">
          <a:extLst>
            <a:ext uri="{FF2B5EF4-FFF2-40B4-BE49-F238E27FC236}">
              <a16:creationId xmlns:a16="http://schemas.microsoft.com/office/drawing/2014/main" id="{00000000-0008-0000-0A00-0000E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2" name="Shape 4">
          <a:extLst>
            <a:ext uri="{FF2B5EF4-FFF2-40B4-BE49-F238E27FC236}">
              <a16:creationId xmlns:a16="http://schemas.microsoft.com/office/drawing/2014/main" id="{00000000-0008-0000-0A00-0000E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00000000-0008-0000-0A00-0000E9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A00-0000E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A00-0000E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A00-0000E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A00-0000E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A00-0000E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A00-0000E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A00-0000F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A00-0000F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A00-0000F2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A00-0000F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A00-0000F4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00000000-0008-0000-0A00-0000F5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00000000-0008-0000-0A00-0000F6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00000000-0008-0000-0A00-0000F7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00000000-0008-0000-0A00-0000F800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A00-0000F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A00-0000F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A00-0000F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A00-0000F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A00-0000F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A00-0000F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A00-0000F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A00-00000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A00-00000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A00-00000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A00-00000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00000000-0008-0000-0A00-00000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1" name="Shape 4">
          <a:extLst>
            <a:ext uri="{FF2B5EF4-FFF2-40B4-BE49-F238E27FC236}">
              <a16:creationId xmlns:a16="http://schemas.microsoft.com/office/drawing/2014/main" id="{00000000-0008-0000-0A00-00000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2" name="Shape 4">
          <a:extLst>
            <a:ext uri="{FF2B5EF4-FFF2-40B4-BE49-F238E27FC236}">
              <a16:creationId xmlns:a16="http://schemas.microsoft.com/office/drawing/2014/main" id="{00000000-0008-0000-0A00-00000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00000000-0008-0000-0A00-00000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A00-00000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A00-00000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A00-00000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A00-00000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A00-00000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A00-00000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A00-00000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A00-00000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A00-00001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A00-00001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A00-00001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00000000-0008-0000-0A00-00001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00000000-0008-0000-0A00-00001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00000000-0008-0000-0A00-00001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00000000-0008-0000-0A00-00001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0000000-0008-0000-0A00-00001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A00-00001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A00-00001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A00-00001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A00-00001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A00-00001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A00-00001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A00-00001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A00-00001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A00-00002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A00-00002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00000000-0008-0000-0A00-00002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00000000-0008-0000-0A00-00002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00000000-0008-0000-0A00-00002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00000000-0008-0000-0A00-00002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A00-00002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A00-00002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A00-00002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A00-00002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A00-00002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A00-00002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A00-00002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A00-00002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A00-00002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A00-00002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A00-00003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00000000-0008-0000-0A00-00003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00000000-0008-0000-0A00-00003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00000000-0008-0000-0A00-00003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00000000-0008-0000-0A00-00003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A00-00003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A00-00003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A00-00003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A00-00003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A00-00003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A00-00003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A00-00003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A00-00003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A00-00003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A00-00003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A00-00003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0" name="Shape 4">
          <a:extLst>
            <a:ext uri="{FF2B5EF4-FFF2-40B4-BE49-F238E27FC236}">
              <a16:creationId xmlns:a16="http://schemas.microsoft.com/office/drawing/2014/main" id="{00000000-0008-0000-0A00-00004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1" name="Shape 4">
          <a:extLst>
            <a:ext uri="{FF2B5EF4-FFF2-40B4-BE49-F238E27FC236}">
              <a16:creationId xmlns:a16="http://schemas.microsoft.com/office/drawing/2014/main" id="{00000000-0008-0000-0A00-00004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2" name="Shape 4">
          <a:extLst>
            <a:ext uri="{FF2B5EF4-FFF2-40B4-BE49-F238E27FC236}">
              <a16:creationId xmlns:a16="http://schemas.microsoft.com/office/drawing/2014/main" id="{00000000-0008-0000-0A00-00004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323" name="Shape 4">
          <a:extLst>
            <a:ext uri="{FF2B5EF4-FFF2-40B4-BE49-F238E27FC236}">
              <a16:creationId xmlns:a16="http://schemas.microsoft.com/office/drawing/2014/main" id="{00000000-0008-0000-0A00-000043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A00-00004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0000000-0008-0000-0A00-00004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00000000-0008-0000-0A00-00004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0000000-0008-0000-0A00-00004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00000000-0008-0000-0A00-00004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00000000-0008-0000-0A00-00004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00000000-0008-0000-0A00-00004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00000000-0008-0000-0A00-00004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00000000-0008-0000-0A00-00004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00000000-0008-0000-0A00-00004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00000000-0008-0000-0A00-00004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5" name="Shape 4">
          <a:extLst>
            <a:ext uri="{FF2B5EF4-FFF2-40B4-BE49-F238E27FC236}">
              <a16:creationId xmlns:a16="http://schemas.microsoft.com/office/drawing/2014/main" id="{00000000-0008-0000-0A00-00004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6" name="Shape 4">
          <a:extLst>
            <a:ext uri="{FF2B5EF4-FFF2-40B4-BE49-F238E27FC236}">
              <a16:creationId xmlns:a16="http://schemas.microsoft.com/office/drawing/2014/main" id="{00000000-0008-0000-0A00-00005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7" name="Shape 4">
          <a:extLst>
            <a:ext uri="{FF2B5EF4-FFF2-40B4-BE49-F238E27FC236}">
              <a16:creationId xmlns:a16="http://schemas.microsoft.com/office/drawing/2014/main" id="{00000000-0008-0000-0A00-00005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338" name="Shape 4">
          <a:extLst>
            <a:ext uri="{FF2B5EF4-FFF2-40B4-BE49-F238E27FC236}">
              <a16:creationId xmlns:a16="http://schemas.microsoft.com/office/drawing/2014/main" id="{00000000-0008-0000-0A00-000052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00000000-0008-0000-0A00-00005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00000000-0008-0000-0A00-00005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00000000-0008-0000-0A00-00005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00000000-0008-0000-0A00-00005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00000000-0008-0000-0A00-00005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0000000-0008-0000-0A00-00005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00000000-0008-0000-0A00-00005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00000000-0008-0000-0A00-00005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0" name="Shape 4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1" name="Shape 4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353" name="Shape 4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1" name="Shape 5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2" name="Shape 5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3" name="Shape 5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4" name="Shape 5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5" name="Shape 6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6" name="Shape 6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7" name="Shape 6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368" name="Shape 6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69" name="Shape 5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0" name="Shape 5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1" name="Shape 5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2" name="Shape 5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3" name="Shape 5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4" name="Shape 5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375" name="Shape 5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6" name="Shape 5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7" name="Shape 5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8" name="Shape 5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79" name="Shape 5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0" name="Shape 6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1" name="Shape 6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2" name="Shape 6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383" name="Shape 6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4" name="Shape 5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5" name="Shape 5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6" name="Shape 5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7" name="Shape 5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8" name="Shape 5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89" name="Shape 5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390" name="Shape 5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1" name="Shape 5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2" name="Shape 5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3" name="Shape 5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4" name="Shape 5">
          <a:extLst>
            <a:ext uri="{FF2B5EF4-FFF2-40B4-BE49-F238E27FC236}">
              <a16:creationId xmlns:a16="http://schemas.microsoft.com/office/drawing/2014/main" id="{00000000-0008-0000-0A00-00008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5" name="Shape 6">
          <a:extLst>
            <a:ext uri="{FF2B5EF4-FFF2-40B4-BE49-F238E27FC236}">
              <a16:creationId xmlns:a16="http://schemas.microsoft.com/office/drawing/2014/main" id="{00000000-0008-0000-0A00-00008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6" name="Shape 6">
          <a:extLst>
            <a:ext uri="{FF2B5EF4-FFF2-40B4-BE49-F238E27FC236}">
              <a16:creationId xmlns:a16="http://schemas.microsoft.com/office/drawing/2014/main" id="{00000000-0008-0000-0A00-00008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7" name="Shape 6">
          <a:extLst>
            <a:ext uri="{FF2B5EF4-FFF2-40B4-BE49-F238E27FC236}">
              <a16:creationId xmlns:a16="http://schemas.microsoft.com/office/drawing/2014/main" id="{00000000-0008-0000-0A00-00008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398" name="Shape 6">
          <a:extLst>
            <a:ext uri="{FF2B5EF4-FFF2-40B4-BE49-F238E27FC236}">
              <a16:creationId xmlns:a16="http://schemas.microsoft.com/office/drawing/2014/main" id="{00000000-0008-0000-0A00-00008E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399" name="Shape 5">
          <a:extLst>
            <a:ext uri="{FF2B5EF4-FFF2-40B4-BE49-F238E27FC236}">
              <a16:creationId xmlns:a16="http://schemas.microsoft.com/office/drawing/2014/main" id="{00000000-0008-0000-0A00-00008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0" name="Shape 5">
          <a:extLst>
            <a:ext uri="{FF2B5EF4-FFF2-40B4-BE49-F238E27FC236}">
              <a16:creationId xmlns:a16="http://schemas.microsoft.com/office/drawing/2014/main" id="{00000000-0008-0000-0A00-00009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1" name="Shape 5">
          <a:extLst>
            <a:ext uri="{FF2B5EF4-FFF2-40B4-BE49-F238E27FC236}">
              <a16:creationId xmlns:a16="http://schemas.microsoft.com/office/drawing/2014/main" id="{00000000-0008-0000-0A00-00009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2" name="Shape 5">
          <a:extLst>
            <a:ext uri="{FF2B5EF4-FFF2-40B4-BE49-F238E27FC236}">
              <a16:creationId xmlns:a16="http://schemas.microsoft.com/office/drawing/2014/main" id="{00000000-0008-0000-0A00-00009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3" name="Shape 5">
          <a:extLst>
            <a:ext uri="{FF2B5EF4-FFF2-40B4-BE49-F238E27FC236}">
              <a16:creationId xmlns:a16="http://schemas.microsoft.com/office/drawing/2014/main" id="{00000000-0008-0000-0A00-00009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4" name="Shape 5">
          <a:extLst>
            <a:ext uri="{FF2B5EF4-FFF2-40B4-BE49-F238E27FC236}">
              <a16:creationId xmlns:a16="http://schemas.microsoft.com/office/drawing/2014/main" id="{00000000-0008-0000-0A00-00009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405" name="Shape 5">
          <a:extLst>
            <a:ext uri="{FF2B5EF4-FFF2-40B4-BE49-F238E27FC236}">
              <a16:creationId xmlns:a16="http://schemas.microsoft.com/office/drawing/2014/main" id="{00000000-0008-0000-0A00-00009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6" name="Shape 5">
          <a:extLst>
            <a:ext uri="{FF2B5EF4-FFF2-40B4-BE49-F238E27FC236}">
              <a16:creationId xmlns:a16="http://schemas.microsoft.com/office/drawing/2014/main" id="{00000000-0008-0000-0A00-00009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7" name="Shape 5">
          <a:extLst>
            <a:ext uri="{FF2B5EF4-FFF2-40B4-BE49-F238E27FC236}">
              <a16:creationId xmlns:a16="http://schemas.microsoft.com/office/drawing/2014/main" id="{00000000-0008-0000-0A00-00009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8" name="Shape 5">
          <a:extLst>
            <a:ext uri="{FF2B5EF4-FFF2-40B4-BE49-F238E27FC236}">
              <a16:creationId xmlns:a16="http://schemas.microsoft.com/office/drawing/2014/main" id="{00000000-0008-0000-0A00-00009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09" name="Shape 5">
          <a:extLst>
            <a:ext uri="{FF2B5EF4-FFF2-40B4-BE49-F238E27FC236}">
              <a16:creationId xmlns:a16="http://schemas.microsoft.com/office/drawing/2014/main" id="{00000000-0008-0000-0A00-00009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0" name="Shape 6">
          <a:extLst>
            <a:ext uri="{FF2B5EF4-FFF2-40B4-BE49-F238E27FC236}">
              <a16:creationId xmlns:a16="http://schemas.microsoft.com/office/drawing/2014/main" id="{00000000-0008-0000-0A00-00009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1" name="Shape 6">
          <a:extLst>
            <a:ext uri="{FF2B5EF4-FFF2-40B4-BE49-F238E27FC236}">
              <a16:creationId xmlns:a16="http://schemas.microsoft.com/office/drawing/2014/main" id="{00000000-0008-0000-0A00-00009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2" name="Shape 6">
          <a:extLst>
            <a:ext uri="{FF2B5EF4-FFF2-40B4-BE49-F238E27FC236}">
              <a16:creationId xmlns:a16="http://schemas.microsoft.com/office/drawing/2014/main" id="{00000000-0008-0000-0A00-00009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413" name="Shape 6">
          <a:extLst>
            <a:ext uri="{FF2B5EF4-FFF2-40B4-BE49-F238E27FC236}">
              <a16:creationId xmlns:a16="http://schemas.microsoft.com/office/drawing/2014/main" id="{00000000-0008-0000-0A00-00009D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4" name="Shape 5">
          <a:extLst>
            <a:ext uri="{FF2B5EF4-FFF2-40B4-BE49-F238E27FC236}">
              <a16:creationId xmlns:a16="http://schemas.microsoft.com/office/drawing/2014/main" id="{00000000-0008-0000-0A00-00009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5" name="Shape 5">
          <a:extLst>
            <a:ext uri="{FF2B5EF4-FFF2-40B4-BE49-F238E27FC236}">
              <a16:creationId xmlns:a16="http://schemas.microsoft.com/office/drawing/2014/main" id="{00000000-0008-0000-0A00-00009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6" name="Shape 5">
          <a:extLst>
            <a:ext uri="{FF2B5EF4-FFF2-40B4-BE49-F238E27FC236}">
              <a16:creationId xmlns:a16="http://schemas.microsoft.com/office/drawing/2014/main" id="{00000000-0008-0000-0A00-0000A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7" name="Shape 5">
          <a:extLst>
            <a:ext uri="{FF2B5EF4-FFF2-40B4-BE49-F238E27FC236}">
              <a16:creationId xmlns:a16="http://schemas.microsoft.com/office/drawing/2014/main" id="{00000000-0008-0000-0A00-0000A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8" name="Shape 5">
          <a:extLst>
            <a:ext uri="{FF2B5EF4-FFF2-40B4-BE49-F238E27FC236}">
              <a16:creationId xmlns:a16="http://schemas.microsoft.com/office/drawing/2014/main" id="{00000000-0008-0000-0A00-0000A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19" name="Shape 5">
          <a:extLst>
            <a:ext uri="{FF2B5EF4-FFF2-40B4-BE49-F238E27FC236}">
              <a16:creationId xmlns:a16="http://schemas.microsoft.com/office/drawing/2014/main" id="{00000000-0008-0000-0A00-0000A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420" name="Shape 5">
          <a:extLst>
            <a:ext uri="{FF2B5EF4-FFF2-40B4-BE49-F238E27FC236}">
              <a16:creationId xmlns:a16="http://schemas.microsoft.com/office/drawing/2014/main" id="{00000000-0008-0000-0A00-0000A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1" name="Shape 5">
          <a:extLst>
            <a:ext uri="{FF2B5EF4-FFF2-40B4-BE49-F238E27FC236}">
              <a16:creationId xmlns:a16="http://schemas.microsoft.com/office/drawing/2014/main" id="{00000000-0008-0000-0A00-0000A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2" name="Shape 5">
          <a:extLst>
            <a:ext uri="{FF2B5EF4-FFF2-40B4-BE49-F238E27FC236}">
              <a16:creationId xmlns:a16="http://schemas.microsoft.com/office/drawing/2014/main" id="{00000000-0008-0000-0A00-0000A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3" name="Shape 5">
          <a:extLst>
            <a:ext uri="{FF2B5EF4-FFF2-40B4-BE49-F238E27FC236}">
              <a16:creationId xmlns:a16="http://schemas.microsoft.com/office/drawing/2014/main" id="{00000000-0008-0000-0A00-0000A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4" name="Shape 5">
          <a:extLst>
            <a:ext uri="{FF2B5EF4-FFF2-40B4-BE49-F238E27FC236}">
              <a16:creationId xmlns:a16="http://schemas.microsoft.com/office/drawing/2014/main" id="{00000000-0008-0000-0A00-0000A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5" name="Shape 6">
          <a:extLst>
            <a:ext uri="{FF2B5EF4-FFF2-40B4-BE49-F238E27FC236}">
              <a16:creationId xmlns:a16="http://schemas.microsoft.com/office/drawing/2014/main" id="{00000000-0008-0000-0A00-0000A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6" name="Shape 6">
          <a:extLst>
            <a:ext uri="{FF2B5EF4-FFF2-40B4-BE49-F238E27FC236}">
              <a16:creationId xmlns:a16="http://schemas.microsoft.com/office/drawing/2014/main" id="{00000000-0008-0000-0A00-0000A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7" name="Shape 6">
          <a:extLst>
            <a:ext uri="{FF2B5EF4-FFF2-40B4-BE49-F238E27FC236}">
              <a16:creationId xmlns:a16="http://schemas.microsoft.com/office/drawing/2014/main" id="{00000000-0008-0000-0A00-0000A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428" name="Shape 6">
          <a:extLst>
            <a:ext uri="{FF2B5EF4-FFF2-40B4-BE49-F238E27FC236}">
              <a16:creationId xmlns:a16="http://schemas.microsoft.com/office/drawing/2014/main" id="{00000000-0008-0000-0A00-0000AC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29" name="Shape 5">
          <a:extLst>
            <a:ext uri="{FF2B5EF4-FFF2-40B4-BE49-F238E27FC236}">
              <a16:creationId xmlns:a16="http://schemas.microsoft.com/office/drawing/2014/main" id="{00000000-0008-0000-0A00-0000A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0" name="Shape 5">
          <a:extLst>
            <a:ext uri="{FF2B5EF4-FFF2-40B4-BE49-F238E27FC236}">
              <a16:creationId xmlns:a16="http://schemas.microsoft.com/office/drawing/2014/main" id="{00000000-0008-0000-0A00-0000A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1" name="Shape 5">
          <a:extLst>
            <a:ext uri="{FF2B5EF4-FFF2-40B4-BE49-F238E27FC236}">
              <a16:creationId xmlns:a16="http://schemas.microsoft.com/office/drawing/2014/main" id="{00000000-0008-0000-0A00-0000A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2" name="Shape 5">
          <a:extLst>
            <a:ext uri="{FF2B5EF4-FFF2-40B4-BE49-F238E27FC236}">
              <a16:creationId xmlns:a16="http://schemas.microsoft.com/office/drawing/2014/main" id="{00000000-0008-0000-0A00-0000B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3" name="Shape 5">
          <a:extLst>
            <a:ext uri="{FF2B5EF4-FFF2-40B4-BE49-F238E27FC236}">
              <a16:creationId xmlns:a16="http://schemas.microsoft.com/office/drawing/2014/main" id="{00000000-0008-0000-0A00-0000B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4" name="Shape 5">
          <a:extLst>
            <a:ext uri="{FF2B5EF4-FFF2-40B4-BE49-F238E27FC236}">
              <a16:creationId xmlns:a16="http://schemas.microsoft.com/office/drawing/2014/main" id="{00000000-0008-0000-0A00-0000B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435" name="Shape 5">
          <a:extLst>
            <a:ext uri="{FF2B5EF4-FFF2-40B4-BE49-F238E27FC236}">
              <a16:creationId xmlns:a16="http://schemas.microsoft.com/office/drawing/2014/main" id="{00000000-0008-0000-0A00-0000B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6" name="Shape 5">
          <a:extLst>
            <a:ext uri="{FF2B5EF4-FFF2-40B4-BE49-F238E27FC236}">
              <a16:creationId xmlns:a16="http://schemas.microsoft.com/office/drawing/2014/main" id="{00000000-0008-0000-0A00-0000B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7" name="Shape 5">
          <a:extLst>
            <a:ext uri="{FF2B5EF4-FFF2-40B4-BE49-F238E27FC236}">
              <a16:creationId xmlns:a16="http://schemas.microsoft.com/office/drawing/2014/main" id="{00000000-0008-0000-0A00-0000B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8" name="Shape 5">
          <a:extLst>
            <a:ext uri="{FF2B5EF4-FFF2-40B4-BE49-F238E27FC236}">
              <a16:creationId xmlns:a16="http://schemas.microsoft.com/office/drawing/2014/main" id="{00000000-0008-0000-0A00-0000B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39" name="Shape 5">
          <a:extLst>
            <a:ext uri="{FF2B5EF4-FFF2-40B4-BE49-F238E27FC236}">
              <a16:creationId xmlns:a16="http://schemas.microsoft.com/office/drawing/2014/main" id="{00000000-0008-0000-0A00-0000B7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0" name="Shape 6">
          <a:extLst>
            <a:ext uri="{FF2B5EF4-FFF2-40B4-BE49-F238E27FC236}">
              <a16:creationId xmlns:a16="http://schemas.microsoft.com/office/drawing/2014/main" id="{00000000-0008-0000-0A00-0000B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1" name="Shape 6">
          <a:extLst>
            <a:ext uri="{FF2B5EF4-FFF2-40B4-BE49-F238E27FC236}">
              <a16:creationId xmlns:a16="http://schemas.microsoft.com/office/drawing/2014/main" id="{00000000-0008-0000-0A00-0000B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2" name="Shape 6">
          <a:extLst>
            <a:ext uri="{FF2B5EF4-FFF2-40B4-BE49-F238E27FC236}">
              <a16:creationId xmlns:a16="http://schemas.microsoft.com/office/drawing/2014/main" id="{00000000-0008-0000-0A00-0000B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443" name="Shape 6">
          <a:extLst>
            <a:ext uri="{FF2B5EF4-FFF2-40B4-BE49-F238E27FC236}">
              <a16:creationId xmlns:a16="http://schemas.microsoft.com/office/drawing/2014/main" id="{00000000-0008-0000-0A00-0000BB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4" name="Shape 5">
          <a:extLst>
            <a:ext uri="{FF2B5EF4-FFF2-40B4-BE49-F238E27FC236}">
              <a16:creationId xmlns:a16="http://schemas.microsoft.com/office/drawing/2014/main" id="{00000000-0008-0000-0A00-0000B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5" name="Shape 5">
          <a:extLst>
            <a:ext uri="{FF2B5EF4-FFF2-40B4-BE49-F238E27FC236}">
              <a16:creationId xmlns:a16="http://schemas.microsoft.com/office/drawing/2014/main" id="{00000000-0008-0000-0A00-0000B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6" name="Shape 5">
          <a:extLst>
            <a:ext uri="{FF2B5EF4-FFF2-40B4-BE49-F238E27FC236}">
              <a16:creationId xmlns:a16="http://schemas.microsoft.com/office/drawing/2014/main" id="{00000000-0008-0000-0A00-0000B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7" name="Shape 5">
          <a:extLst>
            <a:ext uri="{FF2B5EF4-FFF2-40B4-BE49-F238E27FC236}">
              <a16:creationId xmlns:a16="http://schemas.microsoft.com/office/drawing/2014/main" id="{00000000-0008-0000-0A00-0000B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8" name="Shape 5">
          <a:extLst>
            <a:ext uri="{FF2B5EF4-FFF2-40B4-BE49-F238E27FC236}">
              <a16:creationId xmlns:a16="http://schemas.microsoft.com/office/drawing/2014/main" id="{00000000-0008-0000-0A00-0000C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49" name="Shape 5">
          <a:extLst>
            <a:ext uri="{FF2B5EF4-FFF2-40B4-BE49-F238E27FC236}">
              <a16:creationId xmlns:a16="http://schemas.microsoft.com/office/drawing/2014/main" id="{00000000-0008-0000-0A00-0000C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450" name="Shape 5">
          <a:extLst>
            <a:ext uri="{FF2B5EF4-FFF2-40B4-BE49-F238E27FC236}">
              <a16:creationId xmlns:a16="http://schemas.microsoft.com/office/drawing/2014/main" id="{00000000-0008-0000-0A00-0000C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1" name="Shape 5">
          <a:extLst>
            <a:ext uri="{FF2B5EF4-FFF2-40B4-BE49-F238E27FC236}">
              <a16:creationId xmlns:a16="http://schemas.microsoft.com/office/drawing/2014/main" id="{00000000-0008-0000-0A00-0000C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2" name="Shape 5">
          <a:extLst>
            <a:ext uri="{FF2B5EF4-FFF2-40B4-BE49-F238E27FC236}">
              <a16:creationId xmlns:a16="http://schemas.microsoft.com/office/drawing/2014/main" id="{00000000-0008-0000-0A00-0000C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3" name="Shape 5">
          <a:extLst>
            <a:ext uri="{FF2B5EF4-FFF2-40B4-BE49-F238E27FC236}">
              <a16:creationId xmlns:a16="http://schemas.microsoft.com/office/drawing/2014/main" id="{00000000-0008-0000-0A00-0000C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4" name="Shape 5">
          <a:extLst>
            <a:ext uri="{FF2B5EF4-FFF2-40B4-BE49-F238E27FC236}">
              <a16:creationId xmlns:a16="http://schemas.microsoft.com/office/drawing/2014/main" id="{00000000-0008-0000-0A00-0000C6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5" name="Shape 6">
          <a:extLst>
            <a:ext uri="{FF2B5EF4-FFF2-40B4-BE49-F238E27FC236}">
              <a16:creationId xmlns:a16="http://schemas.microsoft.com/office/drawing/2014/main" id="{00000000-0008-0000-0A00-0000C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6" name="Shape 6">
          <a:extLst>
            <a:ext uri="{FF2B5EF4-FFF2-40B4-BE49-F238E27FC236}">
              <a16:creationId xmlns:a16="http://schemas.microsoft.com/office/drawing/2014/main" id="{00000000-0008-0000-0A00-0000C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7" name="Shape 6">
          <a:extLst>
            <a:ext uri="{FF2B5EF4-FFF2-40B4-BE49-F238E27FC236}">
              <a16:creationId xmlns:a16="http://schemas.microsoft.com/office/drawing/2014/main" id="{00000000-0008-0000-0A00-0000C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458" name="Shape 6">
          <a:extLst>
            <a:ext uri="{FF2B5EF4-FFF2-40B4-BE49-F238E27FC236}">
              <a16:creationId xmlns:a16="http://schemas.microsoft.com/office/drawing/2014/main" id="{00000000-0008-0000-0A00-0000CA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59" name="Shape 5">
          <a:extLst>
            <a:ext uri="{FF2B5EF4-FFF2-40B4-BE49-F238E27FC236}">
              <a16:creationId xmlns:a16="http://schemas.microsoft.com/office/drawing/2014/main" id="{00000000-0008-0000-0A00-0000C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0" name="Shape 5">
          <a:extLst>
            <a:ext uri="{FF2B5EF4-FFF2-40B4-BE49-F238E27FC236}">
              <a16:creationId xmlns:a16="http://schemas.microsoft.com/office/drawing/2014/main" id="{00000000-0008-0000-0A00-0000C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1" name="Shape 5">
          <a:extLst>
            <a:ext uri="{FF2B5EF4-FFF2-40B4-BE49-F238E27FC236}">
              <a16:creationId xmlns:a16="http://schemas.microsoft.com/office/drawing/2014/main" id="{00000000-0008-0000-0A00-0000C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2" name="Shape 5">
          <a:extLst>
            <a:ext uri="{FF2B5EF4-FFF2-40B4-BE49-F238E27FC236}">
              <a16:creationId xmlns:a16="http://schemas.microsoft.com/office/drawing/2014/main" id="{00000000-0008-0000-0A00-0000C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3" name="Shape 5">
          <a:extLst>
            <a:ext uri="{FF2B5EF4-FFF2-40B4-BE49-F238E27FC236}">
              <a16:creationId xmlns:a16="http://schemas.microsoft.com/office/drawing/2014/main" id="{00000000-0008-0000-0A00-0000C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4" name="Shape 5">
          <a:extLst>
            <a:ext uri="{FF2B5EF4-FFF2-40B4-BE49-F238E27FC236}">
              <a16:creationId xmlns:a16="http://schemas.microsoft.com/office/drawing/2014/main" id="{00000000-0008-0000-0A00-0000D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465" name="Shape 5">
          <a:extLst>
            <a:ext uri="{FF2B5EF4-FFF2-40B4-BE49-F238E27FC236}">
              <a16:creationId xmlns:a16="http://schemas.microsoft.com/office/drawing/2014/main" id="{00000000-0008-0000-0A00-0000D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6" name="Shape 5">
          <a:extLst>
            <a:ext uri="{FF2B5EF4-FFF2-40B4-BE49-F238E27FC236}">
              <a16:creationId xmlns:a16="http://schemas.microsoft.com/office/drawing/2014/main" id="{00000000-0008-0000-0A00-0000D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7" name="Shape 5">
          <a:extLst>
            <a:ext uri="{FF2B5EF4-FFF2-40B4-BE49-F238E27FC236}">
              <a16:creationId xmlns:a16="http://schemas.microsoft.com/office/drawing/2014/main" id="{00000000-0008-0000-0A00-0000D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8" name="Shape 5">
          <a:extLst>
            <a:ext uri="{FF2B5EF4-FFF2-40B4-BE49-F238E27FC236}">
              <a16:creationId xmlns:a16="http://schemas.microsoft.com/office/drawing/2014/main" id="{00000000-0008-0000-0A00-0000D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69" name="Shape 5">
          <a:extLst>
            <a:ext uri="{FF2B5EF4-FFF2-40B4-BE49-F238E27FC236}">
              <a16:creationId xmlns:a16="http://schemas.microsoft.com/office/drawing/2014/main" id="{00000000-0008-0000-0A00-0000D5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0" name="Shape 6">
          <a:extLst>
            <a:ext uri="{FF2B5EF4-FFF2-40B4-BE49-F238E27FC236}">
              <a16:creationId xmlns:a16="http://schemas.microsoft.com/office/drawing/2014/main" id="{00000000-0008-0000-0A00-0000D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1" name="Shape 6">
          <a:extLst>
            <a:ext uri="{FF2B5EF4-FFF2-40B4-BE49-F238E27FC236}">
              <a16:creationId xmlns:a16="http://schemas.microsoft.com/office/drawing/2014/main" id="{00000000-0008-0000-0A00-0000D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2" name="Shape 6">
          <a:extLst>
            <a:ext uri="{FF2B5EF4-FFF2-40B4-BE49-F238E27FC236}">
              <a16:creationId xmlns:a16="http://schemas.microsoft.com/office/drawing/2014/main" id="{00000000-0008-0000-0A00-0000D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473" name="Shape 6">
          <a:extLst>
            <a:ext uri="{FF2B5EF4-FFF2-40B4-BE49-F238E27FC236}">
              <a16:creationId xmlns:a16="http://schemas.microsoft.com/office/drawing/2014/main" id="{00000000-0008-0000-0A00-0000D9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4" name="Shape 5">
          <a:extLst>
            <a:ext uri="{FF2B5EF4-FFF2-40B4-BE49-F238E27FC236}">
              <a16:creationId xmlns:a16="http://schemas.microsoft.com/office/drawing/2014/main" id="{00000000-0008-0000-0A00-0000D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5" name="Shape 5">
          <a:extLst>
            <a:ext uri="{FF2B5EF4-FFF2-40B4-BE49-F238E27FC236}">
              <a16:creationId xmlns:a16="http://schemas.microsoft.com/office/drawing/2014/main" id="{00000000-0008-0000-0A00-0000D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6" name="Shape 5">
          <a:extLst>
            <a:ext uri="{FF2B5EF4-FFF2-40B4-BE49-F238E27FC236}">
              <a16:creationId xmlns:a16="http://schemas.microsoft.com/office/drawing/2014/main" id="{00000000-0008-0000-0A00-0000D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7" name="Shape 5">
          <a:extLst>
            <a:ext uri="{FF2B5EF4-FFF2-40B4-BE49-F238E27FC236}">
              <a16:creationId xmlns:a16="http://schemas.microsoft.com/office/drawing/2014/main" id="{00000000-0008-0000-0A00-0000D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8" name="Shape 5">
          <a:extLst>
            <a:ext uri="{FF2B5EF4-FFF2-40B4-BE49-F238E27FC236}">
              <a16:creationId xmlns:a16="http://schemas.microsoft.com/office/drawing/2014/main" id="{00000000-0008-0000-0A00-0000D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79" name="Shape 5">
          <a:extLst>
            <a:ext uri="{FF2B5EF4-FFF2-40B4-BE49-F238E27FC236}">
              <a16:creationId xmlns:a16="http://schemas.microsoft.com/office/drawing/2014/main" id="{00000000-0008-0000-0A00-0000D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480" name="Shape 5">
          <a:extLst>
            <a:ext uri="{FF2B5EF4-FFF2-40B4-BE49-F238E27FC236}">
              <a16:creationId xmlns:a16="http://schemas.microsoft.com/office/drawing/2014/main" id="{00000000-0008-0000-0A00-0000E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00000000-0008-0000-0A00-0000E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00000000-0008-0000-0A00-0000E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00000000-0008-0000-0A00-0000E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00000000-0008-0000-0A00-0000E4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5" name="Shape 4">
          <a:extLst>
            <a:ext uri="{FF2B5EF4-FFF2-40B4-BE49-F238E27FC236}">
              <a16:creationId xmlns:a16="http://schemas.microsoft.com/office/drawing/2014/main" id="{00000000-0008-0000-0A00-0000E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6" name="Shape 4">
          <a:extLst>
            <a:ext uri="{FF2B5EF4-FFF2-40B4-BE49-F238E27FC236}">
              <a16:creationId xmlns:a16="http://schemas.microsoft.com/office/drawing/2014/main" id="{00000000-0008-0000-0A00-0000E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7" name="Shape 4">
          <a:extLst>
            <a:ext uri="{FF2B5EF4-FFF2-40B4-BE49-F238E27FC236}">
              <a16:creationId xmlns:a16="http://schemas.microsoft.com/office/drawing/2014/main" id="{00000000-0008-0000-0A00-0000E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488" name="Shape 4">
          <a:extLst>
            <a:ext uri="{FF2B5EF4-FFF2-40B4-BE49-F238E27FC236}">
              <a16:creationId xmlns:a16="http://schemas.microsoft.com/office/drawing/2014/main" id="{00000000-0008-0000-0A00-0000E8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00000000-0008-0000-0A00-0000E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00000000-0008-0000-0A00-0000E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00000000-0008-0000-0A00-0000E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00000000-0008-0000-0A00-0000E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00000000-0008-0000-0A00-0000E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00000000-0008-0000-0A00-0000E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00000000-0008-0000-0A00-0000E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0000000-0008-0000-0A00-0000F0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00000000-0008-0000-0A00-0000F1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00000000-0008-0000-0A00-0000F2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0000000-0008-0000-0A00-0000F3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0" name="Shape 4">
          <a:extLst>
            <a:ext uri="{FF2B5EF4-FFF2-40B4-BE49-F238E27FC236}">
              <a16:creationId xmlns:a16="http://schemas.microsoft.com/office/drawing/2014/main" id="{00000000-0008-0000-0A00-0000F4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1" name="Shape 4">
          <a:extLst>
            <a:ext uri="{FF2B5EF4-FFF2-40B4-BE49-F238E27FC236}">
              <a16:creationId xmlns:a16="http://schemas.microsoft.com/office/drawing/2014/main" id="{00000000-0008-0000-0A00-0000F5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2" name="Shape 4">
          <a:extLst>
            <a:ext uri="{FF2B5EF4-FFF2-40B4-BE49-F238E27FC236}">
              <a16:creationId xmlns:a16="http://schemas.microsoft.com/office/drawing/2014/main" id="{00000000-0008-0000-0A00-0000F6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503" name="Shape 4">
          <a:extLst>
            <a:ext uri="{FF2B5EF4-FFF2-40B4-BE49-F238E27FC236}">
              <a16:creationId xmlns:a16="http://schemas.microsoft.com/office/drawing/2014/main" id="{00000000-0008-0000-0A00-0000F701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00000000-0008-0000-0A00-0000F8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00000000-0008-0000-0A00-0000F9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00000000-0008-0000-0A00-0000FA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00000000-0008-0000-0A00-0000FB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00000000-0008-0000-0A00-0000FC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00000000-0008-0000-0A00-0000FD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00000000-0008-0000-0A00-0000FE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00000000-0008-0000-0A00-0000FF01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00000000-0008-0000-0A00-00000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00000000-0008-0000-0A00-00000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00000000-0008-0000-0A00-00000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5" name="Shape 4">
          <a:extLst>
            <a:ext uri="{FF2B5EF4-FFF2-40B4-BE49-F238E27FC236}">
              <a16:creationId xmlns:a16="http://schemas.microsoft.com/office/drawing/2014/main" id="{00000000-0008-0000-0A00-00000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6" name="Shape 4">
          <a:extLst>
            <a:ext uri="{FF2B5EF4-FFF2-40B4-BE49-F238E27FC236}">
              <a16:creationId xmlns:a16="http://schemas.microsoft.com/office/drawing/2014/main" id="{00000000-0008-0000-0A00-00000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7" name="Shape 4">
          <a:extLst>
            <a:ext uri="{FF2B5EF4-FFF2-40B4-BE49-F238E27FC236}">
              <a16:creationId xmlns:a16="http://schemas.microsoft.com/office/drawing/2014/main" id="{00000000-0008-0000-0A00-00000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518" name="Shape 4">
          <a:extLst>
            <a:ext uri="{FF2B5EF4-FFF2-40B4-BE49-F238E27FC236}">
              <a16:creationId xmlns:a16="http://schemas.microsoft.com/office/drawing/2014/main" id="{00000000-0008-0000-0A00-00000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00000000-0008-0000-0A00-00000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00000000-0008-0000-0A00-00000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00000000-0008-0000-0A00-00000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00000000-0008-0000-0A00-00000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00000000-0008-0000-0A00-00000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00000000-0008-0000-0A00-00000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000000-0008-0000-0A00-00000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0000000-0008-0000-0A00-00000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00000000-0008-0000-0A00-00001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00000000-0008-0000-0A00-00001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0" name="Shape 4">
          <a:extLst>
            <a:ext uri="{FF2B5EF4-FFF2-40B4-BE49-F238E27FC236}">
              <a16:creationId xmlns:a16="http://schemas.microsoft.com/office/drawing/2014/main" id="{00000000-0008-0000-0A00-00001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1" name="Shape 4">
          <a:extLst>
            <a:ext uri="{FF2B5EF4-FFF2-40B4-BE49-F238E27FC236}">
              <a16:creationId xmlns:a16="http://schemas.microsoft.com/office/drawing/2014/main" id="{00000000-0008-0000-0A00-00001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2" name="Shape 4">
          <a:extLst>
            <a:ext uri="{FF2B5EF4-FFF2-40B4-BE49-F238E27FC236}">
              <a16:creationId xmlns:a16="http://schemas.microsoft.com/office/drawing/2014/main" id="{00000000-0008-0000-0A00-00001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533" name="Shape 4">
          <a:extLst>
            <a:ext uri="{FF2B5EF4-FFF2-40B4-BE49-F238E27FC236}">
              <a16:creationId xmlns:a16="http://schemas.microsoft.com/office/drawing/2014/main" id="{00000000-0008-0000-0A00-00001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00000000-0008-0000-0A00-00001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00000000-0008-0000-0A00-00001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00000000-0008-0000-0A00-00001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00000000-0008-0000-0A00-00001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00000000-0008-0000-0A00-00001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00000000-0008-0000-0A00-00001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00000000-0008-0000-0A00-00001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00000000-0008-0000-0A00-00001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00000000-0008-0000-0A00-00001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0000000-0008-0000-0A00-00002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5" name="Shape 4">
          <a:extLst>
            <a:ext uri="{FF2B5EF4-FFF2-40B4-BE49-F238E27FC236}">
              <a16:creationId xmlns:a16="http://schemas.microsoft.com/office/drawing/2014/main" id="{00000000-0008-0000-0A00-00002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6" name="Shape 4">
          <a:extLst>
            <a:ext uri="{FF2B5EF4-FFF2-40B4-BE49-F238E27FC236}">
              <a16:creationId xmlns:a16="http://schemas.microsoft.com/office/drawing/2014/main" id="{00000000-0008-0000-0A00-00002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7" name="Shape 4">
          <a:extLst>
            <a:ext uri="{FF2B5EF4-FFF2-40B4-BE49-F238E27FC236}">
              <a16:creationId xmlns:a16="http://schemas.microsoft.com/office/drawing/2014/main" id="{00000000-0008-0000-0A00-00002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548" name="Shape 4">
          <a:extLst>
            <a:ext uri="{FF2B5EF4-FFF2-40B4-BE49-F238E27FC236}">
              <a16:creationId xmlns:a16="http://schemas.microsoft.com/office/drawing/2014/main" id="{00000000-0008-0000-0A00-00002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00000000-0008-0000-0A00-00002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00000000-0008-0000-0A00-00002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00000000-0008-0000-0A00-00002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00000000-0008-0000-0A00-00002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00000000-0008-0000-0A00-00002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00000000-0008-0000-0A00-00002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00000000-0008-0000-0A00-00002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0000000-0008-0000-0A00-00002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00000000-0008-0000-0A00-00002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0" name="Shape 4">
          <a:extLst>
            <a:ext uri="{FF2B5EF4-FFF2-40B4-BE49-F238E27FC236}">
              <a16:creationId xmlns:a16="http://schemas.microsoft.com/office/drawing/2014/main" id="{00000000-0008-0000-0A00-00003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1" name="Shape 4">
          <a:extLst>
            <a:ext uri="{FF2B5EF4-FFF2-40B4-BE49-F238E27FC236}">
              <a16:creationId xmlns:a16="http://schemas.microsoft.com/office/drawing/2014/main" id="{00000000-0008-0000-0A00-00003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2" name="Shape 4">
          <a:extLst>
            <a:ext uri="{FF2B5EF4-FFF2-40B4-BE49-F238E27FC236}">
              <a16:creationId xmlns:a16="http://schemas.microsoft.com/office/drawing/2014/main" id="{00000000-0008-0000-0A00-00003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563" name="Shape 4">
          <a:extLst>
            <a:ext uri="{FF2B5EF4-FFF2-40B4-BE49-F238E27FC236}">
              <a16:creationId xmlns:a16="http://schemas.microsoft.com/office/drawing/2014/main" id="{00000000-0008-0000-0A00-00003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00000000-0008-0000-0A00-00003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00000000-0008-0000-0A00-00003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00000000-0008-0000-0A00-00003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00000000-0008-0000-0A00-00003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00000000-0008-0000-0A00-00003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00000000-0008-0000-0A00-00003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00000000-0008-0000-0A00-00003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00000000-0008-0000-0A00-00003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00000000-0008-0000-0A00-00003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0000000-0008-0000-0A00-00003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5" name="Shape 4">
          <a:extLst>
            <a:ext uri="{FF2B5EF4-FFF2-40B4-BE49-F238E27FC236}">
              <a16:creationId xmlns:a16="http://schemas.microsoft.com/office/drawing/2014/main" id="{00000000-0008-0000-0A00-00003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6" name="Shape 4">
          <a:extLst>
            <a:ext uri="{FF2B5EF4-FFF2-40B4-BE49-F238E27FC236}">
              <a16:creationId xmlns:a16="http://schemas.microsoft.com/office/drawing/2014/main" id="{00000000-0008-0000-0A00-00004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7" name="Shape 4">
          <a:extLst>
            <a:ext uri="{FF2B5EF4-FFF2-40B4-BE49-F238E27FC236}">
              <a16:creationId xmlns:a16="http://schemas.microsoft.com/office/drawing/2014/main" id="{00000000-0008-0000-0A00-00004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578" name="Shape 4">
          <a:extLst>
            <a:ext uri="{FF2B5EF4-FFF2-40B4-BE49-F238E27FC236}">
              <a16:creationId xmlns:a16="http://schemas.microsoft.com/office/drawing/2014/main" id="{00000000-0008-0000-0A00-000042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00000000-0008-0000-0A00-00004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00000000-0008-0000-0A00-00004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00000000-0008-0000-0A00-00004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00000000-0008-0000-0A00-00004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00000000-0008-0000-0A00-00004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00000000-0008-0000-0A00-00004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00000000-0008-0000-0A00-00004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00000000-0008-0000-0A00-00004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0000000-0008-0000-0A00-00004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0" name="Shape 4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1" name="Shape 4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2" name="Shape 4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593" name="Shape 4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00000000-0008-0000-0A00-00005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00000000-0008-0000-0A00-00005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00000000-0008-0000-0A00-00005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00000000-0008-0000-0A00-00005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5" name="Shape 4">
          <a:extLst>
            <a:ext uri="{FF2B5EF4-FFF2-40B4-BE49-F238E27FC236}">
              <a16:creationId xmlns:a16="http://schemas.microsoft.com/office/drawing/2014/main" id="{00000000-0008-0000-0A00-00005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6" name="Shape 4">
          <a:extLst>
            <a:ext uri="{FF2B5EF4-FFF2-40B4-BE49-F238E27FC236}">
              <a16:creationId xmlns:a16="http://schemas.microsoft.com/office/drawing/2014/main" id="{00000000-0008-0000-0A00-00005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7" name="Shape 4">
          <a:extLst>
            <a:ext uri="{FF2B5EF4-FFF2-40B4-BE49-F238E27FC236}">
              <a16:creationId xmlns:a16="http://schemas.microsoft.com/office/drawing/2014/main" id="{00000000-0008-0000-0A00-00005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608" name="Shape 4">
          <a:extLst>
            <a:ext uri="{FF2B5EF4-FFF2-40B4-BE49-F238E27FC236}">
              <a16:creationId xmlns:a16="http://schemas.microsoft.com/office/drawing/2014/main" id="{00000000-0008-0000-0A00-000060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00000000-0008-0000-0A00-00006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00000000-0008-0000-0A00-00006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00000000-0008-0000-0A00-00006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00000000-0008-0000-0A00-00006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0000000-0008-0000-0A00-00006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00000000-0008-0000-0A00-00006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00000000-0008-0000-0A00-00006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00000000-0008-0000-0A00-00006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00000000-0008-0000-0A00-00006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00000000-0008-0000-0A00-00006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00000000-0008-0000-0A00-00006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0" name="Shape 4">
          <a:extLst>
            <a:ext uri="{FF2B5EF4-FFF2-40B4-BE49-F238E27FC236}">
              <a16:creationId xmlns:a16="http://schemas.microsoft.com/office/drawing/2014/main" id="{00000000-0008-0000-0A00-00006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1" name="Shape 4">
          <a:extLst>
            <a:ext uri="{FF2B5EF4-FFF2-40B4-BE49-F238E27FC236}">
              <a16:creationId xmlns:a16="http://schemas.microsoft.com/office/drawing/2014/main" id="{00000000-0008-0000-0A00-00006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2" name="Shape 4">
          <a:extLst>
            <a:ext uri="{FF2B5EF4-FFF2-40B4-BE49-F238E27FC236}">
              <a16:creationId xmlns:a16="http://schemas.microsoft.com/office/drawing/2014/main" id="{00000000-0008-0000-0A00-00006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623" name="Shape 4">
          <a:extLst>
            <a:ext uri="{FF2B5EF4-FFF2-40B4-BE49-F238E27FC236}">
              <a16:creationId xmlns:a16="http://schemas.microsoft.com/office/drawing/2014/main" id="{00000000-0008-0000-0A00-00006F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00000000-0008-0000-0A00-00007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00000000-0008-0000-0A00-00007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00000000-0008-0000-0A00-00007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00000000-0008-0000-0A00-00007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00000000-0008-0000-0A00-00007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00000000-0008-0000-0A00-00007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00000000-0008-0000-0A00-00007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00000000-0008-0000-0A00-00007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00000000-0008-0000-0A00-00007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00000000-0008-0000-0A00-00007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00000000-0008-0000-0A00-00007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5" name="Shape 4">
          <a:extLst>
            <a:ext uri="{FF2B5EF4-FFF2-40B4-BE49-F238E27FC236}">
              <a16:creationId xmlns:a16="http://schemas.microsoft.com/office/drawing/2014/main" id="{00000000-0008-0000-0A00-00007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6" name="Shape 4">
          <a:extLst>
            <a:ext uri="{FF2B5EF4-FFF2-40B4-BE49-F238E27FC236}">
              <a16:creationId xmlns:a16="http://schemas.microsoft.com/office/drawing/2014/main" id="{00000000-0008-0000-0A00-00007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7" name="Shape 4">
          <a:extLst>
            <a:ext uri="{FF2B5EF4-FFF2-40B4-BE49-F238E27FC236}">
              <a16:creationId xmlns:a16="http://schemas.microsoft.com/office/drawing/2014/main" id="{00000000-0008-0000-0A00-00007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638" name="Shape 4">
          <a:extLst>
            <a:ext uri="{FF2B5EF4-FFF2-40B4-BE49-F238E27FC236}">
              <a16:creationId xmlns:a16="http://schemas.microsoft.com/office/drawing/2014/main" id="{00000000-0008-0000-0A00-00007E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00000000-0008-0000-0A00-00007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00000000-0008-0000-0A00-00008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00000000-0008-0000-0A00-00008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00000000-0008-0000-0A00-00008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00000000-0008-0000-0A00-00008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00000000-0008-0000-0A00-00008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00000000-0008-0000-0A00-00008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00000000-0008-0000-0A00-00008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00000000-0008-0000-0A00-00008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00000000-0008-0000-0A00-00008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00000000-0008-0000-0A00-00008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0" name="Shape 4">
          <a:extLst>
            <a:ext uri="{FF2B5EF4-FFF2-40B4-BE49-F238E27FC236}">
              <a16:creationId xmlns:a16="http://schemas.microsoft.com/office/drawing/2014/main" id="{00000000-0008-0000-0A00-00008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1" name="Shape 4">
          <a:extLst>
            <a:ext uri="{FF2B5EF4-FFF2-40B4-BE49-F238E27FC236}">
              <a16:creationId xmlns:a16="http://schemas.microsoft.com/office/drawing/2014/main" id="{00000000-0008-0000-0A00-00008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2" name="Shape 4">
          <a:extLst>
            <a:ext uri="{FF2B5EF4-FFF2-40B4-BE49-F238E27FC236}">
              <a16:creationId xmlns:a16="http://schemas.microsoft.com/office/drawing/2014/main" id="{00000000-0008-0000-0A00-00008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653" name="Shape 4">
          <a:extLst>
            <a:ext uri="{FF2B5EF4-FFF2-40B4-BE49-F238E27FC236}">
              <a16:creationId xmlns:a16="http://schemas.microsoft.com/office/drawing/2014/main" id="{00000000-0008-0000-0A00-00008D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00000000-0008-0000-0A00-00008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00000000-0008-0000-0A00-00008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00000000-0008-0000-0A00-00009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00000000-0008-0000-0A00-00009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00000000-0008-0000-0A00-00009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0000000-0008-0000-0A00-00009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00000000-0008-0000-0A00-00009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00000000-0008-0000-0A00-00009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00000000-0008-0000-0A00-00009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00000000-0008-0000-0A00-00009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00000000-0008-0000-0A00-00009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5" name="Shape 4">
          <a:extLst>
            <a:ext uri="{FF2B5EF4-FFF2-40B4-BE49-F238E27FC236}">
              <a16:creationId xmlns:a16="http://schemas.microsoft.com/office/drawing/2014/main" id="{00000000-0008-0000-0A00-00009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6" name="Shape 4">
          <a:extLst>
            <a:ext uri="{FF2B5EF4-FFF2-40B4-BE49-F238E27FC236}">
              <a16:creationId xmlns:a16="http://schemas.microsoft.com/office/drawing/2014/main" id="{00000000-0008-0000-0A00-00009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7" name="Shape 4">
          <a:extLst>
            <a:ext uri="{FF2B5EF4-FFF2-40B4-BE49-F238E27FC236}">
              <a16:creationId xmlns:a16="http://schemas.microsoft.com/office/drawing/2014/main" id="{00000000-0008-0000-0A00-00009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668" name="Shape 4">
          <a:extLst>
            <a:ext uri="{FF2B5EF4-FFF2-40B4-BE49-F238E27FC236}">
              <a16:creationId xmlns:a16="http://schemas.microsoft.com/office/drawing/2014/main" id="{00000000-0008-0000-0A00-00009C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00000000-0008-0000-0A00-00009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00000000-0008-0000-0A00-00009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00000000-0008-0000-0A00-00009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00000000-0008-0000-0A00-0000A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00000000-0008-0000-0A00-0000A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00000000-0008-0000-0A00-0000A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00000000-0008-0000-0A00-0000A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00000000-0008-0000-0A00-0000A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00000000-0008-0000-0A00-0000A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00000000-0008-0000-0A00-0000A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00000000-0008-0000-0A00-0000A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0" name="Shape 4">
          <a:extLst>
            <a:ext uri="{FF2B5EF4-FFF2-40B4-BE49-F238E27FC236}">
              <a16:creationId xmlns:a16="http://schemas.microsoft.com/office/drawing/2014/main" id="{00000000-0008-0000-0A00-0000A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1" name="Shape 4">
          <a:extLst>
            <a:ext uri="{FF2B5EF4-FFF2-40B4-BE49-F238E27FC236}">
              <a16:creationId xmlns:a16="http://schemas.microsoft.com/office/drawing/2014/main" id="{00000000-0008-0000-0A00-0000A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2" name="Shape 4">
          <a:extLst>
            <a:ext uri="{FF2B5EF4-FFF2-40B4-BE49-F238E27FC236}">
              <a16:creationId xmlns:a16="http://schemas.microsoft.com/office/drawing/2014/main" id="{00000000-0008-0000-0A00-0000A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683" name="Shape 4">
          <a:extLst>
            <a:ext uri="{FF2B5EF4-FFF2-40B4-BE49-F238E27FC236}">
              <a16:creationId xmlns:a16="http://schemas.microsoft.com/office/drawing/2014/main" id="{00000000-0008-0000-0A00-0000AB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00000000-0008-0000-0A00-0000A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00000000-0008-0000-0A00-0000A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00000000-0008-0000-0A00-0000A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00000000-0008-0000-0A00-0000A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00000000-0008-0000-0A00-0000B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00000000-0008-0000-0A00-0000B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0000000-0008-0000-0A00-0000B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00000000-0008-0000-0A00-0000B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00000000-0008-0000-0A00-0000B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00000000-0008-0000-0A00-0000B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00000000-0008-0000-0A00-0000B6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5" name="Shape 4">
          <a:extLst>
            <a:ext uri="{FF2B5EF4-FFF2-40B4-BE49-F238E27FC236}">
              <a16:creationId xmlns:a16="http://schemas.microsoft.com/office/drawing/2014/main" id="{00000000-0008-0000-0A00-0000B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6" name="Shape 4">
          <a:extLst>
            <a:ext uri="{FF2B5EF4-FFF2-40B4-BE49-F238E27FC236}">
              <a16:creationId xmlns:a16="http://schemas.microsoft.com/office/drawing/2014/main" id="{00000000-0008-0000-0A00-0000B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7" name="Shape 4">
          <a:extLst>
            <a:ext uri="{FF2B5EF4-FFF2-40B4-BE49-F238E27FC236}">
              <a16:creationId xmlns:a16="http://schemas.microsoft.com/office/drawing/2014/main" id="{00000000-0008-0000-0A00-0000B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698" name="Shape 4">
          <a:extLst>
            <a:ext uri="{FF2B5EF4-FFF2-40B4-BE49-F238E27FC236}">
              <a16:creationId xmlns:a16="http://schemas.microsoft.com/office/drawing/2014/main" id="{00000000-0008-0000-0A00-0000BA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00000000-0008-0000-0A00-0000B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00000000-0008-0000-0A00-0000B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00000000-0008-0000-0A00-0000B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0000000-0008-0000-0A00-0000B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00000000-0008-0000-0A00-0000B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00000000-0008-0000-0A00-0000C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00000000-0008-0000-0A00-0000C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00000000-0008-0000-0A00-0000C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00000000-0008-0000-0A00-0000C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00000000-0008-0000-0A00-0000C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00000000-0008-0000-0A00-0000C5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0" name="Shape 4">
          <a:extLst>
            <a:ext uri="{FF2B5EF4-FFF2-40B4-BE49-F238E27FC236}">
              <a16:creationId xmlns:a16="http://schemas.microsoft.com/office/drawing/2014/main" id="{00000000-0008-0000-0A00-0000C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1" name="Shape 4">
          <a:extLst>
            <a:ext uri="{FF2B5EF4-FFF2-40B4-BE49-F238E27FC236}">
              <a16:creationId xmlns:a16="http://schemas.microsoft.com/office/drawing/2014/main" id="{00000000-0008-0000-0A00-0000C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2" name="Shape 4">
          <a:extLst>
            <a:ext uri="{FF2B5EF4-FFF2-40B4-BE49-F238E27FC236}">
              <a16:creationId xmlns:a16="http://schemas.microsoft.com/office/drawing/2014/main" id="{00000000-0008-0000-0A00-0000C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713" name="Shape 4">
          <a:extLst>
            <a:ext uri="{FF2B5EF4-FFF2-40B4-BE49-F238E27FC236}">
              <a16:creationId xmlns:a16="http://schemas.microsoft.com/office/drawing/2014/main" id="{00000000-0008-0000-0A00-0000C9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00000000-0008-0000-0A00-0000C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00000000-0008-0000-0A00-0000C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00000000-0008-0000-0A00-0000C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00000000-0008-0000-0A00-0000C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00000000-0008-0000-0A00-0000C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00000000-0008-0000-0A00-0000C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00000000-0008-0000-0A00-0000D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1" name="Shape 5">
          <a:extLst>
            <a:ext uri="{FF2B5EF4-FFF2-40B4-BE49-F238E27FC236}">
              <a16:creationId xmlns:a16="http://schemas.microsoft.com/office/drawing/2014/main" id="{00000000-0008-0000-0A00-0000D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2" name="Shape 5">
          <a:extLst>
            <a:ext uri="{FF2B5EF4-FFF2-40B4-BE49-F238E27FC236}">
              <a16:creationId xmlns:a16="http://schemas.microsoft.com/office/drawing/2014/main" id="{00000000-0008-0000-0A00-0000D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3" name="Shape 5">
          <a:extLst>
            <a:ext uri="{FF2B5EF4-FFF2-40B4-BE49-F238E27FC236}">
              <a16:creationId xmlns:a16="http://schemas.microsoft.com/office/drawing/2014/main" id="{00000000-0008-0000-0A00-0000D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4" name="Shape 5">
          <a:extLst>
            <a:ext uri="{FF2B5EF4-FFF2-40B4-BE49-F238E27FC236}">
              <a16:creationId xmlns:a16="http://schemas.microsoft.com/office/drawing/2014/main" id="{00000000-0008-0000-0A00-0000D4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5" name="Shape 6">
          <a:extLst>
            <a:ext uri="{FF2B5EF4-FFF2-40B4-BE49-F238E27FC236}">
              <a16:creationId xmlns:a16="http://schemas.microsoft.com/office/drawing/2014/main" id="{00000000-0008-0000-0A00-0000D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6" name="Shape 6">
          <a:extLst>
            <a:ext uri="{FF2B5EF4-FFF2-40B4-BE49-F238E27FC236}">
              <a16:creationId xmlns:a16="http://schemas.microsoft.com/office/drawing/2014/main" id="{00000000-0008-0000-0A00-0000D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7" name="Shape 6">
          <a:extLst>
            <a:ext uri="{FF2B5EF4-FFF2-40B4-BE49-F238E27FC236}">
              <a16:creationId xmlns:a16="http://schemas.microsoft.com/office/drawing/2014/main" id="{00000000-0008-0000-0A00-0000D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728" name="Shape 6">
          <a:extLst>
            <a:ext uri="{FF2B5EF4-FFF2-40B4-BE49-F238E27FC236}">
              <a16:creationId xmlns:a16="http://schemas.microsoft.com/office/drawing/2014/main" id="{00000000-0008-0000-0A00-0000D8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29" name="Shape 5">
          <a:extLst>
            <a:ext uri="{FF2B5EF4-FFF2-40B4-BE49-F238E27FC236}">
              <a16:creationId xmlns:a16="http://schemas.microsoft.com/office/drawing/2014/main" id="{00000000-0008-0000-0A00-0000D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0" name="Shape 5">
          <a:extLst>
            <a:ext uri="{FF2B5EF4-FFF2-40B4-BE49-F238E27FC236}">
              <a16:creationId xmlns:a16="http://schemas.microsoft.com/office/drawing/2014/main" id="{00000000-0008-0000-0A00-0000D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1" name="Shape 5">
          <a:extLst>
            <a:ext uri="{FF2B5EF4-FFF2-40B4-BE49-F238E27FC236}">
              <a16:creationId xmlns:a16="http://schemas.microsoft.com/office/drawing/2014/main" id="{00000000-0008-0000-0A00-0000D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2" name="Shape 5">
          <a:extLst>
            <a:ext uri="{FF2B5EF4-FFF2-40B4-BE49-F238E27FC236}">
              <a16:creationId xmlns:a16="http://schemas.microsoft.com/office/drawing/2014/main" id="{00000000-0008-0000-0A00-0000D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3" name="Shape 5">
          <a:extLst>
            <a:ext uri="{FF2B5EF4-FFF2-40B4-BE49-F238E27FC236}">
              <a16:creationId xmlns:a16="http://schemas.microsoft.com/office/drawing/2014/main" id="{00000000-0008-0000-0A00-0000D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4" name="Shape 5">
          <a:extLst>
            <a:ext uri="{FF2B5EF4-FFF2-40B4-BE49-F238E27FC236}">
              <a16:creationId xmlns:a16="http://schemas.microsoft.com/office/drawing/2014/main" id="{00000000-0008-0000-0A00-0000D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735" name="Shape 5">
          <a:extLst>
            <a:ext uri="{FF2B5EF4-FFF2-40B4-BE49-F238E27FC236}">
              <a16:creationId xmlns:a16="http://schemas.microsoft.com/office/drawing/2014/main" id="{00000000-0008-0000-0A00-0000D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6" name="Shape 5">
          <a:extLst>
            <a:ext uri="{FF2B5EF4-FFF2-40B4-BE49-F238E27FC236}">
              <a16:creationId xmlns:a16="http://schemas.microsoft.com/office/drawing/2014/main" id="{00000000-0008-0000-0A00-0000E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7" name="Shape 5">
          <a:extLst>
            <a:ext uri="{FF2B5EF4-FFF2-40B4-BE49-F238E27FC236}">
              <a16:creationId xmlns:a16="http://schemas.microsoft.com/office/drawing/2014/main" id="{00000000-0008-0000-0A00-0000E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8" name="Shape 5">
          <a:extLst>
            <a:ext uri="{FF2B5EF4-FFF2-40B4-BE49-F238E27FC236}">
              <a16:creationId xmlns:a16="http://schemas.microsoft.com/office/drawing/2014/main" id="{00000000-0008-0000-0A00-0000E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39" name="Shape 5">
          <a:extLst>
            <a:ext uri="{FF2B5EF4-FFF2-40B4-BE49-F238E27FC236}">
              <a16:creationId xmlns:a16="http://schemas.microsoft.com/office/drawing/2014/main" id="{00000000-0008-0000-0A00-0000E3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0" name="Shape 6">
          <a:extLst>
            <a:ext uri="{FF2B5EF4-FFF2-40B4-BE49-F238E27FC236}">
              <a16:creationId xmlns:a16="http://schemas.microsoft.com/office/drawing/2014/main" id="{00000000-0008-0000-0A00-0000E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1" name="Shape 6">
          <a:extLst>
            <a:ext uri="{FF2B5EF4-FFF2-40B4-BE49-F238E27FC236}">
              <a16:creationId xmlns:a16="http://schemas.microsoft.com/office/drawing/2014/main" id="{00000000-0008-0000-0A00-0000E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2" name="Shape 6">
          <a:extLst>
            <a:ext uri="{FF2B5EF4-FFF2-40B4-BE49-F238E27FC236}">
              <a16:creationId xmlns:a16="http://schemas.microsoft.com/office/drawing/2014/main" id="{00000000-0008-0000-0A00-0000E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743" name="Shape 6">
          <a:extLst>
            <a:ext uri="{FF2B5EF4-FFF2-40B4-BE49-F238E27FC236}">
              <a16:creationId xmlns:a16="http://schemas.microsoft.com/office/drawing/2014/main" id="{00000000-0008-0000-0A00-0000E7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4" name="Shape 5">
          <a:extLst>
            <a:ext uri="{FF2B5EF4-FFF2-40B4-BE49-F238E27FC236}">
              <a16:creationId xmlns:a16="http://schemas.microsoft.com/office/drawing/2014/main" id="{00000000-0008-0000-0A00-0000E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5" name="Shape 5">
          <a:extLst>
            <a:ext uri="{FF2B5EF4-FFF2-40B4-BE49-F238E27FC236}">
              <a16:creationId xmlns:a16="http://schemas.microsoft.com/office/drawing/2014/main" id="{00000000-0008-0000-0A00-0000E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6" name="Shape 5">
          <a:extLst>
            <a:ext uri="{FF2B5EF4-FFF2-40B4-BE49-F238E27FC236}">
              <a16:creationId xmlns:a16="http://schemas.microsoft.com/office/drawing/2014/main" id="{00000000-0008-0000-0A00-0000E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7" name="Shape 5">
          <a:extLst>
            <a:ext uri="{FF2B5EF4-FFF2-40B4-BE49-F238E27FC236}">
              <a16:creationId xmlns:a16="http://schemas.microsoft.com/office/drawing/2014/main" id="{00000000-0008-0000-0A00-0000E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8" name="Shape 5">
          <a:extLst>
            <a:ext uri="{FF2B5EF4-FFF2-40B4-BE49-F238E27FC236}">
              <a16:creationId xmlns:a16="http://schemas.microsoft.com/office/drawing/2014/main" id="{00000000-0008-0000-0A00-0000E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49" name="Shape 5">
          <a:extLst>
            <a:ext uri="{FF2B5EF4-FFF2-40B4-BE49-F238E27FC236}">
              <a16:creationId xmlns:a16="http://schemas.microsoft.com/office/drawing/2014/main" id="{00000000-0008-0000-0A00-0000E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750" name="Shape 5">
          <a:extLst>
            <a:ext uri="{FF2B5EF4-FFF2-40B4-BE49-F238E27FC236}">
              <a16:creationId xmlns:a16="http://schemas.microsoft.com/office/drawing/2014/main" id="{00000000-0008-0000-0A00-0000E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1" name="Shape 5">
          <a:extLst>
            <a:ext uri="{FF2B5EF4-FFF2-40B4-BE49-F238E27FC236}">
              <a16:creationId xmlns:a16="http://schemas.microsoft.com/office/drawing/2014/main" id="{00000000-0008-0000-0A00-0000E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2" name="Shape 5">
          <a:extLst>
            <a:ext uri="{FF2B5EF4-FFF2-40B4-BE49-F238E27FC236}">
              <a16:creationId xmlns:a16="http://schemas.microsoft.com/office/drawing/2014/main" id="{00000000-0008-0000-0A00-0000F0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3" name="Shape 5">
          <a:extLst>
            <a:ext uri="{FF2B5EF4-FFF2-40B4-BE49-F238E27FC236}">
              <a16:creationId xmlns:a16="http://schemas.microsoft.com/office/drawing/2014/main" id="{00000000-0008-0000-0A00-0000F1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4" name="Shape 5">
          <a:extLst>
            <a:ext uri="{FF2B5EF4-FFF2-40B4-BE49-F238E27FC236}">
              <a16:creationId xmlns:a16="http://schemas.microsoft.com/office/drawing/2014/main" id="{00000000-0008-0000-0A00-0000F2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5" name="Shape 6">
          <a:extLst>
            <a:ext uri="{FF2B5EF4-FFF2-40B4-BE49-F238E27FC236}">
              <a16:creationId xmlns:a16="http://schemas.microsoft.com/office/drawing/2014/main" id="{00000000-0008-0000-0A00-0000F3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6" name="Shape 6">
          <a:extLst>
            <a:ext uri="{FF2B5EF4-FFF2-40B4-BE49-F238E27FC236}">
              <a16:creationId xmlns:a16="http://schemas.microsoft.com/office/drawing/2014/main" id="{00000000-0008-0000-0A00-0000F4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7" name="Shape 6">
          <a:extLst>
            <a:ext uri="{FF2B5EF4-FFF2-40B4-BE49-F238E27FC236}">
              <a16:creationId xmlns:a16="http://schemas.microsoft.com/office/drawing/2014/main" id="{00000000-0008-0000-0A00-0000F5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758" name="Shape 6">
          <a:extLst>
            <a:ext uri="{FF2B5EF4-FFF2-40B4-BE49-F238E27FC236}">
              <a16:creationId xmlns:a16="http://schemas.microsoft.com/office/drawing/2014/main" id="{00000000-0008-0000-0A00-0000F602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59" name="Shape 5">
          <a:extLst>
            <a:ext uri="{FF2B5EF4-FFF2-40B4-BE49-F238E27FC236}">
              <a16:creationId xmlns:a16="http://schemas.microsoft.com/office/drawing/2014/main" id="{00000000-0008-0000-0A00-0000F7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0" name="Shape 5">
          <a:extLst>
            <a:ext uri="{FF2B5EF4-FFF2-40B4-BE49-F238E27FC236}">
              <a16:creationId xmlns:a16="http://schemas.microsoft.com/office/drawing/2014/main" id="{00000000-0008-0000-0A00-0000F8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1" name="Shape 5">
          <a:extLst>
            <a:ext uri="{FF2B5EF4-FFF2-40B4-BE49-F238E27FC236}">
              <a16:creationId xmlns:a16="http://schemas.microsoft.com/office/drawing/2014/main" id="{00000000-0008-0000-0A00-0000F9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2" name="Shape 5">
          <a:extLst>
            <a:ext uri="{FF2B5EF4-FFF2-40B4-BE49-F238E27FC236}">
              <a16:creationId xmlns:a16="http://schemas.microsoft.com/office/drawing/2014/main" id="{00000000-0008-0000-0A00-0000FA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3" name="Shape 5">
          <a:extLst>
            <a:ext uri="{FF2B5EF4-FFF2-40B4-BE49-F238E27FC236}">
              <a16:creationId xmlns:a16="http://schemas.microsoft.com/office/drawing/2014/main" id="{00000000-0008-0000-0A00-0000FB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4" name="Shape 5">
          <a:extLst>
            <a:ext uri="{FF2B5EF4-FFF2-40B4-BE49-F238E27FC236}">
              <a16:creationId xmlns:a16="http://schemas.microsoft.com/office/drawing/2014/main" id="{00000000-0008-0000-0A00-0000FC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765" name="Shape 5">
          <a:extLst>
            <a:ext uri="{FF2B5EF4-FFF2-40B4-BE49-F238E27FC236}">
              <a16:creationId xmlns:a16="http://schemas.microsoft.com/office/drawing/2014/main" id="{00000000-0008-0000-0A00-0000FD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6" name="Shape 5">
          <a:extLst>
            <a:ext uri="{FF2B5EF4-FFF2-40B4-BE49-F238E27FC236}">
              <a16:creationId xmlns:a16="http://schemas.microsoft.com/office/drawing/2014/main" id="{00000000-0008-0000-0A00-0000FE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7" name="Shape 5">
          <a:extLst>
            <a:ext uri="{FF2B5EF4-FFF2-40B4-BE49-F238E27FC236}">
              <a16:creationId xmlns:a16="http://schemas.microsoft.com/office/drawing/2014/main" id="{00000000-0008-0000-0A00-0000FF02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8" name="Shape 5">
          <a:extLst>
            <a:ext uri="{FF2B5EF4-FFF2-40B4-BE49-F238E27FC236}">
              <a16:creationId xmlns:a16="http://schemas.microsoft.com/office/drawing/2014/main" id="{00000000-0008-0000-0A00-00000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69" name="Shape 5">
          <a:extLst>
            <a:ext uri="{FF2B5EF4-FFF2-40B4-BE49-F238E27FC236}">
              <a16:creationId xmlns:a16="http://schemas.microsoft.com/office/drawing/2014/main" id="{00000000-0008-0000-0A00-00000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0" name="Shape 6">
          <a:extLst>
            <a:ext uri="{FF2B5EF4-FFF2-40B4-BE49-F238E27FC236}">
              <a16:creationId xmlns:a16="http://schemas.microsoft.com/office/drawing/2014/main" id="{00000000-0008-0000-0A00-00000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1" name="Shape 6">
          <a:extLst>
            <a:ext uri="{FF2B5EF4-FFF2-40B4-BE49-F238E27FC236}">
              <a16:creationId xmlns:a16="http://schemas.microsoft.com/office/drawing/2014/main" id="{00000000-0008-0000-0A00-00000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2" name="Shape 6">
          <a:extLst>
            <a:ext uri="{FF2B5EF4-FFF2-40B4-BE49-F238E27FC236}">
              <a16:creationId xmlns:a16="http://schemas.microsoft.com/office/drawing/2014/main" id="{00000000-0008-0000-0A00-00000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773" name="Shape 6">
          <a:extLst>
            <a:ext uri="{FF2B5EF4-FFF2-40B4-BE49-F238E27FC236}">
              <a16:creationId xmlns:a16="http://schemas.microsoft.com/office/drawing/2014/main" id="{00000000-0008-0000-0A00-00000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4" name="Shape 5">
          <a:extLst>
            <a:ext uri="{FF2B5EF4-FFF2-40B4-BE49-F238E27FC236}">
              <a16:creationId xmlns:a16="http://schemas.microsoft.com/office/drawing/2014/main" id="{00000000-0008-0000-0A00-00000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5" name="Shape 5">
          <a:extLst>
            <a:ext uri="{FF2B5EF4-FFF2-40B4-BE49-F238E27FC236}">
              <a16:creationId xmlns:a16="http://schemas.microsoft.com/office/drawing/2014/main" id="{00000000-0008-0000-0A00-00000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6" name="Shape 5">
          <a:extLst>
            <a:ext uri="{FF2B5EF4-FFF2-40B4-BE49-F238E27FC236}">
              <a16:creationId xmlns:a16="http://schemas.microsoft.com/office/drawing/2014/main" id="{00000000-0008-0000-0A00-00000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7" name="Shape 5">
          <a:extLst>
            <a:ext uri="{FF2B5EF4-FFF2-40B4-BE49-F238E27FC236}">
              <a16:creationId xmlns:a16="http://schemas.microsoft.com/office/drawing/2014/main" id="{00000000-0008-0000-0A00-00000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8" name="Shape 5">
          <a:extLst>
            <a:ext uri="{FF2B5EF4-FFF2-40B4-BE49-F238E27FC236}">
              <a16:creationId xmlns:a16="http://schemas.microsoft.com/office/drawing/2014/main" id="{00000000-0008-0000-0A00-00000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79" name="Shape 5">
          <a:extLst>
            <a:ext uri="{FF2B5EF4-FFF2-40B4-BE49-F238E27FC236}">
              <a16:creationId xmlns:a16="http://schemas.microsoft.com/office/drawing/2014/main" id="{00000000-0008-0000-0A00-00000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780" name="Shape 5">
          <a:extLst>
            <a:ext uri="{FF2B5EF4-FFF2-40B4-BE49-F238E27FC236}">
              <a16:creationId xmlns:a16="http://schemas.microsoft.com/office/drawing/2014/main" id="{00000000-0008-0000-0A00-00000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1" name="Shape 5">
          <a:extLst>
            <a:ext uri="{FF2B5EF4-FFF2-40B4-BE49-F238E27FC236}">
              <a16:creationId xmlns:a16="http://schemas.microsoft.com/office/drawing/2014/main" id="{00000000-0008-0000-0A00-00000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2" name="Shape 5">
          <a:extLst>
            <a:ext uri="{FF2B5EF4-FFF2-40B4-BE49-F238E27FC236}">
              <a16:creationId xmlns:a16="http://schemas.microsoft.com/office/drawing/2014/main" id="{00000000-0008-0000-0A00-00000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3" name="Shape 5">
          <a:extLst>
            <a:ext uri="{FF2B5EF4-FFF2-40B4-BE49-F238E27FC236}">
              <a16:creationId xmlns:a16="http://schemas.microsoft.com/office/drawing/2014/main" id="{00000000-0008-0000-0A00-00000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4" name="Shape 5">
          <a:extLst>
            <a:ext uri="{FF2B5EF4-FFF2-40B4-BE49-F238E27FC236}">
              <a16:creationId xmlns:a16="http://schemas.microsoft.com/office/drawing/2014/main" id="{00000000-0008-0000-0A00-00001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5" name="Shape 6">
          <a:extLst>
            <a:ext uri="{FF2B5EF4-FFF2-40B4-BE49-F238E27FC236}">
              <a16:creationId xmlns:a16="http://schemas.microsoft.com/office/drawing/2014/main" id="{00000000-0008-0000-0A00-00001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6" name="Shape 6">
          <a:extLst>
            <a:ext uri="{FF2B5EF4-FFF2-40B4-BE49-F238E27FC236}">
              <a16:creationId xmlns:a16="http://schemas.microsoft.com/office/drawing/2014/main" id="{00000000-0008-0000-0A00-00001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7" name="Shape 6">
          <a:extLst>
            <a:ext uri="{FF2B5EF4-FFF2-40B4-BE49-F238E27FC236}">
              <a16:creationId xmlns:a16="http://schemas.microsoft.com/office/drawing/2014/main" id="{00000000-0008-0000-0A00-00001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788" name="Shape 6">
          <a:extLst>
            <a:ext uri="{FF2B5EF4-FFF2-40B4-BE49-F238E27FC236}">
              <a16:creationId xmlns:a16="http://schemas.microsoft.com/office/drawing/2014/main" id="{00000000-0008-0000-0A00-00001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89" name="Shape 5">
          <a:extLst>
            <a:ext uri="{FF2B5EF4-FFF2-40B4-BE49-F238E27FC236}">
              <a16:creationId xmlns:a16="http://schemas.microsoft.com/office/drawing/2014/main" id="{00000000-0008-0000-0A00-00001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0" name="Shape 5">
          <a:extLst>
            <a:ext uri="{FF2B5EF4-FFF2-40B4-BE49-F238E27FC236}">
              <a16:creationId xmlns:a16="http://schemas.microsoft.com/office/drawing/2014/main" id="{00000000-0008-0000-0A00-00001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1" name="Shape 5">
          <a:extLst>
            <a:ext uri="{FF2B5EF4-FFF2-40B4-BE49-F238E27FC236}">
              <a16:creationId xmlns:a16="http://schemas.microsoft.com/office/drawing/2014/main" id="{00000000-0008-0000-0A00-00001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2" name="Shape 5">
          <a:extLst>
            <a:ext uri="{FF2B5EF4-FFF2-40B4-BE49-F238E27FC236}">
              <a16:creationId xmlns:a16="http://schemas.microsoft.com/office/drawing/2014/main" id="{00000000-0008-0000-0A00-00001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3" name="Shape 5">
          <a:extLst>
            <a:ext uri="{FF2B5EF4-FFF2-40B4-BE49-F238E27FC236}">
              <a16:creationId xmlns:a16="http://schemas.microsoft.com/office/drawing/2014/main" id="{00000000-0008-0000-0A00-00001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4" name="Shape 5">
          <a:extLst>
            <a:ext uri="{FF2B5EF4-FFF2-40B4-BE49-F238E27FC236}">
              <a16:creationId xmlns:a16="http://schemas.microsoft.com/office/drawing/2014/main" id="{00000000-0008-0000-0A00-00001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795" name="Shape 5">
          <a:extLst>
            <a:ext uri="{FF2B5EF4-FFF2-40B4-BE49-F238E27FC236}">
              <a16:creationId xmlns:a16="http://schemas.microsoft.com/office/drawing/2014/main" id="{00000000-0008-0000-0A00-00001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6" name="Shape 5">
          <a:extLst>
            <a:ext uri="{FF2B5EF4-FFF2-40B4-BE49-F238E27FC236}">
              <a16:creationId xmlns:a16="http://schemas.microsoft.com/office/drawing/2014/main" id="{00000000-0008-0000-0A00-00001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7" name="Shape 5">
          <a:extLst>
            <a:ext uri="{FF2B5EF4-FFF2-40B4-BE49-F238E27FC236}">
              <a16:creationId xmlns:a16="http://schemas.microsoft.com/office/drawing/2014/main" id="{00000000-0008-0000-0A00-00001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8" name="Shape 5">
          <a:extLst>
            <a:ext uri="{FF2B5EF4-FFF2-40B4-BE49-F238E27FC236}">
              <a16:creationId xmlns:a16="http://schemas.microsoft.com/office/drawing/2014/main" id="{00000000-0008-0000-0A00-00001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799" name="Shape 5">
          <a:extLst>
            <a:ext uri="{FF2B5EF4-FFF2-40B4-BE49-F238E27FC236}">
              <a16:creationId xmlns:a16="http://schemas.microsoft.com/office/drawing/2014/main" id="{00000000-0008-0000-0A00-00001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0" name="Shape 6">
          <a:extLst>
            <a:ext uri="{FF2B5EF4-FFF2-40B4-BE49-F238E27FC236}">
              <a16:creationId xmlns:a16="http://schemas.microsoft.com/office/drawing/2014/main" id="{00000000-0008-0000-0A00-00002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1" name="Shape 6">
          <a:extLst>
            <a:ext uri="{FF2B5EF4-FFF2-40B4-BE49-F238E27FC236}">
              <a16:creationId xmlns:a16="http://schemas.microsoft.com/office/drawing/2014/main" id="{00000000-0008-0000-0A00-00002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2" name="Shape 6">
          <a:extLst>
            <a:ext uri="{FF2B5EF4-FFF2-40B4-BE49-F238E27FC236}">
              <a16:creationId xmlns:a16="http://schemas.microsoft.com/office/drawing/2014/main" id="{00000000-0008-0000-0A00-00002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803" name="Shape 6">
          <a:extLst>
            <a:ext uri="{FF2B5EF4-FFF2-40B4-BE49-F238E27FC236}">
              <a16:creationId xmlns:a16="http://schemas.microsoft.com/office/drawing/2014/main" id="{00000000-0008-0000-0A00-00002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4" name="Shape 5">
          <a:extLst>
            <a:ext uri="{FF2B5EF4-FFF2-40B4-BE49-F238E27FC236}">
              <a16:creationId xmlns:a16="http://schemas.microsoft.com/office/drawing/2014/main" id="{00000000-0008-0000-0A00-00002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5" name="Shape 5">
          <a:extLst>
            <a:ext uri="{FF2B5EF4-FFF2-40B4-BE49-F238E27FC236}">
              <a16:creationId xmlns:a16="http://schemas.microsoft.com/office/drawing/2014/main" id="{00000000-0008-0000-0A00-00002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6" name="Shape 5">
          <a:extLst>
            <a:ext uri="{FF2B5EF4-FFF2-40B4-BE49-F238E27FC236}">
              <a16:creationId xmlns:a16="http://schemas.microsoft.com/office/drawing/2014/main" id="{00000000-0008-0000-0A00-00002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7" name="Shape 5">
          <a:extLst>
            <a:ext uri="{FF2B5EF4-FFF2-40B4-BE49-F238E27FC236}">
              <a16:creationId xmlns:a16="http://schemas.microsoft.com/office/drawing/2014/main" id="{00000000-0008-0000-0A00-00002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8" name="Shape 5">
          <a:extLst>
            <a:ext uri="{FF2B5EF4-FFF2-40B4-BE49-F238E27FC236}">
              <a16:creationId xmlns:a16="http://schemas.microsoft.com/office/drawing/2014/main" id="{00000000-0008-0000-0A00-00002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09" name="Shape 5">
          <a:extLst>
            <a:ext uri="{FF2B5EF4-FFF2-40B4-BE49-F238E27FC236}">
              <a16:creationId xmlns:a16="http://schemas.microsoft.com/office/drawing/2014/main" id="{00000000-0008-0000-0A00-00002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810" name="Shape 5">
          <a:extLst>
            <a:ext uri="{FF2B5EF4-FFF2-40B4-BE49-F238E27FC236}">
              <a16:creationId xmlns:a16="http://schemas.microsoft.com/office/drawing/2014/main" id="{00000000-0008-0000-0A00-00002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1" name="Shape 5">
          <a:extLst>
            <a:ext uri="{FF2B5EF4-FFF2-40B4-BE49-F238E27FC236}">
              <a16:creationId xmlns:a16="http://schemas.microsoft.com/office/drawing/2014/main" id="{00000000-0008-0000-0A00-00002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2" name="Shape 5">
          <a:extLst>
            <a:ext uri="{FF2B5EF4-FFF2-40B4-BE49-F238E27FC236}">
              <a16:creationId xmlns:a16="http://schemas.microsoft.com/office/drawing/2014/main" id="{00000000-0008-0000-0A00-00002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3" name="Shape 5">
          <a:extLst>
            <a:ext uri="{FF2B5EF4-FFF2-40B4-BE49-F238E27FC236}">
              <a16:creationId xmlns:a16="http://schemas.microsoft.com/office/drawing/2014/main" id="{00000000-0008-0000-0A00-00002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4" name="Shape 5">
          <a:extLst>
            <a:ext uri="{FF2B5EF4-FFF2-40B4-BE49-F238E27FC236}">
              <a16:creationId xmlns:a16="http://schemas.microsoft.com/office/drawing/2014/main" id="{00000000-0008-0000-0A00-00002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5" name="Shape 6">
          <a:extLst>
            <a:ext uri="{FF2B5EF4-FFF2-40B4-BE49-F238E27FC236}">
              <a16:creationId xmlns:a16="http://schemas.microsoft.com/office/drawing/2014/main" id="{00000000-0008-0000-0A00-00002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6" name="Shape 6">
          <a:extLst>
            <a:ext uri="{FF2B5EF4-FFF2-40B4-BE49-F238E27FC236}">
              <a16:creationId xmlns:a16="http://schemas.microsoft.com/office/drawing/2014/main" id="{00000000-0008-0000-0A00-00003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7" name="Shape 6">
          <a:extLst>
            <a:ext uri="{FF2B5EF4-FFF2-40B4-BE49-F238E27FC236}">
              <a16:creationId xmlns:a16="http://schemas.microsoft.com/office/drawing/2014/main" id="{00000000-0008-0000-0A00-00003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818" name="Shape 6">
          <a:extLst>
            <a:ext uri="{FF2B5EF4-FFF2-40B4-BE49-F238E27FC236}">
              <a16:creationId xmlns:a16="http://schemas.microsoft.com/office/drawing/2014/main" id="{00000000-0008-0000-0A00-00003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19" name="Shape 5">
          <a:extLst>
            <a:ext uri="{FF2B5EF4-FFF2-40B4-BE49-F238E27FC236}">
              <a16:creationId xmlns:a16="http://schemas.microsoft.com/office/drawing/2014/main" id="{00000000-0008-0000-0A00-00003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0" name="Shape 5">
          <a:extLst>
            <a:ext uri="{FF2B5EF4-FFF2-40B4-BE49-F238E27FC236}">
              <a16:creationId xmlns:a16="http://schemas.microsoft.com/office/drawing/2014/main" id="{00000000-0008-0000-0A00-00003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1" name="Shape 5">
          <a:extLst>
            <a:ext uri="{FF2B5EF4-FFF2-40B4-BE49-F238E27FC236}">
              <a16:creationId xmlns:a16="http://schemas.microsoft.com/office/drawing/2014/main" id="{00000000-0008-0000-0A00-00003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2" name="Shape 5">
          <a:extLst>
            <a:ext uri="{FF2B5EF4-FFF2-40B4-BE49-F238E27FC236}">
              <a16:creationId xmlns:a16="http://schemas.microsoft.com/office/drawing/2014/main" id="{00000000-0008-0000-0A00-00003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3" name="Shape 5">
          <a:extLst>
            <a:ext uri="{FF2B5EF4-FFF2-40B4-BE49-F238E27FC236}">
              <a16:creationId xmlns:a16="http://schemas.microsoft.com/office/drawing/2014/main" id="{00000000-0008-0000-0A00-00003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4" name="Shape 5">
          <a:extLst>
            <a:ext uri="{FF2B5EF4-FFF2-40B4-BE49-F238E27FC236}">
              <a16:creationId xmlns:a16="http://schemas.microsoft.com/office/drawing/2014/main" id="{00000000-0008-0000-0A00-00003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825" name="Shape 5">
          <a:extLst>
            <a:ext uri="{FF2B5EF4-FFF2-40B4-BE49-F238E27FC236}">
              <a16:creationId xmlns:a16="http://schemas.microsoft.com/office/drawing/2014/main" id="{00000000-0008-0000-0A00-00003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6" name="Shape 5">
          <a:extLst>
            <a:ext uri="{FF2B5EF4-FFF2-40B4-BE49-F238E27FC236}">
              <a16:creationId xmlns:a16="http://schemas.microsoft.com/office/drawing/2014/main" id="{00000000-0008-0000-0A00-00003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7" name="Shape 5">
          <a:extLst>
            <a:ext uri="{FF2B5EF4-FFF2-40B4-BE49-F238E27FC236}">
              <a16:creationId xmlns:a16="http://schemas.microsoft.com/office/drawing/2014/main" id="{00000000-0008-0000-0A00-00003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8" name="Shape 5">
          <a:extLst>
            <a:ext uri="{FF2B5EF4-FFF2-40B4-BE49-F238E27FC236}">
              <a16:creationId xmlns:a16="http://schemas.microsoft.com/office/drawing/2014/main" id="{00000000-0008-0000-0A00-00003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29" name="Shape 5">
          <a:extLst>
            <a:ext uri="{FF2B5EF4-FFF2-40B4-BE49-F238E27FC236}">
              <a16:creationId xmlns:a16="http://schemas.microsoft.com/office/drawing/2014/main" id="{00000000-0008-0000-0A00-00003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0" name="Shape 6">
          <a:extLst>
            <a:ext uri="{FF2B5EF4-FFF2-40B4-BE49-F238E27FC236}">
              <a16:creationId xmlns:a16="http://schemas.microsoft.com/office/drawing/2014/main" id="{00000000-0008-0000-0A00-00003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1" name="Shape 6">
          <a:extLst>
            <a:ext uri="{FF2B5EF4-FFF2-40B4-BE49-F238E27FC236}">
              <a16:creationId xmlns:a16="http://schemas.microsoft.com/office/drawing/2014/main" id="{00000000-0008-0000-0A00-00003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2" name="Shape 6">
          <a:extLst>
            <a:ext uri="{FF2B5EF4-FFF2-40B4-BE49-F238E27FC236}">
              <a16:creationId xmlns:a16="http://schemas.microsoft.com/office/drawing/2014/main" id="{00000000-0008-0000-0A00-00004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833" name="Shape 6">
          <a:extLst>
            <a:ext uri="{FF2B5EF4-FFF2-40B4-BE49-F238E27FC236}">
              <a16:creationId xmlns:a16="http://schemas.microsoft.com/office/drawing/2014/main" id="{00000000-0008-0000-0A00-000041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4" name="Shape 5">
          <a:extLst>
            <a:ext uri="{FF2B5EF4-FFF2-40B4-BE49-F238E27FC236}">
              <a16:creationId xmlns:a16="http://schemas.microsoft.com/office/drawing/2014/main" id="{00000000-0008-0000-0A00-00004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5" name="Shape 5">
          <a:extLst>
            <a:ext uri="{FF2B5EF4-FFF2-40B4-BE49-F238E27FC236}">
              <a16:creationId xmlns:a16="http://schemas.microsoft.com/office/drawing/2014/main" id="{00000000-0008-0000-0A00-00004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6" name="Shape 5">
          <a:extLst>
            <a:ext uri="{FF2B5EF4-FFF2-40B4-BE49-F238E27FC236}">
              <a16:creationId xmlns:a16="http://schemas.microsoft.com/office/drawing/2014/main" id="{00000000-0008-0000-0A00-00004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7" name="Shape 5">
          <a:extLst>
            <a:ext uri="{FF2B5EF4-FFF2-40B4-BE49-F238E27FC236}">
              <a16:creationId xmlns:a16="http://schemas.microsoft.com/office/drawing/2014/main" id="{00000000-0008-0000-0A00-00004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8" name="Shape 5">
          <a:extLst>
            <a:ext uri="{FF2B5EF4-FFF2-40B4-BE49-F238E27FC236}">
              <a16:creationId xmlns:a16="http://schemas.microsoft.com/office/drawing/2014/main" id="{00000000-0008-0000-0A00-00004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39" name="Shape 5">
          <a:extLst>
            <a:ext uri="{FF2B5EF4-FFF2-40B4-BE49-F238E27FC236}">
              <a16:creationId xmlns:a16="http://schemas.microsoft.com/office/drawing/2014/main" id="{00000000-0008-0000-0A00-00004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840" name="Shape 5">
          <a:extLst>
            <a:ext uri="{FF2B5EF4-FFF2-40B4-BE49-F238E27FC236}">
              <a16:creationId xmlns:a16="http://schemas.microsoft.com/office/drawing/2014/main" id="{00000000-0008-0000-0A00-00004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1" name="Shape 5">
          <a:extLst>
            <a:ext uri="{FF2B5EF4-FFF2-40B4-BE49-F238E27FC236}">
              <a16:creationId xmlns:a16="http://schemas.microsoft.com/office/drawing/2014/main" id="{00000000-0008-0000-0A00-00004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2" name="Shape 5">
          <a:extLst>
            <a:ext uri="{FF2B5EF4-FFF2-40B4-BE49-F238E27FC236}">
              <a16:creationId xmlns:a16="http://schemas.microsoft.com/office/drawing/2014/main" id="{00000000-0008-0000-0A00-00004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3" name="Shape 5">
          <a:extLst>
            <a:ext uri="{FF2B5EF4-FFF2-40B4-BE49-F238E27FC236}">
              <a16:creationId xmlns:a16="http://schemas.microsoft.com/office/drawing/2014/main" id="{00000000-0008-0000-0A00-00004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4" name="Shape 5">
          <a:extLst>
            <a:ext uri="{FF2B5EF4-FFF2-40B4-BE49-F238E27FC236}">
              <a16:creationId xmlns:a16="http://schemas.microsoft.com/office/drawing/2014/main" id="{00000000-0008-0000-0A00-00004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5" name="Shape 6">
          <a:extLst>
            <a:ext uri="{FF2B5EF4-FFF2-40B4-BE49-F238E27FC236}">
              <a16:creationId xmlns:a16="http://schemas.microsoft.com/office/drawing/2014/main" id="{00000000-0008-0000-0A00-00004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6" name="Shape 6">
          <a:extLst>
            <a:ext uri="{FF2B5EF4-FFF2-40B4-BE49-F238E27FC236}">
              <a16:creationId xmlns:a16="http://schemas.microsoft.com/office/drawing/2014/main" id="{00000000-0008-0000-0A00-00004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7" name="Shape 6">
          <a:extLst>
            <a:ext uri="{FF2B5EF4-FFF2-40B4-BE49-F238E27FC236}">
              <a16:creationId xmlns:a16="http://schemas.microsoft.com/office/drawing/2014/main" id="{00000000-0008-0000-0A00-00004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848" name="Shape 6">
          <a:extLst>
            <a:ext uri="{FF2B5EF4-FFF2-40B4-BE49-F238E27FC236}">
              <a16:creationId xmlns:a16="http://schemas.microsoft.com/office/drawing/2014/main" id="{00000000-0008-0000-0A00-000050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49" name="Shape 5">
          <a:extLst>
            <a:ext uri="{FF2B5EF4-FFF2-40B4-BE49-F238E27FC236}">
              <a16:creationId xmlns:a16="http://schemas.microsoft.com/office/drawing/2014/main" id="{00000000-0008-0000-0A00-00005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0" name="Shape 5">
          <a:extLst>
            <a:ext uri="{FF2B5EF4-FFF2-40B4-BE49-F238E27FC236}">
              <a16:creationId xmlns:a16="http://schemas.microsoft.com/office/drawing/2014/main" id="{00000000-0008-0000-0A00-00005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1" name="Shape 5">
          <a:extLst>
            <a:ext uri="{FF2B5EF4-FFF2-40B4-BE49-F238E27FC236}">
              <a16:creationId xmlns:a16="http://schemas.microsoft.com/office/drawing/2014/main" id="{00000000-0008-0000-0A00-00005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2" name="Shape 5">
          <a:extLst>
            <a:ext uri="{FF2B5EF4-FFF2-40B4-BE49-F238E27FC236}">
              <a16:creationId xmlns:a16="http://schemas.microsoft.com/office/drawing/2014/main" id="{00000000-0008-0000-0A00-00005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3" name="Shape 5">
          <a:extLst>
            <a:ext uri="{FF2B5EF4-FFF2-40B4-BE49-F238E27FC236}">
              <a16:creationId xmlns:a16="http://schemas.microsoft.com/office/drawing/2014/main" id="{00000000-0008-0000-0A00-00005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4" name="Shape 5">
          <a:extLst>
            <a:ext uri="{FF2B5EF4-FFF2-40B4-BE49-F238E27FC236}">
              <a16:creationId xmlns:a16="http://schemas.microsoft.com/office/drawing/2014/main" id="{00000000-0008-0000-0A00-00005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855" name="Shape 5">
          <a:extLst>
            <a:ext uri="{FF2B5EF4-FFF2-40B4-BE49-F238E27FC236}">
              <a16:creationId xmlns:a16="http://schemas.microsoft.com/office/drawing/2014/main" id="{00000000-0008-0000-0A00-00005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6" name="Shape 5">
          <a:extLst>
            <a:ext uri="{FF2B5EF4-FFF2-40B4-BE49-F238E27FC236}">
              <a16:creationId xmlns:a16="http://schemas.microsoft.com/office/drawing/2014/main" id="{00000000-0008-0000-0A00-00005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7" name="Shape 5">
          <a:extLst>
            <a:ext uri="{FF2B5EF4-FFF2-40B4-BE49-F238E27FC236}">
              <a16:creationId xmlns:a16="http://schemas.microsoft.com/office/drawing/2014/main" id="{00000000-0008-0000-0A00-00005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8" name="Shape 5">
          <a:extLst>
            <a:ext uri="{FF2B5EF4-FFF2-40B4-BE49-F238E27FC236}">
              <a16:creationId xmlns:a16="http://schemas.microsoft.com/office/drawing/2014/main" id="{00000000-0008-0000-0A00-00005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59" name="Shape 5">
          <a:extLst>
            <a:ext uri="{FF2B5EF4-FFF2-40B4-BE49-F238E27FC236}">
              <a16:creationId xmlns:a16="http://schemas.microsoft.com/office/drawing/2014/main" id="{00000000-0008-0000-0A00-00005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0" name="Shape 6">
          <a:extLst>
            <a:ext uri="{FF2B5EF4-FFF2-40B4-BE49-F238E27FC236}">
              <a16:creationId xmlns:a16="http://schemas.microsoft.com/office/drawing/2014/main" id="{00000000-0008-0000-0A00-00005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1" name="Shape 6">
          <a:extLst>
            <a:ext uri="{FF2B5EF4-FFF2-40B4-BE49-F238E27FC236}">
              <a16:creationId xmlns:a16="http://schemas.microsoft.com/office/drawing/2014/main" id="{00000000-0008-0000-0A00-00005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2" name="Shape 6">
          <a:extLst>
            <a:ext uri="{FF2B5EF4-FFF2-40B4-BE49-F238E27FC236}">
              <a16:creationId xmlns:a16="http://schemas.microsoft.com/office/drawing/2014/main" id="{00000000-0008-0000-0A00-00005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863" name="Shape 6">
          <a:extLst>
            <a:ext uri="{FF2B5EF4-FFF2-40B4-BE49-F238E27FC236}">
              <a16:creationId xmlns:a16="http://schemas.microsoft.com/office/drawing/2014/main" id="{00000000-0008-0000-0A00-00005F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4" name="Shape 5">
          <a:extLst>
            <a:ext uri="{FF2B5EF4-FFF2-40B4-BE49-F238E27FC236}">
              <a16:creationId xmlns:a16="http://schemas.microsoft.com/office/drawing/2014/main" id="{00000000-0008-0000-0A00-00006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5" name="Shape 5">
          <a:extLst>
            <a:ext uri="{FF2B5EF4-FFF2-40B4-BE49-F238E27FC236}">
              <a16:creationId xmlns:a16="http://schemas.microsoft.com/office/drawing/2014/main" id="{00000000-0008-0000-0A00-00006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6" name="Shape 5">
          <a:extLst>
            <a:ext uri="{FF2B5EF4-FFF2-40B4-BE49-F238E27FC236}">
              <a16:creationId xmlns:a16="http://schemas.microsoft.com/office/drawing/2014/main" id="{00000000-0008-0000-0A00-00006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7" name="Shape 5">
          <a:extLst>
            <a:ext uri="{FF2B5EF4-FFF2-40B4-BE49-F238E27FC236}">
              <a16:creationId xmlns:a16="http://schemas.microsoft.com/office/drawing/2014/main" id="{00000000-0008-0000-0A00-00006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8" name="Shape 5">
          <a:extLst>
            <a:ext uri="{FF2B5EF4-FFF2-40B4-BE49-F238E27FC236}">
              <a16:creationId xmlns:a16="http://schemas.microsoft.com/office/drawing/2014/main" id="{00000000-0008-0000-0A00-00006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69" name="Shape 5">
          <a:extLst>
            <a:ext uri="{FF2B5EF4-FFF2-40B4-BE49-F238E27FC236}">
              <a16:creationId xmlns:a16="http://schemas.microsoft.com/office/drawing/2014/main" id="{00000000-0008-0000-0A00-00006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870" name="Shape 5">
          <a:extLst>
            <a:ext uri="{FF2B5EF4-FFF2-40B4-BE49-F238E27FC236}">
              <a16:creationId xmlns:a16="http://schemas.microsoft.com/office/drawing/2014/main" id="{00000000-0008-0000-0A00-00006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1" name="Shape 5">
          <a:extLst>
            <a:ext uri="{FF2B5EF4-FFF2-40B4-BE49-F238E27FC236}">
              <a16:creationId xmlns:a16="http://schemas.microsoft.com/office/drawing/2014/main" id="{00000000-0008-0000-0A00-00006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2" name="Shape 5">
          <a:extLst>
            <a:ext uri="{FF2B5EF4-FFF2-40B4-BE49-F238E27FC236}">
              <a16:creationId xmlns:a16="http://schemas.microsoft.com/office/drawing/2014/main" id="{00000000-0008-0000-0A00-00006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3" name="Shape 5">
          <a:extLst>
            <a:ext uri="{FF2B5EF4-FFF2-40B4-BE49-F238E27FC236}">
              <a16:creationId xmlns:a16="http://schemas.microsoft.com/office/drawing/2014/main" id="{00000000-0008-0000-0A00-00006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4" name="Shape 5">
          <a:extLst>
            <a:ext uri="{FF2B5EF4-FFF2-40B4-BE49-F238E27FC236}">
              <a16:creationId xmlns:a16="http://schemas.microsoft.com/office/drawing/2014/main" id="{00000000-0008-0000-0A00-00006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5" name="Shape 6">
          <a:extLst>
            <a:ext uri="{FF2B5EF4-FFF2-40B4-BE49-F238E27FC236}">
              <a16:creationId xmlns:a16="http://schemas.microsoft.com/office/drawing/2014/main" id="{00000000-0008-0000-0A00-00006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6" name="Shape 6">
          <a:extLst>
            <a:ext uri="{FF2B5EF4-FFF2-40B4-BE49-F238E27FC236}">
              <a16:creationId xmlns:a16="http://schemas.microsoft.com/office/drawing/2014/main" id="{00000000-0008-0000-0A00-00006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7" name="Shape 6">
          <a:extLst>
            <a:ext uri="{FF2B5EF4-FFF2-40B4-BE49-F238E27FC236}">
              <a16:creationId xmlns:a16="http://schemas.microsoft.com/office/drawing/2014/main" id="{00000000-0008-0000-0A00-00006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878" name="Shape 6">
          <a:extLst>
            <a:ext uri="{FF2B5EF4-FFF2-40B4-BE49-F238E27FC236}">
              <a16:creationId xmlns:a16="http://schemas.microsoft.com/office/drawing/2014/main" id="{00000000-0008-0000-0A00-00006E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79" name="Shape 5">
          <a:extLst>
            <a:ext uri="{FF2B5EF4-FFF2-40B4-BE49-F238E27FC236}">
              <a16:creationId xmlns:a16="http://schemas.microsoft.com/office/drawing/2014/main" id="{00000000-0008-0000-0A00-00006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0" name="Shape 5">
          <a:extLst>
            <a:ext uri="{FF2B5EF4-FFF2-40B4-BE49-F238E27FC236}">
              <a16:creationId xmlns:a16="http://schemas.microsoft.com/office/drawing/2014/main" id="{00000000-0008-0000-0A00-00007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1" name="Shape 5">
          <a:extLst>
            <a:ext uri="{FF2B5EF4-FFF2-40B4-BE49-F238E27FC236}">
              <a16:creationId xmlns:a16="http://schemas.microsoft.com/office/drawing/2014/main" id="{00000000-0008-0000-0A00-00007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2" name="Shape 5">
          <a:extLst>
            <a:ext uri="{FF2B5EF4-FFF2-40B4-BE49-F238E27FC236}">
              <a16:creationId xmlns:a16="http://schemas.microsoft.com/office/drawing/2014/main" id="{00000000-0008-0000-0A00-00007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3" name="Shape 5">
          <a:extLst>
            <a:ext uri="{FF2B5EF4-FFF2-40B4-BE49-F238E27FC236}">
              <a16:creationId xmlns:a16="http://schemas.microsoft.com/office/drawing/2014/main" id="{00000000-0008-0000-0A00-00007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4" name="Shape 5">
          <a:extLst>
            <a:ext uri="{FF2B5EF4-FFF2-40B4-BE49-F238E27FC236}">
              <a16:creationId xmlns:a16="http://schemas.microsoft.com/office/drawing/2014/main" id="{00000000-0008-0000-0A00-00007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885" name="Shape 5">
          <a:extLst>
            <a:ext uri="{FF2B5EF4-FFF2-40B4-BE49-F238E27FC236}">
              <a16:creationId xmlns:a16="http://schemas.microsoft.com/office/drawing/2014/main" id="{00000000-0008-0000-0A00-00007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6" name="Shape 5">
          <a:extLst>
            <a:ext uri="{FF2B5EF4-FFF2-40B4-BE49-F238E27FC236}">
              <a16:creationId xmlns:a16="http://schemas.microsoft.com/office/drawing/2014/main" id="{00000000-0008-0000-0A00-00007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7" name="Shape 5">
          <a:extLst>
            <a:ext uri="{FF2B5EF4-FFF2-40B4-BE49-F238E27FC236}">
              <a16:creationId xmlns:a16="http://schemas.microsoft.com/office/drawing/2014/main" id="{00000000-0008-0000-0A00-00007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8" name="Shape 5">
          <a:extLst>
            <a:ext uri="{FF2B5EF4-FFF2-40B4-BE49-F238E27FC236}">
              <a16:creationId xmlns:a16="http://schemas.microsoft.com/office/drawing/2014/main" id="{00000000-0008-0000-0A00-00007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89" name="Shape 5">
          <a:extLst>
            <a:ext uri="{FF2B5EF4-FFF2-40B4-BE49-F238E27FC236}">
              <a16:creationId xmlns:a16="http://schemas.microsoft.com/office/drawing/2014/main" id="{00000000-0008-0000-0A00-00007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0" name="Shape 6">
          <a:extLst>
            <a:ext uri="{FF2B5EF4-FFF2-40B4-BE49-F238E27FC236}">
              <a16:creationId xmlns:a16="http://schemas.microsoft.com/office/drawing/2014/main" id="{00000000-0008-0000-0A00-00007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1" name="Shape 6">
          <a:extLst>
            <a:ext uri="{FF2B5EF4-FFF2-40B4-BE49-F238E27FC236}">
              <a16:creationId xmlns:a16="http://schemas.microsoft.com/office/drawing/2014/main" id="{00000000-0008-0000-0A00-00007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2" name="Shape 6">
          <a:extLst>
            <a:ext uri="{FF2B5EF4-FFF2-40B4-BE49-F238E27FC236}">
              <a16:creationId xmlns:a16="http://schemas.microsoft.com/office/drawing/2014/main" id="{00000000-0008-0000-0A00-00007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893" name="Shape 6">
          <a:extLst>
            <a:ext uri="{FF2B5EF4-FFF2-40B4-BE49-F238E27FC236}">
              <a16:creationId xmlns:a16="http://schemas.microsoft.com/office/drawing/2014/main" id="{00000000-0008-0000-0A00-00007D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4" name="Shape 5">
          <a:extLst>
            <a:ext uri="{FF2B5EF4-FFF2-40B4-BE49-F238E27FC236}">
              <a16:creationId xmlns:a16="http://schemas.microsoft.com/office/drawing/2014/main" id="{00000000-0008-0000-0A00-00007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5" name="Shape 5">
          <a:extLst>
            <a:ext uri="{FF2B5EF4-FFF2-40B4-BE49-F238E27FC236}">
              <a16:creationId xmlns:a16="http://schemas.microsoft.com/office/drawing/2014/main" id="{00000000-0008-0000-0A00-00007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6" name="Shape 5">
          <a:extLst>
            <a:ext uri="{FF2B5EF4-FFF2-40B4-BE49-F238E27FC236}">
              <a16:creationId xmlns:a16="http://schemas.microsoft.com/office/drawing/2014/main" id="{00000000-0008-0000-0A00-00008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7" name="Shape 5">
          <a:extLst>
            <a:ext uri="{FF2B5EF4-FFF2-40B4-BE49-F238E27FC236}">
              <a16:creationId xmlns:a16="http://schemas.microsoft.com/office/drawing/2014/main" id="{00000000-0008-0000-0A00-00008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8" name="Shape 5">
          <a:extLst>
            <a:ext uri="{FF2B5EF4-FFF2-40B4-BE49-F238E27FC236}">
              <a16:creationId xmlns:a16="http://schemas.microsoft.com/office/drawing/2014/main" id="{00000000-0008-0000-0A00-00008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899" name="Shape 5">
          <a:extLst>
            <a:ext uri="{FF2B5EF4-FFF2-40B4-BE49-F238E27FC236}">
              <a16:creationId xmlns:a16="http://schemas.microsoft.com/office/drawing/2014/main" id="{00000000-0008-0000-0A00-00008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900" name="Shape 5">
          <a:extLst>
            <a:ext uri="{FF2B5EF4-FFF2-40B4-BE49-F238E27FC236}">
              <a16:creationId xmlns:a16="http://schemas.microsoft.com/office/drawing/2014/main" id="{00000000-0008-0000-0A00-00008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1" name="Shape 5">
          <a:extLst>
            <a:ext uri="{FF2B5EF4-FFF2-40B4-BE49-F238E27FC236}">
              <a16:creationId xmlns:a16="http://schemas.microsoft.com/office/drawing/2014/main" id="{00000000-0008-0000-0A00-00008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2" name="Shape 5">
          <a:extLst>
            <a:ext uri="{FF2B5EF4-FFF2-40B4-BE49-F238E27FC236}">
              <a16:creationId xmlns:a16="http://schemas.microsoft.com/office/drawing/2014/main" id="{00000000-0008-0000-0A00-00008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3" name="Shape 5">
          <a:extLst>
            <a:ext uri="{FF2B5EF4-FFF2-40B4-BE49-F238E27FC236}">
              <a16:creationId xmlns:a16="http://schemas.microsoft.com/office/drawing/2014/main" id="{00000000-0008-0000-0A00-00008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4" name="Shape 5">
          <a:extLst>
            <a:ext uri="{FF2B5EF4-FFF2-40B4-BE49-F238E27FC236}">
              <a16:creationId xmlns:a16="http://schemas.microsoft.com/office/drawing/2014/main" id="{00000000-0008-0000-0A00-00008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5" name="Shape 6">
          <a:extLst>
            <a:ext uri="{FF2B5EF4-FFF2-40B4-BE49-F238E27FC236}">
              <a16:creationId xmlns:a16="http://schemas.microsoft.com/office/drawing/2014/main" id="{00000000-0008-0000-0A00-00008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6" name="Shape 6">
          <a:extLst>
            <a:ext uri="{FF2B5EF4-FFF2-40B4-BE49-F238E27FC236}">
              <a16:creationId xmlns:a16="http://schemas.microsoft.com/office/drawing/2014/main" id="{00000000-0008-0000-0A00-00008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7" name="Shape 6">
          <a:extLst>
            <a:ext uri="{FF2B5EF4-FFF2-40B4-BE49-F238E27FC236}">
              <a16:creationId xmlns:a16="http://schemas.microsoft.com/office/drawing/2014/main" id="{00000000-0008-0000-0A00-00008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908" name="Shape 6">
          <a:extLst>
            <a:ext uri="{FF2B5EF4-FFF2-40B4-BE49-F238E27FC236}">
              <a16:creationId xmlns:a16="http://schemas.microsoft.com/office/drawing/2014/main" id="{00000000-0008-0000-0A00-00008C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09" name="Shape 5">
          <a:extLst>
            <a:ext uri="{FF2B5EF4-FFF2-40B4-BE49-F238E27FC236}">
              <a16:creationId xmlns:a16="http://schemas.microsoft.com/office/drawing/2014/main" id="{00000000-0008-0000-0A00-00008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0" name="Shape 5">
          <a:extLst>
            <a:ext uri="{FF2B5EF4-FFF2-40B4-BE49-F238E27FC236}">
              <a16:creationId xmlns:a16="http://schemas.microsoft.com/office/drawing/2014/main" id="{00000000-0008-0000-0A00-00008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1" name="Shape 5">
          <a:extLst>
            <a:ext uri="{FF2B5EF4-FFF2-40B4-BE49-F238E27FC236}">
              <a16:creationId xmlns:a16="http://schemas.microsoft.com/office/drawing/2014/main" id="{00000000-0008-0000-0A00-00008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2" name="Shape 5">
          <a:extLst>
            <a:ext uri="{FF2B5EF4-FFF2-40B4-BE49-F238E27FC236}">
              <a16:creationId xmlns:a16="http://schemas.microsoft.com/office/drawing/2014/main" id="{00000000-0008-0000-0A00-00009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3" name="Shape 5">
          <a:extLst>
            <a:ext uri="{FF2B5EF4-FFF2-40B4-BE49-F238E27FC236}">
              <a16:creationId xmlns:a16="http://schemas.microsoft.com/office/drawing/2014/main" id="{00000000-0008-0000-0A00-00009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4" name="Shape 5">
          <a:extLst>
            <a:ext uri="{FF2B5EF4-FFF2-40B4-BE49-F238E27FC236}">
              <a16:creationId xmlns:a16="http://schemas.microsoft.com/office/drawing/2014/main" id="{00000000-0008-0000-0A00-00009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915" name="Shape 5">
          <a:extLst>
            <a:ext uri="{FF2B5EF4-FFF2-40B4-BE49-F238E27FC236}">
              <a16:creationId xmlns:a16="http://schemas.microsoft.com/office/drawing/2014/main" id="{00000000-0008-0000-0A00-00009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6" name="Shape 5">
          <a:extLst>
            <a:ext uri="{FF2B5EF4-FFF2-40B4-BE49-F238E27FC236}">
              <a16:creationId xmlns:a16="http://schemas.microsoft.com/office/drawing/2014/main" id="{00000000-0008-0000-0A00-00009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7" name="Shape 5">
          <a:extLst>
            <a:ext uri="{FF2B5EF4-FFF2-40B4-BE49-F238E27FC236}">
              <a16:creationId xmlns:a16="http://schemas.microsoft.com/office/drawing/2014/main" id="{00000000-0008-0000-0A00-00009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8" name="Shape 5">
          <a:extLst>
            <a:ext uri="{FF2B5EF4-FFF2-40B4-BE49-F238E27FC236}">
              <a16:creationId xmlns:a16="http://schemas.microsoft.com/office/drawing/2014/main" id="{00000000-0008-0000-0A00-00009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19" name="Shape 5">
          <a:extLst>
            <a:ext uri="{FF2B5EF4-FFF2-40B4-BE49-F238E27FC236}">
              <a16:creationId xmlns:a16="http://schemas.microsoft.com/office/drawing/2014/main" id="{00000000-0008-0000-0A00-00009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0" name="Shape 6">
          <a:extLst>
            <a:ext uri="{FF2B5EF4-FFF2-40B4-BE49-F238E27FC236}">
              <a16:creationId xmlns:a16="http://schemas.microsoft.com/office/drawing/2014/main" id="{00000000-0008-0000-0A00-00009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1" name="Shape 6">
          <a:extLst>
            <a:ext uri="{FF2B5EF4-FFF2-40B4-BE49-F238E27FC236}">
              <a16:creationId xmlns:a16="http://schemas.microsoft.com/office/drawing/2014/main" id="{00000000-0008-0000-0A00-00009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2" name="Shape 6">
          <a:extLst>
            <a:ext uri="{FF2B5EF4-FFF2-40B4-BE49-F238E27FC236}">
              <a16:creationId xmlns:a16="http://schemas.microsoft.com/office/drawing/2014/main" id="{00000000-0008-0000-0A00-00009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923" name="Shape 6">
          <a:extLst>
            <a:ext uri="{FF2B5EF4-FFF2-40B4-BE49-F238E27FC236}">
              <a16:creationId xmlns:a16="http://schemas.microsoft.com/office/drawing/2014/main" id="{00000000-0008-0000-0A00-00009B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4" name="Shape 5">
          <a:extLst>
            <a:ext uri="{FF2B5EF4-FFF2-40B4-BE49-F238E27FC236}">
              <a16:creationId xmlns:a16="http://schemas.microsoft.com/office/drawing/2014/main" id="{00000000-0008-0000-0A00-00009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5" name="Shape 5">
          <a:extLst>
            <a:ext uri="{FF2B5EF4-FFF2-40B4-BE49-F238E27FC236}">
              <a16:creationId xmlns:a16="http://schemas.microsoft.com/office/drawing/2014/main" id="{00000000-0008-0000-0A00-00009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6" name="Shape 5">
          <a:extLst>
            <a:ext uri="{FF2B5EF4-FFF2-40B4-BE49-F238E27FC236}">
              <a16:creationId xmlns:a16="http://schemas.microsoft.com/office/drawing/2014/main" id="{00000000-0008-0000-0A00-00009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7" name="Shape 5">
          <a:extLst>
            <a:ext uri="{FF2B5EF4-FFF2-40B4-BE49-F238E27FC236}">
              <a16:creationId xmlns:a16="http://schemas.microsoft.com/office/drawing/2014/main" id="{00000000-0008-0000-0A00-00009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8" name="Shape 5">
          <a:extLst>
            <a:ext uri="{FF2B5EF4-FFF2-40B4-BE49-F238E27FC236}">
              <a16:creationId xmlns:a16="http://schemas.microsoft.com/office/drawing/2014/main" id="{00000000-0008-0000-0A00-0000A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29" name="Shape 5">
          <a:extLst>
            <a:ext uri="{FF2B5EF4-FFF2-40B4-BE49-F238E27FC236}">
              <a16:creationId xmlns:a16="http://schemas.microsoft.com/office/drawing/2014/main" id="{00000000-0008-0000-0A00-0000A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930" name="Shape 5">
          <a:extLst>
            <a:ext uri="{FF2B5EF4-FFF2-40B4-BE49-F238E27FC236}">
              <a16:creationId xmlns:a16="http://schemas.microsoft.com/office/drawing/2014/main" id="{00000000-0008-0000-0A00-0000A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1" name="Shape 5">
          <a:extLst>
            <a:ext uri="{FF2B5EF4-FFF2-40B4-BE49-F238E27FC236}">
              <a16:creationId xmlns:a16="http://schemas.microsoft.com/office/drawing/2014/main" id="{00000000-0008-0000-0A00-0000A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2" name="Shape 5">
          <a:extLst>
            <a:ext uri="{FF2B5EF4-FFF2-40B4-BE49-F238E27FC236}">
              <a16:creationId xmlns:a16="http://schemas.microsoft.com/office/drawing/2014/main" id="{00000000-0008-0000-0A00-0000A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3" name="Shape 5">
          <a:extLst>
            <a:ext uri="{FF2B5EF4-FFF2-40B4-BE49-F238E27FC236}">
              <a16:creationId xmlns:a16="http://schemas.microsoft.com/office/drawing/2014/main" id="{00000000-0008-0000-0A00-0000A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4" name="Shape 5">
          <a:extLst>
            <a:ext uri="{FF2B5EF4-FFF2-40B4-BE49-F238E27FC236}">
              <a16:creationId xmlns:a16="http://schemas.microsoft.com/office/drawing/2014/main" id="{00000000-0008-0000-0A00-0000A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5" name="Shape 6">
          <a:extLst>
            <a:ext uri="{FF2B5EF4-FFF2-40B4-BE49-F238E27FC236}">
              <a16:creationId xmlns:a16="http://schemas.microsoft.com/office/drawing/2014/main" id="{00000000-0008-0000-0A00-0000A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6" name="Shape 6">
          <a:extLst>
            <a:ext uri="{FF2B5EF4-FFF2-40B4-BE49-F238E27FC236}">
              <a16:creationId xmlns:a16="http://schemas.microsoft.com/office/drawing/2014/main" id="{00000000-0008-0000-0A00-0000A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7" name="Shape 6">
          <a:extLst>
            <a:ext uri="{FF2B5EF4-FFF2-40B4-BE49-F238E27FC236}">
              <a16:creationId xmlns:a16="http://schemas.microsoft.com/office/drawing/2014/main" id="{00000000-0008-0000-0A00-0000A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938" name="Shape 6">
          <a:extLst>
            <a:ext uri="{FF2B5EF4-FFF2-40B4-BE49-F238E27FC236}">
              <a16:creationId xmlns:a16="http://schemas.microsoft.com/office/drawing/2014/main" id="{00000000-0008-0000-0A00-0000AA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39" name="Shape 5">
          <a:extLst>
            <a:ext uri="{FF2B5EF4-FFF2-40B4-BE49-F238E27FC236}">
              <a16:creationId xmlns:a16="http://schemas.microsoft.com/office/drawing/2014/main" id="{00000000-0008-0000-0A00-0000A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0" name="Shape 5">
          <a:extLst>
            <a:ext uri="{FF2B5EF4-FFF2-40B4-BE49-F238E27FC236}">
              <a16:creationId xmlns:a16="http://schemas.microsoft.com/office/drawing/2014/main" id="{00000000-0008-0000-0A00-0000A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1" name="Shape 5">
          <a:extLst>
            <a:ext uri="{FF2B5EF4-FFF2-40B4-BE49-F238E27FC236}">
              <a16:creationId xmlns:a16="http://schemas.microsoft.com/office/drawing/2014/main" id="{00000000-0008-0000-0A00-0000A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2" name="Shape 5">
          <a:extLst>
            <a:ext uri="{FF2B5EF4-FFF2-40B4-BE49-F238E27FC236}">
              <a16:creationId xmlns:a16="http://schemas.microsoft.com/office/drawing/2014/main" id="{00000000-0008-0000-0A00-0000A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3" name="Shape 5">
          <a:extLst>
            <a:ext uri="{FF2B5EF4-FFF2-40B4-BE49-F238E27FC236}">
              <a16:creationId xmlns:a16="http://schemas.microsoft.com/office/drawing/2014/main" id="{00000000-0008-0000-0A00-0000A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4" name="Shape 5">
          <a:extLst>
            <a:ext uri="{FF2B5EF4-FFF2-40B4-BE49-F238E27FC236}">
              <a16:creationId xmlns:a16="http://schemas.microsoft.com/office/drawing/2014/main" id="{00000000-0008-0000-0A00-0000B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945" name="Shape 5">
          <a:extLst>
            <a:ext uri="{FF2B5EF4-FFF2-40B4-BE49-F238E27FC236}">
              <a16:creationId xmlns:a16="http://schemas.microsoft.com/office/drawing/2014/main" id="{00000000-0008-0000-0A00-0000B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6" name="Shape 5">
          <a:extLst>
            <a:ext uri="{FF2B5EF4-FFF2-40B4-BE49-F238E27FC236}">
              <a16:creationId xmlns:a16="http://schemas.microsoft.com/office/drawing/2014/main" id="{00000000-0008-0000-0A00-0000B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7" name="Shape 5">
          <a:extLst>
            <a:ext uri="{FF2B5EF4-FFF2-40B4-BE49-F238E27FC236}">
              <a16:creationId xmlns:a16="http://schemas.microsoft.com/office/drawing/2014/main" id="{00000000-0008-0000-0A00-0000B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8" name="Shape 5">
          <a:extLst>
            <a:ext uri="{FF2B5EF4-FFF2-40B4-BE49-F238E27FC236}">
              <a16:creationId xmlns:a16="http://schemas.microsoft.com/office/drawing/2014/main" id="{00000000-0008-0000-0A00-0000B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49" name="Shape 5">
          <a:extLst>
            <a:ext uri="{FF2B5EF4-FFF2-40B4-BE49-F238E27FC236}">
              <a16:creationId xmlns:a16="http://schemas.microsoft.com/office/drawing/2014/main" id="{00000000-0008-0000-0A00-0000B5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0" name="Shape 6">
          <a:extLst>
            <a:ext uri="{FF2B5EF4-FFF2-40B4-BE49-F238E27FC236}">
              <a16:creationId xmlns:a16="http://schemas.microsoft.com/office/drawing/2014/main" id="{00000000-0008-0000-0A00-0000B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1" name="Shape 6">
          <a:extLst>
            <a:ext uri="{FF2B5EF4-FFF2-40B4-BE49-F238E27FC236}">
              <a16:creationId xmlns:a16="http://schemas.microsoft.com/office/drawing/2014/main" id="{00000000-0008-0000-0A00-0000B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2" name="Shape 6">
          <a:extLst>
            <a:ext uri="{FF2B5EF4-FFF2-40B4-BE49-F238E27FC236}">
              <a16:creationId xmlns:a16="http://schemas.microsoft.com/office/drawing/2014/main" id="{00000000-0008-0000-0A00-0000B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953" name="Shape 6">
          <a:extLst>
            <a:ext uri="{FF2B5EF4-FFF2-40B4-BE49-F238E27FC236}">
              <a16:creationId xmlns:a16="http://schemas.microsoft.com/office/drawing/2014/main" id="{00000000-0008-0000-0A00-0000B9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4" name="Shape 5">
          <a:extLst>
            <a:ext uri="{FF2B5EF4-FFF2-40B4-BE49-F238E27FC236}">
              <a16:creationId xmlns:a16="http://schemas.microsoft.com/office/drawing/2014/main" id="{00000000-0008-0000-0A00-0000B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5" name="Shape 5">
          <a:extLst>
            <a:ext uri="{FF2B5EF4-FFF2-40B4-BE49-F238E27FC236}">
              <a16:creationId xmlns:a16="http://schemas.microsoft.com/office/drawing/2014/main" id="{00000000-0008-0000-0A00-0000B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6" name="Shape 5">
          <a:extLst>
            <a:ext uri="{FF2B5EF4-FFF2-40B4-BE49-F238E27FC236}">
              <a16:creationId xmlns:a16="http://schemas.microsoft.com/office/drawing/2014/main" id="{00000000-0008-0000-0A00-0000B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7" name="Shape 5">
          <a:extLst>
            <a:ext uri="{FF2B5EF4-FFF2-40B4-BE49-F238E27FC236}">
              <a16:creationId xmlns:a16="http://schemas.microsoft.com/office/drawing/2014/main" id="{00000000-0008-0000-0A00-0000B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8" name="Shape 5">
          <a:extLst>
            <a:ext uri="{FF2B5EF4-FFF2-40B4-BE49-F238E27FC236}">
              <a16:creationId xmlns:a16="http://schemas.microsoft.com/office/drawing/2014/main" id="{00000000-0008-0000-0A00-0000B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59" name="Shape 5">
          <a:extLst>
            <a:ext uri="{FF2B5EF4-FFF2-40B4-BE49-F238E27FC236}">
              <a16:creationId xmlns:a16="http://schemas.microsoft.com/office/drawing/2014/main" id="{00000000-0008-0000-0A00-0000B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960" name="Shape 5">
          <a:extLst>
            <a:ext uri="{FF2B5EF4-FFF2-40B4-BE49-F238E27FC236}">
              <a16:creationId xmlns:a16="http://schemas.microsoft.com/office/drawing/2014/main" id="{00000000-0008-0000-0A00-0000C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1" name="Shape 5">
          <a:extLst>
            <a:ext uri="{FF2B5EF4-FFF2-40B4-BE49-F238E27FC236}">
              <a16:creationId xmlns:a16="http://schemas.microsoft.com/office/drawing/2014/main" id="{00000000-0008-0000-0A00-0000C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2" name="Shape 5">
          <a:extLst>
            <a:ext uri="{FF2B5EF4-FFF2-40B4-BE49-F238E27FC236}">
              <a16:creationId xmlns:a16="http://schemas.microsoft.com/office/drawing/2014/main" id="{00000000-0008-0000-0A00-0000C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3" name="Shape 5">
          <a:extLst>
            <a:ext uri="{FF2B5EF4-FFF2-40B4-BE49-F238E27FC236}">
              <a16:creationId xmlns:a16="http://schemas.microsoft.com/office/drawing/2014/main" id="{00000000-0008-0000-0A00-0000C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4" name="Shape 5">
          <a:extLst>
            <a:ext uri="{FF2B5EF4-FFF2-40B4-BE49-F238E27FC236}">
              <a16:creationId xmlns:a16="http://schemas.microsoft.com/office/drawing/2014/main" id="{00000000-0008-0000-0A00-0000C4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5" name="Shape 6">
          <a:extLst>
            <a:ext uri="{FF2B5EF4-FFF2-40B4-BE49-F238E27FC236}">
              <a16:creationId xmlns:a16="http://schemas.microsoft.com/office/drawing/2014/main" id="{00000000-0008-0000-0A00-0000C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6" name="Shape 6">
          <a:extLst>
            <a:ext uri="{FF2B5EF4-FFF2-40B4-BE49-F238E27FC236}">
              <a16:creationId xmlns:a16="http://schemas.microsoft.com/office/drawing/2014/main" id="{00000000-0008-0000-0A00-0000C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7" name="Shape 6">
          <a:extLst>
            <a:ext uri="{FF2B5EF4-FFF2-40B4-BE49-F238E27FC236}">
              <a16:creationId xmlns:a16="http://schemas.microsoft.com/office/drawing/2014/main" id="{00000000-0008-0000-0A00-0000C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968" name="Shape 6">
          <a:extLst>
            <a:ext uri="{FF2B5EF4-FFF2-40B4-BE49-F238E27FC236}">
              <a16:creationId xmlns:a16="http://schemas.microsoft.com/office/drawing/2014/main" id="{00000000-0008-0000-0A00-0000C8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69" name="Shape 5">
          <a:extLst>
            <a:ext uri="{FF2B5EF4-FFF2-40B4-BE49-F238E27FC236}">
              <a16:creationId xmlns:a16="http://schemas.microsoft.com/office/drawing/2014/main" id="{00000000-0008-0000-0A00-0000C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0" name="Shape 5">
          <a:extLst>
            <a:ext uri="{FF2B5EF4-FFF2-40B4-BE49-F238E27FC236}">
              <a16:creationId xmlns:a16="http://schemas.microsoft.com/office/drawing/2014/main" id="{00000000-0008-0000-0A00-0000C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1" name="Shape 5">
          <a:extLst>
            <a:ext uri="{FF2B5EF4-FFF2-40B4-BE49-F238E27FC236}">
              <a16:creationId xmlns:a16="http://schemas.microsoft.com/office/drawing/2014/main" id="{00000000-0008-0000-0A00-0000C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2" name="Shape 5">
          <a:extLst>
            <a:ext uri="{FF2B5EF4-FFF2-40B4-BE49-F238E27FC236}">
              <a16:creationId xmlns:a16="http://schemas.microsoft.com/office/drawing/2014/main" id="{00000000-0008-0000-0A00-0000C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3" name="Shape 5">
          <a:extLst>
            <a:ext uri="{FF2B5EF4-FFF2-40B4-BE49-F238E27FC236}">
              <a16:creationId xmlns:a16="http://schemas.microsoft.com/office/drawing/2014/main" id="{00000000-0008-0000-0A00-0000C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4" name="Shape 5">
          <a:extLst>
            <a:ext uri="{FF2B5EF4-FFF2-40B4-BE49-F238E27FC236}">
              <a16:creationId xmlns:a16="http://schemas.microsoft.com/office/drawing/2014/main" id="{00000000-0008-0000-0A00-0000C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975" name="Shape 5">
          <a:extLst>
            <a:ext uri="{FF2B5EF4-FFF2-40B4-BE49-F238E27FC236}">
              <a16:creationId xmlns:a16="http://schemas.microsoft.com/office/drawing/2014/main" id="{00000000-0008-0000-0A00-0000C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6" name="Shape 5">
          <a:extLst>
            <a:ext uri="{FF2B5EF4-FFF2-40B4-BE49-F238E27FC236}">
              <a16:creationId xmlns:a16="http://schemas.microsoft.com/office/drawing/2014/main" id="{00000000-0008-0000-0A00-0000D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7" name="Shape 5">
          <a:extLst>
            <a:ext uri="{FF2B5EF4-FFF2-40B4-BE49-F238E27FC236}">
              <a16:creationId xmlns:a16="http://schemas.microsoft.com/office/drawing/2014/main" id="{00000000-0008-0000-0A00-0000D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8" name="Shape 5">
          <a:extLst>
            <a:ext uri="{FF2B5EF4-FFF2-40B4-BE49-F238E27FC236}">
              <a16:creationId xmlns:a16="http://schemas.microsoft.com/office/drawing/2014/main" id="{00000000-0008-0000-0A00-0000D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79" name="Shape 5">
          <a:extLst>
            <a:ext uri="{FF2B5EF4-FFF2-40B4-BE49-F238E27FC236}">
              <a16:creationId xmlns:a16="http://schemas.microsoft.com/office/drawing/2014/main" id="{00000000-0008-0000-0A00-0000D3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0" name="Shape 6">
          <a:extLst>
            <a:ext uri="{FF2B5EF4-FFF2-40B4-BE49-F238E27FC236}">
              <a16:creationId xmlns:a16="http://schemas.microsoft.com/office/drawing/2014/main" id="{00000000-0008-0000-0A00-0000D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1" name="Shape 6">
          <a:extLst>
            <a:ext uri="{FF2B5EF4-FFF2-40B4-BE49-F238E27FC236}">
              <a16:creationId xmlns:a16="http://schemas.microsoft.com/office/drawing/2014/main" id="{00000000-0008-0000-0A00-0000D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2" name="Shape 6">
          <a:extLst>
            <a:ext uri="{FF2B5EF4-FFF2-40B4-BE49-F238E27FC236}">
              <a16:creationId xmlns:a16="http://schemas.microsoft.com/office/drawing/2014/main" id="{00000000-0008-0000-0A00-0000D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983" name="Shape 6">
          <a:extLst>
            <a:ext uri="{FF2B5EF4-FFF2-40B4-BE49-F238E27FC236}">
              <a16:creationId xmlns:a16="http://schemas.microsoft.com/office/drawing/2014/main" id="{00000000-0008-0000-0A00-0000D7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4" name="Shape 5">
          <a:extLst>
            <a:ext uri="{FF2B5EF4-FFF2-40B4-BE49-F238E27FC236}">
              <a16:creationId xmlns:a16="http://schemas.microsoft.com/office/drawing/2014/main" id="{00000000-0008-0000-0A00-0000D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5" name="Shape 5">
          <a:extLst>
            <a:ext uri="{FF2B5EF4-FFF2-40B4-BE49-F238E27FC236}">
              <a16:creationId xmlns:a16="http://schemas.microsoft.com/office/drawing/2014/main" id="{00000000-0008-0000-0A00-0000D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6" name="Shape 5">
          <a:extLst>
            <a:ext uri="{FF2B5EF4-FFF2-40B4-BE49-F238E27FC236}">
              <a16:creationId xmlns:a16="http://schemas.microsoft.com/office/drawing/2014/main" id="{00000000-0008-0000-0A00-0000D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7" name="Shape 5">
          <a:extLst>
            <a:ext uri="{FF2B5EF4-FFF2-40B4-BE49-F238E27FC236}">
              <a16:creationId xmlns:a16="http://schemas.microsoft.com/office/drawing/2014/main" id="{00000000-0008-0000-0A00-0000D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8" name="Shape 5">
          <a:extLst>
            <a:ext uri="{FF2B5EF4-FFF2-40B4-BE49-F238E27FC236}">
              <a16:creationId xmlns:a16="http://schemas.microsoft.com/office/drawing/2014/main" id="{00000000-0008-0000-0A00-0000D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89" name="Shape 5">
          <a:extLst>
            <a:ext uri="{FF2B5EF4-FFF2-40B4-BE49-F238E27FC236}">
              <a16:creationId xmlns:a16="http://schemas.microsoft.com/office/drawing/2014/main" id="{00000000-0008-0000-0A00-0000D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990" name="Shape 5">
          <a:extLst>
            <a:ext uri="{FF2B5EF4-FFF2-40B4-BE49-F238E27FC236}">
              <a16:creationId xmlns:a16="http://schemas.microsoft.com/office/drawing/2014/main" id="{00000000-0008-0000-0A00-0000D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1" name="Shape 3">
          <a:extLst>
            <a:ext uri="{FF2B5EF4-FFF2-40B4-BE49-F238E27FC236}">
              <a16:creationId xmlns:a16="http://schemas.microsoft.com/office/drawing/2014/main" id="{00000000-0008-0000-0A00-0000D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2" name="Shape 3">
          <a:extLst>
            <a:ext uri="{FF2B5EF4-FFF2-40B4-BE49-F238E27FC236}">
              <a16:creationId xmlns:a16="http://schemas.microsoft.com/office/drawing/2014/main" id="{00000000-0008-0000-0A00-0000E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3" name="Shape 3">
          <a:extLst>
            <a:ext uri="{FF2B5EF4-FFF2-40B4-BE49-F238E27FC236}">
              <a16:creationId xmlns:a16="http://schemas.microsoft.com/office/drawing/2014/main" id="{00000000-0008-0000-0A00-0000E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4" name="Shape 3">
          <a:extLst>
            <a:ext uri="{FF2B5EF4-FFF2-40B4-BE49-F238E27FC236}">
              <a16:creationId xmlns:a16="http://schemas.microsoft.com/office/drawing/2014/main" id="{00000000-0008-0000-0A00-0000E2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5" name="Shape 4">
          <a:extLst>
            <a:ext uri="{FF2B5EF4-FFF2-40B4-BE49-F238E27FC236}">
              <a16:creationId xmlns:a16="http://schemas.microsoft.com/office/drawing/2014/main" id="{00000000-0008-0000-0A00-0000E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6" name="Shape 4">
          <a:extLst>
            <a:ext uri="{FF2B5EF4-FFF2-40B4-BE49-F238E27FC236}">
              <a16:creationId xmlns:a16="http://schemas.microsoft.com/office/drawing/2014/main" id="{00000000-0008-0000-0A00-0000E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7" name="Shape 4">
          <a:extLst>
            <a:ext uri="{FF2B5EF4-FFF2-40B4-BE49-F238E27FC236}">
              <a16:creationId xmlns:a16="http://schemas.microsoft.com/office/drawing/2014/main" id="{00000000-0008-0000-0A00-0000E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8</xdr:row>
      <xdr:rowOff>0</xdr:rowOff>
    </xdr:from>
    <xdr:ext cx="247650" cy="323850"/>
    <xdr:sp macro="" textlink="">
      <xdr:nvSpPr>
        <xdr:cNvPr id="998" name="Shape 4">
          <a:extLst>
            <a:ext uri="{FF2B5EF4-FFF2-40B4-BE49-F238E27FC236}">
              <a16:creationId xmlns:a16="http://schemas.microsoft.com/office/drawing/2014/main" id="{00000000-0008-0000-0A00-0000E6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999" name="Shape 3">
          <a:extLst>
            <a:ext uri="{FF2B5EF4-FFF2-40B4-BE49-F238E27FC236}">
              <a16:creationId xmlns:a16="http://schemas.microsoft.com/office/drawing/2014/main" id="{00000000-0008-0000-0A00-0000E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0" name="Shape 3">
          <a:extLst>
            <a:ext uri="{FF2B5EF4-FFF2-40B4-BE49-F238E27FC236}">
              <a16:creationId xmlns:a16="http://schemas.microsoft.com/office/drawing/2014/main" id="{00000000-0008-0000-0A00-0000E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1" name="Shape 3">
          <a:extLst>
            <a:ext uri="{FF2B5EF4-FFF2-40B4-BE49-F238E27FC236}">
              <a16:creationId xmlns:a16="http://schemas.microsoft.com/office/drawing/2014/main" id="{00000000-0008-0000-0A00-0000E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2" name="Shape 3">
          <a:extLst>
            <a:ext uri="{FF2B5EF4-FFF2-40B4-BE49-F238E27FC236}">
              <a16:creationId xmlns:a16="http://schemas.microsoft.com/office/drawing/2014/main" id="{00000000-0008-0000-0A00-0000E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3" name="Shape 3">
          <a:extLst>
            <a:ext uri="{FF2B5EF4-FFF2-40B4-BE49-F238E27FC236}">
              <a16:creationId xmlns:a16="http://schemas.microsoft.com/office/drawing/2014/main" id="{00000000-0008-0000-0A00-0000E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4" name="Shape 3">
          <a:extLst>
            <a:ext uri="{FF2B5EF4-FFF2-40B4-BE49-F238E27FC236}">
              <a16:creationId xmlns:a16="http://schemas.microsoft.com/office/drawing/2014/main" id="{00000000-0008-0000-0A00-0000E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8</xdr:row>
      <xdr:rowOff>0</xdr:rowOff>
    </xdr:from>
    <xdr:ext cx="257175" cy="323850"/>
    <xdr:sp macro="" textlink="">
      <xdr:nvSpPr>
        <xdr:cNvPr id="1005" name="Shape 3">
          <a:extLst>
            <a:ext uri="{FF2B5EF4-FFF2-40B4-BE49-F238E27FC236}">
              <a16:creationId xmlns:a16="http://schemas.microsoft.com/office/drawing/2014/main" id="{00000000-0008-0000-0A00-0000E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6" name="Shape 3">
          <a:extLst>
            <a:ext uri="{FF2B5EF4-FFF2-40B4-BE49-F238E27FC236}">
              <a16:creationId xmlns:a16="http://schemas.microsoft.com/office/drawing/2014/main" id="{00000000-0008-0000-0A00-0000E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7" name="Shape 3">
          <a:extLst>
            <a:ext uri="{FF2B5EF4-FFF2-40B4-BE49-F238E27FC236}">
              <a16:creationId xmlns:a16="http://schemas.microsoft.com/office/drawing/2014/main" id="{00000000-0008-0000-0A00-0000E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8" name="Shape 3">
          <a:extLst>
            <a:ext uri="{FF2B5EF4-FFF2-40B4-BE49-F238E27FC236}">
              <a16:creationId xmlns:a16="http://schemas.microsoft.com/office/drawing/2014/main" id="{00000000-0008-0000-0A00-0000F0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09" name="Shape 3">
          <a:extLst>
            <a:ext uri="{FF2B5EF4-FFF2-40B4-BE49-F238E27FC236}">
              <a16:creationId xmlns:a16="http://schemas.microsoft.com/office/drawing/2014/main" id="{00000000-0008-0000-0A00-0000F1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0" name="Shape 4">
          <a:extLst>
            <a:ext uri="{FF2B5EF4-FFF2-40B4-BE49-F238E27FC236}">
              <a16:creationId xmlns:a16="http://schemas.microsoft.com/office/drawing/2014/main" id="{00000000-0008-0000-0A00-0000F2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1" name="Shape 4">
          <a:extLst>
            <a:ext uri="{FF2B5EF4-FFF2-40B4-BE49-F238E27FC236}">
              <a16:creationId xmlns:a16="http://schemas.microsoft.com/office/drawing/2014/main" id="{00000000-0008-0000-0A00-0000F3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2" name="Shape 4">
          <a:extLst>
            <a:ext uri="{FF2B5EF4-FFF2-40B4-BE49-F238E27FC236}">
              <a16:creationId xmlns:a16="http://schemas.microsoft.com/office/drawing/2014/main" id="{00000000-0008-0000-0A00-0000F4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9</xdr:row>
      <xdr:rowOff>0</xdr:rowOff>
    </xdr:from>
    <xdr:ext cx="247650" cy="323850"/>
    <xdr:sp macro="" textlink="">
      <xdr:nvSpPr>
        <xdr:cNvPr id="1013" name="Shape 4">
          <a:extLst>
            <a:ext uri="{FF2B5EF4-FFF2-40B4-BE49-F238E27FC236}">
              <a16:creationId xmlns:a16="http://schemas.microsoft.com/office/drawing/2014/main" id="{00000000-0008-0000-0A00-0000F503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4" name="Shape 3">
          <a:extLst>
            <a:ext uri="{FF2B5EF4-FFF2-40B4-BE49-F238E27FC236}">
              <a16:creationId xmlns:a16="http://schemas.microsoft.com/office/drawing/2014/main" id="{00000000-0008-0000-0A00-0000F6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5" name="Shape 3">
          <a:extLst>
            <a:ext uri="{FF2B5EF4-FFF2-40B4-BE49-F238E27FC236}">
              <a16:creationId xmlns:a16="http://schemas.microsoft.com/office/drawing/2014/main" id="{00000000-0008-0000-0A00-0000F7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6" name="Shape 3">
          <a:extLst>
            <a:ext uri="{FF2B5EF4-FFF2-40B4-BE49-F238E27FC236}">
              <a16:creationId xmlns:a16="http://schemas.microsoft.com/office/drawing/2014/main" id="{00000000-0008-0000-0A00-0000F8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7" name="Shape 3">
          <a:extLst>
            <a:ext uri="{FF2B5EF4-FFF2-40B4-BE49-F238E27FC236}">
              <a16:creationId xmlns:a16="http://schemas.microsoft.com/office/drawing/2014/main" id="{00000000-0008-0000-0A00-0000F9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8" name="Shape 3">
          <a:extLst>
            <a:ext uri="{FF2B5EF4-FFF2-40B4-BE49-F238E27FC236}">
              <a16:creationId xmlns:a16="http://schemas.microsoft.com/office/drawing/2014/main" id="{00000000-0008-0000-0A00-0000FA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19" name="Shape 3">
          <a:extLst>
            <a:ext uri="{FF2B5EF4-FFF2-40B4-BE49-F238E27FC236}">
              <a16:creationId xmlns:a16="http://schemas.microsoft.com/office/drawing/2014/main" id="{00000000-0008-0000-0A00-0000FB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9</xdr:row>
      <xdr:rowOff>0</xdr:rowOff>
    </xdr:from>
    <xdr:ext cx="257175" cy="323850"/>
    <xdr:sp macro="" textlink="">
      <xdr:nvSpPr>
        <xdr:cNvPr id="1020" name="Shape 3">
          <a:extLst>
            <a:ext uri="{FF2B5EF4-FFF2-40B4-BE49-F238E27FC236}">
              <a16:creationId xmlns:a16="http://schemas.microsoft.com/office/drawing/2014/main" id="{00000000-0008-0000-0A00-0000FC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1" name="Shape 3">
          <a:extLst>
            <a:ext uri="{FF2B5EF4-FFF2-40B4-BE49-F238E27FC236}">
              <a16:creationId xmlns:a16="http://schemas.microsoft.com/office/drawing/2014/main" id="{00000000-0008-0000-0A00-0000FD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2" name="Shape 3">
          <a:extLst>
            <a:ext uri="{FF2B5EF4-FFF2-40B4-BE49-F238E27FC236}">
              <a16:creationId xmlns:a16="http://schemas.microsoft.com/office/drawing/2014/main" id="{00000000-0008-0000-0A00-0000FE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3" name="Shape 3">
          <a:extLst>
            <a:ext uri="{FF2B5EF4-FFF2-40B4-BE49-F238E27FC236}">
              <a16:creationId xmlns:a16="http://schemas.microsoft.com/office/drawing/2014/main" id="{00000000-0008-0000-0A00-0000FF03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4" name="Shape 3">
          <a:extLst>
            <a:ext uri="{FF2B5EF4-FFF2-40B4-BE49-F238E27FC236}">
              <a16:creationId xmlns:a16="http://schemas.microsoft.com/office/drawing/2014/main" id="{00000000-0008-0000-0A00-00000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5" name="Shape 4">
          <a:extLst>
            <a:ext uri="{FF2B5EF4-FFF2-40B4-BE49-F238E27FC236}">
              <a16:creationId xmlns:a16="http://schemas.microsoft.com/office/drawing/2014/main" id="{00000000-0008-0000-0A00-00000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6" name="Shape 4">
          <a:extLst>
            <a:ext uri="{FF2B5EF4-FFF2-40B4-BE49-F238E27FC236}">
              <a16:creationId xmlns:a16="http://schemas.microsoft.com/office/drawing/2014/main" id="{00000000-0008-0000-0A00-00000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7" name="Shape 4">
          <a:extLst>
            <a:ext uri="{FF2B5EF4-FFF2-40B4-BE49-F238E27FC236}">
              <a16:creationId xmlns:a16="http://schemas.microsoft.com/office/drawing/2014/main" id="{00000000-0008-0000-0A00-00000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10</xdr:row>
      <xdr:rowOff>0</xdr:rowOff>
    </xdr:from>
    <xdr:ext cx="247650" cy="323850"/>
    <xdr:sp macro="" textlink="">
      <xdr:nvSpPr>
        <xdr:cNvPr id="1028" name="Shape 4">
          <a:extLst>
            <a:ext uri="{FF2B5EF4-FFF2-40B4-BE49-F238E27FC236}">
              <a16:creationId xmlns:a16="http://schemas.microsoft.com/office/drawing/2014/main" id="{00000000-0008-0000-0A00-00000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29" name="Shape 3">
          <a:extLst>
            <a:ext uri="{FF2B5EF4-FFF2-40B4-BE49-F238E27FC236}">
              <a16:creationId xmlns:a16="http://schemas.microsoft.com/office/drawing/2014/main" id="{00000000-0008-0000-0A00-00000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0" name="Shape 3">
          <a:extLst>
            <a:ext uri="{FF2B5EF4-FFF2-40B4-BE49-F238E27FC236}">
              <a16:creationId xmlns:a16="http://schemas.microsoft.com/office/drawing/2014/main" id="{00000000-0008-0000-0A00-00000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1" name="Shape 3">
          <a:extLst>
            <a:ext uri="{FF2B5EF4-FFF2-40B4-BE49-F238E27FC236}">
              <a16:creationId xmlns:a16="http://schemas.microsoft.com/office/drawing/2014/main" id="{00000000-0008-0000-0A00-00000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2" name="Shape 3">
          <a:extLst>
            <a:ext uri="{FF2B5EF4-FFF2-40B4-BE49-F238E27FC236}">
              <a16:creationId xmlns:a16="http://schemas.microsoft.com/office/drawing/2014/main" id="{00000000-0008-0000-0A00-00000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3" name="Shape 3">
          <a:extLst>
            <a:ext uri="{FF2B5EF4-FFF2-40B4-BE49-F238E27FC236}">
              <a16:creationId xmlns:a16="http://schemas.microsoft.com/office/drawing/2014/main" id="{00000000-0008-0000-0A00-00000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4" name="Shape 3">
          <a:extLst>
            <a:ext uri="{FF2B5EF4-FFF2-40B4-BE49-F238E27FC236}">
              <a16:creationId xmlns:a16="http://schemas.microsoft.com/office/drawing/2014/main" id="{00000000-0008-0000-0A00-00000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10</xdr:row>
      <xdr:rowOff>0</xdr:rowOff>
    </xdr:from>
    <xdr:ext cx="257175" cy="323850"/>
    <xdr:sp macro="" textlink="">
      <xdr:nvSpPr>
        <xdr:cNvPr id="1035" name="Shape 3">
          <a:extLst>
            <a:ext uri="{FF2B5EF4-FFF2-40B4-BE49-F238E27FC236}">
              <a16:creationId xmlns:a16="http://schemas.microsoft.com/office/drawing/2014/main" id="{00000000-0008-0000-0A00-00000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6" name="Shape 3">
          <a:extLst>
            <a:ext uri="{FF2B5EF4-FFF2-40B4-BE49-F238E27FC236}">
              <a16:creationId xmlns:a16="http://schemas.microsoft.com/office/drawing/2014/main" id="{00000000-0008-0000-0A00-00000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7" name="Shape 3">
          <a:extLst>
            <a:ext uri="{FF2B5EF4-FFF2-40B4-BE49-F238E27FC236}">
              <a16:creationId xmlns:a16="http://schemas.microsoft.com/office/drawing/2014/main" id="{00000000-0008-0000-0A00-00000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8" name="Shape 3">
          <a:extLst>
            <a:ext uri="{FF2B5EF4-FFF2-40B4-BE49-F238E27FC236}">
              <a16:creationId xmlns:a16="http://schemas.microsoft.com/office/drawing/2014/main" id="{00000000-0008-0000-0A00-00000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39" name="Shape 3">
          <a:extLst>
            <a:ext uri="{FF2B5EF4-FFF2-40B4-BE49-F238E27FC236}">
              <a16:creationId xmlns:a16="http://schemas.microsoft.com/office/drawing/2014/main" id="{00000000-0008-0000-0A00-00000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0" name="Shape 4">
          <a:extLst>
            <a:ext uri="{FF2B5EF4-FFF2-40B4-BE49-F238E27FC236}">
              <a16:creationId xmlns:a16="http://schemas.microsoft.com/office/drawing/2014/main" id="{00000000-0008-0000-0A00-00001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1" name="Shape 4">
          <a:extLst>
            <a:ext uri="{FF2B5EF4-FFF2-40B4-BE49-F238E27FC236}">
              <a16:creationId xmlns:a16="http://schemas.microsoft.com/office/drawing/2014/main" id="{00000000-0008-0000-0A00-00001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2" name="Shape 4">
          <a:extLst>
            <a:ext uri="{FF2B5EF4-FFF2-40B4-BE49-F238E27FC236}">
              <a16:creationId xmlns:a16="http://schemas.microsoft.com/office/drawing/2014/main" id="{00000000-0008-0000-0A00-00001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11</xdr:row>
      <xdr:rowOff>0</xdr:rowOff>
    </xdr:from>
    <xdr:ext cx="247650" cy="323850"/>
    <xdr:sp macro="" textlink="">
      <xdr:nvSpPr>
        <xdr:cNvPr id="1043" name="Shape 4">
          <a:extLst>
            <a:ext uri="{FF2B5EF4-FFF2-40B4-BE49-F238E27FC236}">
              <a16:creationId xmlns:a16="http://schemas.microsoft.com/office/drawing/2014/main" id="{00000000-0008-0000-0A00-00001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4" name="Shape 3">
          <a:extLst>
            <a:ext uri="{FF2B5EF4-FFF2-40B4-BE49-F238E27FC236}">
              <a16:creationId xmlns:a16="http://schemas.microsoft.com/office/drawing/2014/main" id="{00000000-0008-0000-0A00-00001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5" name="Shape 3">
          <a:extLst>
            <a:ext uri="{FF2B5EF4-FFF2-40B4-BE49-F238E27FC236}">
              <a16:creationId xmlns:a16="http://schemas.microsoft.com/office/drawing/2014/main" id="{00000000-0008-0000-0A00-00001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6" name="Shape 3">
          <a:extLst>
            <a:ext uri="{FF2B5EF4-FFF2-40B4-BE49-F238E27FC236}">
              <a16:creationId xmlns:a16="http://schemas.microsoft.com/office/drawing/2014/main" id="{00000000-0008-0000-0A00-00001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7" name="Shape 3">
          <a:extLst>
            <a:ext uri="{FF2B5EF4-FFF2-40B4-BE49-F238E27FC236}">
              <a16:creationId xmlns:a16="http://schemas.microsoft.com/office/drawing/2014/main" id="{00000000-0008-0000-0A00-00001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8" name="Shape 3">
          <a:extLst>
            <a:ext uri="{FF2B5EF4-FFF2-40B4-BE49-F238E27FC236}">
              <a16:creationId xmlns:a16="http://schemas.microsoft.com/office/drawing/2014/main" id="{00000000-0008-0000-0A00-00001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49" name="Shape 3">
          <a:extLst>
            <a:ext uri="{FF2B5EF4-FFF2-40B4-BE49-F238E27FC236}">
              <a16:creationId xmlns:a16="http://schemas.microsoft.com/office/drawing/2014/main" id="{00000000-0008-0000-0A00-00001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11</xdr:row>
      <xdr:rowOff>0</xdr:rowOff>
    </xdr:from>
    <xdr:ext cx="257175" cy="323850"/>
    <xdr:sp macro="" textlink="">
      <xdr:nvSpPr>
        <xdr:cNvPr id="1050" name="Shape 3">
          <a:extLst>
            <a:ext uri="{FF2B5EF4-FFF2-40B4-BE49-F238E27FC236}">
              <a16:creationId xmlns:a16="http://schemas.microsoft.com/office/drawing/2014/main" id="{00000000-0008-0000-0A00-00001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1" name="Shape 3">
          <a:extLst>
            <a:ext uri="{FF2B5EF4-FFF2-40B4-BE49-F238E27FC236}">
              <a16:creationId xmlns:a16="http://schemas.microsoft.com/office/drawing/2014/main" id="{00000000-0008-0000-0A00-00001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2" name="Shape 3">
          <a:extLst>
            <a:ext uri="{FF2B5EF4-FFF2-40B4-BE49-F238E27FC236}">
              <a16:creationId xmlns:a16="http://schemas.microsoft.com/office/drawing/2014/main" id="{00000000-0008-0000-0A00-00001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3" name="Shape 3">
          <a:extLst>
            <a:ext uri="{FF2B5EF4-FFF2-40B4-BE49-F238E27FC236}">
              <a16:creationId xmlns:a16="http://schemas.microsoft.com/office/drawing/2014/main" id="{00000000-0008-0000-0A00-00001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4" name="Shape 3">
          <a:extLst>
            <a:ext uri="{FF2B5EF4-FFF2-40B4-BE49-F238E27FC236}">
              <a16:creationId xmlns:a16="http://schemas.microsoft.com/office/drawing/2014/main" id="{00000000-0008-0000-0A00-00001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5" name="Shape 4">
          <a:extLst>
            <a:ext uri="{FF2B5EF4-FFF2-40B4-BE49-F238E27FC236}">
              <a16:creationId xmlns:a16="http://schemas.microsoft.com/office/drawing/2014/main" id="{00000000-0008-0000-0A00-00001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6" name="Shape 4">
          <a:extLst>
            <a:ext uri="{FF2B5EF4-FFF2-40B4-BE49-F238E27FC236}">
              <a16:creationId xmlns:a16="http://schemas.microsoft.com/office/drawing/2014/main" id="{00000000-0008-0000-0A00-00002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7" name="Shape 4">
          <a:extLst>
            <a:ext uri="{FF2B5EF4-FFF2-40B4-BE49-F238E27FC236}">
              <a16:creationId xmlns:a16="http://schemas.microsoft.com/office/drawing/2014/main" id="{00000000-0008-0000-0A00-00002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12</xdr:row>
      <xdr:rowOff>0</xdr:rowOff>
    </xdr:from>
    <xdr:ext cx="247650" cy="323850"/>
    <xdr:sp macro="" textlink="">
      <xdr:nvSpPr>
        <xdr:cNvPr id="1058" name="Shape 4">
          <a:extLst>
            <a:ext uri="{FF2B5EF4-FFF2-40B4-BE49-F238E27FC236}">
              <a16:creationId xmlns:a16="http://schemas.microsoft.com/office/drawing/2014/main" id="{00000000-0008-0000-0A00-00002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59" name="Shape 3">
          <a:extLst>
            <a:ext uri="{FF2B5EF4-FFF2-40B4-BE49-F238E27FC236}">
              <a16:creationId xmlns:a16="http://schemas.microsoft.com/office/drawing/2014/main" id="{00000000-0008-0000-0A00-00002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0" name="Shape 3">
          <a:extLst>
            <a:ext uri="{FF2B5EF4-FFF2-40B4-BE49-F238E27FC236}">
              <a16:creationId xmlns:a16="http://schemas.microsoft.com/office/drawing/2014/main" id="{00000000-0008-0000-0A00-00002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1" name="Shape 3">
          <a:extLst>
            <a:ext uri="{FF2B5EF4-FFF2-40B4-BE49-F238E27FC236}">
              <a16:creationId xmlns:a16="http://schemas.microsoft.com/office/drawing/2014/main" id="{00000000-0008-0000-0A00-00002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2" name="Shape 3">
          <a:extLst>
            <a:ext uri="{FF2B5EF4-FFF2-40B4-BE49-F238E27FC236}">
              <a16:creationId xmlns:a16="http://schemas.microsoft.com/office/drawing/2014/main" id="{00000000-0008-0000-0A00-00002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3" name="Shape 3">
          <a:extLst>
            <a:ext uri="{FF2B5EF4-FFF2-40B4-BE49-F238E27FC236}">
              <a16:creationId xmlns:a16="http://schemas.microsoft.com/office/drawing/2014/main" id="{00000000-0008-0000-0A00-00002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12</xdr:row>
      <xdr:rowOff>0</xdr:rowOff>
    </xdr:from>
    <xdr:ext cx="257175" cy="323850"/>
    <xdr:sp macro="" textlink="">
      <xdr:nvSpPr>
        <xdr:cNvPr id="1064" name="Shape 3">
          <a:extLst>
            <a:ext uri="{FF2B5EF4-FFF2-40B4-BE49-F238E27FC236}">
              <a16:creationId xmlns:a16="http://schemas.microsoft.com/office/drawing/2014/main" id="{00000000-0008-0000-0A00-00002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5" name="Shape 3">
          <a:extLst>
            <a:ext uri="{FF2B5EF4-FFF2-40B4-BE49-F238E27FC236}">
              <a16:creationId xmlns:a16="http://schemas.microsoft.com/office/drawing/2014/main" id="{00000000-0008-0000-0A00-00002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6" name="Shape 3">
          <a:extLst>
            <a:ext uri="{FF2B5EF4-FFF2-40B4-BE49-F238E27FC236}">
              <a16:creationId xmlns:a16="http://schemas.microsoft.com/office/drawing/2014/main" id="{00000000-0008-0000-0A00-00002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7" name="Shape 3">
          <a:extLst>
            <a:ext uri="{FF2B5EF4-FFF2-40B4-BE49-F238E27FC236}">
              <a16:creationId xmlns:a16="http://schemas.microsoft.com/office/drawing/2014/main" id="{00000000-0008-0000-0A00-00002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68" name="Shape 3">
          <a:extLst>
            <a:ext uri="{FF2B5EF4-FFF2-40B4-BE49-F238E27FC236}">
              <a16:creationId xmlns:a16="http://schemas.microsoft.com/office/drawing/2014/main" id="{00000000-0008-0000-0A00-00002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69" name="Shape 4">
          <a:extLst>
            <a:ext uri="{FF2B5EF4-FFF2-40B4-BE49-F238E27FC236}">
              <a16:creationId xmlns:a16="http://schemas.microsoft.com/office/drawing/2014/main" id="{00000000-0008-0000-0A00-00002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0" name="Shape 4">
          <a:extLst>
            <a:ext uri="{FF2B5EF4-FFF2-40B4-BE49-F238E27FC236}">
              <a16:creationId xmlns:a16="http://schemas.microsoft.com/office/drawing/2014/main" id="{00000000-0008-0000-0A00-00002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1" name="Shape 4">
          <a:extLst>
            <a:ext uri="{FF2B5EF4-FFF2-40B4-BE49-F238E27FC236}">
              <a16:creationId xmlns:a16="http://schemas.microsoft.com/office/drawing/2014/main" id="{00000000-0008-0000-0A00-00002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13</xdr:row>
      <xdr:rowOff>0</xdr:rowOff>
    </xdr:from>
    <xdr:ext cx="247650" cy="323850"/>
    <xdr:sp macro="" textlink="">
      <xdr:nvSpPr>
        <xdr:cNvPr id="1072" name="Shape 4">
          <a:extLst>
            <a:ext uri="{FF2B5EF4-FFF2-40B4-BE49-F238E27FC236}">
              <a16:creationId xmlns:a16="http://schemas.microsoft.com/office/drawing/2014/main" id="{00000000-0008-0000-0A00-00003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3" name="Shape 3">
          <a:extLst>
            <a:ext uri="{FF2B5EF4-FFF2-40B4-BE49-F238E27FC236}">
              <a16:creationId xmlns:a16="http://schemas.microsoft.com/office/drawing/2014/main" id="{00000000-0008-0000-0A00-00003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4" name="Shape 3">
          <a:extLst>
            <a:ext uri="{FF2B5EF4-FFF2-40B4-BE49-F238E27FC236}">
              <a16:creationId xmlns:a16="http://schemas.microsoft.com/office/drawing/2014/main" id="{00000000-0008-0000-0A00-00003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5" name="Shape 3">
          <a:extLst>
            <a:ext uri="{FF2B5EF4-FFF2-40B4-BE49-F238E27FC236}">
              <a16:creationId xmlns:a16="http://schemas.microsoft.com/office/drawing/2014/main" id="{00000000-0008-0000-0A00-00003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6" name="Shape 3">
          <a:extLst>
            <a:ext uri="{FF2B5EF4-FFF2-40B4-BE49-F238E27FC236}">
              <a16:creationId xmlns:a16="http://schemas.microsoft.com/office/drawing/2014/main" id="{00000000-0008-0000-0A00-00003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7" name="Shape 3">
          <a:extLst>
            <a:ext uri="{FF2B5EF4-FFF2-40B4-BE49-F238E27FC236}">
              <a16:creationId xmlns:a16="http://schemas.microsoft.com/office/drawing/2014/main" id="{00000000-0008-0000-0A00-00003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8" name="Shape 3">
          <a:extLst>
            <a:ext uri="{FF2B5EF4-FFF2-40B4-BE49-F238E27FC236}">
              <a16:creationId xmlns:a16="http://schemas.microsoft.com/office/drawing/2014/main" id="{00000000-0008-0000-0A00-00003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13</xdr:row>
      <xdr:rowOff>0</xdr:rowOff>
    </xdr:from>
    <xdr:ext cx="257175" cy="323850"/>
    <xdr:sp macro="" textlink="">
      <xdr:nvSpPr>
        <xdr:cNvPr id="1079" name="Shape 3">
          <a:extLst>
            <a:ext uri="{FF2B5EF4-FFF2-40B4-BE49-F238E27FC236}">
              <a16:creationId xmlns:a16="http://schemas.microsoft.com/office/drawing/2014/main" id="{00000000-0008-0000-0A00-00003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0" name="Shape 3">
          <a:extLst>
            <a:ext uri="{FF2B5EF4-FFF2-40B4-BE49-F238E27FC236}">
              <a16:creationId xmlns:a16="http://schemas.microsoft.com/office/drawing/2014/main" id="{00000000-0008-0000-0A00-00003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1" name="Shape 3">
          <a:extLst>
            <a:ext uri="{FF2B5EF4-FFF2-40B4-BE49-F238E27FC236}">
              <a16:creationId xmlns:a16="http://schemas.microsoft.com/office/drawing/2014/main" id="{00000000-0008-0000-0A00-00003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2" name="Shape 3">
          <a:extLst>
            <a:ext uri="{FF2B5EF4-FFF2-40B4-BE49-F238E27FC236}">
              <a16:creationId xmlns:a16="http://schemas.microsoft.com/office/drawing/2014/main" id="{00000000-0008-0000-0A00-00003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3" name="Shape 3">
          <a:extLst>
            <a:ext uri="{FF2B5EF4-FFF2-40B4-BE49-F238E27FC236}">
              <a16:creationId xmlns:a16="http://schemas.microsoft.com/office/drawing/2014/main" id="{00000000-0008-0000-0A00-00003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4" name="Shape 4">
          <a:extLst>
            <a:ext uri="{FF2B5EF4-FFF2-40B4-BE49-F238E27FC236}">
              <a16:creationId xmlns:a16="http://schemas.microsoft.com/office/drawing/2014/main" id="{00000000-0008-0000-0A00-00003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5" name="Shape 4">
          <a:extLst>
            <a:ext uri="{FF2B5EF4-FFF2-40B4-BE49-F238E27FC236}">
              <a16:creationId xmlns:a16="http://schemas.microsoft.com/office/drawing/2014/main" id="{00000000-0008-0000-0A00-00003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6" name="Shape 4">
          <a:extLst>
            <a:ext uri="{FF2B5EF4-FFF2-40B4-BE49-F238E27FC236}">
              <a16:creationId xmlns:a16="http://schemas.microsoft.com/office/drawing/2014/main" id="{00000000-0008-0000-0A00-00003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14</xdr:row>
      <xdr:rowOff>0</xdr:rowOff>
    </xdr:from>
    <xdr:ext cx="247650" cy="323850"/>
    <xdr:sp macro="" textlink="">
      <xdr:nvSpPr>
        <xdr:cNvPr id="1087" name="Shape 4">
          <a:extLst>
            <a:ext uri="{FF2B5EF4-FFF2-40B4-BE49-F238E27FC236}">
              <a16:creationId xmlns:a16="http://schemas.microsoft.com/office/drawing/2014/main" id="{00000000-0008-0000-0A00-00003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8" name="Shape 3">
          <a:extLst>
            <a:ext uri="{FF2B5EF4-FFF2-40B4-BE49-F238E27FC236}">
              <a16:creationId xmlns:a16="http://schemas.microsoft.com/office/drawing/2014/main" id="{00000000-0008-0000-0A00-00004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89" name="Shape 3">
          <a:extLst>
            <a:ext uri="{FF2B5EF4-FFF2-40B4-BE49-F238E27FC236}">
              <a16:creationId xmlns:a16="http://schemas.microsoft.com/office/drawing/2014/main" id="{00000000-0008-0000-0A00-00004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0" name="Shape 3">
          <a:extLst>
            <a:ext uri="{FF2B5EF4-FFF2-40B4-BE49-F238E27FC236}">
              <a16:creationId xmlns:a16="http://schemas.microsoft.com/office/drawing/2014/main" id="{00000000-0008-0000-0A00-00004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1" name="Shape 3">
          <a:extLst>
            <a:ext uri="{FF2B5EF4-FFF2-40B4-BE49-F238E27FC236}">
              <a16:creationId xmlns:a16="http://schemas.microsoft.com/office/drawing/2014/main" id="{00000000-0008-0000-0A00-00004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2" name="Shape 3">
          <a:extLst>
            <a:ext uri="{FF2B5EF4-FFF2-40B4-BE49-F238E27FC236}">
              <a16:creationId xmlns:a16="http://schemas.microsoft.com/office/drawing/2014/main" id="{00000000-0008-0000-0A00-00004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3" name="Shape 3">
          <a:extLst>
            <a:ext uri="{FF2B5EF4-FFF2-40B4-BE49-F238E27FC236}">
              <a16:creationId xmlns:a16="http://schemas.microsoft.com/office/drawing/2014/main" id="{00000000-0008-0000-0A00-00004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14</xdr:row>
      <xdr:rowOff>0</xdr:rowOff>
    </xdr:from>
    <xdr:ext cx="257175" cy="323850"/>
    <xdr:sp macro="" textlink="">
      <xdr:nvSpPr>
        <xdr:cNvPr id="1094" name="Shape 3">
          <a:extLst>
            <a:ext uri="{FF2B5EF4-FFF2-40B4-BE49-F238E27FC236}">
              <a16:creationId xmlns:a16="http://schemas.microsoft.com/office/drawing/2014/main" id="{00000000-0008-0000-0A00-00004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5" name="Shape 3">
          <a:extLst>
            <a:ext uri="{FF2B5EF4-FFF2-40B4-BE49-F238E27FC236}">
              <a16:creationId xmlns:a16="http://schemas.microsoft.com/office/drawing/2014/main" id="{00000000-0008-0000-0A00-00004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6" name="Shape 3">
          <a:extLst>
            <a:ext uri="{FF2B5EF4-FFF2-40B4-BE49-F238E27FC236}">
              <a16:creationId xmlns:a16="http://schemas.microsoft.com/office/drawing/2014/main" id="{00000000-0008-0000-0A00-00004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7" name="Shape 3">
          <a:extLst>
            <a:ext uri="{FF2B5EF4-FFF2-40B4-BE49-F238E27FC236}">
              <a16:creationId xmlns:a16="http://schemas.microsoft.com/office/drawing/2014/main" id="{00000000-0008-0000-0A00-00004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098" name="Shape 3">
          <a:extLst>
            <a:ext uri="{FF2B5EF4-FFF2-40B4-BE49-F238E27FC236}">
              <a16:creationId xmlns:a16="http://schemas.microsoft.com/office/drawing/2014/main" id="{00000000-0008-0000-0A00-00004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099" name="Shape 4">
          <a:extLst>
            <a:ext uri="{FF2B5EF4-FFF2-40B4-BE49-F238E27FC236}">
              <a16:creationId xmlns:a16="http://schemas.microsoft.com/office/drawing/2014/main" id="{00000000-0008-0000-0A00-00004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0" name="Shape 4">
          <a:extLst>
            <a:ext uri="{FF2B5EF4-FFF2-40B4-BE49-F238E27FC236}">
              <a16:creationId xmlns:a16="http://schemas.microsoft.com/office/drawing/2014/main" id="{00000000-0008-0000-0A00-00004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1" name="Shape 4">
          <a:extLst>
            <a:ext uri="{FF2B5EF4-FFF2-40B4-BE49-F238E27FC236}">
              <a16:creationId xmlns:a16="http://schemas.microsoft.com/office/drawing/2014/main" id="{00000000-0008-0000-0A00-00004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15</xdr:row>
      <xdr:rowOff>0</xdr:rowOff>
    </xdr:from>
    <xdr:ext cx="247650" cy="323850"/>
    <xdr:sp macro="" textlink="">
      <xdr:nvSpPr>
        <xdr:cNvPr id="1102" name="Shape 4">
          <a:extLst>
            <a:ext uri="{FF2B5EF4-FFF2-40B4-BE49-F238E27FC236}">
              <a16:creationId xmlns:a16="http://schemas.microsoft.com/office/drawing/2014/main" id="{00000000-0008-0000-0A00-00004E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3" name="Shape 3">
          <a:extLst>
            <a:ext uri="{FF2B5EF4-FFF2-40B4-BE49-F238E27FC236}">
              <a16:creationId xmlns:a16="http://schemas.microsoft.com/office/drawing/2014/main" id="{00000000-0008-0000-0A00-00004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4" name="Shape 3">
          <a:extLst>
            <a:ext uri="{FF2B5EF4-FFF2-40B4-BE49-F238E27FC236}">
              <a16:creationId xmlns:a16="http://schemas.microsoft.com/office/drawing/2014/main" id="{00000000-0008-0000-0A00-00005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5" name="Shape 3">
          <a:extLst>
            <a:ext uri="{FF2B5EF4-FFF2-40B4-BE49-F238E27FC236}">
              <a16:creationId xmlns:a16="http://schemas.microsoft.com/office/drawing/2014/main" id="{00000000-0008-0000-0A00-00005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6" name="Shape 3">
          <a:extLst>
            <a:ext uri="{FF2B5EF4-FFF2-40B4-BE49-F238E27FC236}">
              <a16:creationId xmlns:a16="http://schemas.microsoft.com/office/drawing/2014/main" id="{00000000-0008-0000-0A00-00005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7" name="Shape 3">
          <a:extLst>
            <a:ext uri="{FF2B5EF4-FFF2-40B4-BE49-F238E27FC236}">
              <a16:creationId xmlns:a16="http://schemas.microsoft.com/office/drawing/2014/main" id="{00000000-0008-0000-0A00-00005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8" name="Shape 3">
          <a:extLst>
            <a:ext uri="{FF2B5EF4-FFF2-40B4-BE49-F238E27FC236}">
              <a16:creationId xmlns:a16="http://schemas.microsoft.com/office/drawing/2014/main" id="{00000000-0008-0000-0A00-00005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257175" cy="323850"/>
    <xdr:sp macro="" textlink="">
      <xdr:nvSpPr>
        <xdr:cNvPr id="1109" name="Shape 3">
          <a:extLst>
            <a:ext uri="{FF2B5EF4-FFF2-40B4-BE49-F238E27FC236}">
              <a16:creationId xmlns:a16="http://schemas.microsoft.com/office/drawing/2014/main" id="{00000000-0008-0000-0A00-00005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0" name="Shape 3">
          <a:extLst>
            <a:ext uri="{FF2B5EF4-FFF2-40B4-BE49-F238E27FC236}">
              <a16:creationId xmlns:a16="http://schemas.microsoft.com/office/drawing/2014/main" id="{00000000-0008-0000-0A00-00005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1" name="Shape 3">
          <a:extLst>
            <a:ext uri="{FF2B5EF4-FFF2-40B4-BE49-F238E27FC236}">
              <a16:creationId xmlns:a16="http://schemas.microsoft.com/office/drawing/2014/main" id="{00000000-0008-0000-0A00-00005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2" name="Shape 3">
          <a:extLst>
            <a:ext uri="{FF2B5EF4-FFF2-40B4-BE49-F238E27FC236}">
              <a16:creationId xmlns:a16="http://schemas.microsoft.com/office/drawing/2014/main" id="{00000000-0008-0000-0A00-00005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3" name="Shape 3">
          <a:extLst>
            <a:ext uri="{FF2B5EF4-FFF2-40B4-BE49-F238E27FC236}">
              <a16:creationId xmlns:a16="http://schemas.microsoft.com/office/drawing/2014/main" id="{00000000-0008-0000-0A00-00005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4" name="Shape 4">
          <a:extLst>
            <a:ext uri="{FF2B5EF4-FFF2-40B4-BE49-F238E27FC236}">
              <a16:creationId xmlns:a16="http://schemas.microsoft.com/office/drawing/2014/main" id="{00000000-0008-0000-0A00-00005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5" name="Shape 4">
          <a:extLst>
            <a:ext uri="{FF2B5EF4-FFF2-40B4-BE49-F238E27FC236}">
              <a16:creationId xmlns:a16="http://schemas.microsoft.com/office/drawing/2014/main" id="{00000000-0008-0000-0A00-00005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6" name="Shape 4">
          <a:extLst>
            <a:ext uri="{FF2B5EF4-FFF2-40B4-BE49-F238E27FC236}">
              <a16:creationId xmlns:a16="http://schemas.microsoft.com/office/drawing/2014/main" id="{00000000-0008-0000-0A00-00005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16</xdr:row>
      <xdr:rowOff>0</xdr:rowOff>
    </xdr:from>
    <xdr:ext cx="247650" cy="323850"/>
    <xdr:sp macro="" textlink="">
      <xdr:nvSpPr>
        <xdr:cNvPr id="1117" name="Shape 4">
          <a:extLst>
            <a:ext uri="{FF2B5EF4-FFF2-40B4-BE49-F238E27FC236}">
              <a16:creationId xmlns:a16="http://schemas.microsoft.com/office/drawing/2014/main" id="{00000000-0008-0000-0A00-00005D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8" name="Shape 3">
          <a:extLst>
            <a:ext uri="{FF2B5EF4-FFF2-40B4-BE49-F238E27FC236}">
              <a16:creationId xmlns:a16="http://schemas.microsoft.com/office/drawing/2014/main" id="{00000000-0008-0000-0A00-00005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19" name="Shape 3">
          <a:extLst>
            <a:ext uri="{FF2B5EF4-FFF2-40B4-BE49-F238E27FC236}">
              <a16:creationId xmlns:a16="http://schemas.microsoft.com/office/drawing/2014/main" id="{00000000-0008-0000-0A00-00005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0" name="Shape 3">
          <a:extLst>
            <a:ext uri="{FF2B5EF4-FFF2-40B4-BE49-F238E27FC236}">
              <a16:creationId xmlns:a16="http://schemas.microsoft.com/office/drawing/2014/main" id="{00000000-0008-0000-0A00-00006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1" name="Shape 3">
          <a:extLst>
            <a:ext uri="{FF2B5EF4-FFF2-40B4-BE49-F238E27FC236}">
              <a16:creationId xmlns:a16="http://schemas.microsoft.com/office/drawing/2014/main" id="{00000000-0008-0000-0A00-00006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2" name="Shape 3">
          <a:extLst>
            <a:ext uri="{FF2B5EF4-FFF2-40B4-BE49-F238E27FC236}">
              <a16:creationId xmlns:a16="http://schemas.microsoft.com/office/drawing/2014/main" id="{00000000-0008-0000-0A00-00006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3" name="Shape 3">
          <a:extLst>
            <a:ext uri="{FF2B5EF4-FFF2-40B4-BE49-F238E27FC236}">
              <a16:creationId xmlns:a16="http://schemas.microsoft.com/office/drawing/2014/main" id="{00000000-0008-0000-0A00-00006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16</xdr:row>
      <xdr:rowOff>0</xdr:rowOff>
    </xdr:from>
    <xdr:ext cx="257175" cy="323850"/>
    <xdr:sp macro="" textlink="">
      <xdr:nvSpPr>
        <xdr:cNvPr id="1124" name="Shape 3">
          <a:extLst>
            <a:ext uri="{FF2B5EF4-FFF2-40B4-BE49-F238E27FC236}">
              <a16:creationId xmlns:a16="http://schemas.microsoft.com/office/drawing/2014/main" id="{00000000-0008-0000-0A00-00006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5" name="Shape 3">
          <a:extLst>
            <a:ext uri="{FF2B5EF4-FFF2-40B4-BE49-F238E27FC236}">
              <a16:creationId xmlns:a16="http://schemas.microsoft.com/office/drawing/2014/main" id="{00000000-0008-0000-0A00-00006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6" name="Shape 3">
          <a:extLst>
            <a:ext uri="{FF2B5EF4-FFF2-40B4-BE49-F238E27FC236}">
              <a16:creationId xmlns:a16="http://schemas.microsoft.com/office/drawing/2014/main" id="{00000000-0008-0000-0A00-00006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7" name="Shape 3">
          <a:extLst>
            <a:ext uri="{FF2B5EF4-FFF2-40B4-BE49-F238E27FC236}">
              <a16:creationId xmlns:a16="http://schemas.microsoft.com/office/drawing/2014/main" id="{00000000-0008-0000-0A00-00006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00000000-0008-0000-0A00-00006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29" name="Shape 4">
          <a:extLst>
            <a:ext uri="{FF2B5EF4-FFF2-40B4-BE49-F238E27FC236}">
              <a16:creationId xmlns:a16="http://schemas.microsoft.com/office/drawing/2014/main" id="{00000000-0008-0000-0A00-00006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0" name="Shape 4">
          <a:extLst>
            <a:ext uri="{FF2B5EF4-FFF2-40B4-BE49-F238E27FC236}">
              <a16:creationId xmlns:a16="http://schemas.microsoft.com/office/drawing/2014/main" id="{00000000-0008-0000-0A00-00006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1" name="Shape 4">
          <a:extLst>
            <a:ext uri="{FF2B5EF4-FFF2-40B4-BE49-F238E27FC236}">
              <a16:creationId xmlns:a16="http://schemas.microsoft.com/office/drawing/2014/main" id="{00000000-0008-0000-0A00-00006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17</xdr:row>
      <xdr:rowOff>0</xdr:rowOff>
    </xdr:from>
    <xdr:ext cx="247650" cy="323850"/>
    <xdr:sp macro="" textlink="">
      <xdr:nvSpPr>
        <xdr:cNvPr id="1132" name="Shape 4">
          <a:extLst>
            <a:ext uri="{FF2B5EF4-FFF2-40B4-BE49-F238E27FC236}">
              <a16:creationId xmlns:a16="http://schemas.microsoft.com/office/drawing/2014/main" id="{00000000-0008-0000-0A00-00006C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3" name="Shape 3">
          <a:extLst>
            <a:ext uri="{FF2B5EF4-FFF2-40B4-BE49-F238E27FC236}">
              <a16:creationId xmlns:a16="http://schemas.microsoft.com/office/drawing/2014/main" id="{00000000-0008-0000-0A00-00006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00000000-0008-0000-0A00-00006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00000000-0008-0000-0A00-00006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6" name="Shape 3">
          <a:extLst>
            <a:ext uri="{FF2B5EF4-FFF2-40B4-BE49-F238E27FC236}">
              <a16:creationId xmlns:a16="http://schemas.microsoft.com/office/drawing/2014/main" id="{00000000-0008-0000-0A00-00007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7" name="Shape 3">
          <a:extLst>
            <a:ext uri="{FF2B5EF4-FFF2-40B4-BE49-F238E27FC236}">
              <a16:creationId xmlns:a16="http://schemas.microsoft.com/office/drawing/2014/main" id="{00000000-0008-0000-0A00-00007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8" name="Shape 3">
          <a:extLst>
            <a:ext uri="{FF2B5EF4-FFF2-40B4-BE49-F238E27FC236}">
              <a16:creationId xmlns:a16="http://schemas.microsoft.com/office/drawing/2014/main" id="{00000000-0008-0000-0A00-00007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17</xdr:row>
      <xdr:rowOff>0</xdr:rowOff>
    </xdr:from>
    <xdr:ext cx="257175" cy="323850"/>
    <xdr:sp macro="" textlink="">
      <xdr:nvSpPr>
        <xdr:cNvPr id="1139" name="Shape 3">
          <a:extLst>
            <a:ext uri="{FF2B5EF4-FFF2-40B4-BE49-F238E27FC236}">
              <a16:creationId xmlns:a16="http://schemas.microsoft.com/office/drawing/2014/main" id="{00000000-0008-0000-0A00-00007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0" name="Shape 3">
          <a:extLst>
            <a:ext uri="{FF2B5EF4-FFF2-40B4-BE49-F238E27FC236}">
              <a16:creationId xmlns:a16="http://schemas.microsoft.com/office/drawing/2014/main" id="{00000000-0008-0000-0A00-00007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1" name="Shape 3">
          <a:extLst>
            <a:ext uri="{FF2B5EF4-FFF2-40B4-BE49-F238E27FC236}">
              <a16:creationId xmlns:a16="http://schemas.microsoft.com/office/drawing/2014/main" id="{00000000-0008-0000-0A00-00007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2" name="Shape 3">
          <a:extLst>
            <a:ext uri="{FF2B5EF4-FFF2-40B4-BE49-F238E27FC236}">
              <a16:creationId xmlns:a16="http://schemas.microsoft.com/office/drawing/2014/main" id="{00000000-0008-0000-0A00-00007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3" name="Shape 3">
          <a:extLst>
            <a:ext uri="{FF2B5EF4-FFF2-40B4-BE49-F238E27FC236}">
              <a16:creationId xmlns:a16="http://schemas.microsoft.com/office/drawing/2014/main" id="{00000000-0008-0000-0A00-00007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4" name="Shape 4">
          <a:extLst>
            <a:ext uri="{FF2B5EF4-FFF2-40B4-BE49-F238E27FC236}">
              <a16:creationId xmlns:a16="http://schemas.microsoft.com/office/drawing/2014/main" id="{00000000-0008-0000-0A00-00007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5" name="Shape 4">
          <a:extLst>
            <a:ext uri="{FF2B5EF4-FFF2-40B4-BE49-F238E27FC236}">
              <a16:creationId xmlns:a16="http://schemas.microsoft.com/office/drawing/2014/main" id="{00000000-0008-0000-0A00-00007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6" name="Shape 4">
          <a:extLst>
            <a:ext uri="{FF2B5EF4-FFF2-40B4-BE49-F238E27FC236}">
              <a16:creationId xmlns:a16="http://schemas.microsoft.com/office/drawing/2014/main" id="{00000000-0008-0000-0A00-00007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18</xdr:row>
      <xdr:rowOff>0</xdr:rowOff>
    </xdr:from>
    <xdr:ext cx="247650" cy="323850"/>
    <xdr:sp macro="" textlink="">
      <xdr:nvSpPr>
        <xdr:cNvPr id="1147" name="Shape 4">
          <a:extLst>
            <a:ext uri="{FF2B5EF4-FFF2-40B4-BE49-F238E27FC236}">
              <a16:creationId xmlns:a16="http://schemas.microsoft.com/office/drawing/2014/main" id="{00000000-0008-0000-0A00-00007B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8" name="Shape 3">
          <a:extLst>
            <a:ext uri="{FF2B5EF4-FFF2-40B4-BE49-F238E27FC236}">
              <a16:creationId xmlns:a16="http://schemas.microsoft.com/office/drawing/2014/main" id="{00000000-0008-0000-0A00-00007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49" name="Shape 3">
          <a:extLst>
            <a:ext uri="{FF2B5EF4-FFF2-40B4-BE49-F238E27FC236}">
              <a16:creationId xmlns:a16="http://schemas.microsoft.com/office/drawing/2014/main" id="{00000000-0008-0000-0A00-00007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0" name="Shape 3">
          <a:extLst>
            <a:ext uri="{FF2B5EF4-FFF2-40B4-BE49-F238E27FC236}">
              <a16:creationId xmlns:a16="http://schemas.microsoft.com/office/drawing/2014/main" id="{00000000-0008-0000-0A00-00007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1" name="Shape 3">
          <a:extLst>
            <a:ext uri="{FF2B5EF4-FFF2-40B4-BE49-F238E27FC236}">
              <a16:creationId xmlns:a16="http://schemas.microsoft.com/office/drawing/2014/main" id="{00000000-0008-0000-0A00-00007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2" name="Shape 3">
          <a:extLst>
            <a:ext uri="{FF2B5EF4-FFF2-40B4-BE49-F238E27FC236}">
              <a16:creationId xmlns:a16="http://schemas.microsoft.com/office/drawing/2014/main" id="{00000000-0008-0000-0A00-00008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3" name="Shape 3">
          <a:extLst>
            <a:ext uri="{FF2B5EF4-FFF2-40B4-BE49-F238E27FC236}">
              <a16:creationId xmlns:a16="http://schemas.microsoft.com/office/drawing/2014/main" id="{00000000-0008-0000-0A00-00008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18</xdr:row>
      <xdr:rowOff>0</xdr:rowOff>
    </xdr:from>
    <xdr:ext cx="257175" cy="323850"/>
    <xdr:sp macro="" textlink="">
      <xdr:nvSpPr>
        <xdr:cNvPr id="1154" name="Shape 3">
          <a:extLst>
            <a:ext uri="{FF2B5EF4-FFF2-40B4-BE49-F238E27FC236}">
              <a16:creationId xmlns:a16="http://schemas.microsoft.com/office/drawing/2014/main" id="{00000000-0008-0000-0A00-00008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5" name="Shape 5">
          <a:extLst>
            <a:ext uri="{FF2B5EF4-FFF2-40B4-BE49-F238E27FC236}">
              <a16:creationId xmlns:a16="http://schemas.microsoft.com/office/drawing/2014/main" id="{00000000-0008-0000-0A00-00008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6" name="Shape 5">
          <a:extLst>
            <a:ext uri="{FF2B5EF4-FFF2-40B4-BE49-F238E27FC236}">
              <a16:creationId xmlns:a16="http://schemas.microsoft.com/office/drawing/2014/main" id="{00000000-0008-0000-0A00-00008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7" name="Shape 5">
          <a:extLst>
            <a:ext uri="{FF2B5EF4-FFF2-40B4-BE49-F238E27FC236}">
              <a16:creationId xmlns:a16="http://schemas.microsoft.com/office/drawing/2014/main" id="{00000000-0008-0000-0A00-00008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58" name="Shape 5">
          <a:extLst>
            <a:ext uri="{FF2B5EF4-FFF2-40B4-BE49-F238E27FC236}">
              <a16:creationId xmlns:a16="http://schemas.microsoft.com/office/drawing/2014/main" id="{00000000-0008-0000-0A00-00008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59" name="Shape 6">
          <a:extLst>
            <a:ext uri="{FF2B5EF4-FFF2-40B4-BE49-F238E27FC236}">
              <a16:creationId xmlns:a16="http://schemas.microsoft.com/office/drawing/2014/main" id="{00000000-0008-0000-0A00-00008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0" name="Shape 6">
          <a:extLst>
            <a:ext uri="{FF2B5EF4-FFF2-40B4-BE49-F238E27FC236}">
              <a16:creationId xmlns:a16="http://schemas.microsoft.com/office/drawing/2014/main" id="{00000000-0008-0000-0A00-00008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1" name="Shape 6">
          <a:extLst>
            <a:ext uri="{FF2B5EF4-FFF2-40B4-BE49-F238E27FC236}">
              <a16:creationId xmlns:a16="http://schemas.microsoft.com/office/drawing/2014/main" id="{00000000-0008-0000-0A00-00008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19</xdr:row>
      <xdr:rowOff>0</xdr:rowOff>
    </xdr:from>
    <xdr:ext cx="247650" cy="323850"/>
    <xdr:sp macro="" textlink="">
      <xdr:nvSpPr>
        <xdr:cNvPr id="1162" name="Shape 6">
          <a:extLst>
            <a:ext uri="{FF2B5EF4-FFF2-40B4-BE49-F238E27FC236}">
              <a16:creationId xmlns:a16="http://schemas.microsoft.com/office/drawing/2014/main" id="{00000000-0008-0000-0A00-00008A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3" name="Shape 5">
          <a:extLst>
            <a:ext uri="{FF2B5EF4-FFF2-40B4-BE49-F238E27FC236}">
              <a16:creationId xmlns:a16="http://schemas.microsoft.com/office/drawing/2014/main" id="{00000000-0008-0000-0A00-00008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4" name="Shape 5">
          <a:extLst>
            <a:ext uri="{FF2B5EF4-FFF2-40B4-BE49-F238E27FC236}">
              <a16:creationId xmlns:a16="http://schemas.microsoft.com/office/drawing/2014/main" id="{00000000-0008-0000-0A00-00008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5" name="Shape 5">
          <a:extLst>
            <a:ext uri="{FF2B5EF4-FFF2-40B4-BE49-F238E27FC236}">
              <a16:creationId xmlns:a16="http://schemas.microsoft.com/office/drawing/2014/main" id="{00000000-0008-0000-0A00-00008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6" name="Shape 5">
          <a:extLst>
            <a:ext uri="{FF2B5EF4-FFF2-40B4-BE49-F238E27FC236}">
              <a16:creationId xmlns:a16="http://schemas.microsoft.com/office/drawing/2014/main" id="{00000000-0008-0000-0A00-00008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7" name="Shape 5">
          <a:extLst>
            <a:ext uri="{FF2B5EF4-FFF2-40B4-BE49-F238E27FC236}">
              <a16:creationId xmlns:a16="http://schemas.microsoft.com/office/drawing/2014/main" id="{00000000-0008-0000-0A00-00008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8" name="Shape 5">
          <a:extLst>
            <a:ext uri="{FF2B5EF4-FFF2-40B4-BE49-F238E27FC236}">
              <a16:creationId xmlns:a16="http://schemas.microsoft.com/office/drawing/2014/main" id="{00000000-0008-0000-0A00-00009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19</xdr:row>
      <xdr:rowOff>0</xdr:rowOff>
    </xdr:from>
    <xdr:ext cx="257175" cy="323850"/>
    <xdr:sp macro="" textlink="">
      <xdr:nvSpPr>
        <xdr:cNvPr id="1169" name="Shape 5">
          <a:extLst>
            <a:ext uri="{FF2B5EF4-FFF2-40B4-BE49-F238E27FC236}">
              <a16:creationId xmlns:a16="http://schemas.microsoft.com/office/drawing/2014/main" id="{00000000-0008-0000-0A00-00009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0" name="Shape 5">
          <a:extLst>
            <a:ext uri="{FF2B5EF4-FFF2-40B4-BE49-F238E27FC236}">
              <a16:creationId xmlns:a16="http://schemas.microsoft.com/office/drawing/2014/main" id="{00000000-0008-0000-0A00-00009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1" name="Shape 5">
          <a:extLst>
            <a:ext uri="{FF2B5EF4-FFF2-40B4-BE49-F238E27FC236}">
              <a16:creationId xmlns:a16="http://schemas.microsoft.com/office/drawing/2014/main" id="{00000000-0008-0000-0A00-00009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2" name="Shape 5">
          <a:extLst>
            <a:ext uri="{FF2B5EF4-FFF2-40B4-BE49-F238E27FC236}">
              <a16:creationId xmlns:a16="http://schemas.microsoft.com/office/drawing/2014/main" id="{00000000-0008-0000-0A00-00009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3" name="Shape 5">
          <a:extLst>
            <a:ext uri="{FF2B5EF4-FFF2-40B4-BE49-F238E27FC236}">
              <a16:creationId xmlns:a16="http://schemas.microsoft.com/office/drawing/2014/main" id="{00000000-0008-0000-0A00-00009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4" name="Shape 6">
          <a:extLst>
            <a:ext uri="{FF2B5EF4-FFF2-40B4-BE49-F238E27FC236}">
              <a16:creationId xmlns:a16="http://schemas.microsoft.com/office/drawing/2014/main" id="{00000000-0008-0000-0A00-00009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5" name="Shape 6">
          <a:extLst>
            <a:ext uri="{FF2B5EF4-FFF2-40B4-BE49-F238E27FC236}">
              <a16:creationId xmlns:a16="http://schemas.microsoft.com/office/drawing/2014/main" id="{00000000-0008-0000-0A00-00009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6" name="Shape 6">
          <a:extLst>
            <a:ext uri="{FF2B5EF4-FFF2-40B4-BE49-F238E27FC236}">
              <a16:creationId xmlns:a16="http://schemas.microsoft.com/office/drawing/2014/main" id="{00000000-0008-0000-0A00-00009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20</xdr:row>
      <xdr:rowOff>0</xdr:rowOff>
    </xdr:from>
    <xdr:ext cx="247650" cy="323850"/>
    <xdr:sp macro="" textlink="">
      <xdr:nvSpPr>
        <xdr:cNvPr id="1177" name="Shape 6">
          <a:extLst>
            <a:ext uri="{FF2B5EF4-FFF2-40B4-BE49-F238E27FC236}">
              <a16:creationId xmlns:a16="http://schemas.microsoft.com/office/drawing/2014/main" id="{00000000-0008-0000-0A00-000099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8" name="Shape 5">
          <a:extLst>
            <a:ext uri="{FF2B5EF4-FFF2-40B4-BE49-F238E27FC236}">
              <a16:creationId xmlns:a16="http://schemas.microsoft.com/office/drawing/2014/main" id="{00000000-0008-0000-0A00-00009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79" name="Shape 5">
          <a:extLst>
            <a:ext uri="{FF2B5EF4-FFF2-40B4-BE49-F238E27FC236}">
              <a16:creationId xmlns:a16="http://schemas.microsoft.com/office/drawing/2014/main" id="{00000000-0008-0000-0A00-00009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0" name="Shape 5">
          <a:extLst>
            <a:ext uri="{FF2B5EF4-FFF2-40B4-BE49-F238E27FC236}">
              <a16:creationId xmlns:a16="http://schemas.microsoft.com/office/drawing/2014/main" id="{00000000-0008-0000-0A00-00009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1" name="Shape 5">
          <a:extLst>
            <a:ext uri="{FF2B5EF4-FFF2-40B4-BE49-F238E27FC236}">
              <a16:creationId xmlns:a16="http://schemas.microsoft.com/office/drawing/2014/main" id="{00000000-0008-0000-0A00-00009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2" name="Shape 5">
          <a:extLst>
            <a:ext uri="{FF2B5EF4-FFF2-40B4-BE49-F238E27FC236}">
              <a16:creationId xmlns:a16="http://schemas.microsoft.com/office/drawing/2014/main" id="{00000000-0008-0000-0A00-00009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3" name="Shape 5">
          <a:extLst>
            <a:ext uri="{FF2B5EF4-FFF2-40B4-BE49-F238E27FC236}">
              <a16:creationId xmlns:a16="http://schemas.microsoft.com/office/drawing/2014/main" id="{00000000-0008-0000-0A00-00009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20</xdr:row>
      <xdr:rowOff>0</xdr:rowOff>
    </xdr:from>
    <xdr:ext cx="257175" cy="323850"/>
    <xdr:sp macro="" textlink="">
      <xdr:nvSpPr>
        <xdr:cNvPr id="1184" name="Shape 5">
          <a:extLst>
            <a:ext uri="{FF2B5EF4-FFF2-40B4-BE49-F238E27FC236}">
              <a16:creationId xmlns:a16="http://schemas.microsoft.com/office/drawing/2014/main" id="{00000000-0008-0000-0A00-0000A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5" name="Shape 5">
          <a:extLst>
            <a:ext uri="{FF2B5EF4-FFF2-40B4-BE49-F238E27FC236}">
              <a16:creationId xmlns:a16="http://schemas.microsoft.com/office/drawing/2014/main" id="{00000000-0008-0000-0A00-0000A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6" name="Shape 5">
          <a:extLst>
            <a:ext uri="{FF2B5EF4-FFF2-40B4-BE49-F238E27FC236}">
              <a16:creationId xmlns:a16="http://schemas.microsoft.com/office/drawing/2014/main" id="{00000000-0008-0000-0A00-0000A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7" name="Shape 5">
          <a:extLst>
            <a:ext uri="{FF2B5EF4-FFF2-40B4-BE49-F238E27FC236}">
              <a16:creationId xmlns:a16="http://schemas.microsoft.com/office/drawing/2014/main" id="{00000000-0008-0000-0A00-0000A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88" name="Shape 5">
          <a:extLst>
            <a:ext uri="{FF2B5EF4-FFF2-40B4-BE49-F238E27FC236}">
              <a16:creationId xmlns:a16="http://schemas.microsoft.com/office/drawing/2014/main" id="{00000000-0008-0000-0A00-0000A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89" name="Shape 6">
          <a:extLst>
            <a:ext uri="{FF2B5EF4-FFF2-40B4-BE49-F238E27FC236}">
              <a16:creationId xmlns:a16="http://schemas.microsoft.com/office/drawing/2014/main" id="{00000000-0008-0000-0A00-0000A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0" name="Shape 6">
          <a:extLst>
            <a:ext uri="{FF2B5EF4-FFF2-40B4-BE49-F238E27FC236}">
              <a16:creationId xmlns:a16="http://schemas.microsoft.com/office/drawing/2014/main" id="{00000000-0008-0000-0A00-0000A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1" name="Shape 6">
          <a:extLst>
            <a:ext uri="{FF2B5EF4-FFF2-40B4-BE49-F238E27FC236}">
              <a16:creationId xmlns:a16="http://schemas.microsoft.com/office/drawing/2014/main" id="{00000000-0008-0000-0A00-0000A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21</xdr:row>
      <xdr:rowOff>0</xdr:rowOff>
    </xdr:from>
    <xdr:ext cx="247650" cy="323850"/>
    <xdr:sp macro="" textlink="">
      <xdr:nvSpPr>
        <xdr:cNvPr id="1192" name="Shape 6">
          <a:extLst>
            <a:ext uri="{FF2B5EF4-FFF2-40B4-BE49-F238E27FC236}">
              <a16:creationId xmlns:a16="http://schemas.microsoft.com/office/drawing/2014/main" id="{00000000-0008-0000-0A00-0000A8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3" name="Shape 5">
          <a:extLst>
            <a:ext uri="{FF2B5EF4-FFF2-40B4-BE49-F238E27FC236}">
              <a16:creationId xmlns:a16="http://schemas.microsoft.com/office/drawing/2014/main" id="{00000000-0008-0000-0A00-0000A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4" name="Shape 5">
          <a:extLst>
            <a:ext uri="{FF2B5EF4-FFF2-40B4-BE49-F238E27FC236}">
              <a16:creationId xmlns:a16="http://schemas.microsoft.com/office/drawing/2014/main" id="{00000000-0008-0000-0A00-0000A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5" name="Shape 5">
          <a:extLst>
            <a:ext uri="{FF2B5EF4-FFF2-40B4-BE49-F238E27FC236}">
              <a16:creationId xmlns:a16="http://schemas.microsoft.com/office/drawing/2014/main" id="{00000000-0008-0000-0A00-0000A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6" name="Shape 5">
          <a:extLst>
            <a:ext uri="{FF2B5EF4-FFF2-40B4-BE49-F238E27FC236}">
              <a16:creationId xmlns:a16="http://schemas.microsoft.com/office/drawing/2014/main" id="{00000000-0008-0000-0A00-0000A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7" name="Shape 5">
          <a:extLst>
            <a:ext uri="{FF2B5EF4-FFF2-40B4-BE49-F238E27FC236}">
              <a16:creationId xmlns:a16="http://schemas.microsoft.com/office/drawing/2014/main" id="{00000000-0008-0000-0A00-0000A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8" name="Shape 5">
          <a:extLst>
            <a:ext uri="{FF2B5EF4-FFF2-40B4-BE49-F238E27FC236}">
              <a16:creationId xmlns:a16="http://schemas.microsoft.com/office/drawing/2014/main" id="{00000000-0008-0000-0A00-0000A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21</xdr:row>
      <xdr:rowOff>0</xdr:rowOff>
    </xdr:from>
    <xdr:ext cx="257175" cy="323850"/>
    <xdr:sp macro="" textlink="">
      <xdr:nvSpPr>
        <xdr:cNvPr id="1199" name="Shape 5">
          <a:extLst>
            <a:ext uri="{FF2B5EF4-FFF2-40B4-BE49-F238E27FC236}">
              <a16:creationId xmlns:a16="http://schemas.microsoft.com/office/drawing/2014/main" id="{00000000-0008-0000-0A00-0000A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0" name="Shape 5">
          <a:extLst>
            <a:ext uri="{FF2B5EF4-FFF2-40B4-BE49-F238E27FC236}">
              <a16:creationId xmlns:a16="http://schemas.microsoft.com/office/drawing/2014/main" id="{00000000-0008-0000-0A00-0000B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1" name="Shape 5">
          <a:extLst>
            <a:ext uri="{FF2B5EF4-FFF2-40B4-BE49-F238E27FC236}">
              <a16:creationId xmlns:a16="http://schemas.microsoft.com/office/drawing/2014/main" id="{00000000-0008-0000-0A00-0000B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2" name="Shape 5">
          <a:extLst>
            <a:ext uri="{FF2B5EF4-FFF2-40B4-BE49-F238E27FC236}">
              <a16:creationId xmlns:a16="http://schemas.microsoft.com/office/drawing/2014/main" id="{00000000-0008-0000-0A00-0000B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3" name="Shape 5">
          <a:extLst>
            <a:ext uri="{FF2B5EF4-FFF2-40B4-BE49-F238E27FC236}">
              <a16:creationId xmlns:a16="http://schemas.microsoft.com/office/drawing/2014/main" id="{00000000-0008-0000-0A00-0000B3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4" name="Shape 6">
          <a:extLst>
            <a:ext uri="{FF2B5EF4-FFF2-40B4-BE49-F238E27FC236}">
              <a16:creationId xmlns:a16="http://schemas.microsoft.com/office/drawing/2014/main" id="{00000000-0008-0000-0A00-0000B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5" name="Shape 6">
          <a:extLst>
            <a:ext uri="{FF2B5EF4-FFF2-40B4-BE49-F238E27FC236}">
              <a16:creationId xmlns:a16="http://schemas.microsoft.com/office/drawing/2014/main" id="{00000000-0008-0000-0A00-0000B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6" name="Shape 6">
          <a:extLst>
            <a:ext uri="{FF2B5EF4-FFF2-40B4-BE49-F238E27FC236}">
              <a16:creationId xmlns:a16="http://schemas.microsoft.com/office/drawing/2014/main" id="{00000000-0008-0000-0A00-0000B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22</xdr:row>
      <xdr:rowOff>0</xdr:rowOff>
    </xdr:from>
    <xdr:ext cx="247650" cy="323850"/>
    <xdr:sp macro="" textlink="">
      <xdr:nvSpPr>
        <xdr:cNvPr id="1207" name="Shape 6">
          <a:extLst>
            <a:ext uri="{FF2B5EF4-FFF2-40B4-BE49-F238E27FC236}">
              <a16:creationId xmlns:a16="http://schemas.microsoft.com/office/drawing/2014/main" id="{00000000-0008-0000-0A00-0000B7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8" name="Shape 5">
          <a:extLst>
            <a:ext uri="{FF2B5EF4-FFF2-40B4-BE49-F238E27FC236}">
              <a16:creationId xmlns:a16="http://schemas.microsoft.com/office/drawing/2014/main" id="{00000000-0008-0000-0A00-0000B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09" name="Shape 5">
          <a:extLst>
            <a:ext uri="{FF2B5EF4-FFF2-40B4-BE49-F238E27FC236}">
              <a16:creationId xmlns:a16="http://schemas.microsoft.com/office/drawing/2014/main" id="{00000000-0008-0000-0A00-0000B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0" name="Shape 5">
          <a:extLst>
            <a:ext uri="{FF2B5EF4-FFF2-40B4-BE49-F238E27FC236}">
              <a16:creationId xmlns:a16="http://schemas.microsoft.com/office/drawing/2014/main" id="{00000000-0008-0000-0A00-0000B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1" name="Shape 5">
          <a:extLst>
            <a:ext uri="{FF2B5EF4-FFF2-40B4-BE49-F238E27FC236}">
              <a16:creationId xmlns:a16="http://schemas.microsoft.com/office/drawing/2014/main" id="{00000000-0008-0000-0A00-0000B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2" name="Shape 5">
          <a:extLst>
            <a:ext uri="{FF2B5EF4-FFF2-40B4-BE49-F238E27FC236}">
              <a16:creationId xmlns:a16="http://schemas.microsoft.com/office/drawing/2014/main" id="{00000000-0008-0000-0A00-0000B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3" name="Shape 5">
          <a:extLst>
            <a:ext uri="{FF2B5EF4-FFF2-40B4-BE49-F238E27FC236}">
              <a16:creationId xmlns:a16="http://schemas.microsoft.com/office/drawing/2014/main" id="{00000000-0008-0000-0A00-0000B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22</xdr:row>
      <xdr:rowOff>0</xdr:rowOff>
    </xdr:from>
    <xdr:ext cx="257175" cy="323850"/>
    <xdr:sp macro="" textlink="">
      <xdr:nvSpPr>
        <xdr:cNvPr id="1214" name="Shape 5">
          <a:extLst>
            <a:ext uri="{FF2B5EF4-FFF2-40B4-BE49-F238E27FC236}">
              <a16:creationId xmlns:a16="http://schemas.microsoft.com/office/drawing/2014/main" id="{00000000-0008-0000-0A00-0000B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5" name="Shape 5">
          <a:extLst>
            <a:ext uri="{FF2B5EF4-FFF2-40B4-BE49-F238E27FC236}">
              <a16:creationId xmlns:a16="http://schemas.microsoft.com/office/drawing/2014/main" id="{00000000-0008-0000-0A00-0000B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6" name="Shape 5">
          <a:extLst>
            <a:ext uri="{FF2B5EF4-FFF2-40B4-BE49-F238E27FC236}">
              <a16:creationId xmlns:a16="http://schemas.microsoft.com/office/drawing/2014/main" id="{00000000-0008-0000-0A00-0000C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7" name="Shape 5">
          <a:extLst>
            <a:ext uri="{FF2B5EF4-FFF2-40B4-BE49-F238E27FC236}">
              <a16:creationId xmlns:a16="http://schemas.microsoft.com/office/drawing/2014/main" id="{00000000-0008-0000-0A00-0000C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18" name="Shape 5">
          <a:extLst>
            <a:ext uri="{FF2B5EF4-FFF2-40B4-BE49-F238E27FC236}">
              <a16:creationId xmlns:a16="http://schemas.microsoft.com/office/drawing/2014/main" id="{00000000-0008-0000-0A00-0000C2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19" name="Shape 6">
          <a:extLst>
            <a:ext uri="{FF2B5EF4-FFF2-40B4-BE49-F238E27FC236}">
              <a16:creationId xmlns:a16="http://schemas.microsoft.com/office/drawing/2014/main" id="{00000000-0008-0000-0A00-0000C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0" name="Shape 6">
          <a:extLst>
            <a:ext uri="{FF2B5EF4-FFF2-40B4-BE49-F238E27FC236}">
              <a16:creationId xmlns:a16="http://schemas.microsoft.com/office/drawing/2014/main" id="{00000000-0008-0000-0A00-0000C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1" name="Shape 6">
          <a:extLst>
            <a:ext uri="{FF2B5EF4-FFF2-40B4-BE49-F238E27FC236}">
              <a16:creationId xmlns:a16="http://schemas.microsoft.com/office/drawing/2014/main" id="{00000000-0008-0000-0A00-0000C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23</xdr:row>
      <xdr:rowOff>0</xdr:rowOff>
    </xdr:from>
    <xdr:ext cx="247650" cy="323850"/>
    <xdr:sp macro="" textlink="">
      <xdr:nvSpPr>
        <xdr:cNvPr id="1222" name="Shape 6">
          <a:extLst>
            <a:ext uri="{FF2B5EF4-FFF2-40B4-BE49-F238E27FC236}">
              <a16:creationId xmlns:a16="http://schemas.microsoft.com/office/drawing/2014/main" id="{00000000-0008-0000-0A00-0000C6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3" name="Shape 5">
          <a:extLst>
            <a:ext uri="{FF2B5EF4-FFF2-40B4-BE49-F238E27FC236}">
              <a16:creationId xmlns:a16="http://schemas.microsoft.com/office/drawing/2014/main" id="{00000000-0008-0000-0A00-0000C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4" name="Shape 5">
          <a:extLst>
            <a:ext uri="{FF2B5EF4-FFF2-40B4-BE49-F238E27FC236}">
              <a16:creationId xmlns:a16="http://schemas.microsoft.com/office/drawing/2014/main" id="{00000000-0008-0000-0A00-0000C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5" name="Shape 5">
          <a:extLst>
            <a:ext uri="{FF2B5EF4-FFF2-40B4-BE49-F238E27FC236}">
              <a16:creationId xmlns:a16="http://schemas.microsoft.com/office/drawing/2014/main" id="{00000000-0008-0000-0A00-0000C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6" name="Shape 5">
          <a:extLst>
            <a:ext uri="{FF2B5EF4-FFF2-40B4-BE49-F238E27FC236}">
              <a16:creationId xmlns:a16="http://schemas.microsoft.com/office/drawing/2014/main" id="{00000000-0008-0000-0A00-0000C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7" name="Shape 5">
          <a:extLst>
            <a:ext uri="{FF2B5EF4-FFF2-40B4-BE49-F238E27FC236}">
              <a16:creationId xmlns:a16="http://schemas.microsoft.com/office/drawing/2014/main" id="{00000000-0008-0000-0A00-0000C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8" name="Shape 5">
          <a:extLst>
            <a:ext uri="{FF2B5EF4-FFF2-40B4-BE49-F238E27FC236}">
              <a16:creationId xmlns:a16="http://schemas.microsoft.com/office/drawing/2014/main" id="{00000000-0008-0000-0A00-0000C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23</xdr:row>
      <xdr:rowOff>0</xdr:rowOff>
    </xdr:from>
    <xdr:ext cx="257175" cy="323850"/>
    <xdr:sp macro="" textlink="">
      <xdr:nvSpPr>
        <xdr:cNvPr id="1229" name="Shape 5">
          <a:extLst>
            <a:ext uri="{FF2B5EF4-FFF2-40B4-BE49-F238E27FC236}">
              <a16:creationId xmlns:a16="http://schemas.microsoft.com/office/drawing/2014/main" id="{00000000-0008-0000-0A00-0000C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0" name="Shape 5">
          <a:extLst>
            <a:ext uri="{FF2B5EF4-FFF2-40B4-BE49-F238E27FC236}">
              <a16:creationId xmlns:a16="http://schemas.microsoft.com/office/drawing/2014/main" id="{00000000-0008-0000-0A00-0000C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1" name="Shape 5">
          <a:extLst>
            <a:ext uri="{FF2B5EF4-FFF2-40B4-BE49-F238E27FC236}">
              <a16:creationId xmlns:a16="http://schemas.microsoft.com/office/drawing/2014/main" id="{00000000-0008-0000-0A00-0000C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2" name="Shape 5">
          <a:extLst>
            <a:ext uri="{FF2B5EF4-FFF2-40B4-BE49-F238E27FC236}">
              <a16:creationId xmlns:a16="http://schemas.microsoft.com/office/drawing/2014/main" id="{00000000-0008-0000-0A00-0000D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3" name="Shape 5">
          <a:extLst>
            <a:ext uri="{FF2B5EF4-FFF2-40B4-BE49-F238E27FC236}">
              <a16:creationId xmlns:a16="http://schemas.microsoft.com/office/drawing/2014/main" id="{00000000-0008-0000-0A00-0000D1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4" name="Shape 6">
          <a:extLst>
            <a:ext uri="{FF2B5EF4-FFF2-40B4-BE49-F238E27FC236}">
              <a16:creationId xmlns:a16="http://schemas.microsoft.com/office/drawing/2014/main" id="{00000000-0008-0000-0A00-0000D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5" name="Shape 6">
          <a:extLst>
            <a:ext uri="{FF2B5EF4-FFF2-40B4-BE49-F238E27FC236}">
              <a16:creationId xmlns:a16="http://schemas.microsoft.com/office/drawing/2014/main" id="{00000000-0008-0000-0A00-0000D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6" name="Shape 6">
          <a:extLst>
            <a:ext uri="{FF2B5EF4-FFF2-40B4-BE49-F238E27FC236}">
              <a16:creationId xmlns:a16="http://schemas.microsoft.com/office/drawing/2014/main" id="{00000000-0008-0000-0A00-0000D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24</xdr:row>
      <xdr:rowOff>0</xdr:rowOff>
    </xdr:from>
    <xdr:ext cx="247650" cy="323850"/>
    <xdr:sp macro="" textlink="">
      <xdr:nvSpPr>
        <xdr:cNvPr id="1237" name="Shape 6">
          <a:extLst>
            <a:ext uri="{FF2B5EF4-FFF2-40B4-BE49-F238E27FC236}">
              <a16:creationId xmlns:a16="http://schemas.microsoft.com/office/drawing/2014/main" id="{00000000-0008-0000-0A00-0000D5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8" name="Shape 5">
          <a:extLst>
            <a:ext uri="{FF2B5EF4-FFF2-40B4-BE49-F238E27FC236}">
              <a16:creationId xmlns:a16="http://schemas.microsoft.com/office/drawing/2014/main" id="{00000000-0008-0000-0A00-0000D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39" name="Shape 5">
          <a:extLst>
            <a:ext uri="{FF2B5EF4-FFF2-40B4-BE49-F238E27FC236}">
              <a16:creationId xmlns:a16="http://schemas.microsoft.com/office/drawing/2014/main" id="{00000000-0008-0000-0A00-0000D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0" name="Shape 5">
          <a:extLst>
            <a:ext uri="{FF2B5EF4-FFF2-40B4-BE49-F238E27FC236}">
              <a16:creationId xmlns:a16="http://schemas.microsoft.com/office/drawing/2014/main" id="{00000000-0008-0000-0A00-0000D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1" name="Shape 5">
          <a:extLst>
            <a:ext uri="{FF2B5EF4-FFF2-40B4-BE49-F238E27FC236}">
              <a16:creationId xmlns:a16="http://schemas.microsoft.com/office/drawing/2014/main" id="{00000000-0008-0000-0A00-0000D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2" name="Shape 5">
          <a:extLst>
            <a:ext uri="{FF2B5EF4-FFF2-40B4-BE49-F238E27FC236}">
              <a16:creationId xmlns:a16="http://schemas.microsoft.com/office/drawing/2014/main" id="{00000000-0008-0000-0A00-0000D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3" name="Shape 5">
          <a:extLst>
            <a:ext uri="{FF2B5EF4-FFF2-40B4-BE49-F238E27FC236}">
              <a16:creationId xmlns:a16="http://schemas.microsoft.com/office/drawing/2014/main" id="{00000000-0008-0000-0A00-0000D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24</xdr:row>
      <xdr:rowOff>0</xdr:rowOff>
    </xdr:from>
    <xdr:ext cx="257175" cy="323850"/>
    <xdr:sp macro="" textlink="">
      <xdr:nvSpPr>
        <xdr:cNvPr id="1244" name="Shape 5">
          <a:extLst>
            <a:ext uri="{FF2B5EF4-FFF2-40B4-BE49-F238E27FC236}">
              <a16:creationId xmlns:a16="http://schemas.microsoft.com/office/drawing/2014/main" id="{00000000-0008-0000-0A00-0000D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5" name="Shape 5">
          <a:extLst>
            <a:ext uri="{FF2B5EF4-FFF2-40B4-BE49-F238E27FC236}">
              <a16:creationId xmlns:a16="http://schemas.microsoft.com/office/drawing/2014/main" id="{00000000-0008-0000-0A00-0000D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6" name="Shape 5">
          <a:extLst>
            <a:ext uri="{FF2B5EF4-FFF2-40B4-BE49-F238E27FC236}">
              <a16:creationId xmlns:a16="http://schemas.microsoft.com/office/drawing/2014/main" id="{00000000-0008-0000-0A00-0000D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7" name="Shape 5">
          <a:extLst>
            <a:ext uri="{FF2B5EF4-FFF2-40B4-BE49-F238E27FC236}">
              <a16:creationId xmlns:a16="http://schemas.microsoft.com/office/drawing/2014/main" id="{00000000-0008-0000-0A00-0000D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48" name="Shape 5">
          <a:extLst>
            <a:ext uri="{FF2B5EF4-FFF2-40B4-BE49-F238E27FC236}">
              <a16:creationId xmlns:a16="http://schemas.microsoft.com/office/drawing/2014/main" id="{00000000-0008-0000-0A00-0000E0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49" name="Shape 6">
          <a:extLst>
            <a:ext uri="{FF2B5EF4-FFF2-40B4-BE49-F238E27FC236}">
              <a16:creationId xmlns:a16="http://schemas.microsoft.com/office/drawing/2014/main" id="{00000000-0008-0000-0A00-0000E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0" name="Shape 6">
          <a:extLst>
            <a:ext uri="{FF2B5EF4-FFF2-40B4-BE49-F238E27FC236}">
              <a16:creationId xmlns:a16="http://schemas.microsoft.com/office/drawing/2014/main" id="{00000000-0008-0000-0A00-0000E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1" name="Shape 6">
          <a:extLst>
            <a:ext uri="{FF2B5EF4-FFF2-40B4-BE49-F238E27FC236}">
              <a16:creationId xmlns:a16="http://schemas.microsoft.com/office/drawing/2014/main" id="{00000000-0008-0000-0A00-0000E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25</xdr:row>
      <xdr:rowOff>0</xdr:rowOff>
    </xdr:from>
    <xdr:ext cx="247650" cy="323850"/>
    <xdr:sp macro="" textlink="">
      <xdr:nvSpPr>
        <xdr:cNvPr id="1252" name="Shape 6">
          <a:extLst>
            <a:ext uri="{FF2B5EF4-FFF2-40B4-BE49-F238E27FC236}">
              <a16:creationId xmlns:a16="http://schemas.microsoft.com/office/drawing/2014/main" id="{00000000-0008-0000-0A00-0000E4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3" name="Shape 5">
          <a:extLst>
            <a:ext uri="{FF2B5EF4-FFF2-40B4-BE49-F238E27FC236}">
              <a16:creationId xmlns:a16="http://schemas.microsoft.com/office/drawing/2014/main" id="{00000000-0008-0000-0A00-0000E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4" name="Shape 5">
          <a:extLst>
            <a:ext uri="{FF2B5EF4-FFF2-40B4-BE49-F238E27FC236}">
              <a16:creationId xmlns:a16="http://schemas.microsoft.com/office/drawing/2014/main" id="{00000000-0008-0000-0A00-0000E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5" name="Shape 5">
          <a:extLst>
            <a:ext uri="{FF2B5EF4-FFF2-40B4-BE49-F238E27FC236}">
              <a16:creationId xmlns:a16="http://schemas.microsoft.com/office/drawing/2014/main" id="{00000000-0008-0000-0A00-0000E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6" name="Shape 5">
          <a:extLst>
            <a:ext uri="{FF2B5EF4-FFF2-40B4-BE49-F238E27FC236}">
              <a16:creationId xmlns:a16="http://schemas.microsoft.com/office/drawing/2014/main" id="{00000000-0008-0000-0A00-0000E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7" name="Shape 5">
          <a:extLst>
            <a:ext uri="{FF2B5EF4-FFF2-40B4-BE49-F238E27FC236}">
              <a16:creationId xmlns:a16="http://schemas.microsoft.com/office/drawing/2014/main" id="{00000000-0008-0000-0A00-0000E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8" name="Shape 5">
          <a:extLst>
            <a:ext uri="{FF2B5EF4-FFF2-40B4-BE49-F238E27FC236}">
              <a16:creationId xmlns:a16="http://schemas.microsoft.com/office/drawing/2014/main" id="{00000000-0008-0000-0A00-0000E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25</xdr:row>
      <xdr:rowOff>0</xdr:rowOff>
    </xdr:from>
    <xdr:ext cx="257175" cy="323850"/>
    <xdr:sp macro="" textlink="">
      <xdr:nvSpPr>
        <xdr:cNvPr id="1259" name="Shape 5">
          <a:extLst>
            <a:ext uri="{FF2B5EF4-FFF2-40B4-BE49-F238E27FC236}">
              <a16:creationId xmlns:a16="http://schemas.microsoft.com/office/drawing/2014/main" id="{00000000-0008-0000-0A00-0000E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0" name="Shape 5">
          <a:extLst>
            <a:ext uri="{FF2B5EF4-FFF2-40B4-BE49-F238E27FC236}">
              <a16:creationId xmlns:a16="http://schemas.microsoft.com/office/drawing/2014/main" id="{00000000-0008-0000-0A00-0000E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1" name="Shape 5">
          <a:extLst>
            <a:ext uri="{FF2B5EF4-FFF2-40B4-BE49-F238E27FC236}">
              <a16:creationId xmlns:a16="http://schemas.microsoft.com/office/drawing/2014/main" id="{00000000-0008-0000-0A00-0000E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2" name="Shape 5">
          <a:extLst>
            <a:ext uri="{FF2B5EF4-FFF2-40B4-BE49-F238E27FC236}">
              <a16:creationId xmlns:a16="http://schemas.microsoft.com/office/drawing/2014/main" id="{00000000-0008-0000-0A00-0000E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3" name="Shape 5">
          <a:extLst>
            <a:ext uri="{FF2B5EF4-FFF2-40B4-BE49-F238E27FC236}">
              <a16:creationId xmlns:a16="http://schemas.microsoft.com/office/drawing/2014/main" id="{00000000-0008-0000-0A00-0000EF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4" name="Shape 6">
          <a:extLst>
            <a:ext uri="{FF2B5EF4-FFF2-40B4-BE49-F238E27FC236}">
              <a16:creationId xmlns:a16="http://schemas.microsoft.com/office/drawing/2014/main" id="{00000000-0008-0000-0A00-0000F0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5" name="Shape 6">
          <a:extLst>
            <a:ext uri="{FF2B5EF4-FFF2-40B4-BE49-F238E27FC236}">
              <a16:creationId xmlns:a16="http://schemas.microsoft.com/office/drawing/2014/main" id="{00000000-0008-0000-0A00-0000F1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6" name="Shape 6">
          <a:extLst>
            <a:ext uri="{FF2B5EF4-FFF2-40B4-BE49-F238E27FC236}">
              <a16:creationId xmlns:a16="http://schemas.microsoft.com/office/drawing/2014/main" id="{00000000-0008-0000-0A00-0000F2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26</xdr:row>
      <xdr:rowOff>0</xdr:rowOff>
    </xdr:from>
    <xdr:ext cx="247650" cy="323850"/>
    <xdr:sp macro="" textlink="">
      <xdr:nvSpPr>
        <xdr:cNvPr id="1267" name="Shape 6">
          <a:extLst>
            <a:ext uri="{FF2B5EF4-FFF2-40B4-BE49-F238E27FC236}">
              <a16:creationId xmlns:a16="http://schemas.microsoft.com/office/drawing/2014/main" id="{00000000-0008-0000-0A00-0000F3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8" name="Shape 5">
          <a:extLst>
            <a:ext uri="{FF2B5EF4-FFF2-40B4-BE49-F238E27FC236}">
              <a16:creationId xmlns:a16="http://schemas.microsoft.com/office/drawing/2014/main" id="{00000000-0008-0000-0A00-0000F4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69" name="Shape 5">
          <a:extLst>
            <a:ext uri="{FF2B5EF4-FFF2-40B4-BE49-F238E27FC236}">
              <a16:creationId xmlns:a16="http://schemas.microsoft.com/office/drawing/2014/main" id="{00000000-0008-0000-0A00-0000F5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0" name="Shape 5">
          <a:extLst>
            <a:ext uri="{FF2B5EF4-FFF2-40B4-BE49-F238E27FC236}">
              <a16:creationId xmlns:a16="http://schemas.microsoft.com/office/drawing/2014/main" id="{00000000-0008-0000-0A00-0000F6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1" name="Shape 5">
          <a:extLst>
            <a:ext uri="{FF2B5EF4-FFF2-40B4-BE49-F238E27FC236}">
              <a16:creationId xmlns:a16="http://schemas.microsoft.com/office/drawing/2014/main" id="{00000000-0008-0000-0A00-0000F7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2" name="Shape 5">
          <a:extLst>
            <a:ext uri="{FF2B5EF4-FFF2-40B4-BE49-F238E27FC236}">
              <a16:creationId xmlns:a16="http://schemas.microsoft.com/office/drawing/2014/main" id="{00000000-0008-0000-0A00-0000F8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3" name="Shape 5">
          <a:extLst>
            <a:ext uri="{FF2B5EF4-FFF2-40B4-BE49-F238E27FC236}">
              <a16:creationId xmlns:a16="http://schemas.microsoft.com/office/drawing/2014/main" id="{00000000-0008-0000-0A00-0000F9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26</xdr:row>
      <xdr:rowOff>0</xdr:rowOff>
    </xdr:from>
    <xdr:ext cx="257175" cy="323850"/>
    <xdr:sp macro="" textlink="">
      <xdr:nvSpPr>
        <xdr:cNvPr id="1274" name="Shape 5">
          <a:extLst>
            <a:ext uri="{FF2B5EF4-FFF2-40B4-BE49-F238E27FC236}">
              <a16:creationId xmlns:a16="http://schemas.microsoft.com/office/drawing/2014/main" id="{00000000-0008-0000-0A00-0000FA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5" name="Shape 3">
          <a:extLst>
            <a:ext uri="{FF2B5EF4-FFF2-40B4-BE49-F238E27FC236}">
              <a16:creationId xmlns:a16="http://schemas.microsoft.com/office/drawing/2014/main" id="{00000000-0008-0000-0A00-0000FB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6" name="Shape 3">
          <a:extLst>
            <a:ext uri="{FF2B5EF4-FFF2-40B4-BE49-F238E27FC236}">
              <a16:creationId xmlns:a16="http://schemas.microsoft.com/office/drawing/2014/main" id="{00000000-0008-0000-0A00-0000FC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7" name="Shape 3">
          <a:extLst>
            <a:ext uri="{FF2B5EF4-FFF2-40B4-BE49-F238E27FC236}">
              <a16:creationId xmlns:a16="http://schemas.microsoft.com/office/drawing/2014/main" id="{00000000-0008-0000-0A00-0000FD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78" name="Shape 3">
          <a:extLst>
            <a:ext uri="{FF2B5EF4-FFF2-40B4-BE49-F238E27FC236}">
              <a16:creationId xmlns:a16="http://schemas.microsoft.com/office/drawing/2014/main" id="{00000000-0008-0000-0A00-0000FE04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79" name="Shape 4">
          <a:extLst>
            <a:ext uri="{FF2B5EF4-FFF2-40B4-BE49-F238E27FC236}">
              <a16:creationId xmlns:a16="http://schemas.microsoft.com/office/drawing/2014/main" id="{00000000-0008-0000-0A00-0000FF04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0" name="Shape 4">
          <a:extLst>
            <a:ext uri="{FF2B5EF4-FFF2-40B4-BE49-F238E27FC236}">
              <a16:creationId xmlns:a16="http://schemas.microsoft.com/office/drawing/2014/main" id="{00000000-0008-0000-0A00-00000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1" name="Shape 4">
          <a:extLst>
            <a:ext uri="{FF2B5EF4-FFF2-40B4-BE49-F238E27FC236}">
              <a16:creationId xmlns:a16="http://schemas.microsoft.com/office/drawing/2014/main" id="{00000000-0008-0000-0A00-00000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27</xdr:row>
      <xdr:rowOff>0</xdr:rowOff>
    </xdr:from>
    <xdr:ext cx="247650" cy="323850"/>
    <xdr:sp macro="" textlink="">
      <xdr:nvSpPr>
        <xdr:cNvPr id="1282" name="Shape 4">
          <a:extLst>
            <a:ext uri="{FF2B5EF4-FFF2-40B4-BE49-F238E27FC236}">
              <a16:creationId xmlns:a16="http://schemas.microsoft.com/office/drawing/2014/main" id="{00000000-0008-0000-0A00-00000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3" name="Shape 3">
          <a:extLst>
            <a:ext uri="{FF2B5EF4-FFF2-40B4-BE49-F238E27FC236}">
              <a16:creationId xmlns:a16="http://schemas.microsoft.com/office/drawing/2014/main" id="{00000000-0008-0000-0A00-00000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4" name="Shape 3">
          <a:extLst>
            <a:ext uri="{FF2B5EF4-FFF2-40B4-BE49-F238E27FC236}">
              <a16:creationId xmlns:a16="http://schemas.microsoft.com/office/drawing/2014/main" id="{00000000-0008-0000-0A00-00000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5" name="Shape 3">
          <a:extLst>
            <a:ext uri="{FF2B5EF4-FFF2-40B4-BE49-F238E27FC236}">
              <a16:creationId xmlns:a16="http://schemas.microsoft.com/office/drawing/2014/main" id="{00000000-0008-0000-0A00-00000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6" name="Shape 3">
          <a:extLst>
            <a:ext uri="{FF2B5EF4-FFF2-40B4-BE49-F238E27FC236}">
              <a16:creationId xmlns:a16="http://schemas.microsoft.com/office/drawing/2014/main" id="{00000000-0008-0000-0A00-00000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7" name="Shape 3">
          <a:extLst>
            <a:ext uri="{FF2B5EF4-FFF2-40B4-BE49-F238E27FC236}">
              <a16:creationId xmlns:a16="http://schemas.microsoft.com/office/drawing/2014/main" id="{00000000-0008-0000-0A00-00000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8" name="Shape 3">
          <a:extLst>
            <a:ext uri="{FF2B5EF4-FFF2-40B4-BE49-F238E27FC236}">
              <a16:creationId xmlns:a16="http://schemas.microsoft.com/office/drawing/2014/main" id="{00000000-0008-0000-0A00-00000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27</xdr:row>
      <xdr:rowOff>0</xdr:rowOff>
    </xdr:from>
    <xdr:ext cx="257175" cy="323850"/>
    <xdr:sp macro="" textlink="">
      <xdr:nvSpPr>
        <xdr:cNvPr id="1289" name="Shape 3">
          <a:extLst>
            <a:ext uri="{FF2B5EF4-FFF2-40B4-BE49-F238E27FC236}">
              <a16:creationId xmlns:a16="http://schemas.microsoft.com/office/drawing/2014/main" id="{00000000-0008-0000-0A00-00000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0" name="Shape 3">
          <a:extLst>
            <a:ext uri="{FF2B5EF4-FFF2-40B4-BE49-F238E27FC236}">
              <a16:creationId xmlns:a16="http://schemas.microsoft.com/office/drawing/2014/main" id="{00000000-0008-0000-0A00-00000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1" name="Shape 3">
          <a:extLst>
            <a:ext uri="{FF2B5EF4-FFF2-40B4-BE49-F238E27FC236}">
              <a16:creationId xmlns:a16="http://schemas.microsoft.com/office/drawing/2014/main" id="{00000000-0008-0000-0A00-00000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2" name="Shape 3">
          <a:extLst>
            <a:ext uri="{FF2B5EF4-FFF2-40B4-BE49-F238E27FC236}">
              <a16:creationId xmlns:a16="http://schemas.microsoft.com/office/drawing/2014/main" id="{00000000-0008-0000-0A00-00000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3" name="Shape 3">
          <a:extLst>
            <a:ext uri="{FF2B5EF4-FFF2-40B4-BE49-F238E27FC236}">
              <a16:creationId xmlns:a16="http://schemas.microsoft.com/office/drawing/2014/main" id="{00000000-0008-0000-0A00-00000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4" name="Shape 4">
          <a:extLst>
            <a:ext uri="{FF2B5EF4-FFF2-40B4-BE49-F238E27FC236}">
              <a16:creationId xmlns:a16="http://schemas.microsoft.com/office/drawing/2014/main" id="{00000000-0008-0000-0A00-00000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5" name="Shape 4">
          <a:extLst>
            <a:ext uri="{FF2B5EF4-FFF2-40B4-BE49-F238E27FC236}">
              <a16:creationId xmlns:a16="http://schemas.microsoft.com/office/drawing/2014/main" id="{00000000-0008-0000-0A00-00000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6" name="Shape 4">
          <a:extLst>
            <a:ext uri="{FF2B5EF4-FFF2-40B4-BE49-F238E27FC236}">
              <a16:creationId xmlns:a16="http://schemas.microsoft.com/office/drawing/2014/main" id="{00000000-0008-0000-0A00-00001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28</xdr:row>
      <xdr:rowOff>0</xdr:rowOff>
    </xdr:from>
    <xdr:ext cx="247650" cy="323850"/>
    <xdr:sp macro="" textlink="">
      <xdr:nvSpPr>
        <xdr:cNvPr id="1297" name="Shape 4">
          <a:extLst>
            <a:ext uri="{FF2B5EF4-FFF2-40B4-BE49-F238E27FC236}">
              <a16:creationId xmlns:a16="http://schemas.microsoft.com/office/drawing/2014/main" id="{00000000-0008-0000-0A00-00001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00000000-0008-0000-0A00-00001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00000000-0008-0000-0A00-00001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0" name="Shape 3">
          <a:extLst>
            <a:ext uri="{FF2B5EF4-FFF2-40B4-BE49-F238E27FC236}">
              <a16:creationId xmlns:a16="http://schemas.microsoft.com/office/drawing/2014/main" id="{00000000-0008-0000-0A00-00001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1" name="Shape 3">
          <a:extLst>
            <a:ext uri="{FF2B5EF4-FFF2-40B4-BE49-F238E27FC236}">
              <a16:creationId xmlns:a16="http://schemas.microsoft.com/office/drawing/2014/main" id="{00000000-0008-0000-0A00-00001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2" name="Shape 3">
          <a:extLst>
            <a:ext uri="{FF2B5EF4-FFF2-40B4-BE49-F238E27FC236}">
              <a16:creationId xmlns:a16="http://schemas.microsoft.com/office/drawing/2014/main" id="{00000000-0008-0000-0A00-00001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3" name="Shape 3">
          <a:extLst>
            <a:ext uri="{FF2B5EF4-FFF2-40B4-BE49-F238E27FC236}">
              <a16:creationId xmlns:a16="http://schemas.microsoft.com/office/drawing/2014/main" id="{00000000-0008-0000-0A00-00001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28</xdr:row>
      <xdr:rowOff>0</xdr:rowOff>
    </xdr:from>
    <xdr:ext cx="257175" cy="323850"/>
    <xdr:sp macro="" textlink="">
      <xdr:nvSpPr>
        <xdr:cNvPr id="1304" name="Shape 3">
          <a:extLst>
            <a:ext uri="{FF2B5EF4-FFF2-40B4-BE49-F238E27FC236}">
              <a16:creationId xmlns:a16="http://schemas.microsoft.com/office/drawing/2014/main" id="{00000000-0008-0000-0A00-00001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5" name="Shape 3">
          <a:extLst>
            <a:ext uri="{FF2B5EF4-FFF2-40B4-BE49-F238E27FC236}">
              <a16:creationId xmlns:a16="http://schemas.microsoft.com/office/drawing/2014/main" id="{00000000-0008-0000-0A00-00001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6" name="Shape 3">
          <a:extLst>
            <a:ext uri="{FF2B5EF4-FFF2-40B4-BE49-F238E27FC236}">
              <a16:creationId xmlns:a16="http://schemas.microsoft.com/office/drawing/2014/main" id="{00000000-0008-0000-0A00-00001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7" name="Shape 3">
          <a:extLst>
            <a:ext uri="{FF2B5EF4-FFF2-40B4-BE49-F238E27FC236}">
              <a16:creationId xmlns:a16="http://schemas.microsoft.com/office/drawing/2014/main" id="{00000000-0008-0000-0A00-00001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08" name="Shape 3">
          <a:extLst>
            <a:ext uri="{FF2B5EF4-FFF2-40B4-BE49-F238E27FC236}">
              <a16:creationId xmlns:a16="http://schemas.microsoft.com/office/drawing/2014/main" id="{00000000-0008-0000-0A00-00001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09" name="Shape 4">
          <a:extLst>
            <a:ext uri="{FF2B5EF4-FFF2-40B4-BE49-F238E27FC236}">
              <a16:creationId xmlns:a16="http://schemas.microsoft.com/office/drawing/2014/main" id="{00000000-0008-0000-0A00-00001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0" name="Shape 4">
          <a:extLst>
            <a:ext uri="{FF2B5EF4-FFF2-40B4-BE49-F238E27FC236}">
              <a16:creationId xmlns:a16="http://schemas.microsoft.com/office/drawing/2014/main" id="{00000000-0008-0000-0A00-00001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1" name="Shape 4">
          <a:extLst>
            <a:ext uri="{FF2B5EF4-FFF2-40B4-BE49-F238E27FC236}">
              <a16:creationId xmlns:a16="http://schemas.microsoft.com/office/drawing/2014/main" id="{00000000-0008-0000-0A00-00001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29</xdr:row>
      <xdr:rowOff>0</xdr:rowOff>
    </xdr:from>
    <xdr:ext cx="247650" cy="323850"/>
    <xdr:sp macro="" textlink="">
      <xdr:nvSpPr>
        <xdr:cNvPr id="1312" name="Shape 4">
          <a:extLst>
            <a:ext uri="{FF2B5EF4-FFF2-40B4-BE49-F238E27FC236}">
              <a16:creationId xmlns:a16="http://schemas.microsoft.com/office/drawing/2014/main" id="{00000000-0008-0000-0A00-00002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3" name="Shape 3">
          <a:extLst>
            <a:ext uri="{FF2B5EF4-FFF2-40B4-BE49-F238E27FC236}">
              <a16:creationId xmlns:a16="http://schemas.microsoft.com/office/drawing/2014/main" id="{00000000-0008-0000-0A00-00002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4" name="Shape 3">
          <a:extLst>
            <a:ext uri="{FF2B5EF4-FFF2-40B4-BE49-F238E27FC236}">
              <a16:creationId xmlns:a16="http://schemas.microsoft.com/office/drawing/2014/main" id="{00000000-0008-0000-0A00-00002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5" name="Shape 3">
          <a:extLst>
            <a:ext uri="{FF2B5EF4-FFF2-40B4-BE49-F238E27FC236}">
              <a16:creationId xmlns:a16="http://schemas.microsoft.com/office/drawing/2014/main" id="{00000000-0008-0000-0A00-00002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6" name="Shape 3">
          <a:extLst>
            <a:ext uri="{FF2B5EF4-FFF2-40B4-BE49-F238E27FC236}">
              <a16:creationId xmlns:a16="http://schemas.microsoft.com/office/drawing/2014/main" id="{00000000-0008-0000-0A00-00002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7" name="Shape 3">
          <a:extLst>
            <a:ext uri="{FF2B5EF4-FFF2-40B4-BE49-F238E27FC236}">
              <a16:creationId xmlns:a16="http://schemas.microsoft.com/office/drawing/2014/main" id="{00000000-0008-0000-0A00-00002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8" name="Shape 3">
          <a:extLst>
            <a:ext uri="{FF2B5EF4-FFF2-40B4-BE49-F238E27FC236}">
              <a16:creationId xmlns:a16="http://schemas.microsoft.com/office/drawing/2014/main" id="{00000000-0008-0000-0A00-00002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29</xdr:row>
      <xdr:rowOff>0</xdr:rowOff>
    </xdr:from>
    <xdr:ext cx="257175" cy="323850"/>
    <xdr:sp macro="" textlink="">
      <xdr:nvSpPr>
        <xdr:cNvPr id="1319" name="Shape 3">
          <a:extLst>
            <a:ext uri="{FF2B5EF4-FFF2-40B4-BE49-F238E27FC236}">
              <a16:creationId xmlns:a16="http://schemas.microsoft.com/office/drawing/2014/main" id="{00000000-0008-0000-0A00-00002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0" name="Shape 3">
          <a:extLst>
            <a:ext uri="{FF2B5EF4-FFF2-40B4-BE49-F238E27FC236}">
              <a16:creationId xmlns:a16="http://schemas.microsoft.com/office/drawing/2014/main" id="{00000000-0008-0000-0A00-00002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1" name="Shape 3">
          <a:extLst>
            <a:ext uri="{FF2B5EF4-FFF2-40B4-BE49-F238E27FC236}">
              <a16:creationId xmlns:a16="http://schemas.microsoft.com/office/drawing/2014/main" id="{00000000-0008-0000-0A00-00002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2" name="Shape 3">
          <a:extLst>
            <a:ext uri="{FF2B5EF4-FFF2-40B4-BE49-F238E27FC236}">
              <a16:creationId xmlns:a16="http://schemas.microsoft.com/office/drawing/2014/main" id="{00000000-0008-0000-0A00-00002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3" name="Shape 3">
          <a:extLst>
            <a:ext uri="{FF2B5EF4-FFF2-40B4-BE49-F238E27FC236}">
              <a16:creationId xmlns:a16="http://schemas.microsoft.com/office/drawing/2014/main" id="{00000000-0008-0000-0A00-00002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4" name="Shape 4">
          <a:extLst>
            <a:ext uri="{FF2B5EF4-FFF2-40B4-BE49-F238E27FC236}">
              <a16:creationId xmlns:a16="http://schemas.microsoft.com/office/drawing/2014/main" id="{00000000-0008-0000-0A00-00002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5" name="Shape 4">
          <a:extLst>
            <a:ext uri="{FF2B5EF4-FFF2-40B4-BE49-F238E27FC236}">
              <a16:creationId xmlns:a16="http://schemas.microsoft.com/office/drawing/2014/main" id="{00000000-0008-0000-0A00-00002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6" name="Shape 4">
          <a:extLst>
            <a:ext uri="{FF2B5EF4-FFF2-40B4-BE49-F238E27FC236}">
              <a16:creationId xmlns:a16="http://schemas.microsoft.com/office/drawing/2014/main" id="{00000000-0008-0000-0A00-00002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30</xdr:row>
      <xdr:rowOff>0</xdr:rowOff>
    </xdr:from>
    <xdr:ext cx="247650" cy="323850"/>
    <xdr:sp macro="" textlink="">
      <xdr:nvSpPr>
        <xdr:cNvPr id="1327" name="Shape 4">
          <a:extLst>
            <a:ext uri="{FF2B5EF4-FFF2-40B4-BE49-F238E27FC236}">
              <a16:creationId xmlns:a16="http://schemas.microsoft.com/office/drawing/2014/main" id="{00000000-0008-0000-0A00-00002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8" name="Shape 3">
          <a:extLst>
            <a:ext uri="{FF2B5EF4-FFF2-40B4-BE49-F238E27FC236}">
              <a16:creationId xmlns:a16="http://schemas.microsoft.com/office/drawing/2014/main" id="{00000000-0008-0000-0A00-00003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29" name="Shape 3">
          <a:extLst>
            <a:ext uri="{FF2B5EF4-FFF2-40B4-BE49-F238E27FC236}">
              <a16:creationId xmlns:a16="http://schemas.microsoft.com/office/drawing/2014/main" id="{00000000-0008-0000-0A00-00003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0" name="Shape 3">
          <a:extLst>
            <a:ext uri="{FF2B5EF4-FFF2-40B4-BE49-F238E27FC236}">
              <a16:creationId xmlns:a16="http://schemas.microsoft.com/office/drawing/2014/main" id="{00000000-0008-0000-0A00-00003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1" name="Shape 3">
          <a:extLst>
            <a:ext uri="{FF2B5EF4-FFF2-40B4-BE49-F238E27FC236}">
              <a16:creationId xmlns:a16="http://schemas.microsoft.com/office/drawing/2014/main" id="{00000000-0008-0000-0A00-00003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2" name="Shape 3">
          <a:extLst>
            <a:ext uri="{FF2B5EF4-FFF2-40B4-BE49-F238E27FC236}">
              <a16:creationId xmlns:a16="http://schemas.microsoft.com/office/drawing/2014/main" id="{00000000-0008-0000-0A00-00003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3" name="Shape 3">
          <a:extLst>
            <a:ext uri="{FF2B5EF4-FFF2-40B4-BE49-F238E27FC236}">
              <a16:creationId xmlns:a16="http://schemas.microsoft.com/office/drawing/2014/main" id="{00000000-0008-0000-0A00-00003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30</xdr:row>
      <xdr:rowOff>0</xdr:rowOff>
    </xdr:from>
    <xdr:ext cx="257175" cy="323850"/>
    <xdr:sp macro="" textlink="">
      <xdr:nvSpPr>
        <xdr:cNvPr id="1334" name="Shape 3">
          <a:extLst>
            <a:ext uri="{FF2B5EF4-FFF2-40B4-BE49-F238E27FC236}">
              <a16:creationId xmlns:a16="http://schemas.microsoft.com/office/drawing/2014/main" id="{00000000-0008-0000-0A00-00003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5" name="Shape 3">
          <a:extLst>
            <a:ext uri="{FF2B5EF4-FFF2-40B4-BE49-F238E27FC236}">
              <a16:creationId xmlns:a16="http://schemas.microsoft.com/office/drawing/2014/main" id="{00000000-0008-0000-0A00-00003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6" name="Shape 3">
          <a:extLst>
            <a:ext uri="{FF2B5EF4-FFF2-40B4-BE49-F238E27FC236}">
              <a16:creationId xmlns:a16="http://schemas.microsoft.com/office/drawing/2014/main" id="{00000000-0008-0000-0A00-00003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7" name="Shape 3">
          <a:extLst>
            <a:ext uri="{FF2B5EF4-FFF2-40B4-BE49-F238E27FC236}">
              <a16:creationId xmlns:a16="http://schemas.microsoft.com/office/drawing/2014/main" id="{00000000-0008-0000-0A00-00003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38" name="Shape 3">
          <a:extLst>
            <a:ext uri="{FF2B5EF4-FFF2-40B4-BE49-F238E27FC236}">
              <a16:creationId xmlns:a16="http://schemas.microsoft.com/office/drawing/2014/main" id="{00000000-0008-0000-0A00-00003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39" name="Shape 4">
          <a:extLst>
            <a:ext uri="{FF2B5EF4-FFF2-40B4-BE49-F238E27FC236}">
              <a16:creationId xmlns:a16="http://schemas.microsoft.com/office/drawing/2014/main" id="{00000000-0008-0000-0A00-00003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0" name="Shape 4">
          <a:extLst>
            <a:ext uri="{FF2B5EF4-FFF2-40B4-BE49-F238E27FC236}">
              <a16:creationId xmlns:a16="http://schemas.microsoft.com/office/drawing/2014/main" id="{00000000-0008-0000-0A00-00003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1" name="Shape 4">
          <a:extLst>
            <a:ext uri="{FF2B5EF4-FFF2-40B4-BE49-F238E27FC236}">
              <a16:creationId xmlns:a16="http://schemas.microsoft.com/office/drawing/2014/main" id="{00000000-0008-0000-0A00-00003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31</xdr:row>
      <xdr:rowOff>0</xdr:rowOff>
    </xdr:from>
    <xdr:ext cx="247650" cy="323850"/>
    <xdr:sp macro="" textlink="">
      <xdr:nvSpPr>
        <xdr:cNvPr id="1342" name="Shape 4">
          <a:extLst>
            <a:ext uri="{FF2B5EF4-FFF2-40B4-BE49-F238E27FC236}">
              <a16:creationId xmlns:a16="http://schemas.microsoft.com/office/drawing/2014/main" id="{00000000-0008-0000-0A00-00003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3" name="Shape 3">
          <a:extLst>
            <a:ext uri="{FF2B5EF4-FFF2-40B4-BE49-F238E27FC236}">
              <a16:creationId xmlns:a16="http://schemas.microsoft.com/office/drawing/2014/main" id="{00000000-0008-0000-0A00-00003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4" name="Shape 3">
          <a:extLst>
            <a:ext uri="{FF2B5EF4-FFF2-40B4-BE49-F238E27FC236}">
              <a16:creationId xmlns:a16="http://schemas.microsoft.com/office/drawing/2014/main" id="{00000000-0008-0000-0A00-00004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5" name="Shape 3">
          <a:extLst>
            <a:ext uri="{FF2B5EF4-FFF2-40B4-BE49-F238E27FC236}">
              <a16:creationId xmlns:a16="http://schemas.microsoft.com/office/drawing/2014/main" id="{00000000-0008-0000-0A00-00004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6" name="Shape 3">
          <a:extLst>
            <a:ext uri="{FF2B5EF4-FFF2-40B4-BE49-F238E27FC236}">
              <a16:creationId xmlns:a16="http://schemas.microsoft.com/office/drawing/2014/main" id="{00000000-0008-0000-0A00-00004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7" name="Shape 3">
          <a:extLst>
            <a:ext uri="{FF2B5EF4-FFF2-40B4-BE49-F238E27FC236}">
              <a16:creationId xmlns:a16="http://schemas.microsoft.com/office/drawing/2014/main" id="{00000000-0008-0000-0A00-00004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8" name="Shape 3">
          <a:extLst>
            <a:ext uri="{FF2B5EF4-FFF2-40B4-BE49-F238E27FC236}">
              <a16:creationId xmlns:a16="http://schemas.microsoft.com/office/drawing/2014/main" id="{00000000-0008-0000-0A00-00004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257175" cy="323850"/>
    <xdr:sp macro="" textlink="">
      <xdr:nvSpPr>
        <xdr:cNvPr id="1349" name="Shape 3">
          <a:extLst>
            <a:ext uri="{FF2B5EF4-FFF2-40B4-BE49-F238E27FC236}">
              <a16:creationId xmlns:a16="http://schemas.microsoft.com/office/drawing/2014/main" id="{00000000-0008-0000-0A00-00004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0" name="Shape 3">
          <a:extLst>
            <a:ext uri="{FF2B5EF4-FFF2-40B4-BE49-F238E27FC236}">
              <a16:creationId xmlns:a16="http://schemas.microsoft.com/office/drawing/2014/main" id="{00000000-0008-0000-0A00-00004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1" name="Shape 3">
          <a:extLst>
            <a:ext uri="{FF2B5EF4-FFF2-40B4-BE49-F238E27FC236}">
              <a16:creationId xmlns:a16="http://schemas.microsoft.com/office/drawing/2014/main" id="{00000000-0008-0000-0A00-00004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2" name="Shape 3">
          <a:extLst>
            <a:ext uri="{FF2B5EF4-FFF2-40B4-BE49-F238E27FC236}">
              <a16:creationId xmlns:a16="http://schemas.microsoft.com/office/drawing/2014/main" id="{00000000-0008-0000-0A00-00004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3" name="Shape 3">
          <a:extLst>
            <a:ext uri="{FF2B5EF4-FFF2-40B4-BE49-F238E27FC236}">
              <a16:creationId xmlns:a16="http://schemas.microsoft.com/office/drawing/2014/main" id="{00000000-0008-0000-0A00-00004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4" name="Shape 4">
          <a:extLst>
            <a:ext uri="{FF2B5EF4-FFF2-40B4-BE49-F238E27FC236}">
              <a16:creationId xmlns:a16="http://schemas.microsoft.com/office/drawing/2014/main" id="{00000000-0008-0000-0A00-00004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5" name="Shape 4">
          <a:extLst>
            <a:ext uri="{FF2B5EF4-FFF2-40B4-BE49-F238E27FC236}">
              <a16:creationId xmlns:a16="http://schemas.microsoft.com/office/drawing/2014/main" id="{00000000-0008-0000-0A00-00004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6" name="Shape 4">
          <a:extLst>
            <a:ext uri="{FF2B5EF4-FFF2-40B4-BE49-F238E27FC236}">
              <a16:creationId xmlns:a16="http://schemas.microsoft.com/office/drawing/2014/main" id="{00000000-0008-0000-0A00-00004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32</xdr:row>
      <xdr:rowOff>0</xdr:rowOff>
    </xdr:from>
    <xdr:ext cx="247650" cy="323850"/>
    <xdr:sp macro="" textlink="">
      <xdr:nvSpPr>
        <xdr:cNvPr id="1357" name="Shape 4">
          <a:extLst>
            <a:ext uri="{FF2B5EF4-FFF2-40B4-BE49-F238E27FC236}">
              <a16:creationId xmlns:a16="http://schemas.microsoft.com/office/drawing/2014/main" id="{00000000-0008-0000-0A00-00004D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8" name="Shape 3">
          <a:extLst>
            <a:ext uri="{FF2B5EF4-FFF2-40B4-BE49-F238E27FC236}">
              <a16:creationId xmlns:a16="http://schemas.microsoft.com/office/drawing/2014/main" id="{00000000-0008-0000-0A00-00004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59" name="Shape 3">
          <a:extLst>
            <a:ext uri="{FF2B5EF4-FFF2-40B4-BE49-F238E27FC236}">
              <a16:creationId xmlns:a16="http://schemas.microsoft.com/office/drawing/2014/main" id="{00000000-0008-0000-0A00-00004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0" name="Shape 3">
          <a:extLst>
            <a:ext uri="{FF2B5EF4-FFF2-40B4-BE49-F238E27FC236}">
              <a16:creationId xmlns:a16="http://schemas.microsoft.com/office/drawing/2014/main" id="{00000000-0008-0000-0A00-00005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1" name="Shape 3">
          <a:extLst>
            <a:ext uri="{FF2B5EF4-FFF2-40B4-BE49-F238E27FC236}">
              <a16:creationId xmlns:a16="http://schemas.microsoft.com/office/drawing/2014/main" id="{00000000-0008-0000-0A00-00005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2" name="Shape 3">
          <a:extLst>
            <a:ext uri="{FF2B5EF4-FFF2-40B4-BE49-F238E27FC236}">
              <a16:creationId xmlns:a16="http://schemas.microsoft.com/office/drawing/2014/main" id="{00000000-0008-0000-0A00-00005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3" name="Shape 3">
          <a:extLst>
            <a:ext uri="{FF2B5EF4-FFF2-40B4-BE49-F238E27FC236}">
              <a16:creationId xmlns:a16="http://schemas.microsoft.com/office/drawing/2014/main" id="{00000000-0008-0000-0A00-00005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257175" cy="323850"/>
    <xdr:sp macro="" textlink="">
      <xdr:nvSpPr>
        <xdr:cNvPr id="1364" name="Shape 3">
          <a:extLst>
            <a:ext uri="{FF2B5EF4-FFF2-40B4-BE49-F238E27FC236}">
              <a16:creationId xmlns:a16="http://schemas.microsoft.com/office/drawing/2014/main" id="{00000000-0008-0000-0A00-00005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5" name="Shape 3">
          <a:extLst>
            <a:ext uri="{FF2B5EF4-FFF2-40B4-BE49-F238E27FC236}">
              <a16:creationId xmlns:a16="http://schemas.microsoft.com/office/drawing/2014/main" id="{00000000-0008-0000-0A00-00005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6" name="Shape 3">
          <a:extLst>
            <a:ext uri="{FF2B5EF4-FFF2-40B4-BE49-F238E27FC236}">
              <a16:creationId xmlns:a16="http://schemas.microsoft.com/office/drawing/2014/main" id="{00000000-0008-0000-0A00-00005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7" name="Shape 3">
          <a:extLst>
            <a:ext uri="{FF2B5EF4-FFF2-40B4-BE49-F238E27FC236}">
              <a16:creationId xmlns:a16="http://schemas.microsoft.com/office/drawing/2014/main" id="{00000000-0008-0000-0A00-00005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68" name="Shape 3">
          <a:extLst>
            <a:ext uri="{FF2B5EF4-FFF2-40B4-BE49-F238E27FC236}">
              <a16:creationId xmlns:a16="http://schemas.microsoft.com/office/drawing/2014/main" id="{00000000-0008-0000-0A00-00005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69" name="Shape 4">
          <a:extLst>
            <a:ext uri="{FF2B5EF4-FFF2-40B4-BE49-F238E27FC236}">
              <a16:creationId xmlns:a16="http://schemas.microsoft.com/office/drawing/2014/main" id="{00000000-0008-0000-0A00-00005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0" name="Shape 4">
          <a:extLst>
            <a:ext uri="{FF2B5EF4-FFF2-40B4-BE49-F238E27FC236}">
              <a16:creationId xmlns:a16="http://schemas.microsoft.com/office/drawing/2014/main" id="{00000000-0008-0000-0A00-00005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1" name="Shape 4">
          <a:extLst>
            <a:ext uri="{FF2B5EF4-FFF2-40B4-BE49-F238E27FC236}">
              <a16:creationId xmlns:a16="http://schemas.microsoft.com/office/drawing/2014/main" id="{00000000-0008-0000-0A00-00005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33</xdr:row>
      <xdr:rowOff>0</xdr:rowOff>
    </xdr:from>
    <xdr:ext cx="247650" cy="323850"/>
    <xdr:sp macro="" textlink="">
      <xdr:nvSpPr>
        <xdr:cNvPr id="1372" name="Shape 4">
          <a:extLst>
            <a:ext uri="{FF2B5EF4-FFF2-40B4-BE49-F238E27FC236}">
              <a16:creationId xmlns:a16="http://schemas.microsoft.com/office/drawing/2014/main" id="{00000000-0008-0000-0A00-00005C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3" name="Shape 3">
          <a:extLst>
            <a:ext uri="{FF2B5EF4-FFF2-40B4-BE49-F238E27FC236}">
              <a16:creationId xmlns:a16="http://schemas.microsoft.com/office/drawing/2014/main" id="{00000000-0008-0000-0A00-00005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4" name="Shape 3">
          <a:extLst>
            <a:ext uri="{FF2B5EF4-FFF2-40B4-BE49-F238E27FC236}">
              <a16:creationId xmlns:a16="http://schemas.microsoft.com/office/drawing/2014/main" id="{00000000-0008-0000-0A00-00005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5" name="Shape 3">
          <a:extLst>
            <a:ext uri="{FF2B5EF4-FFF2-40B4-BE49-F238E27FC236}">
              <a16:creationId xmlns:a16="http://schemas.microsoft.com/office/drawing/2014/main" id="{00000000-0008-0000-0A00-00005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6" name="Shape 3">
          <a:extLst>
            <a:ext uri="{FF2B5EF4-FFF2-40B4-BE49-F238E27FC236}">
              <a16:creationId xmlns:a16="http://schemas.microsoft.com/office/drawing/2014/main" id="{00000000-0008-0000-0A00-00006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7" name="Shape 3">
          <a:extLst>
            <a:ext uri="{FF2B5EF4-FFF2-40B4-BE49-F238E27FC236}">
              <a16:creationId xmlns:a16="http://schemas.microsoft.com/office/drawing/2014/main" id="{00000000-0008-0000-0A00-00006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8" name="Shape 3">
          <a:extLst>
            <a:ext uri="{FF2B5EF4-FFF2-40B4-BE49-F238E27FC236}">
              <a16:creationId xmlns:a16="http://schemas.microsoft.com/office/drawing/2014/main" id="{00000000-0008-0000-0A00-00006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33</xdr:row>
      <xdr:rowOff>0</xdr:rowOff>
    </xdr:from>
    <xdr:ext cx="257175" cy="323850"/>
    <xdr:sp macro="" textlink="">
      <xdr:nvSpPr>
        <xdr:cNvPr id="1379" name="Shape 3">
          <a:extLst>
            <a:ext uri="{FF2B5EF4-FFF2-40B4-BE49-F238E27FC236}">
              <a16:creationId xmlns:a16="http://schemas.microsoft.com/office/drawing/2014/main" id="{00000000-0008-0000-0A00-00006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0" name="Shape 3">
          <a:extLst>
            <a:ext uri="{FF2B5EF4-FFF2-40B4-BE49-F238E27FC236}">
              <a16:creationId xmlns:a16="http://schemas.microsoft.com/office/drawing/2014/main" id="{00000000-0008-0000-0A00-00006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1" name="Shape 3">
          <a:extLst>
            <a:ext uri="{FF2B5EF4-FFF2-40B4-BE49-F238E27FC236}">
              <a16:creationId xmlns:a16="http://schemas.microsoft.com/office/drawing/2014/main" id="{00000000-0008-0000-0A00-00006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2" name="Shape 3">
          <a:extLst>
            <a:ext uri="{FF2B5EF4-FFF2-40B4-BE49-F238E27FC236}">
              <a16:creationId xmlns:a16="http://schemas.microsoft.com/office/drawing/2014/main" id="{00000000-0008-0000-0A00-00006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3" name="Shape 3">
          <a:extLst>
            <a:ext uri="{FF2B5EF4-FFF2-40B4-BE49-F238E27FC236}">
              <a16:creationId xmlns:a16="http://schemas.microsoft.com/office/drawing/2014/main" id="{00000000-0008-0000-0A00-00006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4" name="Shape 4">
          <a:extLst>
            <a:ext uri="{FF2B5EF4-FFF2-40B4-BE49-F238E27FC236}">
              <a16:creationId xmlns:a16="http://schemas.microsoft.com/office/drawing/2014/main" id="{00000000-0008-0000-0A00-00006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5" name="Shape 4">
          <a:extLst>
            <a:ext uri="{FF2B5EF4-FFF2-40B4-BE49-F238E27FC236}">
              <a16:creationId xmlns:a16="http://schemas.microsoft.com/office/drawing/2014/main" id="{00000000-0008-0000-0A00-00006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6" name="Shape 4">
          <a:extLst>
            <a:ext uri="{FF2B5EF4-FFF2-40B4-BE49-F238E27FC236}">
              <a16:creationId xmlns:a16="http://schemas.microsoft.com/office/drawing/2014/main" id="{00000000-0008-0000-0A00-00006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34</xdr:row>
      <xdr:rowOff>0</xdr:rowOff>
    </xdr:from>
    <xdr:ext cx="247650" cy="323850"/>
    <xdr:sp macro="" textlink="">
      <xdr:nvSpPr>
        <xdr:cNvPr id="1387" name="Shape 4">
          <a:extLst>
            <a:ext uri="{FF2B5EF4-FFF2-40B4-BE49-F238E27FC236}">
              <a16:creationId xmlns:a16="http://schemas.microsoft.com/office/drawing/2014/main" id="{00000000-0008-0000-0A00-00006B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8" name="Shape 3">
          <a:extLst>
            <a:ext uri="{FF2B5EF4-FFF2-40B4-BE49-F238E27FC236}">
              <a16:creationId xmlns:a16="http://schemas.microsoft.com/office/drawing/2014/main" id="{00000000-0008-0000-0A00-00006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89" name="Shape 3">
          <a:extLst>
            <a:ext uri="{FF2B5EF4-FFF2-40B4-BE49-F238E27FC236}">
              <a16:creationId xmlns:a16="http://schemas.microsoft.com/office/drawing/2014/main" id="{00000000-0008-0000-0A00-00006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0" name="Shape 3">
          <a:extLst>
            <a:ext uri="{FF2B5EF4-FFF2-40B4-BE49-F238E27FC236}">
              <a16:creationId xmlns:a16="http://schemas.microsoft.com/office/drawing/2014/main" id="{00000000-0008-0000-0A00-00006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1" name="Shape 3">
          <a:extLst>
            <a:ext uri="{FF2B5EF4-FFF2-40B4-BE49-F238E27FC236}">
              <a16:creationId xmlns:a16="http://schemas.microsoft.com/office/drawing/2014/main" id="{00000000-0008-0000-0A00-00006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2" name="Shape 3">
          <a:extLst>
            <a:ext uri="{FF2B5EF4-FFF2-40B4-BE49-F238E27FC236}">
              <a16:creationId xmlns:a16="http://schemas.microsoft.com/office/drawing/2014/main" id="{00000000-0008-0000-0A00-00007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3" name="Shape 3">
          <a:extLst>
            <a:ext uri="{FF2B5EF4-FFF2-40B4-BE49-F238E27FC236}">
              <a16:creationId xmlns:a16="http://schemas.microsoft.com/office/drawing/2014/main" id="{00000000-0008-0000-0A00-00007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34</xdr:row>
      <xdr:rowOff>0</xdr:rowOff>
    </xdr:from>
    <xdr:ext cx="257175" cy="323850"/>
    <xdr:sp macro="" textlink="">
      <xdr:nvSpPr>
        <xdr:cNvPr id="1394" name="Shape 3">
          <a:extLst>
            <a:ext uri="{FF2B5EF4-FFF2-40B4-BE49-F238E27FC236}">
              <a16:creationId xmlns:a16="http://schemas.microsoft.com/office/drawing/2014/main" id="{00000000-0008-0000-0A00-00007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5" name="Shape 3">
          <a:extLst>
            <a:ext uri="{FF2B5EF4-FFF2-40B4-BE49-F238E27FC236}">
              <a16:creationId xmlns:a16="http://schemas.microsoft.com/office/drawing/2014/main" id="{00000000-0008-0000-0A00-00007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00000000-0008-0000-0A00-00007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00000000-0008-0000-0A00-00007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00000000-0008-0000-0A00-00007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399" name="Shape 4">
          <a:extLst>
            <a:ext uri="{FF2B5EF4-FFF2-40B4-BE49-F238E27FC236}">
              <a16:creationId xmlns:a16="http://schemas.microsoft.com/office/drawing/2014/main" id="{00000000-0008-0000-0A00-00007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0" name="Shape 4">
          <a:extLst>
            <a:ext uri="{FF2B5EF4-FFF2-40B4-BE49-F238E27FC236}">
              <a16:creationId xmlns:a16="http://schemas.microsoft.com/office/drawing/2014/main" id="{00000000-0008-0000-0A00-00007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1" name="Shape 4">
          <a:extLst>
            <a:ext uri="{FF2B5EF4-FFF2-40B4-BE49-F238E27FC236}">
              <a16:creationId xmlns:a16="http://schemas.microsoft.com/office/drawing/2014/main" id="{00000000-0008-0000-0A00-00007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35</xdr:row>
      <xdr:rowOff>0</xdr:rowOff>
    </xdr:from>
    <xdr:ext cx="247650" cy="323850"/>
    <xdr:sp macro="" textlink="">
      <xdr:nvSpPr>
        <xdr:cNvPr id="1402" name="Shape 4">
          <a:extLst>
            <a:ext uri="{FF2B5EF4-FFF2-40B4-BE49-F238E27FC236}">
              <a16:creationId xmlns:a16="http://schemas.microsoft.com/office/drawing/2014/main" id="{00000000-0008-0000-0A00-00007A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00000000-0008-0000-0A00-00007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00000000-0008-0000-0A00-00007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00000000-0008-0000-0A00-00007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00000000-0008-0000-0A00-00007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00000000-0008-0000-0A00-00007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00000000-0008-0000-0A00-00008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35</xdr:row>
      <xdr:rowOff>0</xdr:rowOff>
    </xdr:from>
    <xdr:ext cx="257175" cy="323850"/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00000000-0008-0000-0A00-00008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00000000-0008-0000-0A00-00008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00000000-0008-0000-0A00-00008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00000000-0008-0000-0A00-00008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00000000-0008-0000-0A00-00008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4" name="Shape 4">
          <a:extLst>
            <a:ext uri="{FF2B5EF4-FFF2-40B4-BE49-F238E27FC236}">
              <a16:creationId xmlns:a16="http://schemas.microsoft.com/office/drawing/2014/main" id="{00000000-0008-0000-0A00-00008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5" name="Shape 4">
          <a:extLst>
            <a:ext uri="{FF2B5EF4-FFF2-40B4-BE49-F238E27FC236}">
              <a16:creationId xmlns:a16="http://schemas.microsoft.com/office/drawing/2014/main" id="{00000000-0008-0000-0A00-00008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6" name="Shape 4">
          <a:extLst>
            <a:ext uri="{FF2B5EF4-FFF2-40B4-BE49-F238E27FC236}">
              <a16:creationId xmlns:a16="http://schemas.microsoft.com/office/drawing/2014/main" id="{00000000-0008-0000-0A00-00008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36</xdr:row>
      <xdr:rowOff>0</xdr:rowOff>
    </xdr:from>
    <xdr:ext cx="247650" cy="323850"/>
    <xdr:sp macro="" textlink="">
      <xdr:nvSpPr>
        <xdr:cNvPr id="1417" name="Shape 4">
          <a:extLst>
            <a:ext uri="{FF2B5EF4-FFF2-40B4-BE49-F238E27FC236}">
              <a16:creationId xmlns:a16="http://schemas.microsoft.com/office/drawing/2014/main" id="{00000000-0008-0000-0A00-000089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00000000-0008-0000-0A00-00008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00000000-0008-0000-0A00-00008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0000000-0008-0000-0A00-00008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00000000-0008-0000-0A00-00008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2" name="Shape 3">
          <a:extLst>
            <a:ext uri="{FF2B5EF4-FFF2-40B4-BE49-F238E27FC236}">
              <a16:creationId xmlns:a16="http://schemas.microsoft.com/office/drawing/2014/main" id="{00000000-0008-0000-0A00-00008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3" name="Shape 3">
          <a:extLst>
            <a:ext uri="{FF2B5EF4-FFF2-40B4-BE49-F238E27FC236}">
              <a16:creationId xmlns:a16="http://schemas.microsoft.com/office/drawing/2014/main" id="{00000000-0008-0000-0A00-00008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36</xdr:row>
      <xdr:rowOff>0</xdr:rowOff>
    </xdr:from>
    <xdr:ext cx="257175" cy="323850"/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00000000-0008-0000-0A00-00009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0000000-0008-0000-0A00-00009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6" name="Shape 3">
          <a:extLst>
            <a:ext uri="{FF2B5EF4-FFF2-40B4-BE49-F238E27FC236}">
              <a16:creationId xmlns:a16="http://schemas.microsoft.com/office/drawing/2014/main" id="{00000000-0008-0000-0A00-00009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7" name="Shape 3">
          <a:extLst>
            <a:ext uri="{FF2B5EF4-FFF2-40B4-BE49-F238E27FC236}">
              <a16:creationId xmlns:a16="http://schemas.microsoft.com/office/drawing/2014/main" id="{00000000-0008-0000-0A00-00009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28" name="Shape 3">
          <a:extLst>
            <a:ext uri="{FF2B5EF4-FFF2-40B4-BE49-F238E27FC236}">
              <a16:creationId xmlns:a16="http://schemas.microsoft.com/office/drawing/2014/main" id="{00000000-0008-0000-0A00-00009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29" name="Shape 4">
          <a:extLst>
            <a:ext uri="{FF2B5EF4-FFF2-40B4-BE49-F238E27FC236}">
              <a16:creationId xmlns:a16="http://schemas.microsoft.com/office/drawing/2014/main" id="{00000000-0008-0000-0A00-00009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0" name="Shape 4">
          <a:extLst>
            <a:ext uri="{FF2B5EF4-FFF2-40B4-BE49-F238E27FC236}">
              <a16:creationId xmlns:a16="http://schemas.microsoft.com/office/drawing/2014/main" id="{00000000-0008-0000-0A00-00009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1" name="Shape 4">
          <a:extLst>
            <a:ext uri="{FF2B5EF4-FFF2-40B4-BE49-F238E27FC236}">
              <a16:creationId xmlns:a16="http://schemas.microsoft.com/office/drawing/2014/main" id="{00000000-0008-0000-0A00-00009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37</xdr:row>
      <xdr:rowOff>0</xdr:rowOff>
    </xdr:from>
    <xdr:ext cx="247650" cy="323850"/>
    <xdr:sp macro="" textlink="">
      <xdr:nvSpPr>
        <xdr:cNvPr id="1432" name="Shape 4">
          <a:extLst>
            <a:ext uri="{FF2B5EF4-FFF2-40B4-BE49-F238E27FC236}">
              <a16:creationId xmlns:a16="http://schemas.microsoft.com/office/drawing/2014/main" id="{00000000-0008-0000-0A00-000098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00000000-0008-0000-0A00-00009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00000000-0008-0000-0A00-00009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00000000-0008-0000-0A00-00009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00000000-0008-0000-0A00-00009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7" name="Shape 3">
          <a:extLst>
            <a:ext uri="{FF2B5EF4-FFF2-40B4-BE49-F238E27FC236}">
              <a16:creationId xmlns:a16="http://schemas.microsoft.com/office/drawing/2014/main" id="{00000000-0008-0000-0A00-00009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8" name="Shape 3">
          <a:extLst>
            <a:ext uri="{FF2B5EF4-FFF2-40B4-BE49-F238E27FC236}">
              <a16:creationId xmlns:a16="http://schemas.microsoft.com/office/drawing/2014/main" id="{00000000-0008-0000-0A00-00009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37</xdr:row>
      <xdr:rowOff>0</xdr:rowOff>
    </xdr:from>
    <xdr:ext cx="257175" cy="323850"/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00000000-0008-0000-0A00-00009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00000000-0008-0000-0A00-0000A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1" name="Shape 3">
          <a:extLst>
            <a:ext uri="{FF2B5EF4-FFF2-40B4-BE49-F238E27FC236}">
              <a16:creationId xmlns:a16="http://schemas.microsoft.com/office/drawing/2014/main" id="{00000000-0008-0000-0A00-0000A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2" name="Shape 3">
          <a:extLst>
            <a:ext uri="{FF2B5EF4-FFF2-40B4-BE49-F238E27FC236}">
              <a16:creationId xmlns:a16="http://schemas.microsoft.com/office/drawing/2014/main" id="{00000000-0008-0000-0A00-0000A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3" name="Shape 3">
          <a:extLst>
            <a:ext uri="{FF2B5EF4-FFF2-40B4-BE49-F238E27FC236}">
              <a16:creationId xmlns:a16="http://schemas.microsoft.com/office/drawing/2014/main" id="{00000000-0008-0000-0A00-0000A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4" name="Shape 4">
          <a:extLst>
            <a:ext uri="{FF2B5EF4-FFF2-40B4-BE49-F238E27FC236}">
              <a16:creationId xmlns:a16="http://schemas.microsoft.com/office/drawing/2014/main" id="{00000000-0008-0000-0A00-0000A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5" name="Shape 4">
          <a:extLst>
            <a:ext uri="{FF2B5EF4-FFF2-40B4-BE49-F238E27FC236}">
              <a16:creationId xmlns:a16="http://schemas.microsoft.com/office/drawing/2014/main" id="{00000000-0008-0000-0A00-0000A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6" name="Shape 4">
          <a:extLst>
            <a:ext uri="{FF2B5EF4-FFF2-40B4-BE49-F238E27FC236}">
              <a16:creationId xmlns:a16="http://schemas.microsoft.com/office/drawing/2014/main" id="{00000000-0008-0000-0A00-0000A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38</xdr:row>
      <xdr:rowOff>0</xdr:rowOff>
    </xdr:from>
    <xdr:ext cx="247650" cy="323850"/>
    <xdr:sp macro="" textlink="">
      <xdr:nvSpPr>
        <xdr:cNvPr id="1447" name="Shape 4">
          <a:extLst>
            <a:ext uri="{FF2B5EF4-FFF2-40B4-BE49-F238E27FC236}">
              <a16:creationId xmlns:a16="http://schemas.microsoft.com/office/drawing/2014/main" id="{00000000-0008-0000-0A00-0000A7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00000000-0008-0000-0A00-0000A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00000000-0008-0000-0A00-0000A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00000000-0008-0000-0A00-0000A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00000000-0008-0000-0A00-0000A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00000000-0008-0000-0A00-0000A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00000000-0008-0000-0A00-0000A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38</xdr:row>
      <xdr:rowOff>0</xdr:rowOff>
    </xdr:from>
    <xdr:ext cx="257175" cy="323850"/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00000000-0008-0000-0A00-0000A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00000000-0008-0000-0A00-0000A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00000000-0008-0000-0A00-0000B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00000000-0008-0000-0A00-0000B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00000000-0008-0000-0A00-0000B2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59" name="Shape 4">
          <a:extLst>
            <a:ext uri="{FF2B5EF4-FFF2-40B4-BE49-F238E27FC236}">
              <a16:creationId xmlns:a16="http://schemas.microsoft.com/office/drawing/2014/main" id="{00000000-0008-0000-0A00-0000B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0" name="Shape 4">
          <a:extLst>
            <a:ext uri="{FF2B5EF4-FFF2-40B4-BE49-F238E27FC236}">
              <a16:creationId xmlns:a16="http://schemas.microsoft.com/office/drawing/2014/main" id="{00000000-0008-0000-0A00-0000B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1" name="Shape 4">
          <a:extLst>
            <a:ext uri="{FF2B5EF4-FFF2-40B4-BE49-F238E27FC236}">
              <a16:creationId xmlns:a16="http://schemas.microsoft.com/office/drawing/2014/main" id="{00000000-0008-0000-0A00-0000B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39</xdr:row>
      <xdr:rowOff>0</xdr:rowOff>
    </xdr:from>
    <xdr:ext cx="247650" cy="323850"/>
    <xdr:sp macro="" textlink="">
      <xdr:nvSpPr>
        <xdr:cNvPr id="1462" name="Shape 4">
          <a:extLst>
            <a:ext uri="{FF2B5EF4-FFF2-40B4-BE49-F238E27FC236}">
              <a16:creationId xmlns:a16="http://schemas.microsoft.com/office/drawing/2014/main" id="{00000000-0008-0000-0A00-0000B6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00000000-0008-0000-0A00-0000B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4" name="Shape 3">
          <a:extLst>
            <a:ext uri="{FF2B5EF4-FFF2-40B4-BE49-F238E27FC236}">
              <a16:creationId xmlns:a16="http://schemas.microsoft.com/office/drawing/2014/main" id="{00000000-0008-0000-0A00-0000B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5" name="Shape 3">
          <a:extLst>
            <a:ext uri="{FF2B5EF4-FFF2-40B4-BE49-F238E27FC236}">
              <a16:creationId xmlns:a16="http://schemas.microsoft.com/office/drawing/2014/main" id="{00000000-0008-0000-0A00-0000B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6" name="Shape 3">
          <a:extLst>
            <a:ext uri="{FF2B5EF4-FFF2-40B4-BE49-F238E27FC236}">
              <a16:creationId xmlns:a16="http://schemas.microsoft.com/office/drawing/2014/main" id="{00000000-0008-0000-0A00-0000B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00000000-0008-0000-0A00-0000B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0000000-0008-0000-0A00-0000B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39</xdr:row>
      <xdr:rowOff>0</xdr:rowOff>
    </xdr:from>
    <xdr:ext cx="257175" cy="323850"/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00000000-0008-0000-0A00-0000B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00000000-0008-0000-0A00-0000B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00000000-0008-0000-0A00-0000B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00000000-0008-0000-0A00-0000C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00000000-0008-0000-0A00-0000C1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4" name="Shape 4">
          <a:extLst>
            <a:ext uri="{FF2B5EF4-FFF2-40B4-BE49-F238E27FC236}">
              <a16:creationId xmlns:a16="http://schemas.microsoft.com/office/drawing/2014/main" id="{00000000-0008-0000-0A00-0000C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5" name="Shape 4">
          <a:extLst>
            <a:ext uri="{FF2B5EF4-FFF2-40B4-BE49-F238E27FC236}">
              <a16:creationId xmlns:a16="http://schemas.microsoft.com/office/drawing/2014/main" id="{00000000-0008-0000-0A00-0000C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6" name="Shape 4">
          <a:extLst>
            <a:ext uri="{FF2B5EF4-FFF2-40B4-BE49-F238E27FC236}">
              <a16:creationId xmlns:a16="http://schemas.microsoft.com/office/drawing/2014/main" id="{00000000-0008-0000-0A00-0000C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40</xdr:row>
      <xdr:rowOff>0</xdr:rowOff>
    </xdr:from>
    <xdr:ext cx="247650" cy="323850"/>
    <xdr:sp macro="" textlink="">
      <xdr:nvSpPr>
        <xdr:cNvPr id="1477" name="Shape 4">
          <a:extLst>
            <a:ext uri="{FF2B5EF4-FFF2-40B4-BE49-F238E27FC236}">
              <a16:creationId xmlns:a16="http://schemas.microsoft.com/office/drawing/2014/main" id="{00000000-0008-0000-0A00-0000C5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00000000-0008-0000-0A00-0000C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79" name="Shape 3">
          <a:extLst>
            <a:ext uri="{FF2B5EF4-FFF2-40B4-BE49-F238E27FC236}">
              <a16:creationId xmlns:a16="http://schemas.microsoft.com/office/drawing/2014/main" id="{00000000-0008-0000-0A00-0000C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0" name="Shape 3">
          <a:extLst>
            <a:ext uri="{FF2B5EF4-FFF2-40B4-BE49-F238E27FC236}">
              <a16:creationId xmlns:a16="http://schemas.microsoft.com/office/drawing/2014/main" id="{00000000-0008-0000-0A00-0000C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1" name="Shape 3">
          <a:extLst>
            <a:ext uri="{FF2B5EF4-FFF2-40B4-BE49-F238E27FC236}">
              <a16:creationId xmlns:a16="http://schemas.microsoft.com/office/drawing/2014/main" id="{00000000-0008-0000-0A00-0000C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00000000-0008-0000-0A00-0000C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00000000-0008-0000-0A00-0000C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40</xdr:row>
      <xdr:rowOff>0</xdr:rowOff>
    </xdr:from>
    <xdr:ext cx="257175" cy="323850"/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00000000-0008-0000-0A00-0000C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00000000-0008-0000-0A00-0000C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00000000-0008-0000-0A00-0000C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00000000-0008-0000-0A00-0000C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00000000-0008-0000-0A00-0000D0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89" name="Shape 4">
          <a:extLst>
            <a:ext uri="{FF2B5EF4-FFF2-40B4-BE49-F238E27FC236}">
              <a16:creationId xmlns:a16="http://schemas.microsoft.com/office/drawing/2014/main" id="{00000000-0008-0000-0A00-0000D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0" name="Shape 4">
          <a:extLst>
            <a:ext uri="{FF2B5EF4-FFF2-40B4-BE49-F238E27FC236}">
              <a16:creationId xmlns:a16="http://schemas.microsoft.com/office/drawing/2014/main" id="{00000000-0008-0000-0A00-0000D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1" name="Shape 4">
          <a:extLst>
            <a:ext uri="{FF2B5EF4-FFF2-40B4-BE49-F238E27FC236}">
              <a16:creationId xmlns:a16="http://schemas.microsoft.com/office/drawing/2014/main" id="{00000000-0008-0000-0A00-0000D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41</xdr:row>
      <xdr:rowOff>0</xdr:rowOff>
    </xdr:from>
    <xdr:ext cx="247650" cy="323850"/>
    <xdr:sp macro="" textlink="">
      <xdr:nvSpPr>
        <xdr:cNvPr id="1492" name="Shape 4">
          <a:extLst>
            <a:ext uri="{FF2B5EF4-FFF2-40B4-BE49-F238E27FC236}">
              <a16:creationId xmlns:a16="http://schemas.microsoft.com/office/drawing/2014/main" id="{00000000-0008-0000-0A00-0000D4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00000000-0008-0000-0A00-0000D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00000000-0008-0000-0A00-0000D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00000000-0008-0000-0A00-0000D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6" name="Shape 3">
          <a:extLst>
            <a:ext uri="{FF2B5EF4-FFF2-40B4-BE49-F238E27FC236}">
              <a16:creationId xmlns:a16="http://schemas.microsoft.com/office/drawing/2014/main" id="{00000000-0008-0000-0A00-0000D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7" name="Shape 3">
          <a:extLst>
            <a:ext uri="{FF2B5EF4-FFF2-40B4-BE49-F238E27FC236}">
              <a16:creationId xmlns:a16="http://schemas.microsoft.com/office/drawing/2014/main" id="{00000000-0008-0000-0A00-0000D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8" name="Shape 3">
          <a:extLst>
            <a:ext uri="{FF2B5EF4-FFF2-40B4-BE49-F238E27FC236}">
              <a16:creationId xmlns:a16="http://schemas.microsoft.com/office/drawing/2014/main" id="{00000000-0008-0000-0A00-0000D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41</xdr:row>
      <xdr:rowOff>0</xdr:rowOff>
    </xdr:from>
    <xdr:ext cx="257175" cy="323850"/>
    <xdr:sp macro="" textlink="">
      <xdr:nvSpPr>
        <xdr:cNvPr id="1499" name="Shape 3">
          <a:extLst>
            <a:ext uri="{FF2B5EF4-FFF2-40B4-BE49-F238E27FC236}">
              <a16:creationId xmlns:a16="http://schemas.microsoft.com/office/drawing/2014/main" id="{00000000-0008-0000-0A00-0000D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0" name="Shape 3">
          <a:extLst>
            <a:ext uri="{FF2B5EF4-FFF2-40B4-BE49-F238E27FC236}">
              <a16:creationId xmlns:a16="http://schemas.microsoft.com/office/drawing/2014/main" id="{00000000-0008-0000-0A00-0000D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1" name="Shape 3">
          <a:extLst>
            <a:ext uri="{FF2B5EF4-FFF2-40B4-BE49-F238E27FC236}">
              <a16:creationId xmlns:a16="http://schemas.microsoft.com/office/drawing/2014/main" id="{00000000-0008-0000-0A00-0000D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2" name="Shape 3">
          <a:extLst>
            <a:ext uri="{FF2B5EF4-FFF2-40B4-BE49-F238E27FC236}">
              <a16:creationId xmlns:a16="http://schemas.microsoft.com/office/drawing/2014/main" id="{00000000-0008-0000-0A00-0000D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3" name="Shape 3">
          <a:extLst>
            <a:ext uri="{FF2B5EF4-FFF2-40B4-BE49-F238E27FC236}">
              <a16:creationId xmlns:a16="http://schemas.microsoft.com/office/drawing/2014/main" id="{00000000-0008-0000-0A00-0000DF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4" name="Shape 4">
          <a:extLst>
            <a:ext uri="{FF2B5EF4-FFF2-40B4-BE49-F238E27FC236}">
              <a16:creationId xmlns:a16="http://schemas.microsoft.com/office/drawing/2014/main" id="{00000000-0008-0000-0A00-0000E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5" name="Shape 4">
          <a:extLst>
            <a:ext uri="{FF2B5EF4-FFF2-40B4-BE49-F238E27FC236}">
              <a16:creationId xmlns:a16="http://schemas.microsoft.com/office/drawing/2014/main" id="{00000000-0008-0000-0A00-0000E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6" name="Shape 4">
          <a:extLst>
            <a:ext uri="{FF2B5EF4-FFF2-40B4-BE49-F238E27FC236}">
              <a16:creationId xmlns:a16="http://schemas.microsoft.com/office/drawing/2014/main" id="{00000000-0008-0000-0A00-0000E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42</xdr:row>
      <xdr:rowOff>0</xdr:rowOff>
    </xdr:from>
    <xdr:ext cx="247650" cy="323850"/>
    <xdr:sp macro="" textlink="">
      <xdr:nvSpPr>
        <xdr:cNvPr id="1507" name="Shape 4">
          <a:extLst>
            <a:ext uri="{FF2B5EF4-FFF2-40B4-BE49-F238E27FC236}">
              <a16:creationId xmlns:a16="http://schemas.microsoft.com/office/drawing/2014/main" id="{00000000-0008-0000-0A00-0000E3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8" name="Shape 3">
          <a:extLst>
            <a:ext uri="{FF2B5EF4-FFF2-40B4-BE49-F238E27FC236}">
              <a16:creationId xmlns:a16="http://schemas.microsoft.com/office/drawing/2014/main" id="{00000000-0008-0000-0A00-0000E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09" name="Shape 3">
          <a:extLst>
            <a:ext uri="{FF2B5EF4-FFF2-40B4-BE49-F238E27FC236}">
              <a16:creationId xmlns:a16="http://schemas.microsoft.com/office/drawing/2014/main" id="{00000000-0008-0000-0A00-0000E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0" name="Shape 3">
          <a:extLst>
            <a:ext uri="{FF2B5EF4-FFF2-40B4-BE49-F238E27FC236}">
              <a16:creationId xmlns:a16="http://schemas.microsoft.com/office/drawing/2014/main" id="{00000000-0008-0000-0A00-0000E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1" name="Shape 3">
          <a:extLst>
            <a:ext uri="{FF2B5EF4-FFF2-40B4-BE49-F238E27FC236}">
              <a16:creationId xmlns:a16="http://schemas.microsoft.com/office/drawing/2014/main" id="{00000000-0008-0000-0A00-0000E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2" name="Shape 3">
          <a:extLst>
            <a:ext uri="{FF2B5EF4-FFF2-40B4-BE49-F238E27FC236}">
              <a16:creationId xmlns:a16="http://schemas.microsoft.com/office/drawing/2014/main" id="{00000000-0008-0000-0A00-0000E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3" name="Shape 3">
          <a:extLst>
            <a:ext uri="{FF2B5EF4-FFF2-40B4-BE49-F238E27FC236}">
              <a16:creationId xmlns:a16="http://schemas.microsoft.com/office/drawing/2014/main" id="{00000000-0008-0000-0A00-0000E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42</xdr:row>
      <xdr:rowOff>0</xdr:rowOff>
    </xdr:from>
    <xdr:ext cx="257175" cy="323850"/>
    <xdr:sp macro="" textlink="">
      <xdr:nvSpPr>
        <xdr:cNvPr id="1514" name="Shape 3">
          <a:extLst>
            <a:ext uri="{FF2B5EF4-FFF2-40B4-BE49-F238E27FC236}">
              <a16:creationId xmlns:a16="http://schemas.microsoft.com/office/drawing/2014/main" id="{00000000-0008-0000-0A00-0000E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5" name="Shape 5">
          <a:extLst>
            <a:ext uri="{FF2B5EF4-FFF2-40B4-BE49-F238E27FC236}">
              <a16:creationId xmlns:a16="http://schemas.microsoft.com/office/drawing/2014/main" id="{00000000-0008-0000-0A00-0000E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6" name="Shape 5">
          <a:extLst>
            <a:ext uri="{FF2B5EF4-FFF2-40B4-BE49-F238E27FC236}">
              <a16:creationId xmlns:a16="http://schemas.microsoft.com/office/drawing/2014/main" id="{00000000-0008-0000-0A00-0000E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7" name="Shape 5">
          <a:extLst>
            <a:ext uri="{FF2B5EF4-FFF2-40B4-BE49-F238E27FC236}">
              <a16:creationId xmlns:a16="http://schemas.microsoft.com/office/drawing/2014/main" id="{00000000-0008-0000-0A00-0000E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18" name="Shape 5">
          <a:extLst>
            <a:ext uri="{FF2B5EF4-FFF2-40B4-BE49-F238E27FC236}">
              <a16:creationId xmlns:a16="http://schemas.microsoft.com/office/drawing/2014/main" id="{00000000-0008-0000-0A00-0000EE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19" name="Shape 6">
          <a:extLst>
            <a:ext uri="{FF2B5EF4-FFF2-40B4-BE49-F238E27FC236}">
              <a16:creationId xmlns:a16="http://schemas.microsoft.com/office/drawing/2014/main" id="{00000000-0008-0000-0A00-0000E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0" name="Shape 6">
          <a:extLst>
            <a:ext uri="{FF2B5EF4-FFF2-40B4-BE49-F238E27FC236}">
              <a16:creationId xmlns:a16="http://schemas.microsoft.com/office/drawing/2014/main" id="{00000000-0008-0000-0A00-0000F0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1" name="Shape 6">
          <a:extLst>
            <a:ext uri="{FF2B5EF4-FFF2-40B4-BE49-F238E27FC236}">
              <a16:creationId xmlns:a16="http://schemas.microsoft.com/office/drawing/2014/main" id="{00000000-0008-0000-0A00-0000F1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43</xdr:row>
      <xdr:rowOff>0</xdr:rowOff>
    </xdr:from>
    <xdr:ext cx="247650" cy="323850"/>
    <xdr:sp macro="" textlink="">
      <xdr:nvSpPr>
        <xdr:cNvPr id="1522" name="Shape 6">
          <a:extLst>
            <a:ext uri="{FF2B5EF4-FFF2-40B4-BE49-F238E27FC236}">
              <a16:creationId xmlns:a16="http://schemas.microsoft.com/office/drawing/2014/main" id="{00000000-0008-0000-0A00-0000F2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3" name="Shape 5">
          <a:extLst>
            <a:ext uri="{FF2B5EF4-FFF2-40B4-BE49-F238E27FC236}">
              <a16:creationId xmlns:a16="http://schemas.microsoft.com/office/drawing/2014/main" id="{00000000-0008-0000-0A00-0000F3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4" name="Shape 5">
          <a:extLst>
            <a:ext uri="{FF2B5EF4-FFF2-40B4-BE49-F238E27FC236}">
              <a16:creationId xmlns:a16="http://schemas.microsoft.com/office/drawing/2014/main" id="{00000000-0008-0000-0A00-0000F4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5" name="Shape 5">
          <a:extLst>
            <a:ext uri="{FF2B5EF4-FFF2-40B4-BE49-F238E27FC236}">
              <a16:creationId xmlns:a16="http://schemas.microsoft.com/office/drawing/2014/main" id="{00000000-0008-0000-0A00-0000F5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6" name="Shape 5">
          <a:extLst>
            <a:ext uri="{FF2B5EF4-FFF2-40B4-BE49-F238E27FC236}">
              <a16:creationId xmlns:a16="http://schemas.microsoft.com/office/drawing/2014/main" id="{00000000-0008-0000-0A00-0000F6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7" name="Shape 5">
          <a:extLst>
            <a:ext uri="{FF2B5EF4-FFF2-40B4-BE49-F238E27FC236}">
              <a16:creationId xmlns:a16="http://schemas.microsoft.com/office/drawing/2014/main" id="{00000000-0008-0000-0A00-0000F7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8" name="Shape 5">
          <a:extLst>
            <a:ext uri="{FF2B5EF4-FFF2-40B4-BE49-F238E27FC236}">
              <a16:creationId xmlns:a16="http://schemas.microsoft.com/office/drawing/2014/main" id="{00000000-0008-0000-0A00-0000F8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43</xdr:row>
      <xdr:rowOff>0</xdr:rowOff>
    </xdr:from>
    <xdr:ext cx="257175" cy="323850"/>
    <xdr:sp macro="" textlink="">
      <xdr:nvSpPr>
        <xdr:cNvPr id="1529" name="Shape 5">
          <a:extLst>
            <a:ext uri="{FF2B5EF4-FFF2-40B4-BE49-F238E27FC236}">
              <a16:creationId xmlns:a16="http://schemas.microsoft.com/office/drawing/2014/main" id="{00000000-0008-0000-0A00-0000F9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0" name="Shape 5">
          <a:extLst>
            <a:ext uri="{FF2B5EF4-FFF2-40B4-BE49-F238E27FC236}">
              <a16:creationId xmlns:a16="http://schemas.microsoft.com/office/drawing/2014/main" id="{00000000-0008-0000-0A00-0000FA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1" name="Shape 5">
          <a:extLst>
            <a:ext uri="{FF2B5EF4-FFF2-40B4-BE49-F238E27FC236}">
              <a16:creationId xmlns:a16="http://schemas.microsoft.com/office/drawing/2014/main" id="{00000000-0008-0000-0A00-0000FB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2" name="Shape 5">
          <a:extLst>
            <a:ext uri="{FF2B5EF4-FFF2-40B4-BE49-F238E27FC236}">
              <a16:creationId xmlns:a16="http://schemas.microsoft.com/office/drawing/2014/main" id="{00000000-0008-0000-0A00-0000FC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3" name="Shape 5">
          <a:extLst>
            <a:ext uri="{FF2B5EF4-FFF2-40B4-BE49-F238E27FC236}">
              <a16:creationId xmlns:a16="http://schemas.microsoft.com/office/drawing/2014/main" id="{00000000-0008-0000-0A00-0000FD05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4" name="Shape 6">
          <a:extLst>
            <a:ext uri="{FF2B5EF4-FFF2-40B4-BE49-F238E27FC236}">
              <a16:creationId xmlns:a16="http://schemas.microsoft.com/office/drawing/2014/main" id="{00000000-0008-0000-0A00-0000FE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5" name="Shape 6">
          <a:extLst>
            <a:ext uri="{FF2B5EF4-FFF2-40B4-BE49-F238E27FC236}">
              <a16:creationId xmlns:a16="http://schemas.microsoft.com/office/drawing/2014/main" id="{00000000-0008-0000-0A00-0000FF05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6" name="Shape 6">
          <a:extLst>
            <a:ext uri="{FF2B5EF4-FFF2-40B4-BE49-F238E27FC236}">
              <a16:creationId xmlns:a16="http://schemas.microsoft.com/office/drawing/2014/main" id="{00000000-0008-0000-0A00-00000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44</xdr:row>
      <xdr:rowOff>0</xdr:rowOff>
    </xdr:from>
    <xdr:ext cx="247650" cy="323850"/>
    <xdr:sp macro="" textlink="">
      <xdr:nvSpPr>
        <xdr:cNvPr id="1537" name="Shape 6">
          <a:extLst>
            <a:ext uri="{FF2B5EF4-FFF2-40B4-BE49-F238E27FC236}">
              <a16:creationId xmlns:a16="http://schemas.microsoft.com/office/drawing/2014/main" id="{00000000-0008-0000-0A00-00000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8" name="Shape 5">
          <a:extLst>
            <a:ext uri="{FF2B5EF4-FFF2-40B4-BE49-F238E27FC236}">
              <a16:creationId xmlns:a16="http://schemas.microsoft.com/office/drawing/2014/main" id="{00000000-0008-0000-0A00-00000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39" name="Shape 5">
          <a:extLst>
            <a:ext uri="{FF2B5EF4-FFF2-40B4-BE49-F238E27FC236}">
              <a16:creationId xmlns:a16="http://schemas.microsoft.com/office/drawing/2014/main" id="{00000000-0008-0000-0A00-00000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0" name="Shape 5">
          <a:extLst>
            <a:ext uri="{FF2B5EF4-FFF2-40B4-BE49-F238E27FC236}">
              <a16:creationId xmlns:a16="http://schemas.microsoft.com/office/drawing/2014/main" id="{00000000-0008-0000-0A00-00000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1" name="Shape 5">
          <a:extLst>
            <a:ext uri="{FF2B5EF4-FFF2-40B4-BE49-F238E27FC236}">
              <a16:creationId xmlns:a16="http://schemas.microsoft.com/office/drawing/2014/main" id="{00000000-0008-0000-0A00-00000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2" name="Shape 5">
          <a:extLst>
            <a:ext uri="{FF2B5EF4-FFF2-40B4-BE49-F238E27FC236}">
              <a16:creationId xmlns:a16="http://schemas.microsoft.com/office/drawing/2014/main" id="{00000000-0008-0000-0A00-00000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3" name="Shape 5">
          <a:extLst>
            <a:ext uri="{FF2B5EF4-FFF2-40B4-BE49-F238E27FC236}">
              <a16:creationId xmlns:a16="http://schemas.microsoft.com/office/drawing/2014/main" id="{00000000-0008-0000-0A00-00000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44</xdr:row>
      <xdr:rowOff>0</xdr:rowOff>
    </xdr:from>
    <xdr:ext cx="257175" cy="323850"/>
    <xdr:sp macro="" textlink="">
      <xdr:nvSpPr>
        <xdr:cNvPr id="1544" name="Shape 5">
          <a:extLst>
            <a:ext uri="{FF2B5EF4-FFF2-40B4-BE49-F238E27FC236}">
              <a16:creationId xmlns:a16="http://schemas.microsoft.com/office/drawing/2014/main" id="{00000000-0008-0000-0A00-00000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5" name="Shape 5">
          <a:extLst>
            <a:ext uri="{FF2B5EF4-FFF2-40B4-BE49-F238E27FC236}">
              <a16:creationId xmlns:a16="http://schemas.microsoft.com/office/drawing/2014/main" id="{00000000-0008-0000-0A00-00000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6" name="Shape 5">
          <a:extLst>
            <a:ext uri="{FF2B5EF4-FFF2-40B4-BE49-F238E27FC236}">
              <a16:creationId xmlns:a16="http://schemas.microsoft.com/office/drawing/2014/main" id="{00000000-0008-0000-0A00-00000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7" name="Shape 5">
          <a:extLst>
            <a:ext uri="{FF2B5EF4-FFF2-40B4-BE49-F238E27FC236}">
              <a16:creationId xmlns:a16="http://schemas.microsoft.com/office/drawing/2014/main" id="{00000000-0008-0000-0A00-00000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48" name="Shape 5">
          <a:extLst>
            <a:ext uri="{FF2B5EF4-FFF2-40B4-BE49-F238E27FC236}">
              <a16:creationId xmlns:a16="http://schemas.microsoft.com/office/drawing/2014/main" id="{00000000-0008-0000-0A00-00000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49" name="Shape 6">
          <a:extLst>
            <a:ext uri="{FF2B5EF4-FFF2-40B4-BE49-F238E27FC236}">
              <a16:creationId xmlns:a16="http://schemas.microsoft.com/office/drawing/2014/main" id="{00000000-0008-0000-0A00-00000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0" name="Shape 6">
          <a:extLst>
            <a:ext uri="{FF2B5EF4-FFF2-40B4-BE49-F238E27FC236}">
              <a16:creationId xmlns:a16="http://schemas.microsoft.com/office/drawing/2014/main" id="{00000000-0008-0000-0A00-00000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1" name="Shape 6">
          <a:extLst>
            <a:ext uri="{FF2B5EF4-FFF2-40B4-BE49-F238E27FC236}">
              <a16:creationId xmlns:a16="http://schemas.microsoft.com/office/drawing/2014/main" id="{00000000-0008-0000-0A00-00000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45</xdr:row>
      <xdr:rowOff>0</xdr:rowOff>
    </xdr:from>
    <xdr:ext cx="247650" cy="323850"/>
    <xdr:sp macro="" textlink="">
      <xdr:nvSpPr>
        <xdr:cNvPr id="1552" name="Shape 6">
          <a:extLst>
            <a:ext uri="{FF2B5EF4-FFF2-40B4-BE49-F238E27FC236}">
              <a16:creationId xmlns:a16="http://schemas.microsoft.com/office/drawing/2014/main" id="{00000000-0008-0000-0A00-00001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3" name="Shape 5">
          <a:extLst>
            <a:ext uri="{FF2B5EF4-FFF2-40B4-BE49-F238E27FC236}">
              <a16:creationId xmlns:a16="http://schemas.microsoft.com/office/drawing/2014/main" id="{00000000-0008-0000-0A00-00001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4" name="Shape 5">
          <a:extLst>
            <a:ext uri="{FF2B5EF4-FFF2-40B4-BE49-F238E27FC236}">
              <a16:creationId xmlns:a16="http://schemas.microsoft.com/office/drawing/2014/main" id="{00000000-0008-0000-0A00-00001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5" name="Shape 5">
          <a:extLst>
            <a:ext uri="{FF2B5EF4-FFF2-40B4-BE49-F238E27FC236}">
              <a16:creationId xmlns:a16="http://schemas.microsoft.com/office/drawing/2014/main" id="{00000000-0008-0000-0A00-00001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6" name="Shape 5">
          <a:extLst>
            <a:ext uri="{FF2B5EF4-FFF2-40B4-BE49-F238E27FC236}">
              <a16:creationId xmlns:a16="http://schemas.microsoft.com/office/drawing/2014/main" id="{00000000-0008-0000-0A00-00001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7" name="Shape 5">
          <a:extLst>
            <a:ext uri="{FF2B5EF4-FFF2-40B4-BE49-F238E27FC236}">
              <a16:creationId xmlns:a16="http://schemas.microsoft.com/office/drawing/2014/main" id="{00000000-0008-0000-0A00-00001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8" name="Shape 5">
          <a:extLst>
            <a:ext uri="{FF2B5EF4-FFF2-40B4-BE49-F238E27FC236}">
              <a16:creationId xmlns:a16="http://schemas.microsoft.com/office/drawing/2014/main" id="{00000000-0008-0000-0A00-00001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45</xdr:row>
      <xdr:rowOff>0</xdr:rowOff>
    </xdr:from>
    <xdr:ext cx="257175" cy="323850"/>
    <xdr:sp macro="" textlink="">
      <xdr:nvSpPr>
        <xdr:cNvPr id="1559" name="Shape 5">
          <a:extLst>
            <a:ext uri="{FF2B5EF4-FFF2-40B4-BE49-F238E27FC236}">
              <a16:creationId xmlns:a16="http://schemas.microsoft.com/office/drawing/2014/main" id="{00000000-0008-0000-0A00-00001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0" name="Shape 5">
          <a:extLst>
            <a:ext uri="{FF2B5EF4-FFF2-40B4-BE49-F238E27FC236}">
              <a16:creationId xmlns:a16="http://schemas.microsoft.com/office/drawing/2014/main" id="{00000000-0008-0000-0A00-00001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1" name="Shape 5">
          <a:extLst>
            <a:ext uri="{FF2B5EF4-FFF2-40B4-BE49-F238E27FC236}">
              <a16:creationId xmlns:a16="http://schemas.microsoft.com/office/drawing/2014/main" id="{00000000-0008-0000-0A00-00001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2" name="Shape 5">
          <a:extLst>
            <a:ext uri="{FF2B5EF4-FFF2-40B4-BE49-F238E27FC236}">
              <a16:creationId xmlns:a16="http://schemas.microsoft.com/office/drawing/2014/main" id="{00000000-0008-0000-0A00-00001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3" name="Shape 5">
          <a:extLst>
            <a:ext uri="{FF2B5EF4-FFF2-40B4-BE49-F238E27FC236}">
              <a16:creationId xmlns:a16="http://schemas.microsoft.com/office/drawing/2014/main" id="{00000000-0008-0000-0A00-00001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4" name="Shape 6">
          <a:extLst>
            <a:ext uri="{FF2B5EF4-FFF2-40B4-BE49-F238E27FC236}">
              <a16:creationId xmlns:a16="http://schemas.microsoft.com/office/drawing/2014/main" id="{00000000-0008-0000-0A00-00001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5" name="Shape 6">
          <a:extLst>
            <a:ext uri="{FF2B5EF4-FFF2-40B4-BE49-F238E27FC236}">
              <a16:creationId xmlns:a16="http://schemas.microsoft.com/office/drawing/2014/main" id="{00000000-0008-0000-0A00-00001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6" name="Shape 6">
          <a:extLst>
            <a:ext uri="{FF2B5EF4-FFF2-40B4-BE49-F238E27FC236}">
              <a16:creationId xmlns:a16="http://schemas.microsoft.com/office/drawing/2014/main" id="{00000000-0008-0000-0A00-00001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46</xdr:row>
      <xdr:rowOff>0</xdr:rowOff>
    </xdr:from>
    <xdr:ext cx="247650" cy="323850"/>
    <xdr:sp macro="" textlink="">
      <xdr:nvSpPr>
        <xdr:cNvPr id="1567" name="Shape 6">
          <a:extLst>
            <a:ext uri="{FF2B5EF4-FFF2-40B4-BE49-F238E27FC236}">
              <a16:creationId xmlns:a16="http://schemas.microsoft.com/office/drawing/2014/main" id="{00000000-0008-0000-0A00-00001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8" name="Shape 5">
          <a:extLst>
            <a:ext uri="{FF2B5EF4-FFF2-40B4-BE49-F238E27FC236}">
              <a16:creationId xmlns:a16="http://schemas.microsoft.com/office/drawing/2014/main" id="{00000000-0008-0000-0A00-00002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69" name="Shape 5">
          <a:extLst>
            <a:ext uri="{FF2B5EF4-FFF2-40B4-BE49-F238E27FC236}">
              <a16:creationId xmlns:a16="http://schemas.microsoft.com/office/drawing/2014/main" id="{00000000-0008-0000-0A00-00002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0" name="Shape 5">
          <a:extLst>
            <a:ext uri="{FF2B5EF4-FFF2-40B4-BE49-F238E27FC236}">
              <a16:creationId xmlns:a16="http://schemas.microsoft.com/office/drawing/2014/main" id="{00000000-0008-0000-0A00-00002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1" name="Shape 5">
          <a:extLst>
            <a:ext uri="{FF2B5EF4-FFF2-40B4-BE49-F238E27FC236}">
              <a16:creationId xmlns:a16="http://schemas.microsoft.com/office/drawing/2014/main" id="{00000000-0008-0000-0A00-00002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2" name="Shape 5">
          <a:extLst>
            <a:ext uri="{FF2B5EF4-FFF2-40B4-BE49-F238E27FC236}">
              <a16:creationId xmlns:a16="http://schemas.microsoft.com/office/drawing/2014/main" id="{00000000-0008-0000-0A00-00002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3" name="Shape 5">
          <a:extLst>
            <a:ext uri="{FF2B5EF4-FFF2-40B4-BE49-F238E27FC236}">
              <a16:creationId xmlns:a16="http://schemas.microsoft.com/office/drawing/2014/main" id="{00000000-0008-0000-0A00-00002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46</xdr:row>
      <xdr:rowOff>0</xdr:rowOff>
    </xdr:from>
    <xdr:ext cx="257175" cy="323850"/>
    <xdr:sp macro="" textlink="">
      <xdr:nvSpPr>
        <xdr:cNvPr id="1574" name="Shape 5">
          <a:extLst>
            <a:ext uri="{FF2B5EF4-FFF2-40B4-BE49-F238E27FC236}">
              <a16:creationId xmlns:a16="http://schemas.microsoft.com/office/drawing/2014/main" id="{00000000-0008-0000-0A00-00002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5" name="Shape 5">
          <a:extLst>
            <a:ext uri="{FF2B5EF4-FFF2-40B4-BE49-F238E27FC236}">
              <a16:creationId xmlns:a16="http://schemas.microsoft.com/office/drawing/2014/main" id="{00000000-0008-0000-0A00-00002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6" name="Shape 5">
          <a:extLst>
            <a:ext uri="{FF2B5EF4-FFF2-40B4-BE49-F238E27FC236}">
              <a16:creationId xmlns:a16="http://schemas.microsoft.com/office/drawing/2014/main" id="{00000000-0008-0000-0A00-00002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7" name="Shape 5">
          <a:extLst>
            <a:ext uri="{FF2B5EF4-FFF2-40B4-BE49-F238E27FC236}">
              <a16:creationId xmlns:a16="http://schemas.microsoft.com/office/drawing/2014/main" id="{00000000-0008-0000-0A00-00002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78" name="Shape 5">
          <a:extLst>
            <a:ext uri="{FF2B5EF4-FFF2-40B4-BE49-F238E27FC236}">
              <a16:creationId xmlns:a16="http://schemas.microsoft.com/office/drawing/2014/main" id="{00000000-0008-0000-0A00-00002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79" name="Shape 6">
          <a:extLst>
            <a:ext uri="{FF2B5EF4-FFF2-40B4-BE49-F238E27FC236}">
              <a16:creationId xmlns:a16="http://schemas.microsoft.com/office/drawing/2014/main" id="{00000000-0008-0000-0A00-00002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0" name="Shape 6">
          <a:extLst>
            <a:ext uri="{FF2B5EF4-FFF2-40B4-BE49-F238E27FC236}">
              <a16:creationId xmlns:a16="http://schemas.microsoft.com/office/drawing/2014/main" id="{00000000-0008-0000-0A00-00002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1" name="Shape 6">
          <a:extLst>
            <a:ext uri="{FF2B5EF4-FFF2-40B4-BE49-F238E27FC236}">
              <a16:creationId xmlns:a16="http://schemas.microsoft.com/office/drawing/2014/main" id="{00000000-0008-0000-0A00-00002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47</xdr:row>
      <xdr:rowOff>0</xdr:rowOff>
    </xdr:from>
    <xdr:ext cx="247650" cy="323850"/>
    <xdr:sp macro="" textlink="">
      <xdr:nvSpPr>
        <xdr:cNvPr id="1582" name="Shape 6">
          <a:extLst>
            <a:ext uri="{FF2B5EF4-FFF2-40B4-BE49-F238E27FC236}">
              <a16:creationId xmlns:a16="http://schemas.microsoft.com/office/drawing/2014/main" id="{00000000-0008-0000-0A00-00002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3" name="Shape 5">
          <a:extLst>
            <a:ext uri="{FF2B5EF4-FFF2-40B4-BE49-F238E27FC236}">
              <a16:creationId xmlns:a16="http://schemas.microsoft.com/office/drawing/2014/main" id="{00000000-0008-0000-0A00-00002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4" name="Shape 5">
          <a:extLst>
            <a:ext uri="{FF2B5EF4-FFF2-40B4-BE49-F238E27FC236}">
              <a16:creationId xmlns:a16="http://schemas.microsoft.com/office/drawing/2014/main" id="{00000000-0008-0000-0A00-00003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5" name="Shape 5">
          <a:extLst>
            <a:ext uri="{FF2B5EF4-FFF2-40B4-BE49-F238E27FC236}">
              <a16:creationId xmlns:a16="http://schemas.microsoft.com/office/drawing/2014/main" id="{00000000-0008-0000-0A00-00003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6" name="Shape 5">
          <a:extLst>
            <a:ext uri="{FF2B5EF4-FFF2-40B4-BE49-F238E27FC236}">
              <a16:creationId xmlns:a16="http://schemas.microsoft.com/office/drawing/2014/main" id="{00000000-0008-0000-0A00-00003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7" name="Shape 5">
          <a:extLst>
            <a:ext uri="{FF2B5EF4-FFF2-40B4-BE49-F238E27FC236}">
              <a16:creationId xmlns:a16="http://schemas.microsoft.com/office/drawing/2014/main" id="{00000000-0008-0000-0A00-00003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8" name="Shape 5">
          <a:extLst>
            <a:ext uri="{FF2B5EF4-FFF2-40B4-BE49-F238E27FC236}">
              <a16:creationId xmlns:a16="http://schemas.microsoft.com/office/drawing/2014/main" id="{00000000-0008-0000-0A00-00003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47</xdr:row>
      <xdr:rowOff>0</xdr:rowOff>
    </xdr:from>
    <xdr:ext cx="257175" cy="323850"/>
    <xdr:sp macro="" textlink="">
      <xdr:nvSpPr>
        <xdr:cNvPr id="1589" name="Shape 5">
          <a:extLst>
            <a:ext uri="{FF2B5EF4-FFF2-40B4-BE49-F238E27FC236}">
              <a16:creationId xmlns:a16="http://schemas.microsoft.com/office/drawing/2014/main" id="{00000000-0008-0000-0A00-00003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0" name="Shape 5">
          <a:extLst>
            <a:ext uri="{FF2B5EF4-FFF2-40B4-BE49-F238E27FC236}">
              <a16:creationId xmlns:a16="http://schemas.microsoft.com/office/drawing/2014/main" id="{00000000-0008-0000-0A00-00003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1" name="Shape 5">
          <a:extLst>
            <a:ext uri="{FF2B5EF4-FFF2-40B4-BE49-F238E27FC236}">
              <a16:creationId xmlns:a16="http://schemas.microsoft.com/office/drawing/2014/main" id="{00000000-0008-0000-0A00-00003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2" name="Shape 5">
          <a:extLst>
            <a:ext uri="{FF2B5EF4-FFF2-40B4-BE49-F238E27FC236}">
              <a16:creationId xmlns:a16="http://schemas.microsoft.com/office/drawing/2014/main" id="{00000000-0008-0000-0A00-00003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3" name="Shape 5">
          <a:extLst>
            <a:ext uri="{FF2B5EF4-FFF2-40B4-BE49-F238E27FC236}">
              <a16:creationId xmlns:a16="http://schemas.microsoft.com/office/drawing/2014/main" id="{00000000-0008-0000-0A00-00003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4" name="Shape 6">
          <a:extLst>
            <a:ext uri="{FF2B5EF4-FFF2-40B4-BE49-F238E27FC236}">
              <a16:creationId xmlns:a16="http://schemas.microsoft.com/office/drawing/2014/main" id="{00000000-0008-0000-0A00-00003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5" name="Shape 6">
          <a:extLst>
            <a:ext uri="{FF2B5EF4-FFF2-40B4-BE49-F238E27FC236}">
              <a16:creationId xmlns:a16="http://schemas.microsoft.com/office/drawing/2014/main" id="{00000000-0008-0000-0A00-00003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6" name="Shape 6">
          <a:extLst>
            <a:ext uri="{FF2B5EF4-FFF2-40B4-BE49-F238E27FC236}">
              <a16:creationId xmlns:a16="http://schemas.microsoft.com/office/drawing/2014/main" id="{00000000-0008-0000-0A00-00003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48</xdr:row>
      <xdr:rowOff>0</xdr:rowOff>
    </xdr:from>
    <xdr:ext cx="247650" cy="323850"/>
    <xdr:sp macro="" textlink="">
      <xdr:nvSpPr>
        <xdr:cNvPr id="1597" name="Shape 6">
          <a:extLst>
            <a:ext uri="{FF2B5EF4-FFF2-40B4-BE49-F238E27FC236}">
              <a16:creationId xmlns:a16="http://schemas.microsoft.com/office/drawing/2014/main" id="{00000000-0008-0000-0A00-00003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8" name="Shape 5">
          <a:extLst>
            <a:ext uri="{FF2B5EF4-FFF2-40B4-BE49-F238E27FC236}">
              <a16:creationId xmlns:a16="http://schemas.microsoft.com/office/drawing/2014/main" id="{00000000-0008-0000-0A00-00003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599" name="Shape 5">
          <a:extLst>
            <a:ext uri="{FF2B5EF4-FFF2-40B4-BE49-F238E27FC236}">
              <a16:creationId xmlns:a16="http://schemas.microsoft.com/office/drawing/2014/main" id="{00000000-0008-0000-0A00-00003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0" name="Shape 5">
          <a:extLst>
            <a:ext uri="{FF2B5EF4-FFF2-40B4-BE49-F238E27FC236}">
              <a16:creationId xmlns:a16="http://schemas.microsoft.com/office/drawing/2014/main" id="{00000000-0008-0000-0A00-00004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1" name="Shape 5">
          <a:extLst>
            <a:ext uri="{FF2B5EF4-FFF2-40B4-BE49-F238E27FC236}">
              <a16:creationId xmlns:a16="http://schemas.microsoft.com/office/drawing/2014/main" id="{00000000-0008-0000-0A00-00004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2" name="Shape 5">
          <a:extLst>
            <a:ext uri="{FF2B5EF4-FFF2-40B4-BE49-F238E27FC236}">
              <a16:creationId xmlns:a16="http://schemas.microsoft.com/office/drawing/2014/main" id="{00000000-0008-0000-0A00-00004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3" name="Shape 5">
          <a:extLst>
            <a:ext uri="{FF2B5EF4-FFF2-40B4-BE49-F238E27FC236}">
              <a16:creationId xmlns:a16="http://schemas.microsoft.com/office/drawing/2014/main" id="{00000000-0008-0000-0A00-00004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48</xdr:row>
      <xdr:rowOff>0</xdr:rowOff>
    </xdr:from>
    <xdr:ext cx="257175" cy="323850"/>
    <xdr:sp macro="" textlink="">
      <xdr:nvSpPr>
        <xdr:cNvPr id="1604" name="Shape 5">
          <a:extLst>
            <a:ext uri="{FF2B5EF4-FFF2-40B4-BE49-F238E27FC236}">
              <a16:creationId xmlns:a16="http://schemas.microsoft.com/office/drawing/2014/main" id="{00000000-0008-0000-0A00-00004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5" name="Shape 5">
          <a:extLst>
            <a:ext uri="{FF2B5EF4-FFF2-40B4-BE49-F238E27FC236}">
              <a16:creationId xmlns:a16="http://schemas.microsoft.com/office/drawing/2014/main" id="{00000000-0008-0000-0A00-00004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6" name="Shape 5">
          <a:extLst>
            <a:ext uri="{FF2B5EF4-FFF2-40B4-BE49-F238E27FC236}">
              <a16:creationId xmlns:a16="http://schemas.microsoft.com/office/drawing/2014/main" id="{00000000-0008-0000-0A00-00004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7" name="Shape 5">
          <a:extLst>
            <a:ext uri="{FF2B5EF4-FFF2-40B4-BE49-F238E27FC236}">
              <a16:creationId xmlns:a16="http://schemas.microsoft.com/office/drawing/2014/main" id="{00000000-0008-0000-0A00-00004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08" name="Shape 5">
          <a:extLst>
            <a:ext uri="{FF2B5EF4-FFF2-40B4-BE49-F238E27FC236}">
              <a16:creationId xmlns:a16="http://schemas.microsoft.com/office/drawing/2014/main" id="{00000000-0008-0000-0A00-00004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09" name="Shape 6">
          <a:extLst>
            <a:ext uri="{FF2B5EF4-FFF2-40B4-BE49-F238E27FC236}">
              <a16:creationId xmlns:a16="http://schemas.microsoft.com/office/drawing/2014/main" id="{00000000-0008-0000-0A00-00004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0" name="Shape 6">
          <a:extLst>
            <a:ext uri="{FF2B5EF4-FFF2-40B4-BE49-F238E27FC236}">
              <a16:creationId xmlns:a16="http://schemas.microsoft.com/office/drawing/2014/main" id="{00000000-0008-0000-0A00-00004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1" name="Shape 6">
          <a:extLst>
            <a:ext uri="{FF2B5EF4-FFF2-40B4-BE49-F238E27FC236}">
              <a16:creationId xmlns:a16="http://schemas.microsoft.com/office/drawing/2014/main" id="{00000000-0008-0000-0A00-00004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49</xdr:row>
      <xdr:rowOff>0</xdr:rowOff>
    </xdr:from>
    <xdr:ext cx="247650" cy="323850"/>
    <xdr:sp macro="" textlink="">
      <xdr:nvSpPr>
        <xdr:cNvPr id="1612" name="Shape 6">
          <a:extLst>
            <a:ext uri="{FF2B5EF4-FFF2-40B4-BE49-F238E27FC236}">
              <a16:creationId xmlns:a16="http://schemas.microsoft.com/office/drawing/2014/main" id="{00000000-0008-0000-0A00-00004C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3" name="Shape 5">
          <a:extLst>
            <a:ext uri="{FF2B5EF4-FFF2-40B4-BE49-F238E27FC236}">
              <a16:creationId xmlns:a16="http://schemas.microsoft.com/office/drawing/2014/main" id="{00000000-0008-0000-0A00-00004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4" name="Shape 5">
          <a:extLst>
            <a:ext uri="{FF2B5EF4-FFF2-40B4-BE49-F238E27FC236}">
              <a16:creationId xmlns:a16="http://schemas.microsoft.com/office/drawing/2014/main" id="{00000000-0008-0000-0A00-00004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5" name="Shape 5">
          <a:extLst>
            <a:ext uri="{FF2B5EF4-FFF2-40B4-BE49-F238E27FC236}">
              <a16:creationId xmlns:a16="http://schemas.microsoft.com/office/drawing/2014/main" id="{00000000-0008-0000-0A00-00004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6" name="Shape 5">
          <a:extLst>
            <a:ext uri="{FF2B5EF4-FFF2-40B4-BE49-F238E27FC236}">
              <a16:creationId xmlns:a16="http://schemas.microsoft.com/office/drawing/2014/main" id="{00000000-0008-0000-0A00-00005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7" name="Shape 5">
          <a:extLst>
            <a:ext uri="{FF2B5EF4-FFF2-40B4-BE49-F238E27FC236}">
              <a16:creationId xmlns:a16="http://schemas.microsoft.com/office/drawing/2014/main" id="{00000000-0008-0000-0A00-00005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8" name="Shape 5">
          <a:extLst>
            <a:ext uri="{FF2B5EF4-FFF2-40B4-BE49-F238E27FC236}">
              <a16:creationId xmlns:a16="http://schemas.microsoft.com/office/drawing/2014/main" id="{00000000-0008-0000-0A00-00005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49</xdr:row>
      <xdr:rowOff>0</xdr:rowOff>
    </xdr:from>
    <xdr:ext cx="257175" cy="323850"/>
    <xdr:sp macro="" textlink="">
      <xdr:nvSpPr>
        <xdr:cNvPr id="1619" name="Shape 5">
          <a:extLst>
            <a:ext uri="{FF2B5EF4-FFF2-40B4-BE49-F238E27FC236}">
              <a16:creationId xmlns:a16="http://schemas.microsoft.com/office/drawing/2014/main" id="{00000000-0008-0000-0A00-00005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0" name="Shape 5">
          <a:extLst>
            <a:ext uri="{FF2B5EF4-FFF2-40B4-BE49-F238E27FC236}">
              <a16:creationId xmlns:a16="http://schemas.microsoft.com/office/drawing/2014/main" id="{00000000-0008-0000-0A00-00005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1" name="Shape 5">
          <a:extLst>
            <a:ext uri="{FF2B5EF4-FFF2-40B4-BE49-F238E27FC236}">
              <a16:creationId xmlns:a16="http://schemas.microsoft.com/office/drawing/2014/main" id="{00000000-0008-0000-0A00-00005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2" name="Shape 5">
          <a:extLst>
            <a:ext uri="{FF2B5EF4-FFF2-40B4-BE49-F238E27FC236}">
              <a16:creationId xmlns:a16="http://schemas.microsoft.com/office/drawing/2014/main" id="{00000000-0008-0000-0A00-00005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3" name="Shape 5">
          <a:extLst>
            <a:ext uri="{FF2B5EF4-FFF2-40B4-BE49-F238E27FC236}">
              <a16:creationId xmlns:a16="http://schemas.microsoft.com/office/drawing/2014/main" id="{00000000-0008-0000-0A00-00005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4" name="Shape 6">
          <a:extLst>
            <a:ext uri="{FF2B5EF4-FFF2-40B4-BE49-F238E27FC236}">
              <a16:creationId xmlns:a16="http://schemas.microsoft.com/office/drawing/2014/main" id="{00000000-0008-0000-0A00-00005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5" name="Shape 6">
          <a:extLst>
            <a:ext uri="{FF2B5EF4-FFF2-40B4-BE49-F238E27FC236}">
              <a16:creationId xmlns:a16="http://schemas.microsoft.com/office/drawing/2014/main" id="{00000000-0008-0000-0A00-00005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6" name="Shape 6">
          <a:extLst>
            <a:ext uri="{FF2B5EF4-FFF2-40B4-BE49-F238E27FC236}">
              <a16:creationId xmlns:a16="http://schemas.microsoft.com/office/drawing/2014/main" id="{00000000-0008-0000-0A00-00005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627" name="Shape 6">
          <a:extLst>
            <a:ext uri="{FF2B5EF4-FFF2-40B4-BE49-F238E27FC236}">
              <a16:creationId xmlns:a16="http://schemas.microsoft.com/office/drawing/2014/main" id="{00000000-0008-0000-0A00-00005B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8" name="Shape 5">
          <a:extLst>
            <a:ext uri="{FF2B5EF4-FFF2-40B4-BE49-F238E27FC236}">
              <a16:creationId xmlns:a16="http://schemas.microsoft.com/office/drawing/2014/main" id="{00000000-0008-0000-0A00-00005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29" name="Shape 5">
          <a:extLst>
            <a:ext uri="{FF2B5EF4-FFF2-40B4-BE49-F238E27FC236}">
              <a16:creationId xmlns:a16="http://schemas.microsoft.com/office/drawing/2014/main" id="{00000000-0008-0000-0A00-00005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0" name="Shape 5">
          <a:extLst>
            <a:ext uri="{FF2B5EF4-FFF2-40B4-BE49-F238E27FC236}">
              <a16:creationId xmlns:a16="http://schemas.microsoft.com/office/drawing/2014/main" id="{00000000-0008-0000-0A00-00005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1" name="Shape 5">
          <a:extLst>
            <a:ext uri="{FF2B5EF4-FFF2-40B4-BE49-F238E27FC236}">
              <a16:creationId xmlns:a16="http://schemas.microsoft.com/office/drawing/2014/main" id="{00000000-0008-0000-0A00-00005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2" name="Shape 5">
          <a:extLst>
            <a:ext uri="{FF2B5EF4-FFF2-40B4-BE49-F238E27FC236}">
              <a16:creationId xmlns:a16="http://schemas.microsoft.com/office/drawing/2014/main" id="{00000000-0008-0000-0A00-00006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3" name="Shape 5">
          <a:extLst>
            <a:ext uri="{FF2B5EF4-FFF2-40B4-BE49-F238E27FC236}">
              <a16:creationId xmlns:a16="http://schemas.microsoft.com/office/drawing/2014/main" id="{00000000-0008-0000-0A00-00006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634" name="Shape 5">
          <a:extLst>
            <a:ext uri="{FF2B5EF4-FFF2-40B4-BE49-F238E27FC236}">
              <a16:creationId xmlns:a16="http://schemas.microsoft.com/office/drawing/2014/main" id="{00000000-0008-0000-0A00-00006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5" name="Shape 5">
          <a:extLst>
            <a:ext uri="{FF2B5EF4-FFF2-40B4-BE49-F238E27FC236}">
              <a16:creationId xmlns:a16="http://schemas.microsoft.com/office/drawing/2014/main" id="{00000000-0008-0000-0A00-00006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6" name="Shape 5">
          <a:extLst>
            <a:ext uri="{FF2B5EF4-FFF2-40B4-BE49-F238E27FC236}">
              <a16:creationId xmlns:a16="http://schemas.microsoft.com/office/drawing/2014/main" id="{00000000-0008-0000-0A00-00006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7" name="Shape 5">
          <a:extLst>
            <a:ext uri="{FF2B5EF4-FFF2-40B4-BE49-F238E27FC236}">
              <a16:creationId xmlns:a16="http://schemas.microsoft.com/office/drawing/2014/main" id="{00000000-0008-0000-0A00-00006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38" name="Shape 5">
          <a:extLst>
            <a:ext uri="{FF2B5EF4-FFF2-40B4-BE49-F238E27FC236}">
              <a16:creationId xmlns:a16="http://schemas.microsoft.com/office/drawing/2014/main" id="{00000000-0008-0000-0A00-00006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39" name="Shape 6">
          <a:extLst>
            <a:ext uri="{FF2B5EF4-FFF2-40B4-BE49-F238E27FC236}">
              <a16:creationId xmlns:a16="http://schemas.microsoft.com/office/drawing/2014/main" id="{00000000-0008-0000-0A00-00006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0" name="Shape 6">
          <a:extLst>
            <a:ext uri="{FF2B5EF4-FFF2-40B4-BE49-F238E27FC236}">
              <a16:creationId xmlns:a16="http://schemas.microsoft.com/office/drawing/2014/main" id="{00000000-0008-0000-0A00-00006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1" name="Shape 6">
          <a:extLst>
            <a:ext uri="{FF2B5EF4-FFF2-40B4-BE49-F238E27FC236}">
              <a16:creationId xmlns:a16="http://schemas.microsoft.com/office/drawing/2014/main" id="{00000000-0008-0000-0A00-00006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642" name="Shape 6">
          <a:extLst>
            <a:ext uri="{FF2B5EF4-FFF2-40B4-BE49-F238E27FC236}">
              <a16:creationId xmlns:a16="http://schemas.microsoft.com/office/drawing/2014/main" id="{00000000-0008-0000-0A00-00006A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3" name="Shape 5">
          <a:extLst>
            <a:ext uri="{FF2B5EF4-FFF2-40B4-BE49-F238E27FC236}">
              <a16:creationId xmlns:a16="http://schemas.microsoft.com/office/drawing/2014/main" id="{00000000-0008-0000-0A00-00006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4" name="Shape 5">
          <a:extLst>
            <a:ext uri="{FF2B5EF4-FFF2-40B4-BE49-F238E27FC236}">
              <a16:creationId xmlns:a16="http://schemas.microsoft.com/office/drawing/2014/main" id="{00000000-0008-0000-0A00-00006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5" name="Shape 5">
          <a:extLst>
            <a:ext uri="{FF2B5EF4-FFF2-40B4-BE49-F238E27FC236}">
              <a16:creationId xmlns:a16="http://schemas.microsoft.com/office/drawing/2014/main" id="{00000000-0008-0000-0A00-00006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6" name="Shape 5">
          <a:extLst>
            <a:ext uri="{FF2B5EF4-FFF2-40B4-BE49-F238E27FC236}">
              <a16:creationId xmlns:a16="http://schemas.microsoft.com/office/drawing/2014/main" id="{00000000-0008-0000-0A00-00006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7" name="Shape 5">
          <a:extLst>
            <a:ext uri="{FF2B5EF4-FFF2-40B4-BE49-F238E27FC236}">
              <a16:creationId xmlns:a16="http://schemas.microsoft.com/office/drawing/2014/main" id="{00000000-0008-0000-0A00-00006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8" name="Shape 5">
          <a:extLst>
            <a:ext uri="{FF2B5EF4-FFF2-40B4-BE49-F238E27FC236}">
              <a16:creationId xmlns:a16="http://schemas.microsoft.com/office/drawing/2014/main" id="{00000000-0008-0000-0A00-00007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649" name="Shape 5">
          <a:extLst>
            <a:ext uri="{FF2B5EF4-FFF2-40B4-BE49-F238E27FC236}">
              <a16:creationId xmlns:a16="http://schemas.microsoft.com/office/drawing/2014/main" id="{00000000-0008-0000-0A00-00007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0" name="Shape 5">
          <a:extLst>
            <a:ext uri="{FF2B5EF4-FFF2-40B4-BE49-F238E27FC236}">
              <a16:creationId xmlns:a16="http://schemas.microsoft.com/office/drawing/2014/main" id="{00000000-0008-0000-0A00-00007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1" name="Shape 5">
          <a:extLst>
            <a:ext uri="{FF2B5EF4-FFF2-40B4-BE49-F238E27FC236}">
              <a16:creationId xmlns:a16="http://schemas.microsoft.com/office/drawing/2014/main" id="{00000000-0008-0000-0A00-00007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2" name="Shape 5">
          <a:extLst>
            <a:ext uri="{FF2B5EF4-FFF2-40B4-BE49-F238E27FC236}">
              <a16:creationId xmlns:a16="http://schemas.microsoft.com/office/drawing/2014/main" id="{00000000-0008-0000-0A00-00007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3" name="Shape 5">
          <a:extLst>
            <a:ext uri="{FF2B5EF4-FFF2-40B4-BE49-F238E27FC236}">
              <a16:creationId xmlns:a16="http://schemas.microsoft.com/office/drawing/2014/main" id="{00000000-0008-0000-0A00-00007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4" name="Shape 6">
          <a:extLst>
            <a:ext uri="{FF2B5EF4-FFF2-40B4-BE49-F238E27FC236}">
              <a16:creationId xmlns:a16="http://schemas.microsoft.com/office/drawing/2014/main" id="{00000000-0008-0000-0A00-00007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5" name="Shape 6">
          <a:extLst>
            <a:ext uri="{FF2B5EF4-FFF2-40B4-BE49-F238E27FC236}">
              <a16:creationId xmlns:a16="http://schemas.microsoft.com/office/drawing/2014/main" id="{00000000-0008-0000-0A00-00007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6" name="Shape 6">
          <a:extLst>
            <a:ext uri="{FF2B5EF4-FFF2-40B4-BE49-F238E27FC236}">
              <a16:creationId xmlns:a16="http://schemas.microsoft.com/office/drawing/2014/main" id="{00000000-0008-0000-0A00-00007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657" name="Shape 6">
          <a:extLst>
            <a:ext uri="{FF2B5EF4-FFF2-40B4-BE49-F238E27FC236}">
              <a16:creationId xmlns:a16="http://schemas.microsoft.com/office/drawing/2014/main" id="{00000000-0008-0000-0A00-000079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8" name="Shape 5">
          <a:extLst>
            <a:ext uri="{FF2B5EF4-FFF2-40B4-BE49-F238E27FC236}">
              <a16:creationId xmlns:a16="http://schemas.microsoft.com/office/drawing/2014/main" id="{00000000-0008-0000-0A00-00007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59" name="Shape 5">
          <a:extLst>
            <a:ext uri="{FF2B5EF4-FFF2-40B4-BE49-F238E27FC236}">
              <a16:creationId xmlns:a16="http://schemas.microsoft.com/office/drawing/2014/main" id="{00000000-0008-0000-0A00-00007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0" name="Shape 5">
          <a:extLst>
            <a:ext uri="{FF2B5EF4-FFF2-40B4-BE49-F238E27FC236}">
              <a16:creationId xmlns:a16="http://schemas.microsoft.com/office/drawing/2014/main" id="{00000000-0008-0000-0A00-00007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1" name="Shape 5">
          <a:extLst>
            <a:ext uri="{FF2B5EF4-FFF2-40B4-BE49-F238E27FC236}">
              <a16:creationId xmlns:a16="http://schemas.microsoft.com/office/drawing/2014/main" id="{00000000-0008-0000-0A00-00007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2" name="Shape 5">
          <a:extLst>
            <a:ext uri="{FF2B5EF4-FFF2-40B4-BE49-F238E27FC236}">
              <a16:creationId xmlns:a16="http://schemas.microsoft.com/office/drawing/2014/main" id="{00000000-0008-0000-0A00-00007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3" name="Shape 5">
          <a:extLst>
            <a:ext uri="{FF2B5EF4-FFF2-40B4-BE49-F238E27FC236}">
              <a16:creationId xmlns:a16="http://schemas.microsoft.com/office/drawing/2014/main" id="{00000000-0008-0000-0A00-00007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664" name="Shape 5">
          <a:extLst>
            <a:ext uri="{FF2B5EF4-FFF2-40B4-BE49-F238E27FC236}">
              <a16:creationId xmlns:a16="http://schemas.microsoft.com/office/drawing/2014/main" id="{00000000-0008-0000-0A00-00008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5" name="Shape 5">
          <a:extLst>
            <a:ext uri="{FF2B5EF4-FFF2-40B4-BE49-F238E27FC236}">
              <a16:creationId xmlns:a16="http://schemas.microsoft.com/office/drawing/2014/main" id="{00000000-0008-0000-0A00-00008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6" name="Shape 5">
          <a:extLst>
            <a:ext uri="{FF2B5EF4-FFF2-40B4-BE49-F238E27FC236}">
              <a16:creationId xmlns:a16="http://schemas.microsoft.com/office/drawing/2014/main" id="{00000000-0008-0000-0A00-00008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7" name="Shape 5">
          <a:extLst>
            <a:ext uri="{FF2B5EF4-FFF2-40B4-BE49-F238E27FC236}">
              <a16:creationId xmlns:a16="http://schemas.microsoft.com/office/drawing/2014/main" id="{00000000-0008-0000-0A00-00008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68" name="Shape 5">
          <a:extLst>
            <a:ext uri="{FF2B5EF4-FFF2-40B4-BE49-F238E27FC236}">
              <a16:creationId xmlns:a16="http://schemas.microsoft.com/office/drawing/2014/main" id="{00000000-0008-0000-0A00-00008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69" name="Shape 6">
          <a:extLst>
            <a:ext uri="{FF2B5EF4-FFF2-40B4-BE49-F238E27FC236}">
              <a16:creationId xmlns:a16="http://schemas.microsoft.com/office/drawing/2014/main" id="{00000000-0008-0000-0A00-00008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0" name="Shape 6">
          <a:extLst>
            <a:ext uri="{FF2B5EF4-FFF2-40B4-BE49-F238E27FC236}">
              <a16:creationId xmlns:a16="http://schemas.microsoft.com/office/drawing/2014/main" id="{00000000-0008-0000-0A00-00008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1" name="Shape 6">
          <a:extLst>
            <a:ext uri="{FF2B5EF4-FFF2-40B4-BE49-F238E27FC236}">
              <a16:creationId xmlns:a16="http://schemas.microsoft.com/office/drawing/2014/main" id="{00000000-0008-0000-0A00-00008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672" name="Shape 6">
          <a:extLst>
            <a:ext uri="{FF2B5EF4-FFF2-40B4-BE49-F238E27FC236}">
              <a16:creationId xmlns:a16="http://schemas.microsoft.com/office/drawing/2014/main" id="{00000000-0008-0000-0A00-000088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3" name="Shape 5">
          <a:extLst>
            <a:ext uri="{FF2B5EF4-FFF2-40B4-BE49-F238E27FC236}">
              <a16:creationId xmlns:a16="http://schemas.microsoft.com/office/drawing/2014/main" id="{00000000-0008-0000-0A00-00008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4" name="Shape 5">
          <a:extLst>
            <a:ext uri="{FF2B5EF4-FFF2-40B4-BE49-F238E27FC236}">
              <a16:creationId xmlns:a16="http://schemas.microsoft.com/office/drawing/2014/main" id="{00000000-0008-0000-0A00-00008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5" name="Shape 5">
          <a:extLst>
            <a:ext uri="{FF2B5EF4-FFF2-40B4-BE49-F238E27FC236}">
              <a16:creationId xmlns:a16="http://schemas.microsoft.com/office/drawing/2014/main" id="{00000000-0008-0000-0A00-00008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6" name="Shape 5">
          <a:extLst>
            <a:ext uri="{FF2B5EF4-FFF2-40B4-BE49-F238E27FC236}">
              <a16:creationId xmlns:a16="http://schemas.microsoft.com/office/drawing/2014/main" id="{00000000-0008-0000-0A00-00008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7" name="Shape 5">
          <a:extLst>
            <a:ext uri="{FF2B5EF4-FFF2-40B4-BE49-F238E27FC236}">
              <a16:creationId xmlns:a16="http://schemas.microsoft.com/office/drawing/2014/main" id="{00000000-0008-0000-0A00-00008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8" name="Shape 5">
          <a:extLst>
            <a:ext uri="{FF2B5EF4-FFF2-40B4-BE49-F238E27FC236}">
              <a16:creationId xmlns:a16="http://schemas.microsoft.com/office/drawing/2014/main" id="{00000000-0008-0000-0A00-00008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679" name="Shape 5">
          <a:extLst>
            <a:ext uri="{FF2B5EF4-FFF2-40B4-BE49-F238E27FC236}">
              <a16:creationId xmlns:a16="http://schemas.microsoft.com/office/drawing/2014/main" id="{00000000-0008-0000-0A00-00008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0" name="Shape 5">
          <a:extLst>
            <a:ext uri="{FF2B5EF4-FFF2-40B4-BE49-F238E27FC236}">
              <a16:creationId xmlns:a16="http://schemas.microsoft.com/office/drawing/2014/main" id="{00000000-0008-0000-0A00-00009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1" name="Shape 5">
          <a:extLst>
            <a:ext uri="{FF2B5EF4-FFF2-40B4-BE49-F238E27FC236}">
              <a16:creationId xmlns:a16="http://schemas.microsoft.com/office/drawing/2014/main" id="{00000000-0008-0000-0A00-00009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2" name="Shape 5">
          <a:extLst>
            <a:ext uri="{FF2B5EF4-FFF2-40B4-BE49-F238E27FC236}">
              <a16:creationId xmlns:a16="http://schemas.microsoft.com/office/drawing/2014/main" id="{00000000-0008-0000-0A00-00009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3" name="Shape 5">
          <a:extLst>
            <a:ext uri="{FF2B5EF4-FFF2-40B4-BE49-F238E27FC236}">
              <a16:creationId xmlns:a16="http://schemas.microsoft.com/office/drawing/2014/main" id="{00000000-0008-0000-0A00-00009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4" name="Shape 6">
          <a:extLst>
            <a:ext uri="{FF2B5EF4-FFF2-40B4-BE49-F238E27FC236}">
              <a16:creationId xmlns:a16="http://schemas.microsoft.com/office/drawing/2014/main" id="{00000000-0008-0000-0A00-00009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5" name="Shape 6">
          <a:extLst>
            <a:ext uri="{FF2B5EF4-FFF2-40B4-BE49-F238E27FC236}">
              <a16:creationId xmlns:a16="http://schemas.microsoft.com/office/drawing/2014/main" id="{00000000-0008-0000-0A00-00009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6" name="Shape 6">
          <a:extLst>
            <a:ext uri="{FF2B5EF4-FFF2-40B4-BE49-F238E27FC236}">
              <a16:creationId xmlns:a16="http://schemas.microsoft.com/office/drawing/2014/main" id="{00000000-0008-0000-0A00-00009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1687" name="Shape 6">
          <a:extLst>
            <a:ext uri="{FF2B5EF4-FFF2-40B4-BE49-F238E27FC236}">
              <a16:creationId xmlns:a16="http://schemas.microsoft.com/office/drawing/2014/main" id="{00000000-0008-0000-0A00-000097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8" name="Shape 5">
          <a:extLst>
            <a:ext uri="{FF2B5EF4-FFF2-40B4-BE49-F238E27FC236}">
              <a16:creationId xmlns:a16="http://schemas.microsoft.com/office/drawing/2014/main" id="{00000000-0008-0000-0A00-00009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89" name="Shape 5">
          <a:extLst>
            <a:ext uri="{FF2B5EF4-FFF2-40B4-BE49-F238E27FC236}">
              <a16:creationId xmlns:a16="http://schemas.microsoft.com/office/drawing/2014/main" id="{00000000-0008-0000-0A00-00009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0" name="Shape 5">
          <a:extLst>
            <a:ext uri="{FF2B5EF4-FFF2-40B4-BE49-F238E27FC236}">
              <a16:creationId xmlns:a16="http://schemas.microsoft.com/office/drawing/2014/main" id="{00000000-0008-0000-0A00-00009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1" name="Shape 5">
          <a:extLst>
            <a:ext uri="{FF2B5EF4-FFF2-40B4-BE49-F238E27FC236}">
              <a16:creationId xmlns:a16="http://schemas.microsoft.com/office/drawing/2014/main" id="{00000000-0008-0000-0A00-00009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2" name="Shape 5">
          <a:extLst>
            <a:ext uri="{FF2B5EF4-FFF2-40B4-BE49-F238E27FC236}">
              <a16:creationId xmlns:a16="http://schemas.microsoft.com/office/drawing/2014/main" id="{00000000-0008-0000-0A00-00009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3" name="Shape 5">
          <a:extLst>
            <a:ext uri="{FF2B5EF4-FFF2-40B4-BE49-F238E27FC236}">
              <a16:creationId xmlns:a16="http://schemas.microsoft.com/office/drawing/2014/main" id="{00000000-0008-0000-0A00-00009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1694" name="Shape 5">
          <a:extLst>
            <a:ext uri="{FF2B5EF4-FFF2-40B4-BE49-F238E27FC236}">
              <a16:creationId xmlns:a16="http://schemas.microsoft.com/office/drawing/2014/main" id="{00000000-0008-0000-0A00-00009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5" name="Shape 5">
          <a:extLst>
            <a:ext uri="{FF2B5EF4-FFF2-40B4-BE49-F238E27FC236}">
              <a16:creationId xmlns:a16="http://schemas.microsoft.com/office/drawing/2014/main" id="{00000000-0008-0000-0A00-00009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6" name="Shape 5">
          <a:extLst>
            <a:ext uri="{FF2B5EF4-FFF2-40B4-BE49-F238E27FC236}">
              <a16:creationId xmlns:a16="http://schemas.microsoft.com/office/drawing/2014/main" id="{00000000-0008-0000-0A00-0000A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7" name="Shape 5">
          <a:extLst>
            <a:ext uri="{FF2B5EF4-FFF2-40B4-BE49-F238E27FC236}">
              <a16:creationId xmlns:a16="http://schemas.microsoft.com/office/drawing/2014/main" id="{00000000-0008-0000-0A00-0000A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698" name="Shape 5">
          <a:extLst>
            <a:ext uri="{FF2B5EF4-FFF2-40B4-BE49-F238E27FC236}">
              <a16:creationId xmlns:a16="http://schemas.microsoft.com/office/drawing/2014/main" id="{00000000-0008-0000-0A00-0000A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699" name="Shape 6">
          <a:extLst>
            <a:ext uri="{FF2B5EF4-FFF2-40B4-BE49-F238E27FC236}">
              <a16:creationId xmlns:a16="http://schemas.microsoft.com/office/drawing/2014/main" id="{00000000-0008-0000-0A00-0000A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0" name="Shape 6">
          <a:extLst>
            <a:ext uri="{FF2B5EF4-FFF2-40B4-BE49-F238E27FC236}">
              <a16:creationId xmlns:a16="http://schemas.microsoft.com/office/drawing/2014/main" id="{00000000-0008-0000-0A00-0000A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1" name="Shape 6">
          <a:extLst>
            <a:ext uri="{FF2B5EF4-FFF2-40B4-BE49-F238E27FC236}">
              <a16:creationId xmlns:a16="http://schemas.microsoft.com/office/drawing/2014/main" id="{00000000-0008-0000-0A00-0000A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1702" name="Shape 6">
          <a:extLst>
            <a:ext uri="{FF2B5EF4-FFF2-40B4-BE49-F238E27FC236}">
              <a16:creationId xmlns:a16="http://schemas.microsoft.com/office/drawing/2014/main" id="{00000000-0008-0000-0A00-0000A6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3" name="Shape 5">
          <a:extLst>
            <a:ext uri="{FF2B5EF4-FFF2-40B4-BE49-F238E27FC236}">
              <a16:creationId xmlns:a16="http://schemas.microsoft.com/office/drawing/2014/main" id="{00000000-0008-0000-0A00-0000A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4" name="Shape 5">
          <a:extLst>
            <a:ext uri="{FF2B5EF4-FFF2-40B4-BE49-F238E27FC236}">
              <a16:creationId xmlns:a16="http://schemas.microsoft.com/office/drawing/2014/main" id="{00000000-0008-0000-0A00-0000A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5" name="Shape 5">
          <a:extLst>
            <a:ext uri="{FF2B5EF4-FFF2-40B4-BE49-F238E27FC236}">
              <a16:creationId xmlns:a16="http://schemas.microsoft.com/office/drawing/2014/main" id="{00000000-0008-0000-0A00-0000A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6" name="Shape 5">
          <a:extLst>
            <a:ext uri="{FF2B5EF4-FFF2-40B4-BE49-F238E27FC236}">
              <a16:creationId xmlns:a16="http://schemas.microsoft.com/office/drawing/2014/main" id="{00000000-0008-0000-0A00-0000A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7" name="Shape 5">
          <a:extLst>
            <a:ext uri="{FF2B5EF4-FFF2-40B4-BE49-F238E27FC236}">
              <a16:creationId xmlns:a16="http://schemas.microsoft.com/office/drawing/2014/main" id="{00000000-0008-0000-0A00-0000A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8" name="Shape 5">
          <a:extLst>
            <a:ext uri="{FF2B5EF4-FFF2-40B4-BE49-F238E27FC236}">
              <a16:creationId xmlns:a16="http://schemas.microsoft.com/office/drawing/2014/main" id="{00000000-0008-0000-0A00-0000A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1709" name="Shape 5">
          <a:extLst>
            <a:ext uri="{FF2B5EF4-FFF2-40B4-BE49-F238E27FC236}">
              <a16:creationId xmlns:a16="http://schemas.microsoft.com/office/drawing/2014/main" id="{00000000-0008-0000-0A00-0000A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0" name="Shape 5">
          <a:extLst>
            <a:ext uri="{FF2B5EF4-FFF2-40B4-BE49-F238E27FC236}">
              <a16:creationId xmlns:a16="http://schemas.microsoft.com/office/drawing/2014/main" id="{00000000-0008-0000-0A00-0000A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1" name="Shape 5">
          <a:extLst>
            <a:ext uri="{FF2B5EF4-FFF2-40B4-BE49-F238E27FC236}">
              <a16:creationId xmlns:a16="http://schemas.microsoft.com/office/drawing/2014/main" id="{00000000-0008-0000-0A00-0000A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2" name="Shape 5">
          <a:extLst>
            <a:ext uri="{FF2B5EF4-FFF2-40B4-BE49-F238E27FC236}">
              <a16:creationId xmlns:a16="http://schemas.microsoft.com/office/drawing/2014/main" id="{00000000-0008-0000-0A00-0000B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3" name="Shape 5">
          <a:extLst>
            <a:ext uri="{FF2B5EF4-FFF2-40B4-BE49-F238E27FC236}">
              <a16:creationId xmlns:a16="http://schemas.microsoft.com/office/drawing/2014/main" id="{00000000-0008-0000-0A00-0000B1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4" name="Shape 6">
          <a:extLst>
            <a:ext uri="{FF2B5EF4-FFF2-40B4-BE49-F238E27FC236}">
              <a16:creationId xmlns:a16="http://schemas.microsoft.com/office/drawing/2014/main" id="{00000000-0008-0000-0A00-0000B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5" name="Shape 6">
          <a:extLst>
            <a:ext uri="{FF2B5EF4-FFF2-40B4-BE49-F238E27FC236}">
              <a16:creationId xmlns:a16="http://schemas.microsoft.com/office/drawing/2014/main" id="{00000000-0008-0000-0A00-0000B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6" name="Shape 6">
          <a:extLst>
            <a:ext uri="{FF2B5EF4-FFF2-40B4-BE49-F238E27FC236}">
              <a16:creationId xmlns:a16="http://schemas.microsoft.com/office/drawing/2014/main" id="{00000000-0008-0000-0A00-0000B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1717" name="Shape 6">
          <a:extLst>
            <a:ext uri="{FF2B5EF4-FFF2-40B4-BE49-F238E27FC236}">
              <a16:creationId xmlns:a16="http://schemas.microsoft.com/office/drawing/2014/main" id="{00000000-0008-0000-0A00-0000B5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8" name="Shape 5">
          <a:extLst>
            <a:ext uri="{FF2B5EF4-FFF2-40B4-BE49-F238E27FC236}">
              <a16:creationId xmlns:a16="http://schemas.microsoft.com/office/drawing/2014/main" id="{00000000-0008-0000-0A00-0000B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19" name="Shape 5">
          <a:extLst>
            <a:ext uri="{FF2B5EF4-FFF2-40B4-BE49-F238E27FC236}">
              <a16:creationId xmlns:a16="http://schemas.microsoft.com/office/drawing/2014/main" id="{00000000-0008-0000-0A00-0000B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0" name="Shape 5">
          <a:extLst>
            <a:ext uri="{FF2B5EF4-FFF2-40B4-BE49-F238E27FC236}">
              <a16:creationId xmlns:a16="http://schemas.microsoft.com/office/drawing/2014/main" id="{00000000-0008-0000-0A00-0000B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1" name="Shape 5">
          <a:extLst>
            <a:ext uri="{FF2B5EF4-FFF2-40B4-BE49-F238E27FC236}">
              <a16:creationId xmlns:a16="http://schemas.microsoft.com/office/drawing/2014/main" id="{00000000-0008-0000-0A00-0000B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2" name="Shape 5">
          <a:extLst>
            <a:ext uri="{FF2B5EF4-FFF2-40B4-BE49-F238E27FC236}">
              <a16:creationId xmlns:a16="http://schemas.microsoft.com/office/drawing/2014/main" id="{00000000-0008-0000-0A00-0000B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3" name="Shape 5">
          <a:extLst>
            <a:ext uri="{FF2B5EF4-FFF2-40B4-BE49-F238E27FC236}">
              <a16:creationId xmlns:a16="http://schemas.microsoft.com/office/drawing/2014/main" id="{00000000-0008-0000-0A00-0000B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1724" name="Shape 5">
          <a:extLst>
            <a:ext uri="{FF2B5EF4-FFF2-40B4-BE49-F238E27FC236}">
              <a16:creationId xmlns:a16="http://schemas.microsoft.com/office/drawing/2014/main" id="{00000000-0008-0000-0A00-0000B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5" name="Shape 5">
          <a:extLst>
            <a:ext uri="{FF2B5EF4-FFF2-40B4-BE49-F238E27FC236}">
              <a16:creationId xmlns:a16="http://schemas.microsoft.com/office/drawing/2014/main" id="{00000000-0008-0000-0A00-0000B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6" name="Shape 5">
          <a:extLst>
            <a:ext uri="{FF2B5EF4-FFF2-40B4-BE49-F238E27FC236}">
              <a16:creationId xmlns:a16="http://schemas.microsoft.com/office/drawing/2014/main" id="{00000000-0008-0000-0A00-0000B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7" name="Shape 5">
          <a:extLst>
            <a:ext uri="{FF2B5EF4-FFF2-40B4-BE49-F238E27FC236}">
              <a16:creationId xmlns:a16="http://schemas.microsoft.com/office/drawing/2014/main" id="{00000000-0008-0000-0A00-0000B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28" name="Shape 5">
          <a:extLst>
            <a:ext uri="{FF2B5EF4-FFF2-40B4-BE49-F238E27FC236}">
              <a16:creationId xmlns:a16="http://schemas.microsoft.com/office/drawing/2014/main" id="{00000000-0008-0000-0A00-0000C0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29" name="Shape 6">
          <a:extLst>
            <a:ext uri="{FF2B5EF4-FFF2-40B4-BE49-F238E27FC236}">
              <a16:creationId xmlns:a16="http://schemas.microsoft.com/office/drawing/2014/main" id="{00000000-0008-0000-0A00-0000C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0" name="Shape 6">
          <a:extLst>
            <a:ext uri="{FF2B5EF4-FFF2-40B4-BE49-F238E27FC236}">
              <a16:creationId xmlns:a16="http://schemas.microsoft.com/office/drawing/2014/main" id="{00000000-0008-0000-0A00-0000C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1" name="Shape 6">
          <a:extLst>
            <a:ext uri="{FF2B5EF4-FFF2-40B4-BE49-F238E27FC236}">
              <a16:creationId xmlns:a16="http://schemas.microsoft.com/office/drawing/2014/main" id="{00000000-0008-0000-0A00-0000C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1732" name="Shape 6">
          <a:extLst>
            <a:ext uri="{FF2B5EF4-FFF2-40B4-BE49-F238E27FC236}">
              <a16:creationId xmlns:a16="http://schemas.microsoft.com/office/drawing/2014/main" id="{00000000-0008-0000-0A00-0000C4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3" name="Shape 5">
          <a:extLst>
            <a:ext uri="{FF2B5EF4-FFF2-40B4-BE49-F238E27FC236}">
              <a16:creationId xmlns:a16="http://schemas.microsoft.com/office/drawing/2014/main" id="{00000000-0008-0000-0A00-0000C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4" name="Shape 5">
          <a:extLst>
            <a:ext uri="{FF2B5EF4-FFF2-40B4-BE49-F238E27FC236}">
              <a16:creationId xmlns:a16="http://schemas.microsoft.com/office/drawing/2014/main" id="{00000000-0008-0000-0A00-0000C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5" name="Shape 5">
          <a:extLst>
            <a:ext uri="{FF2B5EF4-FFF2-40B4-BE49-F238E27FC236}">
              <a16:creationId xmlns:a16="http://schemas.microsoft.com/office/drawing/2014/main" id="{00000000-0008-0000-0A00-0000C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6" name="Shape 5">
          <a:extLst>
            <a:ext uri="{FF2B5EF4-FFF2-40B4-BE49-F238E27FC236}">
              <a16:creationId xmlns:a16="http://schemas.microsoft.com/office/drawing/2014/main" id="{00000000-0008-0000-0A00-0000C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7" name="Shape 5">
          <a:extLst>
            <a:ext uri="{FF2B5EF4-FFF2-40B4-BE49-F238E27FC236}">
              <a16:creationId xmlns:a16="http://schemas.microsoft.com/office/drawing/2014/main" id="{00000000-0008-0000-0A00-0000C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8" name="Shape 5">
          <a:extLst>
            <a:ext uri="{FF2B5EF4-FFF2-40B4-BE49-F238E27FC236}">
              <a16:creationId xmlns:a16="http://schemas.microsoft.com/office/drawing/2014/main" id="{00000000-0008-0000-0A00-0000C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1739" name="Shape 5">
          <a:extLst>
            <a:ext uri="{FF2B5EF4-FFF2-40B4-BE49-F238E27FC236}">
              <a16:creationId xmlns:a16="http://schemas.microsoft.com/office/drawing/2014/main" id="{00000000-0008-0000-0A00-0000C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0" name="Shape 5">
          <a:extLst>
            <a:ext uri="{FF2B5EF4-FFF2-40B4-BE49-F238E27FC236}">
              <a16:creationId xmlns:a16="http://schemas.microsoft.com/office/drawing/2014/main" id="{00000000-0008-0000-0A00-0000C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1" name="Shape 5">
          <a:extLst>
            <a:ext uri="{FF2B5EF4-FFF2-40B4-BE49-F238E27FC236}">
              <a16:creationId xmlns:a16="http://schemas.microsoft.com/office/drawing/2014/main" id="{00000000-0008-0000-0A00-0000C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2" name="Shape 5">
          <a:extLst>
            <a:ext uri="{FF2B5EF4-FFF2-40B4-BE49-F238E27FC236}">
              <a16:creationId xmlns:a16="http://schemas.microsoft.com/office/drawing/2014/main" id="{00000000-0008-0000-0A00-0000C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3" name="Shape 5">
          <a:extLst>
            <a:ext uri="{FF2B5EF4-FFF2-40B4-BE49-F238E27FC236}">
              <a16:creationId xmlns:a16="http://schemas.microsoft.com/office/drawing/2014/main" id="{00000000-0008-0000-0A00-0000CF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4" name="Shape 6">
          <a:extLst>
            <a:ext uri="{FF2B5EF4-FFF2-40B4-BE49-F238E27FC236}">
              <a16:creationId xmlns:a16="http://schemas.microsoft.com/office/drawing/2014/main" id="{00000000-0008-0000-0A00-0000D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5" name="Shape 6">
          <a:extLst>
            <a:ext uri="{FF2B5EF4-FFF2-40B4-BE49-F238E27FC236}">
              <a16:creationId xmlns:a16="http://schemas.microsoft.com/office/drawing/2014/main" id="{00000000-0008-0000-0A00-0000D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6" name="Shape 6">
          <a:extLst>
            <a:ext uri="{FF2B5EF4-FFF2-40B4-BE49-F238E27FC236}">
              <a16:creationId xmlns:a16="http://schemas.microsoft.com/office/drawing/2014/main" id="{00000000-0008-0000-0A00-0000D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1747" name="Shape 6">
          <a:extLst>
            <a:ext uri="{FF2B5EF4-FFF2-40B4-BE49-F238E27FC236}">
              <a16:creationId xmlns:a16="http://schemas.microsoft.com/office/drawing/2014/main" id="{00000000-0008-0000-0A00-0000D3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8" name="Shape 5">
          <a:extLst>
            <a:ext uri="{FF2B5EF4-FFF2-40B4-BE49-F238E27FC236}">
              <a16:creationId xmlns:a16="http://schemas.microsoft.com/office/drawing/2014/main" id="{00000000-0008-0000-0A00-0000D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49" name="Shape 5">
          <a:extLst>
            <a:ext uri="{FF2B5EF4-FFF2-40B4-BE49-F238E27FC236}">
              <a16:creationId xmlns:a16="http://schemas.microsoft.com/office/drawing/2014/main" id="{00000000-0008-0000-0A00-0000D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0" name="Shape 5">
          <a:extLst>
            <a:ext uri="{FF2B5EF4-FFF2-40B4-BE49-F238E27FC236}">
              <a16:creationId xmlns:a16="http://schemas.microsoft.com/office/drawing/2014/main" id="{00000000-0008-0000-0A00-0000D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1" name="Shape 5">
          <a:extLst>
            <a:ext uri="{FF2B5EF4-FFF2-40B4-BE49-F238E27FC236}">
              <a16:creationId xmlns:a16="http://schemas.microsoft.com/office/drawing/2014/main" id="{00000000-0008-0000-0A00-0000D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2" name="Shape 5">
          <a:extLst>
            <a:ext uri="{FF2B5EF4-FFF2-40B4-BE49-F238E27FC236}">
              <a16:creationId xmlns:a16="http://schemas.microsoft.com/office/drawing/2014/main" id="{00000000-0008-0000-0A00-0000D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3" name="Shape 5">
          <a:extLst>
            <a:ext uri="{FF2B5EF4-FFF2-40B4-BE49-F238E27FC236}">
              <a16:creationId xmlns:a16="http://schemas.microsoft.com/office/drawing/2014/main" id="{00000000-0008-0000-0A00-0000D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1754" name="Shape 5">
          <a:extLst>
            <a:ext uri="{FF2B5EF4-FFF2-40B4-BE49-F238E27FC236}">
              <a16:creationId xmlns:a16="http://schemas.microsoft.com/office/drawing/2014/main" id="{00000000-0008-0000-0A00-0000D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5" name="Shape 5">
          <a:extLst>
            <a:ext uri="{FF2B5EF4-FFF2-40B4-BE49-F238E27FC236}">
              <a16:creationId xmlns:a16="http://schemas.microsoft.com/office/drawing/2014/main" id="{00000000-0008-0000-0A00-0000D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6" name="Shape 5">
          <a:extLst>
            <a:ext uri="{FF2B5EF4-FFF2-40B4-BE49-F238E27FC236}">
              <a16:creationId xmlns:a16="http://schemas.microsoft.com/office/drawing/2014/main" id="{00000000-0008-0000-0A00-0000D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7" name="Shape 5">
          <a:extLst>
            <a:ext uri="{FF2B5EF4-FFF2-40B4-BE49-F238E27FC236}">
              <a16:creationId xmlns:a16="http://schemas.microsoft.com/office/drawing/2014/main" id="{00000000-0008-0000-0A00-0000D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58" name="Shape 5">
          <a:extLst>
            <a:ext uri="{FF2B5EF4-FFF2-40B4-BE49-F238E27FC236}">
              <a16:creationId xmlns:a16="http://schemas.microsoft.com/office/drawing/2014/main" id="{00000000-0008-0000-0A00-0000DE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59" name="Shape 6">
          <a:extLst>
            <a:ext uri="{FF2B5EF4-FFF2-40B4-BE49-F238E27FC236}">
              <a16:creationId xmlns:a16="http://schemas.microsoft.com/office/drawing/2014/main" id="{00000000-0008-0000-0A00-0000D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0" name="Shape 6">
          <a:extLst>
            <a:ext uri="{FF2B5EF4-FFF2-40B4-BE49-F238E27FC236}">
              <a16:creationId xmlns:a16="http://schemas.microsoft.com/office/drawing/2014/main" id="{00000000-0008-0000-0A00-0000E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1" name="Shape 6">
          <a:extLst>
            <a:ext uri="{FF2B5EF4-FFF2-40B4-BE49-F238E27FC236}">
              <a16:creationId xmlns:a16="http://schemas.microsoft.com/office/drawing/2014/main" id="{00000000-0008-0000-0A00-0000E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1762" name="Shape 6">
          <a:extLst>
            <a:ext uri="{FF2B5EF4-FFF2-40B4-BE49-F238E27FC236}">
              <a16:creationId xmlns:a16="http://schemas.microsoft.com/office/drawing/2014/main" id="{00000000-0008-0000-0A00-0000E2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3" name="Shape 5">
          <a:extLst>
            <a:ext uri="{FF2B5EF4-FFF2-40B4-BE49-F238E27FC236}">
              <a16:creationId xmlns:a16="http://schemas.microsoft.com/office/drawing/2014/main" id="{00000000-0008-0000-0A00-0000E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4" name="Shape 5">
          <a:extLst>
            <a:ext uri="{FF2B5EF4-FFF2-40B4-BE49-F238E27FC236}">
              <a16:creationId xmlns:a16="http://schemas.microsoft.com/office/drawing/2014/main" id="{00000000-0008-0000-0A00-0000E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5" name="Shape 5">
          <a:extLst>
            <a:ext uri="{FF2B5EF4-FFF2-40B4-BE49-F238E27FC236}">
              <a16:creationId xmlns:a16="http://schemas.microsoft.com/office/drawing/2014/main" id="{00000000-0008-0000-0A00-0000E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6" name="Shape 5">
          <a:extLst>
            <a:ext uri="{FF2B5EF4-FFF2-40B4-BE49-F238E27FC236}">
              <a16:creationId xmlns:a16="http://schemas.microsoft.com/office/drawing/2014/main" id="{00000000-0008-0000-0A00-0000E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7" name="Shape 5">
          <a:extLst>
            <a:ext uri="{FF2B5EF4-FFF2-40B4-BE49-F238E27FC236}">
              <a16:creationId xmlns:a16="http://schemas.microsoft.com/office/drawing/2014/main" id="{00000000-0008-0000-0A00-0000E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8" name="Shape 5">
          <a:extLst>
            <a:ext uri="{FF2B5EF4-FFF2-40B4-BE49-F238E27FC236}">
              <a16:creationId xmlns:a16="http://schemas.microsoft.com/office/drawing/2014/main" id="{00000000-0008-0000-0A00-0000E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1769" name="Shape 5">
          <a:extLst>
            <a:ext uri="{FF2B5EF4-FFF2-40B4-BE49-F238E27FC236}">
              <a16:creationId xmlns:a16="http://schemas.microsoft.com/office/drawing/2014/main" id="{00000000-0008-0000-0A00-0000E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0" name="Shape 5">
          <a:extLst>
            <a:ext uri="{FF2B5EF4-FFF2-40B4-BE49-F238E27FC236}">
              <a16:creationId xmlns:a16="http://schemas.microsoft.com/office/drawing/2014/main" id="{00000000-0008-0000-0A00-0000E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1" name="Shape 5">
          <a:extLst>
            <a:ext uri="{FF2B5EF4-FFF2-40B4-BE49-F238E27FC236}">
              <a16:creationId xmlns:a16="http://schemas.microsoft.com/office/drawing/2014/main" id="{00000000-0008-0000-0A00-0000E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2" name="Shape 5">
          <a:extLst>
            <a:ext uri="{FF2B5EF4-FFF2-40B4-BE49-F238E27FC236}">
              <a16:creationId xmlns:a16="http://schemas.microsoft.com/office/drawing/2014/main" id="{00000000-0008-0000-0A00-0000E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3" name="Shape 5">
          <a:extLst>
            <a:ext uri="{FF2B5EF4-FFF2-40B4-BE49-F238E27FC236}">
              <a16:creationId xmlns:a16="http://schemas.microsoft.com/office/drawing/2014/main" id="{00000000-0008-0000-0A00-0000ED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4" name="Shape 6">
          <a:extLst>
            <a:ext uri="{FF2B5EF4-FFF2-40B4-BE49-F238E27FC236}">
              <a16:creationId xmlns:a16="http://schemas.microsoft.com/office/drawing/2014/main" id="{00000000-0008-0000-0A00-0000E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5" name="Shape 6">
          <a:extLst>
            <a:ext uri="{FF2B5EF4-FFF2-40B4-BE49-F238E27FC236}">
              <a16:creationId xmlns:a16="http://schemas.microsoft.com/office/drawing/2014/main" id="{00000000-0008-0000-0A00-0000E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6" name="Shape 6">
          <a:extLst>
            <a:ext uri="{FF2B5EF4-FFF2-40B4-BE49-F238E27FC236}">
              <a16:creationId xmlns:a16="http://schemas.microsoft.com/office/drawing/2014/main" id="{00000000-0008-0000-0A00-0000F0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1777" name="Shape 6">
          <a:extLst>
            <a:ext uri="{FF2B5EF4-FFF2-40B4-BE49-F238E27FC236}">
              <a16:creationId xmlns:a16="http://schemas.microsoft.com/office/drawing/2014/main" id="{00000000-0008-0000-0A00-0000F1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8" name="Shape 5">
          <a:extLst>
            <a:ext uri="{FF2B5EF4-FFF2-40B4-BE49-F238E27FC236}">
              <a16:creationId xmlns:a16="http://schemas.microsoft.com/office/drawing/2014/main" id="{00000000-0008-0000-0A00-0000F2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79" name="Shape 5">
          <a:extLst>
            <a:ext uri="{FF2B5EF4-FFF2-40B4-BE49-F238E27FC236}">
              <a16:creationId xmlns:a16="http://schemas.microsoft.com/office/drawing/2014/main" id="{00000000-0008-0000-0A00-0000F3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0" name="Shape 5">
          <a:extLst>
            <a:ext uri="{FF2B5EF4-FFF2-40B4-BE49-F238E27FC236}">
              <a16:creationId xmlns:a16="http://schemas.microsoft.com/office/drawing/2014/main" id="{00000000-0008-0000-0A00-0000F4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1" name="Shape 5">
          <a:extLst>
            <a:ext uri="{FF2B5EF4-FFF2-40B4-BE49-F238E27FC236}">
              <a16:creationId xmlns:a16="http://schemas.microsoft.com/office/drawing/2014/main" id="{00000000-0008-0000-0A00-0000F5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2" name="Shape 5">
          <a:extLst>
            <a:ext uri="{FF2B5EF4-FFF2-40B4-BE49-F238E27FC236}">
              <a16:creationId xmlns:a16="http://schemas.microsoft.com/office/drawing/2014/main" id="{00000000-0008-0000-0A00-0000F6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3" name="Shape 5">
          <a:extLst>
            <a:ext uri="{FF2B5EF4-FFF2-40B4-BE49-F238E27FC236}">
              <a16:creationId xmlns:a16="http://schemas.microsoft.com/office/drawing/2014/main" id="{00000000-0008-0000-0A00-0000F7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1784" name="Shape 5">
          <a:extLst>
            <a:ext uri="{FF2B5EF4-FFF2-40B4-BE49-F238E27FC236}">
              <a16:creationId xmlns:a16="http://schemas.microsoft.com/office/drawing/2014/main" id="{00000000-0008-0000-0A00-0000F8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5" name="Shape 5">
          <a:extLst>
            <a:ext uri="{FF2B5EF4-FFF2-40B4-BE49-F238E27FC236}">
              <a16:creationId xmlns:a16="http://schemas.microsoft.com/office/drawing/2014/main" id="{00000000-0008-0000-0A00-0000F9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6" name="Shape 5">
          <a:extLst>
            <a:ext uri="{FF2B5EF4-FFF2-40B4-BE49-F238E27FC236}">
              <a16:creationId xmlns:a16="http://schemas.microsoft.com/office/drawing/2014/main" id="{00000000-0008-0000-0A00-0000FA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7" name="Shape 5">
          <a:extLst>
            <a:ext uri="{FF2B5EF4-FFF2-40B4-BE49-F238E27FC236}">
              <a16:creationId xmlns:a16="http://schemas.microsoft.com/office/drawing/2014/main" id="{00000000-0008-0000-0A00-0000FB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88" name="Shape 5">
          <a:extLst>
            <a:ext uri="{FF2B5EF4-FFF2-40B4-BE49-F238E27FC236}">
              <a16:creationId xmlns:a16="http://schemas.microsoft.com/office/drawing/2014/main" id="{00000000-0008-0000-0A00-0000FC06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89" name="Shape 6">
          <a:extLst>
            <a:ext uri="{FF2B5EF4-FFF2-40B4-BE49-F238E27FC236}">
              <a16:creationId xmlns:a16="http://schemas.microsoft.com/office/drawing/2014/main" id="{00000000-0008-0000-0A00-0000FD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0" name="Shape 6">
          <a:extLst>
            <a:ext uri="{FF2B5EF4-FFF2-40B4-BE49-F238E27FC236}">
              <a16:creationId xmlns:a16="http://schemas.microsoft.com/office/drawing/2014/main" id="{00000000-0008-0000-0A00-0000FE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1" name="Shape 6">
          <a:extLst>
            <a:ext uri="{FF2B5EF4-FFF2-40B4-BE49-F238E27FC236}">
              <a16:creationId xmlns:a16="http://schemas.microsoft.com/office/drawing/2014/main" id="{00000000-0008-0000-0A00-0000FF06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1792" name="Shape 6">
          <a:extLst>
            <a:ext uri="{FF2B5EF4-FFF2-40B4-BE49-F238E27FC236}">
              <a16:creationId xmlns:a16="http://schemas.microsoft.com/office/drawing/2014/main" id="{00000000-0008-0000-0A00-00000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3" name="Shape 5">
          <a:extLst>
            <a:ext uri="{FF2B5EF4-FFF2-40B4-BE49-F238E27FC236}">
              <a16:creationId xmlns:a16="http://schemas.microsoft.com/office/drawing/2014/main" id="{00000000-0008-0000-0A00-00000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4" name="Shape 5">
          <a:extLst>
            <a:ext uri="{FF2B5EF4-FFF2-40B4-BE49-F238E27FC236}">
              <a16:creationId xmlns:a16="http://schemas.microsoft.com/office/drawing/2014/main" id="{00000000-0008-0000-0A00-00000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5" name="Shape 5">
          <a:extLst>
            <a:ext uri="{FF2B5EF4-FFF2-40B4-BE49-F238E27FC236}">
              <a16:creationId xmlns:a16="http://schemas.microsoft.com/office/drawing/2014/main" id="{00000000-0008-0000-0A00-00000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6" name="Shape 5">
          <a:extLst>
            <a:ext uri="{FF2B5EF4-FFF2-40B4-BE49-F238E27FC236}">
              <a16:creationId xmlns:a16="http://schemas.microsoft.com/office/drawing/2014/main" id="{00000000-0008-0000-0A00-00000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7" name="Shape 5">
          <a:extLst>
            <a:ext uri="{FF2B5EF4-FFF2-40B4-BE49-F238E27FC236}">
              <a16:creationId xmlns:a16="http://schemas.microsoft.com/office/drawing/2014/main" id="{00000000-0008-0000-0A00-00000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8" name="Shape 5">
          <a:extLst>
            <a:ext uri="{FF2B5EF4-FFF2-40B4-BE49-F238E27FC236}">
              <a16:creationId xmlns:a16="http://schemas.microsoft.com/office/drawing/2014/main" id="{00000000-0008-0000-0A00-00000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1799" name="Shape 5">
          <a:extLst>
            <a:ext uri="{FF2B5EF4-FFF2-40B4-BE49-F238E27FC236}">
              <a16:creationId xmlns:a16="http://schemas.microsoft.com/office/drawing/2014/main" id="{00000000-0008-0000-0A00-00000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0" name="Shape 5">
          <a:extLst>
            <a:ext uri="{FF2B5EF4-FFF2-40B4-BE49-F238E27FC236}">
              <a16:creationId xmlns:a16="http://schemas.microsoft.com/office/drawing/2014/main" id="{00000000-0008-0000-0A00-00000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1" name="Shape 5">
          <a:extLst>
            <a:ext uri="{FF2B5EF4-FFF2-40B4-BE49-F238E27FC236}">
              <a16:creationId xmlns:a16="http://schemas.microsoft.com/office/drawing/2014/main" id="{00000000-0008-0000-0A00-00000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2" name="Shape 5">
          <a:extLst>
            <a:ext uri="{FF2B5EF4-FFF2-40B4-BE49-F238E27FC236}">
              <a16:creationId xmlns:a16="http://schemas.microsoft.com/office/drawing/2014/main" id="{00000000-0008-0000-0A00-00000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3" name="Shape 5">
          <a:extLst>
            <a:ext uri="{FF2B5EF4-FFF2-40B4-BE49-F238E27FC236}">
              <a16:creationId xmlns:a16="http://schemas.microsoft.com/office/drawing/2014/main" id="{00000000-0008-0000-0A00-00000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4" name="Shape 6">
          <a:extLst>
            <a:ext uri="{FF2B5EF4-FFF2-40B4-BE49-F238E27FC236}">
              <a16:creationId xmlns:a16="http://schemas.microsoft.com/office/drawing/2014/main" id="{00000000-0008-0000-0A00-00000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5" name="Shape 6">
          <a:extLst>
            <a:ext uri="{FF2B5EF4-FFF2-40B4-BE49-F238E27FC236}">
              <a16:creationId xmlns:a16="http://schemas.microsoft.com/office/drawing/2014/main" id="{00000000-0008-0000-0A00-00000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6" name="Shape 6">
          <a:extLst>
            <a:ext uri="{FF2B5EF4-FFF2-40B4-BE49-F238E27FC236}">
              <a16:creationId xmlns:a16="http://schemas.microsoft.com/office/drawing/2014/main" id="{00000000-0008-0000-0A00-00000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1807" name="Shape 6">
          <a:extLst>
            <a:ext uri="{FF2B5EF4-FFF2-40B4-BE49-F238E27FC236}">
              <a16:creationId xmlns:a16="http://schemas.microsoft.com/office/drawing/2014/main" id="{00000000-0008-0000-0A00-00000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8" name="Shape 5">
          <a:extLst>
            <a:ext uri="{FF2B5EF4-FFF2-40B4-BE49-F238E27FC236}">
              <a16:creationId xmlns:a16="http://schemas.microsoft.com/office/drawing/2014/main" id="{00000000-0008-0000-0A00-00001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09" name="Shape 5">
          <a:extLst>
            <a:ext uri="{FF2B5EF4-FFF2-40B4-BE49-F238E27FC236}">
              <a16:creationId xmlns:a16="http://schemas.microsoft.com/office/drawing/2014/main" id="{00000000-0008-0000-0A00-00001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0" name="Shape 5">
          <a:extLst>
            <a:ext uri="{FF2B5EF4-FFF2-40B4-BE49-F238E27FC236}">
              <a16:creationId xmlns:a16="http://schemas.microsoft.com/office/drawing/2014/main" id="{00000000-0008-0000-0A00-00001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1" name="Shape 5">
          <a:extLst>
            <a:ext uri="{FF2B5EF4-FFF2-40B4-BE49-F238E27FC236}">
              <a16:creationId xmlns:a16="http://schemas.microsoft.com/office/drawing/2014/main" id="{00000000-0008-0000-0A00-00001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2" name="Shape 5">
          <a:extLst>
            <a:ext uri="{FF2B5EF4-FFF2-40B4-BE49-F238E27FC236}">
              <a16:creationId xmlns:a16="http://schemas.microsoft.com/office/drawing/2014/main" id="{00000000-0008-0000-0A00-00001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3" name="Shape 5">
          <a:extLst>
            <a:ext uri="{FF2B5EF4-FFF2-40B4-BE49-F238E27FC236}">
              <a16:creationId xmlns:a16="http://schemas.microsoft.com/office/drawing/2014/main" id="{00000000-0008-0000-0A00-00001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1814" name="Shape 5">
          <a:extLst>
            <a:ext uri="{FF2B5EF4-FFF2-40B4-BE49-F238E27FC236}">
              <a16:creationId xmlns:a16="http://schemas.microsoft.com/office/drawing/2014/main" id="{00000000-0008-0000-0A00-00001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5" name="Shape 11">
          <a:extLst>
            <a:ext uri="{FF2B5EF4-FFF2-40B4-BE49-F238E27FC236}">
              <a16:creationId xmlns:a16="http://schemas.microsoft.com/office/drawing/2014/main" id="{00000000-0008-0000-0A00-00001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6" name="Shape 11">
          <a:extLst>
            <a:ext uri="{FF2B5EF4-FFF2-40B4-BE49-F238E27FC236}">
              <a16:creationId xmlns:a16="http://schemas.microsoft.com/office/drawing/2014/main" id="{00000000-0008-0000-0A00-00001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7" name="Shape 11">
          <a:extLst>
            <a:ext uri="{FF2B5EF4-FFF2-40B4-BE49-F238E27FC236}">
              <a16:creationId xmlns:a16="http://schemas.microsoft.com/office/drawing/2014/main" id="{00000000-0008-0000-0A00-00001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18" name="Shape 11">
          <a:extLst>
            <a:ext uri="{FF2B5EF4-FFF2-40B4-BE49-F238E27FC236}">
              <a16:creationId xmlns:a16="http://schemas.microsoft.com/office/drawing/2014/main" id="{00000000-0008-0000-0A00-00001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19" name="Shape 12">
          <a:extLst>
            <a:ext uri="{FF2B5EF4-FFF2-40B4-BE49-F238E27FC236}">
              <a16:creationId xmlns:a16="http://schemas.microsoft.com/office/drawing/2014/main" id="{00000000-0008-0000-0A00-00001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0" name="Shape 12">
          <a:extLst>
            <a:ext uri="{FF2B5EF4-FFF2-40B4-BE49-F238E27FC236}">
              <a16:creationId xmlns:a16="http://schemas.microsoft.com/office/drawing/2014/main" id="{00000000-0008-0000-0A00-00001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1" name="Shape 12">
          <a:extLst>
            <a:ext uri="{FF2B5EF4-FFF2-40B4-BE49-F238E27FC236}">
              <a16:creationId xmlns:a16="http://schemas.microsoft.com/office/drawing/2014/main" id="{00000000-0008-0000-0A00-00001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22" name="Shape 12">
          <a:extLst>
            <a:ext uri="{FF2B5EF4-FFF2-40B4-BE49-F238E27FC236}">
              <a16:creationId xmlns:a16="http://schemas.microsoft.com/office/drawing/2014/main" id="{00000000-0008-0000-0A00-00001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3" name="Shape 11">
          <a:extLst>
            <a:ext uri="{FF2B5EF4-FFF2-40B4-BE49-F238E27FC236}">
              <a16:creationId xmlns:a16="http://schemas.microsoft.com/office/drawing/2014/main" id="{00000000-0008-0000-0A00-00001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4" name="Shape 11">
          <a:extLst>
            <a:ext uri="{FF2B5EF4-FFF2-40B4-BE49-F238E27FC236}">
              <a16:creationId xmlns:a16="http://schemas.microsoft.com/office/drawing/2014/main" id="{00000000-0008-0000-0A00-00002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5" name="Shape 11">
          <a:extLst>
            <a:ext uri="{FF2B5EF4-FFF2-40B4-BE49-F238E27FC236}">
              <a16:creationId xmlns:a16="http://schemas.microsoft.com/office/drawing/2014/main" id="{00000000-0008-0000-0A00-00002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6" name="Shape 11">
          <a:extLst>
            <a:ext uri="{FF2B5EF4-FFF2-40B4-BE49-F238E27FC236}">
              <a16:creationId xmlns:a16="http://schemas.microsoft.com/office/drawing/2014/main" id="{00000000-0008-0000-0A00-00002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7" name="Shape 11">
          <a:extLst>
            <a:ext uri="{FF2B5EF4-FFF2-40B4-BE49-F238E27FC236}">
              <a16:creationId xmlns:a16="http://schemas.microsoft.com/office/drawing/2014/main" id="{00000000-0008-0000-0A00-00002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8" name="Shape 11">
          <a:extLst>
            <a:ext uri="{FF2B5EF4-FFF2-40B4-BE49-F238E27FC236}">
              <a16:creationId xmlns:a16="http://schemas.microsoft.com/office/drawing/2014/main" id="{00000000-0008-0000-0A00-00002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29" name="Shape 11">
          <a:extLst>
            <a:ext uri="{FF2B5EF4-FFF2-40B4-BE49-F238E27FC236}">
              <a16:creationId xmlns:a16="http://schemas.microsoft.com/office/drawing/2014/main" id="{00000000-0008-0000-0A00-00002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0" name="Shape 5">
          <a:extLst>
            <a:ext uri="{FF2B5EF4-FFF2-40B4-BE49-F238E27FC236}">
              <a16:creationId xmlns:a16="http://schemas.microsoft.com/office/drawing/2014/main" id="{00000000-0008-0000-0A00-00002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1" name="Shape 5">
          <a:extLst>
            <a:ext uri="{FF2B5EF4-FFF2-40B4-BE49-F238E27FC236}">
              <a16:creationId xmlns:a16="http://schemas.microsoft.com/office/drawing/2014/main" id="{00000000-0008-0000-0A00-00002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2" name="Shape 5">
          <a:extLst>
            <a:ext uri="{FF2B5EF4-FFF2-40B4-BE49-F238E27FC236}">
              <a16:creationId xmlns:a16="http://schemas.microsoft.com/office/drawing/2014/main" id="{00000000-0008-0000-0A00-00002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3" name="Shape 5">
          <a:extLst>
            <a:ext uri="{FF2B5EF4-FFF2-40B4-BE49-F238E27FC236}">
              <a16:creationId xmlns:a16="http://schemas.microsoft.com/office/drawing/2014/main" id="{00000000-0008-0000-0A00-00002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4" name="Shape 6">
          <a:extLst>
            <a:ext uri="{FF2B5EF4-FFF2-40B4-BE49-F238E27FC236}">
              <a16:creationId xmlns:a16="http://schemas.microsoft.com/office/drawing/2014/main" id="{00000000-0008-0000-0A00-00002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5" name="Shape 6">
          <a:extLst>
            <a:ext uri="{FF2B5EF4-FFF2-40B4-BE49-F238E27FC236}">
              <a16:creationId xmlns:a16="http://schemas.microsoft.com/office/drawing/2014/main" id="{00000000-0008-0000-0A00-00002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6" name="Shape 6">
          <a:extLst>
            <a:ext uri="{FF2B5EF4-FFF2-40B4-BE49-F238E27FC236}">
              <a16:creationId xmlns:a16="http://schemas.microsoft.com/office/drawing/2014/main" id="{00000000-0008-0000-0A00-00002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37" name="Shape 6">
          <a:extLst>
            <a:ext uri="{FF2B5EF4-FFF2-40B4-BE49-F238E27FC236}">
              <a16:creationId xmlns:a16="http://schemas.microsoft.com/office/drawing/2014/main" id="{00000000-0008-0000-0A00-00002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8" name="Shape 5">
          <a:extLst>
            <a:ext uri="{FF2B5EF4-FFF2-40B4-BE49-F238E27FC236}">
              <a16:creationId xmlns:a16="http://schemas.microsoft.com/office/drawing/2014/main" id="{00000000-0008-0000-0A00-00002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39" name="Shape 5">
          <a:extLst>
            <a:ext uri="{FF2B5EF4-FFF2-40B4-BE49-F238E27FC236}">
              <a16:creationId xmlns:a16="http://schemas.microsoft.com/office/drawing/2014/main" id="{00000000-0008-0000-0A00-00002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0" name="Shape 5">
          <a:extLst>
            <a:ext uri="{FF2B5EF4-FFF2-40B4-BE49-F238E27FC236}">
              <a16:creationId xmlns:a16="http://schemas.microsoft.com/office/drawing/2014/main" id="{00000000-0008-0000-0A00-00003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1" name="Shape 5">
          <a:extLst>
            <a:ext uri="{FF2B5EF4-FFF2-40B4-BE49-F238E27FC236}">
              <a16:creationId xmlns:a16="http://schemas.microsoft.com/office/drawing/2014/main" id="{00000000-0008-0000-0A00-00003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2" name="Shape 5">
          <a:extLst>
            <a:ext uri="{FF2B5EF4-FFF2-40B4-BE49-F238E27FC236}">
              <a16:creationId xmlns:a16="http://schemas.microsoft.com/office/drawing/2014/main" id="{00000000-0008-0000-0A00-00003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3" name="Shape 5">
          <a:extLst>
            <a:ext uri="{FF2B5EF4-FFF2-40B4-BE49-F238E27FC236}">
              <a16:creationId xmlns:a16="http://schemas.microsoft.com/office/drawing/2014/main" id="{00000000-0008-0000-0A00-00003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44" name="Shape 5">
          <a:extLst>
            <a:ext uri="{FF2B5EF4-FFF2-40B4-BE49-F238E27FC236}">
              <a16:creationId xmlns:a16="http://schemas.microsoft.com/office/drawing/2014/main" id="{00000000-0008-0000-0A00-00003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5" name="Shape 11">
          <a:extLst>
            <a:ext uri="{FF2B5EF4-FFF2-40B4-BE49-F238E27FC236}">
              <a16:creationId xmlns:a16="http://schemas.microsoft.com/office/drawing/2014/main" id="{00000000-0008-0000-0A00-00003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6" name="Shape 11">
          <a:extLst>
            <a:ext uri="{FF2B5EF4-FFF2-40B4-BE49-F238E27FC236}">
              <a16:creationId xmlns:a16="http://schemas.microsoft.com/office/drawing/2014/main" id="{00000000-0008-0000-0A00-00003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7" name="Shape 11">
          <a:extLst>
            <a:ext uri="{FF2B5EF4-FFF2-40B4-BE49-F238E27FC236}">
              <a16:creationId xmlns:a16="http://schemas.microsoft.com/office/drawing/2014/main" id="{00000000-0008-0000-0A00-00003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48" name="Shape 11">
          <a:extLst>
            <a:ext uri="{FF2B5EF4-FFF2-40B4-BE49-F238E27FC236}">
              <a16:creationId xmlns:a16="http://schemas.microsoft.com/office/drawing/2014/main" id="{00000000-0008-0000-0A00-00003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49" name="Shape 12">
          <a:extLst>
            <a:ext uri="{FF2B5EF4-FFF2-40B4-BE49-F238E27FC236}">
              <a16:creationId xmlns:a16="http://schemas.microsoft.com/office/drawing/2014/main" id="{00000000-0008-0000-0A00-00003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0" name="Shape 12">
          <a:extLst>
            <a:ext uri="{FF2B5EF4-FFF2-40B4-BE49-F238E27FC236}">
              <a16:creationId xmlns:a16="http://schemas.microsoft.com/office/drawing/2014/main" id="{00000000-0008-0000-0A00-00003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1" name="Shape 12">
          <a:extLst>
            <a:ext uri="{FF2B5EF4-FFF2-40B4-BE49-F238E27FC236}">
              <a16:creationId xmlns:a16="http://schemas.microsoft.com/office/drawing/2014/main" id="{00000000-0008-0000-0A00-00003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50</xdr:row>
      <xdr:rowOff>0</xdr:rowOff>
    </xdr:from>
    <xdr:ext cx="247650" cy="323850"/>
    <xdr:sp macro="" textlink="">
      <xdr:nvSpPr>
        <xdr:cNvPr id="1852" name="Shape 12">
          <a:extLst>
            <a:ext uri="{FF2B5EF4-FFF2-40B4-BE49-F238E27FC236}">
              <a16:creationId xmlns:a16="http://schemas.microsoft.com/office/drawing/2014/main" id="{00000000-0008-0000-0A00-00003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3" name="Shape 11">
          <a:extLst>
            <a:ext uri="{FF2B5EF4-FFF2-40B4-BE49-F238E27FC236}">
              <a16:creationId xmlns:a16="http://schemas.microsoft.com/office/drawing/2014/main" id="{00000000-0008-0000-0A00-00003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4" name="Shape 11">
          <a:extLst>
            <a:ext uri="{FF2B5EF4-FFF2-40B4-BE49-F238E27FC236}">
              <a16:creationId xmlns:a16="http://schemas.microsoft.com/office/drawing/2014/main" id="{00000000-0008-0000-0A00-00003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5" name="Shape 11">
          <a:extLst>
            <a:ext uri="{FF2B5EF4-FFF2-40B4-BE49-F238E27FC236}">
              <a16:creationId xmlns:a16="http://schemas.microsoft.com/office/drawing/2014/main" id="{00000000-0008-0000-0A00-00003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6" name="Shape 11">
          <a:extLst>
            <a:ext uri="{FF2B5EF4-FFF2-40B4-BE49-F238E27FC236}">
              <a16:creationId xmlns:a16="http://schemas.microsoft.com/office/drawing/2014/main" id="{00000000-0008-0000-0A00-00004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7" name="Shape 11">
          <a:extLst>
            <a:ext uri="{FF2B5EF4-FFF2-40B4-BE49-F238E27FC236}">
              <a16:creationId xmlns:a16="http://schemas.microsoft.com/office/drawing/2014/main" id="{00000000-0008-0000-0A00-00004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8" name="Shape 11">
          <a:extLst>
            <a:ext uri="{FF2B5EF4-FFF2-40B4-BE49-F238E27FC236}">
              <a16:creationId xmlns:a16="http://schemas.microsoft.com/office/drawing/2014/main" id="{00000000-0008-0000-0A00-00004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50</xdr:row>
      <xdr:rowOff>0</xdr:rowOff>
    </xdr:from>
    <xdr:ext cx="257175" cy="323850"/>
    <xdr:sp macro="" textlink="">
      <xdr:nvSpPr>
        <xdr:cNvPr id="1859" name="Shape 11">
          <a:extLst>
            <a:ext uri="{FF2B5EF4-FFF2-40B4-BE49-F238E27FC236}">
              <a16:creationId xmlns:a16="http://schemas.microsoft.com/office/drawing/2014/main" id="{00000000-0008-0000-0A00-00004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0" name="Shape 5">
          <a:extLst>
            <a:ext uri="{FF2B5EF4-FFF2-40B4-BE49-F238E27FC236}">
              <a16:creationId xmlns:a16="http://schemas.microsoft.com/office/drawing/2014/main" id="{00000000-0008-0000-0A00-00004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1" name="Shape 5">
          <a:extLst>
            <a:ext uri="{FF2B5EF4-FFF2-40B4-BE49-F238E27FC236}">
              <a16:creationId xmlns:a16="http://schemas.microsoft.com/office/drawing/2014/main" id="{00000000-0008-0000-0A00-00004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2" name="Shape 5">
          <a:extLst>
            <a:ext uri="{FF2B5EF4-FFF2-40B4-BE49-F238E27FC236}">
              <a16:creationId xmlns:a16="http://schemas.microsoft.com/office/drawing/2014/main" id="{00000000-0008-0000-0A00-00004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3" name="Shape 5">
          <a:extLst>
            <a:ext uri="{FF2B5EF4-FFF2-40B4-BE49-F238E27FC236}">
              <a16:creationId xmlns:a16="http://schemas.microsoft.com/office/drawing/2014/main" id="{00000000-0008-0000-0A00-00004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4" name="Shape 6">
          <a:extLst>
            <a:ext uri="{FF2B5EF4-FFF2-40B4-BE49-F238E27FC236}">
              <a16:creationId xmlns:a16="http://schemas.microsoft.com/office/drawing/2014/main" id="{00000000-0008-0000-0A00-00004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5" name="Shape 6">
          <a:extLst>
            <a:ext uri="{FF2B5EF4-FFF2-40B4-BE49-F238E27FC236}">
              <a16:creationId xmlns:a16="http://schemas.microsoft.com/office/drawing/2014/main" id="{00000000-0008-0000-0A00-00004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6" name="Shape 6">
          <a:extLst>
            <a:ext uri="{FF2B5EF4-FFF2-40B4-BE49-F238E27FC236}">
              <a16:creationId xmlns:a16="http://schemas.microsoft.com/office/drawing/2014/main" id="{00000000-0008-0000-0A00-00004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67" name="Shape 6">
          <a:extLst>
            <a:ext uri="{FF2B5EF4-FFF2-40B4-BE49-F238E27FC236}">
              <a16:creationId xmlns:a16="http://schemas.microsoft.com/office/drawing/2014/main" id="{00000000-0008-0000-0A00-00004B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8" name="Shape 5">
          <a:extLst>
            <a:ext uri="{FF2B5EF4-FFF2-40B4-BE49-F238E27FC236}">
              <a16:creationId xmlns:a16="http://schemas.microsoft.com/office/drawing/2014/main" id="{00000000-0008-0000-0A00-00004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69" name="Shape 5">
          <a:extLst>
            <a:ext uri="{FF2B5EF4-FFF2-40B4-BE49-F238E27FC236}">
              <a16:creationId xmlns:a16="http://schemas.microsoft.com/office/drawing/2014/main" id="{00000000-0008-0000-0A00-00004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0" name="Shape 5">
          <a:extLst>
            <a:ext uri="{FF2B5EF4-FFF2-40B4-BE49-F238E27FC236}">
              <a16:creationId xmlns:a16="http://schemas.microsoft.com/office/drawing/2014/main" id="{00000000-0008-0000-0A00-00004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1" name="Shape 5">
          <a:extLst>
            <a:ext uri="{FF2B5EF4-FFF2-40B4-BE49-F238E27FC236}">
              <a16:creationId xmlns:a16="http://schemas.microsoft.com/office/drawing/2014/main" id="{00000000-0008-0000-0A00-00004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2" name="Shape 5">
          <a:extLst>
            <a:ext uri="{FF2B5EF4-FFF2-40B4-BE49-F238E27FC236}">
              <a16:creationId xmlns:a16="http://schemas.microsoft.com/office/drawing/2014/main" id="{00000000-0008-0000-0A00-00005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3" name="Shape 5">
          <a:extLst>
            <a:ext uri="{FF2B5EF4-FFF2-40B4-BE49-F238E27FC236}">
              <a16:creationId xmlns:a16="http://schemas.microsoft.com/office/drawing/2014/main" id="{00000000-0008-0000-0A00-00005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4" name="Shape 5">
          <a:extLst>
            <a:ext uri="{FF2B5EF4-FFF2-40B4-BE49-F238E27FC236}">
              <a16:creationId xmlns:a16="http://schemas.microsoft.com/office/drawing/2014/main" id="{00000000-0008-0000-0A00-00005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5" name="Shape 11">
          <a:extLst>
            <a:ext uri="{FF2B5EF4-FFF2-40B4-BE49-F238E27FC236}">
              <a16:creationId xmlns:a16="http://schemas.microsoft.com/office/drawing/2014/main" id="{00000000-0008-0000-0A00-00005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6" name="Shape 11">
          <a:extLst>
            <a:ext uri="{FF2B5EF4-FFF2-40B4-BE49-F238E27FC236}">
              <a16:creationId xmlns:a16="http://schemas.microsoft.com/office/drawing/2014/main" id="{00000000-0008-0000-0A00-00005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7" name="Shape 11">
          <a:extLst>
            <a:ext uri="{FF2B5EF4-FFF2-40B4-BE49-F238E27FC236}">
              <a16:creationId xmlns:a16="http://schemas.microsoft.com/office/drawing/2014/main" id="{00000000-0008-0000-0A00-00005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78" name="Shape 11">
          <a:extLst>
            <a:ext uri="{FF2B5EF4-FFF2-40B4-BE49-F238E27FC236}">
              <a16:creationId xmlns:a16="http://schemas.microsoft.com/office/drawing/2014/main" id="{00000000-0008-0000-0A00-00005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79" name="Shape 12">
          <a:extLst>
            <a:ext uri="{FF2B5EF4-FFF2-40B4-BE49-F238E27FC236}">
              <a16:creationId xmlns:a16="http://schemas.microsoft.com/office/drawing/2014/main" id="{00000000-0008-0000-0A00-00005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0" name="Shape 12">
          <a:extLst>
            <a:ext uri="{FF2B5EF4-FFF2-40B4-BE49-F238E27FC236}">
              <a16:creationId xmlns:a16="http://schemas.microsoft.com/office/drawing/2014/main" id="{00000000-0008-0000-0A00-00005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1" name="Shape 12">
          <a:extLst>
            <a:ext uri="{FF2B5EF4-FFF2-40B4-BE49-F238E27FC236}">
              <a16:creationId xmlns:a16="http://schemas.microsoft.com/office/drawing/2014/main" id="{00000000-0008-0000-0A00-00005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882" name="Shape 12">
          <a:extLst>
            <a:ext uri="{FF2B5EF4-FFF2-40B4-BE49-F238E27FC236}">
              <a16:creationId xmlns:a16="http://schemas.microsoft.com/office/drawing/2014/main" id="{00000000-0008-0000-0A00-00005A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3" name="Shape 11">
          <a:extLst>
            <a:ext uri="{FF2B5EF4-FFF2-40B4-BE49-F238E27FC236}">
              <a16:creationId xmlns:a16="http://schemas.microsoft.com/office/drawing/2014/main" id="{00000000-0008-0000-0A00-00005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4" name="Shape 11">
          <a:extLst>
            <a:ext uri="{FF2B5EF4-FFF2-40B4-BE49-F238E27FC236}">
              <a16:creationId xmlns:a16="http://schemas.microsoft.com/office/drawing/2014/main" id="{00000000-0008-0000-0A00-00005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5" name="Shape 11">
          <a:extLst>
            <a:ext uri="{FF2B5EF4-FFF2-40B4-BE49-F238E27FC236}">
              <a16:creationId xmlns:a16="http://schemas.microsoft.com/office/drawing/2014/main" id="{00000000-0008-0000-0A00-00005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6" name="Shape 11">
          <a:extLst>
            <a:ext uri="{FF2B5EF4-FFF2-40B4-BE49-F238E27FC236}">
              <a16:creationId xmlns:a16="http://schemas.microsoft.com/office/drawing/2014/main" id="{00000000-0008-0000-0A00-00005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7" name="Shape 11">
          <a:extLst>
            <a:ext uri="{FF2B5EF4-FFF2-40B4-BE49-F238E27FC236}">
              <a16:creationId xmlns:a16="http://schemas.microsoft.com/office/drawing/2014/main" id="{00000000-0008-0000-0A00-00005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8" name="Shape 11">
          <a:extLst>
            <a:ext uri="{FF2B5EF4-FFF2-40B4-BE49-F238E27FC236}">
              <a16:creationId xmlns:a16="http://schemas.microsoft.com/office/drawing/2014/main" id="{00000000-0008-0000-0A00-00006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889" name="Shape 11">
          <a:extLst>
            <a:ext uri="{FF2B5EF4-FFF2-40B4-BE49-F238E27FC236}">
              <a16:creationId xmlns:a16="http://schemas.microsoft.com/office/drawing/2014/main" id="{00000000-0008-0000-0A00-00006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0" name="Shape 5">
          <a:extLst>
            <a:ext uri="{FF2B5EF4-FFF2-40B4-BE49-F238E27FC236}">
              <a16:creationId xmlns:a16="http://schemas.microsoft.com/office/drawing/2014/main" id="{00000000-0008-0000-0A00-00006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1" name="Shape 5">
          <a:extLst>
            <a:ext uri="{FF2B5EF4-FFF2-40B4-BE49-F238E27FC236}">
              <a16:creationId xmlns:a16="http://schemas.microsoft.com/office/drawing/2014/main" id="{00000000-0008-0000-0A00-00006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2" name="Shape 5">
          <a:extLst>
            <a:ext uri="{FF2B5EF4-FFF2-40B4-BE49-F238E27FC236}">
              <a16:creationId xmlns:a16="http://schemas.microsoft.com/office/drawing/2014/main" id="{00000000-0008-0000-0A00-00006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3" name="Shape 5">
          <a:extLst>
            <a:ext uri="{FF2B5EF4-FFF2-40B4-BE49-F238E27FC236}">
              <a16:creationId xmlns:a16="http://schemas.microsoft.com/office/drawing/2014/main" id="{00000000-0008-0000-0A00-00006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4" name="Shape 6">
          <a:extLst>
            <a:ext uri="{FF2B5EF4-FFF2-40B4-BE49-F238E27FC236}">
              <a16:creationId xmlns:a16="http://schemas.microsoft.com/office/drawing/2014/main" id="{00000000-0008-0000-0A00-00006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5" name="Shape 6">
          <a:extLst>
            <a:ext uri="{FF2B5EF4-FFF2-40B4-BE49-F238E27FC236}">
              <a16:creationId xmlns:a16="http://schemas.microsoft.com/office/drawing/2014/main" id="{00000000-0008-0000-0A00-00006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6" name="Shape 6">
          <a:extLst>
            <a:ext uri="{FF2B5EF4-FFF2-40B4-BE49-F238E27FC236}">
              <a16:creationId xmlns:a16="http://schemas.microsoft.com/office/drawing/2014/main" id="{00000000-0008-0000-0A00-00006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897" name="Shape 6">
          <a:extLst>
            <a:ext uri="{FF2B5EF4-FFF2-40B4-BE49-F238E27FC236}">
              <a16:creationId xmlns:a16="http://schemas.microsoft.com/office/drawing/2014/main" id="{00000000-0008-0000-0A00-000069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8" name="Shape 5">
          <a:extLst>
            <a:ext uri="{FF2B5EF4-FFF2-40B4-BE49-F238E27FC236}">
              <a16:creationId xmlns:a16="http://schemas.microsoft.com/office/drawing/2014/main" id="{00000000-0008-0000-0A00-00006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899" name="Shape 5">
          <a:extLst>
            <a:ext uri="{FF2B5EF4-FFF2-40B4-BE49-F238E27FC236}">
              <a16:creationId xmlns:a16="http://schemas.microsoft.com/office/drawing/2014/main" id="{00000000-0008-0000-0A00-00006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0" name="Shape 5">
          <a:extLst>
            <a:ext uri="{FF2B5EF4-FFF2-40B4-BE49-F238E27FC236}">
              <a16:creationId xmlns:a16="http://schemas.microsoft.com/office/drawing/2014/main" id="{00000000-0008-0000-0A00-00006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1" name="Shape 5">
          <a:extLst>
            <a:ext uri="{FF2B5EF4-FFF2-40B4-BE49-F238E27FC236}">
              <a16:creationId xmlns:a16="http://schemas.microsoft.com/office/drawing/2014/main" id="{00000000-0008-0000-0A00-00006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2" name="Shape 5">
          <a:extLst>
            <a:ext uri="{FF2B5EF4-FFF2-40B4-BE49-F238E27FC236}">
              <a16:creationId xmlns:a16="http://schemas.microsoft.com/office/drawing/2014/main" id="{00000000-0008-0000-0A00-00006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3" name="Shape 5">
          <a:extLst>
            <a:ext uri="{FF2B5EF4-FFF2-40B4-BE49-F238E27FC236}">
              <a16:creationId xmlns:a16="http://schemas.microsoft.com/office/drawing/2014/main" id="{00000000-0008-0000-0A00-00006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04" name="Shape 5">
          <a:extLst>
            <a:ext uri="{FF2B5EF4-FFF2-40B4-BE49-F238E27FC236}">
              <a16:creationId xmlns:a16="http://schemas.microsoft.com/office/drawing/2014/main" id="{00000000-0008-0000-0A00-00007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5" name="Shape 11">
          <a:extLst>
            <a:ext uri="{FF2B5EF4-FFF2-40B4-BE49-F238E27FC236}">
              <a16:creationId xmlns:a16="http://schemas.microsoft.com/office/drawing/2014/main" id="{00000000-0008-0000-0A00-00007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6" name="Shape 11">
          <a:extLst>
            <a:ext uri="{FF2B5EF4-FFF2-40B4-BE49-F238E27FC236}">
              <a16:creationId xmlns:a16="http://schemas.microsoft.com/office/drawing/2014/main" id="{00000000-0008-0000-0A00-00007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7" name="Shape 11">
          <a:extLst>
            <a:ext uri="{FF2B5EF4-FFF2-40B4-BE49-F238E27FC236}">
              <a16:creationId xmlns:a16="http://schemas.microsoft.com/office/drawing/2014/main" id="{00000000-0008-0000-0A00-00007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08" name="Shape 11">
          <a:extLst>
            <a:ext uri="{FF2B5EF4-FFF2-40B4-BE49-F238E27FC236}">
              <a16:creationId xmlns:a16="http://schemas.microsoft.com/office/drawing/2014/main" id="{00000000-0008-0000-0A00-00007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09" name="Shape 12">
          <a:extLst>
            <a:ext uri="{FF2B5EF4-FFF2-40B4-BE49-F238E27FC236}">
              <a16:creationId xmlns:a16="http://schemas.microsoft.com/office/drawing/2014/main" id="{00000000-0008-0000-0A00-00007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0" name="Shape 12">
          <a:extLst>
            <a:ext uri="{FF2B5EF4-FFF2-40B4-BE49-F238E27FC236}">
              <a16:creationId xmlns:a16="http://schemas.microsoft.com/office/drawing/2014/main" id="{00000000-0008-0000-0A00-00007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1" name="Shape 12">
          <a:extLst>
            <a:ext uri="{FF2B5EF4-FFF2-40B4-BE49-F238E27FC236}">
              <a16:creationId xmlns:a16="http://schemas.microsoft.com/office/drawing/2014/main" id="{00000000-0008-0000-0A00-00007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51</xdr:row>
      <xdr:rowOff>0</xdr:rowOff>
    </xdr:from>
    <xdr:ext cx="247650" cy="323850"/>
    <xdr:sp macro="" textlink="">
      <xdr:nvSpPr>
        <xdr:cNvPr id="1912" name="Shape 12">
          <a:extLst>
            <a:ext uri="{FF2B5EF4-FFF2-40B4-BE49-F238E27FC236}">
              <a16:creationId xmlns:a16="http://schemas.microsoft.com/office/drawing/2014/main" id="{00000000-0008-0000-0A00-000078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3" name="Shape 11">
          <a:extLst>
            <a:ext uri="{FF2B5EF4-FFF2-40B4-BE49-F238E27FC236}">
              <a16:creationId xmlns:a16="http://schemas.microsoft.com/office/drawing/2014/main" id="{00000000-0008-0000-0A00-00007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4" name="Shape 11">
          <a:extLst>
            <a:ext uri="{FF2B5EF4-FFF2-40B4-BE49-F238E27FC236}">
              <a16:creationId xmlns:a16="http://schemas.microsoft.com/office/drawing/2014/main" id="{00000000-0008-0000-0A00-00007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5" name="Shape 11">
          <a:extLst>
            <a:ext uri="{FF2B5EF4-FFF2-40B4-BE49-F238E27FC236}">
              <a16:creationId xmlns:a16="http://schemas.microsoft.com/office/drawing/2014/main" id="{00000000-0008-0000-0A00-00007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6" name="Shape 11">
          <a:extLst>
            <a:ext uri="{FF2B5EF4-FFF2-40B4-BE49-F238E27FC236}">
              <a16:creationId xmlns:a16="http://schemas.microsoft.com/office/drawing/2014/main" id="{00000000-0008-0000-0A00-00007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7" name="Shape 11">
          <a:extLst>
            <a:ext uri="{FF2B5EF4-FFF2-40B4-BE49-F238E27FC236}">
              <a16:creationId xmlns:a16="http://schemas.microsoft.com/office/drawing/2014/main" id="{00000000-0008-0000-0A00-00007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8" name="Shape 11">
          <a:extLst>
            <a:ext uri="{FF2B5EF4-FFF2-40B4-BE49-F238E27FC236}">
              <a16:creationId xmlns:a16="http://schemas.microsoft.com/office/drawing/2014/main" id="{00000000-0008-0000-0A00-00007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51</xdr:row>
      <xdr:rowOff>0</xdr:rowOff>
    </xdr:from>
    <xdr:ext cx="257175" cy="323850"/>
    <xdr:sp macro="" textlink="">
      <xdr:nvSpPr>
        <xdr:cNvPr id="1919" name="Shape 11">
          <a:extLst>
            <a:ext uri="{FF2B5EF4-FFF2-40B4-BE49-F238E27FC236}">
              <a16:creationId xmlns:a16="http://schemas.microsoft.com/office/drawing/2014/main" id="{00000000-0008-0000-0A00-00007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0" name="Shape 5">
          <a:extLst>
            <a:ext uri="{FF2B5EF4-FFF2-40B4-BE49-F238E27FC236}">
              <a16:creationId xmlns:a16="http://schemas.microsoft.com/office/drawing/2014/main" id="{00000000-0008-0000-0A00-00008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1" name="Shape 5">
          <a:extLst>
            <a:ext uri="{FF2B5EF4-FFF2-40B4-BE49-F238E27FC236}">
              <a16:creationId xmlns:a16="http://schemas.microsoft.com/office/drawing/2014/main" id="{00000000-0008-0000-0A00-00008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2" name="Shape 5">
          <a:extLst>
            <a:ext uri="{FF2B5EF4-FFF2-40B4-BE49-F238E27FC236}">
              <a16:creationId xmlns:a16="http://schemas.microsoft.com/office/drawing/2014/main" id="{00000000-0008-0000-0A00-00008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3" name="Shape 5">
          <a:extLst>
            <a:ext uri="{FF2B5EF4-FFF2-40B4-BE49-F238E27FC236}">
              <a16:creationId xmlns:a16="http://schemas.microsoft.com/office/drawing/2014/main" id="{00000000-0008-0000-0A00-00008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4" name="Shape 6">
          <a:extLst>
            <a:ext uri="{FF2B5EF4-FFF2-40B4-BE49-F238E27FC236}">
              <a16:creationId xmlns:a16="http://schemas.microsoft.com/office/drawing/2014/main" id="{00000000-0008-0000-0A00-00008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5" name="Shape 6">
          <a:extLst>
            <a:ext uri="{FF2B5EF4-FFF2-40B4-BE49-F238E27FC236}">
              <a16:creationId xmlns:a16="http://schemas.microsoft.com/office/drawing/2014/main" id="{00000000-0008-0000-0A00-00008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6" name="Shape 6">
          <a:extLst>
            <a:ext uri="{FF2B5EF4-FFF2-40B4-BE49-F238E27FC236}">
              <a16:creationId xmlns:a16="http://schemas.microsoft.com/office/drawing/2014/main" id="{00000000-0008-0000-0A00-00008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27" name="Shape 6">
          <a:extLst>
            <a:ext uri="{FF2B5EF4-FFF2-40B4-BE49-F238E27FC236}">
              <a16:creationId xmlns:a16="http://schemas.microsoft.com/office/drawing/2014/main" id="{00000000-0008-0000-0A00-000087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8" name="Shape 5">
          <a:extLst>
            <a:ext uri="{FF2B5EF4-FFF2-40B4-BE49-F238E27FC236}">
              <a16:creationId xmlns:a16="http://schemas.microsoft.com/office/drawing/2014/main" id="{00000000-0008-0000-0A00-00008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29" name="Shape 5">
          <a:extLst>
            <a:ext uri="{FF2B5EF4-FFF2-40B4-BE49-F238E27FC236}">
              <a16:creationId xmlns:a16="http://schemas.microsoft.com/office/drawing/2014/main" id="{00000000-0008-0000-0A00-00008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0" name="Shape 5">
          <a:extLst>
            <a:ext uri="{FF2B5EF4-FFF2-40B4-BE49-F238E27FC236}">
              <a16:creationId xmlns:a16="http://schemas.microsoft.com/office/drawing/2014/main" id="{00000000-0008-0000-0A00-00008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1" name="Shape 5">
          <a:extLst>
            <a:ext uri="{FF2B5EF4-FFF2-40B4-BE49-F238E27FC236}">
              <a16:creationId xmlns:a16="http://schemas.microsoft.com/office/drawing/2014/main" id="{00000000-0008-0000-0A00-00008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2" name="Shape 5">
          <a:extLst>
            <a:ext uri="{FF2B5EF4-FFF2-40B4-BE49-F238E27FC236}">
              <a16:creationId xmlns:a16="http://schemas.microsoft.com/office/drawing/2014/main" id="{00000000-0008-0000-0A00-00008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3" name="Shape 5">
          <a:extLst>
            <a:ext uri="{FF2B5EF4-FFF2-40B4-BE49-F238E27FC236}">
              <a16:creationId xmlns:a16="http://schemas.microsoft.com/office/drawing/2014/main" id="{00000000-0008-0000-0A00-00008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4" name="Shape 5">
          <a:extLst>
            <a:ext uri="{FF2B5EF4-FFF2-40B4-BE49-F238E27FC236}">
              <a16:creationId xmlns:a16="http://schemas.microsoft.com/office/drawing/2014/main" id="{00000000-0008-0000-0A00-00008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5" name="Shape 11">
          <a:extLst>
            <a:ext uri="{FF2B5EF4-FFF2-40B4-BE49-F238E27FC236}">
              <a16:creationId xmlns:a16="http://schemas.microsoft.com/office/drawing/2014/main" id="{00000000-0008-0000-0A00-00008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6" name="Shape 11">
          <a:extLst>
            <a:ext uri="{FF2B5EF4-FFF2-40B4-BE49-F238E27FC236}">
              <a16:creationId xmlns:a16="http://schemas.microsoft.com/office/drawing/2014/main" id="{00000000-0008-0000-0A00-00009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7" name="Shape 11">
          <a:extLst>
            <a:ext uri="{FF2B5EF4-FFF2-40B4-BE49-F238E27FC236}">
              <a16:creationId xmlns:a16="http://schemas.microsoft.com/office/drawing/2014/main" id="{00000000-0008-0000-0A00-00009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38" name="Shape 11">
          <a:extLst>
            <a:ext uri="{FF2B5EF4-FFF2-40B4-BE49-F238E27FC236}">
              <a16:creationId xmlns:a16="http://schemas.microsoft.com/office/drawing/2014/main" id="{00000000-0008-0000-0A00-00009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39" name="Shape 12">
          <a:extLst>
            <a:ext uri="{FF2B5EF4-FFF2-40B4-BE49-F238E27FC236}">
              <a16:creationId xmlns:a16="http://schemas.microsoft.com/office/drawing/2014/main" id="{00000000-0008-0000-0A00-00009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0" name="Shape 12">
          <a:extLst>
            <a:ext uri="{FF2B5EF4-FFF2-40B4-BE49-F238E27FC236}">
              <a16:creationId xmlns:a16="http://schemas.microsoft.com/office/drawing/2014/main" id="{00000000-0008-0000-0A00-00009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1" name="Shape 12">
          <a:extLst>
            <a:ext uri="{FF2B5EF4-FFF2-40B4-BE49-F238E27FC236}">
              <a16:creationId xmlns:a16="http://schemas.microsoft.com/office/drawing/2014/main" id="{00000000-0008-0000-0A00-00009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42" name="Shape 12">
          <a:extLst>
            <a:ext uri="{FF2B5EF4-FFF2-40B4-BE49-F238E27FC236}">
              <a16:creationId xmlns:a16="http://schemas.microsoft.com/office/drawing/2014/main" id="{00000000-0008-0000-0A00-000096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3" name="Shape 11">
          <a:extLst>
            <a:ext uri="{FF2B5EF4-FFF2-40B4-BE49-F238E27FC236}">
              <a16:creationId xmlns:a16="http://schemas.microsoft.com/office/drawing/2014/main" id="{00000000-0008-0000-0A00-00009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4" name="Shape 11">
          <a:extLst>
            <a:ext uri="{FF2B5EF4-FFF2-40B4-BE49-F238E27FC236}">
              <a16:creationId xmlns:a16="http://schemas.microsoft.com/office/drawing/2014/main" id="{00000000-0008-0000-0A00-00009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5" name="Shape 11">
          <a:extLst>
            <a:ext uri="{FF2B5EF4-FFF2-40B4-BE49-F238E27FC236}">
              <a16:creationId xmlns:a16="http://schemas.microsoft.com/office/drawing/2014/main" id="{00000000-0008-0000-0A00-00009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6" name="Shape 11">
          <a:extLst>
            <a:ext uri="{FF2B5EF4-FFF2-40B4-BE49-F238E27FC236}">
              <a16:creationId xmlns:a16="http://schemas.microsoft.com/office/drawing/2014/main" id="{00000000-0008-0000-0A00-00009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7" name="Shape 11">
          <a:extLst>
            <a:ext uri="{FF2B5EF4-FFF2-40B4-BE49-F238E27FC236}">
              <a16:creationId xmlns:a16="http://schemas.microsoft.com/office/drawing/2014/main" id="{00000000-0008-0000-0A00-00009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8" name="Shape 11">
          <a:extLst>
            <a:ext uri="{FF2B5EF4-FFF2-40B4-BE49-F238E27FC236}">
              <a16:creationId xmlns:a16="http://schemas.microsoft.com/office/drawing/2014/main" id="{00000000-0008-0000-0A00-00009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49" name="Shape 11">
          <a:extLst>
            <a:ext uri="{FF2B5EF4-FFF2-40B4-BE49-F238E27FC236}">
              <a16:creationId xmlns:a16="http://schemas.microsoft.com/office/drawing/2014/main" id="{00000000-0008-0000-0A00-00009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0" name="Shape 5">
          <a:extLst>
            <a:ext uri="{FF2B5EF4-FFF2-40B4-BE49-F238E27FC236}">
              <a16:creationId xmlns:a16="http://schemas.microsoft.com/office/drawing/2014/main" id="{00000000-0008-0000-0A00-00009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1" name="Shape 5">
          <a:extLst>
            <a:ext uri="{FF2B5EF4-FFF2-40B4-BE49-F238E27FC236}">
              <a16:creationId xmlns:a16="http://schemas.microsoft.com/office/drawing/2014/main" id="{00000000-0008-0000-0A00-00009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2" name="Shape 5">
          <a:extLst>
            <a:ext uri="{FF2B5EF4-FFF2-40B4-BE49-F238E27FC236}">
              <a16:creationId xmlns:a16="http://schemas.microsoft.com/office/drawing/2014/main" id="{00000000-0008-0000-0A00-0000A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3" name="Shape 5">
          <a:extLst>
            <a:ext uri="{FF2B5EF4-FFF2-40B4-BE49-F238E27FC236}">
              <a16:creationId xmlns:a16="http://schemas.microsoft.com/office/drawing/2014/main" id="{00000000-0008-0000-0A00-0000A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4" name="Shape 6">
          <a:extLst>
            <a:ext uri="{FF2B5EF4-FFF2-40B4-BE49-F238E27FC236}">
              <a16:creationId xmlns:a16="http://schemas.microsoft.com/office/drawing/2014/main" id="{00000000-0008-0000-0A00-0000A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5" name="Shape 6">
          <a:extLst>
            <a:ext uri="{FF2B5EF4-FFF2-40B4-BE49-F238E27FC236}">
              <a16:creationId xmlns:a16="http://schemas.microsoft.com/office/drawing/2014/main" id="{00000000-0008-0000-0A00-0000A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6" name="Shape 6">
          <a:extLst>
            <a:ext uri="{FF2B5EF4-FFF2-40B4-BE49-F238E27FC236}">
              <a16:creationId xmlns:a16="http://schemas.microsoft.com/office/drawing/2014/main" id="{00000000-0008-0000-0A00-0000A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57" name="Shape 6">
          <a:extLst>
            <a:ext uri="{FF2B5EF4-FFF2-40B4-BE49-F238E27FC236}">
              <a16:creationId xmlns:a16="http://schemas.microsoft.com/office/drawing/2014/main" id="{00000000-0008-0000-0A00-0000A5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8" name="Shape 5">
          <a:extLst>
            <a:ext uri="{FF2B5EF4-FFF2-40B4-BE49-F238E27FC236}">
              <a16:creationId xmlns:a16="http://schemas.microsoft.com/office/drawing/2014/main" id="{00000000-0008-0000-0A00-0000A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59" name="Shape 5">
          <a:extLst>
            <a:ext uri="{FF2B5EF4-FFF2-40B4-BE49-F238E27FC236}">
              <a16:creationId xmlns:a16="http://schemas.microsoft.com/office/drawing/2014/main" id="{00000000-0008-0000-0A00-0000A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0" name="Shape 5">
          <a:extLst>
            <a:ext uri="{FF2B5EF4-FFF2-40B4-BE49-F238E27FC236}">
              <a16:creationId xmlns:a16="http://schemas.microsoft.com/office/drawing/2014/main" id="{00000000-0008-0000-0A00-0000A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1" name="Shape 5">
          <a:extLst>
            <a:ext uri="{FF2B5EF4-FFF2-40B4-BE49-F238E27FC236}">
              <a16:creationId xmlns:a16="http://schemas.microsoft.com/office/drawing/2014/main" id="{00000000-0008-0000-0A00-0000A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2" name="Shape 5">
          <a:extLst>
            <a:ext uri="{FF2B5EF4-FFF2-40B4-BE49-F238E27FC236}">
              <a16:creationId xmlns:a16="http://schemas.microsoft.com/office/drawing/2014/main" id="{00000000-0008-0000-0A00-0000A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3" name="Shape 5">
          <a:extLst>
            <a:ext uri="{FF2B5EF4-FFF2-40B4-BE49-F238E27FC236}">
              <a16:creationId xmlns:a16="http://schemas.microsoft.com/office/drawing/2014/main" id="{00000000-0008-0000-0A00-0000A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64" name="Shape 5">
          <a:extLst>
            <a:ext uri="{FF2B5EF4-FFF2-40B4-BE49-F238E27FC236}">
              <a16:creationId xmlns:a16="http://schemas.microsoft.com/office/drawing/2014/main" id="{00000000-0008-0000-0A00-0000A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5" name="Shape 11">
          <a:extLst>
            <a:ext uri="{FF2B5EF4-FFF2-40B4-BE49-F238E27FC236}">
              <a16:creationId xmlns:a16="http://schemas.microsoft.com/office/drawing/2014/main" id="{00000000-0008-0000-0A00-0000A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6" name="Shape 11">
          <a:extLst>
            <a:ext uri="{FF2B5EF4-FFF2-40B4-BE49-F238E27FC236}">
              <a16:creationId xmlns:a16="http://schemas.microsoft.com/office/drawing/2014/main" id="{00000000-0008-0000-0A00-0000A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7" name="Shape 11">
          <a:extLst>
            <a:ext uri="{FF2B5EF4-FFF2-40B4-BE49-F238E27FC236}">
              <a16:creationId xmlns:a16="http://schemas.microsoft.com/office/drawing/2014/main" id="{00000000-0008-0000-0A00-0000A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68" name="Shape 11">
          <a:extLst>
            <a:ext uri="{FF2B5EF4-FFF2-40B4-BE49-F238E27FC236}">
              <a16:creationId xmlns:a16="http://schemas.microsoft.com/office/drawing/2014/main" id="{00000000-0008-0000-0A00-0000B0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69" name="Shape 12">
          <a:extLst>
            <a:ext uri="{FF2B5EF4-FFF2-40B4-BE49-F238E27FC236}">
              <a16:creationId xmlns:a16="http://schemas.microsoft.com/office/drawing/2014/main" id="{00000000-0008-0000-0A00-0000B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0" name="Shape 12">
          <a:extLst>
            <a:ext uri="{FF2B5EF4-FFF2-40B4-BE49-F238E27FC236}">
              <a16:creationId xmlns:a16="http://schemas.microsoft.com/office/drawing/2014/main" id="{00000000-0008-0000-0A00-0000B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1" name="Shape 12">
          <a:extLst>
            <a:ext uri="{FF2B5EF4-FFF2-40B4-BE49-F238E27FC236}">
              <a16:creationId xmlns:a16="http://schemas.microsoft.com/office/drawing/2014/main" id="{00000000-0008-0000-0A00-0000B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52</xdr:row>
      <xdr:rowOff>0</xdr:rowOff>
    </xdr:from>
    <xdr:ext cx="247650" cy="323850"/>
    <xdr:sp macro="" textlink="">
      <xdr:nvSpPr>
        <xdr:cNvPr id="1972" name="Shape 12">
          <a:extLst>
            <a:ext uri="{FF2B5EF4-FFF2-40B4-BE49-F238E27FC236}">
              <a16:creationId xmlns:a16="http://schemas.microsoft.com/office/drawing/2014/main" id="{00000000-0008-0000-0A00-0000B4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3" name="Shape 11">
          <a:extLst>
            <a:ext uri="{FF2B5EF4-FFF2-40B4-BE49-F238E27FC236}">
              <a16:creationId xmlns:a16="http://schemas.microsoft.com/office/drawing/2014/main" id="{00000000-0008-0000-0A00-0000B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4" name="Shape 11">
          <a:extLst>
            <a:ext uri="{FF2B5EF4-FFF2-40B4-BE49-F238E27FC236}">
              <a16:creationId xmlns:a16="http://schemas.microsoft.com/office/drawing/2014/main" id="{00000000-0008-0000-0A00-0000B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5" name="Shape 11">
          <a:extLst>
            <a:ext uri="{FF2B5EF4-FFF2-40B4-BE49-F238E27FC236}">
              <a16:creationId xmlns:a16="http://schemas.microsoft.com/office/drawing/2014/main" id="{00000000-0008-0000-0A00-0000B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6" name="Shape 11">
          <a:extLst>
            <a:ext uri="{FF2B5EF4-FFF2-40B4-BE49-F238E27FC236}">
              <a16:creationId xmlns:a16="http://schemas.microsoft.com/office/drawing/2014/main" id="{00000000-0008-0000-0A00-0000B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7" name="Shape 11">
          <a:extLst>
            <a:ext uri="{FF2B5EF4-FFF2-40B4-BE49-F238E27FC236}">
              <a16:creationId xmlns:a16="http://schemas.microsoft.com/office/drawing/2014/main" id="{00000000-0008-0000-0A00-0000B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8" name="Shape 11">
          <a:extLst>
            <a:ext uri="{FF2B5EF4-FFF2-40B4-BE49-F238E27FC236}">
              <a16:creationId xmlns:a16="http://schemas.microsoft.com/office/drawing/2014/main" id="{00000000-0008-0000-0A00-0000B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52</xdr:row>
      <xdr:rowOff>0</xdr:rowOff>
    </xdr:from>
    <xdr:ext cx="257175" cy="323850"/>
    <xdr:sp macro="" textlink="">
      <xdr:nvSpPr>
        <xdr:cNvPr id="1979" name="Shape 11">
          <a:extLst>
            <a:ext uri="{FF2B5EF4-FFF2-40B4-BE49-F238E27FC236}">
              <a16:creationId xmlns:a16="http://schemas.microsoft.com/office/drawing/2014/main" id="{00000000-0008-0000-0A00-0000B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0" name="Shape 5">
          <a:extLst>
            <a:ext uri="{FF2B5EF4-FFF2-40B4-BE49-F238E27FC236}">
              <a16:creationId xmlns:a16="http://schemas.microsoft.com/office/drawing/2014/main" id="{00000000-0008-0000-0A00-0000B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1" name="Shape 5">
          <a:extLst>
            <a:ext uri="{FF2B5EF4-FFF2-40B4-BE49-F238E27FC236}">
              <a16:creationId xmlns:a16="http://schemas.microsoft.com/office/drawing/2014/main" id="{00000000-0008-0000-0A00-0000B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2" name="Shape 5">
          <a:extLst>
            <a:ext uri="{FF2B5EF4-FFF2-40B4-BE49-F238E27FC236}">
              <a16:creationId xmlns:a16="http://schemas.microsoft.com/office/drawing/2014/main" id="{00000000-0008-0000-0A00-0000B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3" name="Shape 5">
          <a:extLst>
            <a:ext uri="{FF2B5EF4-FFF2-40B4-BE49-F238E27FC236}">
              <a16:creationId xmlns:a16="http://schemas.microsoft.com/office/drawing/2014/main" id="{00000000-0008-0000-0A00-0000BF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4" name="Shape 6">
          <a:extLst>
            <a:ext uri="{FF2B5EF4-FFF2-40B4-BE49-F238E27FC236}">
              <a16:creationId xmlns:a16="http://schemas.microsoft.com/office/drawing/2014/main" id="{00000000-0008-0000-0A00-0000C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5" name="Shape 6">
          <a:extLst>
            <a:ext uri="{FF2B5EF4-FFF2-40B4-BE49-F238E27FC236}">
              <a16:creationId xmlns:a16="http://schemas.microsoft.com/office/drawing/2014/main" id="{00000000-0008-0000-0A00-0000C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6" name="Shape 6">
          <a:extLst>
            <a:ext uri="{FF2B5EF4-FFF2-40B4-BE49-F238E27FC236}">
              <a16:creationId xmlns:a16="http://schemas.microsoft.com/office/drawing/2014/main" id="{00000000-0008-0000-0A00-0000C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87" name="Shape 6">
          <a:extLst>
            <a:ext uri="{FF2B5EF4-FFF2-40B4-BE49-F238E27FC236}">
              <a16:creationId xmlns:a16="http://schemas.microsoft.com/office/drawing/2014/main" id="{00000000-0008-0000-0A00-0000C3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8" name="Shape 5">
          <a:extLst>
            <a:ext uri="{FF2B5EF4-FFF2-40B4-BE49-F238E27FC236}">
              <a16:creationId xmlns:a16="http://schemas.microsoft.com/office/drawing/2014/main" id="{00000000-0008-0000-0A00-0000C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89" name="Shape 5">
          <a:extLst>
            <a:ext uri="{FF2B5EF4-FFF2-40B4-BE49-F238E27FC236}">
              <a16:creationId xmlns:a16="http://schemas.microsoft.com/office/drawing/2014/main" id="{00000000-0008-0000-0A00-0000C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0" name="Shape 5">
          <a:extLst>
            <a:ext uri="{FF2B5EF4-FFF2-40B4-BE49-F238E27FC236}">
              <a16:creationId xmlns:a16="http://schemas.microsoft.com/office/drawing/2014/main" id="{00000000-0008-0000-0A00-0000C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1" name="Shape 5">
          <a:extLst>
            <a:ext uri="{FF2B5EF4-FFF2-40B4-BE49-F238E27FC236}">
              <a16:creationId xmlns:a16="http://schemas.microsoft.com/office/drawing/2014/main" id="{00000000-0008-0000-0A00-0000C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2" name="Shape 5">
          <a:extLst>
            <a:ext uri="{FF2B5EF4-FFF2-40B4-BE49-F238E27FC236}">
              <a16:creationId xmlns:a16="http://schemas.microsoft.com/office/drawing/2014/main" id="{00000000-0008-0000-0A00-0000C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3" name="Shape 5">
          <a:extLst>
            <a:ext uri="{FF2B5EF4-FFF2-40B4-BE49-F238E27FC236}">
              <a16:creationId xmlns:a16="http://schemas.microsoft.com/office/drawing/2014/main" id="{00000000-0008-0000-0A00-0000C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4" name="Shape 5">
          <a:extLst>
            <a:ext uri="{FF2B5EF4-FFF2-40B4-BE49-F238E27FC236}">
              <a16:creationId xmlns:a16="http://schemas.microsoft.com/office/drawing/2014/main" id="{00000000-0008-0000-0A00-0000C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5" name="Shape 11">
          <a:extLst>
            <a:ext uri="{FF2B5EF4-FFF2-40B4-BE49-F238E27FC236}">
              <a16:creationId xmlns:a16="http://schemas.microsoft.com/office/drawing/2014/main" id="{00000000-0008-0000-0A00-0000C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6" name="Shape 11">
          <a:extLst>
            <a:ext uri="{FF2B5EF4-FFF2-40B4-BE49-F238E27FC236}">
              <a16:creationId xmlns:a16="http://schemas.microsoft.com/office/drawing/2014/main" id="{00000000-0008-0000-0A00-0000C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7" name="Shape 11">
          <a:extLst>
            <a:ext uri="{FF2B5EF4-FFF2-40B4-BE49-F238E27FC236}">
              <a16:creationId xmlns:a16="http://schemas.microsoft.com/office/drawing/2014/main" id="{00000000-0008-0000-0A00-0000C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1998" name="Shape 11">
          <a:extLst>
            <a:ext uri="{FF2B5EF4-FFF2-40B4-BE49-F238E27FC236}">
              <a16:creationId xmlns:a16="http://schemas.microsoft.com/office/drawing/2014/main" id="{00000000-0008-0000-0A00-0000CE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1999" name="Shape 12">
          <a:extLst>
            <a:ext uri="{FF2B5EF4-FFF2-40B4-BE49-F238E27FC236}">
              <a16:creationId xmlns:a16="http://schemas.microsoft.com/office/drawing/2014/main" id="{00000000-0008-0000-0A00-0000C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0" name="Shape 12">
          <a:extLst>
            <a:ext uri="{FF2B5EF4-FFF2-40B4-BE49-F238E27FC236}">
              <a16:creationId xmlns:a16="http://schemas.microsoft.com/office/drawing/2014/main" id="{00000000-0008-0000-0A00-0000D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1" name="Shape 12">
          <a:extLst>
            <a:ext uri="{FF2B5EF4-FFF2-40B4-BE49-F238E27FC236}">
              <a16:creationId xmlns:a16="http://schemas.microsoft.com/office/drawing/2014/main" id="{00000000-0008-0000-0A00-0000D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02" name="Shape 12">
          <a:extLst>
            <a:ext uri="{FF2B5EF4-FFF2-40B4-BE49-F238E27FC236}">
              <a16:creationId xmlns:a16="http://schemas.microsoft.com/office/drawing/2014/main" id="{00000000-0008-0000-0A00-0000D2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3" name="Shape 11">
          <a:extLst>
            <a:ext uri="{FF2B5EF4-FFF2-40B4-BE49-F238E27FC236}">
              <a16:creationId xmlns:a16="http://schemas.microsoft.com/office/drawing/2014/main" id="{00000000-0008-0000-0A00-0000D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4" name="Shape 11">
          <a:extLst>
            <a:ext uri="{FF2B5EF4-FFF2-40B4-BE49-F238E27FC236}">
              <a16:creationId xmlns:a16="http://schemas.microsoft.com/office/drawing/2014/main" id="{00000000-0008-0000-0A00-0000D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5" name="Shape 11">
          <a:extLst>
            <a:ext uri="{FF2B5EF4-FFF2-40B4-BE49-F238E27FC236}">
              <a16:creationId xmlns:a16="http://schemas.microsoft.com/office/drawing/2014/main" id="{00000000-0008-0000-0A00-0000D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6" name="Shape 11">
          <a:extLst>
            <a:ext uri="{FF2B5EF4-FFF2-40B4-BE49-F238E27FC236}">
              <a16:creationId xmlns:a16="http://schemas.microsoft.com/office/drawing/2014/main" id="{00000000-0008-0000-0A00-0000D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7" name="Shape 11">
          <a:extLst>
            <a:ext uri="{FF2B5EF4-FFF2-40B4-BE49-F238E27FC236}">
              <a16:creationId xmlns:a16="http://schemas.microsoft.com/office/drawing/2014/main" id="{00000000-0008-0000-0A00-0000D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8" name="Shape 11">
          <a:extLst>
            <a:ext uri="{FF2B5EF4-FFF2-40B4-BE49-F238E27FC236}">
              <a16:creationId xmlns:a16="http://schemas.microsoft.com/office/drawing/2014/main" id="{00000000-0008-0000-0A00-0000D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09" name="Shape 11">
          <a:extLst>
            <a:ext uri="{FF2B5EF4-FFF2-40B4-BE49-F238E27FC236}">
              <a16:creationId xmlns:a16="http://schemas.microsoft.com/office/drawing/2014/main" id="{00000000-0008-0000-0A00-0000D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0" name="Shape 5">
          <a:extLst>
            <a:ext uri="{FF2B5EF4-FFF2-40B4-BE49-F238E27FC236}">
              <a16:creationId xmlns:a16="http://schemas.microsoft.com/office/drawing/2014/main" id="{00000000-0008-0000-0A00-0000D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1" name="Shape 5">
          <a:extLst>
            <a:ext uri="{FF2B5EF4-FFF2-40B4-BE49-F238E27FC236}">
              <a16:creationId xmlns:a16="http://schemas.microsoft.com/office/drawing/2014/main" id="{00000000-0008-0000-0A00-0000D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2" name="Shape 5">
          <a:extLst>
            <a:ext uri="{FF2B5EF4-FFF2-40B4-BE49-F238E27FC236}">
              <a16:creationId xmlns:a16="http://schemas.microsoft.com/office/drawing/2014/main" id="{00000000-0008-0000-0A00-0000D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3" name="Shape 5">
          <a:extLst>
            <a:ext uri="{FF2B5EF4-FFF2-40B4-BE49-F238E27FC236}">
              <a16:creationId xmlns:a16="http://schemas.microsoft.com/office/drawing/2014/main" id="{00000000-0008-0000-0A00-0000DD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4" name="Shape 6">
          <a:extLst>
            <a:ext uri="{FF2B5EF4-FFF2-40B4-BE49-F238E27FC236}">
              <a16:creationId xmlns:a16="http://schemas.microsoft.com/office/drawing/2014/main" id="{00000000-0008-0000-0A00-0000D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5" name="Shape 6">
          <a:extLst>
            <a:ext uri="{FF2B5EF4-FFF2-40B4-BE49-F238E27FC236}">
              <a16:creationId xmlns:a16="http://schemas.microsoft.com/office/drawing/2014/main" id="{00000000-0008-0000-0A00-0000D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6" name="Shape 6">
          <a:extLst>
            <a:ext uri="{FF2B5EF4-FFF2-40B4-BE49-F238E27FC236}">
              <a16:creationId xmlns:a16="http://schemas.microsoft.com/office/drawing/2014/main" id="{00000000-0008-0000-0A00-0000E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17" name="Shape 6">
          <a:extLst>
            <a:ext uri="{FF2B5EF4-FFF2-40B4-BE49-F238E27FC236}">
              <a16:creationId xmlns:a16="http://schemas.microsoft.com/office/drawing/2014/main" id="{00000000-0008-0000-0A00-0000E1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8" name="Shape 5">
          <a:extLst>
            <a:ext uri="{FF2B5EF4-FFF2-40B4-BE49-F238E27FC236}">
              <a16:creationId xmlns:a16="http://schemas.microsoft.com/office/drawing/2014/main" id="{00000000-0008-0000-0A00-0000E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19" name="Shape 5">
          <a:extLst>
            <a:ext uri="{FF2B5EF4-FFF2-40B4-BE49-F238E27FC236}">
              <a16:creationId xmlns:a16="http://schemas.microsoft.com/office/drawing/2014/main" id="{00000000-0008-0000-0A00-0000E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0" name="Shape 5">
          <a:extLst>
            <a:ext uri="{FF2B5EF4-FFF2-40B4-BE49-F238E27FC236}">
              <a16:creationId xmlns:a16="http://schemas.microsoft.com/office/drawing/2014/main" id="{00000000-0008-0000-0A00-0000E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1" name="Shape 5">
          <a:extLst>
            <a:ext uri="{FF2B5EF4-FFF2-40B4-BE49-F238E27FC236}">
              <a16:creationId xmlns:a16="http://schemas.microsoft.com/office/drawing/2014/main" id="{00000000-0008-0000-0A00-0000E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2" name="Shape 5">
          <a:extLst>
            <a:ext uri="{FF2B5EF4-FFF2-40B4-BE49-F238E27FC236}">
              <a16:creationId xmlns:a16="http://schemas.microsoft.com/office/drawing/2014/main" id="{00000000-0008-0000-0A00-0000E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3" name="Shape 5">
          <a:extLst>
            <a:ext uri="{FF2B5EF4-FFF2-40B4-BE49-F238E27FC236}">
              <a16:creationId xmlns:a16="http://schemas.microsoft.com/office/drawing/2014/main" id="{00000000-0008-0000-0A00-0000E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24" name="Shape 5">
          <a:extLst>
            <a:ext uri="{FF2B5EF4-FFF2-40B4-BE49-F238E27FC236}">
              <a16:creationId xmlns:a16="http://schemas.microsoft.com/office/drawing/2014/main" id="{00000000-0008-0000-0A00-0000E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5" name="Shape 11">
          <a:extLst>
            <a:ext uri="{FF2B5EF4-FFF2-40B4-BE49-F238E27FC236}">
              <a16:creationId xmlns:a16="http://schemas.microsoft.com/office/drawing/2014/main" id="{00000000-0008-0000-0A00-0000E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6" name="Shape 11">
          <a:extLst>
            <a:ext uri="{FF2B5EF4-FFF2-40B4-BE49-F238E27FC236}">
              <a16:creationId xmlns:a16="http://schemas.microsoft.com/office/drawing/2014/main" id="{00000000-0008-0000-0A00-0000E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7" name="Shape 11">
          <a:extLst>
            <a:ext uri="{FF2B5EF4-FFF2-40B4-BE49-F238E27FC236}">
              <a16:creationId xmlns:a16="http://schemas.microsoft.com/office/drawing/2014/main" id="{00000000-0008-0000-0A00-0000E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28" name="Shape 11">
          <a:extLst>
            <a:ext uri="{FF2B5EF4-FFF2-40B4-BE49-F238E27FC236}">
              <a16:creationId xmlns:a16="http://schemas.microsoft.com/office/drawing/2014/main" id="{00000000-0008-0000-0A00-0000EC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29" name="Shape 12">
          <a:extLst>
            <a:ext uri="{FF2B5EF4-FFF2-40B4-BE49-F238E27FC236}">
              <a16:creationId xmlns:a16="http://schemas.microsoft.com/office/drawing/2014/main" id="{00000000-0008-0000-0A00-0000E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0" name="Shape 12">
          <a:extLst>
            <a:ext uri="{FF2B5EF4-FFF2-40B4-BE49-F238E27FC236}">
              <a16:creationId xmlns:a16="http://schemas.microsoft.com/office/drawing/2014/main" id="{00000000-0008-0000-0A00-0000E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1" name="Shape 12">
          <a:extLst>
            <a:ext uri="{FF2B5EF4-FFF2-40B4-BE49-F238E27FC236}">
              <a16:creationId xmlns:a16="http://schemas.microsoft.com/office/drawing/2014/main" id="{00000000-0008-0000-0A00-0000E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53</xdr:row>
      <xdr:rowOff>0</xdr:rowOff>
    </xdr:from>
    <xdr:ext cx="247650" cy="323850"/>
    <xdr:sp macro="" textlink="">
      <xdr:nvSpPr>
        <xdr:cNvPr id="2032" name="Shape 12">
          <a:extLst>
            <a:ext uri="{FF2B5EF4-FFF2-40B4-BE49-F238E27FC236}">
              <a16:creationId xmlns:a16="http://schemas.microsoft.com/office/drawing/2014/main" id="{00000000-0008-0000-0A00-0000F0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3" name="Shape 11">
          <a:extLst>
            <a:ext uri="{FF2B5EF4-FFF2-40B4-BE49-F238E27FC236}">
              <a16:creationId xmlns:a16="http://schemas.microsoft.com/office/drawing/2014/main" id="{00000000-0008-0000-0A00-0000F1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4" name="Shape 11">
          <a:extLst>
            <a:ext uri="{FF2B5EF4-FFF2-40B4-BE49-F238E27FC236}">
              <a16:creationId xmlns:a16="http://schemas.microsoft.com/office/drawing/2014/main" id="{00000000-0008-0000-0A00-0000F2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5" name="Shape 11">
          <a:extLst>
            <a:ext uri="{FF2B5EF4-FFF2-40B4-BE49-F238E27FC236}">
              <a16:creationId xmlns:a16="http://schemas.microsoft.com/office/drawing/2014/main" id="{00000000-0008-0000-0A00-0000F3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6" name="Shape 11">
          <a:extLst>
            <a:ext uri="{FF2B5EF4-FFF2-40B4-BE49-F238E27FC236}">
              <a16:creationId xmlns:a16="http://schemas.microsoft.com/office/drawing/2014/main" id="{00000000-0008-0000-0A00-0000F4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7" name="Shape 11">
          <a:extLst>
            <a:ext uri="{FF2B5EF4-FFF2-40B4-BE49-F238E27FC236}">
              <a16:creationId xmlns:a16="http://schemas.microsoft.com/office/drawing/2014/main" id="{00000000-0008-0000-0A00-0000F5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8" name="Shape 11">
          <a:extLst>
            <a:ext uri="{FF2B5EF4-FFF2-40B4-BE49-F238E27FC236}">
              <a16:creationId xmlns:a16="http://schemas.microsoft.com/office/drawing/2014/main" id="{00000000-0008-0000-0A00-0000F6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53</xdr:row>
      <xdr:rowOff>0</xdr:rowOff>
    </xdr:from>
    <xdr:ext cx="257175" cy="323850"/>
    <xdr:sp macro="" textlink="">
      <xdr:nvSpPr>
        <xdr:cNvPr id="2039" name="Shape 11">
          <a:extLst>
            <a:ext uri="{FF2B5EF4-FFF2-40B4-BE49-F238E27FC236}">
              <a16:creationId xmlns:a16="http://schemas.microsoft.com/office/drawing/2014/main" id="{00000000-0008-0000-0A00-0000F7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0" name="Shape 5">
          <a:extLst>
            <a:ext uri="{FF2B5EF4-FFF2-40B4-BE49-F238E27FC236}">
              <a16:creationId xmlns:a16="http://schemas.microsoft.com/office/drawing/2014/main" id="{00000000-0008-0000-0A00-0000F8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1" name="Shape 5">
          <a:extLst>
            <a:ext uri="{FF2B5EF4-FFF2-40B4-BE49-F238E27FC236}">
              <a16:creationId xmlns:a16="http://schemas.microsoft.com/office/drawing/2014/main" id="{00000000-0008-0000-0A00-0000F9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2" name="Shape 5">
          <a:extLst>
            <a:ext uri="{FF2B5EF4-FFF2-40B4-BE49-F238E27FC236}">
              <a16:creationId xmlns:a16="http://schemas.microsoft.com/office/drawing/2014/main" id="{00000000-0008-0000-0A00-0000FA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3" name="Shape 5">
          <a:extLst>
            <a:ext uri="{FF2B5EF4-FFF2-40B4-BE49-F238E27FC236}">
              <a16:creationId xmlns:a16="http://schemas.microsoft.com/office/drawing/2014/main" id="{00000000-0008-0000-0A00-0000FB07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4" name="Shape 6">
          <a:extLst>
            <a:ext uri="{FF2B5EF4-FFF2-40B4-BE49-F238E27FC236}">
              <a16:creationId xmlns:a16="http://schemas.microsoft.com/office/drawing/2014/main" id="{00000000-0008-0000-0A00-0000FC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5" name="Shape 6">
          <a:extLst>
            <a:ext uri="{FF2B5EF4-FFF2-40B4-BE49-F238E27FC236}">
              <a16:creationId xmlns:a16="http://schemas.microsoft.com/office/drawing/2014/main" id="{00000000-0008-0000-0A00-0000FD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6" name="Shape 6">
          <a:extLst>
            <a:ext uri="{FF2B5EF4-FFF2-40B4-BE49-F238E27FC236}">
              <a16:creationId xmlns:a16="http://schemas.microsoft.com/office/drawing/2014/main" id="{00000000-0008-0000-0A00-0000FE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47" name="Shape 6">
          <a:extLst>
            <a:ext uri="{FF2B5EF4-FFF2-40B4-BE49-F238E27FC236}">
              <a16:creationId xmlns:a16="http://schemas.microsoft.com/office/drawing/2014/main" id="{00000000-0008-0000-0A00-0000FF07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8" name="Shape 5">
          <a:extLst>
            <a:ext uri="{FF2B5EF4-FFF2-40B4-BE49-F238E27FC236}">
              <a16:creationId xmlns:a16="http://schemas.microsoft.com/office/drawing/2014/main" id="{00000000-0008-0000-0A00-00000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49" name="Shape 5">
          <a:extLst>
            <a:ext uri="{FF2B5EF4-FFF2-40B4-BE49-F238E27FC236}">
              <a16:creationId xmlns:a16="http://schemas.microsoft.com/office/drawing/2014/main" id="{00000000-0008-0000-0A00-00000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0" name="Shape 5">
          <a:extLst>
            <a:ext uri="{FF2B5EF4-FFF2-40B4-BE49-F238E27FC236}">
              <a16:creationId xmlns:a16="http://schemas.microsoft.com/office/drawing/2014/main" id="{00000000-0008-0000-0A00-00000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1" name="Shape 5">
          <a:extLst>
            <a:ext uri="{FF2B5EF4-FFF2-40B4-BE49-F238E27FC236}">
              <a16:creationId xmlns:a16="http://schemas.microsoft.com/office/drawing/2014/main" id="{00000000-0008-0000-0A00-00000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2" name="Shape 5">
          <a:extLst>
            <a:ext uri="{FF2B5EF4-FFF2-40B4-BE49-F238E27FC236}">
              <a16:creationId xmlns:a16="http://schemas.microsoft.com/office/drawing/2014/main" id="{00000000-0008-0000-0A00-00000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3" name="Shape 5">
          <a:extLst>
            <a:ext uri="{FF2B5EF4-FFF2-40B4-BE49-F238E27FC236}">
              <a16:creationId xmlns:a16="http://schemas.microsoft.com/office/drawing/2014/main" id="{00000000-0008-0000-0A00-00000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4" name="Shape 5">
          <a:extLst>
            <a:ext uri="{FF2B5EF4-FFF2-40B4-BE49-F238E27FC236}">
              <a16:creationId xmlns:a16="http://schemas.microsoft.com/office/drawing/2014/main" id="{00000000-0008-0000-0A00-00000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5" name="Shape 11">
          <a:extLst>
            <a:ext uri="{FF2B5EF4-FFF2-40B4-BE49-F238E27FC236}">
              <a16:creationId xmlns:a16="http://schemas.microsoft.com/office/drawing/2014/main" id="{00000000-0008-0000-0A00-00000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6" name="Shape 11">
          <a:extLst>
            <a:ext uri="{FF2B5EF4-FFF2-40B4-BE49-F238E27FC236}">
              <a16:creationId xmlns:a16="http://schemas.microsoft.com/office/drawing/2014/main" id="{00000000-0008-0000-0A00-00000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7" name="Shape 11">
          <a:extLst>
            <a:ext uri="{FF2B5EF4-FFF2-40B4-BE49-F238E27FC236}">
              <a16:creationId xmlns:a16="http://schemas.microsoft.com/office/drawing/2014/main" id="{00000000-0008-0000-0A00-00000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58" name="Shape 11">
          <a:extLst>
            <a:ext uri="{FF2B5EF4-FFF2-40B4-BE49-F238E27FC236}">
              <a16:creationId xmlns:a16="http://schemas.microsoft.com/office/drawing/2014/main" id="{00000000-0008-0000-0A00-00000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59" name="Shape 12">
          <a:extLst>
            <a:ext uri="{FF2B5EF4-FFF2-40B4-BE49-F238E27FC236}">
              <a16:creationId xmlns:a16="http://schemas.microsoft.com/office/drawing/2014/main" id="{00000000-0008-0000-0A00-00000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0" name="Shape 12">
          <a:extLst>
            <a:ext uri="{FF2B5EF4-FFF2-40B4-BE49-F238E27FC236}">
              <a16:creationId xmlns:a16="http://schemas.microsoft.com/office/drawing/2014/main" id="{00000000-0008-0000-0A00-00000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1" name="Shape 12">
          <a:extLst>
            <a:ext uri="{FF2B5EF4-FFF2-40B4-BE49-F238E27FC236}">
              <a16:creationId xmlns:a16="http://schemas.microsoft.com/office/drawing/2014/main" id="{00000000-0008-0000-0A00-00000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62" name="Shape 12">
          <a:extLst>
            <a:ext uri="{FF2B5EF4-FFF2-40B4-BE49-F238E27FC236}">
              <a16:creationId xmlns:a16="http://schemas.microsoft.com/office/drawing/2014/main" id="{00000000-0008-0000-0A00-00000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3" name="Shape 11">
          <a:extLst>
            <a:ext uri="{FF2B5EF4-FFF2-40B4-BE49-F238E27FC236}">
              <a16:creationId xmlns:a16="http://schemas.microsoft.com/office/drawing/2014/main" id="{00000000-0008-0000-0A00-00000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4" name="Shape 11">
          <a:extLst>
            <a:ext uri="{FF2B5EF4-FFF2-40B4-BE49-F238E27FC236}">
              <a16:creationId xmlns:a16="http://schemas.microsoft.com/office/drawing/2014/main" id="{00000000-0008-0000-0A00-00001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5" name="Shape 11">
          <a:extLst>
            <a:ext uri="{FF2B5EF4-FFF2-40B4-BE49-F238E27FC236}">
              <a16:creationId xmlns:a16="http://schemas.microsoft.com/office/drawing/2014/main" id="{00000000-0008-0000-0A00-00001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6" name="Shape 11">
          <a:extLst>
            <a:ext uri="{FF2B5EF4-FFF2-40B4-BE49-F238E27FC236}">
              <a16:creationId xmlns:a16="http://schemas.microsoft.com/office/drawing/2014/main" id="{00000000-0008-0000-0A00-00001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7" name="Shape 11">
          <a:extLst>
            <a:ext uri="{FF2B5EF4-FFF2-40B4-BE49-F238E27FC236}">
              <a16:creationId xmlns:a16="http://schemas.microsoft.com/office/drawing/2014/main" id="{00000000-0008-0000-0A00-00001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8" name="Shape 11">
          <a:extLst>
            <a:ext uri="{FF2B5EF4-FFF2-40B4-BE49-F238E27FC236}">
              <a16:creationId xmlns:a16="http://schemas.microsoft.com/office/drawing/2014/main" id="{00000000-0008-0000-0A00-00001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69" name="Shape 11">
          <a:extLst>
            <a:ext uri="{FF2B5EF4-FFF2-40B4-BE49-F238E27FC236}">
              <a16:creationId xmlns:a16="http://schemas.microsoft.com/office/drawing/2014/main" id="{00000000-0008-0000-0A00-00001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0" name="Shape 5">
          <a:extLst>
            <a:ext uri="{FF2B5EF4-FFF2-40B4-BE49-F238E27FC236}">
              <a16:creationId xmlns:a16="http://schemas.microsoft.com/office/drawing/2014/main" id="{00000000-0008-0000-0A00-00001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1" name="Shape 5">
          <a:extLst>
            <a:ext uri="{FF2B5EF4-FFF2-40B4-BE49-F238E27FC236}">
              <a16:creationId xmlns:a16="http://schemas.microsoft.com/office/drawing/2014/main" id="{00000000-0008-0000-0A00-00001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2" name="Shape 5">
          <a:extLst>
            <a:ext uri="{FF2B5EF4-FFF2-40B4-BE49-F238E27FC236}">
              <a16:creationId xmlns:a16="http://schemas.microsoft.com/office/drawing/2014/main" id="{00000000-0008-0000-0A00-00001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3" name="Shape 5">
          <a:extLst>
            <a:ext uri="{FF2B5EF4-FFF2-40B4-BE49-F238E27FC236}">
              <a16:creationId xmlns:a16="http://schemas.microsoft.com/office/drawing/2014/main" id="{00000000-0008-0000-0A00-00001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4" name="Shape 6">
          <a:extLst>
            <a:ext uri="{FF2B5EF4-FFF2-40B4-BE49-F238E27FC236}">
              <a16:creationId xmlns:a16="http://schemas.microsoft.com/office/drawing/2014/main" id="{00000000-0008-0000-0A00-00001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5" name="Shape 6">
          <a:extLst>
            <a:ext uri="{FF2B5EF4-FFF2-40B4-BE49-F238E27FC236}">
              <a16:creationId xmlns:a16="http://schemas.microsoft.com/office/drawing/2014/main" id="{00000000-0008-0000-0A00-00001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6" name="Shape 6">
          <a:extLst>
            <a:ext uri="{FF2B5EF4-FFF2-40B4-BE49-F238E27FC236}">
              <a16:creationId xmlns:a16="http://schemas.microsoft.com/office/drawing/2014/main" id="{00000000-0008-0000-0A00-00001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077" name="Shape 6">
          <a:extLst>
            <a:ext uri="{FF2B5EF4-FFF2-40B4-BE49-F238E27FC236}">
              <a16:creationId xmlns:a16="http://schemas.microsoft.com/office/drawing/2014/main" id="{00000000-0008-0000-0A00-00001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8" name="Shape 5">
          <a:extLst>
            <a:ext uri="{FF2B5EF4-FFF2-40B4-BE49-F238E27FC236}">
              <a16:creationId xmlns:a16="http://schemas.microsoft.com/office/drawing/2014/main" id="{00000000-0008-0000-0A00-00001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79" name="Shape 5">
          <a:extLst>
            <a:ext uri="{FF2B5EF4-FFF2-40B4-BE49-F238E27FC236}">
              <a16:creationId xmlns:a16="http://schemas.microsoft.com/office/drawing/2014/main" id="{00000000-0008-0000-0A00-00001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0" name="Shape 5">
          <a:extLst>
            <a:ext uri="{FF2B5EF4-FFF2-40B4-BE49-F238E27FC236}">
              <a16:creationId xmlns:a16="http://schemas.microsoft.com/office/drawing/2014/main" id="{00000000-0008-0000-0A00-00002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1" name="Shape 5">
          <a:extLst>
            <a:ext uri="{FF2B5EF4-FFF2-40B4-BE49-F238E27FC236}">
              <a16:creationId xmlns:a16="http://schemas.microsoft.com/office/drawing/2014/main" id="{00000000-0008-0000-0A00-00002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2" name="Shape 5">
          <a:extLst>
            <a:ext uri="{FF2B5EF4-FFF2-40B4-BE49-F238E27FC236}">
              <a16:creationId xmlns:a16="http://schemas.microsoft.com/office/drawing/2014/main" id="{00000000-0008-0000-0A00-00002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3" name="Shape 5">
          <a:extLst>
            <a:ext uri="{FF2B5EF4-FFF2-40B4-BE49-F238E27FC236}">
              <a16:creationId xmlns:a16="http://schemas.microsoft.com/office/drawing/2014/main" id="{00000000-0008-0000-0A00-00002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084" name="Shape 5">
          <a:extLst>
            <a:ext uri="{FF2B5EF4-FFF2-40B4-BE49-F238E27FC236}">
              <a16:creationId xmlns:a16="http://schemas.microsoft.com/office/drawing/2014/main" id="{00000000-0008-0000-0A00-00002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5" name="Shape 11">
          <a:extLst>
            <a:ext uri="{FF2B5EF4-FFF2-40B4-BE49-F238E27FC236}">
              <a16:creationId xmlns:a16="http://schemas.microsoft.com/office/drawing/2014/main" id="{00000000-0008-0000-0A00-00002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6" name="Shape 11">
          <a:extLst>
            <a:ext uri="{FF2B5EF4-FFF2-40B4-BE49-F238E27FC236}">
              <a16:creationId xmlns:a16="http://schemas.microsoft.com/office/drawing/2014/main" id="{00000000-0008-0000-0A00-00002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7" name="Shape 11">
          <a:extLst>
            <a:ext uri="{FF2B5EF4-FFF2-40B4-BE49-F238E27FC236}">
              <a16:creationId xmlns:a16="http://schemas.microsoft.com/office/drawing/2014/main" id="{00000000-0008-0000-0A00-00002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88" name="Shape 11">
          <a:extLst>
            <a:ext uri="{FF2B5EF4-FFF2-40B4-BE49-F238E27FC236}">
              <a16:creationId xmlns:a16="http://schemas.microsoft.com/office/drawing/2014/main" id="{00000000-0008-0000-0A00-00002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89" name="Shape 12">
          <a:extLst>
            <a:ext uri="{FF2B5EF4-FFF2-40B4-BE49-F238E27FC236}">
              <a16:creationId xmlns:a16="http://schemas.microsoft.com/office/drawing/2014/main" id="{00000000-0008-0000-0A00-00002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0" name="Shape 12">
          <a:extLst>
            <a:ext uri="{FF2B5EF4-FFF2-40B4-BE49-F238E27FC236}">
              <a16:creationId xmlns:a16="http://schemas.microsoft.com/office/drawing/2014/main" id="{00000000-0008-0000-0A00-00002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1" name="Shape 12">
          <a:extLst>
            <a:ext uri="{FF2B5EF4-FFF2-40B4-BE49-F238E27FC236}">
              <a16:creationId xmlns:a16="http://schemas.microsoft.com/office/drawing/2014/main" id="{00000000-0008-0000-0A00-00002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54</xdr:row>
      <xdr:rowOff>0</xdr:rowOff>
    </xdr:from>
    <xdr:ext cx="247650" cy="323850"/>
    <xdr:sp macro="" textlink="">
      <xdr:nvSpPr>
        <xdr:cNvPr id="2092" name="Shape 12">
          <a:extLst>
            <a:ext uri="{FF2B5EF4-FFF2-40B4-BE49-F238E27FC236}">
              <a16:creationId xmlns:a16="http://schemas.microsoft.com/office/drawing/2014/main" id="{00000000-0008-0000-0A00-00002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3" name="Shape 11">
          <a:extLst>
            <a:ext uri="{FF2B5EF4-FFF2-40B4-BE49-F238E27FC236}">
              <a16:creationId xmlns:a16="http://schemas.microsoft.com/office/drawing/2014/main" id="{00000000-0008-0000-0A00-00002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4" name="Shape 11">
          <a:extLst>
            <a:ext uri="{FF2B5EF4-FFF2-40B4-BE49-F238E27FC236}">
              <a16:creationId xmlns:a16="http://schemas.microsoft.com/office/drawing/2014/main" id="{00000000-0008-0000-0A00-00002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5" name="Shape 11">
          <a:extLst>
            <a:ext uri="{FF2B5EF4-FFF2-40B4-BE49-F238E27FC236}">
              <a16:creationId xmlns:a16="http://schemas.microsoft.com/office/drawing/2014/main" id="{00000000-0008-0000-0A00-00002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6" name="Shape 11">
          <a:extLst>
            <a:ext uri="{FF2B5EF4-FFF2-40B4-BE49-F238E27FC236}">
              <a16:creationId xmlns:a16="http://schemas.microsoft.com/office/drawing/2014/main" id="{00000000-0008-0000-0A00-00003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7" name="Shape 11">
          <a:extLst>
            <a:ext uri="{FF2B5EF4-FFF2-40B4-BE49-F238E27FC236}">
              <a16:creationId xmlns:a16="http://schemas.microsoft.com/office/drawing/2014/main" id="{00000000-0008-0000-0A00-00003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8" name="Shape 11">
          <a:extLst>
            <a:ext uri="{FF2B5EF4-FFF2-40B4-BE49-F238E27FC236}">
              <a16:creationId xmlns:a16="http://schemas.microsoft.com/office/drawing/2014/main" id="{00000000-0008-0000-0A00-00003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54</xdr:row>
      <xdr:rowOff>0</xdr:rowOff>
    </xdr:from>
    <xdr:ext cx="257175" cy="323850"/>
    <xdr:sp macro="" textlink="">
      <xdr:nvSpPr>
        <xdr:cNvPr id="2099" name="Shape 11">
          <a:extLst>
            <a:ext uri="{FF2B5EF4-FFF2-40B4-BE49-F238E27FC236}">
              <a16:creationId xmlns:a16="http://schemas.microsoft.com/office/drawing/2014/main" id="{00000000-0008-0000-0A00-00003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0" name="Shape 5">
          <a:extLst>
            <a:ext uri="{FF2B5EF4-FFF2-40B4-BE49-F238E27FC236}">
              <a16:creationId xmlns:a16="http://schemas.microsoft.com/office/drawing/2014/main" id="{00000000-0008-0000-0A00-00003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1" name="Shape 5">
          <a:extLst>
            <a:ext uri="{FF2B5EF4-FFF2-40B4-BE49-F238E27FC236}">
              <a16:creationId xmlns:a16="http://schemas.microsoft.com/office/drawing/2014/main" id="{00000000-0008-0000-0A00-00003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2" name="Shape 5">
          <a:extLst>
            <a:ext uri="{FF2B5EF4-FFF2-40B4-BE49-F238E27FC236}">
              <a16:creationId xmlns:a16="http://schemas.microsoft.com/office/drawing/2014/main" id="{00000000-0008-0000-0A00-00003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3" name="Shape 5">
          <a:extLst>
            <a:ext uri="{FF2B5EF4-FFF2-40B4-BE49-F238E27FC236}">
              <a16:creationId xmlns:a16="http://schemas.microsoft.com/office/drawing/2014/main" id="{00000000-0008-0000-0A00-00003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4" name="Shape 6">
          <a:extLst>
            <a:ext uri="{FF2B5EF4-FFF2-40B4-BE49-F238E27FC236}">
              <a16:creationId xmlns:a16="http://schemas.microsoft.com/office/drawing/2014/main" id="{00000000-0008-0000-0A00-00003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5" name="Shape 6">
          <a:extLst>
            <a:ext uri="{FF2B5EF4-FFF2-40B4-BE49-F238E27FC236}">
              <a16:creationId xmlns:a16="http://schemas.microsoft.com/office/drawing/2014/main" id="{00000000-0008-0000-0A00-00003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6" name="Shape 6">
          <a:extLst>
            <a:ext uri="{FF2B5EF4-FFF2-40B4-BE49-F238E27FC236}">
              <a16:creationId xmlns:a16="http://schemas.microsoft.com/office/drawing/2014/main" id="{00000000-0008-0000-0A00-00003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07" name="Shape 6">
          <a:extLst>
            <a:ext uri="{FF2B5EF4-FFF2-40B4-BE49-F238E27FC236}">
              <a16:creationId xmlns:a16="http://schemas.microsoft.com/office/drawing/2014/main" id="{00000000-0008-0000-0A00-00003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8" name="Shape 5">
          <a:extLst>
            <a:ext uri="{FF2B5EF4-FFF2-40B4-BE49-F238E27FC236}">
              <a16:creationId xmlns:a16="http://schemas.microsoft.com/office/drawing/2014/main" id="{00000000-0008-0000-0A00-00003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09" name="Shape 5">
          <a:extLst>
            <a:ext uri="{FF2B5EF4-FFF2-40B4-BE49-F238E27FC236}">
              <a16:creationId xmlns:a16="http://schemas.microsoft.com/office/drawing/2014/main" id="{00000000-0008-0000-0A00-00003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0" name="Shape 5">
          <a:extLst>
            <a:ext uri="{FF2B5EF4-FFF2-40B4-BE49-F238E27FC236}">
              <a16:creationId xmlns:a16="http://schemas.microsoft.com/office/drawing/2014/main" id="{00000000-0008-0000-0A00-00003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1" name="Shape 5">
          <a:extLst>
            <a:ext uri="{FF2B5EF4-FFF2-40B4-BE49-F238E27FC236}">
              <a16:creationId xmlns:a16="http://schemas.microsoft.com/office/drawing/2014/main" id="{00000000-0008-0000-0A00-00003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2" name="Shape 5">
          <a:extLst>
            <a:ext uri="{FF2B5EF4-FFF2-40B4-BE49-F238E27FC236}">
              <a16:creationId xmlns:a16="http://schemas.microsoft.com/office/drawing/2014/main" id="{00000000-0008-0000-0A00-00004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3" name="Shape 5">
          <a:extLst>
            <a:ext uri="{FF2B5EF4-FFF2-40B4-BE49-F238E27FC236}">
              <a16:creationId xmlns:a16="http://schemas.microsoft.com/office/drawing/2014/main" id="{00000000-0008-0000-0A00-00004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4" name="Shape 5">
          <a:extLst>
            <a:ext uri="{FF2B5EF4-FFF2-40B4-BE49-F238E27FC236}">
              <a16:creationId xmlns:a16="http://schemas.microsoft.com/office/drawing/2014/main" id="{00000000-0008-0000-0A00-00004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5" name="Shape 11">
          <a:extLst>
            <a:ext uri="{FF2B5EF4-FFF2-40B4-BE49-F238E27FC236}">
              <a16:creationId xmlns:a16="http://schemas.microsoft.com/office/drawing/2014/main" id="{00000000-0008-0000-0A00-00004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6" name="Shape 11">
          <a:extLst>
            <a:ext uri="{FF2B5EF4-FFF2-40B4-BE49-F238E27FC236}">
              <a16:creationId xmlns:a16="http://schemas.microsoft.com/office/drawing/2014/main" id="{00000000-0008-0000-0A00-00004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7" name="Shape 11">
          <a:extLst>
            <a:ext uri="{FF2B5EF4-FFF2-40B4-BE49-F238E27FC236}">
              <a16:creationId xmlns:a16="http://schemas.microsoft.com/office/drawing/2014/main" id="{00000000-0008-0000-0A00-00004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18" name="Shape 11">
          <a:extLst>
            <a:ext uri="{FF2B5EF4-FFF2-40B4-BE49-F238E27FC236}">
              <a16:creationId xmlns:a16="http://schemas.microsoft.com/office/drawing/2014/main" id="{00000000-0008-0000-0A00-00004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19" name="Shape 12">
          <a:extLst>
            <a:ext uri="{FF2B5EF4-FFF2-40B4-BE49-F238E27FC236}">
              <a16:creationId xmlns:a16="http://schemas.microsoft.com/office/drawing/2014/main" id="{00000000-0008-0000-0A00-00004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0" name="Shape 12">
          <a:extLst>
            <a:ext uri="{FF2B5EF4-FFF2-40B4-BE49-F238E27FC236}">
              <a16:creationId xmlns:a16="http://schemas.microsoft.com/office/drawing/2014/main" id="{00000000-0008-0000-0A00-00004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1" name="Shape 12">
          <a:extLst>
            <a:ext uri="{FF2B5EF4-FFF2-40B4-BE49-F238E27FC236}">
              <a16:creationId xmlns:a16="http://schemas.microsoft.com/office/drawing/2014/main" id="{00000000-0008-0000-0A00-00004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22" name="Shape 12">
          <a:extLst>
            <a:ext uri="{FF2B5EF4-FFF2-40B4-BE49-F238E27FC236}">
              <a16:creationId xmlns:a16="http://schemas.microsoft.com/office/drawing/2014/main" id="{00000000-0008-0000-0A00-00004A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3" name="Shape 11">
          <a:extLst>
            <a:ext uri="{FF2B5EF4-FFF2-40B4-BE49-F238E27FC236}">
              <a16:creationId xmlns:a16="http://schemas.microsoft.com/office/drawing/2014/main" id="{00000000-0008-0000-0A00-00004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4" name="Shape 11">
          <a:extLst>
            <a:ext uri="{FF2B5EF4-FFF2-40B4-BE49-F238E27FC236}">
              <a16:creationId xmlns:a16="http://schemas.microsoft.com/office/drawing/2014/main" id="{00000000-0008-0000-0A00-00004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5" name="Shape 11">
          <a:extLst>
            <a:ext uri="{FF2B5EF4-FFF2-40B4-BE49-F238E27FC236}">
              <a16:creationId xmlns:a16="http://schemas.microsoft.com/office/drawing/2014/main" id="{00000000-0008-0000-0A00-00004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6" name="Shape 11">
          <a:extLst>
            <a:ext uri="{FF2B5EF4-FFF2-40B4-BE49-F238E27FC236}">
              <a16:creationId xmlns:a16="http://schemas.microsoft.com/office/drawing/2014/main" id="{00000000-0008-0000-0A00-00004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7" name="Shape 11">
          <a:extLst>
            <a:ext uri="{FF2B5EF4-FFF2-40B4-BE49-F238E27FC236}">
              <a16:creationId xmlns:a16="http://schemas.microsoft.com/office/drawing/2014/main" id="{00000000-0008-0000-0A00-00004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8" name="Shape 11">
          <a:extLst>
            <a:ext uri="{FF2B5EF4-FFF2-40B4-BE49-F238E27FC236}">
              <a16:creationId xmlns:a16="http://schemas.microsoft.com/office/drawing/2014/main" id="{00000000-0008-0000-0A00-00005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29" name="Shape 11">
          <a:extLst>
            <a:ext uri="{FF2B5EF4-FFF2-40B4-BE49-F238E27FC236}">
              <a16:creationId xmlns:a16="http://schemas.microsoft.com/office/drawing/2014/main" id="{00000000-0008-0000-0A00-00005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0" name="Shape 5">
          <a:extLst>
            <a:ext uri="{FF2B5EF4-FFF2-40B4-BE49-F238E27FC236}">
              <a16:creationId xmlns:a16="http://schemas.microsoft.com/office/drawing/2014/main" id="{00000000-0008-0000-0A00-00005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1" name="Shape 5">
          <a:extLst>
            <a:ext uri="{FF2B5EF4-FFF2-40B4-BE49-F238E27FC236}">
              <a16:creationId xmlns:a16="http://schemas.microsoft.com/office/drawing/2014/main" id="{00000000-0008-0000-0A00-00005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2" name="Shape 5">
          <a:extLst>
            <a:ext uri="{FF2B5EF4-FFF2-40B4-BE49-F238E27FC236}">
              <a16:creationId xmlns:a16="http://schemas.microsoft.com/office/drawing/2014/main" id="{00000000-0008-0000-0A00-00005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3" name="Shape 5">
          <a:extLst>
            <a:ext uri="{FF2B5EF4-FFF2-40B4-BE49-F238E27FC236}">
              <a16:creationId xmlns:a16="http://schemas.microsoft.com/office/drawing/2014/main" id="{00000000-0008-0000-0A00-00005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4" name="Shape 6">
          <a:extLst>
            <a:ext uri="{FF2B5EF4-FFF2-40B4-BE49-F238E27FC236}">
              <a16:creationId xmlns:a16="http://schemas.microsoft.com/office/drawing/2014/main" id="{00000000-0008-0000-0A00-00005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5" name="Shape 6">
          <a:extLst>
            <a:ext uri="{FF2B5EF4-FFF2-40B4-BE49-F238E27FC236}">
              <a16:creationId xmlns:a16="http://schemas.microsoft.com/office/drawing/2014/main" id="{00000000-0008-0000-0A00-00005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6" name="Shape 6">
          <a:extLst>
            <a:ext uri="{FF2B5EF4-FFF2-40B4-BE49-F238E27FC236}">
              <a16:creationId xmlns:a16="http://schemas.microsoft.com/office/drawing/2014/main" id="{00000000-0008-0000-0A00-00005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37" name="Shape 6">
          <a:extLst>
            <a:ext uri="{FF2B5EF4-FFF2-40B4-BE49-F238E27FC236}">
              <a16:creationId xmlns:a16="http://schemas.microsoft.com/office/drawing/2014/main" id="{00000000-0008-0000-0A00-000059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8" name="Shape 5">
          <a:extLst>
            <a:ext uri="{FF2B5EF4-FFF2-40B4-BE49-F238E27FC236}">
              <a16:creationId xmlns:a16="http://schemas.microsoft.com/office/drawing/2014/main" id="{00000000-0008-0000-0A00-00005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39" name="Shape 5">
          <a:extLst>
            <a:ext uri="{FF2B5EF4-FFF2-40B4-BE49-F238E27FC236}">
              <a16:creationId xmlns:a16="http://schemas.microsoft.com/office/drawing/2014/main" id="{00000000-0008-0000-0A00-00005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0" name="Shape 5">
          <a:extLst>
            <a:ext uri="{FF2B5EF4-FFF2-40B4-BE49-F238E27FC236}">
              <a16:creationId xmlns:a16="http://schemas.microsoft.com/office/drawing/2014/main" id="{00000000-0008-0000-0A00-00005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1" name="Shape 5">
          <a:extLst>
            <a:ext uri="{FF2B5EF4-FFF2-40B4-BE49-F238E27FC236}">
              <a16:creationId xmlns:a16="http://schemas.microsoft.com/office/drawing/2014/main" id="{00000000-0008-0000-0A00-00005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2" name="Shape 5">
          <a:extLst>
            <a:ext uri="{FF2B5EF4-FFF2-40B4-BE49-F238E27FC236}">
              <a16:creationId xmlns:a16="http://schemas.microsoft.com/office/drawing/2014/main" id="{00000000-0008-0000-0A00-00005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3" name="Shape 5">
          <a:extLst>
            <a:ext uri="{FF2B5EF4-FFF2-40B4-BE49-F238E27FC236}">
              <a16:creationId xmlns:a16="http://schemas.microsoft.com/office/drawing/2014/main" id="{00000000-0008-0000-0A00-00005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44" name="Shape 5">
          <a:extLst>
            <a:ext uri="{FF2B5EF4-FFF2-40B4-BE49-F238E27FC236}">
              <a16:creationId xmlns:a16="http://schemas.microsoft.com/office/drawing/2014/main" id="{00000000-0008-0000-0A00-00006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5" name="Shape 11">
          <a:extLst>
            <a:ext uri="{FF2B5EF4-FFF2-40B4-BE49-F238E27FC236}">
              <a16:creationId xmlns:a16="http://schemas.microsoft.com/office/drawing/2014/main" id="{00000000-0008-0000-0A00-00006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6" name="Shape 11">
          <a:extLst>
            <a:ext uri="{FF2B5EF4-FFF2-40B4-BE49-F238E27FC236}">
              <a16:creationId xmlns:a16="http://schemas.microsoft.com/office/drawing/2014/main" id="{00000000-0008-0000-0A00-00006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7" name="Shape 11">
          <a:extLst>
            <a:ext uri="{FF2B5EF4-FFF2-40B4-BE49-F238E27FC236}">
              <a16:creationId xmlns:a16="http://schemas.microsoft.com/office/drawing/2014/main" id="{00000000-0008-0000-0A00-00006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48" name="Shape 11">
          <a:extLst>
            <a:ext uri="{FF2B5EF4-FFF2-40B4-BE49-F238E27FC236}">
              <a16:creationId xmlns:a16="http://schemas.microsoft.com/office/drawing/2014/main" id="{00000000-0008-0000-0A00-00006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49" name="Shape 12">
          <a:extLst>
            <a:ext uri="{FF2B5EF4-FFF2-40B4-BE49-F238E27FC236}">
              <a16:creationId xmlns:a16="http://schemas.microsoft.com/office/drawing/2014/main" id="{00000000-0008-0000-0A00-00006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0" name="Shape 12">
          <a:extLst>
            <a:ext uri="{FF2B5EF4-FFF2-40B4-BE49-F238E27FC236}">
              <a16:creationId xmlns:a16="http://schemas.microsoft.com/office/drawing/2014/main" id="{00000000-0008-0000-0A00-00006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1" name="Shape 12">
          <a:extLst>
            <a:ext uri="{FF2B5EF4-FFF2-40B4-BE49-F238E27FC236}">
              <a16:creationId xmlns:a16="http://schemas.microsoft.com/office/drawing/2014/main" id="{00000000-0008-0000-0A00-00006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55</xdr:row>
      <xdr:rowOff>0</xdr:rowOff>
    </xdr:from>
    <xdr:ext cx="247650" cy="323850"/>
    <xdr:sp macro="" textlink="">
      <xdr:nvSpPr>
        <xdr:cNvPr id="2152" name="Shape 12">
          <a:extLst>
            <a:ext uri="{FF2B5EF4-FFF2-40B4-BE49-F238E27FC236}">
              <a16:creationId xmlns:a16="http://schemas.microsoft.com/office/drawing/2014/main" id="{00000000-0008-0000-0A00-000068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3" name="Shape 11">
          <a:extLst>
            <a:ext uri="{FF2B5EF4-FFF2-40B4-BE49-F238E27FC236}">
              <a16:creationId xmlns:a16="http://schemas.microsoft.com/office/drawing/2014/main" id="{00000000-0008-0000-0A00-00006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4" name="Shape 11">
          <a:extLst>
            <a:ext uri="{FF2B5EF4-FFF2-40B4-BE49-F238E27FC236}">
              <a16:creationId xmlns:a16="http://schemas.microsoft.com/office/drawing/2014/main" id="{00000000-0008-0000-0A00-00006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5" name="Shape 11">
          <a:extLst>
            <a:ext uri="{FF2B5EF4-FFF2-40B4-BE49-F238E27FC236}">
              <a16:creationId xmlns:a16="http://schemas.microsoft.com/office/drawing/2014/main" id="{00000000-0008-0000-0A00-00006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6" name="Shape 11">
          <a:extLst>
            <a:ext uri="{FF2B5EF4-FFF2-40B4-BE49-F238E27FC236}">
              <a16:creationId xmlns:a16="http://schemas.microsoft.com/office/drawing/2014/main" id="{00000000-0008-0000-0A00-00006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7" name="Shape 11">
          <a:extLst>
            <a:ext uri="{FF2B5EF4-FFF2-40B4-BE49-F238E27FC236}">
              <a16:creationId xmlns:a16="http://schemas.microsoft.com/office/drawing/2014/main" id="{00000000-0008-0000-0A00-00006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8" name="Shape 11">
          <a:extLst>
            <a:ext uri="{FF2B5EF4-FFF2-40B4-BE49-F238E27FC236}">
              <a16:creationId xmlns:a16="http://schemas.microsoft.com/office/drawing/2014/main" id="{00000000-0008-0000-0A00-00006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55</xdr:row>
      <xdr:rowOff>0</xdr:rowOff>
    </xdr:from>
    <xdr:ext cx="257175" cy="323850"/>
    <xdr:sp macro="" textlink="">
      <xdr:nvSpPr>
        <xdr:cNvPr id="2159" name="Shape 11">
          <a:extLst>
            <a:ext uri="{FF2B5EF4-FFF2-40B4-BE49-F238E27FC236}">
              <a16:creationId xmlns:a16="http://schemas.microsoft.com/office/drawing/2014/main" id="{00000000-0008-0000-0A00-00006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0" name="Shape 5">
          <a:extLst>
            <a:ext uri="{FF2B5EF4-FFF2-40B4-BE49-F238E27FC236}">
              <a16:creationId xmlns:a16="http://schemas.microsoft.com/office/drawing/2014/main" id="{00000000-0008-0000-0A00-00007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1" name="Shape 5">
          <a:extLst>
            <a:ext uri="{FF2B5EF4-FFF2-40B4-BE49-F238E27FC236}">
              <a16:creationId xmlns:a16="http://schemas.microsoft.com/office/drawing/2014/main" id="{00000000-0008-0000-0A00-00007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2" name="Shape 5">
          <a:extLst>
            <a:ext uri="{FF2B5EF4-FFF2-40B4-BE49-F238E27FC236}">
              <a16:creationId xmlns:a16="http://schemas.microsoft.com/office/drawing/2014/main" id="{00000000-0008-0000-0A00-00007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3" name="Shape 5">
          <a:extLst>
            <a:ext uri="{FF2B5EF4-FFF2-40B4-BE49-F238E27FC236}">
              <a16:creationId xmlns:a16="http://schemas.microsoft.com/office/drawing/2014/main" id="{00000000-0008-0000-0A00-00007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4" name="Shape 6">
          <a:extLst>
            <a:ext uri="{FF2B5EF4-FFF2-40B4-BE49-F238E27FC236}">
              <a16:creationId xmlns:a16="http://schemas.microsoft.com/office/drawing/2014/main" id="{00000000-0008-0000-0A00-00007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5" name="Shape 6">
          <a:extLst>
            <a:ext uri="{FF2B5EF4-FFF2-40B4-BE49-F238E27FC236}">
              <a16:creationId xmlns:a16="http://schemas.microsoft.com/office/drawing/2014/main" id="{00000000-0008-0000-0A00-00007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6" name="Shape 6">
          <a:extLst>
            <a:ext uri="{FF2B5EF4-FFF2-40B4-BE49-F238E27FC236}">
              <a16:creationId xmlns:a16="http://schemas.microsoft.com/office/drawing/2014/main" id="{00000000-0008-0000-0A00-00007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67" name="Shape 6">
          <a:extLst>
            <a:ext uri="{FF2B5EF4-FFF2-40B4-BE49-F238E27FC236}">
              <a16:creationId xmlns:a16="http://schemas.microsoft.com/office/drawing/2014/main" id="{00000000-0008-0000-0A00-000077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8" name="Shape 5">
          <a:extLst>
            <a:ext uri="{FF2B5EF4-FFF2-40B4-BE49-F238E27FC236}">
              <a16:creationId xmlns:a16="http://schemas.microsoft.com/office/drawing/2014/main" id="{00000000-0008-0000-0A00-00007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69" name="Shape 5">
          <a:extLst>
            <a:ext uri="{FF2B5EF4-FFF2-40B4-BE49-F238E27FC236}">
              <a16:creationId xmlns:a16="http://schemas.microsoft.com/office/drawing/2014/main" id="{00000000-0008-0000-0A00-00007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0" name="Shape 5">
          <a:extLst>
            <a:ext uri="{FF2B5EF4-FFF2-40B4-BE49-F238E27FC236}">
              <a16:creationId xmlns:a16="http://schemas.microsoft.com/office/drawing/2014/main" id="{00000000-0008-0000-0A00-00007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1" name="Shape 5">
          <a:extLst>
            <a:ext uri="{FF2B5EF4-FFF2-40B4-BE49-F238E27FC236}">
              <a16:creationId xmlns:a16="http://schemas.microsoft.com/office/drawing/2014/main" id="{00000000-0008-0000-0A00-00007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2" name="Shape 5">
          <a:extLst>
            <a:ext uri="{FF2B5EF4-FFF2-40B4-BE49-F238E27FC236}">
              <a16:creationId xmlns:a16="http://schemas.microsoft.com/office/drawing/2014/main" id="{00000000-0008-0000-0A00-00007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3" name="Shape 5">
          <a:extLst>
            <a:ext uri="{FF2B5EF4-FFF2-40B4-BE49-F238E27FC236}">
              <a16:creationId xmlns:a16="http://schemas.microsoft.com/office/drawing/2014/main" id="{00000000-0008-0000-0A00-00007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4" name="Shape 5">
          <a:extLst>
            <a:ext uri="{FF2B5EF4-FFF2-40B4-BE49-F238E27FC236}">
              <a16:creationId xmlns:a16="http://schemas.microsoft.com/office/drawing/2014/main" id="{00000000-0008-0000-0A00-00007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5" name="Shape 11">
          <a:extLst>
            <a:ext uri="{FF2B5EF4-FFF2-40B4-BE49-F238E27FC236}">
              <a16:creationId xmlns:a16="http://schemas.microsoft.com/office/drawing/2014/main" id="{00000000-0008-0000-0A00-00007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6" name="Shape 11">
          <a:extLst>
            <a:ext uri="{FF2B5EF4-FFF2-40B4-BE49-F238E27FC236}">
              <a16:creationId xmlns:a16="http://schemas.microsoft.com/office/drawing/2014/main" id="{00000000-0008-0000-0A00-00008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7" name="Shape 11">
          <a:extLst>
            <a:ext uri="{FF2B5EF4-FFF2-40B4-BE49-F238E27FC236}">
              <a16:creationId xmlns:a16="http://schemas.microsoft.com/office/drawing/2014/main" id="{00000000-0008-0000-0A00-00008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78" name="Shape 11">
          <a:extLst>
            <a:ext uri="{FF2B5EF4-FFF2-40B4-BE49-F238E27FC236}">
              <a16:creationId xmlns:a16="http://schemas.microsoft.com/office/drawing/2014/main" id="{00000000-0008-0000-0A00-00008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79" name="Shape 12">
          <a:extLst>
            <a:ext uri="{FF2B5EF4-FFF2-40B4-BE49-F238E27FC236}">
              <a16:creationId xmlns:a16="http://schemas.microsoft.com/office/drawing/2014/main" id="{00000000-0008-0000-0A00-00008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0" name="Shape 12">
          <a:extLst>
            <a:ext uri="{FF2B5EF4-FFF2-40B4-BE49-F238E27FC236}">
              <a16:creationId xmlns:a16="http://schemas.microsoft.com/office/drawing/2014/main" id="{00000000-0008-0000-0A00-00008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1" name="Shape 12">
          <a:extLst>
            <a:ext uri="{FF2B5EF4-FFF2-40B4-BE49-F238E27FC236}">
              <a16:creationId xmlns:a16="http://schemas.microsoft.com/office/drawing/2014/main" id="{00000000-0008-0000-0A00-00008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182" name="Shape 12">
          <a:extLst>
            <a:ext uri="{FF2B5EF4-FFF2-40B4-BE49-F238E27FC236}">
              <a16:creationId xmlns:a16="http://schemas.microsoft.com/office/drawing/2014/main" id="{00000000-0008-0000-0A00-000086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3" name="Shape 11">
          <a:extLst>
            <a:ext uri="{FF2B5EF4-FFF2-40B4-BE49-F238E27FC236}">
              <a16:creationId xmlns:a16="http://schemas.microsoft.com/office/drawing/2014/main" id="{00000000-0008-0000-0A00-00008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4" name="Shape 11">
          <a:extLst>
            <a:ext uri="{FF2B5EF4-FFF2-40B4-BE49-F238E27FC236}">
              <a16:creationId xmlns:a16="http://schemas.microsoft.com/office/drawing/2014/main" id="{00000000-0008-0000-0A00-00008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5" name="Shape 11">
          <a:extLst>
            <a:ext uri="{FF2B5EF4-FFF2-40B4-BE49-F238E27FC236}">
              <a16:creationId xmlns:a16="http://schemas.microsoft.com/office/drawing/2014/main" id="{00000000-0008-0000-0A00-00008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6" name="Shape 11">
          <a:extLst>
            <a:ext uri="{FF2B5EF4-FFF2-40B4-BE49-F238E27FC236}">
              <a16:creationId xmlns:a16="http://schemas.microsoft.com/office/drawing/2014/main" id="{00000000-0008-0000-0A00-00008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7" name="Shape 11">
          <a:extLst>
            <a:ext uri="{FF2B5EF4-FFF2-40B4-BE49-F238E27FC236}">
              <a16:creationId xmlns:a16="http://schemas.microsoft.com/office/drawing/2014/main" id="{00000000-0008-0000-0A00-00008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8" name="Shape 11">
          <a:extLst>
            <a:ext uri="{FF2B5EF4-FFF2-40B4-BE49-F238E27FC236}">
              <a16:creationId xmlns:a16="http://schemas.microsoft.com/office/drawing/2014/main" id="{00000000-0008-0000-0A00-00008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189" name="Shape 11">
          <a:extLst>
            <a:ext uri="{FF2B5EF4-FFF2-40B4-BE49-F238E27FC236}">
              <a16:creationId xmlns:a16="http://schemas.microsoft.com/office/drawing/2014/main" id="{00000000-0008-0000-0A00-00008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0" name="Shape 5">
          <a:extLst>
            <a:ext uri="{FF2B5EF4-FFF2-40B4-BE49-F238E27FC236}">
              <a16:creationId xmlns:a16="http://schemas.microsoft.com/office/drawing/2014/main" id="{00000000-0008-0000-0A00-00008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1" name="Shape 5">
          <a:extLst>
            <a:ext uri="{FF2B5EF4-FFF2-40B4-BE49-F238E27FC236}">
              <a16:creationId xmlns:a16="http://schemas.microsoft.com/office/drawing/2014/main" id="{00000000-0008-0000-0A00-00008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2" name="Shape 5">
          <a:extLst>
            <a:ext uri="{FF2B5EF4-FFF2-40B4-BE49-F238E27FC236}">
              <a16:creationId xmlns:a16="http://schemas.microsoft.com/office/drawing/2014/main" id="{00000000-0008-0000-0A00-00009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3" name="Shape 5">
          <a:extLst>
            <a:ext uri="{FF2B5EF4-FFF2-40B4-BE49-F238E27FC236}">
              <a16:creationId xmlns:a16="http://schemas.microsoft.com/office/drawing/2014/main" id="{00000000-0008-0000-0A00-00009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4" name="Shape 6">
          <a:extLst>
            <a:ext uri="{FF2B5EF4-FFF2-40B4-BE49-F238E27FC236}">
              <a16:creationId xmlns:a16="http://schemas.microsoft.com/office/drawing/2014/main" id="{00000000-0008-0000-0A00-00009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5" name="Shape 6">
          <a:extLst>
            <a:ext uri="{FF2B5EF4-FFF2-40B4-BE49-F238E27FC236}">
              <a16:creationId xmlns:a16="http://schemas.microsoft.com/office/drawing/2014/main" id="{00000000-0008-0000-0A00-00009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6" name="Shape 6">
          <a:extLst>
            <a:ext uri="{FF2B5EF4-FFF2-40B4-BE49-F238E27FC236}">
              <a16:creationId xmlns:a16="http://schemas.microsoft.com/office/drawing/2014/main" id="{00000000-0008-0000-0A00-00009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197" name="Shape 6">
          <a:extLst>
            <a:ext uri="{FF2B5EF4-FFF2-40B4-BE49-F238E27FC236}">
              <a16:creationId xmlns:a16="http://schemas.microsoft.com/office/drawing/2014/main" id="{00000000-0008-0000-0A00-000095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8" name="Shape 5">
          <a:extLst>
            <a:ext uri="{FF2B5EF4-FFF2-40B4-BE49-F238E27FC236}">
              <a16:creationId xmlns:a16="http://schemas.microsoft.com/office/drawing/2014/main" id="{00000000-0008-0000-0A00-00009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199" name="Shape 5">
          <a:extLst>
            <a:ext uri="{FF2B5EF4-FFF2-40B4-BE49-F238E27FC236}">
              <a16:creationId xmlns:a16="http://schemas.microsoft.com/office/drawing/2014/main" id="{00000000-0008-0000-0A00-00009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0" name="Shape 5">
          <a:extLst>
            <a:ext uri="{FF2B5EF4-FFF2-40B4-BE49-F238E27FC236}">
              <a16:creationId xmlns:a16="http://schemas.microsoft.com/office/drawing/2014/main" id="{00000000-0008-0000-0A00-00009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1" name="Shape 5">
          <a:extLst>
            <a:ext uri="{FF2B5EF4-FFF2-40B4-BE49-F238E27FC236}">
              <a16:creationId xmlns:a16="http://schemas.microsoft.com/office/drawing/2014/main" id="{00000000-0008-0000-0A00-00009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2" name="Shape 5">
          <a:extLst>
            <a:ext uri="{FF2B5EF4-FFF2-40B4-BE49-F238E27FC236}">
              <a16:creationId xmlns:a16="http://schemas.microsoft.com/office/drawing/2014/main" id="{00000000-0008-0000-0A00-00009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3" name="Shape 5">
          <a:extLst>
            <a:ext uri="{FF2B5EF4-FFF2-40B4-BE49-F238E27FC236}">
              <a16:creationId xmlns:a16="http://schemas.microsoft.com/office/drawing/2014/main" id="{00000000-0008-0000-0A00-00009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04" name="Shape 5">
          <a:extLst>
            <a:ext uri="{FF2B5EF4-FFF2-40B4-BE49-F238E27FC236}">
              <a16:creationId xmlns:a16="http://schemas.microsoft.com/office/drawing/2014/main" id="{00000000-0008-0000-0A00-00009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5" name="Shape 11">
          <a:extLst>
            <a:ext uri="{FF2B5EF4-FFF2-40B4-BE49-F238E27FC236}">
              <a16:creationId xmlns:a16="http://schemas.microsoft.com/office/drawing/2014/main" id="{00000000-0008-0000-0A00-00009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6" name="Shape 11">
          <a:extLst>
            <a:ext uri="{FF2B5EF4-FFF2-40B4-BE49-F238E27FC236}">
              <a16:creationId xmlns:a16="http://schemas.microsoft.com/office/drawing/2014/main" id="{00000000-0008-0000-0A00-00009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7" name="Shape 11">
          <a:extLst>
            <a:ext uri="{FF2B5EF4-FFF2-40B4-BE49-F238E27FC236}">
              <a16:creationId xmlns:a16="http://schemas.microsoft.com/office/drawing/2014/main" id="{00000000-0008-0000-0A00-00009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08" name="Shape 11">
          <a:extLst>
            <a:ext uri="{FF2B5EF4-FFF2-40B4-BE49-F238E27FC236}">
              <a16:creationId xmlns:a16="http://schemas.microsoft.com/office/drawing/2014/main" id="{00000000-0008-0000-0A00-0000A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09" name="Shape 12">
          <a:extLst>
            <a:ext uri="{FF2B5EF4-FFF2-40B4-BE49-F238E27FC236}">
              <a16:creationId xmlns:a16="http://schemas.microsoft.com/office/drawing/2014/main" id="{00000000-0008-0000-0A00-0000A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0" name="Shape 12">
          <a:extLst>
            <a:ext uri="{FF2B5EF4-FFF2-40B4-BE49-F238E27FC236}">
              <a16:creationId xmlns:a16="http://schemas.microsoft.com/office/drawing/2014/main" id="{00000000-0008-0000-0A00-0000A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1" name="Shape 12">
          <a:extLst>
            <a:ext uri="{FF2B5EF4-FFF2-40B4-BE49-F238E27FC236}">
              <a16:creationId xmlns:a16="http://schemas.microsoft.com/office/drawing/2014/main" id="{00000000-0008-0000-0A00-0000A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56</xdr:row>
      <xdr:rowOff>0</xdr:rowOff>
    </xdr:from>
    <xdr:ext cx="247650" cy="323850"/>
    <xdr:sp macro="" textlink="">
      <xdr:nvSpPr>
        <xdr:cNvPr id="2212" name="Shape 12">
          <a:extLst>
            <a:ext uri="{FF2B5EF4-FFF2-40B4-BE49-F238E27FC236}">
              <a16:creationId xmlns:a16="http://schemas.microsoft.com/office/drawing/2014/main" id="{00000000-0008-0000-0A00-0000A4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3" name="Shape 11">
          <a:extLst>
            <a:ext uri="{FF2B5EF4-FFF2-40B4-BE49-F238E27FC236}">
              <a16:creationId xmlns:a16="http://schemas.microsoft.com/office/drawing/2014/main" id="{00000000-0008-0000-0A00-0000A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4" name="Shape 11">
          <a:extLst>
            <a:ext uri="{FF2B5EF4-FFF2-40B4-BE49-F238E27FC236}">
              <a16:creationId xmlns:a16="http://schemas.microsoft.com/office/drawing/2014/main" id="{00000000-0008-0000-0A00-0000A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5" name="Shape 11">
          <a:extLst>
            <a:ext uri="{FF2B5EF4-FFF2-40B4-BE49-F238E27FC236}">
              <a16:creationId xmlns:a16="http://schemas.microsoft.com/office/drawing/2014/main" id="{00000000-0008-0000-0A00-0000A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6" name="Shape 11">
          <a:extLst>
            <a:ext uri="{FF2B5EF4-FFF2-40B4-BE49-F238E27FC236}">
              <a16:creationId xmlns:a16="http://schemas.microsoft.com/office/drawing/2014/main" id="{00000000-0008-0000-0A00-0000A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7" name="Shape 11">
          <a:extLst>
            <a:ext uri="{FF2B5EF4-FFF2-40B4-BE49-F238E27FC236}">
              <a16:creationId xmlns:a16="http://schemas.microsoft.com/office/drawing/2014/main" id="{00000000-0008-0000-0A00-0000A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8" name="Shape 11">
          <a:extLst>
            <a:ext uri="{FF2B5EF4-FFF2-40B4-BE49-F238E27FC236}">
              <a16:creationId xmlns:a16="http://schemas.microsoft.com/office/drawing/2014/main" id="{00000000-0008-0000-0A00-0000A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0</xdr:rowOff>
    </xdr:from>
    <xdr:ext cx="257175" cy="323850"/>
    <xdr:sp macro="" textlink="">
      <xdr:nvSpPr>
        <xdr:cNvPr id="2219" name="Shape 11">
          <a:extLst>
            <a:ext uri="{FF2B5EF4-FFF2-40B4-BE49-F238E27FC236}">
              <a16:creationId xmlns:a16="http://schemas.microsoft.com/office/drawing/2014/main" id="{00000000-0008-0000-0A00-0000A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0" name="Shape 5">
          <a:extLst>
            <a:ext uri="{FF2B5EF4-FFF2-40B4-BE49-F238E27FC236}">
              <a16:creationId xmlns:a16="http://schemas.microsoft.com/office/drawing/2014/main" id="{00000000-0008-0000-0A00-0000A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1" name="Shape 5">
          <a:extLst>
            <a:ext uri="{FF2B5EF4-FFF2-40B4-BE49-F238E27FC236}">
              <a16:creationId xmlns:a16="http://schemas.microsoft.com/office/drawing/2014/main" id="{00000000-0008-0000-0A00-0000A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2" name="Shape 5">
          <a:extLst>
            <a:ext uri="{FF2B5EF4-FFF2-40B4-BE49-F238E27FC236}">
              <a16:creationId xmlns:a16="http://schemas.microsoft.com/office/drawing/2014/main" id="{00000000-0008-0000-0A00-0000A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3" name="Shape 5">
          <a:extLst>
            <a:ext uri="{FF2B5EF4-FFF2-40B4-BE49-F238E27FC236}">
              <a16:creationId xmlns:a16="http://schemas.microsoft.com/office/drawing/2014/main" id="{00000000-0008-0000-0A00-0000A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4" name="Shape 6">
          <a:extLst>
            <a:ext uri="{FF2B5EF4-FFF2-40B4-BE49-F238E27FC236}">
              <a16:creationId xmlns:a16="http://schemas.microsoft.com/office/drawing/2014/main" id="{00000000-0008-0000-0A00-0000B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5" name="Shape 6">
          <a:extLst>
            <a:ext uri="{FF2B5EF4-FFF2-40B4-BE49-F238E27FC236}">
              <a16:creationId xmlns:a16="http://schemas.microsoft.com/office/drawing/2014/main" id="{00000000-0008-0000-0A00-0000B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6" name="Shape 6">
          <a:extLst>
            <a:ext uri="{FF2B5EF4-FFF2-40B4-BE49-F238E27FC236}">
              <a16:creationId xmlns:a16="http://schemas.microsoft.com/office/drawing/2014/main" id="{00000000-0008-0000-0A00-0000B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27" name="Shape 6">
          <a:extLst>
            <a:ext uri="{FF2B5EF4-FFF2-40B4-BE49-F238E27FC236}">
              <a16:creationId xmlns:a16="http://schemas.microsoft.com/office/drawing/2014/main" id="{00000000-0008-0000-0A00-0000B3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8" name="Shape 5">
          <a:extLst>
            <a:ext uri="{FF2B5EF4-FFF2-40B4-BE49-F238E27FC236}">
              <a16:creationId xmlns:a16="http://schemas.microsoft.com/office/drawing/2014/main" id="{00000000-0008-0000-0A00-0000B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29" name="Shape 5">
          <a:extLst>
            <a:ext uri="{FF2B5EF4-FFF2-40B4-BE49-F238E27FC236}">
              <a16:creationId xmlns:a16="http://schemas.microsoft.com/office/drawing/2014/main" id="{00000000-0008-0000-0A00-0000B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0" name="Shape 5">
          <a:extLst>
            <a:ext uri="{FF2B5EF4-FFF2-40B4-BE49-F238E27FC236}">
              <a16:creationId xmlns:a16="http://schemas.microsoft.com/office/drawing/2014/main" id="{00000000-0008-0000-0A00-0000B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1" name="Shape 5">
          <a:extLst>
            <a:ext uri="{FF2B5EF4-FFF2-40B4-BE49-F238E27FC236}">
              <a16:creationId xmlns:a16="http://schemas.microsoft.com/office/drawing/2014/main" id="{00000000-0008-0000-0A00-0000B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2" name="Shape 5">
          <a:extLst>
            <a:ext uri="{FF2B5EF4-FFF2-40B4-BE49-F238E27FC236}">
              <a16:creationId xmlns:a16="http://schemas.microsoft.com/office/drawing/2014/main" id="{00000000-0008-0000-0A00-0000B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3" name="Shape 5">
          <a:extLst>
            <a:ext uri="{FF2B5EF4-FFF2-40B4-BE49-F238E27FC236}">
              <a16:creationId xmlns:a16="http://schemas.microsoft.com/office/drawing/2014/main" id="{00000000-0008-0000-0A00-0000B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4" name="Shape 5">
          <a:extLst>
            <a:ext uri="{FF2B5EF4-FFF2-40B4-BE49-F238E27FC236}">
              <a16:creationId xmlns:a16="http://schemas.microsoft.com/office/drawing/2014/main" id="{00000000-0008-0000-0A00-0000B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5" name="Shape 11">
          <a:extLst>
            <a:ext uri="{FF2B5EF4-FFF2-40B4-BE49-F238E27FC236}">
              <a16:creationId xmlns:a16="http://schemas.microsoft.com/office/drawing/2014/main" id="{00000000-0008-0000-0A00-0000B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6" name="Shape 11">
          <a:extLst>
            <a:ext uri="{FF2B5EF4-FFF2-40B4-BE49-F238E27FC236}">
              <a16:creationId xmlns:a16="http://schemas.microsoft.com/office/drawing/2014/main" id="{00000000-0008-0000-0A00-0000B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7" name="Shape 11">
          <a:extLst>
            <a:ext uri="{FF2B5EF4-FFF2-40B4-BE49-F238E27FC236}">
              <a16:creationId xmlns:a16="http://schemas.microsoft.com/office/drawing/2014/main" id="{00000000-0008-0000-0A00-0000B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38" name="Shape 11">
          <a:extLst>
            <a:ext uri="{FF2B5EF4-FFF2-40B4-BE49-F238E27FC236}">
              <a16:creationId xmlns:a16="http://schemas.microsoft.com/office/drawing/2014/main" id="{00000000-0008-0000-0A00-0000BE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39" name="Shape 12">
          <a:extLst>
            <a:ext uri="{FF2B5EF4-FFF2-40B4-BE49-F238E27FC236}">
              <a16:creationId xmlns:a16="http://schemas.microsoft.com/office/drawing/2014/main" id="{00000000-0008-0000-0A00-0000B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0" name="Shape 12">
          <a:extLst>
            <a:ext uri="{FF2B5EF4-FFF2-40B4-BE49-F238E27FC236}">
              <a16:creationId xmlns:a16="http://schemas.microsoft.com/office/drawing/2014/main" id="{00000000-0008-0000-0A00-0000C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1" name="Shape 12">
          <a:extLst>
            <a:ext uri="{FF2B5EF4-FFF2-40B4-BE49-F238E27FC236}">
              <a16:creationId xmlns:a16="http://schemas.microsoft.com/office/drawing/2014/main" id="{00000000-0008-0000-0A00-0000C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42" name="Shape 12">
          <a:extLst>
            <a:ext uri="{FF2B5EF4-FFF2-40B4-BE49-F238E27FC236}">
              <a16:creationId xmlns:a16="http://schemas.microsoft.com/office/drawing/2014/main" id="{00000000-0008-0000-0A00-0000C2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3" name="Shape 11">
          <a:extLst>
            <a:ext uri="{FF2B5EF4-FFF2-40B4-BE49-F238E27FC236}">
              <a16:creationId xmlns:a16="http://schemas.microsoft.com/office/drawing/2014/main" id="{00000000-0008-0000-0A00-0000C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4" name="Shape 11">
          <a:extLst>
            <a:ext uri="{FF2B5EF4-FFF2-40B4-BE49-F238E27FC236}">
              <a16:creationId xmlns:a16="http://schemas.microsoft.com/office/drawing/2014/main" id="{00000000-0008-0000-0A00-0000C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5" name="Shape 11">
          <a:extLst>
            <a:ext uri="{FF2B5EF4-FFF2-40B4-BE49-F238E27FC236}">
              <a16:creationId xmlns:a16="http://schemas.microsoft.com/office/drawing/2014/main" id="{00000000-0008-0000-0A00-0000C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6" name="Shape 11">
          <a:extLst>
            <a:ext uri="{FF2B5EF4-FFF2-40B4-BE49-F238E27FC236}">
              <a16:creationId xmlns:a16="http://schemas.microsoft.com/office/drawing/2014/main" id="{00000000-0008-0000-0A00-0000C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7" name="Shape 11">
          <a:extLst>
            <a:ext uri="{FF2B5EF4-FFF2-40B4-BE49-F238E27FC236}">
              <a16:creationId xmlns:a16="http://schemas.microsoft.com/office/drawing/2014/main" id="{00000000-0008-0000-0A00-0000C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8" name="Shape 11">
          <a:extLst>
            <a:ext uri="{FF2B5EF4-FFF2-40B4-BE49-F238E27FC236}">
              <a16:creationId xmlns:a16="http://schemas.microsoft.com/office/drawing/2014/main" id="{00000000-0008-0000-0A00-0000C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49" name="Shape 11">
          <a:extLst>
            <a:ext uri="{FF2B5EF4-FFF2-40B4-BE49-F238E27FC236}">
              <a16:creationId xmlns:a16="http://schemas.microsoft.com/office/drawing/2014/main" id="{00000000-0008-0000-0A00-0000C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0" name="Shape 5">
          <a:extLst>
            <a:ext uri="{FF2B5EF4-FFF2-40B4-BE49-F238E27FC236}">
              <a16:creationId xmlns:a16="http://schemas.microsoft.com/office/drawing/2014/main" id="{00000000-0008-0000-0A00-0000C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1" name="Shape 5">
          <a:extLst>
            <a:ext uri="{FF2B5EF4-FFF2-40B4-BE49-F238E27FC236}">
              <a16:creationId xmlns:a16="http://schemas.microsoft.com/office/drawing/2014/main" id="{00000000-0008-0000-0A00-0000C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2" name="Shape 5">
          <a:extLst>
            <a:ext uri="{FF2B5EF4-FFF2-40B4-BE49-F238E27FC236}">
              <a16:creationId xmlns:a16="http://schemas.microsoft.com/office/drawing/2014/main" id="{00000000-0008-0000-0A00-0000C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3" name="Shape 5">
          <a:extLst>
            <a:ext uri="{FF2B5EF4-FFF2-40B4-BE49-F238E27FC236}">
              <a16:creationId xmlns:a16="http://schemas.microsoft.com/office/drawing/2014/main" id="{00000000-0008-0000-0A00-0000CD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4" name="Shape 6">
          <a:extLst>
            <a:ext uri="{FF2B5EF4-FFF2-40B4-BE49-F238E27FC236}">
              <a16:creationId xmlns:a16="http://schemas.microsoft.com/office/drawing/2014/main" id="{00000000-0008-0000-0A00-0000C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5" name="Shape 6">
          <a:extLst>
            <a:ext uri="{FF2B5EF4-FFF2-40B4-BE49-F238E27FC236}">
              <a16:creationId xmlns:a16="http://schemas.microsoft.com/office/drawing/2014/main" id="{00000000-0008-0000-0A00-0000C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6" name="Shape 6">
          <a:extLst>
            <a:ext uri="{FF2B5EF4-FFF2-40B4-BE49-F238E27FC236}">
              <a16:creationId xmlns:a16="http://schemas.microsoft.com/office/drawing/2014/main" id="{00000000-0008-0000-0A00-0000D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57" name="Shape 6">
          <a:extLst>
            <a:ext uri="{FF2B5EF4-FFF2-40B4-BE49-F238E27FC236}">
              <a16:creationId xmlns:a16="http://schemas.microsoft.com/office/drawing/2014/main" id="{00000000-0008-0000-0A00-0000D1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8" name="Shape 5">
          <a:extLst>
            <a:ext uri="{FF2B5EF4-FFF2-40B4-BE49-F238E27FC236}">
              <a16:creationId xmlns:a16="http://schemas.microsoft.com/office/drawing/2014/main" id="{00000000-0008-0000-0A00-0000D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59" name="Shape 5">
          <a:extLst>
            <a:ext uri="{FF2B5EF4-FFF2-40B4-BE49-F238E27FC236}">
              <a16:creationId xmlns:a16="http://schemas.microsoft.com/office/drawing/2014/main" id="{00000000-0008-0000-0A00-0000D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0" name="Shape 5">
          <a:extLst>
            <a:ext uri="{FF2B5EF4-FFF2-40B4-BE49-F238E27FC236}">
              <a16:creationId xmlns:a16="http://schemas.microsoft.com/office/drawing/2014/main" id="{00000000-0008-0000-0A00-0000D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1" name="Shape 5">
          <a:extLst>
            <a:ext uri="{FF2B5EF4-FFF2-40B4-BE49-F238E27FC236}">
              <a16:creationId xmlns:a16="http://schemas.microsoft.com/office/drawing/2014/main" id="{00000000-0008-0000-0A00-0000D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2" name="Shape 5">
          <a:extLst>
            <a:ext uri="{FF2B5EF4-FFF2-40B4-BE49-F238E27FC236}">
              <a16:creationId xmlns:a16="http://schemas.microsoft.com/office/drawing/2014/main" id="{00000000-0008-0000-0A00-0000D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3" name="Shape 5">
          <a:extLst>
            <a:ext uri="{FF2B5EF4-FFF2-40B4-BE49-F238E27FC236}">
              <a16:creationId xmlns:a16="http://schemas.microsoft.com/office/drawing/2014/main" id="{00000000-0008-0000-0A00-0000D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64" name="Shape 5">
          <a:extLst>
            <a:ext uri="{FF2B5EF4-FFF2-40B4-BE49-F238E27FC236}">
              <a16:creationId xmlns:a16="http://schemas.microsoft.com/office/drawing/2014/main" id="{00000000-0008-0000-0A00-0000D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5" name="Shape 11">
          <a:extLst>
            <a:ext uri="{FF2B5EF4-FFF2-40B4-BE49-F238E27FC236}">
              <a16:creationId xmlns:a16="http://schemas.microsoft.com/office/drawing/2014/main" id="{00000000-0008-0000-0A00-0000D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6" name="Shape 11">
          <a:extLst>
            <a:ext uri="{FF2B5EF4-FFF2-40B4-BE49-F238E27FC236}">
              <a16:creationId xmlns:a16="http://schemas.microsoft.com/office/drawing/2014/main" id="{00000000-0008-0000-0A00-0000D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7" name="Shape 11">
          <a:extLst>
            <a:ext uri="{FF2B5EF4-FFF2-40B4-BE49-F238E27FC236}">
              <a16:creationId xmlns:a16="http://schemas.microsoft.com/office/drawing/2014/main" id="{00000000-0008-0000-0A00-0000D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68" name="Shape 11">
          <a:extLst>
            <a:ext uri="{FF2B5EF4-FFF2-40B4-BE49-F238E27FC236}">
              <a16:creationId xmlns:a16="http://schemas.microsoft.com/office/drawing/2014/main" id="{00000000-0008-0000-0A00-0000DC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69" name="Shape 12">
          <a:extLst>
            <a:ext uri="{FF2B5EF4-FFF2-40B4-BE49-F238E27FC236}">
              <a16:creationId xmlns:a16="http://schemas.microsoft.com/office/drawing/2014/main" id="{00000000-0008-0000-0A00-0000D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0" name="Shape 12">
          <a:extLst>
            <a:ext uri="{FF2B5EF4-FFF2-40B4-BE49-F238E27FC236}">
              <a16:creationId xmlns:a16="http://schemas.microsoft.com/office/drawing/2014/main" id="{00000000-0008-0000-0A00-0000D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1" name="Shape 12">
          <a:extLst>
            <a:ext uri="{FF2B5EF4-FFF2-40B4-BE49-F238E27FC236}">
              <a16:creationId xmlns:a16="http://schemas.microsoft.com/office/drawing/2014/main" id="{00000000-0008-0000-0A00-0000D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0</xdr:rowOff>
    </xdr:from>
    <xdr:ext cx="247650" cy="323850"/>
    <xdr:sp macro="" textlink="">
      <xdr:nvSpPr>
        <xdr:cNvPr id="2272" name="Shape 12">
          <a:extLst>
            <a:ext uri="{FF2B5EF4-FFF2-40B4-BE49-F238E27FC236}">
              <a16:creationId xmlns:a16="http://schemas.microsoft.com/office/drawing/2014/main" id="{00000000-0008-0000-0A00-0000E0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3" name="Shape 11">
          <a:extLst>
            <a:ext uri="{FF2B5EF4-FFF2-40B4-BE49-F238E27FC236}">
              <a16:creationId xmlns:a16="http://schemas.microsoft.com/office/drawing/2014/main" id="{00000000-0008-0000-0A00-0000E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4" name="Shape 11">
          <a:extLst>
            <a:ext uri="{FF2B5EF4-FFF2-40B4-BE49-F238E27FC236}">
              <a16:creationId xmlns:a16="http://schemas.microsoft.com/office/drawing/2014/main" id="{00000000-0008-0000-0A00-0000E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5" name="Shape 11">
          <a:extLst>
            <a:ext uri="{FF2B5EF4-FFF2-40B4-BE49-F238E27FC236}">
              <a16:creationId xmlns:a16="http://schemas.microsoft.com/office/drawing/2014/main" id="{00000000-0008-0000-0A00-0000E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6" name="Shape 11">
          <a:extLst>
            <a:ext uri="{FF2B5EF4-FFF2-40B4-BE49-F238E27FC236}">
              <a16:creationId xmlns:a16="http://schemas.microsoft.com/office/drawing/2014/main" id="{00000000-0008-0000-0A00-0000E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7" name="Shape 11">
          <a:extLst>
            <a:ext uri="{FF2B5EF4-FFF2-40B4-BE49-F238E27FC236}">
              <a16:creationId xmlns:a16="http://schemas.microsoft.com/office/drawing/2014/main" id="{00000000-0008-0000-0A00-0000E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8" name="Shape 11">
          <a:extLst>
            <a:ext uri="{FF2B5EF4-FFF2-40B4-BE49-F238E27FC236}">
              <a16:creationId xmlns:a16="http://schemas.microsoft.com/office/drawing/2014/main" id="{00000000-0008-0000-0A00-0000E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57</xdr:row>
      <xdr:rowOff>0</xdr:rowOff>
    </xdr:from>
    <xdr:ext cx="257175" cy="323850"/>
    <xdr:sp macro="" textlink="">
      <xdr:nvSpPr>
        <xdr:cNvPr id="2279" name="Shape 11">
          <a:extLst>
            <a:ext uri="{FF2B5EF4-FFF2-40B4-BE49-F238E27FC236}">
              <a16:creationId xmlns:a16="http://schemas.microsoft.com/office/drawing/2014/main" id="{00000000-0008-0000-0A00-0000E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0" name="Shape 5">
          <a:extLst>
            <a:ext uri="{FF2B5EF4-FFF2-40B4-BE49-F238E27FC236}">
              <a16:creationId xmlns:a16="http://schemas.microsoft.com/office/drawing/2014/main" id="{00000000-0008-0000-0A00-0000E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1" name="Shape 5">
          <a:extLst>
            <a:ext uri="{FF2B5EF4-FFF2-40B4-BE49-F238E27FC236}">
              <a16:creationId xmlns:a16="http://schemas.microsoft.com/office/drawing/2014/main" id="{00000000-0008-0000-0A00-0000E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2" name="Shape 5">
          <a:extLst>
            <a:ext uri="{FF2B5EF4-FFF2-40B4-BE49-F238E27FC236}">
              <a16:creationId xmlns:a16="http://schemas.microsoft.com/office/drawing/2014/main" id="{00000000-0008-0000-0A00-0000E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3" name="Shape 5">
          <a:extLst>
            <a:ext uri="{FF2B5EF4-FFF2-40B4-BE49-F238E27FC236}">
              <a16:creationId xmlns:a16="http://schemas.microsoft.com/office/drawing/2014/main" id="{00000000-0008-0000-0A00-0000EB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4" name="Shape 6">
          <a:extLst>
            <a:ext uri="{FF2B5EF4-FFF2-40B4-BE49-F238E27FC236}">
              <a16:creationId xmlns:a16="http://schemas.microsoft.com/office/drawing/2014/main" id="{00000000-0008-0000-0A00-0000E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5" name="Shape 6">
          <a:extLst>
            <a:ext uri="{FF2B5EF4-FFF2-40B4-BE49-F238E27FC236}">
              <a16:creationId xmlns:a16="http://schemas.microsoft.com/office/drawing/2014/main" id="{00000000-0008-0000-0A00-0000E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6" name="Shape 6">
          <a:extLst>
            <a:ext uri="{FF2B5EF4-FFF2-40B4-BE49-F238E27FC236}">
              <a16:creationId xmlns:a16="http://schemas.microsoft.com/office/drawing/2014/main" id="{00000000-0008-0000-0A00-0000E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87" name="Shape 6">
          <a:extLst>
            <a:ext uri="{FF2B5EF4-FFF2-40B4-BE49-F238E27FC236}">
              <a16:creationId xmlns:a16="http://schemas.microsoft.com/office/drawing/2014/main" id="{00000000-0008-0000-0A00-0000EF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8" name="Shape 5">
          <a:extLst>
            <a:ext uri="{FF2B5EF4-FFF2-40B4-BE49-F238E27FC236}">
              <a16:creationId xmlns:a16="http://schemas.microsoft.com/office/drawing/2014/main" id="{00000000-0008-0000-0A00-0000F0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89" name="Shape 5">
          <a:extLst>
            <a:ext uri="{FF2B5EF4-FFF2-40B4-BE49-F238E27FC236}">
              <a16:creationId xmlns:a16="http://schemas.microsoft.com/office/drawing/2014/main" id="{00000000-0008-0000-0A00-0000F1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0" name="Shape 5">
          <a:extLst>
            <a:ext uri="{FF2B5EF4-FFF2-40B4-BE49-F238E27FC236}">
              <a16:creationId xmlns:a16="http://schemas.microsoft.com/office/drawing/2014/main" id="{00000000-0008-0000-0A00-0000F2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1" name="Shape 5">
          <a:extLst>
            <a:ext uri="{FF2B5EF4-FFF2-40B4-BE49-F238E27FC236}">
              <a16:creationId xmlns:a16="http://schemas.microsoft.com/office/drawing/2014/main" id="{00000000-0008-0000-0A00-0000F3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2" name="Shape 5">
          <a:extLst>
            <a:ext uri="{FF2B5EF4-FFF2-40B4-BE49-F238E27FC236}">
              <a16:creationId xmlns:a16="http://schemas.microsoft.com/office/drawing/2014/main" id="{00000000-0008-0000-0A00-0000F4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3" name="Shape 5">
          <a:extLst>
            <a:ext uri="{FF2B5EF4-FFF2-40B4-BE49-F238E27FC236}">
              <a16:creationId xmlns:a16="http://schemas.microsoft.com/office/drawing/2014/main" id="{00000000-0008-0000-0A00-0000F5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4" name="Shape 5">
          <a:extLst>
            <a:ext uri="{FF2B5EF4-FFF2-40B4-BE49-F238E27FC236}">
              <a16:creationId xmlns:a16="http://schemas.microsoft.com/office/drawing/2014/main" id="{00000000-0008-0000-0A00-0000F6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5" name="Shape 11">
          <a:extLst>
            <a:ext uri="{FF2B5EF4-FFF2-40B4-BE49-F238E27FC236}">
              <a16:creationId xmlns:a16="http://schemas.microsoft.com/office/drawing/2014/main" id="{00000000-0008-0000-0A00-0000F7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6" name="Shape 11">
          <a:extLst>
            <a:ext uri="{FF2B5EF4-FFF2-40B4-BE49-F238E27FC236}">
              <a16:creationId xmlns:a16="http://schemas.microsoft.com/office/drawing/2014/main" id="{00000000-0008-0000-0A00-0000F8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7" name="Shape 11">
          <a:extLst>
            <a:ext uri="{FF2B5EF4-FFF2-40B4-BE49-F238E27FC236}">
              <a16:creationId xmlns:a16="http://schemas.microsoft.com/office/drawing/2014/main" id="{00000000-0008-0000-0A00-0000F9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298" name="Shape 11">
          <a:extLst>
            <a:ext uri="{FF2B5EF4-FFF2-40B4-BE49-F238E27FC236}">
              <a16:creationId xmlns:a16="http://schemas.microsoft.com/office/drawing/2014/main" id="{00000000-0008-0000-0A00-0000FA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299" name="Shape 12">
          <a:extLst>
            <a:ext uri="{FF2B5EF4-FFF2-40B4-BE49-F238E27FC236}">
              <a16:creationId xmlns:a16="http://schemas.microsoft.com/office/drawing/2014/main" id="{00000000-0008-0000-0A00-0000FB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0" name="Shape 12">
          <a:extLst>
            <a:ext uri="{FF2B5EF4-FFF2-40B4-BE49-F238E27FC236}">
              <a16:creationId xmlns:a16="http://schemas.microsoft.com/office/drawing/2014/main" id="{00000000-0008-0000-0A00-0000FC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1" name="Shape 12">
          <a:extLst>
            <a:ext uri="{FF2B5EF4-FFF2-40B4-BE49-F238E27FC236}">
              <a16:creationId xmlns:a16="http://schemas.microsoft.com/office/drawing/2014/main" id="{00000000-0008-0000-0A00-0000FD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02" name="Shape 12">
          <a:extLst>
            <a:ext uri="{FF2B5EF4-FFF2-40B4-BE49-F238E27FC236}">
              <a16:creationId xmlns:a16="http://schemas.microsoft.com/office/drawing/2014/main" id="{00000000-0008-0000-0A00-0000FE08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3" name="Shape 11">
          <a:extLst>
            <a:ext uri="{FF2B5EF4-FFF2-40B4-BE49-F238E27FC236}">
              <a16:creationId xmlns:a16="http://schemas.microsoft.com/office/drawing/2014/main" id="{00000000-0008-0000-0A00-0000FF08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4" name="Shape 11">
          <a:extLst>
            <a:ext uri="{FF2B5EF4-FFF2-40B4-BE49-F238E27FC236}">
              <a16:creationId xmlns:a16="http://schemas.microsoft.com/office/drawing/2014/main" id="{00000000-0008-0000-0A00-00000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5" name="Shape 11">
          <a:extLst>
            <a:ext uri="{FF2B5EF4-FFF2-40B4-BE49-F238E27FC236}">
              <a16:creationId xmlns:a16="http://schemas.microsoft.com/office/drawing/2014/main" id="{00000000-0008-0000-0A00-00000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6" name="Shape 11">
          <a:extLst>
            <a:ext uri="{FF2B5EF4-FFF2-40B4-BE49-F238E27FC236}">
              <a16:creationId xmlns:a16="http://schemas.microsoft.com/office/drawing/2014/main" id="{00000000-0008-0000-0A00-00000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7" name="Shape 11">
          <a:extLst>
            <a:ext uri="{FF2B5EF4-FFF2-40B4-BE49-F238E27FC236}">
              <a16:creationId xmlns:a16="http://schemas.microsoft.com/office/drawing/2014/main" id="{00000000-0008-0000-0A00-00000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8" name="Shape 11">
          <a:extLst>
            <a:ext uri="{FF2B5EF4-FFF2-40B4-BE49-F238E27FC236}">
              <a16:creationId xmlns:a16="http://schemas.microsoft.com/office/drawing/2014/main" id="{00000000-0008-0000-0A00-00000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09" name="Shape 11">
          <a:extLst>
            <a:ext uri="{FF2B5EF4-FFF2-40B4-BE49-F238E27FC236}">
              <a16:creationId xmlns:a16="http://schemas.microsoft.com/office/drawing/2014/main" id="{00000000-0008-0000-0A00-00000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0" name="Shape 5">
          <a:extLst>
            <a:ext uri="{FF2B5EF4-FFF2-40B4-BE49-F238E27FC236}">
              <a16:creationId xmlns:a16="http://schemas.microsoft.com/office/drawing/2014/main" id="{00000000-0008-0000-0A00-00000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1" name="Shape 5">
          <a:extLst>
            <a:ext uri="{FF2B5EF4-FFF2-40B4-BE49-F238E27FC236}">
              <a16:creationId xmlns:a16="http://schemas.microsoft.com/office/drawing/2014/main" id="{00000000-0008-0000-0A00-00000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2" name="Shape 5">
          <a:extLst>
            <a:ext uri="{FF2B5EF4-FFF2-40B4-BE49-F238E27FC236}">
              <a16:creationId xmlns:a16="http://schemas.microsoft.com/office/drawing/2014/main" id="{00000000-0008-0000-0A00-00000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3" name="Shape 5">
          <a:extLst>
            <a:ext uri="{FF2B5EF4-FFF2-40B4-BE49-F238E27FC236}">
              <a16:creationId xmlns:a16="http://schemas.microsoft.com/office/drawing/2014/main" id="{00000000-0008-0000-0A00-00000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4" name="Shape 6">
          <a:extLst>
            <a:ext uri="{FF2B5EF4-FFF2-40B4-BE49-F238E27FC236}">
              <a16:creationId xmlns:a16="http://schemas.microsoft.com/office/drawing/2014/main" id="{00000000-0008-0000-0A00-00000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5" name="Shape 6">
          <a:extLst>
            <a:ext uri="{FF2B5EF4-FFF2-40B4-BE49-F238E27FC236}">
              <a16:creationId xmlns:a16="http://schemas.microsoft.com/office/drawing/2014/main" id="{00000000-0008-0000-0A00-00000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6" name="Shape 6">
          <a:extLst>
            <a:ext uri="{FF2B5EF4-FFF2-40B4-BE49-F238E27FC236}">
              <a16:creationId xmlns:a16="http://schemas.microsoft.com/office/drawing/2014/main" id="{00000000-0008-0000-0A00-00000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17" name="Shape 6">
          <a:extLst>
            <a:ext uri="{FF2B5EF4-FFF2-40B4-BE49-F238E27FC236}">
              <a16:creationId xmlns:a16="http://schemas.microsoft.com/office/drawing/2014/main" id="{00000000-0008-0000-0A00-00000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8" name="Shape 5">
          <a:extLst>
            <a:ext uri="{FF2B5EF4-FFF2-40B4-BE49-F238E27FC236}">
              <a16:creationId xmlns:a16="http://schemas.microsoft.com/office/drawing/2014/main" id="{00000000-0008-0000-0A00-00000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19" name="Shape 5">
          <a:extLst>
            <a:ext uri="{FF2B5EF4-FFF2-40B4-BE49-F238E27FC236}">
              <a16:creationId xmlns:a16="http://schemas.microsoft.com/office/drawing/2014/main" id="{00000000-0008-0000-0A00-00000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0" name="Shape 5">
          <a:extLst>
            <a:ext uri="{FF2B5EF4-FFF2-40B4-BE49-F238E27FC236}">
              <a16:creationId xmlns:a16="http://schemas.microsoft.com/office/drawing/2014/main" id="{00000000-0008-0000-0A00-00001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1" name="Shape 5">
          <a:extLst>
            <a:ext uri="{FF2B5EF4-FFF2-40B4-BE49-F238E27FC236}">
              <a16:creationId xmlns:a16="http://schemas.microsoft.com/office/drawing/2014/main" id="{00000000-0008-0000-0A00-00001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2" name="Shape 5">
          <a:extLst>
            <a:ext uri="{FF2B5EF4-FFF2-40B4-BE49-F238E27FC236}">
              <a16:creationId xmlns:a16="http://schemas.microsoft.com/office/drawing/2014/main" id="{00000000-0008-0000-0A00-00001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3" name="Shape 5">
          <a:extLst>
            <a:ext uri="{FF2B5EF4-FFF2-40B4-BE49-F238E27FC236}">
              <a16:creationId xmlns:a16="http://schemas.microsoft.com/office/drawing/2014/main" id="{00000000-0008-0000-0A00-00001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24" name="Shape 5">
          <a:extLst>
            <a:ext uri="{FF2B5EF4-FFF2-40B4-BE49-F238E27FC236}">
              <a16:creationId xmlns:a16="http://schemas.microsoft.com/office/drawing/2014/main" id="{00000000-0008-0000-0A00-00001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5" name="Shape 11">
          <a:extLst>
            <a:ext uri="{FF2B5EF4-FFF2-40B4-BE49-F238E27FC236}">
              <a16:creationId xmlns:a16="http://schemas.microsoft.com/office/drawing/2014/main" id="{00000000-0008-0000-0A00-00001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6" name="Shape 11">
          <a:extLst>
            <a:ext uri="{FF2B5EF4-FFF2-40B4-BE49-F238E27FC236}">
              <a16:creationId xmlns:a16="http://schemas.microsoft.com/office/drawing/2014/main" id="{00000000-0008-0000-0A00-00001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7" name="Shape 11">
          <a:extLst>
            <a:ext uri="{FF2B5EF4-FFF2-40B4-BE49-F238E27FC236}">
              <a16:creationId xmlns:a16="http://schemas.microsoft.com/office/drawing/2014/main" id="{00000000-0008-0000-0A00-00001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28" name="Shape 11">
          <a:extLst>
            <a:ext uri="{FF2B5EF4-FFF2-40B4-BE49-F238E27FC236}">
              <a16:creationId xmlns:a16="http://schemas.microsoft.com/office/drawing/2014/main" id="{00000000-0008-0000-0A00-00001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29" name="Shape 12">
          <a:extLst>
            <a:ext uri="{FF2B5EF4-FFF2-40B4-BE49-F238E27FC236}">
              <a16:creationId xmlns:a16="http://schemas.microsoft.com/office/drawing/2014/main" id="{00000000-0008-0000-0A00-00001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0" name="Shape 12">
          <a:extLst>
            <a:ext uri="{FF2B5EF4-FFF2-40B4-BE49-F238E27FC236}">
              <a16:creationId xmlns:a16="http://schemas.microsoft.com/office/drawing/2014/main" id="{00000000-0008-0000-0A00-00001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1" name="Shape 12">
          <a:extLst>
            <a:ext uri="{FF2B5EF4-FFF2-40B4-BE49-F238E27FC236}">
              <a16:creationId xmlns:a16="http://schemas.microsoft.com/office/drawing/2014/main" id="{00000000-0008-0000-0A00-00001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58</xdr:row>
      <xdr:rowOff>0</xdr:rowOff>
    </xdr:from>
    <xdr:ext cx="247650" cy="323850"/>
    <xdr:sp macro="" textlink="">
      <xdr:nvSpPr>
        <xdr:cNvPr id="2332" name="Shape 12">
          <a:extLst>
            <a:ext uri="{FF2B5EF4-FFF2-40B4-BE49-F238E27FC236}">
              <a16:creationId xmlns:a16="http://schemas.microsoft.com/office/drawing/2014/main" id="{00000000-0008-0000-0A00-00001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3" name="Shape 11">
          <a:extLst>
            <a:ext uri="{FF2B5EF4-FFF2-40B4-BE49-F238E27FC236}">
              <a16:creationId xmlns:a16="http://schemas.microsoft.com/office/drawing/2014/main" id="{00000000-0008-0000-0A00-00001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4" name="Shape 11">
          <a:extLst>
            <a:ext uri="{FF2B5EF4-FFF2-40B4-BE49-F238E27FC236}">
              <a16:creationId xmlns:a16="http://schemas.microsoft.com/office/drawing/2014/main" id="{00000000-0008-0000-0A00-00001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5" name="Shape 11">
          <a:extLst>
            <a:ext uri="{FF2B5EF4-FFF2-40B4-BE49-F238E27FC236}">
              <a16:creationId xmlns:a16="http://schemas.microsoft.com/office/drawing/2014/main" id="{00000000-0008-0000-0A00-00001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6" name="Shape 11">
          <a:extLst>
            <a:ext uri="{FF2B5EF4-FFF2-40B4-BE49-F238E27FC236}">
              <a16:creationId xmlns:a16="http://schemas.microsoft.com/office/drawing/2014/main" id="{00000000-0008-0000-0A00-00002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7" name="Shape 11">
          <a:extLst>
            <a:ext uri="{FF2B5EF4-FFF2-40B4-BE49-F238E27FC236}">
              <a16:creationId xmlns:a16="http://schemas.microsoft.com/office/drawing/2014/main" id="{00000000-0008-0000-0A00-00002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8" name="Shape 11">
          <a:extLst>
            <a:ext uri="{FF2B5EF4-FFF2-40B4-BE49-F238E27FC236}">
              <a16:creationId xmlns:a16="http://schemas.microsoft.com/office/drawing/2014/main" id="{00000000-0008-0000-0A00-00002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257175" cy="323850"/>
    <xdr:sp macro="" textlink="">
      <xdr:nvSpPr>
        <xdr:cNvPr id="2339" name="Shape 11">
          <a:extLst>
            <a:ext uri="{FF2B5EF4-FFF2-40B4-BE49-F238E27FC236}">
              <a16:creationId xmlns:a16="http://schemas.microsoft.com/office/drawing/2014/main" id="{00000000-0008-0000-0A00-00002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0" name="Shape 5">
          <a:extLst>
            <a:ext uri="{FF2B5EF4-FFF2-40B4-BE49-F238E27FC236}">
              <a16:creationId xmlns:a16="http://schemas.microsoft.com/office/drawing/2014/main" id="{00000000-0008-0000-0A00-00002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1" name="Shape 5">
          <a:extLst>
            <a:ext uri="{FF2B5EF4-FFF2-40B4-BE49-F238E27FC236}">
              <a16:creationId xmlns:a16="http://schemas.microsoft.com/office/drawing/2014/main" id="{00000000-0008-0000-0A00-00002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2" name="Shape 5">
          <a:extLst>
            <a:ext uri="{FF2B5EF4-FFF2-40B4-BE49-F238E27FC236}">
              <a16:creationId xmlns:a16="http://schemas.microsoft.com/office/drawing/2014/main" id="{00000000-0008-0000-0A00-00002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3" name="Shape 5">
          <a:extLst>
            <a:ext uri="{FF2B5EF4-FFF2-40B4-BE49-F238E27FC236}">
              <a16:creationId xmlns:a16="http://schemas.microsoft.com/office/drawing/2014/main" id="{00000000-0008-0000-0A00-00002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4" name="Shape 6">
          <a:extLst>
            <a:ext uri="{FF2B5EF4-FFF2-40B4-BE49-F238E27FC236}">
              <a16:creationId xmlns:a16="http://schemas.microsoft.com/office/drawing/2014/main" id="{00000000-0008-0000-0A00-00002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5" name="Shape 6">
          <a:extLst>
            <a:ext uri="{FF2B5EF4-FFF2-40B4-BE49-F238E27FC236}">
              <a16:creationId xmlns:a16="http://schemas.microsoft.com/office/drawing/2014/main" id="{00000000-0008-0000-0A00-00002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6" name="Shape 6">
          <a:extLst>
            <a:ext uri="{FF2B5EF4-FFF2-40B4-BE49-F238E27FC236}">
              <a16:creationId xmlns:a16="http://schemas.microsoft.com/office/drawing/2014/main" id="{00000000-0008-0000-0A00-00002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47" name="Shape 6">
          <a:extLst>
            <a:ext uri="{FF2B5EF4-FFF2-40B4-BE49-F238E27FC236}">
              <a16:creationId xmlns:a16="http://schemas.microsoft.com/office/drawing/2014/main" id="{00000000-0008-0000-0A00-00002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8" name="Shape 5">
          <a:extLst>
            <a:ext uri="{FF2B5EF4-FFF2-40B4-BE49-F238E27FC236}">
              <a16:creationId xmlns:a16="http://schemas.microsoft.com/office/drawing/2014/main" id="{00000000-0008-0000-0A00-00002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49" name="Shape 5">
          <a:extLst>
            <a:ext uri="{FF2B5EF4-FFF2-40B4-BE49-F238E27FC236}">
              <a16:creationId xmlns:a16="http://schemas.microsoft.com/office/drawing/2014/main" id="{00000000-0008-0000-0A00-00002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0" name="Shape 5">
          <a:extLst>
            <a:ext uri="{FF2B5EF4-FFF2-40B4-BE49-F238E27FC236}">
              <a16:creationId xmlns:a16="http://schemas.microsoft.com/office/drawing/2014/main" id="{00000000-0008-0000-0A00-00002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1" name="Shape 5">
          <a:extLst>
            <a:ext uri="{FF2B5EF4-FFF2-40B4-BE49-F238E27FC236}">
              <a16:creationId xmlns:a16="http://schemas.microsoft.com/office/drawing/2014/main" id="{00000000-0008-0000-0A00-00002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2" name="Shape 5">
          <a:extLst>
            <a:ext uri="{FF2B5EF4-FFF2-40B4-BE49-F238E27FC236}">
              <a16:creationId xmlns:a16="http://schemas.microsoft.com/office/drawing/2014/main" id="{00000000-0008-0000-0A00-00003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3" name="Shape 5">
          <a:extLst>
            <a:ext uri="{FF2B5EF4-FFF2-40B4-BE49-F238E27FC236}">
              <a16:creationId xmlns:a16="http://schemas.microsoft.com/office/drawing/2014/main" id="{00000000-0008-0000-0A00-00003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4" name="Shape 5">
          <a:extLst>
            <a:ext uri="{FF2B5EF4-FFF2-40B4-BE49-F238E27FC236}">
              <a16:creationId xmlns:a16="http://schemas.microsoft.com/office/drawing/2014/main" id="{00000000-0008-0000-0A00-00003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5" name="Shape 11">
          <a:extLst>
            <a:ext uri="{FF2B5EF4-FFF2-40B4-BE49-F238E27FC236}">
              <a16:creationId xmlns:a16="http://schemas.microsoft.com/office/drawing/2014/main" id="{00000000-0008-0000-0A00-00003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6" name="Shape 11">
          <a:extLst>
            <a:ext uri="{FF2B5EF4-FFF2-40B4-BE49-F238E27FC236}">
              <a16:creationId xmlns:a16="http://schemas.microsoft.com/office/drawing/2014/main" id="{00000000-0008-0000-0A00-00003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7" name="Shape 11">
          <a:extLst>
            <a:ext uri="{FF2B5EF4-FFF2-40B4-BE49-F238E27FC236}">
              <a16:creationId xmlns:a16="http://schemas.microsoft.com/office/drawing/2014/main" id="{00000000-0008-0000-0A00-00003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58" name="Shape 11">
          <a:extLst>
            <a:ext uri="{FF2B5EF4-FFF2-40B4-BE49-F238E27FC236}">
              <a16:creationId xmlns:a16="http://schemas.microsoft.com/office/drawing/2014/main" id="{00000000-0008-0000-0A00-00003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59" name="Shape 12">
          <a:extLst>
            <a:ext uri="{FF2B5EF4-FFF2-40B4-BE49-F238E27FC236}">
              <a16:creationId xmlns:a16="http://schemas.microsoft.com/office/drawing/2014/main" id="{00000000-0008-0000-0A00-00003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0" name="Shape 12">
          <a:extLst>
            <a:ext uri="{FF2B5EF4-FFF2-40B4-BE49-F238E27FC236}">
              <a16:creationId xmlns:a16="http://schemas.microsoft.com/office/drawing/2014/main" id="{00000000-0008-0000-0A00-00003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1" name="Shape 12">
          <a:extLst>
            <a:ext uri="{FF2B5EF4-FFF2-40B4-BE49-F238E27FC236}">
              <a16:creationId xmlns:a16="http://schemas.microsoft.com/office/drawing/2014/main" id="{00000000-0008-0000-0A00-00003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62" name="Shape 12">
          <a:extLst>
            <a:ext uri="{FF2B5EF4-FFF2-40B4-BE49-F238E27FC236}">
              <a16:creationId xmlns:a16="http://schemas.microsoft.com/office/drawing/2014/main" id="{00000000-0008-0000-0A00-00003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3" name="Shape 11">
          <a:extLst>
            <a:ext uri="{FF2B5EF4-FFF2-40B4-BE49-F238E27FC236}">
              <a16:creationId xmlns:a16="http://schemas.microsoft.com/office/drawing/2014/main" id="{00000000-0008-0000-0A00-00003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4" name="Shape 11">
          <a:extLst>
            <a:ext uri="{FF2B5EF4-FFF2-40B4-BE49-F238E27FC236}">
              <a16:creationId xmlns:a16="http://schemas.microsoft.com/office/drawing/2014/main" id="{00000000-0008-0000-0A00-00003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5" name="Shape 11">
          <a:extLst>
            <a:ext uri="{FF2B5EF4-FFF2-40B4-BE49-F238E27FC236}">
              <a16:creationId xmlns:a16="http://schemas.microsoft.com/office/drawing/2014/main" id="{00000000-0008-0000-0A00-00003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6" name="Shape 11">
          <a:extLst>
            <a:ext uri="{FF2B5EF4-FFF2-40B4-BE49-F238E27FC236}">
              <a16:creationId xmlns:a16="http://schemas.microsoft.com/office/drawing/2014/main" id="{00000000-0008-0000-0A00-00003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7" name="Shape 11">
          <a:extLst>
            <a:ext uri="{FF2B5EF4-FFF2-40B4-BE49-F238E27FC236}">
              <a16:creationId xmlns:a16="http://schemas.microsoft.com/office/drawing/2014/main" id="{00000000-0008-0000-0A00-00003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8" name="Shape 11">
          <a:extLst>
            <a:ext uri="{FF2B5EF4-FFF2-40B4-BE49-F238E27FC236}">
              <a16:creationId xmlns:a16="http://schemas.microsoft.com/office/drawing/2014/main" id="{00000000-0008-0000-0A00-00004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69" name="Shape 11">
          <a:extLst>
            <a:ext uri="{FF2B5EF4-FFF2-40B4-BE49-F238E27FC236}">
              <a16:creationId xmlns:a16="http://schemas.microsoft.com/office/drawing/2014/main" id="{00000000-0008-0000-0A00-00004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0" name="Shape 5">
          <a:extLst>
            <a:ext uri="{FF2B5EF4-FFF2-40B4-BE49-F238E27FC236}">
              <a16:creationId xmlns:a16="http://schemas.microsoft.com/office/drawing/2014/main" id="{00000000-0008-0000-0A00-00004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1" name="Shape 5">
          <a:extLst>
            <a:ext uri="{FF2B5EF4-FFF2-40B4-BE49-F238E27FC236}">
              <a16:creationId xmlns:a16="http://schemas.microsoft.com/office/drawing/2014/main" id="{00000000-0008-0000-0A00-00004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2" name="Shape 5">
          <a:extLst>
            <a:ext uri="{FF2B5EF4-FFF2-40B4-BE49-F238E27FC236}">
              <a16:creationId xmlns:a16="http://schemas.microsoft.com/office/drawing/2014/main" id="{00000000-0008-0000-0A00-00004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3" name="Shape 5">
          <a:extLst>
            <a:ext uri="{FF2B5EF4-FFF2-40B4-BE49-F238E27FC236}">
              <a16:creationId xmlns:a16="http://schemas.microsoft.com/office/drawing/2014/main" id="{00000000-0008-0000-0A00-00004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4" name="Shape 6">
          <a:extLst>
            <a:ext uri="{FF2B5EF4-FFF2-40B4-BE49-F238E27FC236}">
              <a16:creationId xmlns:a16="http://schemas.microsoft.com/office/drawing/2014/main" id="{00000000-0008-0000-0A00-00004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5" name="Shape 6">
          <a:extLst>
            <a:ext uri="{FF2B5EF4-FFF2-40B4-BE49-F238E27FC236}">
              <a16:creationId xmlns:a16="http://schemas.microsoft.com/office/drawing/2014/main" id="{00000000-0008-0000-0A00-00004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6" name="Shape 6">
          <a:extLst>
            <a:ext uri="{FF2B5EF4-FFF2-40B4-BE49-F238E27FC236}">
              <a16:creationId xmlns:a16="http://schemas.microsoft.com/office/drawing/2014/main" id="{00000000-0008-0000-0A00-00004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377" name="Shape 6">
          <a:extLst>
            <a:ext uri="{FF2B5EF4-FFF2-40B4-BE49-F238E27FC236}">
              <a16:creationId xmlns:a16="http://schemas.microsoft.com/office/drawing/2014/main" id="{00000000-0008-0000-0A00-000049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8" name="Shape 5">
          <a:extLst>
            <a:ext uri="{FF2B5EF4-FFF2-40B4-BE49-F238E27FC236}">
              <a16:creationId xmlns:a16="http://schemas.microsoft.com/office/drawing/2014/main" id="{00000000-0008-0000-0A00-00004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79" name="Shape 5">
          <a:extLst>
            <a:ext uri="{FF2B5EF4-FFF2-40B4-BE49-F238E27FC236}">
              <a16:creationId xmlns:a16="http://schemas.microsoft.com/office/drawing/2014/main" id="{00000000-0008-0000-0A00-00004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0" name="Shape 5">
          <a:extLst>
            <a:ext uri="{FF2B5EF4-FFF2-40B4-BE49-F238E27FC236}">
              <a16:creationId xmlns:a16="http://schemas.microsoft.com/office/drawing/2014/main" id="{00000000-0008-0000-0A00-00004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1" name="Shape 5">
          <a:extLst>
            <a:ext uri="{FF2B5EF4-FFF2-40B4-BE49-F238E27FC236}">
              <a16:creationId xmlns:a16="http://schemas.microsoft.com/office/drawing/2014/main" id="{00000000-0008-0000-0A00-00004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2" name="Shape 5">
          <a:extLst>
            <a:ext uri="{FF2B5EF4-FFF2-40B4-BE49-F238E27FC236}">
              <a16:creationId xmlns:a16="http://schemas.microsoft.com/office/drawing/2014/main" id="{00000000-0008-0000-0A00-00004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3" name="Shape 5">
          <a:extLst>
            <a:ext uri="{FF2B5EF4-FFF2-40B4-BE49-F238E27FC236}">
              <a16:creationId xmlns:a16="http://schemas.microsoft.com/office/drawing/2014/main" id="{00000000-0008-0000-0A00-00004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384" name="Shape 5">
          <a:extLst>
            <a:ext uri="{FF2B5EF4-FFF2-40B4-BE49-F238E27FC236}">
              <a16:creationId xmlns:a16="http://schemas.microsoft.com/office/drawing/2014/main" id="{00000000-0008-0000-0A00-00005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5" name="Shape 11">
          <a:extLst>
            <a:ext uri="{FF2B5EF4-FFF2-40B4-BE49-F238E27FC236}">
              <a16:creationId xmlns:a16="http://schemas.microsoft.com/office/drawing/2014/main" id="{00000000-0008-0000-0A00-00005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6" name="Shape 11">
          <a:extLst>
            <a:ext uri="{FF2B5EF4-FFF2-40B4-BE49-F238E27FC236}">
              <a16:creationId xmlns:a16="http://schemas.microsoft.com/office/drawing/2014/main" id="{00000000-0008-0000-0A00-00005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7" name="Shape 11">
          <a:extLst>
            <a:ext uri="{FF2B5EF4-FFF2-40B4-BE49-F238E27FC236}">
              <a16:creationId xmlns:a16="http://schemas.microsoft.com/office/drawing/2014/main" id="{00000000-0008-0000-0A00-00005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88" name="Shape 11">
          <a:extLst>
            <a:ext uri="{FF2B5EF4-FFF2-40B4-BE49-F238E27FC236}">
              <a16:creationId xmlns:a16="http://schemas.microsoft.com/office/drawing/2014/main" id="{00000000-0008-0000-0A00-00005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89" name="Shape 12">
          <a:extLst>
            <a:ext uri="{FF2B5EF4-FFF2-40B4-BE49-F238E27FC236}">
              <a16:creationId xmlns:a16="http://schemas.microsoft.com/office/drawing/2014/main" id="{00000000-0008-0000-0A00-00005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0" name="Shape 12">
          <a:extLst>
            <a:ext uri="{FF2B5EF4-FFF2-40B4-BE49-F238E27FC236}">
              <a16:creationId xmlns:a16="http://schemas.microsoft.com/office/drawing/2014/main" id="{00000000-0008-0000-0A00-00005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1" name="Shape 12">
          <a:extLst>
            <a:ext uri="{FF2B5EF4-FFF2-40B4-BE49-F238E27FC236}">
              <a16:creationId xmlns:a16="http://schemas.microsoft.com/office/drawing/2014/main" id="{00000000-0008-0000-0A00-00005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59</xdr:row>
      <xdr:rowOff>0</xdr:rowOff>
    </xdr:from>
    <xdr:ext cx="247650" cy="323850"/>
    <xdr:sp macro="" textlink="">
      <xdr:nvSpPr>
        <xdr:cNvPr id="2392" name="Shape 12">
          <a:extLst>
            <a:ext uri="{FF2B5EF4-FFF2-40B4-BE49-F238E27FC236}">
              <a16:creationId xmlns:a16="http://schemas.microsoft.com/office/drawing/2014/main" id="{00000000-0008-0000-0A00-000058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3" name="Shape 11">
          <a:extLst>
            <a:ext uri="{FF2B5EF4-FFF2-40B4-BE49-F238E27FC236}">
              <a16:creationId xmlns:a16="http://schemas.microsoft.com/office/drawing/2014/main" id="{00000000-0008-0000-0A00-00005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4" name="Shape 11">
          <a:extLst>
            <a:ext uri="{FF2B5EF4-FFF2-40B4-BE49-F238E27FC236}">
              <a16:creationId xmlns:a16="http://schemas.microsoft.com/office/drawing/2014/main" id="{00000000-0008-0000-0A00-00005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5" name="Shape 11">
          <a:extLst>
            <a:ext uri="{FF2B5EF4-FFF2-40B4-BE49-F238E27FC236}">
              <a16:creationId xmlns:a16="http://schemas.microsoft.com/office/drawing/2014/main" id="{00000000-0008-0000-0A00-00005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6" name="Shape 11">
          <a:extLst>
            <a:ext uri="{FF2B5EF4-FFF2-40B4-BE49-F238E27FC236}">
              <a16:creationId xmlns:a16="http://schemas.microsoft.com/office/drawing/2014/main" id="{00000000-0008-0000-0A00-00005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7" name="Shape 11">
          <a:extLst>
            <a:ext uri="{FF2B5EF4-FFF2-40B4-BE49-F238E27FC236}">
              <a16:creationId xmlns:a16="http://schemas.microsoft.com/office/drawing/2014/main" id="{00000000-0008-0000-0A00-00005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8" name="Shape 11">
          <a:extLst>
            <a:ext uri="{FF2B5EF4-FFF2-40B4-BE49-F238E27FC236}">
              <a16:creationId xmlns:a16="http://schemas.microsoft.com/office/drawing/2014/main" id="{00000000-0008-0000-0A00-00005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59</xdr:row>
      <xdr:rowOff>0</xdr:rowOff>
    </xdr:from>
    <xdr:ext cx="257175" cy="323850"/>
    <xdr:sp macro="" textlink="">
      <xdr:nvSpPr>
        <xdr:cNvPr id="2399" name="Shape 11">
          <a:extLst>
            <a:ext uri="{FF2B5EF4-FFF2-40B4-BE49-F238E27FC236}">
              <a16:creationId xmlns:a16="http://schemas.microsoft.com/office/drawing/2014/main" id="{00000000-0008-0000-0A00-00005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0" name="Shape 5">
          <a:extLst>
            <a:ext uri="{FF2B5EF4-FFF2-40B4-BE49-F238E27FC236}">
              <a16:creationId xmlns:a16="http://schemas.microsoft.com/office/drawing/2014/main" id="{00000000-0008-0000-0A00-00006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1" name="Shape 5">
          <a:extLst>
            <a:ext uri="{FF2B5EF4-FFF2-40B4-BE49-F238E27FC236}">
              <a16:creationId xmlns:a16="http://schemas.microsoft.com/office/drawing/2014/main" id="{00000000-0008-0000-0A00-00006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2" name="Shape 5">
          <a:extLst>
            <a:ext uri="{FF2B5EF4-FFF2-40B4-BE49-F238E27FC236}">
              <a16:creationId xmlns:a16="http://schemas.microsoft.com/office/drawing/2014/main" id="{00000000-0008-0000-0A00-00006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3" name="Shape 5">
          <a:extLst>
            <a:ext uri="{FF2B5EF4-FFF2-40B4-BE49-F238E27FC236}">
              <a16:creationId xmlns:a16="http://schemas.microsoft.com/office/drawing/2014/main" id="{00000000-0008-0000-0A00-00006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4" name="Shape 6">
          <a:extLst>
            <a:ext uri="{FF2B5EF4-FFF2-40B4-BE49-F238E27FC236}">
              <a16:creationId xmlns:a16="http://schemas.microsoft.com/office/drawing/2014/main" id="{00000000-0008-0000-0A00-00006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5" name="Shape 6">
          <a:extLst>
            <a:ext uri="{FF2B5EF4-FFF2-40B4-BE49-F238E27FC236}">
              <a16:creationId xmlns:a16="http://schemas.microsoft.com/office/drawing/2014/main" id="{00000000-0008-0000-0A00-00006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6" name="Shape 6">
          <a:extLst>
            <a:ext uri="{FF2B5EF4-FFF2-40B4-BE49-F238E27FC236}">
              <a16:creationId xmlns:a16="http://schemas.microsoft.com/office/drawing/2014/main" id="{00000000-0008-0000-0A00-00006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07" name="Shape 6">
          <a:extLst>
            <a:ext uri="{FF2B5EF4-FFF2-40B4-BE49-F238E27FC236}">
              <a16:creationId xmlns:a16="http://schemas.microsoft.com/office/drawing/2014/main" id="{00000000-0008-0000-0A00-000067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8" name="Shape 5">
          <a:extLst>
            <a:ext uri="{FF2B5EF4-FFF2-40B4-BE49-F238E27FC236}">
              <a16:creationId xmlns:a16="http://schemas.microsoft.com/office/drawing/2014/main" id="{00000000-0008-0000-0A00-00006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09" name="Shape 5">
          <a:extLst>
            <a:ext uri="{FF2B5EF4-FFF2-40B4-BE49-F238E27FC236}">
              <a16:creationId xmlns:a16="http://schemas.microsoft.com/office/drawing/2014/main" id="{00000000-0008-0000-0A00-00006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0" name="Shape 5">
          <a:extLst>
            <a:ext uri="{FF2B5EF4-FFF2-40B4-BE49-F238E27FC236}">
              <a16:creationId xmlns:a16="http://schemas.microsoft.com/office/drawing/2014/main" id="{00000000-0008-0000-0A00-00006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1" name="Shape 5">
          <a:extLst>
            <a:ext uri="{FF2B5EF4-FFF2-40B4-BE49-F238E27FC236}">
              <a16:creationId xmlns:a16="http://schemas.microsoft.com/office/drawing/2014/main" id="{00000000-0008-0000-0A00-00006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2" name="Shape 5">
          <a:extLst>
            <a:ext uri="{FF2B5EF4-FFF2-40B4-BE49-F238E27FC236}">
              <a16:creationId xmlns:a16="http://schemas.microsoft.com/office/drawing/2014/main" id="{00000000-0008-0000-0A00-00006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3" name="Shape 5">
          <a:extLst>
            <a:ext uri="{FF2B5EF4-FFF2-40B4-BE49-F238E27FC236}">
              <a16:creationId xmlns:a16="http://schemas.microsoft.com/office/drawing/2014/main" id="{00000000-0008-0000-0A00-00006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4" name="Shape 5">
          <a:extLst>
            <a:ext uri="{FF2B5EF4-FFF2-40B4-BE49-F238E27FC236}">
              <a16:creationId xmlns:a16="http://schemas.microsoft.com/office/drawing/2014/main" id="{00000000-0008-0000-0A00-00006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5" name="Shape 11">
          <a:extLst>
            <a:ext uri="{FF2B5EF4-FFF2-40B4-BE49-F238E27FC236}">
              <a16:creationId xmlns:a16="http://schemas.microsoft.com/office/drawing/2014/main" id="{00000000-0008-0000-0A00-00006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6" name="Shape 11">
          <a:extLst>
            <a:ext uri="{FF2B5EF4-FFF2-40B4-BE49-F238E27FC236}">
              <a16:creationId xmlns:a16="http://schemas.microsoft.com/office/drawing/2014/main" id="{00000000-0008-0000-0A00-00007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7" name="Shape 11">
          <a:extLst>
            <a:ext uri="{FF2B5EF4-FFF2-40B4-BE49-F238E27FC236}">
              <a16:creationId xmlns:a16="http://schemas.microsoft.com/office/drawing/2014/main" id="{00000000-0008-0000-0A00-00007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18" name="Shape 11">
          <a:extLst>
            <a:ext uri="{FF2B5EF4-FFF2-40B4-BE49-F238E27FC236}">
              <a16:creationId xmlns:a16="http://schemas.microsoft.com/office/drawing/2014/main" id="{00000000-0008-0000-0A00-00007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19" name="Shape 12">
          <a:extLst>
            <a:ext uri="{FF2B5EF4-FFF2-40B4-BE49-F238E27FC236}">
              <a16:creationId xmlns:a16="http://schemas.microsoft.com/office/drawing/2014/main" id="{00000000-0008-0000-0A00-00007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0" name="Shape 12">
          <a:extLst>
            <a:ext uri="{FF2B5EF4-FFF2-40B4-BE49-F238E27FC236}">
              <a16:creationId xmlns:a16="http://schemas.microsoft.com/office/drawing/2014/main" id="{00000000-0008-0000-0A00-00007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1" name="Shape 12">
          <a:extLst>
            <a:ext uri="{FF2B5EF4-FFF2-40B4-BE49-F238E27FC236}">
              <a16:creationId xmlns:a16="http://schemas.microsoft.com/office/drawing/2014/main" id="{00000000-0008-0000-0A00-00007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22" name="Shape 12">
          <a:extLst>
            <a:ext uri="{FF2B5EF4-FFF2-40B4-BE49-F238E27FC236}">
              <a16:creationId xmlns:a16="http://schemas.microsoft.com/office/drawing/2014/main" id="{00000000-0008-0000-0A00-000076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3" name="Shape 11">
          <a:extLst>
            <a:ext uri="{FF2B5EF4-FFF2-40B4-BE49-F238E27FC236}">
              <a16:creationId xmlns:a16="http://schemas.microsoft.com/office/drawing/2014/main" id="{00000000-0008-0000-0A00-00007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4" name="Shape 11">
          <a:extLst>
            <a:ext uri="{FF2B5EF4-FFF2-40B4-BE49-F238E27FC236}">
              <a16:creationId xmlns:a16="http://schemas.microsoft.com/office/drawing/2014/main" id="{00000000-0008-0000-0A00-00007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5" name="Shape 11">
          <a:extLst>
            <a:ext uri="{FF2B5EF4-FFF2-40B4-BE49-F238E27FC236}">
              <a16:creationId xmlns:a16="http://schemas.microsoft.com/office/drawing/2014/main" id="{00000000-0008-0000-0A00-00007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6" name="Shape 11">
          <a:extLst>
            <a:ext uri="{FF2B5EF4-FFF2-40B4-BE49-F238E27FC236}">
              <a16:creationId xmlns:a16="http://schemas.microsoft.com/office/drawing/2014/main" id="{00000000-0008-0000-0A00-00007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7" name="Shape 11">
          <a:extLst>
            <a:ext uri="{FF2B5EF4-FFF2-40B4-BE49-F238E27FC236}">
              <a16:creationId xmlns:a16="http://schemas.microsoft.com/office/drawing/2014/main" id="{00000000-0008-0000-0A00-00007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8" name="Shape 11">
          <a:extLst>
            <a:ext uri="{FF2B5EF4-FFF2-40B4-BE49-F238E27FC236}">
              <a16:creationId xmlns:a16="http://schemas.microsoft.com/office/drawing/2014/main" id="{00000000-0008-0000-0A00-00007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29" name="Shape 11">
          <a:extLst>
            <a:ext uri="{FF2B5EF4-FFF2-40B4-BE49-F238E27FC236}">
              <a16:creationId xmlns:a16="http://schemas.microsoft.com/office/drawing/2014/main" id="{00000000-0008-0000-0A00-00007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0" name="Shape 5">
          <a:extLst>
            <a:ext uri="{FF2B5EF4-FFF2-40B4-BE49-F238E27FC236}">
              <a16:creationId xmlns:a16="http://schemas.microsoft.com/office/drawing/2014/main" id="{00000000-0008-0000-0A00-00007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1" name="Shape 5">
          <a:extLst>
            <a:ext uri="{FF2B5EF4-FFF2-40B4-BE49-F238E27FC236}">
              <a16:creationId xmlns:a16="http://schemas.microsoft.com/office/drawing/2014/main" id="{00000000-0008-0000-0A00-00007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2" name="Shape 5">
          <a:extLst>
            <a:ext uri="{FF2B5EF4-FFF2-40B4-BE49-F238E27FC236}">
              <a16:creationId xmlns:a16="http://schemas.microsoft.com/office/drawing/2014/main" id="{00000000-0008-0000-0A00-00008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3" name="Shape 5">
          <a:extLst>
            <a:ext uri="{FF2B5EF4-FFF2-40B4-BE49-F238E27FC236}">
              <a16:creationId xmlns:a16="http://schemas.microsoft.com/office/drawing/2014/main" id="{00000000-0008-0000-0A00-00008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4" name="Shape 6">
          <a:extLst>
            <a:ext uri="{FF2B5EF4-FFF2-40B4-BE49-F238E27FC236}">
              <a16:creationId xmlns:a16="http://schemas.microsoft.com/office/drawing/2014/main" id="{00000000-0008-0000-0A00-00008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5" name="Shape 6">
          <a:extLst>
            <a:ext uri="{FF2B5EF4-FFF2-40B4-BE49-F238E27FC236}">
              <a16:creationId xmlns:a16="http://schemas.microsoft.com/office/drawing/2014/main" id="{00000000-0008-0000-0A00-00008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6" name="Shape 6">
          <a:extLst>
            <a:ext uri="{FF2B5EF4-FFF2-40B4-BE49-F238E27FC236}">
              <a16:creationId xmlns:a16="http://schemas.microsoft.com/office/drawing/2014/main" id="{00000000-0008-0000-0A00-00008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37" name="Shape 6">
          <a:extLst>
            <a:ext uri="{FF2B5EF4-FFF2-40B4-BE49-F238E27FC236}">
              <a16:creationId xmlns:a16="http://schemas.microsoft.com/office/drawing/2014/main" id="{00000000-0008-0000-0A00-000085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8" name="Shape 5">
          <a:extLst>
            <a:ext uri="{FF2B5EF4-FFF2-40B4-BE49-F238E27FC236}">
              <a16:creationId xmlns:a16="http://schemas.microsoft.com/office/drawing/2014/main" id="{00000000-0008-0000-0A00-00008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39" name="Shape 5">
          <a:extLst>
            <a:ext uri="{FF2B5EF4-FFF2-40B4-BE49-F238E27FC236}">
              <a16:creationId xmlns:a16="http://schemas.microsoft.com/office/drawing/2014/main" id="{00000000-0008-0000-0A00-00008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0" name="Shape 5">
          <a:extLst>
            <a:ext uri="{FF2B5EF4-FFF2-40B4-BE49-F238E27FC236}">
              <a16:creationId xmlns:a16="http://schemas.microsoft.com/office/drawing/2014/main" id="{00000000-0008-0000-0A00-00008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1" name="Shape 5">
          <a:extLst>
            <a:ext uri="{FF2B5EF4-FFF2-40B4-BE49-F238E27FC236}">
              <a16:creationId xmlns:a16="http://schemas.microsoft.com/office/drawing/2014/main" id="{00000000-0008-0000-0A00-00008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2" name="Shape 5">
          <a:extLst>
            <a:ext uri="{FF2B5EF4-FFF2-40B4-BE49-F238E27FC236}">
              <a16:creationId xmlns:a16="http://schemas.microsoft.com/office/drawing/2014/main" id="{00000000-0008-0000-0A00-00008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3" name="Shape 5">
          <a:extLst>
            <a:ext uri="{FF2B5EF4-FFF2-40B4-BE49-F238E27FC236}">
              <a16:creationId xmlns:a16="http://schemas.microsoft.com/office/drawing/2014/main" id="{00000000-0008-0000-0A00-00008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44" name="Shape 5">
          <a:extLst>
            <a:ext uri="{FF2B5EF4-FFF2-40B4-BE49-F238E27FC236}">
              <a16:creationId xmlns:a16="http://schemas.microsoft.com/office/drawing/2014/main" id="{00000000-0008-0000-0A00-00008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5" name="Shape 11">
          <a:extLst>
            <a:ext uri="{FF2B5EF4-FFF2-40B4-BE49-F238E27FC236}">
              <a16:creationId xmlns:a16="http://schemas.microsoft.com/office/drawing/2014/main" id="{00000000-0008-0000-0A00-00008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6" name="Shape 11">
          <a:extLst>
            <a:ext uri="{FF2B5EF4-FFF2-40B4-BE49-F238E27FC236}">
              <a16:creationId xmlns:a16="http://schemas.microsoft.com/office/drawing/2014/main" id="{00000000-0008-0000-0A00-00008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7" name="Shape 11">
          <a:extLst>
            <a:ext uri="{FF2B5EF4-FFF2-40B4-BE49-F238E27FC236}">
              <a16:creationId xmlns:a16="http://schemas.microsoft.com/office/drawing/2014/main" id="{00000000-0008-0000-0A00-00008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48" name="Shape 11">
          <a:extLst>
            <a:ext uri="{FF2B5EF4-FFF2-40B4-BE49-F238E27FC236}">
              <a16:creationId xmlns:a16="http://schemas.microsoft.com/office/drawing/2014/main" id="{00000000-0008-0000-0A00-00009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49" name="Shape 12">
          <a:extLst>
            <a:ext uri="{FF2B5EF4-FFF2-40B4-BE49-F238E27FC236}">
              <a16:creationId xmlns:a16="http://schemas.microsoft.com/office/drawing/2014/main" id="{00000000-0008-0000-0A00-00009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0" name="Shape 12">
          <a:extLst>
            <a:ext uri="{FF2B5EF4-FFF2-40B4-BE49-F238E27FC236}">
              <a16:creationId xmlns:a16="http://schemas.microsoft.com/office/drawing/2014/main" id="{00000000-0008-0000-0A00-00009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1" name="Shape 12">
          <a:extLst>
            <a:ext uri="{FF2B5EF4-FFF2-40B4-BE49-F238E27FC236}">
              <a16:creationId xmlns:a16="http://schemas.microsoft.com/office/drawing/2014/main" id="{00000000-0008-0000-0A00-00009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60</xdr:row>
      <xdr:rowOff>0</xdr:rowOff>
    </xdr:from>
    <xdr:ext cx="247650" cy="323850"/>
    <xdr:sp macro="" textlink="">
      <xdr:nvSpPr>
        <xdr:cNvPr id="2452" name="Shape 12">
          <a:extLst>
            <a:ext uri="{FF2B5EF4-FFF2-40B4-BE49-F238E27FC236}">
              <a16:creationId xmlns:a16="http://schemas.microsoft.com/office/drawing/2014/main" id="{00000000-0008-0000-0A00-000094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3" name="Shape 11">
          <a:extLst>
            <a:ext uri="{FF2B5EF4-FFF2-40B4-BE49-F238E27FC236}">
              <a16:creationId xmlns:a16="http://schemas.microsoft.com/office/drawing/2014/main" id="{00000000-0008-0000-0A00-00009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4" name="Shape 11">
          <a:extLst>
            <a:ext uri="{FF2B5EF4-FFF2-40B4-BE49-F238E27FC236}">
              <a16:creationId xmlns:a16="http://schemas.microsoft.com/office/drawing/2014/main" id="{00000000-0008-0000-0A00-00009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5" name="Shape 11">
          <a:extLst>
            <a:ext uri="{FF2B5EF4-FFF2-40B4-BE49-F238E27FC236}">
              <a16:creationId xmlns:a16="http://schemas.microsoft.com/office/drawing/2014/main" id="{00000000-0008-0000-0A00-00009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6" name="Shape 11">
          <a:extLst>
            <a:ext uri="{FF2B5EF4-FFF2-40B4-BE49-F238E27FC236}">
              <a16:creationId xmlns:a16="http://schemas.microsoft.com/office/drawing/2014/main" id="{00000000-0008-0000-0A00-00009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7" name="Shape 11">
          <a:extLst>
            <a:ext uri="{FF2B5EF4-FFF2-40B4-BE49-F238E27FC236}">
              <a16:creationId xmlns:a16="http://schemas.microsoft.com/office/drawing/2014/main" id="{00000000-0008-0000-0A00-00009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0</xdr:rowOff>
    </xdr:from>
    <xdr:ext cx="257175" cy="323850"/>
    <xdr:sp macro="" textlink="">
      <xdr:nvSpPr>
        <xdr:cNvPr id="2458" name="Shape 11">
          <a:extLst>
            <a:ext uri="{FF2B5EF4-FFF2-40B4-BE49-F238E27FC236}">
              <a16:creationId xmlns:a16="http://schemas.microsoft.com/office/drawing/2014/main" id="{00000000-0008-0000-0A00-00009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962025</xdr:colOff>
      <xdr:row>62</xdr:row>
      <xdr:rowOff>104775</xdr:rowOff>
    </xdr:from>
    <xdr:ext cx="257175" cy="323850"/>
    <xdr:sp macro="" textlink="">
      <xdr:nvSpPr>
        <xdr:cNvPr id="2459" name="Shape 11">
          <a:extLst>
            <a:ext uri="{FF2B5EF4-FFF2-40B4-BE49-F238E27FC236}">
              <a16:creationId xmlns:a16="http://schemas.microsoft.com/office/drawing/2014/main" id="{00000000-0008-0000-0A00-00009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0" name="Shape 5">
          <a:extLst>
            <a:ext uri="{FF2B5EF4-FFF2-40B4-BE49-F238E27FC236}">
              <a16:creationId xmlns:a16="http://schemas.microsoft.com/office/drawing/2014/main" id="{00000000-0008-0000-0A00-00009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1" name="Shape 5">
          <a:extLst>
            <a:ext uri="{FF2B5EF4-FFF2-40B4-BE49-F238E27FC236}">
              <a16:creationId xmlns:a16="http://schemas.microsoft.com/office/drawing/2014/main" id="{00000000-0008-0000-0A00-00009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2" name="Shape 5">
          <a:extLst>
            <a:ext uri="{FF2B5EF4-FFF2-40B4-BE49-F238E27FC236}">
              <a16:creationId xmlns:a16="http://schemas.microsoft.com/office/drawing/2014/main" id="{00000000-0008-0000-0A00-00009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3" name="Shape 5">
          <a:extLst>
            <a:ext uri="{FF2B5EF4-FFF2-40B4-BE49-F238E27FC236}">
              <a16:creationId xmlns:a16="http://schemas.microsoft.com/office/drawing/2014/main" id="{00000000-0008-0000-0A00-00009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4" name="Shape 6">
          <a:extLst>
            <a:ext uri="{FF2B5EF4-FFF2-40B4-BE49-F238E27FC236}">
              <a16:creationId xmlns:a16="http://schemas.microsoft.com/office/drawing/2014/main" id="{00000000-0008-0000-0A00-0000A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5" name="Shape 6">
          <a:extLst>
            <a:ext uri="{FF2B5EF4-FFF2-40B4-BE49-F238E27FC236}">
              <a16:creationId xmlns:a16="http://schemas.microsoft.com/office/drawing/2014/main" id="{00000000-0008-0000-0A00-0000A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6" name="Shape 6">
          <a:extLst>
            <a:ext uri="{FF2B5EF4-FFF2-40B4-BE49-F238E27FC236}">
              <a16:creationId xmlns:a16="http://schemas.microsoft.com/office/drawing/2014/main" id="{00000000-0008-0000-0A00-0000A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67" name="Shape 6">
          <a:extLst>
            <a:ext uri="{FF2B5EF4-FFF2-40B4-BE49-F238E27FC236}">
              <a16:creationId xmlns:a16="http://schemas.microsoft.com/office/drawing/2014/main" id="{00000000-0008-0000-0A00-0000A3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8" name="Shape 5">
          <a:extLst>
            <a:ext uri="{FF2B5EF4-FFF2-40B4-BE49-F238E27FC236}">
              <a16:creationId xmlns:a16="http://schemas.microsoft.com/office/drawing/2014/main" id="{00000000-0008-0000-0A00-0000A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69" name="Shape 5">
          <a:extLst>
            <a:ext uri="{FF2B5EF4-FFF2-40B4-BE49-F238E27FC236}">
              <a16:creationId xmlns:a16="http://schemas.microsoft.com/office/drawing/2014/main" id="{00000000-0008-0000-0A00-0000A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0" name="Shape 5">
          <a:extLst>
            <a:ext uri="{FF2B5EF4-FFF2-40B4-BE49-F238E27FC236}">
              <a16:creationId xmlns:a16="http://schemas.microsoft.com/office/drawing/2014/main" id="{00000000-0008-0000-0A00-0000A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1" name="Shape 5">
          <a:extLst>
            <a:ext uri="{FF2B5EF4-FFF2-40B4-BE49-F238E27FC236}">
              <a16:creationId xmlns:a16="http://schemas.microsoft.com/office/drawing/2014/main" id="{00000000-0008-0000-0A00-0000A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2" name="Shape 5">
          <a:extLst>
            <a:ext uri="{FF2B5EF4-FFF2-40B4-BE49-F238E27FC236}">
              <a16:creationId xmlns:a16="http://schemas.microsoft.com/office/drawing/2014/main" id="{00000000-0008-0000-0A00-0000A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3" name="Shape 5">
          <a:extLst>
            <a:ext uri="{FF2B5EF4-FFF2-40B4-BE49-F238E27FC236}">
              <a16:creationId xmlns:a16="http://schemas.microsoft.com/office/drawing/2014/main" id="{00000000-0008-0000-0A00-0000A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4" name="Shape 5">
          <a:extLst>
            <a:ext uri="{FF2B5EF4-FFF2-40B4-BE49-F238E27FC236}">
              <a16:creationId xmlns:a16="http://schemas.microsoft.com/office/drawing/2014/main" id="{00000000-0008-0000-0A00-0000A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5" name="Shape 11">
          <a:extLst>
            <a:ext uri="{FF2B5EF4-FFF2-40B4-BE49-F238E27FC236}">
              <a16:creationId xmlns:a16="http://schemas.microsoft.com/office/drawing/2014/main" id="{00000000-0008-0000-0A00-0000A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6" name="Shape 11">
          <a:extLst>
            <a:ext uri="{FF2B5EF4-FFF2-40B4-BE49-F238E27FC236}">
              <a16:creationId xmlns:a16="http://schemas.microsoft.com/office/drawing/2014/main" id="{00000000-0008-0000-0A00-0000A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7" name="Shape 11">
          <a:extLst>
            <a:ext uri="{FF2B5EF4-FFF2-40B4-BE49-F238E27FC236}">
              <a16:creationId xmlns:a16="http://schemas.microsoft.com/office/drawing/2014/main" id="{00000000-0008-0000-0A00-0000A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78" name="Shape 11">
          <a:extLst>
            <a:ext uri="{FF2B5EF4-FFF2-40B4-BE49-F238E27FC236}">
              <a16:creationId xmlns:a16="http://schemas.microsoft.com/office/drawing/2014/main" id="{00000000-0008-0000-0A00-0000A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79" name="Shape 12">
          <a:extLst>
            <a:ext uri="{FF2B5EF4-FFF2-40B4-BE49-F238E27FC236}">
              <a16:creationId xmlns:a16="http://schemas.microsoft.com/office/drawing/2014/main" id="{00000000-0008-0000-0A00-0000A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0" name="Shape 12">
          <a:extLst>
            <a:ext uri="{FF2B5EF4-FFF2-40B4-BE49-F238E27FC236}">
              <a16:creationId xmlns:a16="http://schemas.microsoft.com/office/drawing/2014/main" id="{00000000-0008-0000-0A00-0000B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1" name="Shape 12">
          <a:extLst>
            <a:ext uri="{FF2B5EF4-FFF2-40B4-BE49-F238E27FC236}">
              <a16:creationId xmlns:a16="http://schemas.microsoft.com/office/drawing/2014/main" id="{00000000-0008-0000-0A00-0000B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482" name="Shape 12">
          <a:extLst>
            <a:ext uri="{FF2B5EF4-FFF2-40B4-BE49-F238E27FC236}">
              <a16:creationId xmlns:a16="http://schemas.microsoft.com/office/drawing/2014/main" id="{00000000-0008-0000-0A00-0000B2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3" name="Shape 11">
          <a:extLst>
            <a:ext uri="{FF2B5EF4-FFF2-40B4-BE49-F238E27FC236}">
              <a16:creationId xmlns:a16="http://schemas.microsoft.com/office/drawing/2014/main" id="{00000000-0008-0000-0A00-0000B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4" name="Shape 11">
          <a:extLst>
            <a:ext uri="{FF2B5EF4-FFF2-40B4-BE49-F238E27FC236}">
              <a16:creationId xmlns:a16="http://schemas.microsoft.com/office/drawing/2014/main" id="{00000000-0008-0000-0A00-0000B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5" name="Shape 11">
          <a:extLst>
            <a:ext uri="{FF2B5EF4-FFF2-40B4-BE49-F238E27FC236}">
              <a16:creationId xmlns:a16="http://schemas.microsoft.com/office/drawing/2014/main" id="{00000000-0008-0000-0A00-0000B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6" name="Shape 11">
          <a:extLst>
            <a:ext uri="{FF2B5EF4-FFF2-40B4-BE49-F238E27FC236}">
              <a16:creationId xmlns:a16="http://schemas.microsoft.com/office/drawing/2014/main" id="{00000000-0008-0000-0A00-0000B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7" name="Shape 11">
          <a:extLst>
            <a:ext uri="{FF2B5EF4-FFF2-40B4-BE49-F238E27FC236}">
              <a16:creationId xmlns:a16="http://schemas.microsoft.com/office/drawing/2014/main" id="{00000000-0008-0000-0A00-0000B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8" name="Shape 11">
          <a:extLst>
            <a:ext uri="{FF2B5EF4-FFF2-40B4-BE49-F238E27FC236}">
              <a16:creationId xmlns:a16="http://schemas.microsoft.com/office/drawing/2014/main" id="{00000000-0008-0000-0A00-0000B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489" name="Shape 11">
          <a:extLst>
            <a:ext uri="{FF2B5EF4-FFF2-40B4-BE49-F238E27FC236}">
              <a16:creationId xmlns:a16="http://schemas.microsoft.com/office/drawing/2014/main" id="{00000000-0008-0000-0A00-0000B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0" name="Shape 5">
          <a:extLst>
            <a:ext uri="{FF2B5EF4-FFF2-40B4-BE49-F238E27FC236}">
              <a16:creationId xmlns:a16="http://schemas.microsoft.com/office/drawing/2014/main" id="{00000000-0008-0000-0A00-0000B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1" name="Shape 5">
          <a:extLst>
            <a:ext uri="{FF2B5EF4-FFF2-40B4-BE49-F238E27FC236}">
              <a16:creationId xmlns:a16="http://schemas.microsoft.com/office/drawing/2014/main" id="{00000000-0008-0000-0A00-0000B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2" name="Shape 5">
          <a:extLst>
            <a:ext uri="{FF2B5EF4-FFF2-40B4-BE49-F238E27FC236}">
              <a16:creationId xmlns:a16="http://schemas.microsoft.com/office/drawing/2014/main" id="{00000000-0008-0000-0A00-0000B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3" name="Shape 5">
          <a:extLst>
            <a:ext uri="{FF2B5EF4-FFF2-40B4-BE49-F238E27FC236}">
              <a16:creationId xmlns:a16="http://schemas.microsoft.com/office/drawing/2014/main" id="{00000000-0008-0000-0A00-0000BD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4" name="Shape 6">
          <a:extLst>
            <a:ext uri="{FF2B5EF4-FFF2-40B4-BE49-F238E27FC236}">
              <a16:creationId xmlns:a16="http://schemas.microsoft.com/office/drawing/2014/main" id="{00000000-0008-0000-0A00-0000B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5" name="Shape 6">
          <a:extLst>
            <a:ext uri="{FF2B5EF4-FFF2-40B4-BE49-F238E27FC236}">
              <a16:creationId xmlns:a16="http://schemas.microsoft.com/office/drawing/2014/main" id="{00000000-0008-0000-0A00-0000B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6" name="Shape 6">
          <a:extLst>
            <a:ext uri="{FF2B5EF4-FFF2-40B4-BE49-F238E27FC236}">
              <a16:creationId xmlns:a16="http://schemas.microsoft.com/office/drawing/2014/main" id="{00000000-0008-0000-0A00-0000C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497" name="Shape 6">
          <a:extLst>
            <a:ext uri="{FF2B5EF4-FFF2-40B4-BE49-F238E27FC236}">
              <a16:creationId xmlns:a16="http://schemas.microsoft.com/office/drawing/2014/main" id="{00000000-0008-0000-0A00-0000C1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8" name="Shape 5">
          <a:extLst>
            <a:ext uri="{FF2B5EF4-FFF2-40B4-BE49-F238E27FC236}">
              <a16:creationId xmlns:a16="http://schemas.microsoft.com/office/drawing/2014/main" id="{00000000-0008-0000-0A00-0000C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499" name="Shape 5">
          <a:extLst>
            <a:ext uri="{FF2B5EF4-FFF2-40B4-BE49-F238E27FC236}">
              <a16:creationId xmlns:a16="http://schemas.microsoft.com/office/drawing/2014/main" id="{00000000-0008-0000-0A00-0000C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0" name="Shape 5">
          <a:extLst>
            <a:ext uri="{FF2B5EF4-FFF2-40B4-BE49-F238E27FC236}">
              <a16:creationId xmlns:a16="http://schemas.microsoft.com/office/drawing/2014/main" id="{00000000-0008-0000-0A00-0000C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1" name="Shape 5">
          <a:extLst>
            <a:ext uri="{FF2B5EF4-FFF2-40B4-BE49-F238E27FC236}">
              <a16:creationId xmlns:a16="http://schemas.microsoft.com/office/drawing/2014/main" id="{00000000-0008-0000-0A00-0000C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2" name="Shape 5">
          <a:extLst>
            <a:ext uri="{FF2B5EF4-FFF2-40B4-BE49-F238E27FC236}">
              <a16:creationId xmlns:a16="http://schemas.microsoft.com/office/drawing/2014/main" id="{00000000-0008-0000-0A00-0000C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3" name="Shape 5">
          <a:extLst>
            <a:ext uri="{FF2B5EF4-FFF2-40B4-BE49-F238E27FC236}">
              <a16:creationId xmlns:a16="http://schemas.microsoft.com/office/drawing/2014/main" id="{00000000-0008-0000-0A00-0000C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04" name="Shape 5">
          <a:extLst>
            <a:ext uri="{FF2B5EF4-FFF2-40B4-BE49-F238E27FC236}">
              <a16:creationId xmlns:a16="http://schemas.microsoft.com/office/drawing/2014/main" id="{00000000-0008-0000-0A00-0000C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5" name="Shape 11">
          <a:extLst>
            <a:ext uri="{FF2B5EF4-FFF2-40B4-BE49-F238E27FC236}">
              <a16:creationId xmlns:a16="http://schemas.microsoft.com/office/drawing/2014/main" id="{00000000-0008-0000-0A00-0000C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6" name="Shape 11">
          <a:extLst>
            <a:ext uri="{FF2B5EF4-FFF2-40B4-BE49-F238E27FC236}">
              <a16:creationId xmlns:a16="http://schemas.microsoft.com/office/drawing/2014/main" id="{00000000-0008-0000-0A00-0000C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7" name="Shape 11">
          <a:extLst>
            <a:ext uri="{FF2B5EF4-FFF2-40B4-BE49-F238E27FC236}">
              <a16:creationId xmlns:a16="http://schemas.microsoft.com/office/drawing/2014/main" id="{00000000-0008-0000-0A00-0000C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08" name="Shape 11">
          <a:extLst>
            <a:ext uri="{FF2B5EF4-FFF2-40B4-BE49-F238E27FC236}">
              <a16:creationId xmlns:a16="http://schemas.microsoft.com/office/drawing/2014/main" id="{00000000-0008-0000-0A00-0000CC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09" name="Shape 12">
          <a:extLst>
            <a:ext uri="{FF2B5EF4-FFF2-40B4-BE49-F238E27FC236}">
              <a16:creationId xmlns:a16="http://schemas.microsoft.com/office/drawing/2014/main" id="{00000000-0008-0000-0A00-0000C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0" name="Shape 12">
          <a:extLst>
            <a:ext uri="{FF2B5EF4-FFF2-40B4-BE49-F238E27FC236}">
              <a16:creationId xmlns:a16="http://schemas.microsoft.com/office/drawing/2014/main" id="{00000000-0008-0000-0A00-0000C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1" name="Shape 12">
          <a:extLst>
            <a:ext uri="{FF2B5EF4-FFF2-40B4-BE49-F238E27FC236}">
              <a16:creationId xmlns:a16="http://schemas.microsoft.com/office/drawing/2014/main" id="{00000000-0008-0000-0A00-0000C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61</xdr:row>
      <xdr:rowOff>0</xdr:rowOff>
    </xdr:from>
    <xdr:ext cx="247650" cy="323850"/>
    <xdr:sp macro="" textlink="">
      <xdr:nvSpPr>
        <xdr:cNvPr id="2512" name="Shape 12">
          <a:extLst>
            <a:ext uri="{FF2B5EF4-FFF2-40B4-BE49-F238E27FC236}">
              <a16:creationId xmlns:a16="http://schemas.microsoft.com/office/drawing/2014/main" id="{00000000-0008-0000-0A00-0000D0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3" name="Shape 11">
          <a:extLst>
            <a:ext uri="{FF2B5EF4-FFF2-40B4-BE49-F238E27FC236}">
              <a16:creationId xmlns:a16="http://schemas.microsoft.com/office/drawing/2014/main" id="{00000000-0008-0000-0A00-0000D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4" name="Shape 11">
          <a:extLst>
            <a:ext uri="{FF2B5EF4-FFF2-40B4-BE49-F238E27FC236}">
              <a16:creationId xmlns:a16="http://schemas.microsoft.com/office/drawing/2014/main" id="{00000000-0008-0000-0A00-0000D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5" name="Shape 11">
          <a:extLst>
            <a:ext uri="{FF2B5EF4-FFF2-40B4-BE49-F238E27FC236}">
              <a16:creationId xmlns:a16="http://schemas.microsoft.com/office/drawing/2014/main" id="{00000000-0008-0000-0A00-0000D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6" name="Shape 11">
          <a:extLst>
            <a:ext uri="{FF2B5EF4-FFF2-40B4-BE49-F238E27FC236}">
              <a16:creationId xmlns:a16="http://schemas.microsoft.com/office/drawing/2014/main" id="{00000000-0008-0000-0A00-0000D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7" name="Shape 11">
          <a:extLst>
            <a:ext uri="{FF2B5EF4-FFF2-40B4-BE49-F238E27FC236}">
              <a16:creationId xmlns:a16="http://schemas.microsoft.com/office/drawing/2014/main" id="{00000000-0008-0000-0A00-0000D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8" name="Shape 11">
          <a:extLst>
            <a:ext uri="{FF2B5EF4-FFF2-40B4-BE49-F238E27FC236}">
              <a16:creationId xmlns:a16="http://schemas.microsoft.com/office/drawing/2014/main" id="{00000000-0008-0000-0A00-0000D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61</xdr:row>
      <xdr:rowOff>0</xdr:rowOff>
    </xdr:from>
    <xdr:ext cx="257175" cy="323850"/>
    <xdr:sp macro="" textlink="">
      <xdr:nvSpPr>
        <xdr:cNvPr id="2519" name="Shape 11">
          <a:extLst>
            <a:ext uri="{FF2B5EF4-FFF2-40B4-BE49-F238E27FC236}">
              <a16:creationId xmlns:a16="http://schemas.microsoft.com/office/drawing/2014/main" id="{00000000-0008-0000-0A00-0000D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0" name="Shape 5">
          <a:extLst>
            <a:ext uri="{FF2B5EF4-FFF2-40B4-BE49-F238E27FC236}">
              <a16:creationId xmlns:a16="http://schemas.microsoft.com/office/drawing/2014/main" id="{00000000-0008-0000-0A00-0000D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1" name="Shape 5">
          <a:extLst>
            <a:ext uri="{FF2B5EF4-FFF2-40B4-BE49-F238E27FC236}">
              <a16:creationId xmlns:a16="http://schemas.microsoft.com/office/drawing/2014/main" id="{00000000-0008-0000-0A00-0000D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2" name="Shape 5">
          <a:extLst>
            <a:ext uri="{FF2B5EF4-FFF2-40B4-BE49-F238E27FC236}">
              <a16:creationId xmlns:a16="http://schemas.microsoft.com/office/drawing/2014/main" id="{00000000-0008-0000-0A00-0000D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3" name="Shape 5">
          <a:extLst>
            <a:ext uri="{FF2B5EF4-FFF2-40B4-BE49-F238E27FC236}">
              <a16:creationId xmlns:a16="http://schemas.microsoft.com/office/drawing/2014/main" id="{00000000-0008-0000-0A00-0000DB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4" name="Shape 6">
          <a:extLst>
            <a:ext uri="{FF2B5EF4-FFF2-40B4-BE49-F238E27FC236}">
              <a16:creationId xmlns:a16="http://schemas.microsoft.com/office/drawing/2014/main" id="{00000000-0008-0000-0A00-0000D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5" name="Shape 6">
          <a:extLst>
            <a:ext uri="{FF2B5EF4-FFF2-40B4-BE49-F238E27FC236}">
              <a16:creationId xmlns:a16="http://schemas.microsoft.com/office/drawing/2014/main" id="{00000000-0008-0000-0A00-0000D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6" name="Shape 6">
          <a:extLst>
            <a:ext uri="{FF2B5EF4-FFF2-40B4-BE49-F238E27FC236}">
              <a16:creationId xmlns:a16="http://schemas.microsoft.com/office/drawing/2014/main" id="{00000000-0008-0000-0A00-0000D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27" name="Shape 6">
          <a:extLst>
            <a:ext uri="{FF2B5EF4-FFF2-40B4-BE49-F238E27FC236}">
              <a16:creationId xmlns:a16="http://schemas.microsoft.com/office/drawing/2014/main" id="{00000000-0008-0000-0A00-0000DF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8" name="Shape 5">
          <a:extLst>
            <a:ext uri="{FF2B5EF4-FFF2-40B4-BE49-F238E27FC236}">
              <a16:creationId xmlns:a16="http://schemas.microsoft.com/office/drawing/2014/main" id="{00000000-0008-0000-0A00-0000E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29" name="Shape 5">
          <a:extLst>
            <a:ext uri="{FF2B5EF4-FFF2-40B4-BE49-F238E27FC236}">
              <a16:creationId xmlns:a16="http://schemas.microsoft.com/office/drawing/2014/main" id="{00000000-0008-0000-0A00-0000E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0" name="Shape 5">
          <a:extLst>
            <a:ext uri="{FF2B5EF4-FFF2-40B4-BE49-F238E27FC236}">
              <a16:creationId xmlns:a16="http://schemas.microsoft.com/office/drawing/2014/main" id="{00000000-0008-0000-0A00-0000E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1" name="Shape 5">
          <a:extLst>
            <a:ext uri="{FF2B5EF4-FFF2-40B4-BE49-F238E27FC236}">
              <a16:creationId xmlns:a16="http://schemas.microsoft.com/office/drawing/2014/main" id="{00000000-0008-0000-0A00-0000E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2" name="Shape 5">
          <a:extLst>
            <a:ext uri="{FF2B5EF4-FFF2-40B4-BE49-F238E27FC236}">
              <a16:creationId xmlns:a16="http://schemas.microsoft.com/office/drawing/2014/main" id="{00000000-0008-0000-0A00-0000E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3" name="Shape 5">
          <a:extLst>
            <a:ext uri="{FF2B5EF4-FFF2-40B4-BE49-F238E27FC236}">
              <a16:creationId xmlns:a16="http://schemas.microsoft.com/office/drawing/2014/main" id="{00000000-0008-0000-0A00-0000E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4" name="Shape 5">
          <a:extLst>
            <a:ext uri="{FF2B5EF4-FFF2-40B4-BE49-F238E27FC236}">
              <a16:creationId xmlns:a16="http://schemas.microsoft.com/office/drawing/2014/main" id="{00000000-0008-0000-0A00-0000E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5" name="Shape 11">
          <a:extLst>
            <a:ext uri="{FF2B5EF4-FFF2-40B4-BE49-F238E27FC236}">
              <a16:creationId xmlns:a16="http://schemas.microsoft.com/office/drawing/2014/main" id="{00000000-0008-0000-0A00-0000E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6" name="Shape 11">
          <a:extLst>
            <a:ext uri="{FF2B5EF4-FFF2-40B4-BE49-F238E27FC236}">
              <a16:creationId xmlns:a16="http://schemas.microsoft.com/office/drawing/2014/main" id="{00000000-0008-0000-0A00-0000E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7" name="Shape 11">
          <a:extLst>
            <a:ext uri="{FF2B5EF4-FFF2-40B4-BE49-F238E27FC236}">
              <a16:creationId xmlns:a16="http://schemas.microsoft.com/office/drawing/2014/main" id="{00000000-0008-0000-0A00-0000E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38" name="Shape 11">
          <a:extLst>
            <a:ext uri="{FF2B5EF4-FFF2-40B4-BE49-F238E27FC236}">
              <a16:creationId xmlns:a16="http://schemas.microsoft.com/office/drawing/2014/main" id="{00000000-0008-0000-0A00-0000EA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39" name="Shape 12">
          <a:extLst>
            <a:ext uri="{FF2B5EF4-FFF2-40B4-BE49-F238E27FC236}">
              <a16:creationId xmlns:a16="http://schemas.microsoft.com/office/drawing/2014/main" id="{00000000-0008-0000-0A00-0000E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0" name="Shape 12">
          <a:extLst>
            <a:ext uri="{FF2B5EF4-FFF2-40B4-BE49-F238E27FC236}">
              <a16:creationId xmlns:a16="http://schemas.microsoft.com/office/drawing/2014/main" id="{00000000-0008-0000-0A00-0000E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1" name="Shape 12">
          <a:extLst>
            <a:ext uri="{FF2B5EF4-FFF2-40B4-BE49-F238E27FC236}">
              <a16:creationId xmlns:a16="http://schemas.microsoft.com/office/drawing/2014/main" id="{00000000-0008-0000-0A00-0000E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42" name="Shape 12">
          <a:extLst>
            <a:ext uri="{FF2B5EF4-FFF2-40B4-BE49-F238E27FC236}">
              <a16:creationId xmlns:a16="http://schemas.microsoft.com/office/drawing/2014/main" id="{00000000-0008-0000-0A00-0000EE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3" name="Shape 11">
          <a:extLst>
            <a:ext uri="{FF2B5EF4-FFF2-40B4-BE49-F238E27FC236}">
              <a16:creationId xmlns:a16="http://schemas.microsoft.com/office/drawing/2014/main" id="{00000000-0008-0000-0A00-0000E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4" name="Shape 11">
          <a:extLst>
            <a:ext uri="{FF2B5EF4-FFF2-40B4-BE49-F238E27FC236}">
              <a16:creationId xmlns:a16="http://schemas.microsoft.com/office/drawing/2014/main" id="{00000000-0008-0000-0A00-0000F0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5" name="Shape 11">
          <a:extLst>
            <a:ext uri="{FF2B5EF4-FFF2-40B4-BE49-F238E27FC236}">
              <a16:creationId xmlns:a16="http://schemas.microsoft.com/office/drawing/2014/main" id="{00000000-0008-0000-0A00-0000F1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6" name="Shape 11">
          <a:extLst>
            <a:ext uri="{FF2B5EF4-FFF2-40B4-BE49-F238E27FC236}">
              <a16:creationId xmlns:a16="http://schemas.microsoft.com/office/drawing/2014/main" id="{00000000-0008-0000-0A00-0000F2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7" name="Shape 11">
          <a:extLst>
            <a:ext uri="{FF2B5EF4-FFF2-40B4-BE49-F238E27FC236}">
              <a16:creationId xmlns:a16="http://schemas.microsoft.com/office/drawing/2014/main" id="{00000000-0008-0000-0A00-0000F3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8" name="Shape 11">
          <a:extLst>
            <a:ext uri="{FF2B5EF4-FFF2-40B4-BE49-F238E27FC236}">
              <a16:creationId xmlns:a16="http://schemas.microsoft.com/office/drawing/2014/main" id="{00000000-0008-0000-0A00-0000F4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49" name="Shape 11">
          <a:extLst>
            <a:ext uri="{FF2B5EF4-FFF2-40B4-BE49-F238E27FC236}">
              <a16:creationId xmlns:a16="http://schemas.microsoft.com/office/drawing/2014/main" id="{00000000-0008-0000-0A00-0000F5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0" name="Shape 5">
          <a:extLst>
            <a:ext uri="{FF2B5EF4-FFF2-40B4-BE49-F238E27FC236}">
              <a16:creationId xmlns:a16="http://schemas.microsoft.com/office/drawing/2014/main" id="{00000000-0008-0000-0A00-0000F6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1" name="Shape 5">
          <a:extLst>
            <a:ext uri="{FF2B5EF4-FFF2-40B4-BE49-F238E27FC236}">
              <a16:creationId xmlns:a16="http://schemas.microsoft.com/office/drawing/2014/main" id="{00000000-0008-0000-0A00-0000F7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2" name="Shape 5">
          <a:extLst>
            <a:ext uri="{FF2B5EF4-FFF2-40B4-BE49-F238E27FC236}">
              <a16:creationId xmlns:a16="http://schemas.microsoft.com/office/drawing/2014/main" id="{00000000-0008-0000-0A00-0000F8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3" name="Shape 5">
          <a:extLst>
            <a:ext uri="{FF2B5EF4-FFF2-40B4-BE49-F238E27FC236}">
              <a16:creationId xmlns:a16="http://schemas.microsoft.com/office/drawing/2014/main" id="{00000000-0008-0000-0A00-0000F9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4" name="Shape 6">
          <a:extLst>
            <a:ext uri="{FF2B5EF4-FFF2-40B4-BE49-F238E27FC236}">
              <a16:creationId xmlns:a16="http://schemas.microsoft.com/office/drawing/2014/main" id="{00000000-0008-0000-0A00-0000FA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5" name="Shape 6">
          <a:extLst>
            <a:ext uri="{FF2B5EF4-FFF2-40B4-BE49-F238E27FC236}">
              <a16:creationId xmlns:a16="http://schemas.microsoft.com/office/drawing/2014/main" id="{00000000-0008-0000-0A00-0000FB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6" name="Shape 6">
          <a:extLst>
            <a:ext uri="{FF2B5EF4-FFF2-40B4-BE49-F238E27FC236}">
              <a16:creationId xmlns:a16="http://schemas.microsoft.com/office/drawing/2014/main" id="{00000000-0008-0000-0A00-0000FC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57" name="Shape 6">
          <a:extLst>
            <a:ext uri="{FF2B5EF4-FFF2-40B4-BE49-F238E27FC236}">
              <a16:creationId xmlns:a16="http://schemas.microsoft.com/office/drawing/2014/main" id="{00000000-0008-0000-0A00-0000FD09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8" name="Shape 5">
          <a:extLst>
            <a:ext uri="{FF2B5EF4-FFF2-40B4-BE49-F238E27FC236}">
              <a16:creationId xmlns:a16="http://schemas.microsoft.com/office/drawing/2014/main" id="{00000000-0008-0000-0A00-0000FE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59" name="Shape 5">
          <a:extLst>
            <a:ext uri="{FF2B5EF4-FFF2-40B4-BE49-F238E27FC236}">
              <a16:creationId xmlns:a16="http://schemas.microsoft.com/office/drawing/2014/main" id="{00000000-0008-0000-0A00-0000FF09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0" name="Shape 5">
          <a:extLst>
            <a:ext uri="{FF2B5EF4-FFF2-40B4-BE49-F238E27FC236}">
              <a16:creationId xmlns:a16="http://schemas.microsoft.com/office/drawing/2014/main" id="{00000000-0008-0000-0A00-00000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1" name="Shape 5">
          <a:extLst>
            <a:ext uri="{FF2B5EF4-FFF2-40B4-BE49-F238E27FC236}">
              <a16:creationId xmlns:a16="http://schemas.microsoft.com/office/drawing/2014/main" id="{00000000-0008-0000-0A00-00000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2" name="Shape 5">
          <a:extLst>
            <a:ext uri="{FF2B5EF4-FFF2-40B4-BE49-F238E27FC236}">
              <a16:creationId xmlns:a16="http://schemas.microsoft.com/office/drawing/2014/main" id="{00000000-0008-0000-0A00-00000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3" name="Shape 5">
          <a:extLst>
            <a:ext uri="{FF2B5EF4-FFF2-40B4-BE49-F238E27FC236}">
              <a16:creationId xmlns:a16="http://schemas.microsoft.com/office/drawing/2014/main" id="{00000000-0008-0000-0A00-00000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64" name="Shape 5">
          <a:extLst>
            <a:ext uri="{FF2B5EF4-FFF2-40B4-BE49-F238E27FC236}">
              <a16:creationId xmlns:a16="http://schemas.microsoft.com/office/drawing/2014/main" id="{00000000-0008-0000-0A00-00000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5" name="Shape 11">
          <a:extLst>
            <a:ext uri="{FF2B5EF4-FFF2-40B4-BE49-F238E27FC236}">
              <a16:creationId xmlns:a16="http://schemas.microsoft.com/office/drawing/2014/main" id="{00000000-0008-0000-0A00-00000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6" name="Shape 11">
          <a:extLst>
            <a:ext uri="{FF2B5EF4-FFF2-40B4-BE49-F238E27FC236}">
              <a16:creationId xmlns:a16="http://schemas.microsoft.com/office/drawing/2014/main" id="{00000000-0008-0000-0A00-00000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7" name="Shape 11">
          <a:extLst>
            <a:ext uri="{FF2B5EF4-FFF2-40B4-BE49-F238E27FC236}">
              <a16:creationId xmlns:a16="http://schemas.microsoft.com/office/drawing/2014/main" id="{00000000-0008-0000-0A00-00000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68" name="Shape 11">
          <a:extLst>
            <a:ext uri="{FF2B5EF4-FFF2-40B4-BE49-F238E27FC236}">
              <a16:creationId xmlns:a16="http://schemas.microsoft.com/office/drawing/2014/main" id="{00000000-0008-0000-0A00-00000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69" name="Shape 12">
          <a:extLst>
            <a:ext uri="{FF2B5EF4-FFF2-40B4-BE49-F238E27FC236}">
              <a16:creationId xmlns:a16="http://schemas.microsoft.com/office/drawing/2014/main" id="{00000000-0008-0000-0A00-00000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0" name="Shape 12">
          <a:extLst>
            <a:ext uri="{FF2B5EF4-FFF2-40B4-BE49-F238E27FC236}">
              <a16:creationId xmlns:a16="http://schemas.microsoft.com/office/drawing/2014/main" id="{00000000-0008-0000-0A00-00000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1" name="Shape 12">
          <a:extLst>
            <a:ext uri="{FF2B5EF4-FFF2-40B4-BE49-F238E27FC236}">
              <a16:creationId xmlns:a16="http://schemas.microsoft.com/office/drawing/2014/main" id="{00000000-0008-0000-0A00-00000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62</xdr:row>
      <xdr:rowOff>0</xdr:rowOff>
    </xdr:from>
    <xdr:ext cx="247650" cy="323850"/>
    <xdr:sp macro="" textlink="">
      <xdr:nvSpPr>
        <xdr:cNvPr id="2572" name="Shape 12">
          <a:extLst>
            <a:ext uri="{FF2B5EF4-FFF2-40B4-BE49-F238E27FC236}">
              <a16:creationId xmlns:a16="http://schemas.microsoft.com/office/drawing/2014/main" id="{00000000-0008-0000-0A00-00000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3" name="Shape 11">
          <a:extLst>
            <a:ext uri="{FF2B5EF4-FFF2-40B4-BE49-F238E27FC236}">
              <a16:creationId xmlns:a16="http://schemas.microsoft.com/office/drawing/2014/main" id="{00000000-0008-0000-0A00-00000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4" name="Shape 11">
          <a:extLst>
            <a:ext uri="{FF2B5EF4-FFF2-40B4-BE49-F238E27FC236}">
              <a16:creationId xmlns:a16="http://schemas.microsoft.com/office/drawing/2014/main" id="{00000000-0008-0000-0A00-00000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5" name="Shape 11">
          <a:extLst>
            <a:ext uri="{FF2B5EF4-FFF2-40B4-BE49-F238E27FC236}">
              <a16:creationId xmlns:a16="http://schemas.microsoft.com/office/drawing/2014/main" id="{00000000-0008-0000-0A00-00000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6" name="Shape 11">
          <a:extLst>
            <a:ext uri="{FF2B5EF4-FFF2-40B4-BE49-F238E27FC236}">
              <a16:creationId xmlns:a16="http://schemas.microsoft.com/office/drawing/2014/main" id="{00000000-0008-0000-0A00-00001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7" name="Shape 11">
          <a:extLst>
            <a:ext uri="{FF2B5EF4-FFF2-40B4-BE49-F238E27FC236}">
              <a16:creationId xmlns:a16="http://schemas.microsoft.com/office/drawing/2014/main" id="{00000000-0008-0000-0A00-00001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8" name="Shape 11">
          <a:extLst>
            <a:ext uri="{FF2B5EF4-FFF2-40B4-BE49-F238E27FC236}">
              <a16:creationId xmlns:a16="http://schemas.microsoft.com/office/drawing/2014/main" id="{00000000-0008-0000-0A00-00001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62</xdr:row>
      <xdr:rowOff>0</xdr:rowOff>
    </xdr:from>
    <xdr:ext cx="257175" cy="323850"/>
    <xdr:sp macro="" textlink="">
      <xdr:nvSpPr>
        <xdr:cNvPr id="2579" name="Shape 11">
          <a:extLst>
            <a:ext uri="{FF2B5EF4-FFF2-40B4-BE49-F238E27FC236}">
              <a16:creationId xmlns:a16="http://schemas.microsoft.com/office/drawing/2014/main" id="{00000000-0008-0000-0A00-00001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0" name="Shape 5">
          <a:extLst>
            <a:ext uri="{FF2B5EF4-FFF2-40B4-BE49-F238E27FC236}">
              <a16:creationId xmlns:a16="http://schemas.microsoft.com/office/drawing/2014/main" id="{00000000-0008-0000-0A00-00001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1" name="Shape 5">
          <a:extLst>
            <a:ext uri="{FF2B5EF4-FFF2-40B4-BE49-F238E27FC236}">
              <a16:creationId xmlns:a16="http://schemas.microsoft.com/office/drawing/2014/main" id="{00000000-0008-0000-0A00-00001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2" name="Shape 5">
          <a:extLst>
            <a:ext uri="{FF2B5EF4-FFF2-40B4-BE49-F238E27FC236}">
              <a16:creationId xmlns:a16="http://schemas.microsoft.com/office/drawing/2014/main" id="{00000000-0008-0000-0A00-00001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3" name="Shape 5">
          <a:extLst>
            <a:ext uri="{FF2B5EF4-FFF2-40B4-BE49-F238E27FC236}">
              <a16:creationId xmlns:a16="http://schemas.microsoft.com/office/drawing/2014/main" id="{00000000-0008-0000-0A00-00001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4" name="Shape 6">
          <a:extLst>
            <a:ext uri="{FF2B5EF4-FFF2-40B4-BE49-F238E27FC236}">
              <a16:creationId xmlns:a16="http://schemas.microsoft.com/office/drawing/2014/main" id="{00000000-0008-0000-0A00-00001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5" name="Shape 6">
          <a:extLst>
            <a:ext uri="{FF2B5EF4-FFF2-40B4-BE49-F238E27FC236}">
              <a16:creationId xmlns:a16="http://schemas.microsoft.com/office/drawing/2014/main" id="{00000000-0008-0000-0A00-00001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6" name="Shape 6">
          <a:extLst>
            <a:ext uri="{FF2B5EF4-FFF2-40B4-BE49-F238E27FC236}">
              <a16:creationId xmlns:a16="http://schemas.microsoft.com/office/drawing/2014/main" id="{00000000-0008-0000-0A00-00001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87" name="Shape 6">
          <a:extLst>
            <a:ext uri="{FF2B5EF4-FFF2-40B4-BE49-F238E27FC236}">
              <a16:creationId xmlns:a16="http://schemas.microsoft.com/office/drawing/2014/main" id="{00000000-0008-0000-0A00-00001B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8" name="Shape 5">
          <a:extLst>
            <a:ext uri="{FF2B5EF4-FFF2-40B4-BE49-F238E27FC236}">
              <a16:creationId xmlns:a16="http://schemas.microsoft.com/office/drawing/2014/main" id="{00000000-0008-0000-0A00-00001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89" name="Shape 5">
          <a:extLst>
            <a:ext uri="{FF2B5EF4-FFF2-40B4-BE49-F238E27FC236}">
              <a16:creationId xmlns:a16="http://schemas.microsoft.com/office/drawing/2014/main" id="{00000000-0008-0000-0A00-00001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0" name="Shape 5">
          <a:extLst>
            <a:ext uri="{FF2B5EF4-FFF2-40B4-BE49-F238E27FC236}">
              <a16:creationId xmlns:a16="http://schemas.microsoft.com/office/drawing/2014/main" id="{00000000-0008-0000-0A00-00001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1" name="Shape 5">
          <a:extLst>
            <a:ext uri="{FF2B5EF4-FFF2-40B4-BE49-F238E27FC236}">
              <a16:creationId xmlns:a16="http://schemas.microsoft.com/office/drawing/2014/main" id="{00000000-0008-0000-0A00-00001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2" name="Shape 5">
          <a:extLst>
            <a:ext uri="{FF2B5EF4-FFF2-40B4-BE49-F238E27FC236}">
              <a16:creationId xmlns:a16="http://schemas.microsoft.com/office/drawing/2014/main" id="{00000000-0008-0000-0A00-00002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3" name="Shape 5">
          <a:extLst>
            <a:ext uri="{FF2B5EF4-FFF2-40B4-BE49-F238E27FC236}">
              <a16:creationId xmlns:a16="http://schemas.microsoft.com/office/drawing/2014/main" id="{00000000-0008-0000-0A00-00002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4" name="Shape 5">
          <a:extLst>
            <a:ext uri="{FF2B5EF4-FFF2-40B4-BE49-F238E27FC236}">
              <a16:creationId xmlns:a16="http://schemas.microsoft.com/office/drawing/2014/main" id="{00000000-0008-0000-0A00-00002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5" name="Shape 11">
          <a:extLst>
            <a:ext uri="{FF2B5EF4-FFF2-40B4-BE49-F238E27FC236}">
              <a16:creationId xmlns:a16="http://schemas.microsoft.com/office/drawing/2014/main" id="{00000000-0008-0000-0A00-00002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6" name="Shape 11">
          <a:extLst>
            <a:ext uri="{FF2B5EF4-FFF2-40B4-BE49-F238E27FC236}">
              <a16:creationId xmlns:a16="http://schemas.microsoft.com/office/drawing/2014/main" id="{00000000-0008-0000-0A00-00002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7" name="Shape 11">
          <a:extLst>
            <a:ext uri="{FF2B5EF4-FFF2-40B4-BE49-F238E27FC236}">
              <a16:creationId xmlns:a16="http://schemas.microsoft.com/office/drawing/2014/main" id="{00000000-0008-0000-0A00-00002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598" name="Shape 11">
          <a:extLst>
            <a:ext uri="{FF2B5EF4-FFF2-40B4-BE49-F238E27FC236}">
              <a16:creationId xmlns:a16="http://schemas.microsoft.com/office/drawing/2014/main" id="{00000000-0008-0000-0A00-00002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599" name="Shape 12">
          <a:extLst>
            <a:ext uri="{FF2B5EF4-FFF2-40B4-BE49-F238E27FC236}">
              <a16:creationId xmlns:a16="http://schemas.microsoft.com/office/drawing/2014/main" id="{00000000-0008-0000-0A00-00002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0" name="Shape 12">
          <a:extLst>
            <a:ext uri="{FF2B5EF4-FFF2-40B4-BE49-F238E27FC236}">
              <a16:creationId xmlns:a16="http://schemas.microsoft.com/office/drawing/2014/main" id="{00000000-0008-0000-0A00-00002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1" name="Shape 12">
          <a:extLst>
            <a:ext uri="{FF2B5EF4-FFF2-40B4-BE49-F238E27FC236}">
              <a16:creationId xmlns:a16="http://schemas.microsoft.com/office/drawing/2014/main" id="{00000000-0008-0000-0A00-00002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02" name="Shape 12">
          <a:extLst>
            <a:ext uri="{FF2B5EF4-FFF2-40B4-BE49-F238E27FC236}">
              <a16:creationId xmlns:a16="http://schemas.microsoft.com/office/drawing/2014/main" id="{00000000-0008-0000-0A00-00002A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3" name="Shape 11">
          <a:extLst>
            <a:ext uri="{FF2B5EF4-FFF2-40B4-BE49-F238E27FC236}">
              <a16:creationId xmlns:a16="http://schemas.microsoft.com/office/drawing/2014/main" id="{00000000-0008-0000-0A00-00002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4" name="Shape 11">
          <a:extLst>
            <a:ext uri="{FF2B5EF4-FFF2-40B4-BE49-F238E27FC236}">
              <a16:creationId xmlns:a16="http://schemas.microsoft.com/office/drawing/2014/main" id="{00000000-0008-0000-0A00-00002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5" name="Shape 11">
          <a:extLst>
            <a:ext uri="{FF2B5EF4-FFF2-40B4-BE49-F238E27FC236}">
              <a16:creationId xmlns:a16="http://schemas.microsoft.com/office/drawing/2014/main" id="{00000000-0008-0000-0A00-00002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6" name="Shape 11">
          <a:extLst>
            <a:ext uri="{FF2B5EF4-FFF2-40B4-BE49-F238E27FC236}">
              <a16:creationId xmlns:a16="http://schemas.microsoft.com/office/drawing/2014/main" id="{00000000-0008-0000-0A00-00002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7" name="Shape 11">
          <a:extLst>
            <a:ext uri="{FF2B5EF4-FFF2-40B4-BE49-F238E27FC236}">
              <a16:creationId xmlns:a16="http://schemas.microsoft.com/office/drawing/2014/main" id="{00000000-0008-0000-0A00-00002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8" name="Shape 11">
          <a:extLst>
            <a:ext uri="{FF2B5EF4-FFF2-40B4-BE49-F238E27FC236}">
              <a16:creationId xmlns:a16="http://schemas.microsoft.com/office/drawing/2014/main" id="{00000000-0008-0000-0A00-00003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09" name="Shape 11">
          <a:extLst>
            <a:ext uri="{FF2B5EF4-FFF2-40B4-BE49-F238E27FC236}">
              <a16:creationId xmlns:a16="http://schemas.microsoft.com/office/drawing/2014/main" id="{00000000-0008-0000-0A00-00003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0" name="Shape 5">
          <a:extLst>
            <a:ext uri="{FF2B5EF4-FFF2-40B4-BE49-F238E27FC236}">
              <a16:creationId xmlns:a16="http://schemas.microsoft.com/office/drawing/2014/main" id="{00000000-0008-0000-0A00-00003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1" name="Shape 5">
          <a:extLst>
            <a:ext uri="{FF2B5EF4-FFF2-40B4-BE49-F238E27FC236}">
              <a16:creationId xmlns:a16="http://schemas.microsoft.com/office/drawing/2014/main" id="{00000000-0008-0000-0A00-00003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2" name="Shape 5">
          <a:extLst>
            <a:ext uri="{FF2B5EF4-FFF2-40B4-BE49-F238E27FC236}">
              <a16:creationId xmlns:a16="http://schemas.microsoft.com/office/drawing/2014/main" id="{00000000-0008-0000-0A00-00003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3" name="Shape 5">
          <a:extLst>
            <a:ext uri="{FF2B5EF4-FFF2-40B4-BE49-F238E27FC236}">
              <a16:creationId xmlns:a16="http://schemas.microsoft.com/office/drawing/2014/main" id="{00000000-0008-0000-0A00-00003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4" name="Shape 6">
          <a:extLst>
            <a:ext uri="{FF2B5EF4-FFF2-40B4-BE49-F238E27FC236}">
              <a16:creationId xmlns:a16="http://schemas.microsoft.com/office/drawing/2014/main" id="{00000000-0008-0000-0A00-00003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5" name="Shape 6">
          <a:extLst>
            <a:ext uri="{FF2B5EF4-FFF2-40B4-BE49-F238E27FC236}">
              <a16:creationId xmlns:a16="http://schemas.microsoft.com/office/drawing/2014/main" id="{00000000-0008-0000-0A00-00003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6" name="Shape 6">
          <a:extLst>
            <a:ext uri="{FF2B5EF4-FFF2-40B4-BE49-F238E27FC236}">
              <a16:creationId xmlns:a16="http://schemas.microsoft.com/office/drawing/2014/main" id="{00000000-0008-0000-0A00-00003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17" name="Shape 6">
          <a:extLst>
            <a:ext uri="{FF2B5EF4-FFF2-40B4-BE49-F238E27FC236}">
              <a16:creationId xmlns:a16="http://schemas.microsoft.com/office/drawing/2014/main" id="{00000000-0008-0000-0A00-000039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8" name="Shape 5">
          <a:extLst>
            <a:ext uri="{FF2B5EF4-FFF2-40B4-BE49-F238E27FC236}">
              <a16:creationId xmlns:a16="http://schemas.microsoft.com/office/drawing/2014/main" id="{00000000-0008-0000-0A00-00003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19" name="Shape 5">
          <a:extLst>
            <a:ext uri="{FF2B5EF4-FFF2-40B4-BE49-F238E27FC236}">
              <a16:creationId xmlns:a16="http://schemas.microsoft.com/office/drawing/2014/main" id="{00000000-0008-0000-0A00-00003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0" name="Shape 5">
          <a:extLst>
            <a:ext uri="{FF2B5EF4-FFF2-40B4-BE49-F238E27FC236}">
              <a16:creationId xmlns:a16="http://schemas.microsoft.com/office/drawing/2014/main" id="{00000000-0008-0000-0A00-00003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1" name="Shape 5">
          <a:extLst>
            <a:ext uri="{FF2B5EF4-FFF2-40B4-BE49-F238E27FC236}">
              <a16:creationId xmlns:a16="http://schemas.microsoft.com/office/drawing/2014/main" id="{00000000-0008-0000-0A00-00003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2" name="Shape 5">
          <a:extLst>
            <a:ext uri="{FF2B5EF4-FFF2-40B4-BE49-F238E27FC236}">
              <a16:creationId xmlns:a16="http://schemas.microsoft.com/office/drawing/2014/main" id="{00000000-0008-0000-0A00-00003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3" name="Shape 5">
          <a:extLst>
            <a:ext uri="{FF2B5EF4-FFF2-40B4-BE49-F238E27FC236}">
              <a16:creationId xmlns:a16="http://schemas.microsoft.com/office/drawing/2014/main" id="{00000000-0008-0000-0A00-00003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4" name="Shape 5">
          <a:extLst>
            <a:ext uri="{FF2B5EF4-FFF2-40B4-BE49-F238E27FC236}">
              <a16:creationId xmlns:a16="http://schemas.microsoft.com/office/drawing/2014/main" id="{00000000-0008-0000-0A00-00004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5" name="Shape 11">
          <a:extLst>
            <a:ext uri="{FF2B5EF4-FFF2-40B4-BE49-F238E27FC236}">
              <a16:creationId xmlns:a16="http://schemas.microsoft.com/office/drawing/2014/main" id="{00000000-0008-0000-0A00-00004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6" name="Shape 11">
          <a:extLst>
            <a:ext uri="{FF2B5EF4-FFF2-40B4-BE49-F238E27FC236}">
              <a16:creationId xmlns:a16="http://schemas.microsoft.com/office/drawing/2014/main" id="{00000000-0008-0000-0A00-00004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7" name="Shape 11">
          <a:extLst>
            <a:ext uri="{FF2B5EF4-FFF2-40B4-BE49-F238E27FC236}">
              <a16:creationId xmlns:a16="http://schemas.microsoft.com/office/drawing/2014/main" id="{00000000-0008-0000-0A00-00004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28" name="Shape 11">
          <a:extLst>
            <a:ext uri="{FF2B5EF4-FFF2-40B4-BE49-F238E27FC236}">
              <a16:creationId xmlns:a16="http://schemas.microsoft.com/office/drawing/2014/main" id="{00000000-0008-0000-0A00-00004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29" name="Shape 12">
          <a:extLst>
            <a:ext uri="{FF2B5EF4-FFF2-40B4-BE49-F238E27FC236}">
              <a16:creationId xmlns:a16="http://schemas.microsoft.com/office/drawing/2014/main" id="{00000000-0008-0000-0A00-00004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0" name="Shape 12">
          <a:extLst>
            <a:ext uri="{FF2B5EF4-FFF2-40B4-BE49-F238E27FC236}">
              <a16:creationId xmlns:a16="http://schemas.microsoft.com/office/drawing/2014/main" id="{00000000-0008-0000-0A00-00004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1" name="Shape 12">
          <a:extLst>
            <a:ext uri="{FF2B5EF4-FFF2-40B4-BE49-F238E27FC236}">
              <a16:creationId xmlns:a16="http://schemas.microsoft.com/office/drawing/2014/main" id="{00000000-0008-0000-0A00-00004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32" name="Shape 12">
          <a:extLst>
            <a:ext uri="{FF2B5EF4-FFF2-40B4-BE49-F238E27FC236}">
              <a16:creationId xmlns:a16="http://schemas.microsoft.com/office/drawing/2014/main" id="{00000000-0008-0000-0A00-000048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3" name="Shape 11">
          <a:extLst>
            <a:ext uri="{FF2B5EF4-FFF2-40B4-BE49-F238E27FC236}">
              <a16:creationId xmlns:a16="http://schemas.microsoft.com/office/drawing/2014/main" id="{00000000-0008-0000-0A00-00004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4" name="Shape 11">
          <a:extLst>
            <a:ext uri="{FF2B5EF4-FFF2-40B4-BE49-F238E27FC236}">
              <a16:creationId xmlns:a16="http://schemas.microsoft.com/office/drawing/2014/main" id="{00000000-0008-0000-0A00-00004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5" name="Shape 11">
          <a:extLst>
            <a:ext uri="{FF2B5EF4-FFF2-40B4-BE49-F238E27FC236}">
              <a16:creationId xmlns:a16="http://schemas.microsoft.com/office/drawing/2014/main" id="{00000000-0008-0000-0A00-00004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6" name="Shape 11">
          <a:extLst>
            <a:ext uri="{FF2B5EF4-FFF2-40B4-BE49-F238E27FC236}">
              <a16:creationId xmlns:a16="http://schemas.microsoft.com/office/drawing/2014/main" id="{00000000-0008-0000-0A00-00004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7" name="Shape 11">
          <a:extLst>
            <a:ext uri="{FF2B5EF4-FFF2-40B4-BE49-F238E27FC236}">
              <a16:creationId xmlns:a16="http://schemas.microsoft.com/office/drawing/2014/main" id="{00000000-0008-0000-0A00-00004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8" name="Shape 11">
          <a:extLst>
            <a:ext uri="{FF2B5EF4-FFF2-40B4-BE49-F238E27FC236}">
              <a16:creationId xmlns:a16="http://schemas.microsoft.com/office/drawing/2014/main" id="{00000000-0008-0000-0A00-00004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39" name="Shape 11">
          <a:extLst>
            <a:ext uri="{FF2B5EF4-FFF2-40B4-BE49-F238E27FC236}">
              <a16:creationId xmlns:a16="http://schemas.microsoft.com/office/drawing/2014/main" id="{00000000-0008-0000-0A00-00004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0" name="Shape 5">
          <a:extLst>
            <a:ext uri="{FF2B5EF4-FFF2-40B4-BE49-F238E27FC236}">
              <a16:creationId xmlns:a16="http://schemas.microsoft.com/office/drawing/2014/main" id="{00000000-0008-0000-0A00-00005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1" name="Shape 5">
          <a:extLst>
            <a:ext uri="{FF2B5EF4-FFF2-40B4-BE49-F238E27FC236}">
              <a16:creationId xmlns:a16="http://schemas.microsoft.com/office/drawing/2014/main" id="{00000000-0008-0000-0A00-00005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2" name="Shape 5">
          <a:extLst>
            <a:ext uri="{FF2B5EF4-FFF2-40B4-BE49-F238E27FC236}">
              <a16:creationId xmlns:a16="http://schemas.microsoft.com/office/drawing/2014/main" id="{00000000-0008-0000-0A00-00005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3" name="Shape 5">
          <a:extLst>
            <a:ext uri="{FF2B5EF4-FFF2-40B4-BE49-F238E27FC236}">
              <a16:creationId xmlns:a16="http://schemas.microsoft.com/office/drawing/2014/main" id="{00000000-0008-0000-0A00-00005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4" name="Shape 6">
          <a:extLst>
            <a:ext uri="{FF2B5EF4-FFF2-40B4-BE49-F238E27FC236}">
              <a16:creationId xmlns:a16="http://schemas.microsoft.com/office/drawing/2014/main" id="{00000000-0008-0000-0A00-00005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5" name="Shape 6">
          <a:extLst>
            <a:ext uri="{FF2B5EF4-FFF2-40B4-BE49-F238E27FC236}">
              <a16:creationId xmlns:a16="http://schemas.microsoft.com/office/drawing/2014/main" id="{00000000-0008-0000-0A00-00005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6" name="Shape 6">
          <a:extLst>
            <a:ext uri="{FF2B5EF4-FFF2-40B4-BE49-F238E27FC236}">
              <a16:creationId xmlns:a16="http://schemas.microsoft.com/office/drawing/2014/main" id="{00000000-0008-0000-0A00-00005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47" name="Shape 6">
          <a:extLst>
            <a:ext uri="{FF2B5EF4-FFF2-40B4-BE49-F238E27FC236}">
              <a16:creationId xmlns:a16="http://schemas.microsoft.com/office/drawing/2014/main" id="{00000000-0008-0000-0A00-000057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8" name="Shape 5">
          <a:extLst>
            <a:ext uri="{FF2B5EF4-FFF2-40B4-BE49-F238E27FC236}">
              <a16:creationId xmlns:a16="http://schemas.microsoft.com/office/drawing/2014/main" id="{00000000-0008-0000-0A00-00005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49" name="Shape 5">
          <a:extLst>
            <a:ext uri="{FF2B5EF4-FFF2-40B4-BE49-F238E27FC236}">
              <a16:creationId xmlns:a16="http://schemas.microsoft.com/office/drawing/2014/main" id="{00000000-0008-0000-0A00-00005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0" name="Shape 5">
          <a:extLst>
            <a:ext uri="{FF2B5EF4-FFF2-40B4-BE49-F238E27FC236}">
              <a16:creationId xmlns:a16="http://schemas.microsoft.com/office/drawing/2014/main" id="{00000000-0008-0000-0A00-00005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1" name="Shape 5">
          <a:extLst>
            <a:ext uri="{FF2B5EF4-FFF2-40B4-BE49-F238E27FC236}">
              <a16:creationId xmlns:a16="http://schemas.microsoft.com/office/drawing/2014/main" id="{00000000-0008-0000-0A00-00005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2" name="Shape 5">
          <a:extLst>
            <a:ext uri="{FF2B5EF4-FFF2-40B4-BE49-F238E27FC236}">
              <a16:creationId xmlns:a16="http://schemas.microsoft.com/office/drawing/2014/main" id="{00000000-0008-0000-0A00-00005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3" name="Shape 5">
          <a:extLst>
            <a:ext uri="{FF2B5EF4-FFF2-40B4-BE49-F238E27FC236}">
              <a16:creationId xmlns:a16="http://schemas.microsoft.com/office/drawing/2014/main" id="{00000000-0008-0000-0A00-00005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4" name="Shape 5">
          <a:extLst>
            <a:ext uri="{FF2B5EF4-FFF2-40B4-BE49-F238E27FC236}">
              <a16:creationId xmlns:a16="http://schemas.microsoft.com/office/drawing/2014/main" id="{00000000-0008-0000-0A00-00005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5" name="Shape 11">
          <a:extLst>
            <a:ext uri="{FF2B5EF4-FFF2-40B4-BE49-F238E27FC236}">
              <a16:creationId xmlns:a16="http://schemas.microsoft.com/office/drawing/2014/main" id="{00000000-0008-0000-0A00-00005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6" name="Shape 11">
          <a:extLst>
            <a:ext uri="{FF2B5EF4-FFF2-40B4-BE49-F238E27FC236}">
              <a16:creationId xmlns:a16="http://schemas.microsoft.com/office/drawing/2014/main" id="{00000000-0008-0000-0A00-00006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7" name="Shape 11">
          <a:extLst>
            <a:ext uri="{FF2B5EF4-FFF2-40B4-BE49-F238E27FC236}">
              <a16:creationId xmlns:a16="http://schemas.microsoft.com/office/drawing/2014/main" id="{00000000-0008-0000-0A00-00006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58" name="Shape 11">
          <a:extLst>
            <a:ext uri="{FF2B5EF4-FFF2-40B4-BE49-F238E27FC236}">
              <a16:creationId xmlns:a16="http://schemas.microsoft.com/office/drawing/2014/main" id="{00000000-0008-0000-0A00-00006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59" name="Shape 12">
          <a:extLst>
            <a:ext uri="{FF2B5EF4-FFF2-40B4-BE49-F238E27FC236}">
              <a16:creationId xmlns:a16="http://schemas.microsoft.com/office/drawing/2014/main" id="{00000000-0008-0000-0A00-00006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0" name="Shape 12">
          <a:extLst>
            <a:ext uri="{FF2B5EF4-FFF2-40B4-BE49-F238E27FC236}">
              <a16:creationId xmlns:a16="http://schemas.microsoft.com/office/drawing/2014/main" id="{00000000-0008-0000-0A00-00006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1" name="Shape 12">
          <a:extLst>
            <a:ext uri="{FF2B5EF4-FFF2-40B4-BE49-F238E27FC236}">
              <a16:creationId xmlns:a16="http://schemas.microsoft.com/office/drawing/2014/main" id="{00000000-0008-0000-0A00-00006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62" name="Shape 12">
          <a:extLst>
            <a:ext uri="{FF2B5EF4-FFF2-40B4-BE49-F238E27FC236}">
              <a16:creationId xmlns:a16="http://schemas.microsoft.com/office/drawing/2014/main" id="{00000000-0008-0000-0A00-000066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3" name="Shape 11">
          <a:extLst>
            <a:ext uri="{FF2B5EF4-FFF2-40B4-BE49-F238E27FC236}">
              <a16:creationId xmlns:a16="http://schemas.microsoft.com/office/drawing/2014/main" id="{00000000-0008-0000-0A00-00006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4" name="Shape 11">
          <a:extLst>
            <a:ext uri="{FF2B5EF4-FFF2-40B4-BE49-F238E27FC236}">
              <a16:creationId xmlns:a16="http://schemas.microsoft.com/office/drawing/2014/main" id="{00000000-0008-0000-0A00-00006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5" name="Shape 11">
          <a:extLst>
            <a:ext uri="{FF2B5EF4-FFF2-40B4-BE49-F238E27FC236}">
              <a16:creationId xmlns:a16="http://schemas.microsoft.com/office/drawing/2014/main" id="{00000000-0008-0000-0A00-00006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6" name="Shape 11">
          <a:extLst>
            <a:ext uri="{FF2B5EF4-FFF2-40B4-BE49-F238E27FC236}">
              <a16:creationId xmlns:a16="http://schemas.microsoft.com/office/drawing/2014/main" id="{00000000-0008-0000-0A00-00006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7" name="Shape 11">
          <a:extLst>
            <a:ext uri="{FF2B5EF4-FFF2-40B4-BE49-F238E27FC236}">
              <a16:creationId xmlns:a16="http://schemas.microsoft.com/office/drawing/2014/main" id="{00000000-0008-0000-0A00-00006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8" name="Shape 11">
          <a:extLst>
            <a:ext uri="{FF2B5EF4-FFF2-40B4-BE49-F238E27FC236}">
              <a16:creationId xmlns:a16="http://schemas.microsoft.com/office/drawing/2014/main" id="{00000000-0008-0000-0A00-00006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69" name="Shape 11">
          <a:extLst>
            <a:ext uri="{FF2B5EF4-FFF2-40B4-BE49-F238E27FC236}">
              <a16:creationId xmlns:a16="http://schemas.microsoft.com/office/drawing/2014/main" id="{00000000-0008-0000-0A00-00006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0" name="Shape 5">
          <a:extLst>
            <a:ext uri="{FF2B5EF4-FFF2-40B4-BE49-F238E27FC236}">
              <a16:creationId xmlns:a16="http://schemas.microsoft.com/office/drawing/2014/main" id="{00000000-0008-0000-0A00-00006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1" name="Shape 5">
          <a:extLst>
            <a:ext uri="{FF2B5EF4-FFF2-40B4-BE49-F238E27FC236}">
              <a16:creationId xmlns:a16="http://schemas.microsoft.com/office/drawing/2014/main" id="{00000000-0008-0000-0A00-00006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2" name="Shape 5">
          <a:extLst>
            <a:ext uri="{FF2B5EF4-FFF2-40B4-BE49-F238E27FC236}">
              <a16:creationId xmlns:a16="http://schemas.microsoft.com/office/drawing/2014/main" id="{00000000-0008-0000-0A00-00007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3" name="Shape 5">
          <a:extLst>
            <a:ext uri="{FF2B5EF4-FFF2-40B4-BE49-F238E27FC236}">
              <a16:creationId xmlns:a16="http://schemas.microsoft.com/office/drawing/2014/main" id="{00000000-0008-0000-0A00-00007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4" name="Shape 6">
          <a:extLst>
            <a:ext uri="{FF2B5EF4-FFF2-40B4-BE49-F238E27FC236}">
              <a16:creationId xmlns:a16="http://schemas.microsoft.com/office/drawing/2014/main" id="{00000000-0008-0000-0A00-00007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5" name="Shape 6">
          <a:extLst>
            <a:ext uri="{FF2B5EF4-FFF2-40B4-BE49-F238E27FC236}">
              <a16:creationId xmlns:a16="http://schemas.microsoft.com/office/drawing/2014/main" id="{00000000-0008-0000-0A00-00007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6" name="Shape 6">
          <a:extLst>
            <a:ext uri="{FF2B5EF4-FFF2-40B4-BE49-F238E27FC236}">
              <a16:creationId xmlns:a16="http://schemas.microsoft.com/office/drawing/2014/main" id="{00000000-0008-0000-0A00-00007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77" name="Shape 6">
          <a:extLst>
            <a:ext uri="{FF2B5EF4-FFF2-40B4-BE49-F238E27FC236}">
              <a16:creationId xmlns:a16="http://schemas.microsoft.com/office/drawing/2014/main" id="{00000000-0008-0000-0A00-000075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8" name="Shape 5">
          <a:extLst>
            <a:ext uri="{FF2B5EF4-FFF2-40B4-BE49-F238E27FC236}">
              <a16:creationId xmlns:a16="http://schemas.microsoft.com/office/drawing/2014/main" id="{00000000-0008-0000-0A00-00007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79" name="Shape 5">
          <a:extLst>
            <a:ext uri="{FF2B5EF4-FFF2-40B4-BE49-F238E27FC236}">
              <a16:creationId xmlns:a16="http://schemas.microsoft.com/office/drawing/2014/main" id="{00000000-0008-0000-0A00-00007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0" name="Shape 5">
          <a:extLst>
            <a:ext uri="{FF2B5EF4-FFF2-40B4-BE49-F238E27FC236}">
              <a16:creationId xmlns:a16="http://schemas.microsoft.com/office/drawing/2014/main" id="{00000000-0008-0000-0A00-00007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1" name="Shape 5">
          <a:extLst>
            <a:ext uri="{FF2B5EF4-FFF2-40B4-BE49-F238E27FC236}">
              <a16:creationId xmlns:a16="http://schemas.microsoft.com/office/drawing/2014/main" id="{00000000-0008-0000-0A00-00007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2" name="Shape 5">
          <a:extLst>
            <a:ext uri="{FF2B5EF4-FFF2-40B4-BE49-F238E27FC236}">
              <a16:creationId xmlns:a16="http://schemas.microsoft.com/office/drawing/2014/main" id="{00000000-0008-0000-0A00-00007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3" name="Shape 5">
          <a:extLst>
            <a:ext uri="{FF2B5EF4-FFF2-40B4-BE49-F238E27FC236}">
              <a16:creationId xmlns:a16="http://schemas.microsoft.com/office/drawing/2014/main" id="{00000000-0008-0000-0A00-00007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4" name="Shape 5">
          <a:extLst>
            <a:ext uri="{FF2B5EF4-FFF2-40B4-BE49-F238E27FC236}">
              <a16:creationId xmlns:a16="http://schemas.microsoft.com/office/drawing/2014/main" id="{00000000-0008-0000-0A00-00007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5" name="Shape 11">
          <a:extLst>
            <a:ext uri="{FF2B5EF4-FFF2-40B4-BE49-F238E27FC236}">
              <a16:creationId xmlns:a16="http://schemas.microsoft.com/office/drawing/2014/main" id="{00000000-0008-0000-0A00-00007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6" name="Shape 11">
          <a:extLst>
            <a:ext uri="{FF2B5EF4-FFF2-40B4-BE49-F238E27FC236}">
              <a16:creationId xmlns:a16="http://schemas.microsoft.com/office/drawing/2014/main" id="{00000000-0008-0000-0A00-00007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7" name="Shape 11">
          <a:extLst>
            <a:ext uri="{FF2B5EF4-FFF2-40B4-BE49-F238E27FC236}">
              <a16:creationId xmlns:a16="http://schemas.microsoft.com/office/drawing/2014/main" id="{00000000-0008-0000-0A00-00007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88" name="Shape 11">
          <a:extLst>
            <a:ext uri="{FF2B5EF4-FFF2-40B4-BE49-F238E27FC236}">
              <a16:creationId xmlns:a16="http://schemas.microsoft.com/office/drawing/2014/main" id="{00000000-0008-0000-0A00-00008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89" name="Shape 12">
          <a:extLst>
            <a:ext uri="{FF2B5EF4-FFF2-40B4-BE49-F238E27FC236}">
              <a16:creationId xmlns:a16="http://schemas.microsoft.com/office/drawing/2014/main" id="{00000000-0008-0000-0A00-00008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0" name="Shape 12">
          <a:extLst>
            <a:ext uri="{FF2B5EF4-FFF2-40B4-BE49-F238E27FC236}">
              <a16:creationId xmlns:a16="http://schemas.microsoft.com/office/drawing/2014/main" id="{00000000-0008-0000-0A00-00008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1" name="Shape 12">
          <a:extLst>
            <a:ext uri="{FF2B5EF4-FFF2-40B4-BE49-F238E27FC236}">
              <a16:creationId xmlns:a16="http://schemas.microsoft.com/office/drawing/2014/main" id="{00000000-0008-0000-0A00-00008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692" name="Shape 12">
          <a:extLst>
            <a:ext uri="{FF2B5EF4-FFF2-40B4-BE49-F238E27FC236}">
              <a16:creationId xmlns:a16="http://schemas.microsoft.com/office/drawing/2014/main" id="{00000000-0008-0000-0A00-000084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3" name="Shape 11">
          <a:extLst>
            <a:ext uri="{FF2B5EF4-FFF2-40B4-BE49-F238E27FC236}">
              <a16:creationId xmlns:a16="http://schemas.microsoft.com/office/drawing/2014/main" id="{00000000-0008-0000-0A00-00008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4" name="Shape 11">
          <a:extLst>
            <a:ext uri="{FF2B5EF4-FFF2-40B4-BE49-F238E27FC236}">
              <a16:creationId xmlns:a16="http://schemas.microsoft.com/office/drawing/2014/main" id="{00000000-0008-0000-0A00-00008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5" name="Shape 11">
          <a:extLst>
            <a:ext uri="{FF2B5EF4-FFF2-40B4-BE49-F238E27FC236}">
              <a16:creationId xmlns:a16="http://schemas.microsoft.com/office/drawing/2014/main" id="{00000000-0008-0000-0A00-00008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6" name="Shape 11">
          <a:extLst>
            <a:ext uri="{FF2B5EF4-FFF2-40B4-BE49-F238E27FC236}">
              <a16:creationId xmlns:a16="http://schemas.microsoft.com/office/drawing/2014/main" id="{00000000-0008-0000-0A00-00008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7" name="Shape 11">
          <a:extLst>
            <a:ext uri="{FF2B5EF4-FFF2-40B4-BE49-F238E27FC236}">
              <a16:creationId xmlns:a16="http://schemas.microsoft.com/office/drawing/2014/main" id="{00000000-0008-0000-0A00-00008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8" name="Shape 11">
          <a:extLst>
            <a:ext uri="{FF2B5EF4-FFF2-40B4-BE49-F238E27FC236}">
              <a16:creationId xmlns:a16="http://schemas.microsoft.com/office/drawing/2014/main" id="{00000000-0008-0000-0A00-00008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699" name="Shape 11">
          <a:extLst>
            <a:ext uri="{FF2B5EF4-FFF2-40B4-BE49-F238E27FC236}">
              <a16:creationId xmlns:a16="http://schemas.microsoft.com/office/drawing/2014/main" id="{00000000-0008-0000-0A00-00008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0" name="Shape 5">
          <a:extLst>
            <a:ext uri="{FF2B5EF4-FFF2-40B4-BE49-F238E27FC236}">
              <a16:creationId xmlns:a16="http://schemas.microsoft.com/office/drawing/2014/main" id="{00000000-0008-0000-0A00-00008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1" name="Shape 5">
          <a:extLst>
            <a:ext uri="{FF2B5EF4-FFF2-40B4-BE49-F238E27FC236}">
              <a16:creationId xmlns:a16="http://schemas.microsoft.com/office/drawing/2014/main" id="{00000000-0008-0000-0A00-00008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2" name="Shape 5">
          <a:extLst>
            <a:ext uri="{FF2B5EF4-FFF2-40B4-BE49-F238E27FC236}">
              <a16:creationId xmlns:a16="http://schemas.microsoft.com/office/drawing/2014/main" id="{00000000-0008-0000-0A00-00008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3" name="Shape 5">
          <a:extLst>
            <a:ext uri="{FF2B5EF4-FFF2-40B4-BE49-F238E27FC236}">
              <a16:creationId xmlns:a16="http://schemas.microsoft.com/office/drawing/2014/main" id="{00000000-0008-0000-0A00-00008F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4" name="Shape 6">
          <a:extLst>
            <a:ext uri="{FF2B5EF4-FFF2-40B4-BE49-F238E27FC236}">
              <a16:creationId xmlns:a16="http://schemas.microsoft.com/office/drawing/2014/main" id="{00000000-0008-0000-0A00-00009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5" name="Shape 6">
          <a:extLst>
            <a:ext uri="{FF2B5EF4-FFF2-40B4-BE49-F238E27FC236}">
              <a16:creationId xmlns:a16="http://schemas.microsoft.com/office/drawing/2014/main" id="{00000000-0008-0000-0A00-00009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6" name="Shape 6">
          <a:extLst>
            <a:ext uri="{FF2B5EF4-FFF2-40B4-BE49-F238E27FC236}">
              <a16:creationId xmlns:a16="http://schemas.microsoft.com/office/drawing/2014/main" id="{00000000-0008-0000-0A00-00009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07" name="Shape 6">
          <a:extLst>
            <a:ext uri="{FF2B5EF4-FFF2-40B4-BE49-F238E27FC236}">
              <a16:creationId xmlns:a16="http://schemas.microsoft.com/office/drawing/2014/main" id="{00000000-0008-0000-0A00-000093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8" name="Shape 5">
          <a:extLst>
            <a:ext uri="{FF2B5EF4-FFF2-40B4-BE49-F238E27FC236}">
              <a16:creationId xmlns:a16="http://schemas.microsoft.com/office/drawing/2014/main" id="{00000000-0008-0000-0A00-00009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09" name="Shape 5">
          <a:extLst>
            <a:ext uri="{FF2B5EF4-FFF2-40B4-BE49-F238E27FC236}">
              <a16:creationId xmlns:a16="http://schemas.microsoft.com/office/drawing/2014/main" id="{00000000-0008-0000-0A00-00009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0" name="Shape 5">
          <a:extLst>
            <a:ext uri="{FF2B5EF4-FFF2-40B4-BE49-F238E27FC236}">
              <a16:creationId xmlns:a16="http://schemas.microsoft.com/office/drawing/2014/main" id="{00000000-0008-0000-0A00-00009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1" name="Shape 5">
          <a:extLst>
            <a:ext uri="{FF2B5EF4-FFF2-40B4-BE49-F238E27FC236}">
              <a16:creationId xmlns:a16="http://schemas.microsoft.com/office/drawing/2014/main" id="{00000000-0008-0000-0A00-00009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2" name="Shape 5">
          <a:extLst>
            <a:ext uri="{FF2B5EF4-FFF2-40B4-BE49-F238E27FC236}">
              <a16:creationId xmlns:a16="http://schemas.microsoft.com/office/drawing/2014/main" id="{00000000-0008-0000-0A00-00009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3" name="Shape 5">
          <a:extLst>
            <a:ext uri="{FF2B5EF4-FFF2-40B4-BE49-F238E27FC236}">
              <a16:creationId xmlns:a16="http://schemas.microsoft.com/office/drawing/2014/main" id="{00000000-0008-0000-0A00-00009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4" name="Shape 5">
          <a:extLst>
            <a:ext uri="{FF2B5EF4-FFF2-40B4-BE49-F238E27FC236}">
              <a16:creationId xmlns:a16="http://schemas.microsoft.com/office/drawing/2014/main" id="{00000000-0008-0000-0A00-00009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5" name="Shape 11">
          <a:extLst>
            <a:ext uri="{FF2B5EF4-FFF2-40B4-BE49-F238E27FC236}">
              <a16:creationId xmlns:a16="http://schemas.microsoft.com/office/drawing/2014/main" id="{00000000-0008-0000-0A00-00009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6" name="Shape 11">
          <a:extLst>
            <a:ext uri="{FF2B5EF4-FFF2-40B4-BE49-F238E27FC236}">
              <a16:creationId xmlns:a16="http://schemas.microsoft.com/office/drawing/2014/main" id="{00000000-0008-0000-0A00-00009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7" name="Shape 11">
          <a:extLst>
            <a:ext uri="{FF2B5EF4-FFF2-40B4-BE49-F238E27FC236}">
              <a16:creationId xmlns:a16="http://schemas.microsoft.com/office/drawing/2014/main" id="{00000000-0008-0000-0A00-00009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18" name="Shape 11">
          <a:extLst>
            <a:ext uri="{FF2B5EF4-FFF2-40B4-BE49-F238E27FC236}">
              <a16:creationId xmlns:a16="http://schemas.microsoft.com/office/drawing/2014/main" id="{00000000-0008-0000-0A00-00009E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19" name="Shape 12">
          <a:extLst>
            <a:ext uri="{FF2B5EF4-FFF2-40B4-BE49-F238E27FC236}">
              <a16:creationId xmlns:a16="http://schemas.microsoft.com/office/drawing/2014/main" id="{00000000-0008-0000-0A00-00009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0" name="Shape 12">
          <a:extLst>
            <a:ext uri="{FF2B5EF4-FFF2-40B4-BE49-F238E27FC236}">
              <a16:creationId xmlns:a16="http://schemas.microsoft.com/office/drawing/2014/main" id="{00000000-0008-0000-0A00-0000A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1" name="Shape 12">
          <a:extLst>
            <a:ext uri="{FF2B5EF4-FFF2-40B4-BE49-F238E27FC236}">
              <a16:creationId xmlns:a16="http://schemas.microsoft.com/office/drawing/2014/main" id="{00000000-0008-0000-0A00-0000A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22" name="Shape 12">
          <a:extLst>
            <a:ext uri="{FF2B5EF4-FFF2-40B4-BE49-F238E27FC236}">
              <a16:creationId xmlns:a16="http://schemas.microsoft.com/office/drawing/2014/main" id="{00000000-0008-0000-0A00-0000A2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3" name="Shape 11">
          <a:extLst>
            <a:ext uri="{FF2B5EF4-FFF2-40B4-BE49-F238E27FC236}">
              <a16:creationId xmlns:a16="http://schemas.microsoft.com/office/drawing/2014/main" id="{00000000-0008-0000-0A00-0000A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4" name="Shape 11">
          <a:extLst>
            <a:ext uri="{FF2B5EF4-FFF2-40B4-BE49-F238E27FC236}">
              <a16:creationId xmlns:a16="http://schemas.microsoft.com/office/drawing/2014/main" id="{00000000-0008-0000-0A00-0000A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5" name="Shape 11">
          <a:extLst>
            <a:ext uri="{FF2B5EF4-FFF2-40B4-BE49-F238E27FC236}">
              <a16:creationId xmlns:a16="http://schemas.microsoft.com/office/drawing/2014/main" id="{00000000-0008-0000-0A00-0000A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6" name="Shape 11">
          <a:extLst>
            <a:ext uri="{FF2B5EF4-FFF2-40B4-BE49-F238E27FC236}">
              <a16:creationId xmlns:a16="http://schemas.microsoft.com/office/drawing/2014/main" id="{00000000-0008-0000-0A00-0000A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7" name="Shape 11">
          <a:extLst>
            <a:ext uri="{FF2B5EF4-FFF2-40B4-BE49-F238E27FC236}">
              <a16:creationId xmlns:a16="http://schemas.microsoft.com/office/drawing/2014/main" id="{00000000-0008-0000-0A00-0000A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8" name="Shape 11">
          <a:extLst>
            <a:ext uri="{FF2B5EF4-FFF2-40B4-BE49-F238E27FC236}">
              <a16:creationId xmlns:a16="http://schemas.microsoft.com/office/drawing/2014/main" id="{00000000-0008-0000-0A00-0000A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29" name="Shape 11">
          <a:extLst>
            <a:ext uri="{FF2B5EF4-FFF2-40B4-BE49-F238E27FC236}">
              <a16:creationId xmlns:a16="http://schemas.microsoft.com/office/drawing/2014/main" id="{00000000-0008-0000-0A00-0000A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0" name="Shape 5">
          <a:extLst>
            <a:ext uri="{FF2B5EF4-FFF2-40B4-BE49-F238E27FC236}">
              <a16:creationId xmlns:a16="http://schemas.microsoft.com/office/drawing/2014/main" id="{00000000-0008-0000-0A00-0000A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1" name="Shape 5">
          <a:extLst>
            <a:ext uri="{FF2B5EF4-FFF2-40B4-BE49-F238E27FC236}">
              <a16:creationId xmlns:a16="http://schemas.microsoft.com/office/drawing/2014/main" id="{00000000-0008-0000-0A00-0000A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2" name="Shape 5">
          <a:extLst>
            <a:ext uri="{FF2B5EF4-FFF2-40B4-BE49-F238E27FC236}">
              <a16:creationId xmlns:a16="http://schemas.microsoft.com/office/drawing/2014/main" id="{00000000-0008-0000-0A00-0000A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3" name="Shape 5">
          <a:extLst>
            <a:ext uri="{FF2B5EF4-FFF2-40B4-BE49-F238E27FC236}">
              <a16:creationId xmlns:a16="http://schemas.microsoft.com/office/drawing/2014/main" id="{00000000-0008-0000-0A00-0000AD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4" name="Shape 6">
          <a:extLst>
            <a:ext uri="{FF2B5EF4-FFF2-40B4-BE49-F238E27FC236}">
              <a16:creationId xmlns:a16="http://schemas.microsoft.com/office/drawing/2014/main" id="{00000000-0008-0000-0A00-0000A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5" name="Shape 6">
          <a:extLst>
            <a:ext uri="{FF2B5EF4-FFF2-40B4-BE49-F238E27FC236}">
              <a16:creationId xmlns:a16="http://schemas.microsoft.com/office/drawing/2014/main" id="{00000000-0008-0000-0A00-0000A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6" name="Shape 6">
          <a:extLst>
            <a:ext uri="{FF2B5EF4-FFF2-40B4-BE49-F238E27FC236}">
              <a16:creationId xmlns:a16="http://schemas.microsoft.com/office/drawing/2014/main" id="{00000000-0008-0000-0A00-0000B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37" name="Shape 6">
          <a:extLst>
            <a:ext uri="{FF2B5EF4-FFF2-40B4-BE49-F238E27FC236}">
              <a16:creationId xmlns:a16="http://schemas.microsoft.com/office/drawing/2014/main" id="{00000000-0008-0000-0A00-0000B1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8" name="Shape 5">
          <a:extLst>
            <a:ext uri="{FF2B5EF4-FFF2-40B4-BE49-F238E27FC236}">
              <a16:creationId xmlns:a16="http://schemas.microsoft.com/office/drawing/2014/main" id="{00000000-0008-0000-0A00-0000B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39" name="Shape 5">
          <a:extLst>
            <a:ext uri="{FF2B5EF4-FFF2-40B4-BE49-F238E27FC236}">
              <a16:creationId xmlns:a16="http://schemas.microsoft.com/office/drawing/2014/main" id="{00000000-0008-0000-0A00-0000B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0" name="Shape 5">
          <a:extLst>
            <a:ext uri="{FF2B5EF4-FFF2-40B4-BE49-F238E27FC236}">
              <a16:creationId xmlns:a16="http://schemas.microsoft.com/office/drawing/2014/main" id="{00000000-0008-0000-0A00-0000B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1" name="Shape 5">
          <a:extLst>
            <a:ext uri="{FF2B5EF4-FFF2-40B4-BE49-F238E27FC236}">
              <a16:creationId xmlns:a16="http://schemas.microsoft.com/office/drawing/2014/main" id="{00000000-0008-0000-0A00-0000B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2" name="Shape 5">
          <a:extLst>
            <a:ext uri="{FF2B5EF4-FFF2-40B4-BE49-F238E27FC236}">
              <a16:creationId xmlns:a16="http://schemas.microsoft.com/office/drawing/2014/main" id="{00000000-0008-0000-0A00-0000B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3" name="Shape 5">
          <a:extLst>
            <a:ext uri="{FF2B5EF4-FFF2-40B4-BE49-F238E27FC236}">
              <a16:creationId xmlns:a16="http://schemas.microsoft.com/office/drawing/2014/main" id="{00000000-0008-0000-0A00-0000B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4" name="Shape 5">
          <a:extLst>
            <a:ext uri="{FF2B5EF4-FFF2-40B4-BE49-F238E27FC236}">
              <a16:creationId xmlns:a16="http://schemas.microsoft.com/office/drawing/2014/main" id="{00000000-0008-0000-0A00-0000B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5" name="Shape 11">
          <a:extLst>
            <a:ext uri="{FF2B5EF4-FFF2-40B4-BE49-F238E27FC236}">
              <a16:creationId xmlns:a16="http://schemas.microsoft.com/office/drawing/2014/main" id="{00000000-0008-0000-0A00-0000B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6" name="Shape 11">
          <a:extLst>
            <a:ext uri="{FF2B5EF4-FFF2-40B4-BE49-F238E27FC236}">
              <a16:creationId xmlns:a16="http://schemas.microsoft.com/office/drawing/2014/main" id="{00000000-0008-0000-0A00-0000B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7" name="Shape 11">
          <a:extLst>
            <a:ext uri="{FF2B5EF4-FFF2-40B4-BE49-F238E27FC236}">
              <a16:creationId xmlns:a16="http://schemas.microsoft.com/office/drawing/2014/main" id="{00000000-0008-0000-0A00-0000B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48" name="Shape 11">
          <a:extLst>
            <a:ext uri="{FF2B5EF4-FFF2-40B4-BE49-F238E27FC236}">
              <a16:creationId xmlns:a16="http://schemas.microsoft.com/office/drawing/2014/main" id="{00000000-0008-0000-0A00-0000BC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49" name="Shape 12">
          <a:extLst>
            <a:ext uri="{FF2B5EF4-FFF2-40B4-BE49-F238E27FC236}">
              <a16:creationId xmlns:a16="http://schemas.microsoft.com/office/drawing/2014/main" id="{00000000-0008-0000-0A00-0000B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0" name="Shape 12">
          <a:extLst>
            <a:ext uri="{FF2B5EF4-FFF2-40B4-BE49-F238E27FC236}">
              <a16:creationId xmlns:a16="http://schemas.microsoft.com/office/drawing/2014/main" id="{00000000-0008-0000-0A00-0000B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1" name="Shape 12">
          <a:extLst>
            <a:ext uri="{FF2B5EF4-FFF2-40B4-BE49-F238E27FC236}">
              <a16:creationId xmlns:a16="http://schemas.microsoft.com/office/drawing/2014/main" id="{00000000-0008-0000-0A00-0000B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52" name="Shape 12">
          <a:extLst>
            <a:ext uri="{FF2B5EF4-FFF2-40B4-BE49-F238E27FC236}">
              <a16:creationId xmlns:a16="http://schemas.microsoft.com/office/drawing/2014/main" id="{00000000-0008-0000-0A00-0000C0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3" name="Shape 11">
          <a:extLst>
            <a:ext uri="{FF2B5EF4-FFF2-40B4-BE49-F238E27FC236}">
              <a16:creationId xmlns:a16="http://schemas.microsoft.com/office/drawing/2014/main" id="{00000000-0008-0000-0A00-0000C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4" name="Shape 11">
          <a:extLst>
            <a:ext uri="{FF2B5EF4-FFF2-40B4-BE49-F238E27FC236}">
              <a16:creationId xmlns:a16="http://schemas.microsoft.com/office/drawing/2014/main" id="{00000000-0008-0000-0A00-0000C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5" name="Shape 11">
          <a:extLst>
            <a:ext uri="{FF2B5EF4-FFF2-40B4-BE49-F238E27FC236}">
              <a16:creationId xmlns:a16="http://schemas.microsoft.com/office/drawing/2014/main" id="{00000000-0008-0000-0A00-0000C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6" name="Shape 11">
          <a:extLst>
            <a:ext uri="{FF2B5EF4-FFF2-40B4-BE49-F238E27FC236}">
              <a16:creationId xmlns:a16="http://schemas.microsoft.com/office/drawing/2014/main" id="{00000000-0008-0000-0A00-0000C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7" name="Shape 11">
          <a:extLst>
            <a:ext uri="{FF2B5EF4-FFF2-40B4-BE49-F238E27FC236}">
              <a16:creationId xmlns:a16="http://schemas.microsoft.com/office/drawing/2014/main" id="{00000000-0008-0000-0A00-0000C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8" name="Shape 11">
          <a:extLst>
            <a:ext uri="{FF2B5EF4-FFF2-40B4-BE49-F238E27FC236}">
              <a16:creationId xmlns:a16="http://schemas.microsoft.com/office/drawing/2014/main" id="{00000000-0008-0000-0A00-0000C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59" name="Shape 11">
          <a:extLst>
            <a:ext uri="{FF2B5EF4-FFF2-40B4-BE49-F238E27FC236}">
              <a16:creationId xmlns:a16="http://schemas.microsoft.com/office/drawing/2014/main" id="{00000000-0008-0000-0A00-0000C7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0" name="Shape 5">
          <a:extLst>
            <a:ext uri="{FF2B5EF4-FFF2-40B4-BE49-F238E27FC236}">
              <a16:creationId xmlns:a16="http://schemas.microsoft.com/office/drawing/2014/main" id="{00000000-0008-0000-0A00-0000C8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1" name="Shape 5">
          <a:extLst>
            <a:ext uri="{FF2B5EF4-FFF2-40B4-BE49-F238E27FC236}">
              <a16:creationId xmlns:a16="http://schemas.microsoft.com/office/drawing/2014/main" id="{00000000-0008-0000-0A00-0000C9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2" name="Shape 5">
          <a:extLst>
            <a:ext uri="{FF2B5EF4-FFF2-40B4-BE49-F238E27FC236}">
              <a16:creationId xmlns:a16="http://schemas.microsoft.com/office/drawing/2014/main" id="{00000000-0008-0000-0A00-0000CA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3" name="Shape 5">
          <a:extLst>
            <a:ext uri="{FF2B5EF4-FFF2-40B4-BE49-F238E27FC236}">
              <a16:creationId xmlns:a16="http://schemas.microsoft.com/office/drawing/2014/main" id="{00000000-0008-0000-0A00-0000CB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4" name="Shape 6">
          <a:extLst>
            <a:ext uri="{FF2B5EF4-FFF2-40B4-BE49-F238E27FC236}">
              <a16:creationId xmlns:a16="http://schemas.microsoft.com/office/drawing/2014/main" id="{00000000-0008-0000-0A00-0000CC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5" name="Shape 6">
          <a:extLst>
            <a:ext uri="{FF2B5EF4-FFF2-40B4-BE49-F238E27FC236}">
              <a16:creationId xmlns:a16="http://schemas.microsoft.com/office/drawing/2014/main" id="{00000000-0008-0000-0A00-0000CD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6" name="Shape 6">
          <a:extLst>
            <a:ext uri="{FF2B5EF4-FFF2-40B4-BE49-F238E27FC236}">
              <a16:creationId xmlns:a16="http://schemas.microsoft.com/office/drawing/2014/main" id="{00000000-0008-0000-0A00-0000CE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63</xdr:row>
      <xdr:rowOff>0</xdr:rowOff>
    </xdr:from>
    <xdr:ext cx="247650" cy="323850"/>
    <xdr:sp macro="" textlink="">
      <xdr:nvSpPr>
        <xdr:cNvPr id="2767" name="Shape 6">
          <a:extLst>
            <a:ext uri="{FF2B5EF4-FFF2-40B4-BE49-F238E27FC236}">
              <a16:creationId xmlns:a16="http://schemas.microsoft.com/office/drawing/2014/main" id="{00000000-0008-0000-0A00-0000CF0A0000}"/>
            </a:ext>
          </a:extLst>
        </xdr:cNvPr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8" name="Shape 5">
          <a:extLst>
            <a:ext uri="{FF2B5EF4-FFF2-40B4-BE49-F238E27FC236}">
              <a16:creationId xmlns:a16="http://schemas.microsoft.com/office/drawing/2014/main" id="{00000000-0008-0000-0A00-0000D0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69" name="Shape 5">
          <a:extLst>
            <a:ext uri="{FF2B5EF4-FFF2-40B4-BE49-F238E27FC236}">
              <a16:creationId xmlns:a16="http://schemas.microsoft.com/office/drawing/2014/main" id="{00000000-0008-0000-0A00-0000D1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0" name="Shape 5">
          <a:extLst>
            <a:ext uri="{FF2B5EF4-FFF2-40B4-BE49-F238E27FC236}">
              <a16:creationId xmlns:a16="http://schemas.microsoft.com/office/drawing/2014/main" id="{00000000-0008-0000-0A00-0000D2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1" name="Shape 5">
          <a:extLst>
            <a:ext uri="{FF2B5EF4-FFF2-40B4-BE49-F238E27FC236}">
              <a16:creationId xmlns:a16="http://schemas.microsoft.com/office/drawing/2014/main" id="{00000000-0008-0000-0A00-0000D3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2" name="Shape 5">
          <a:extLst>
            <a:ext uri="{FF2B5EF4-FFF2-40B4-BE49-F238E27FC236}">
              <a16:creationId xmlns:a16="http://schemas.microsoft.com/office/drawing/2014/main" id="{00000000-0008-0000-0A00-0000D4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3" name="Shape 5">
          <a:extLst>
            <a:ext uri="{FF2B5EF4-FFF2-40B4-BE49-F238E27FC236}">
              <a16:creationId xmlns:a16="http://schemas.microsoft.com/office/drawing/2014/main" id="{00000000-0008-0000-0A00-0000D5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63</xdr:row>
      <xdr:rowOff>0</xdr:rowOff>
    </xdr:from>
    <xdr:ext cx="257175" cy="323850"/>
    <xdr:sp macro="" textlink="">
      <xdr:nvSpPr>
        <xdr:cNvPr id="2774" name="Shape 5">
          <a:extLst>
            <a:ext uri="{FF2B5EF4-FFF2-40B4-BE49-F238E27FC236}">
              <a16:creationId xmlns:a16="http://schemas.microsoft.com/office/drawing/2014/main" id="{00000000-0008-0000-0A00-0000D60A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workbookViewId="0">
      <selection sqref="A1:AG1"/>
    </sheetView>
  </sheetViews>
  <sheetFormatPr defaultColWidth="14.44140625" defaultRowHeight="15" customHeight="1"/>
  <cols>
    <col min="1" max="1" width="5.33203125" customWidth="1"/>
    <col min="2" max="2" width="11.109375" customWidth="1"/>
    <col min="3" max="3" width="15.33203125" customWidth="1"/>
    <col min="4" max="4" width="4.88671875" customWidth="1"/>
    <col min="5" max="5" width="4.5546875" customWidth="1"/>
    <col min="6" max="6" width="4.33203125" customWidth="1"/>
    <col min="7" max="7" width="5.33203125" customWidth="1"/>
    <col min="8" max="8" width="4.6640625" customWidth="1"/>
    <col min="9" max="9" width="5.5546875" customWidth="1"/>
    <col min="10" max="10" width="5.44140625" customWidth="1"/>
    <col min="11" max="11" width="5.88671875" customWidth="1"/>
    <col min="12" max="12" width="5" customWidth="1"/>
    <col min="13" max="13" width="5.44140625" customWidth="1"/>
    <col min="14" max="14" width="4.6640625" customWidth="1"/>
    <col min="15" max="15" width="5.6640625" customWidth="1"/>
    <col min="16" max="16" width="5" customWidth="1"/>
    <col min="17" max="17" width="4.109375" customWidth="1"/>
    <col min="18" max="18" width="3.6640625" customWidth="1"/>
    <col min="19" max="19" width="5.33203125" customWidth="1"/>
    <col min="20" max="20" width="5" customWidth="1"/>
    <col min="21" max="21" width="5.33203125" customWidth="1"/>
    <col min="22" max="22" width="4.33203125" customWidth="1"/>
    <col min="23" max="23" width="3.5546875" customWidth="1"/>
    <col min="24" max="24" width="4.109375" customWidth="1"/>
    <col min="25" max="25" width="4" customWidth="1"/>
    <col min="26" max="26" width="4.6640625" customWidth="1"/>
    <col min="27" max="27" width="6" customWidth="1"/>
    <col min="28" max="28" width="4.109375" customWidth="1"/>
    <col min="29" max="29" width="6.6640625" customWidth="1"/>
    <col min="30" max="30" width="5.33203125" customWidth="1"/>
    <col min="31" max="31" width="6.109375" customWidth="1"/>
    <col min="32" max="33" width="6.88671875" customWidth="1"/>
    <col min="34" max="35" width="8.6640625" customWidth="1"/>
  </cols>
  <sheetData>
    <row r="1" spans="1:36" ht="19.5" customHeight="1">
      <c r="A1" s="339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8"/>
    </row>
    <row r="2" spans="1:36" ht="27" customHeight="1">
      <c r="A2" s="340" t="s">
        <v>1</v>
      </c>
      <c r="B2" s="337"/>
      <c r="C2" s="338"/>
      <c r="D2" s="336" t="s">
        <v>2</v>
      </c>
      <c r="E2" s="337"/>
      <c r="F2" s="338"/>
      <c r="G2" s="336" t="s">
        <v>3</v>
      </c>
      <c r="H2" s="337"/>
      <c r="I2" s="338"/>
      <c r="J2" s="336" t="s">
        <v>4</v>
      </c>
      <c r="K2" s="337"/>
      <c r="L2" s="338"/>
      <c r="M2" s="336" t="s">
        <v>5</v>
      </c>
      <c r="N2" s="337"/>
      <c r="O2" s="338"/>
      <c r="P2" s="336" t="s">
        <v>6</v>
      </c>
      <c r="Q2" s="337"/>
      <c r="R2" s="338"/>
      <c r="S2" s="336" t="s">
        <v>7</v>
      </c>
      <c r="T2" s="337"/>
      <c r="U2" s="338"/>
      <c r="V2" s="336" t="s">
        <v>8</v>
      </c>
      <c r="W2" s="337"/>
      <c r="X2" s="338"/>
      <c r="Y2" s="336" t="s">
        <v>9</v>
      </c>
      <c r="Z2" s="337"/>
      <c r="AA2" s="338"/>
      <c r="AB2" s="336" t="s">
        <v>10</v>
      </c>
      <c r="AC2" s="337"/>
      <c r="AD2" s="338"/>
      <c r="AE2" s="341" t="s">
        <v>11</v>
      </c>
      <c r="AF2" s="337"/>
      <c r="AG2" s="338"/>
      <c r="AH2" s="1"/>
      <c r="AI2" s="1"/>
    </row>
    <row r="3" spans="1:36" ht="43.2">
      <c r="A3" s="2" t="s">
        <v>12</v>
      </c>
      <c r="B3" s="2" t="s">
        <v>13</v>
      </c>
      <c r="C3" s="3" t="s">
        <v>14</v>
      </c>
      <c r="D3" s="4" t="s">
        <v>15</v>
      </c>
      <c r="E3" s="4" t="s">
        <v>16</v>
      </c>
      <c r="F3" s="4" t="s">
        <v>17</v>
      </c>
      <c r="G3" s="4" t="s">
        <v>15</v>
      </c>
      <c r="H3" s="4" t="s">
        <v>16</v>
      </c>
      <c r="I3" s="4" t="s">
        <v>17</v>
      </c>
      <c r="J3" s="4" t="s">
        <v>15</v>
      </c>
      <c r="K3" s="4" t="s">
        <v>16</v>
      </c>
      <c r="L3" s="4" t="s">
        <v>17</v>
      </c>
      <c r="M3" s="4" t="s">
        <v>15</v>
      </c>
      <c r="N3" s="4" t="s">
        <v>16</v>
      </c>
      <c r="O3" s="4" t="s">
        <v>17</v>
      </c>
      <c r="P3" s="4" t="s">
        <v>15</v>
      </c>
      <c r="Q3" s="4" t="s">
        <v>16</v>
      </c>
      <c r="R3" s="5" t="s">
        <v>17</v>
      </c>
      <c r="S3" s="4" t="s">
        <v>15</v>
      </c>
      <c r="T3" s="4" t="s">
        <v>16</v>
      </c>
      <c r="U3" s="4" t="s">
        <v>17</v>
      </c>
      <c r="V3" s="4" t="s">
        <v>15</v>
      </c>
      <c r="W3" s="4" t="s">
        <v>16</v>
      </c>
      <c r="X3" s="4" t="s">
        <v>17</v>
      </c>
      <c r="Y3" s="4" t="s">
        <v>15</v>
      </c>
      <c r="Z3" s="4" t="s">
        <v>16</v>
      </c>
      <c r="AA3" s="4" t="s">
        <v>17</v>
      </c>
      <c r="AB3" s="4" t="s">
        <v>15</v>
      </c>
      <c r="AC3" s="4" t="s">
        <v>16</v>
      </c>
      <c r="AD3" s="4" t="s">
        <v>17</v>
      </c>
      <c r="AE3" s="4" t="s">
        <v>15</v>
      </c>
      <c r="AF3" s="4" t="s">
        <v>18</v>
      </c>
      <c r="AG3" s="6" t="s">
        <v>17</v>
      </c>
    </row>
    <row r="4" spans="1:36" ht="15" customHeight="1">
      <c r="A4" s="7">
        <v>1</v>
      </c>
      <c r="B4" s="8">
        <v>2301236</v>
      </c>
      <c r="C4" s="9" t="s">
        <v>19</v>
      </c>
      <c r="D4" s="10">
        <f>DSA!BF5</f>
        <v>19</v>
      </c>
      <c r="E4" s="10">
        <f>DSA!BG5</f>
        <v>41</v>
      </c>
      <c r="F4" s="11">
        <f t="shared" ref="F4:F61" si="0">(D4/E4)*100</f>
        <v>46.341463414634148</v>
      </c>
      <c r="G4" s="10">
        <f>'M-III'!BF5</f>
        <v>19</v>
      </c>
      <c r="H4" s="10">
        <f>'M-III'!BG5</f>
        <v>65</v>
      </c>
      <c r="I4" s="11">
        <f t="shared" ref="I4:I61" si="1">(G4/H4)*100</f>
        <v>29.230769230769234</v>
      </c>
      <c r="J4" s="11">
        <f>OOPS!BG5</f>
        <v>19</v>
      </c>
      <c r="K4" s="10">
        <f>OOPS!BH5</f>
        <v>48</v>
      </c>
      <c r="L4" s="11">
        <f t="shared" ref="L4:L61" si="2">(J4/K4)*100</f>
        <v>39.583333333333329</v>
      </c>
      <c r="M4" s="10">
        <f>DE!BF5</f>
        <v>10</v>
      </c>
      <c r="N4" s="10">
        <f>DE!BG5</f>
        <v>46</v>
      </c>
      <c r="O4" s="11">
        <f t="shared" ref="O4:O61" si="3">(M4/N4)*100</f>
        <v>21.739130434782609</v>
      </c>
      <c r="P4" s="10">
        <f>DOS!BF5</f>
        <v>14</v>
      </c>
      <c r="Q4" s="10">
        <f>DOS!BG5</f>
        <v>48</v>
      </c>
      <c r="R4" s="11">
        <f t="shared" ref="R4:R61" si="4">(P4/Q4)*100</f>
        <v>29.166666666666668</v>
      </c>
      <c r="S4" s="10">
        <f>'OOPS LAB'!AE5</f>
        <v>20</v>
      </c>
      <c r="T4" s="10">
        <f>'OOPS LAB'!AF5</f>
        <v>48</v>
      </c>
      <c r="U4" s="11">
        <f t="shared" ref="U4:U61" si="5">(S4/T4)*100</f>
        <v>41.666666666666671</v>
      </c>
      <c r="V4" s="10">
        <f>'DE LAB'!AE5</f>
        <v>10</v>
      </c>
      <c r="W4" s="10">
        <f>'DE LAB'!AF5</f>
        <v>30</v>
      </c>
      <c r="X4" s="11">
        <f t="shared" ref="X4:X61" si="6">(V4/W4)*100</f>
        <v>33.333333333333329</v>
      </c>
      <c r="Y4" s="10">
        <f>'DSA LAB'!AE5</f>
        <v>28</v>
      </c>
      <c r="Z4" s="10">
        <f>'DSA LAB'!AF5</f>
        <v>41</v>
      </c>
      <c r="AA4" s="12">
        <f t="shared" ref="AA4:AA61" si="7">(Y4/Z4)*100</f>
        <v>68.292682926829272</v>
      </c>
      <c r="AB4" s="10">
        <f>'IT WORKSHOP'!AM5</f>
        <v>13</v>
      </c>
      <c r="AC4" s="10">
        <f>'IT WORKSHOP'!AN5</f>
        <v>33</v>
      </c>
      <c r="AD4" s="11">
        <f t="shared" ref="AD4:AD61" si="8">(AB4/AC4)*100</f>
        <v>39.393939393939391</v>
      </c>
      <c r="AE4" s="13">
        <f t="shared" ref="AE4:AE61" si="9">D4+G4+J4+M4+P4+S4+V4+Y4+AB4</f>
        <v>152</v>
      </c>
      <c r="AF4" s="14">
        <f t="shared" ref="AF4:AF61" si="10">E4+H4+K4+N4+T4+W4+Z4+Q4+AC4</f>
        <v>400</v>
      </c>
      <c r="AG4" s="15">
        <f t="shared" ref="AG4:AG61" si="11">AE4/AF4</f>
        <v>0.38</v>
      </c>
      <c r="AH4" s="16"/>
      <c r="AI4" s="17"/>
      <c r="AJ4" s="17"/>
    </row>
    <row r="5" spans="1:36" ht="15" customHeight="1">
      <c r="A5" s="7">
        <v>2</v>
      </c>
      <c r="B5" s="8">
        <v>2301237</v>
      </c>
      <c r="C5" s="9" t="s">
        <v>20</v>
      </c>
      <c r="D5" s="10">
        <f>DSA!BF6</f>
        <v>33</v>
      </c>
      <c r="E5" s="10">
        <f>DSA!BG6</f>
        <v>41</v>
      </c>
      <c r="F5" s="11">
        <f t="shared" si="0"/>
        <v>80.487804878048792</v>
      </c>
      <c r="G5" s="10">
        <f>'M-III'!BF6</f>
        <v>45</v>
      </c>
      <c r="H5" s="10">
        <f>'M-III'!BG6</f>
        <v>65</v>
      </c>
      <c r="I5" s="11">
        <f t="shared" si="1"/>
        <v>69.230769230769226</v>
      </c>
      <c r="J5" s="11">
        <f>OOPS!BG6</f>
        <v>36</v>
      </c>
      <c r="K5" s="10">
        <f>OOPS!BH6</f>
        <v>48</v>
      </c>
      <c r="L5" s="11">
        <f t="shared" si="2"/>
        <v>75</v>
      </c>
      <c r="M5" s="10">
        <f>DE!BF6</f>
        <v>37</v>
      </c>
      <c r="N5" s="10">
        <f>DE!BG6</f>
        <v>46</v>
      </c>
      <c r="O5" s="11">
        <f t="shared" si="3"/>
        <v>80.434782608695656</v>
      </c>
      <c r="P5" s="10">
        <f>DOS!BF6</f>
        <v>39</v>
      </c>
      <c r="Q5" s="10">
        <f>DOS!BG6</f>
        <v>48</v>
      </c>
      <c r="R5" s="11">
        <f t="shared" si="4"/>
        <v>81.25</v>
      </c>
      <c r="S5" s="10">
        <f>'OOPS LAB'!AE6</f>
        <v>40</v>
      </c>
      <c r="T5" s="10">
        <f>'OOPS LAB'!AF6</f>
        <v>48</v>
      </c>
      <c r="U5" s="11">
        <f t="shared" si="5"/>
        <v>83.333333333333343</v>
      </c>
      <c r="V5" s="10">
        <f>'DE LAB'!AE6</f>
        <v>22</v>
      </c>
      <c r="W5" s="10">
        <f>'DE LAB'!AF6</f>
        <v>30</v>
      </c>
      <c r="X5" s="11">
        <f t="shared" si="6"/>
        <v>73.333333333333329</v>
      </c>
      <c r="Y5" s="10">
        <f>'DSA LAB'!AE6</f>
        <v>29</v>
      </c>
      <c r="Z5" s="10">
        <f>'DSA LAB'!AF6</f>
        <v>41</v>
      </c>
      <c r="AA5" s="11">
        <f t="shared" si="7"/>
        <v>70.731707317073173</v>
      </c>
      <c r="AB5" s="10">
        <f>'IT WORKSHOP'!AM6</f>
        <v>25</v>
      </c>
      <c r="AC5" s="10">
        <f>'IT WORKSHOP'!AN6</f>
        <v>33</v>
      </c>
      <c r="AD5" s="11">
        <f t="shared" si="8"/>
        <v>75.757575757575751</v>
      </c>
      <c r="AE5" s="13">
        <f t="shared" si="9"/>
        <v>306</v>
      </c>
      <c r="AF5" s="14">
        <f t="shared" si="10"/>
        <v>400</v>
      </c>
      <c r="AG5" s="15">
        <f t="shared" si="11"/>
        <v>0.76500000000000001</v>
      </c>
      <c r="AH5" s="16"/>
      <c r="AI5" s="17"/>
      <c r="AJ5" s="17"/>
    </row>
    <row r="6" spans="1:36" ht="15" customHeight="1">
      <c r="A6" s="7">
        <v>3</v>
      </c>
      <c r="B6" s="8">
        <v>2301238</v>
      </c>
      <c r="C6" s="9" t="s">
        <v>21</v>
      </c>
      <c r="D6" s="10">
        <f>DSA!BF7</f>
        <v>33</v>
      </c>
      <c r="E6" s="10">
        <f>DSA!BG7</f>
        <v>41</v>
      </c>
      <c r="F6" s="11">
        <f t="shared" si="0"/>
        <v>80.487804878048792</v>
      </c>
      <c r="G6" s="10">
        <f>'M-III'!BF7</f>
        <v>56</v>
      </c>
      <c r="H6" s="10">
        <f>'M-III'!BG7</f>
        <v>65</v>
      </c>
      <c r="I6" s="11">
        <f t="shared" si="1"/>
        <v>86.15384615384616</v>
      </c>
      <c r="J6" s="11">
        <f>OOPS!BG7</f>
        <v>30</v>
      </c>
      <c r="K6" s="10">
        <f>OOPS!BH7</f>
        <v>48</v>
      </c>
      <c r="L6" s="11">
        <f t="shared" si="2"/>
        <v>62.5</v>
      </c>
      <c r="M6" s="10">
        <f>DE!BF7</f>
        <v>36</v>
      </c>
      <c r="N6" s="10">
        <f>DE!BG7</f>
        <v>46</v>
      </c>
      <c r="O6" s="11">
        <f t="shared" si="3"/>
        <v>78.260869565217391</v>
      </c>
      <c r="P6" s="10">
        <f>DOS!BF7</f>
        <v>37</v>
      </c>
      <c r="Q6" s="10">
        <f>DOS!BG7</f>
        <v>48</v>
      </c>
      <c r="R6" s="11">
        <f t="shared" si="4"/>
        <v>77.083333333333343</v>
      </c>
      <c r="S6" s="10">
        <f>'OOPS LAB'!AE7</f>
        <v>31</v>
      </c>
      <c r="T6" s="10">
        <f>'OOPS LAB'!AF7</f>
        <v>48</v>
      </c>
      <c r="U6" s="11">
        <f t="shared" si="5"/>
        <v>64.583333333333343</v>
      </c>
      <c r="V6" s="10">
        <f>'DE LAB'!AE7</f>
        <v>26</v>
      </c>
      <c r="W6" s="10">
        <f>'DE LAB'!AF7</f>
        <v>30</v>
      </c>
      <c r="X6" s="11">
        <f t="shared" si="6"/>
        <v>86.666666666666671</v>
      </c>
      <c r="Y6" s="10">
        <f>'DSA LAB'!AE7</f>
        <v>34</v>
      </c>
      <c r="Z6" s="10">
        <f>'DSA LAB'!AF7</f>
        <v>41</v>
      </c>
      <c r="AA6" s="11">
        <f t="shared" si="7"/>
        <v>82.926829268292678</v>
      </c>
      <c r="AB6" s="10">
        <f>'IT WORKSHOP'!AM7</f>
        <v>20</v>
      </c>
      <c r="AC6" s="10">
        <f>'IT WORKSHOP'!AN7</f>
        <v>33</v>
      </c>
      <c r="AD6" s="11">
        <f t="shared" si="8"/>
        <v>60.606060606060609</v>
      </c>
      <c r="AE6" s="13">
        <f t="shared" si="9"/>
        <v>303</v>
      </c>
      <c r="AF6" s="14">
        <f t="shared" si="10"/>
        <v>400</v>
      </c>
      <c r="AG6" s="15">
        <f t="shared" si="11"/>
        <v>0.75749999999999995</v>
      </c>
      <c r="AH6" s="16"/>
      <c r="AI6" s="17"/>
      <c r="AJ6" s="17"/>
    </row>
    <row r="7" spans="1:36" ht="15" customHeight="1">
      <c r="A7" s="7">
        <v>4</v>
      </c>
      <c r="B7" s="8">
        <v>2301239</v>
      </c>
      <c r="C7" s="9" t="s">
        <v>22</v>
      </c>
      <c r="D7" s="10">
        <f>DSA!BF8</f>
        <v>0</v>
      </c>
      <c r="E7" s="10">
        <f>DSA!BG8</f>
        <v>41</v>
      </c>
      <c r="F7" s="11">
        <f t="shared" si="0"/>
        <v>0</v>
      </c>
      <c r="G7" s="10">
        <f>'M-III'!BF8</f>
        <v>0</v>
      </c>
      <c r="H7" s="10">
        <f>'M-III'!BG8</f>
        <v>65</v>
      </c>
      <c r="I7" s="11">
        <f t="shared" si="1"/>
        <v>0</v>
      </c>
      <c r="J7" s="11">
        <f>OOPS!BG8</f>
        <v>0</v>
      </c>
      <c r="K7" s="10">
        <f>OOPS!BH8</f>
        <v>48</v>
      </c>
      <c r="L7" s="11">
        <f t="shared" si="2"/>
        <v>0</v>
      </c>
      <c r="M7" s="10">
        <f>DE!BF8</f>
        <v>0</v>
      </c>
      <c r="N7" s="10">
        <f>DE!BG8</f>
        <v>46</v>
      </c>
      <c r="O7" s="11">
        <f t="shared" si="3"/>
        <v>0</v>
      </c>
      <c r="P7" s="10">
        <f>DOS!BF8</f>
        <v>0</v>
      </c>
      <c r="Q7" s="10">
        <f>DOS!BG8</f>
        <v>48</v>
      </c>
      <c r="R7" s="11">
        <f t="shared" si="4"/>
        <v>0</v>
      </c>
      <c r="S7" s="10">
        <f>'OOPS LAB'!AE8</f>
        <v>0</v>
      </c>
      <c r="T7" s="10">
        <f>'OOPS LAB'!AF8</f>
        <v>48</v>
      </c>
      <c r="U7" s="11">
        <f t="shared" si="5"/>
        <v>0</v>
      </c>
      <c r="V7" s="10">
        <f>'DE LAB'!AE8</f>
        <v>4</v>
      </c>
      <c r="W7" s="10">
        <f>'DE LAB'!AF8</f>
        <v>30</v>
      </c>
      <c r="X7" s="11">
        <f t="shared" si="6"/>
        <v>13.333333333333334</v>
      </c>
      <c r="Y7" s="10">
        <f>'DSA LAB'!AE8</f>
        <v>0</v>
      </c>
      <c r="Z7" s="10">
        <f>'DSA LAB'!AF8</f>
        <v>41</v>
      </c>
      <c r="AA7" s="11">
        <f t="shared" si="7"/>
        <v>0</v>
      </c>
      <c r="AB7" s="10">
        <f>'IT WORKSHOP'!AM8</f>
        <v>0</v>
      </c>
      <c r="AC7" s="10">
        <f>'IT WORKSHOP'!AN8</f>
        <v>33</v>
      </c>
      <c r="AD7" s="11">
        <f t="shared" si="8"/>
        <v>0</v>
      </c>
      <c r="AE7" s="13">
        <f t="shared" si="9"/>
        <v>4</v>
      </c>
      <c r="AF7" s="14">
        <f t="shared" si="10"/>
        <v>400</v>
      </c>
      <c r="AG7" s="15">
        <f t="shared" si="11"/>
        <v>0.01</v>
      </c>
      <c r="AH7" s="16"/>
      <c r="AI7" s="17"/>
      <c r="AJ7" s="17"/>
    </row>
    <row r="8" spans="1:36" ht="15" customHeight="1">
      <c r="A8" s="7">
        <v>5</v>
      </c>
      <c r="B8" s="8">
        <v>2301240</v>
      </c>
      <c r="C8" s="9" t="s">
        <v>23</v>
      </c>
      <c r="D8" s="10">
        <f>DSA!BF9</f>
        <v>39</v>
      </c>
      <c r="E8" s="10">
        <f>DSA!BG9</f>
        <v>41</v>
      </c>
      <c r="F8" s="11">
        <f t="shared" si="0"/>
        <v>95.121951219512198</v>
      </c>
      <c r="G8" s="10">
        <f>'M-III'!BF9</f>
        <v>53</v>
      </c>
      <c r="H8" s="10">
        <f>'M-III'!BG9</f>
        <v>65</v>
      </c>
      <c r="I8" s="11">
        <f t="shared" si="1"/>
        <v>81.538461538461533</v>
      </c>
      <c r="J8" s="11">
        <f>OOPS!BG9</f>
        <v>33</v>
      </c>
      <c r="K8" s="10">
        <f>OOPS!BH9</f>
        <v>48</v>
      </c>
      <c r="L8" s="11">
        <f t="shared" si="2"/>
        <v>68.75</v>
      </c>
      <c r="M8" s="10">
        <f>DE!BF9</f>
        <v>37</v>
      </c>
      <c r="N8" s="10">
        <f>DE!BG9</f>
        <v>46</v>
      </c>
      <c r="O8" s="11">
        <f t="shared" si="3"/>
        <v>80.434782608695656</v>
      </c>
      <c r="P8" s="10">
        <f>DOS!BF9</f>
        <v>37</v>
      </c>
      <c r="Q8" s="10">
        <f>DOS!BG9</f>
        <v>48</v>
      </c>
      <c r="R8" s="11">
        <f t="shared" si="4"/>
        <v>77.083333333333343</v>
      </c>
      <c r="S8" s="10">
        <f>'OOPS LAB'!AE9</f>
        <v>42</v>
      </c>
      <c r="T8" s="10">
        <f>'OOPS LAB'!AF9</f>
        <v>48</v>
      </c>
      <c r="U8" s="11">
        <f t="shared" si="5"/>
        <v>87.5</v>
      </c>
      <c r="V8" s="10">
        <f>'DE LAB'!AE9</f>
        <v>20</v>
      </c>
      <c r="W8" s="10">
        <f>'DE LAB'!AF9</f>
        <v>30</v>
      </c>
      <c r="X8" s="11">
        <f t="shared" si="6"/>
        <v>66.666666666666657</v>
      </c>
      <c r="Y8" s="10">
        <f>'DSA LAB'!AE9</f>
        <v>35</v>
      </c>
      <c r="Z8" s="10">
        <f>'DSA LAB'!AF9</f>
        <v>41</v>
      </c>
      <c r="AA8" s="11">
        <f t="shared" si="7"/>
        <v>85.365853658536579</v>
      </c>
      <c r="AB8" s="10">
        <f>'IT WORKSHOP'!AM9</f>
        <v>31</v>
      </c>
      <c r="AC8" s="10">
        <f>'IT WORKSHOP'!AN9</f>
        <v>33</v>
      </c>
      <c r="AD8" s="11">
        <f t="shared" si="8"/>
        <v>93.939393939393938</v>
      </c>
      <c r="AE8" s="13">
        <f t="shared" si="9"/>
        <v>327</v>
      </c>
      <c r="AF8" s="14">
        <f t="shared" si="10"/>
        <v>400</v>
      </c>
      <c r="AG8" s="15">
        <f t="shared" si="11"/>
        <v>0.8175</v>
      </c>
      <c r="AH8" s="16"/>
      <c r="AI8" s="17"/>
      <c r="AJ8" s="17"/>
    </row>
    <row r="9" spans="1:36" ht="28.8">
      <c r="A9" s="7">
        <v>6</v>
      </c>
      <c r="B9" s="8">
        <v>2301241</v>
      </c>
      <c r="C9" s="9" t="s">
        <v>24</v>
      </c>
      <c r="D9" s="10">
        <f>DSA!BF10</f>
        <v>38</v>
      </c>
      <c r="E9" s="10">
        <f>DSA!BG10</f>
        <v>41</v>
      </c>
      <c r="F9" s="11">
        <f t="shared" si="0"/>
        <v>92.682926829268297</v>
      </c>
      <c r="G9" s="10">
        <f>'M-III'!BF10</f>
        <v>59</v>
      </c>
      <c r="H9" s="10">
        <f>'M-III'!BG10</f>
        <v>65</v>
      </c>
      <c r="I9" s="11">
        <f t="shared" si="1"/>
        <v>90.769230769230774</v>
      </c>
      <c r="J9" s="11">
        <f>OOPS!BG10</f>
        <v>42</v>
      </c>
      <c r="K9" s="10">
        <f>OOPS!BH10</f>
        <v>48</v>
      </c>
      <c r="L9" s="11">
        <f t="shared" si="2"/>
        <v>87.5</v>
      </c>
      <c r="M9" s="10">
        <f>DE!BF10</f>
        <v>41</v>
      </c>
      <c r="N9" s="10">
        <f>DE!BG10</f>
        <v>46</v>
      </c>
      <c r="O9" s="11">
        <f t="shared" si="3"/>
        <v>89.130434782608688</v>
      </c>
      <c r="P9" s="10">
        <f>DOS!BF10</f>
        <v>44</v>
      </c>
      <c r="Q9" s="10">
        <f>DOS!BG10</f>
        <v>48</v>
      </c>
      <c r="R9" s="11">
        <f t="shared" si="4"/>
        <v>91.666666666666657</v>
      </c>
      <c r="S9" s="10">
        <f>'OOPS LAB'!AE10</f>
        <v>43</v>
      </c>
      <c r="T9" s="10">
        <f>'OOPS LAB'!AF10</f>
        <v>48</v>
      </c>
      <c r="U9" s="11">
        <f t="shared" si="5"/>
        <v>89.583333333333343</v>
      </c>
      <c r="V9" s="10">
        <f>'DE LAB'!AE10</f>
        <v>26</v>
      </c>
      <c r="W9" s="10">
        <f>'DE LAB'!AF10</f>
        <v>30</v>
      </c>
      <c r="X9" s="11">
        <f t="shared" si="6"/>
        <v>86.666666666666671</v>
      </c>
      <c r="Y9" s="10">
        <f>'DSA LAB'!AE10</f>
        <v>40</v>
      </c>
      <c r="Z9" s="10">
        <f>'DSA LAB'!AF10</f>
        <v>41</v>
      </c>
      <c r="AA9" s="11">
        <f t="shared" si="7"/>
        <v>97.560975609756099</v>
      </c>
      <c r="AB9" s="10">
        <f>'IT WORKSHOP'!AM10</f>
        <v>31</v>
      </c>
      <c r="AC9" s="10">
        <f>'IT WORKSHOP'!AN10</f>
        <v>33</v>
      </c>
      <c r="AD9" s="11">
        <f t="shared" si="8"/>
        <v>93.939393939393938</v>
      </c>
      <c r="AE9" s="13">
        <f t="shared" si="9"/>
        <v>364</v>
      </c>
      <c r="AF9" s="14">
        <f t="shared" si="10"/>
        <v>400</v>
      </c>
      <c r="AG9" s="15">
        <f t="shared" si="11"/>
        <v>0.91</v>
      </c>
      <c r="AH9" s="16"/>
      <c r="AI9" s="17"/>
      <c r="AJ9" s="17"/>
    </row>
    <row r="10" spans="1:36" ht="14.4">
      <c r="A10" s="7">
        <v>7</v>
      </c>
      <c r="B10" s="8">
        <v>2301242</v>
      </c>
      <c r="C10" s="9" t="s">
        <v>25</v>
      </c>
      <c r="D10" s="10">
        <f>DSA!BF11</f>
        <v>35</v>
      </c>
      <c r="E10" s="10">
        <f>DSA!BG11</f>
        <v>41</v>
      </c>
      <c r="F10" s="11">
        <f t="shared" si="0"/>
        <v>85.365853658536579</v>
      </c>
      <c r="G10" s="10">
        <f>'M-III'!BF11</f>
        <v>45</v>
      </c>
      <c r="H10" s="10">
        <f>'M-III'!BG11</f>
        <v>65</v>
      </c>
      <c r="I10" s="11">
        <f t="shared" si="1"/>
        <v>69.230769230769226</v>
      </c>
      <c r="J10" s="11">
        <f>OOPS!BG11</f>
        <v>36</v>
      </c>
      <c r="K10" s="10">
        <f>OOPS!BH11</f>
        <v>48</v>
      </c>
      <c r="L10" s="11">
        <f t="shared" si="2"/>
        <v>75</v>
      </c>
      <c r="M10" s="10">
        <f>DE!BF11</f>
        <v>34</v>
      </c>
      <c r="N10" s="10">
        <f>DE!BG11</f>
        <v>46</v>
      </c>
      <c r="O10" s="11">
        <f t="shared" si="3"/>
        <v>73.91304347826086</v>
      </c>
      <c r="P10" s="10">
        <f>DOS!BF11</f>
        <v>32</v>
      </c>
      <c r="Q10" s="10">
        <f>DOS!BG11</f>
        <v>48</v>
      </c>
      <c r="R10" s="11">
        <f t="shared" si="4"/>
        <v>66.666666666666657</v>
      </c>
      <c r="S10" s="10">
        <f>'OOPS LAB'!AE11</f>
        <v>44</v>
      </c>
      <c r="T10" s="10">
        <f>'OOPS LAB'!AF11</f>
        <v>48</v>
      </c>
      <c r="U10" s="11">
        <f t="shared" si="5"/>
        <v>91.666666666666657</v>
      </c>
      <c r="V10" s="10">
        <f>'DE LAB'!AE11</f>
        <v>24</v>
      </c>
      <c r="W10" s="10">
        <f>'DE LAB'!AF11</f>
        <v>30</v>
      </c>
      <c r="X10" s="11">
        <f t="shared" si="6"/>
        <v>80</v>
      </c>
      <c r="Y10" s="10">
        <f>'DSA LAB'!AE11</f>
        <v>40</v>
      </c>
      <c r="Z10" s="10">
        <f>'DSA LAB'!AF11</f>
        <v>41</v>
      </c>
      <c r="AA10" s="11">
        <f t="shared" si="7"/>
        <v>97.560975609756099</v>
      </c>
      <c r="AB10" s="10">
        <f>'IT WORKSHOP'!AM11</f>
        <v>19</v>
      </c>
      <c r="AC10" s="10">
        <f>'IT WORKSHOP'!AN11</f>
        <v>33</v>
      </c>
      <c r="AD10" s="11">
        <f t="shared" si="8"/>
        <v>57.575757575757578</v>
      </c>
      <c r="AE10" s="13">
        <f t="shared" si="9"/>
        <v>309</v>
      </c>
      <c r="AF10" s="14">
        <f t="shared" si="10"/>
        <v>400</v>
      </c>
      <c r="AG10" s="15">
        <f t="shared" si="11"/>
        <v>0.77249999999999996</v>
      </c>
      <c r="AH10" s="16"/>
      <c r="AI10" s="17"/>
      <c r="AJ10" s="17"/>
    </row>
    <row r="11" spans="1:36" ht="14.4">
      <c r="A11" s="7">
        <v>8</v>
      </c>
      <c r="B11" s="8">
        <v>2301243</v>
      </c>
      <c r="C11" s="9" t="s">
        <v>26</v>
      </c>
      <c r="D11" s="10">
        <f>DSA!BF12</f>
        <v>29</v>
      </c>
      <c r="E11" s="10">
        <f>DSA!BG12</f>
        <v>41</v>
      </c>
      <c r="F11" s="11">
        <f t="shared" si="0"/>
        <v>70.731707317073173</v>
      </c>
      <c r="G11" s="10">
        <f>'M-III'!BF12</f>
        <v>46</v>
      </c>
      <c r="H11" s="10">
        <f>'M-III'!BG12</f>
        <v>65</v>
      </c>
      <c r="I11" s="11">
        <f t="shared" si="1"/>
        <v>70.769230769230774</v>
      </c>
      <c r="J11" s="11">
        <f>OOPS!BG12</f>
        <v>30</v>
      </c>
      <c r="K11" s="10">
        <f>OOPS!BH12</f>
        <v>48</v>
      </c>
      <c r="L11" s="11">
        <f t="shared" si="2"/>
        <v>62.5</v>
      </c>
      <c r="M11" s="10">
        <f>DE!BF12</f>
        <v>38</v>
      </c>
      <c r="N11" s="10">
        <f>DE!BG12</f>
        <v>46</v>
      </c>
      <c r="O11" s="11">
        <f t="shared" si="3"/>
        <v>82.608695652173907</v>
      </c>
      <c r="P11" s="10">
        <f>DOS!BF12</f>
        <v>27</v>
      </c>
      <c r="Q11" s="10">
        <f>DOS!BG12</f>
        <v>48</v>
      </c>
      <c r="R11" s="11">
        <f t="shared" si="4"/>
        <v>56.25</v>
      </c>
      <c r="S11" s="10">
        <f>'OOPS LAB'!AE12</f>
        <v>38</v>
      </c>
      <c r="T11" s="10">
        <f>'OOPS LAB'!AF12</f>
        <v>48</v>
      </c>
      <c r="U11" s="11">
        <f t="shared" si="5"/>
        <v>79.166666666666657</v>
      </c>
      <c r="V11" s="10">
        <f>'DE LAB'!AE12</f>
        <v>22</v>
      </c>
      <c r="W11" s="10">
        <f>'DE LAB'!AF12</f>
        <v>30</v>
      </c>
      <c r="X11" s="11">
        <f t="shared" si="6"/>
        <v>73.333333333333329</v>
      </c>
      <c r="Y11" s="10">
        <f>'DSA LAB'!AE12</f>
        <v>31</v>
      </c>
      <c r="Z11" s="10">
        <f>'DSA LAB'!AF12</f>
        <v>41</v>
      </c>
      <c r="AA11" s="11">
        <f t="shared" si="7"/>
        <v>75.609756097560975</v>
      </c>
      <c r="AB11" s="10">
        <f>'IT WORKSHOP'!AM12</f>
        <v>21</v>
      </c>
      <c r="AC11" s="10">
        <f>'IT WORKSHOP'!AN12</f>
        <v>33</v>
      </c>
      <c r="AD11" s="11">
        <f t="shared" si="8"/>
        <v>63.636363636363633</v>
      </c>
      <c r="AE11" s="13">
        <f t="shared" si="9"/>
        <v>282</v>
      </c>
      <c r="AF11" s="14">
        <f t="shared" si="10"/>
        <v>400</v>
      </c>
      <c r="AG11" s="15">
        <f t="shared" si="11"/>
        <v>0.70499999999999996</v>
      </c>
      <c r="AH11" s="16"/>
      <c r="AI11" s="17"/>
      <c r="AJ11" s="17"/>
    </row>
    <row r="12" spans="1:36" ht="14.4">
      <c r="A12" s="7">
        <v>9</v>
      </c>
      <c r="B12" s="8">
        <v>2301244</v>
      </c>
      <c r="C12" s="9" t="s">
        <v>27</v>
      </c>
      <c r="D12" s="10">
        <f>DSA!BF13</f>
        <v>0</v>
      </c>
      <c r="E12" s="10">
        <f>DSA!BG13</f>
        <v>41</v>
      </c>
      <c r="F12" s="11">
        <f t="shared" si="0"/>
        <v>0</v>
      </c>
      <c r="G12" s="10">
        <f>'M-III'!BF13</f>
        <v>0</v>
      </c>
      <c r="H12" s="10">
        <f>'M-III'!BG13</f>
        <v>65</v>
      </c>
      <c r="I12" s="11">
        <f t="shared" si="1"/>
        <v>0</v>
      </c>
      <c r="J12" s="10">
        <f>OOPS!BG13</f>
        <v>0</v>
      </c>
      <c r="K12" s="10">
        <f>OOPS!BH13</f>
        <v>48</v>
      </c>
      <c r="L12" s="11">
        <f t="shared" si="2"/>
        <v>0</v>
      </c>
      <c r="M12" s="10">
        <f>DE!BF13</f>
        <v>0</v>
      </c>
      <c r="N12" s="10">
        <f>DE!BG13</f>
        <v>46</v>
      </c>
      <c r="O12" s="11">
        <f t="shared" si="3"/>
        <v>0</v>
      </c>
      <c r="P12" s="10">
        <f>DOS!BF13</f>
        <v>0</v>
      </c>
      <c r="Q12" s="10">
        <f>DOS!BG13</f>
        <v>48</v>
      </c>
      <c r="R12" s="11">
        <f t="shared" si="4"/>
        <v>0</v>
      </c>
      <c r="S12" s="10">
        <f>'OOPS LAB'!AE13</f>
        <v>0</v>
      </c>
      <c r="T12" s="10">
        <f>'OOPS LAB'!AF13</f>
        <v>48</v>
      </c>
      <c r="U12" s="11">
        <f t="shared" si="5"/>
        <v>0</v>
      </c>
      <c r="V12" s="10">
        <f>'DE LAB'!AE13</f>
        <v>0</v>
      </c>
      <c r="W12" s="10">
        <f>'DE LAB'!AF13</f>
        <v>30</v>
      </c>
      <c r="X12" s="11">
        <f t="shared" si="6"/>
        <v>0</v>
      </c>
      <c r="Y12" s="10">
        <f>'DSA LAB'!AE13</f>
        <v>0</v>
      </c>
      <c r="Z12" s="10">
        <f>'DSA LAB'!AF13</f>
        <v>41</v>
      </c>
      <c r="AA12" s="11">
        <f t="shared" si="7"/>
        <v>0</v>
      </c>
      <c r="AB12" s="10">
        <f>'IT WORKSHOP'!AM13</f>
        <v>0</v>
      </c>
      <c r="AC12" s="10">
        <f>'IT WORKSHOP'!AN13</f>
        <v>33</v>
      </c>
      <c r="AD12" s="11">
        <f t="shared" si="8"/>
        <v>0</v>
      </c>
      <c r="AE12" s="13">
        <f t="shared" si="9"/>
        <v>0</v>
      </c>
      <c r="AF12" s="14">
        <f t="shared" si="10"/>
        <v>400</v>
      </c>
      <c r="AG12" s="15">
        <f t="shared" si="11"/>
        <v>0</v>
      </c>
      <c r="AH12" s="16"/>
      <c r="AI12" s="17"/>
      <c r="AJ12" s="17"/>
    </row>
    <row r="13" spans="1:36" ht="14.4">
      <c r="A13" s="7">
        <v>10</v>
      </c>
      <c r="B13" s="8">
        <v>2301245</v>
      </c>
      <c r="C13" s="9" t="s">
        <v>28</v>
      </c>
      <c r="D13" s="10">
        <f>DSA!BF14</f>
        <v>41</v>
      </c>
      <c r="E13" s="10">
        <f>DSA!BG14</f>
        <v>41</v>
      </c>
      <c r="F13" s="11">
        <f t="shared" si="0"/>
        <v>100</v>
      </c>
      <c r="G13" s="10">
        <f>'M-III'!BF14</f>
        <v>62</v>
      </c>
      <c r="H13" s="10">
        <f>'M-III'!BG14</f>
        <v>65</v>
      </c>
      <c r="I13" s="11">
        <f t="shared" si="1"/>
        <v>95.384615384615387</v>
      </c>
      <c r="J13" s="11">
        <f>OOPS!BG14</f>
        <v>43</v>
      </c>
      <c r="K13" s="10">
        <f>OOPS!BH14</f>
        <v>48</v>
      </c>
      <c r="L13" s="11">
        <f t="shared" si="2"/>
        <v>89.583333333333343</v>
      </c>
      <c r="M13" s="10">
        <f>DE!BF14</f>
        <v>41</v>
      </c>
      <c r="N13" s="10">
        <f>DE!BG14</f>
        <v>46</v>
      </c>
      <c r="O13" s="11">
        <f t="shared" si="3"/>
        <v>89.130434782608688</v>
      </c>
      <c r="P13" s="10">
        <f>DOS!BF14</f>
        <v>46</v>
      </c>
      <c r="Q13" s="10">
        <f>DOS!BG14</f>
        <v>48</v>
      </c>
      <c r="R13" s="11">
        <f t="shared" si="4"/>
        <v>95.833333333333343</v>
      </c>
      <c r="S13" s="10">
        <f>'OOPS LAB'!AE14</f>
        <v>42</v>
      </c>
      <c r="T13" s="10">
        <f>'OOPS LAB'!AF14</f>
        <v>48</v>
      </c>
      <c r="U13" s="11">
        <f t="shared" si="5"/>
        <v>87.5</v>
      </c>
      <c r="V13" s="10">
        <f>'DE LAB'!AE14</f>
        <v>28</v>
      </c>
      <c r="W13" s="10">
        <f>'DE LAB'!AF14</f>
        <v>30</v>
      </c>
      <c r="X13" s="11">
        <f t="shared" si="6"/>
        <v>93.333333333333329</v>
      </c>
      <c r="Y13" s="10">
        <f>'DSA LAB'!AE14</f>
        <v>41</v>
      </c>
      <c r="Z13" s="10">
        <f>'DSA LAB'!AF14</f>
        <v>41</v>
      </c>
      <c r="AA13" s="11">
        <f t="shared" si="7"/>
        <v>100</v>
      </c>
      <c r="AB13" s="10">
        <f>'IT WORKSHOP'!AM14</f>
        <v>32</v>
      </c>
      <c r="AC13" s="10">
        <f>'IT WORKSHOP'!AN14</f>
        <v>33</v>
      </c>
      <c r="AD13" s="11">
        <f t="shared" si="8"/>
        <v>96.969696969696969</v>
      </c>
      <c r="AE13" s="13">
        <f t="shared" si="9"/>
        <v>376</v>
      </c>
      <c r="AF13" s="14">
        <f t="shared" si="10"/>
        <v>400</v>
      </c>
      <c r="AG13" s="15">
        <f t="shared" si="11"/>
        <v>0.94</v>
      </c>
      <c r="AH13" s="16"/>
      <c r="AI13" s="17"/>
      <c r="AJ13" s="17"/>
    </row>
    <row r="14" spans="1:36" ht="14.4">
      <c r="A14" s="7">
        <v>11</v>
      </c>
      <c r="B14" s="8">
        <v>2301247</v>
      </c>
      <c r="C14" s="9" t="s">
        <v>29</v>
      </c>
      <c r="D14" s="10">
        <f>DSA!BF15</f>
        <v>33</v>
      </c>
      <c r="E14" s="10">
        <f>DSA!BG15</f>
        <v>41</v>
      </c>
      <c r="F14" s="11">
        <f t="shared" si="0"/>
        <v>80.487804878048792</v>
      </c>
      <c r="G14" s="10">
        <f>'M-III'!BF15</f>
        <v>36</v>
      </c>
      <c r="H14" s="10">
        <f>'M-III'!BG15</f>
        <v>65</v>
      </c>
      <c r="I14" s="11">
        <f t="shared" si="1"/>
        <v>55.384615384615387</v>
      </c>
      <c r="J14" s="11">
        <f>OOPS!BG15</f>
        <v>34</v>
      </c>
      <c r="K14" s="10">
        <f>OOPS!BH15</f>
        <v>48</v>
      </c>
      <c r="L14" s="11">
        <f t="shared" si="2"/>
        <v>70.833333333333343</v>
      </c>
      <c r="M14" s="10">
        <f>DE!BF15</f>
        <v>36</v>
      </c>
      <c r="N14" s="10">
        <f>DE!BG15</f>
        <v>46</v>
      </c>
      <c r="O14" s="11">
        <f t="shared" si="3"/>
        <v>78.260869565217391</v>
      </c>
      <c r="P14" s="10">
        <f>DOS!BF15</f>
        <v>25</v>
      </c>
      <c r="Q14" s="10">
        <f>DOS!BG15</f>
        <v>48</v>
      </c>
      <c r="R14" s="11">
        <f t="shared" si="4"/>
        <v>52.083333333333336</v>
      </c>
      <c r="S14" s="10">
        <f>'OOPS LAB'!AE15</f>
        <v>26</v>
      </c>
      <c r="T14" s="10">
        <f>'OOPS LAB'!AF15</f>
        <v>48</v>
      </c>
      <c r="U14" s="11">
        <f t="shared" si="5"/>
        <v>54.166666666666664</v>
      </c>
      <c r="V14" s="10">
        <f>'DE LAB'!AE15</f>
        <v>18</v>
      </c>
      <c r="W14" s="10">
        <f>'DE LAB'!AF15</f>
        <v>30</v>
      </c>
      <c r="X14" s="11">
        <f t="shared" si="6"/>
        <v>60</v>
      </c>
      <c r="Y14" s="10">
        <f>'DSA LAB'!AE15</f>
        <v>31</v>
      </c>
      <c r="Z14" s="10">
        <f>'DSA LAB'!AF15</f>
        <v>41</v>
      </c>
      <c r="AA14" s="11">
        <f t="shared" si="7"/>
        <v>75.609756097560975</v>
      </c>
      <c r="AB14" s="10">
        <f>'IT WORKSHOP'!AM15</f>
        <v>26</v>
      </c>
      <c r="AC14" s="10">
        <f>'IT WORKSHOP'!AN15</f>
        <v>33</v>
      </c>
      <c r="AD14" s="11">
        <f t="shared" si="8"/>
        <v>78.787878787878782</v>
      </c>
      <c r="AE14" s="13">
        <f t="shared" si="9"/>
        <v>265</v>
      </c>
      <c r="AF14" s="14">
        <f t="shared" si="10"/>
        <v>400</v>
      </c>
      <c r="AG14" s="15">
        <f t="shared" si="11"/>
        <v>0.66249999999999998</v>
      </c>
      <c r="AH14" s="16"/>
      <c r="AI14" s="17"/>
      <c r="AJ14" s="17"/>
    </row>
    <row r="15" spans="1:36" ht="14.4">
      <c r="A15" s="7">
        <v>12</v>
      </c>
      <c r="B15" s="8">
        <v>2301248</v>
      </c>
      <c r="C15" s="9" t="s">
        <v>30</v>
      </c>
      <c r="D15" s="10">
        <f>DSA!BF16</f>
        <v>0</v>
      </c>
      <c r="E15" s="10">
        <f>DSA!BG16</f>
        <v>41</v>
      </c>
      <c r="F15" s="11">
        <f t="shared" si="0"/>
        <v>0</v>
      </c>
      <c r="G15" s="10">
        <f>'M-III'!BF16</f>
        <v>0</v>
      </c>
      <c r="H15" s="10">
        <f>'M-III'!BG16</f>
        <v>65</v>
      </c>
      <c r="I15" s="11">
        <f t="shared" si="1"/>
        <v>0</v>
      </c>
      <c r="J15" s="11">
        <f>OOPS!BG16</f>
        <v>0</v>
      </c>
      <c r="K15" s="10">
        <f>OOPS!BH16</f>
        <v>48</v>
      </c>
      <c r="L15" s="11">
        <f t="shared" si="2"/>
        <v>0</v>
      </c>
      <c r="M15" s="10">
        <f>DE!BF16</f>
        <v>0</v>
      </c>
      <c r="N15" s="10">
        <f>DE!BG16</f>
        <v>46</v>
      </c>
      <c r="O15" s="11">
        <f t="shared" si="3"/>
        <v>0</v>
      </c>
      <c r="P15" s="10">
        <f>DOS!BF16</f>
        <v>0</v>
      </c>
      <c r="Q15" s="10">
        <f>DOS!BG16</f>
        <v>48</v>
      </c>
      <c r="R15" s="11">
        <f t="shared" si="4"/>
        <v>0</v>
      </c>
      <c r="S15" s="10">
        <f>'OOPS LAB'!AE16</f>
        <v>0</v>
      </c>
      <c r="T15" s="10">
        <f>'OOPS LAB'!AF16</f>
        <v>48</v>
      </c>
      <c r="U15" s="11">
        <f t="shared" si="5"/>
        <v>0</v>
      </c>
      <c r="V15" s="10">
        <f>'DE LAB'!AE16</f>
        <v>0</v>
      </c>
      <c r="W15" s="10">
        <f>'DE LAB'!AF16</f>
        <v>30</v>
      </c>
      <c r="X15" s="11">
        <f t="shared" si="6"/>
        <v>0</v>
      </c>
      <c r="Y15" s="10">
        <f>'DSA LAB'!AE16</f>
        <v>0</v>
      </c>
      <c r="Z15" s="10">
        <f>'DSA LAB'!AF16</f>
        <v>41</v>
      </c>
      <c r="AA15" s="11">
        <f t="shared" si="7"/>
        <v>0</v>
      </c>
      <c r="AB15" s="10">
        <f>'IT WORKSHOP'!AM16</f>
        <v>0</v>
      </c>
      <c r="AC15" s="10">
        <f>'IT WORKSHOP'!AN16</f>
        <v>33</v>
      </c>
      <c r="AD15" s="11">
        <f t="shared" si="8"/>
        <v>0</v>
      </c>
      <c r="AE15" s="13">
        <f t="shared" si="9"/>
        <v>0</v>
      </c>
      <c r="AF15" s="14">
        <f t="shared" si="10"/>
        <v>400</v>
      </c>
      <c r="AG15" s="15">
        <f t="shared" si="11"/>
        <v>0</v>
      </c>
      <c r="AH15" s="16"/>
      <c r="AI15" s="17"/>
      <c r="AJ15" s="17"/>
    </row>
    <row r="16" spans="1:36" ht="14.4">
      <c r="A16" s="7">
        <v>13</v>
      </c>
      <c r="B16" s="8">
        <v>2301249</v>
      </c>
      <c r="C16" s="9" t="s">
        <v>31</v>
      </c>
      <c r="D16" s="10">
        <f>DSA!BF17</f>
        <v>33</v>
      </c>
      <c r="E16" s="10">
        <f>DSA!BG17</f>
        <v>41</v>
      </c>
      <c r="F16" s="11">
        <f t="shared" si="0"/>
        <v>80.487804878048792</v>
      </c>
      <c r="G16" s="10">
        <f>'M-III'!BF17</f>
        <v>34</v>
      </c>
      <c r="H16" s="10">
        <f>'M-III'!BG17</f>
        <v>65</v>
      </c>
      <c r="I16" s="11">
        <f t="shared" si="1"/>
        <v>52.307692307692314</v>
      </c>
      <c r="J16" s="11">
        <f>OOPS!BG17</f>
        <v>30</v>
      </c>
      <c r="K16" s="10">
        <f>OOPS!BH17</f>
        <v>48</v>
      </c>
      <c r="L16" s="11">
        <f t="shared" si="2"/>
        <v>62.5</v>
      </c>
      <c r="M16" s="10">
        <f>DE!BF17</f>
        <v>23</v>
      </c>
      <c r="N16" s="10">
        <f>DE!BG17</f>
        <v>46</v>
      </c>
      <c r="O16" s="11">
        <f t="shared" si="3"/>
        <v>50</v>
      </c>
      <c r="P16" s="10">
        <f>DOS!BF17</f>
        <v>24</v>
      </c>
      <c r="Q16" s="10">
        <f>DOS!BG17</f>
        <v>48</v>
      </c>
      <c r="R16" s="11">
        <f t="shared" si="4"/>
        <v>50</v>
      </c>
      <c r="S16" s="10">
        <f>'OOPS LAB'!AE17</f>
        <v>32</v>
      </c>
      <c r="T16" s="10">
        <f>'OOPS LAB'!AF17</f>
        <v>48</v>
      </c>
      <c r="U16" s="11">
        <f t="shared" si="5"/>
        <v>66.666666666666657</v>
      </c>
      <c r="V16" s="10">
        <f>'DE LAB'!AE17</f>
        <v>16</v>
      </c>
      <c r="W16" s="10">
        <f>'DE LAB'!AF17</f>
        <v>30</v>
      </c>
      <c r="X16" s="11">
        <f t="shared" si="6"/>
        <v>53.333333333333336</v>
      </c>
      <c r="Y16" s="10">
        <f>'DSA LAB'!AE17</f>
        <v>39</v>
      </c>
      <c r="Z16" s="10">
        <f>'DSA LAB'!AF17</f>
        <v>41</v>
      </c>
      <c r="AA16" s="11">
        <f t="shared" si="7"/>
        <v>95.121951219512198</v>
      </c>
      <c r="AB16" s="10">
        <f>'IT WORKSHOP'!AM17</f>
        <v>31</v>
      </c>
      <c r="AC16" s="10">
        <f>'IT WORKSHOP'!AN17</f>
        <v>33</v>
      </c>
      <c r="AD16" s="11">
        <f t="shared" si="8"/>
        <v>93.939393939393938</v>
      </c>
      <c r="AE16" s="13">
        <f t="shared" si="9"/>
        <v>262</v>
      </c>
      <c r="AF16" s="14">
        <f t="shared" si="10"/>
        <v>400</v>
      </c>
      <c r="AG16" s="15">
        <f t="shared" si="11"/>
        <v>0.65500000000000003</v>
      </c>
      <c r="AH16" s="16"/>
      <c r="AI16" s="17"/>
      <c r="AJ16" s="17"/>
    </row>
    <row r="17" spans="1:36" ht="28.8">
      <c r="A17" s="7">
        <v>14</v>
      </c>
      <c r="B17" s="8">
        <v>2301250</v>
      </c>
      <c r="C17" s="9" t="s">
        <v>32</v>
      </c>
      <c r="D17" s="10">
        <f>DSA!BF18</f>
        <v>25</v>
      </c>
      <c r="E17" s="10">
        <f>DSA!BG18</f>
        <v>41</v>
      </c>
      <c r="F17" s="11">
        <f t="shared" si="0"/>
        <v>60.975609756097562</v>
      </c>
      <c r="G17" s="10">
        <f>'M-III'!BF18</f>
        <v>42</v>
      </c>
      <c r="H17" s="10">
        <f>'M-III'!BG18</f>
        <v>65</v>
      </c>
      <c r="I17" s="11">
        <f t="shared" si="1"/>
        <v>64.615384615384613</v>
      </c>
      <c r="J17" s="11">
        <f>OOPS!BG18</f>
        <v>26</v>
      </c>
      <c r="K17" s="10">
        <f>OOPS!BH18</f>
        <v>48</v>
      </c>
      <c r="L17" s="11">
        <f t="shared" si="2"/>
        <v>54.166666666666664</v>
      </c>
      <c r="M17" s="10">
        <f>DE!BF18</f>
        <v>27</v>
      </c>
      <c r="N17" s="10">
        <f>DE!BG18</f>
        <v>46</v>
      </c>
      <c r="O17" s="11">
        <f t="shared" si="3"/>
        <v>58.695652173913047</v>
      </c>
      <c r="P17" s="10">
        <f>DOS!BF18</f>
        <v>29</v>
      </c>
      <c r="Q17" s="10">
        <f>DOS!BG18</f>
        <v>48</v>
      </c>
      <c r="R17" s="11">
        <f t="shared" si="4"/>
        <v>60.416666666666664</v>
      </c>
      <c r="S17" s="10">
        <f>'OOPS LAB'!AE18</f>
        <v>23</v>
      </c>
      <c r="T17" s="10">
        <f>'OOPS LAB'!AF18</f>
        <v>48</v>
      </c>
      <c r="U17" s="11">
        <f t="shared" si="5"/>
        <v>47.916666666666671</v>
      </c>
      <c r="V17" s="10">
        <f>'DE LAB'!AE18</f>
        <v>18</v>
      </c>
      <c r="W17" s="10">
        <f>'DE LAB'!AF18</f>
        <v>30</v>
      </c>
      <c r="X17" s="11">
        <f t="shared" si="6"/>
        <v>60</v>
      </c>
      <c r="Y17" s="10">
        <f>'DSA LAB'!AE18</f>
        <v>30</v>
      </c>
      <c r="Z17" s="10">
        <f>'DSA LAB'!AF18</f>
        <v>41</v>
      </c>
      <c r="AA17" s="11">
        <f t="shared" si="7"/>
        <v>73.170731707317074</v>
      </c>
      <c r="AB17" s="10">
        <f>'IT WORKSHOP'!AM18</f>
        <v>18</v>
      </c>
      <c r="AC17" s="10">
        <f>'IT WORKSHOP'!AN18</f>
        <v>33</v>
      </c>
      <c r="AD17" s="11">
        <f t="shared" si="8"/>
        <v>54.54545454545454</v>
      </c>
      <c r="AE17" s="13">
        <f t="shared" si="9"/>
        <v>238</v>
      </c>
      <c r="AF17" s="14">
        <f t="shared" si="10"/>
        <v>400</v>
      </c>
      <c r="AG17" s="15">
        <f t="shared" si="11"/>
        <v>0.59499999999999997</v>
      </c>
      <c r="AH17" s="16"/>
      <c r="AI17" s="17"/>
      <c r="AJ17" s="17"/>
    </row>
    <row r="18" spans="1:36" ht="14.4">
      <c r="A18" s="7">
        <v>15</v>
      </c>
      <c r="B18" s="8">
        <v>2301251</v>
      </c>
      <c r="C18" s="18" t="s">
        <v>33</v>
      </c>
      <c r="D18" s="10">
        <f>DSA!BF19</f>
        <v>32</v>
      </c>
      <c r="E18" s="10">
        <f>DSA!BG19</f>
        <v>41</v>
      </c>
      <c r="F18" s="11">
        <f t="shared" si="0"/>
        <v>78.048780487804876</v>
      </c>
      <c r="G18" s="10">
        <f>'M-III'!BF19</f>
        <v>46</v>
      </c>
      <c r="H18" s="10">
        <f>'M-III'!BG19</f>
        <v>65</v>
      </c>
      <c r="I18" s="11">
        <f t="shared" si="1"/>
        <v>70.769230769230774</v>
      </c>
      <c r="J18" s="11">
        <f>OOPS!BG19</f>
        <v>20</v>
      </c>
      <c r="K18" s="10">
        <f>OOPS!BH19</f>
        <v>48</v>
      </c>
      <c r="L18" s="11">
        <f t="shared" si="2"/>
        <v>41.666666666666671</v>
      </c>
      <c r="M18" s="10">
        <f>DE!BF19</f>
        <v>36</v>
      </c>
      <c r="N18" s="10">
        <f>DE!BG19</f>
        <v>46</v>
      </c>
      <c r="O18" s="11">
        <f t="shared" si="3"/>
        <v>78.260869565217391</v>
      </c>
      <c r="P18" s="10">
        <f>DOS!BF19</f>
        <v>20</v>
      </c>
      <c r="Q18" s="10">
        <f>DOS!BG19</f>
        <v>48</v>
      </c>
      <c r="R18" s="11">
        <f t="shared" si="4"/>
        <v>41.666666666666671</v>
      </c>
      <c r="S18" s="10">
        <f>'OOPS LAB'!AE19</f>
        <v>29</v>
      </c>
      <c r="T18" s="10">
        <f>'OOPS LAB'!AF19</f>
        <v>48</v>
      </c>
      <c r="U18" s="11">
        <f t="shared" si="5"/>
        <v>60.416666666666664</v>
      </c>
      <c r="V18" s="10">
        <f>'DE LAB'!AE19</f>
        <v>22</v>
      </c>
      <c r="W18" s="10">
        <f>'DE LAB'!AF19</f>
        <v>30</v>
      </c>
      <c r="X18" s="11">
        <f t="shared" si="6"/>
        <v>73.333333333333329</v>
      </c>
      <c r="Y18" s="10">
        <f>'DSA LAB'!AE19</f>
        <v>29</v>
      </c>
      <c r="Z18" s="10">
        <f>'DSA LAB'!AF19</f>
        <v>41</v>
      </c>
      <c r="AA18" s="11">
        <f t="shared" si="7"/>
        <v>70.731707317073173</v>
      </c>
      <c r="AB18" s="10">
        <f>'IT WORKSHOP'!AM19</f>
        <v>18</v>
      </c>
      <c r="AC18" s="10">
        <f>'IT WORKSHOP'!AN19</f>
        <v>33</v>
      </c>
      <c r="AD18" s="11">
        <f t="shared" si="8"/>
        <v>54.54545454545454</v>
      </c>
      <c r="AE18" s="13">
        <f t="shared" si="9"/>
        <v>252</v>
      </c>
      <c r="AF18" s="14">
        <f t="shared" si="10"/>
        <v>400</v>
      </c>
      <c r="AG18" s="15">
        <f t="shared" si="11"/>
        <v>0.63</v>
      </c>
      <c r="AH18" s="16"/>
      <c r="AI18" s="17"/>
      <c r="AJ18" s="17"/>
    </row>
    <row r="19" spans="1:36" ht="15.75" customHeight="1">
      <c r="A19" s="7">
        <v>16</v>
      </c>
      <c r="B19" s="8">
        <v>2301252</v>
      </c>
      <c r="C19" s="18" t="s">
        <v>34</v>
      </c>
      <c r="D19" s="10">
        <f>DSA!BF20</f>
        <v>32</v>
      </c>
      <c r="E19" s="10">
        <f>DSA!BG20</f>
        <v>41</v>
      </c>
      <c r="F19" s="11">
        <f t="shared" si="0"/>
        <v>78.048780487804876</v>
      </c>
      <c r="G19" s="10">
        <f>'M-III'!BF20</f>
        <v>48</v>
      </c>
      <c r="H19" s="10">
        <f>'M-III'!BG20</f>
        <v>65</v>
      </c>
      <c r="I19" s="11">
        <f t="shared" si="1"/>
        <v>73.846153846153854</v>
      </c>
      <c r="J19" s="11">
        <f>OOPS!BG20</f>
        <v>40</v>
      </c>
      <c r="K19" s="10">
        <f>OOPS!BH20</f>
        <v>48</v>
      </c>
      <c r="L19" s="11">
        <f t="shared" si="2"/>
        <v>83.333333333333343</v>
      </c>
      <c r="M19" s="10">
        <f>DE!BF20</f>
        <v>40</v>
      </c>
      <c r="N19" s="10">
        <f>DE!BG20</f>
        <v>46</v>
      </c>
      <c r="O19" s="11">
        <f t="shared" si="3"/>
        <v>86.956521739130437</v>
      </c>
      <c r="P19" s="10">
        <f>DOS!BF20</f>
        <v>34</v>
      </c>
      <c r="Q19" s="10">
        <f>DOS!BG20</f>
        <v>48</v>
      </c>
      <c r="R19" s="11">
        <f t="shared" si="4"/>
        <v>70.833333333333343</v>
      </c>
      <c r="S19" s="10">
        <f>'OOPS LAB'!AE20</f>
        <v>39</v>
      </c>
      <c r="T19" s="10">
        <f>'OOPS LAB'!AF20</f>
        <v>48</v>
      </c>
      <c r="U19" s="11">
        <f t="shared" si="5"/>
        <v>81.25</v>
      </c>
      <c r="V19" s="10">
        <f>'DE LAB'!AE20</f>
        <v>26</v>
      </c>
      <c r="W19" s="10">
        <f>'DE LAB'!AF20</f>
        <v>30</v>
      </c>
      <c r="X19" s="11">
        <f t="shared" si="6"/>
        <v>86.666666666666671</v>
      </c>
      <c r="Y19" s="10">
        <f>'DSA LAB'!AE20</f>
        <v>33</v>
      </c>
      <c r="Z19" s="10">
        <f>'DSA LAB'!AF20</f>
        <v>41</v>
      </c>
      <c r="AA19" s="11">
        <f t="shared" si="7"/>
        <v>80.487804878048792</v>
      </c>
      <c r="AB19" s="10">
        <f>'IT WORKSHOP'!AM20</f>
        <v>22</v>
      </c>
      <c r="AC19" s="10">
        <f>'IT WORKSHOP'!AN20</f>
        <v>33</v>
      </c>
      <c r="AD19" s="11">
        <f t="shared" si="8"/>
        <v>66.666666666666657</v>
      </c>
      <c r="AE19" s="13">
        <f t="shared" si="9"/>
        <v>314</v>
      </c>
      <c r="AF19" s="14">
        <f t="shared" si="10"/>
        <v>400</v>
      </c>
      <c r="AG19" s="15">
        <f t="shared" si="11"/>
        <v>0.78500000000000003</v>
      </c>
      <c r="AH19" s="16"/>
      <c r="AI19" s="17"/>
      <c r="AJ19" s="17"/>
    </row>
    <row r="20" spans="1:36" ht="15.75" customHeight="1">
      <c r="A20" s="7">
        <v>17</v>
      </c>
      <c r="B20" s="8">
        <v>2301253</v>
      </c>
      <c r="C20" s="18" t="s">
        <v>35</v>
      </c>
      <c r="D20" s="10">
        <f>DSA!BF21</f>
        <v>36</v>
      </c>
      <c r="E20" s="10">
        <f>DSA!BG21</f>
        <v>41</v>
      </c>
      <c r="F20" s="11">
        <f t="shared" si="0"/>
        <v>87.804878048780495</v>
      </c>
      <c r="G20" s="10">
        <f>'M-III'!BF21</f>
        <v>50</v>
      </c>
      <c r="H20" s="10">
        <f>'M-III'!BG21</f>
        <v>65</v>
      </c>
      <c r="I20" s="11">
        <f t="shared" si="1"/>
        <v>76.923076923076934</v>
      </c>
      <c r="J20" s="11">
        <f>OOPS!BG21</f>
        <v>25</v>
      </c>
      <c r="K20" s="10">
        <f>OOPS!BH21</f>
        <v>48</v>
      </c>
      <c r="L20" s="11">
        <f t="shared" si="2"/>
        <v>52.083333333333336</v>
      </c>
      <c r="M20" s="10">
        <f>DE!BF21</f>
        <v>36</v>
      </c>
      <c r="N20" s="10">
        <f>DE!BG21</f>
        <v>46</v>
      </c>
      <c r="O20" s="11">
        <f t="shared" si="3"/>
        <v>78.260869565217391</v>
      </c>
      <c r="P20" s="10">
        <f>DOS!BF21</f>
        <v>37</v>
      </c>
      <c r="Q20" s="10">
        <f>DOS!BG21</f>
        <v>48</v>
      </c>
      <c r="R20" s="11">
        <f t="shared" si="4"/>
        <v>77.083333333333343</v>
      </c>
      <c r="S20" s="10">
        <f>'OOPS LAB'!AE21</f>
        <v>38</v>
      </c>
      <c r="T20" s="10">
        <f>'OOPS LAB'!AF21</f>
        <v>48</v>
      </c>
      <c r="U20" s="11">
        <f t="shared" si="5"/>
        <v>79.166666666666657</v>
      </c>
      <c r="V20" s="10">
        <f>'DE LAB'!AE21</f>
        <v>22</v>
      </c>
      <c r="W20" s="10">
        <f>'DE LAB'!AF21</f>
        <v>30</v>
      </c>
      <c r="X20" s="11">
        <f t="shared" si="6"/>
        <v>73.333333333333329</v>
      </c>
      <c r="Y20" s="10">
        <f>'DSA LAB'!AE21</f>
        <v>39</v>
      </c>
      <c r="Z20" s="10">
        <f>'DSA LAB'!AF21</f>
        <v>41</v>
      </c>
      <c r="AA20" s="11">
        <f t="shared" si="7"/>
        <v>95.121951219512198</v>
      </c>
      <c r="AB20" s="10">
        <f>'IT WORKSHOP'!AM21</f>
        <v>22</v>
      </c>
      <c r="AC20" s="10">
        <f>'IT WORKSHOP'!AN21</f>
        <v>33</v>
      </c>
      <c r="AD20" s="11">
        <f t="shared" si="8"/>
        <v>66.666666666666657</v>
      </c>
      <c r="AE20" s="13">
        <f t="shared" si="9"/>
        <v>305</v>
      </c>
      <c r="AF20" s="14">
        <f t="shared" si="10"/>
        <v>400</v>
      </c>
      <c r="AG20" s="15">
        <f t="shared" si="11"/>
        <v>0.76249999999999996</v>
      </c>
      <c r="AH20" s="16"/>
      <c r="AI20" s="17"/>
      <c r="AJ20" s="17"/>
    </row>
    <row r="21" spans="1:36" ht="15.75" customHeight="1">
      <c r="A21" s="7">
        <v>18</v>
      </c>
      <c r="B21" s="8">
        <v>2301254</v>
      </c>
      <c r="C21" s="18" t="s">
        <v>36</v>
      </c>
      <c r="D21" s="10">
        <f>DSA!BF22</f>
        <v>0</v>
      </c>
      <c r="E21" s="10">
        <f>DSA!BG22</f>
        <v>41</v>
      </c>
      <c r="F21" s="11">
        <f t="shared" si="0"/>
        <v>0</v>
      </c>
      <c r="G21" s="10">
        <f>'M-III'!BF22</f>
        <v>0</v>
      </c>
      <c r="H21" s="10">
        <f>'M-III'!BG22</f>
        <v>65</v>
      </c>
      <c r="I21" s="11">
        <f t="shared" si="1"/>
        <v>0</v>
      </c>
      <c r="J21" s="11">
        <f>OOPS!BG22</f>
        <v>0</v>
      </c>
      <c r="K21" s="10">
        <f>OOPS!BH22</f>
        <v>48</v>
      </c>
      <c r="L21" s="11">
        <f t="shared" si="2"/>
        <v>0</v>
      </c>
      <c r="M21" s="10">
        <f>DE!BF22</f>
        <v>0</v>
      </c>
      <c r="N21" s="10">
        <f>DE!BG22</f>
        <v>46</v>
      </c>
      <c r="O21" s="11">
        <f t="shared" si="3"/>
        <v>0</v>
      </c>
      <c r="P21" s="10">
        <f>DOS!BF22</f>
        <v>0</v>
      </c>
      <c r="Q21" s="10">
        <f>DOS!BG22</f>
        <v>48</v>
      </c>
      <c r="R21" s="11">
        <f t="shared" si="4"/>
        <v>0</v>
      </c>
      <c r="S21" s="10">
        <f>'OOPS LAB'!AE22</f>
        <v>0</v>
      </c>
      <c r="T21" s="10">
        <f>'OOPS LAB'!AF22</f>
        <v>48</v>
      </c>
      <c r="U21" s="11">
        <f t="shared" si="5"/>
        <v>0</v>
      </c>
      <c r="V21" s="10">
        <f>'DE LAB'!AE22</f>
        <v>0</v>
      </c>
      <c r="W21" s="10">
        <f>'DE LAB'!AF22</f>
        <v>30</v>
      </c>
      <c r="X21" s="11">
        <f t="shared" si="6"/>
        <v>0</v>
      </c>
      <c r="Y21" s="10">
        <f>'DSA LAB'!AE22</f>
        <v>0</v>
      </c>
      <c r="Z21" s="10">
        <f>'DSA LAB'!AF22</f>
        <v>41</v>
      </c>
      <c r="AA21" s="11">
        <f t="shared" si="7"/>
        <v>0</v>
      </c>
      <c r="AB21" s="10">
        <f>'IT WORKSHOP'!AM22</f>
        <v>0</v>
      </c>
      <c r="AC21" s="10">
        <f>'IT WORKSHOP'!AN22</f>
        <v>33</v>
      </c>
      <c r="AD21" s="11">
        <f t="shared" si="8"/>
        <v>0</v>
      </c>
      <c r="AE21" s="13">
        <f t="shared" si="9"/>
        <v>0</v>
      </c>
      <c r="AF21" s="14">
        <f t="shared" si="10"/>
        <v>400</v>
      </c>
      <c r="AG21" s="15">
        <f t="shared" si="11"/>
        <v>0</v>
      </c>
      <c r="AH21" s="16"/>
      <c r="AI21" s="17"/>
      <c r="AJ21" s="17"/>
    </row>
    <row r="22" spans="1:36" ht="15.75" customHeight="1">
      <c r="A22" s="7">
        <v>19</v>
      </c>
      <c r="B22" s="8">
        <v>2301255</v>
      </c>
      <c r="C22" s="18" t="s">
        <v>37</v>
      </c>
      <c r="D22" s="10">
        <f>DSA!BF23</f>
        <v>34</v>
      </c>
      <c r="E22" s="10">
        <f>DSA!BG23</f>
        <v>41</v>
      </c>
      <c r="F22" s="11">
        <f t="shared" si="0"/>
        <v>82.926829268292678</v>
      </c>
      <c r="G22" s="10">
        <f>'M-III'!BF23</f>
        <v>55</v>
      </c>
      <c r="H22" s="10">
        <f>'M-III'!BG23</f>
        <v>65</v>
      </c>
      <c r="I22" s="11">
        <f t="shared" si="1"/>
        <v>84.615384615384613</v>
      </c>
      <c r="J22" s="11">
        <f>OOPS!BG23</f>
        <v>38</v>
      </c>
      <c r="K22" s="10">
        <f>OOPS!BH23</f>
        <v>48</v>
      </c>
      <c r="L22" s="11">
        <f t="shared" si="2"/>
        <v>79.166666666666657</v>
      </c>
      <c r="M22" s="10">
        <f>DE!BF23</f>
        <v>38</v>
      </c>
      <c r="N22" s="10">
        <f>DE!BG23</f>
        <v>46</v>
      </c>
      <c r="O22" s="11">
        <f t="shared" si="3"/>
        <v>82.608695652173907</v>
      </c>
      <c r="P22" s="10">
        <f>DOS!BF23</f>
        <v>38</v>
      </c>
      <c r="Q22" s="10">
        <f>DOS!BG23</f>
        <v>48</v>
      </c>
      <c r="R22" s="11">
        <f t="shared" si="4"/>
        <v>79.166666666666657</v>
      </c>
      <c r="S22" s="10">
        <f>'OOPS LAB'!AE23</f>
        <v>37</v>
      </c>
      <c r="T22" s="10">
        <f>'OOPS LAB'!AF23</f>
        <v>48</v>
      </c>
      <c r="U22" s="11">
        <f t="shared" si="5"/>
        <v>77.083333333333343</v>
      </c>
      <c r="V22" s="10">
        <f>'DE LAB'!AE23</f>
        <v>26</v>
      </c>
      <c r="W22" s="10">
        <f>'DE LAB'!AF23</f>
        <v>30</v>
      </c>
      <c r="X22" s="11">
        <f t="shared" si="6"/>
        <v>86.666666666666671</v>
      </c>
      <c r="Y22" s="10">
        <f>'DSA LAB'!AE23</f>
        <v>30</v>
      </c>
      <c r="Z22" s="10">
        <f>'DSA LAB'!AF23</f>
        <v>41</v>
      </c>
      <c r="AA22" s="11">
        <f t="shared" si="7"/>
        <v>73.170731707317074</v>
      </c>
      <c r="AB22" s="10">
        <f>'IT WORKSHOP'!AM23</f>
        <v>29</v>
      </c>
      <c r="AC22" s="10">
        <f>'IT WORKSHOP'!AN23</f>
        <v>33</v>
      </c>
      <c r="AD22" s="11">
        <f t="shared" si="8"/>
        <v>87.878787878787875</v>
      </c>
      <c r="AE22" s="13">
        <f t="shared" si="9"/>
        <v>325</v>
      </c>
      <c r="AF22" s="14">
        <f t="shared" si="10"/>
        <v>400</v>
      </c>
      <c r="AG22" s="15">
        <f t="shared" si="11"/>
        <v>0.8125</v>
      </c>
      <c r="AH22" s="16"/>
      <c r="AI22" s="17"/>
      <c r="AJ22" s="17"/>
    </row>
    <row r="23" spans="1:36" ht="15.75" customHeight="1">
      <c r="A23" s="7">
        <v>20</v>
      </c>
      <c r="B23" s="8">
        <v>2301256</v>
      </c>
      <c r="C23" s="18" t="s">
        <v>38</v>
      </c>
      <c r="D23" s="19">
        <f>DSA!BF24</f>
        <v>39</v>
      </c>
      <c r="E23" s="19">
        <f>DSA!BG24</f>
        <v>41</v>
      </c>
      <c r="F23" s="20">
        <f t="shared" si="0"/>
        <v>95.121951219512198</v>
      </c>
      <c r="G23" s="10">
        <f>'M-III'!BF24</f>
        <v>52</v>
      </c>
      <c r="H23" s="10">
        <f>'M-III'!BG24</f>
        <v>65</v>
      </c>
      <c r="I23" s="11">
        <f t="shared" si="1"/>
        <v>80</v>
      </c>
      <c r="J23" s="20">
        <f>OOPS!BG24</f>
        <v>32</v>
      </c>
      <c r="K23" s="19">
        <f>OOPS!BH24</f>
        <v>48</v>
      </c>
      <c r="L23" s="20">
        <f t="shared" si="2"/>
        <v>66.666666666666657</v>
      </c>
      <c r="M23" s="10">
        <f>DE!BF24</f>
        <v>36</v>
      </c>
      <c r="N23" s="10">
        <f>DE!BG24</f>
        <v>46</v>
      </c>
      <c r="O23" s="20">
        <f t="shared" si="3"/>
        <v>78.260869565217391</v>
      </c>
      <c r="P23" s="10">
        <f>DOS!BF24</f>
        <v>36</v>
      </c>
      <c r="Q23" s="10">
        <f>DOS!BG24</f>
        <v>48</v>
      </c>
      <c r="R23" s="20">
        <f t="shared" si="4"/>
        <v>75</v>
      </c>
      <c r="S23" s="10">
        <f>'OOPS LAB'!AE24</f>
        <v>40</v>
      </c>
      <c r="T23" s="10">
        <f>'OOPS LAB'!AF24</f>
        <v>48</v>
      </c>
      <c r="U23" s="20">
        <f t="shared" si="5"/>
        <v>83.333333333333343</v>
      </c>
      <c r="V23" s="10">
        <f>'DE LAB'!AE24</f>
        <v>20</v>
      </c>
      <c r="W23" s="10">
        <f>'DE LAB'!AF24</f>
        <v>30</v>
      </c>
      <c r="X23" s="20">
        <f t="shared" si="6"/>
        <v>66.666666666666657</v>
      </c>
      <c r="Y23" s="10">
        <f>'DSA LAB'!AE24</f>
        <v>41</v>
      </c>
      <c r="Z23" s="10">
        <f>'DSA LAB'!AF24</f>
        <v>41</v>
      </c>
      <c r="AA23" s="20">
        <f t="shared" si="7"/>
        <v>100</v>
      </c>
      <c r="AB23" s="19">
        <f>'IT WORKSHOP'!AM24</f>
        <v>25</v>
      </c>
      <c r="AC23" s="10">
        <f>'IT WORKSHOP'!AN24</f>
        <v>33</v>
      </c>
      <c r="AD23" s="20">
        <f t="shared" si="8"/>
        <v>75.757575757575751</v>
      </c>
      <c r="AE23" s="13">
        <f t="shared" si="9"/>
        <v>321</v>
      </c>
      <c r="AF23" s="14">
        <f t="shared" si="10"/>
        <v>400</v>
      </c>
      <c r="AG23" s="21">
        <f t="shared" si="11"/>
        <v>0.80249999999999999</v>
      </c>
      <c r="AH23" s="22"/>
      <c r="AI23" s="23"/>
    </row>
    <row r="24" spans="1:36" ht="15.75" customHeight="1">
      <c r="A24" s="7">
        <v>21</v>
      </c>
      <c r="B24" s="8">
        <v>2301257</v>
      </c>
      <c r="C24" s="18" t="s">
        <v>39</v>
      </c>
      <c r="D24" s="19">
        <f>DSA!BF25</f>
        <v>32</v>
      </c>
      <c r="E24" s="19">
        <f>DSA!BG25</f>
        <v>41</v>
      </c>
      <c r="F24" s="20">
        <f t="shared" si="0"/>
        <v>78.048780487804876</v>
      </c>
      <c r="G24" s="10">
        <f>'M-III'!BF25</f>
        <v>43</v>
      </c>
      <c r="H24" s="10">
        <f>'M-III'!BG25</f>
        <v>65</v>
      </c>
      <c r="I24" s="11">
        <f t="shared" si="1"/>
        <v>66.153846153846146</v>
      </c>
      <c r="J24" s="20">
        <f>OOPS!BG25</f>
        <v>27</v>
      </c>
      <c r="K24" s="19">
        <f>OOPS!BH25</f>
        <v>48</v>
      </c>
      <c r="L24" s="20">
        <f t="shared" si="2"/>
        <v>56.25</v>
      </c>
      <c r="M24" s="10">
        <f>DE!BF25</f>
        <v>32</v>
      </c>
      <c r="N24" s="10">
        <f>DE!BG25</f>
        <v>46</v>
      </c>
      <c r="O24" s="20">
        <f t="shared" si="3"/>
        <v>69.565217391304344</v>
      </c>
      <c r="P24" s="10">
        <f>DOS!BF25</f>
        <v>30</v>
      </c>
      <c r="Q24" s="10">
        <f>DOS!BG25</f>
        <v>48</v>
      </c>
      <c r="R24" s="20">
        <f t="shared" si="4"/>
        <v>62.5</v>
      </c>
      <c r="S24" s="10">
        <f>'OOPS LAB'!AE25</f>
        <v>31</v>
      </c>
      <c r="T24" s="10">
        <f>'OOPS LAB'!AF25</f>
        <v>48</v>
      </c>
      <c r="U24" s="20">
        <f t="shared" si="5"/>
        <v>64.583333333333343</v>
      </c>
      <c r="V24" s="10">
        <f>'DE LAB'!AE25</f>
        <v>18</v>
      </c>
      <c r="W24" s="10">
        <f>'DE LAB'!AF25</f>
        <v>30</v>
      </c>
      <c r="X24" s="20">
        <f t="shared" si="6"/>
        <v>60</v>
      </c>
      <c r="Y24" s="10">
        <f>'DSA LAB'!AE25</f>
        <v>34</v>
      </c>
      <c r="Z24" s="10">
        <f>'DSA LAB'!AF25</f>
        <v>41</v>
      </c>
      <c r="AA24" s="20">
        <f t="shared" si="7"/>
        <v>82.926829268292678</v>
      </c>
      <c r="AB24" s="19">
        <f>'IT WORKSHOP'!AM25</f>
        <v>23</v>
      </c>
      <c r="AC24" s="10">
        <f>'IT WORKSHOP'!AN25</f>
        <v>33</v>
      </c>
      <c r="AD24" s="20">
        <f t="shared" si="8"/>
        <v>69.696969696969703</v>
      </c>
      <c r="AE24" s="13">
        <f t="shared" si="9"/>
        <v>270</v>
      </c>
      <c r="AF24" s="14">
        <f t="shared" si="10"/>
        <v>400</v>
      </c>
      <c r="AG24" s="21">
        <f t="shared" si="11"/>
        <v>0.67500000000000004</v>
      </c>
      <c r="AH24" s="24"/>
      <c r="AI24" s="24"/>
    </row>
    <row r="25" spans="1:36" ht="15.75" customHeight="1">
      <c r="A25" s="7">
        <v>22</v>
      </c>
      <c r="B25" s="8">
        <v>2301258</v>
      </c>
      <c r="C25" s="18" t="s">
        <v>40</v>
      </c>
      <c r="D25" s="19">
        <f>DSA!BF26</f>
        <v>21</v>
      </c>
      <c r="E25" s="19">
        <f>DSA!BG26</f>
        <v>41</v>
      </c>
      <c r="F25" s="20">
        <f t="shared" si="0"/>
        <v>51.219512195121951</v>
      </c>
      <c r="G25" s="10">
        <f>'M-III'!BF26</f>
        <v>21</v>
      </c>
      <c r="H25" s="10">
        <f>'M-III'!BG26</f>
        <v>65</v>
      </c>
      <c r="I25" s="11">
        <f t="shared" si="1"/>
        <v>32.307692307692307</v>
      </c>
      <c r="J25" s="20">
        <f>OOPS!BG26</f>
        <v>13</v>
      </c>
      <c r="K25" s="19">
        <f>OOPS!BH26</f>
        <v>48</v>
      </c>
      <c r="L25" s="20">
        <f t="shared" si="2"/>
        <v>27.083333333333332</v>
      </c>
      <c r="M25" s="10">
        <f>DE!BF26</f>
        <v>16</v>
      </c>
      <c r="N25" s="10">
        <f>DE!BG26</f>
        <v>46</v>
      </c>
      <c r="O25" s="20">
        <f t="shared" si="3"/>
        <v>34.782608695652172</v>
      </c>
      <c r="P25" s="10">
        <f>DOS!BF26</f>
        <v>9</v>
      </c>
      <c r="Q25" s="10">
        <f>DOS!BG26</f>
        <v>48</v>
      </c>
      <c r="R25" s="20">
        <f t="shared" si="4"/>
        <v>18.75</v>
      </c>
      <c r="S25" s="10">
        <f>'OOPS LAB'!AE26</f>
        <v>12</v>
      </c>
      <c r="T25" s="10">
        <f>'OOPS LAB'!AF26</f>
        <v>48</v>
      </c>
      <c r="U25" s="20">
        <f t="shared" si="5"/>
        <v>25</v>
      </c>
      <c r="V25" s="10">
        <f>'DE LAB'!AE26</f>
        <v>10</v>
      </c>
      <c r="W25" s="10">
        <f>'DE LAB'!AF26</f>
        <v>30</v>
      </c>
      <c r="X25" s="20">
        <f t="shared" si="6"/>
        <v>33.333333333333329</v>
      </c>
      <c r="Y25" s="10">
        <f>'DSA LAB'!AE26</f>
        <v>18</v>
      </c>
      <c r="Z25" s="10">
        <f>'DSA LAB'!AF26</f>
        <v>41</v>
      </c>
      <c r="AA25" s="20">
        <f t="shared" si="7"/>
        <v>43.902439024390247</v>
      </c>
      <c r="AB25" s="19">
        <f>'IT WORKSHOP'!AM26</f>
        <v>10</v>
      </c>
      <c r="AC25" s="10">
        <f>'IT WORKSHOP'!AN26</f>
        <v>33</v>
      </c>
      <c r="AD25" s="20">
        <f t="shared" si="8"/>
        <v>30.303030303030305</v>
      </c>
      <c r="AE25" s="13">
        <f t="shared" si="9"/>
        <v>130</v>
      </c>
      <c r="AF25" s="14">
        <f t="shared" si="10"/>
        <v>400</v>
      </c>
      <c r="AG25" s="21">
        <f t="shared" si="11"/>
        <v>0.32500000000000001</v>
      </c>
      <c r="AH25" s="24"/>
      <c r="AI25" s="24"/>
    </row>
    <row r="26" spans="1:36" ht="15.75" customHeight="1">
      <c r="A26" s="7">
        <v>23</v>
      </c>
      <c r="B26" s="8">
        <v>2301259</v>
      </c>
      <c r="C26" s="18" t="s">
        <v>41</v>
      </c>
      <c r="D26" s="19">
        <f>DSA!BF27</f>
        <v>27</v>
      </c>
      <c r="E26" s="19">
        <f>DSA!BG27</f>
        <v>41</v>
      </c>
      <c r="F26" s="20">
        <f t="shared" si="0"/>
        <v>65.853658536585371</v>
      </c>
      <c r="G26" s="10">
        <f>'M-III'!BF27</f>
        <v>43</v>
      </c>
      <c r="H26" s="19">
        <f>'M-III'!BG26</f>
        <v>65</v>
      </c>
      <c r="I26" s="11">
        <f t="shared" si="1"/>
        <v>66.153846153846146</v>
      </c>
      <c r="J26" s="20">
        <f>OOPS!BG27</f>
        <v>31</v>
      </c>
      <c r="K26" s="19">
        <f>OOPS!BH27</f>
        <v>48</v>
      </c>
      <c r="L26" s="20">
        <f t="shared" si="2"/>
        <v>64.583333333333343</v>
      </c>
      <c r="M26" s="10">
        <f>DE!BF27</f>
        <v>34</v>
      </c>
      <c r="N26" s="10">
        <f>DE!BG27</f>
        <v>46</v>
      </c>
      <c r="O26" s="20">
        <f t="shared" si="3"/>
        <v>73.91304347826086</v>
      </c>
      <c r="P26" s="10">
        <f>DOS!BF27</f>
        <v>29</v>
      </c>
      <c r="Q26" s="10">
        <f>DOS!BG27</f>
        <v>48</v>
      </c>
      <c r="R26" s="20">
        <f t="shared" si="4"/>
        <v>60.416666666666664</v>
      </c>
      <c r="S26" s="10">
        <f>'OOPS LAB'!AE27</f>
        <v>31</v>
      </c>
      <c r="T26" s="10">
        <f>'OOPS LAB'!AF27</f>
        <v>48</v>
      </c>
      <c r="U26" s="20">
        <f t="shared" si="5"/>
        <v>64.583333333333343</v>
      </c>
      <c r="V26" s="10">
        <f>'DE LAB'!AE27</f>
        <v>20</v>
      </c>
      <c r="W26" s="10">
        <f>'DE LAB'!AF27</f>
        <v>30</v>
      </c>
      <c r="X26" s="20">
        <f t="shared" si="6"/>
        <v>66.666666666666657</v>
      </c>
      <c r="Y26" s="10">
        <f>'DSA LAB'!AE27</f>
        <v>25</v>
      </c>
      <c r="Z26" s="10">
        <f>'DSA LAB'!AF27</f>
        <v>41</v>
      </c>
      <c r="AA26" s="20">
        <f t="shared" si="7"/>
        <v>60.975609756097562</v>
      </c>
      <c r="AB26" s="19">
        <f>'IT WORKSHOP'!AM27</f>
        <v>23</v>
      </c>
      <c r="AC26" s="10">
        <f>'IT WORKSHOP'!AN27</f>
        <v>33</v>
      </c>
      <c r="AD26" s="20">
        <f t="shared" si="8"/>
        <v>69.696969696969703</v>
      </c>
      <c r="AE26" s="13">
        <f t="shared" si="9"/>
        <v>263</v>
      </c>
      <c r="AF26" s="14">
        <f t="shared" si="10"/>
        <v>400</v>
      </c>
      <c r="AG26" s="21">
        <f t="shared" si="11"/>
        <v>0.65749999999999997</v>
      </c>
      <c r="AH26" s="24"/>
      <c r="AI26" s="24"/>
    </row>
    <row r="27" spans="1:36" ht="15.75" customHeight="1">
      <c r="A27" s="7">
        <v>24</v>
      </c>
      <c r="B27" s="8">
        <v>2301260</v>
      </c>
      <c r="C27" s="18" t="s">
        <v>42</v>
      </c>
      <c r="D27" s="19">
        <f>DSA!BF28</f>
        <v>35</v>
      </c>
      <c r="E27" s="19">
        <f>DSA!BG28</f>
        <v>41</v>
      </c>
      <c r="F27" s="20">
        <f t="shared" si="0"/>
        <v>85.365853658536579</v>
      </c>
      <c r="G27" s="10">
        <f>'M-III'!BF28</f>
        <v>52</v>
      </c>
      <c r="H27" s="19">
        <f>'M-III'!BG27</f>
        <v>65</v>
      </c>
      <c r="I27" s="20">
        <f t="shared" si="1"/>
        <v>80</v>
      </c>
      <c r="J27" s="20">
        <f>OOPS!BG28</f>
        <v>33</v>
      </c>
      <c r="K27" s="19">
        <f>OOPS!BH28</f>
        <v>48</v>
      </c>
      <c r="L27" s="20">
        <f t="shared" si="2"/>
        <v>68.75</v>
      </c>
      <c r="M27" s="10">
        <f>DE!BF28</f>
        <v>29</v>
      </c>
      <c r="N27" s="10">
        <f>DE!BG28</f>
        <v>46</v>
      </c>
      <c r="O27" s="20">
        <f t="shared" si="3"/>
        <v>63.04347826086957</v>
      </c>
      <c r="P27" s="10">
        <f>DOS!BF28</f>
        <v>32</v>
      </c>
      <c r="Q27" s="10">
        <f>DOS!BG28</f>
        <v>48</v>
      </c>
      <c r="R27" s="20">
        <f t="shared" si="4"/>
        <v>66.666666666666657</v>
      </c>
      <c r="S27" s="10">
        <f>'OOPS LAB'!AE28</f>
        <v>29</v>
      </c>
      <c r="T27" s="10">
        <f>'OOPS LAB'!AF28</f>
        <v>48</v>
      </c>
      <c r="U27" s="20">
        <f t="shared" si="5"/>
        <v>60.416666666666664</v>
      </c>
      <c r="V27" s="10">
        <f>'DE LAB'!AE28</f>
        <v>22</v>
      </c>
      <c r="W27" s="10">
        <f>'DE LAB'!AF28</f>
        <v>30</v>
      </c>
      <c r="X27" s="20">
        <f t="shared" si="6"/>
        <v>73.333333333333329</v>
      </c>
      <c r="Y27" s="10">
        <f>'DSA LAB'!AE28</f>
        <v>31</v>
      </c>
      <c r="Z27" s="10">
        <f>'DSA LAB'!AF28</f>
        <v>41</v>
      </c>
      <c r="AA27" s="20">
        <f t="shared" si="7"/>
        <v>75.609756097560975</v>
      </c>
      <c r="AB27" s="19">
        <f>'IT WORKSHOP'!AM28</f>
        <v>26</v>
      </c>
      <c r="AC27" s="10">
        <f>'IT WORKSHOP'!AN28</f>
        <v>33</v>
      </c>
      <c r="AD27" s="20">
        <f t="shared" si="8"/>
        <v>78.787878787878782</v>
      </c>
      <c r="AE27" s="13">
        <f t="shared" si="9"/>
        <v>289</v>
      </c>
      <c r="AF27" s="14">
        <f t="shared" si="10"/>
        <v>400</v>
      </c>
      <c r="AG27" s="21">
        <f t="shared" si="11"/>
        <v>0.72250000000000003</v>
      </c>
      <c r="AH27" s="24"/>
      <c r="AI27" s="24"/>
    </row>
    <row r="28" spans="1:36" ht="15.75" customHeight="1">
      <c r="A28" s="7">
        <v>25</v>
      </c>
      <c r="B28" s="8">
        <v>2301261</v>
      </c>
      <c r="C28" s="18" t="s">
        <v>43</v>
      </c>
      <c r="D28" s="19">
        <f>DSA!BF29</f>
        <v>27</v>
      </c>
      <c r="E28" s="19">
        <f>DSA!BG29</f>
        <v>41</v>
      </c>
      <c r="F28" s="20">
        <f t="shared" si="0"/>
        <v>65.853658536585371</v>
      </c>
      <c r="G28" s="10">
        <f>'M-III'!BF29</f>
        <v>33</v>
      </c>
      <c r="H28" s="19">
        <f>'M-III'!BG28</f>
        <v>65</v>
      </c>
      <c r="I28" s="20">
        <f t="shared" si="1"/>
        <v>50.769230769230766</v>
      </c>
      <c r="J28" s="20">
        <f>OOPS!BG29</f>
        <v>8</v>
      </c>
      <c r="K28" s="19">
        <f>OOPS!BH29</f>
        <v>48</v>
      </c>
      <c r="L28" s="20">
        <f t="shared" si="2"/>
        <v>16.666666666666664</v>
      </c>
      <c r="M28" s="10">
        <f>DE!BF29</f>
        <v>16</v>
      </c>
      <c r="N28" s="10">
        <f>DE!BG29</f>
        <v>46</v>
      </c>
      <c r="O28" s="20">
        <f t="shared" si="3"/>
        <v>34.782608695652172</v>
      </c>
      <c r="P28" s="10">
        <f>DOS!BF29</f>
        <v>20</v>
      </c>
      <c r="Q28" s="10">
        <f>DOS!BG29</f>
        <v>48</v>
      </c>
      <c r="R28" s="20">
        <f t="shared" si="4"/>
        <v>41.666666666666671</v>
      </c>
      <c r="S28" s="10">
        <f>'OOPS LAB'!AE29</f>
        <v>24</v>
      </c>
      <c r="T28" s="10">
        <f>'OOPS LAB'!AF29</f>
        <v>48</v>
      </c>
      <c r="U28" s="20">
        <f t="shared" si="5"/>
        <v>50</v>
      </c>
      <c r="V28" s="10">
        <f>'DE LAB'!AE29</f>
        <v>14</v>
      </c>
      <c r="W28" s="10">
        <f>'DE LAB'!AF29</f>
        <v>30</v>
      </c>
      <c r="X28" s="20">
        <f t="shared" si="6"/>
        <v>46.666666666666664</v>
      </c>
      <c r="Y28" s="10">
        <f>'DSA LAB'!AE29</f>
        <v>38</v>
      </c>
      <c r="Z28" s="10">
        <f>'DSA LAB'!AF29</f>
        <v>41</v>
      </c>
      <c r="AA28" s="20">
        <f t="shared" si="7"/>
        <v>92.682926829268297</v>
      </c>
      <c r="AB28" s="19">
        <f>'IT WORKSHOP'!AM29</f>
        <v>20</v>
      </c>
      <c r="AC28" s="10">
        <f>'IT WORKSHOP'!AN29</f>
        <v>33</v>
      </c>
      <c r="AD28" s="20">
        <f t="shared" si="8"/>
        <v>60.606060606060609</v>
      </c>
      <c r="AE28" s="13">
        <f t="shared" si="9"/>
        <v>200</v>
      </c>
      <c r="AF28" s="14">
        <f t="shared" si="10"/>
        <v>400</v>
      </c>
      <c r="AG28" s="21">
        <f t="shared" si="11"/>
        <v>0.5</v>
      </c>
      <c r="AH28" s="24"/>
      <c r="AI28" s="24"/>
    </row>
    <row r="29" spans="1:36" ht="15.75" customHeight="1">
      <c r="A29" s="7">
        <v>26</v>
      </c>
      <c r="B29" s="8">
        <v>2301262</v>
      </c>
      <c r="C29" s="18" t="s">
        <v>44</v>
      </c>
      <c r="D29" s="19">
        <f>DSA!BF30</f>
        <v>33</v>
      </c>
      <c r="E29" s="19">
        <f>DSA!BG30</f>
        <v>41</v>
      </c>
      <c r="F29" s="20">
        <f t="shared" si="0"/>
        <v>80.487804878048792</v>
      </c>
      <c r="G29" s="10">
        <f>'M-III'!BF30</f>
        <v>46</v>
      </c>
      <c r="H29" s="19">
        <f>'M-III'!BG29</f>
        <v>65</v>
      </c>
      <c r="I29" s="20">
        <f t="shared" si="1"/>
        <v>70.769230769230774</v>
      </c>
      <c r="J29" s="20">
        <f>OOPS!BG30</f>
        <v>30</v>
      </c>
      <c r="K29" s="19">
        <f>OOPS!BH30</f>
        <v>48</v>
      </c>
      <c r="L29" s="20">
        <f t="shared" si="2"/>
        <v>62.5</v>
      </c>
      <c r="M29" s="10">
        <f>DE!BF30</f>
        <v>35</v>
      </c>
      <c r="N29" s="10">
        <f>DE!BG30</f>
        <v>46</v>
      </c>
      <c r="O29" s="20">
        <f t="shared" si="3"/>
        <v>76.08695652173914</v>
      </c>
      <c r="P29" s="10">
        <f>DOS!BF30</f>
        <v>30</v>
      </c>
      <c r="Q29" s="10">
        <f>DOS!BG30</f>
        <v>48</v>
      </c>
      <c r="R29" s="20">
        <f t="shared" si="4"/>
        <v>62.5</v>
      </c>
      <c r="S29" s="10">
        <f>'OOPS LAB'!AE30</f>
        <v>28</v>
      </c>
      <c r="T29" s="10">
        <f>'OOPS LAB'!AF30</f>
        <v>48</v>
      </c>
      <c r="U29" s="20">
        <f t="shared" si="5"/>
        <v>58.333333333333336</v>
      </c>
      <c r="V29" s="10">
        <f>'DE LAB'!AE30</f>
        <v>22</v>
      </c>
      <c r="W29" s="10">
        <f>'DE LAB'!AF30</f>
        <v>30</v>
      </c>
      <c r="X29" s="20">
        <f t="shared" si="6"/>
        <v>73.333333333333329</v>
      </c>
      <c r="Y29" s="10">
        <f>'DSA LAB'!AE30</f>
        <v>31</v>
      </c>
      <c r="Z29" s="10">
        <f>'DSA LAB'!AF30</f>
        <v>41</v>
      </c>
      <c r="AA29" s="20">
        <f t="shared" si="7"/>
        <v>75.609756097560975</v>
      </c>
      <c r="AB29" s="19">
        <f>'IT WORKSHOP'!AM30</f>
        <v>25</v>
      </c>
      <c r="AC29" s="10">
        <f>'IT WORKSHOP'!AN30</f>
        <v>33</v>
      </c>
      <c r="AD29" s="20">
        <f t="shared" si="8"/>
        <v>75.757575757575751</v>
      </c>
      <c r="AE29" s="13">
        <f t="shared" si="9"/>
        <v>280</v>
      </c>
      <c r="AF29" s="14">
        <f t="shared" si="10"/>
        <v>400</v>
      </c>
      <c r="AG29" s="21">
        <f t="shared" si="11"/>
        <v>0.7</v>
      </c>
      <c r="AH29" s="24"/>
      <c r="AI29" s="24"/>
    </row>
    <row r="30" spans="1:36" ht="15.75" customHeight="1">
      <c r="A30" s="7">
        <v>27</v>
      </c>
      <c r="B30" s="8">
        <v>2301263</v>
      </c>
      <c r="C30" s="18" t="s">
        <v>45</v>
      </c>
      <c r="D30" s="19">
        <f>DSA!BF31</f>
        <v>38</v>
      </c>
      <c r="E30" s="19">
        <f>DSA!BG31</f>
        <v>41</v>
      </c>
      <c r="F30" s="20">
        <f t="shared" si="0"/>
        <v>92.682926829268297</v>
      </c>
      <c r="G30" s="10">
        <f>'M-III'!BF31</f>
        <v>57</v>
      </c>
      <c r="H30" s="19">
        <f>'M-III'!BG30</f>
        <v>65</v>
      </c>
      <c r="I30" s="20">
        <f t="shared" si="1"/>
        <v>87.692307692307693</v>
      </c>
      <c r="J30" s="20">
        <f>OOPS!BG31</f>
        <v>43</v>
      </c>
      <c r="K30" s="19">
        <f>OOPS!BH31</f>
        <v>48</v>
      </c>
      <c r="L30" s="20">
        <f t="shared" si="2"/>
        <v>89.583333333333343</v>
      </c>
      <c r="M30" s="10">
        <f>DE!BF31</f>
        <v>40</v>
      </c>
      <c r="N30" s="10">
        <f>DE!BG31</f>
        <v>46</v>
      </c>
      <c r="O30" s="20">
        <f t="shared" si="3"/>
        <v>86.956521739130437</v>
      </c>
      <c r="P30" s="10">
        <f>DOS!BF31</f>
        <v>47</v>
      </c>
      <c r="Q30" s="10">
        <f>DOS!BG31</f>
        <v>48</v>
      </c>
      <c r="R30" s="20">
        <f t="shared" si="4"/>
        <v>97.916666666666657</v>
      </c>
      <c r="S30" s="10">
        <f>'OOPS LAB'!AE31</f>
        <v>48</v>
      </c>
      <c r="T30" s="10">
        <f>'OOPS LAB'!AF31</f>
        <v>48</v>
      </c>
      <c r="U30" s="20">
        <f t="shared" si="5"/>
        <v>100</v>
      </c>
      <c r="V30" s="10">
        <f>'DE LAB'!AE31</f>
        <v>28</v>
      </c>
      <c r="W30" s="10">
        <f>'DE LAB'!AF31</f>
        <v>30</v>
      </c>
      <c r="X30" s="20">
        <f t="shared" si="6"/>
        <v>93.333333333333329</v>
      </c>
      <c r="Y30" s="10">
        <f>'DSA LAB'!AE31</f>
        <v>37</v>
      </c>
      <c r="Z30" s="10">
        <f>'DSA LAB'!AF31</f>
        <v>41</v>
      </c>
      <c r="AA30" s="20">
        <f t="shared" si="7"/>
        <v>90.243902439024396</v>
      </c>
      <c r="AB30" s="19">
        <f>'IT WORKSHOP'!AM31</f>
        <v>31</v>
      </c>
      <c r="AC30" s="10">
        <f>'IT WORKSHOP'!AN31</f>
        <v>33</v>
      </c>
      <c r="AD30" s="20">
        <f t="shared" si="8"/>
        <v>93.939393939393938</v>
      </c>
      <c r="AE30" s="13">
        <f t="shared" si="9"/>
        <v>369</v>
      </c>
      <c r="AF30" s="14">
        <f t="shared" si="10"/>
        <v>400</v>
      </c>
      <c r="AG30" s="21">
        <f t="shared" si="11"/>
        <v>0.92249999999999999</v>
      </c>
      <c r="AH30" s="24"/>
      <c r="AI30" s="24"/>
    </row>
    <row r="31" spans="1:36" ht="15.75" customHeight="1">
      <c r="A31" s="7">
        <v>28</v>
      </c>
      <c r="B31" s="8">
        <v>2301264</v>
      </c>
      <c r="C31" s="18" t="s">
        <v>46</v>
      </c>
      <c r="D31" s="19">
        <f>DSA!BF32</f>
        <v>20</v>
      </c>
      <c r="E31" s="19">
        <f>DSA!BG32</f>
        <v>41</v>
      </c>
      <c r="F31" s="20">
        <f t="shared" si="0"/>
        <v>48.780487804878049</v>
      </c>
      <c r="G31" s="10">
        <f>'M-III'!BF32</f>
        <v>13</v>
      </c>
      <c r="H31" s="19">
        <f>'M-III'!BG31</f>
        <v>65</v>
      </c>
      <c r="I31" s="20">
        <f t="shared" si="1"/>
        <v>20</v>
      </c>
      <c r="J31" s="20">
        <f>OOPS!BG32</f>
        <v>14</v>
      </c>
      <c r="K31" s="19">
        <f>OOPS!BH32</f>
        <v>48</v>
      </c>
      <c r="L31" s="20">
        <f t="shared" si="2"/>
        <v>29.166666666666668</v>
      </c>
      <c r="M31" s="10">
        <f>DE!BF32</f>
        <v>22</v>
      </c>
      <c r="N31" s="10">
        <f>DE!BG32</f>
        <v>46</v>
      </c>
      <c r="O31" s="20">
        <f t="shared" si="3"/>
        <v>47.826086956521742</v>
      </c>
      <c r="P31" s="10">
        <f>DOS!BF32</f>
        <v>8</v>
      </c>
      <c r="Q31" s="10">
        <f>DOS!BG32</f>
        <v>48</v>
      </c>
      <c r="R31" s="20">
        <f t="shared" si="4"/>
        <v>16.666666666666664</v>
      </c>
      <c r="S31" s="10">
        <f>'OOPS LAB'!AE32</f>
        <v>13</v>
      </c>
      <c r="T31" s="10">
        <f>'OOPS LAB'!AF32</f>
        <v>48</v>
      </c>
      <c r="U31" s="20">
        <f t="shared" si="5"/>
        <v>27.083333333333332</v>
      </c>
      <c r="V31" s="10">
        <f>'DE LAB'!AE32</f>
        <v>10</v>
      </c>
      <c r="W31" s="10">
        <f>'DE LAB'!AF32</f>
        <v>30</v>
      </c>
      <c r="X31" s="20">
        <f t="shared" si="6"/>
        <v>33.333333333333329</v>
      </c>
      <c r="Y31" s="10">
        <f>'DSA LAB'!AE32</f>
        <v>26</v>
      </c>
      <c r="Z31" s="10">
        <f>'DSA LAB'!AF32</f>
        <v>41</v>
      </c>
      <c r="AA31" s="20">
        <f t="shared" si="7"/>
        <v>63.414634146341463</v>
      </c>
      <c r="AB31" s="19">
        <f>'IT WORKSHOP'!AM32</f>
        <v>10</v>
      </c>
      <c r="AC31" s="10">
        <f>'IT WORKSHOP'!AN32</f>
        <v>33</v>
      </c>
      <c r="AD31" s="20">
        <f t="shared" si="8"/>
        <v>30.303030303030305</v>
      </c>
      <c r="AE31" s="13">
        <f t="shared" si="9"/>
        <v>136</v>
      </c>
      <c r="AF31" s="14">
        <f t="shared" si="10"/>
        <v>400</v>
      </c>
      <c r="AG31" s="21">
        <f t="shared" si="11"/>
        <v>0.34</v>
      </c>
      <c r="AH31" s="22"/>
      <c r="AI31" s="23"/>
    </row>
    <row r="32" spans="1:36" ht="15.75" customHeight="1">
      <c r="A32" s="7">
        <v>29</v>
      </c>
      <c r="B32" s="8">
        <v>2301265</v>
      </c>
      <c r="C32" s="18" t="s">
        <v>47</v>
      </c>
      <c r="D32" s="19">
        <f>DSA!BF33</f>
        <v>38</v>
      </c>
      <c r="E32" s="19">
        <f>DSA!BG33</f>
        <v>41</v>
      </c>
      <c r="F32" s="20">
        <f t="shared" si="0"/>
        <v>92.682926829268297</v>
      </c>
      <c r="G32" s="10">
        <f>'M-III'!BF33</f>
        <v>52</v>
      </c>
      <c r="H32" s="19">
        <f>'M-III'!BG32</f>
        <v>65</v>
      </c>
      <c r="I32" s="20">
        <f t="shared" si="1"/>
        <v>80</v>
      </c>
      <c r="J32" s="20">
        <f>OOPS!BG33</f>
        <v>40</v>
      </c>
      <c r="K32" s="19">
        <f>OOPS!BH33</f>
        <v>48</v>
      </c>
      <c r="L32" s="20">
        <f t="shared" si="2"/>
        <v>83.333333333333343</v>
      </c>
      <c r="M32" s="10">
        <f>DE!BF33</f>
        <v>35</v>
      </c>
      <c r="N32" s="10">
        <f>DE!BG33</f>
        <v>46</v>
      </c>
      <c r="O32" s="20">
        <f t="shared" si="3"/>
        <v>76.08695652173914</v>
      </c>
      <c r="P32" s="10">
        <f>DOS!BF33</f>
        <v>37</v>
      </c>
      <c r="Q32" s="10">
        <f>DOS!BG33</f>
        <v>48</v>
      </c>
      <c r="R32" s="20">
        <f t="shared" si="4"/>
        <v>77.083333333333343</v>
      </c>
      <c r="S32" s="10">
        <f>'OOPS LAB'!AE33</f>
        <v>33</v>
      </c>
      <c r="T32" s="10">
        <f>'OOPS LAB'!AF33</f>
        <v>48</v>
      </c>
      <c r="U32" s="20">
        <f t="shared" si="5"/>
        <v>68.75</v>
      </c>
      <c r="V32" s="10">
        <f>'DE LAB'!AE33</f>
        <v>26</v>
      </c>
      <c r="W32" s="10">
        <f>'DE LAB'!AF33</f>
        <v>30</v>
      </c>
      <c r="X32" s="20">
        <f t="shared" si="6"/>
        <v>86.666666666666671</v>
      </c>
      <c r="Y32" s="10">
        <f>'DSA LAB'!AE33</f>
        <v>40</v>
      </c>
      <c r="Z32" s="10">
        <f>'DSA LAB'!AF33</f>
        <v>41</v>
      </c>
      <c r="AA32" s="20">
        <f t="shared" si="7"/>
        <v>97.560975609756099</v>
      </c>
      <c r="AB32" s="19">
        <f>'IT WORKSHOP'!AM33</f>
        <v>15</v>
      </c>
      <c r="AC32" s="10">
        <f>'IT WORKSHOP'!AN33</f>
        <v>33</v>
      </c>
      <c r="AD32" s="20">
        <f t="shared" si="8"/>
        <v>45.454545454545453</v>
      </c>
      <c r="AE32" s="13">
        <f t="shared" si="9"/>
        <v>316</v>
      </c>
      <c r="AF32" s="14">
        <f t="shared" si="10"/>
        <v>400</v>
      </c>
      <c r="AG32" s="21">
        <f t="shared" si="11"/>
        <v>0.79</v>
      </c>
      <c r="AH32" s="24"/>
      <c r="AI32" s="24"/>
    </row>
    <row r="33" spans="1:36" ht="15.75" customHeight="1">
      <c r="A33" s="7">
        <v>30</v>
      </c>
      <c r="B33" s="8">
        <v>2301267</v>
      </c>
      <c r="C33" s="18" t="s">
        <v>48</v>
      </c>
      <c r="D33" s="19">
        <f>DSA!BF34</f>
        <v>35</v>
      </c>
      <c r="E33" s="19">
        <f>DSA!BG34</f>
        <v>41</v>
      </c>
      <c r="F33" s="20">
        <f t="shared" si="0"/>
        <v>85.365853658536579</v>
      </c>
      <c r="G33" s="10">
        <f>'M-III'!BF34</f>
        <v>54</v>
      </c>
      <c r="H33" s="19">
        <f>'M-III'!BG33</f>
        <v>65</v>
      </c>
      <c r="I33" s="20">
        <f t="shared" si="1"/>
        <v>83.07692307692308</v>
      </c>
      <c r="J33" s="20">
        <f>OOPS!BG34</f>
        <v>40</v>
      </c>
      <c r="K33" s="19">
        <f>OOPS!BH34</f>
        <v>48</v>
      </c>
      <c r="L33" s="20">
        <f t="shared" si="2"/>
        <v>83.333333333333343</v>
      </c>
      <c r="M33" s="10">
        <f>DE!BF34</f>
        <v>38</v>
      </c>
      <c r="N33" s="10">
        <f>DE!BG34</f>
        <v>46</v>
      </c>
      <c r="O33" s="20">
        <f t="shared" si="3"/>
        <v>82.608695652173907</v>
      </c>
      <c r="P33" s="10">
        <f>DOS!BF34</f>
        <v>37</v>
      </c>
      <c r="Q33" s="10">
        <f>DOS!BG34</f>
        <v>48</v>
      </c>
      <c r="R33" s="20">
        <f t="shared" si="4"/>
        <v>77.083333333333343</v>
      </c>
      <c r="S33" s="10">
        <f>'OOPS LAB'!AE34</f>
        <v>39</v>
      </c>
      <c r="T33" s="10">
        <f>'OOPS LAB'!AF34</f>
        <v>48</v>
      </c>
      <c r="U33" s="20">
        <f t="shared" si="5"/>
        <v>81.25</v>
      </c>
      <c r="V33" s="10">
        <f>'DE LAB'!AE34</f>
        <v>24</v>
      </c>
      <c r="W33" s="10">
        <f>'DE LAB'!AF34</f>
        <v>30</v>
      </c>
      <c r="X33" s="20">
        <f t="shared" si="6"/>
        <v>80</v>
      </c>
      <c r="Y33" s="10">
        <f>'DSA LAB'!AE34</f>
        <v>40</v>
      </c>
      <c r="Z33" s="10">
        <f>'DSA LAB'!AF34</f>
        <v>41</v>
      </c>
      <c r="AA33" s="20">
        <f t="shared" si="7"/>
        <v>97.560975609756099</v>
      </c>
      <c r="AB33" s="19">
        <f>'IT WORKSHOP'!AM34</f>
        <v>26</v>
      </c>
      <c r="AC33" s="10">
        <f>'IT WORKSHOP'!AN34</f>
        <v>33</v>
      </c>
      <c r="AD33" s="20">
        <f t="shared" si="8"/>
        <v>78.787878787878782</v>
      </c>
      <c r="AE33" s="13">
        <f t="shared" si="9"/>
        <v>333</v>
      </c>
      <c r="AF33" s="14">
        <f t="shared" si="10"/>
        <v>400</v>
      </c>
      <c r="AG33" s="21">
        <f t="shared" si="11"/>
        <v>0.83250000000000002</v>
      </c>
      <c r="AH33" s="24"/>
      <c r="AI33" s="24"/>
    </row>
    <row r="34" spans="1:36" ht="15.75" customHeight="1">
      <c r="A34" s="7">
        <v>31</v>
      </c>
      <c r="B34" s="8">
        <v>2301268</v>
      </c>
      <c r="C34" s="18" t="s">
        <v>49</v>
      </c>
      <c r="D34" s="19">
        <f>DSA!BF35</f>
        <v>26</v>
      </c>
      <c r="E34" s="19">
        <f>DSA!BG35</f>
        <v>41</v>
      </c>
      <c r="F34" s="20">
        <f t="shared" si="0"/>
        <v>63.414634146341463</v>
      </c>
      <c r="G34" s="10">
        <f>'M-III'!BF35</f>
        <v>35</v>
      </c>
      <c r="H34" s="19">
        <f>'M-III'!BG34</f>
        <v>65</v>
      </c>
      <c r="I34" s="20">
        <f t="shared" si="1"/>
        <v>53.846153846153847</v>
      </c>
      <c r="J34" s="20">
        <f>OOPS!BG35</f>
        <v>24</v>
      </c>
      <c r="K34" s="19">
        <f>OOPS!BH35</f>
        <v>48</v>
      </c>
      <c r="L34" s="20">
        <f t="shared" si="2"/>
        <v>50</v>
      </c>
      <c r="M34" s="10">
        <f>DE!BF35</f>
        <v>33</v>
      </c>
      <c r="N34" s="10">
        <f>DE!BG35</f>
        <v>46</v>
      </c>
      <c r="O34" s="20">
        <f t="shared" si="3"/>
        <v>71.739130434782609</v>
      </c>
      <c r="P34" s="10">
        <f>DOS!BF35</f>
        <v>29</v>
      </c>
      <c r="Q34" s="10">
        <f>DOS!BG35</f>
        <v>48</v>
      </c>
      <c r="R34" s="20">
        <f t="shared" si="4"/>
        <v>60.416666666666664</v>
      </c>
      <c r="S34" s="10">
        <f>'OOPS LAB'!AE35</f>
        <v>29</v>
      </c>
      <c r="T34" s="10">
        <f>'OOPS LAB'!AF35</f>
        <v>48</v>
      </c>
      <c r="U34" s="20">
        <f t="shared" si="5"/>
        <v>60.416666666666664</v>
      </c>
      <c r="V34" s="10">
        <f>'DE LAB'!AE35</f>
        <v>16</v>
      </c>
      <c r="W34" s="10">
        <f>'DE LAB'!AF35</f>
        <v>30</v>
      </c>
      <c r="X34" s="20">
        <f t="shared" si="6"/>
        <v>53.333333333333336</v>
      </c>
      <c r="Y34" s="10">
        <f>'DSA LAB'!AE35</f>
        <v>20</v>
      </c>
      <c r="Z34" s="10">
        <f>'DSA LAB'!AF35</f>
        <v>41</v>
      </c>
      <c r="AA34" s="20">
        <f t="shared" si="7"/>
        <v>48.780487804878049</v>
      </c>
      <c r="AB34" s="19">
        <f>'IT WORKSHOP'!AM35</f>
        <v>20</v>
      </c>
      <c r="AC34" s="10">
        <f>'IT WORKSHOP'!AN35</f>
        <v>33</v>
      </c>
      <c r="AD34" s="20">
        <f t="shared" si="8"/>
        <v>60.606060606060609</v>
      </c>
      <c r="AE34" s="13">
        <f t="shared" si="9"/>
        <v>232</v>
      </c>
      <c r="AF34" s="14">
        <f t="shared" si="10"/>
        <v>400</v>
      </c>
      <c r="AG34" s="21">
        <f t="shared" si="11"/>
        <v>0.57999999999999996</v>
      </c>
      <c r="AH34" s="16"/>
      <c r="AI34" s="17"/>
    </row>
    <row r="35" spans="1:36" ht="15.75" customHeight="1">
      <c r="A35" s="7">
        <v>32</v>
      </c>
      <c r="B35" s="8">
        <v>2301269</v>
      </c>
      <c r="C35" s="18" t="s">
        <v>50</v>
      </c>
      <c r="D35" s="19">
        <f>DSA!BF36</f>
        <v>29</v>
      </c>
      <c r="E35" s="19">
        <f>DSA!BG36</f>
        <v>41</v>
      </c>
      <c r="F35" s="20">
        <f t="shared" si="0"/>
        <v>70.731707317073173</v>
      </c>
      <c r="G35" s="10">
        <f>'M-III'!BF36</f>
        <v>47</v>
      </c>
      <c r="H35" s="19">
        <f>'M-III'!BG35</f>
        <v>65</v>
      </c>
      <c r="I35" s="20">
        <f t="shared" si="1"/>
        <v>72.307692307692307</v>
      </c>
      <c r="J35" s="20">
        <f>OOPS!BG36</f>
        <v>35</v>
      </c>
      <c r="K35" s="19">
        <f>OOPS!BH36</f>
        <v>48</v>
      </c>
      <c r="L35" s="20">
        <f t="shared" si="2"/>
        <v>72.916666666666657</v>
      </c>
      <c r="M35" s="10">
        <f>DE!BF36</f>
        <v>35</v>
      </c>
      <c r="N35" s="10">
        <f>DE!BG36</f>
        <v>46</v>
      </c>
      <c r="O35" s="20">
        <f t="shared" si="3"/>
        <v>76.08695652173914</v>
      </c>
      <c r="P35" s="10">
        <f>DOS!BF36</f>
        <v>41</v>
      </c>
      <c r="Q35" s="10">
        <f>DOS!BG36</f>
        <v>48</v>
      </c>
      <c r="R35" s="20">
        <f t="shared" si="4"/>
        <v>85.416666666666657</v>
      </c>
      <c r="S35" s="10">
        <f>'OOPS LAB'!AE36</f>
        <v>32</v>
      </c>
      <c r="T35" s="10">
        <f>'OOPS LAB'!AF36</f>
        <v>48</v>
      </c>
      <c r="U35" s="20">
        <f t="shared" si="5"/>
        <v>66.666666666666657</v>
      </c>
      <c r="V35" s="10">
        <f>'DE LAB'!AE36</f>
        <v>24</v>
      </c>
      <c r="W35" s="10">
        <f>'DE LAB'!AF36</f>
        <v>30</v>
      </c>
      <c r="X35" s="20">
        <f t="shared" si="6"/>
        <v>80</v>
      </c>
      <c r="Y35" s="10">
        <f>'DSA LAB'!AE36</f>
        <v>27</v>
      </c>
      <c r="Z35" s="10">
        <f>'DSA LAB'!AF36</f>
        <v>41</v>
      </c>
      <c r="AA35" s="20">
        <f t="shared" si="7"/>
        <v>65.853658536585371</v>
      </c>
      <c r="AB35" s="19">
        <f>'IT WORKSHOP'!AM36</f>
        <v>28</v>
      </c>
      <c r="AC35" s="10">
        <f>'IT WORKSHOP'!AN36</f>
        <v>33</v>
      </c>
      <c r="AD35" s="20">
        <f t="shared" si="8"/>
        <v>84.848484848484844</v>
      </c>
      <c r="AE35" s="13">
        <f t="shared" si="9"/>
        <v>298</v>
      </c>
      <c r="AF35" s="14">
        <f t="shared" si="10"/>
        <v>400</v>
      </c>
      <c r="AG35" s="21">
        <f t="shared" si="11"/>
        <v>0.745</v>
      </c>
      <c r="AH35" s="16"/>
      <c r="AI35" s="17"/>
    </row>
    <row r="36" spans="1:36" ht="15.75" customHeight="1">
      <c r="A36" s="7">
        <v>33</v>
      </c>
      <c r="B36" s="8">
        <v>2301270</v>
      </c>
      <c r="C36" s="18" t="s">
        <v>51</v>
      </c>
      <c r="D36" s="19">
        <f>DSA!BF37</f>
        <v>34</v>
      </c>
      <c r="E36" s="19">
        <f>DSA!BG37</f>
        <v>41</v>
      </c>
      <c r="F36" s="20">
        <f t="shared" si="0"/>
        <v>82.926829268292678</v>
      </c>
      <c r="G36" s="10">
        <f>'M-III'!BF37</f>
        <v>44</v>
      </c>
      <c r="H36" s="19">
        <f>'M-III'!BG36</f>
        <v>65</v>
      </c>
      <c r="I36" s="20">
        <f t="shared" si="1"/>
        <v>67.692307692307693</v>
      </c>
      <c r="J36" s="20">
        <f>OOPS!BG37</f>
        <v>32</v>
      </c>
      <c r="K36" s="19">
        <f>OOPS!BH37</f>
        <v>48</v>
      </c>
      <c r="L36" s="20">
        <f t="shared" si="2"/>
        <v>66.666666666666657</v>
      </c>
      <c r="M36" s="10">
        <f>DE!BF37</f>
        <v>28</v>
      </c>
      <c r="N36" s="10">
        <f>DE!BG37</f>
        <v>46</v>
      </c>
      <c r="O36" s="20">
        <f t="shared" si="3"/>
        <v>60.869565217391312</v>
      </c>
      <c r="P36" s="10">
        <f>DOS!BF37</f>
        <v>25</v>
      </c>
      <c r="Q36" s="10">
        <f>DOS!BG37</f>
        <v>48</v>
      </c>
      <c r="R36" s="20">
        <f t="shared" si="4"/>
        <v>52.083333333333336</v>
      </c>
      <c r="S36" s="10">
        <f>'OOPS LAB'!AE37</f>
        <v>35</v>
      </c>
      <c r="T36" s="10">
        <f>'OOPS LAB'!AF37</f>
        <v>48</v>
      </c>
      <c r="U36" s="20">
        <f t="shared" si="5"/>
        <v>72.916666666666657</v>
      </c>
      <c r="V36" s="10">
        <f>'DE LAB'!AE37</f>
        <v>24</v>
      </c>
      <c r="W36" s="10">
        <f>'DE LAB'!AF37</f>
        <v>30</v>
      </c>
      <c r="X36" s="20">
        <f t="shared" si="6"/>
        <v>80</v>
      </c>
      <c r="Y36" s="10">
        <f>'DSA LAB'!AE37</f>
        <v>35</v>
      </c>
      <c r="Z36" s="10">
        <f>'DSA LAB'!AF37</f>
        <v>41</v>
      </c>
      <c r="AA36" s="20">
        <f t="shared" si="7"/>
        <v>85.365853658536579</v>
      </c>
      <c r="AB36" s="19">
        <f>'IT WORKSHOP'!AM37</f>
        <v>23</v>
      </c>
      <c r="AC36" s="10">
        <f>'IT WORKSHOP'!AN37</f>
        <v>33</v>
      </c>
      <c r="AD36" s="20">
        <f t="shared" si="8"/>
        <v>69.696969696969703</v>
      </c>
      <c r="AE36" s="13">
        <f t="shared" si="9"/>
        <v>280</v>
      </c>
      <c r="AF36" s="14">
        <f t="shared" si="10"/>
        <v>400</v>
      </c>
      <c r="AG36" s="21">
        <f t="shared" si="11"/>
        <v>0.7</v>
      </c>
      <c r="AH36" s="16"/>
      <c r="AI36" s="17"/>
    </row>
    <row r="37" spans="1:36" ht="15.75" customHeight="1">
      <c r="A37" s="7">
        <v>34</v>
      </c>
      <c r="B37" s="8">
        <v>2301271</v>
      </c>
      <c r="C37" s="18" t="s">
        <v>52</v>
      </c>
      <c r="D37" s="19">
        <f>DSA!BF38</f>
        <v>29</v>
      </c>
      <c r="E37" s="19">
        <f>DSA!BG38</f>
        <v>41</v>
      </c>
      <c r="F37" s="20">
        <f t="shared" si="0"/>
        <v>70.731707317073173</v>
      </c>
      <c r="G37" s="10">
        <f>'M-III'!BF38</f>
        <v>53</v>
      </c>
      <c r="H37" s="19">
        <f>'M-III'!BG37</f>
        <v>65</v>
      </c>
      <c r="I37" s="20">
        <f t="shared" si="1"/>
        <v>81.538461538461533</v>
      </c>
      <c r="J37" s="20">
        <f>OOPS!BG38</f>
        <v>33</v>
      </c>
      <c r="K37" s="19">
        <f>OOPS!BH38</f>
        <v>48</v>
      </c>
      <c r="L37" s="20">
        <f t="shared" si="2"/>
        <v>68.75</v>
      </c>
      <c r="M37" s="10">
        <f>DE!BF38</f>
        <v>31</v>
      </c>
      <c r="N37" s="10">
        <f>DE!BG38</f>
        <v>46</v>
      </c>
      <c r="O37" s="20">
        <f t="shared" si="3"/>
        <v>67.391304347826093</v>
      </c>
      <c r="P37" s="10">
        <f>DOS!BF38</f>
        <v>35</v>
      </c>
      <c r="Q37" s="10">
        <f>DOS!BG38</f>
        <v>48</v>
      </c>
      <c r="R37" s="20">
        <f t="shared" si="4"/>
        <v>72.916666666666657</v>
      </c>
      <c r="S37" s="10">
        <f>'OOPS LAB'!AE38</f>
        <v>25</v>
      </c>
      <c r="T37" s="10">
        <f>'OOPS LAB'!AF38</f>
        <v>48</v>
      </c>
      <c r="U37" s="20">
        <f t="shared" si="5"/>
        <v>52.083333333333336</v>
      </c>
      <c r="V37" s="10">
        <f>'DE LAB'!AE38</f>
        <v>22</v>
      </c>
      <c r="W37" s="10">
        <f>'DE LAB'!AF38</f>
        <v>30</v>
      </c>
      <c r="X37" s="20">
        <f t="shared" si="6"/>
        <v>73.333333333333329</v>
      </c>
      <c r="Y37" s="10">
        <f>'DSA LAB'!AE38</f>
        <v>28</v>
      </c>
      <c r="Z37" s="10">
        <f>'DSA LAB'!AF38</f>
        <v>41</v>
      </c>
      <c r="AA37" s="20">
        <f t="shared" si="7"/>
        <v>68.292682926829272</v>
      </c>
      <c r="AB37" s="19">
        <f>'IT WORKSHOP'!AM38</f>
        <v>23</v>
      </c>
      <c r="AC37" s="10">
        <f>'IT WORKSHOP'!AN38</f>
        <v>33</v>
      </c>
      <c r="AD37" s="20">
        <f t="shared" si="8"/>
        <v>69.696969696969703</v>
      </c>
      <c r="AE37" s="13">
        <f t="shared" si="9"/>
        <v>279</v>
      </c>
      <c r="AF37" s="14">
        <f t="shared" si="10"/>
        <v>400</v>
      </c>
      <c r="AG37" s="21">
        <f t="shared" si="11"/>
        <v>0.69750000000000001</v>
      </c>
      <c r="AH37" s="16"/>
      <c r="AI37" s="17"/>
    </row>
    <row r="38" spans="1:36" ht="15.75" customHeight="1">
      <c r="A38" s="7">
        <v>35</v>
      </c>
      <c r="B38" s="8">
        <v>2301272</v>
      </c>
      <c r="C38" s="18" t="s">
        <v>53</v>
      </c>
      <c r="D38" s="19">
        <f>DSA!BF39</f>
        <v>0</v>
      </c>
      <c r="E38" s="19">
        <f>DSA!BG39</f>
        <v>41</v>
      </c>
      <c r="F38" s="20">
        <f t="shared" si="0"/>
        <v>0</v>
      </c>
      <c r="G38" s="10">
        <f>'M-III'!BF39</f>
        <v>4</v>
      </c>
      <c r="H38" s="19">
        <f>'M-III'!BG38</f>
        <v>65</v>
      </c>
      <c r="I38" s="20">
        <f t="shared" si="1"/>
        <v>6.1538461538461542</v>
      </c>
      <c r="J38" s="20">
        <f>OOPS!BG39</f>
        <v>1</v>
      </c>
      <c r="K38" s="19">
        <f>OOPS!BH39</f>
        <v>48</v>
      </c>
      <c r="L38" s="20">
        <f t="shared" si="2"/>
        <v>2.083333333333333</v>
      </c>
      <c r="M38" s="10">
        <f>DE!BF39</f>
        <v>6</v>
      </c>
      <c r="N38" s="10">
        <f>DE!BG39</f>
        <v>46</v>
      </c>
      <c r="O38" s="20">
        <f t="shared" si="3"/>
        <v>13.043478260869565</v>
      </c>
      <c r="P38" s="10">
        <f>DOS!BF39</f>
        <v>0</v>
      </c>
      <c r="Q38" s="10">
        <f>DOS!BG39</f>
        <v>48</v>
      </c>
      <c r="R38" s="20">
        <f t="shared" si="4"/>
        <v>0</v>
      </c>
      <c r="S38" s="10">
        <f>'OOPS LAB'!AE39</f>
        <v>1</v>
      </c>
      <c r="T38" s="10">
        <f>'OOPS LAB'!AF39</f>
        <v>48</v>
      </c>
      <c r="U38" s="20">
        <f t="shared" si="5"/>
        <v>2.083333333333333</v>
      </c>
      <c r="V38" s="10">
        <f>'DE LAB'!AE39</f>
        <v>0</v>
      </c>
      <c r="W38" s="10">
        <f>'DE LAB'!AF39</f>
        <v>30</v>
      </c>
      <c r="X38" s="20">
        <f t="shared" si="6"/>
        <v>0</v>
      </c>
      <c r="Y38" s="10">
        <f>'DSA LAB'!AE39</f>
        <v>0</v>
      </c>
      <c r="Z38" s="10">
        <f>'DSA LAB'!AF39</f>
        <v>41</v>
      </c>
      <c r="AA38" s="20">
        <f t="shared" si="7"/>
        <v>0</v>
      </c>
      <c r="AB38" s="19">
        <f>'IT WORKSHOP'!AM39</f>
        <v>3</v>
      </c>
      <c r="AC38" s="10">
        <f>'IT WORKSHOP'!AN39</f>
        <v>33</v>
      </c>
      <c r="AD38" s="20">
        <f t="shared" si="8"/>
        <v>9.0909090909090917</v>
      </c>
      <c r="AE38" s="13">
        <f t="shared" si="9"/>
        <v>15</v>
      </c>
      <c r="AF38" s="14">
        <f t="shared" si="10"/>
        <v>400</v>
      </c>
      <c r="AG38" s="21">
        <f t="shared" si="11"/>
        <v>3.7499999999999999E-2</v>
      </c>
      <c r="AH38" s="16"/>
      <c r="AI38" s="17"/>
    </row>
    <row r="39" spans="1:36" ht="15.75" customHeight="1">
      <c r="A39" s="7">
        <v>36</v>
      </c>
      <c r="B39" s="8">
        <v>2301273</v>
      </c>
      <c r="C39" s="18" t="s">
        <v>54</v>
      </c>
      <c r="D39" s="19">
        <f>DSA!BF40</f>
        <v>21</v>
      </c>
      <c r="E39" s="19">
        <f>DSA!BG40</f>
        <v>41</v>
      </c>
      <c r="F39" s="20">
        <f t="shared" si="0"/>
        <v>51.219512195121951</v>
      </c>
      <c r="G39" s="10">
        <f>'M-III'!BF40</f>
        <v>23</v>
      </c>
      <c r="H39" s="19">
        <f>'M-III'!BG39</f>
        <v>65</v>
      </c>
      <c r="I39" s="20">
        <f t="shared" si="1"/>
        <v>35.384615384615387</v>
      </c>
      <c r="J39" s="20">
        <f>OOPS!BG40</f>
        <v>19</v>
      </c>
      <c r="K39" s="19">
        <f>OOPS!BH40</f>
        <v>48</v>
      </c>
      <c r="L39" s="20">
        <f t="shared" si="2"/>
        <v>39.583333333333329</v>
      </c>
      <c r="M39" s="10">
        <f>DE!BF40</f>
        <v>12</v>
      </c>
      <c r="N39" s="10">
        <f>DE!BG40</f>
        <v>46</v>
      </c>
      <c r="O39" s="20">
        <f t="shared" si="3"/>
        <v>26.086956521739129</v>
      </c>
      <c r="P39" s="10">
        <f>DOS!BF40</f>
        <v>11</v>
      </c>
      <c r="Q39" s="10">
        <f>DOS!BG40</f>
        <v>48</v>
      </c>
      <c r="R39" s="20">
        <f t="shared" si="4"/>
        <v>22.916666666666664</v>
      </c>
      <c r="S39" s="10">
        <f>'OOPS LAB'!AE40</f>
        <v>17</v>
      </c>
      <c r="T39" s="10">
        <f>'OOPS LAB'!AF40</f>
        <v>48</v>
      </c>
      <c r="U39" s="20">
        <f t="shared" si="5"/>
        <v>35.416666666666671</v>
      </c>
      <c r="V39" s="10">
        <f>'DE LAB'!AE40</f>
        <v>8</v>
      </c>
      <c r="W39" s="10">
        <f>'DE LAB'!AF40</f>
        <v>30</v>
      </c>
      <c r="X39" s="20">
        <f t="shared" si="6"/>
        <v>26.666666666666668</v>
      </c>
      <c r="Y39" s="10">
        <f>'DSA LAB'!AE40</f>
        <v>17</v>
      </c>
      <c r="Z39" s="10">
        <f>'DSA LAB'!AF40</f>
        <v>41</v>
      </c>
      <c r="AA39" s="20">
        <f t="shared" si="7"/>
        <v>41.463414634146339</v>
      </c>
      <c r="AB39" s="19">
        <f>'IT WORKSHOP'!AM40</f>
        <v>8</v>
      </c>
      <c r="AC39" s="10">
        <f>'IT WORKSHOP'!AN40</f>
        <v>33</v>
      </c>
      <c r="AD39" s="20">
        <f t="shared" si="8"/>
        <v>24.242424242424242</v>
      </c>
      <c r="AE39" s="13">
        <f t="shared" si="9"/>
        <v>136</v>
      </c>
      <c r="AF39" s="14">
        <f t="shared" si="10"/>
        <v>400</v>
      </c>
      <c r="AG39" s="21">
        <f t="shared" si="11"/>
        <v>0.34</v>
      </c>
      <c r="AH39" s="16"/>
      <c r="AI39" s="17"/>
    </row>
    <row r="40" spans="1:36" ht="15.75" customHeight="1">
      <c r="A40" s="7">
        <v>37</v>
      </c>
      <c r="B40" s="8">
        <v>2301274</v>
      </c>
      <c r="C40" s="18" t="s">
        <v>55</v>
      </c>
      <c r="D40" s="19">
        <f>DSA!BF41</f>
        <v>25</v>
      </c>
      <c r="E40" s="19">
        <f>DSA!BG41</f>
        <v>41</v>
      </c>
      <c r="F40" s="20">
        <f t="shared" si="0"/>
        <v>60.975609756097562</v>
      </c>
      <c r="G40" s="10">
        <f>'M-III'!BF41</f>
        <v>37</v>
      </c>
      <c r="H40" s="19">
        <f>'M-III'!BG40</f>
        <v>65</v>
      </c>
      <c r="I40" s="20">
        <f t="shared" si="1"/>
        <v>56.92307692307692</v>
      </c>
      <c r="J40" s="20">
        <f>OOPS!BG41</f>
        <v>27</v>
      </c>
      <c r="K40" s="19">
        <f>OOPS!BH41</f>
        <v>48</v>
      </c>
      <c r="L40" s="20">
        <f t="shared" si="2"/>
        <v>56.25</v>
      </c>
      <c r="M40" s="10">
        <f>DE!BF41</f>
        <v>28</v>
      </c>
      <c r="N40" s="10">
        <f>DE!BG41</f>
        <v>46</v>
      </c>
      <c r="O40" s="20">
        <f t="shared" si="3"/>
        <v>60.869565217391312</v>
      </c>
      <c r="P40" s="10">
        <f>DOS!BF41</f>
        <v>28</v>
      </c>
      <c r="Q40" s="10">
        <f>DOS!BG41</f>
        <v>48</v>
      </c>
      <c r="R40" s="20">
        <f t="shared" si="4"/>
        <v>58.333333333333336</v>
      </c>
      <c r="S40" s="10">
        <f>'OOPS LAB'!AE41</f>
        <v>28</v>
      </c>
      <c r="T40" s="10">
        <f>'OOPS LAB'!AF41</f>
        <v>48</v>
      </c>
      <c r="U40" s="20">
        <f t="shared" si="5"/>
        <v>58.333333333333336</v>
      </c>
      <c r="V40" s="10">
        <f>'DE LAB'!AE41</f>
        <v>20</v>
      </c>
      <c r="W40" s="10">
        <f>'DE LAB'!AF41</f>
        <v>30</v>
      </c>
      <c r="X40" s="20">
        <f t="shared" si="6"/>
        <v>66.666666666666657</v>
      </c>
      <c r="Y40" s="10">
        <f>'DSA LAB'!AE41</f>
        <v>22</v>
      </c>
      <c r="Z40" s="10">
        <f>'DSA LAB'!AF41</f>
        <v>41</v>
      </c>
      <c r="AA40" s="20">
        <f t="shared" si="7"/>
        <v>53.658536585365859</v>
      </c>
      <c r="AB40" s="19">
        <f>'IT WORKSHOP'!AM41</f>
        <v>21</v>
      </c>
      <c r="AC40" s="10">
        <f>'IT WORKSHOP'!AN41</f>
        <v>33</v>
      </c>
      <c r="AD40" s="20">
        <f t="shared" si="8"/>
        <v>63.636363636363633</v>
      </c>
      <c r="AE40" s="13">
        <f t="shared" si="9"/>
        <v>236</v>
      </c>
      <c r="AF40" s="14">
        <f t="shared" si="10"/>
        <v>400</v>
      </c>
      <c r="AG40" s="21">
        <f t="shared" si="11"/>
        <v>0.59</v>
      </c>
      <c r="AH40" s="16"/>
      <c r="AI40" s="17"/>
    </row>
    <row r="41" spans="1:36" ht="15.75" customHeight="1">
      <c r="A41" s="7">
        <v>38</v>
      </c>
      <c r="B41" s="8">
        <v>2301275</v>
      </c>
      <c r="C41" s="18" t="s">
        <v>56</v>
      </c>
      <c r="D41" s="19">
        <f>DSA!BF42</f>
        <v>35</v>
      </c>
      <c r="E41" s="19">
        <f>DSA!BG42</f>
        <v>41</v>
      </c>
      <c r="F41" s="20">
        <f t="shared" si="0"/>
        <v>85.365853658536579</v>
      </c>
      <c r="G41" s="10">
        <f>'M-III'!BF42</f>
        <v>47</v>
      </c>
      <c r="H41" s="19">
        <f>'M-III'!BG41</f>
        <v>65</v>
      </c>
      <c r="I41" s="20">
        <f t="shared" si="1"/>
        <v>72.307692307692307</v>
      </c>
      <c r="J41" s="20">
        <f>OOPS!BG42</f>
        <v>33</v>
      </c>
      <c r="K41" s="19">
        <f>OOPS!BH42</f>
        <v>48</v>
      </c>
      <c r="L41" s="20">
        <f t="shared" si="2"/>
        <v>68.75</v>
      </c>
      <c r="M41" s="10">
        <f>DE!BF42</f>
        <v>35</v>
      </c>
      <c r="N41" s="10">
        <f>DE!BG42</f>
        <v>46</v>
      </c>
      <c r="O41" s="20">
        <f t="shared" si="3"/>
        <v>76.08695652173914</v>
      </c>
      <c r="P41" s="10">
        <f>DOS!BF42</f>
        <v>31</v>
      </c>
      <c r="Q41" s="10">
        <f>DOS!BG42</f>
        <v>48</v>
      </c>
      <c r="R41" s="20">
        <f t="shared" si="4"/>
        <v>64.583333333333343</v>
      </c>
      <c r="S41" s="10">
        <f>'OOPS LAB'!AE42</f>
        <v>32</v>
      </c>
      <c r="T41" s="10">
        <f>'OOPS LAB'!AF42</f>
        <v>48</v>
      </c>
      <c r="U41" s="20">
        <f t="shared" si="5"/>
        <v>66.666666666666657</v>
      </c>
      <c r="V41" s="10">
        <f>'DE LAB'!AE42</f>
        <v>22</v>
      </c>
      <c r="W41" s="10">
        <f>'DE LAB'!AF42</f>
        <v>30</v>
      </c>
      <c r="X41" s="20">
        <f t="shared" si="6"/>
        <v>73.333333333333329</v>
      </c>
      <c r="Y41" s="10">
        <f>'DSA LAB'!AE42</f>
        <v>26</v>
      </c>
      <c r="Z41" s="10">
        <f>'DSA LAB'!AF42</f>
        <v>41</v>
      </c>
      <c r="AA41" s="20">
        <f t="shared" si="7"/>
        <v>63.414634146341463</v>
      </c>
      <c r="AB41" s="19">
        <f>'IT WORKSHOP'!AM42</f>
        <v>21</v>
      </c>
      <c r="AC41" s="10">
        <f>'IT WORKSHOP'!AN42</f>
        <v>33</v>
      </c>
      <c r="AD41" s="20">
        <f t="shared" si="8"/>
        <v>63.636363636363633</v>
      </c>
      <c r="AE41" s="13">
        <f t="shared" si="9"/>
        <v>282</v>
      </c>
      <c r="AF41" s="14">
        <f t="shared" si="10"/>
        <v>400</v>
      </c>
      <c r="AG41" s="21">
        <f t="shared" si="11"/>
        <v>0.70499999999999996</v>
      </c>
      <c r="AH41" s="16"/>
      <c r="AI41" s="17"/>
    </row>
    <row r="42" spans="1:36" ht="15.75" customHeight="1">
      <c r="A42" s="7">
        <v>39</v>
      </c>
      <c r="B42" s="8">
        <v>2301276</v>
      </c>
      <c r="C42" s="18" t="s">
        <v>57</v>
      </c>
      <c r="D42" s="19">
        <f>DSA!BF43</f>
        <v>0</v>
      </c>
      <c r="E42" s="19">
        <f>DSA!BG43</f>
        <v>41</v>
      </c>
      <c r="F42" s="20">
        <f t="shared" si="0"/>
        <v>0</v>
      </c>
      <c r="G42" s="10">
        <f>'M-III'!BF43</f>
        <v>0</v>
      </c>
      <c r="H42" s="19">
        <f>'M-III'!BG42</f>
        <v>65</v>
      </c>
      <c r="I42" s="20">
        <f t="shared" si="1"/>
        <v>0</v>
      </c>
      <c r="J42" s="20">
        <f>OOPS!BG43</f>
        <v>0</v>
      </c>
      <c r="K42" s="19">
        <f>OOPS!BH43</f>
        <v>48</v>
      </c>
      <c r="L42" s="20">
        <f t="shared" si="2"/>
        <v>0</v>
      </c>
      <c r="M42" s="10">
        <f>DE!BF43</f>
        <v>0</v>
      </c>
      <c r="N42" s="10">
        <f>DE!BG43</f>
        <v>46</v>
      </c>
      <c r="O42" s="20">
        <f t="shared" si="3"/>
        <v>0</v>
      </c>
      <c r="P42" s="10">
        <f>DOS!BF43</f>
        <v>0</v>
      </c>
      <c r="Q42" s="10">
        <f>DOS!BG43</f>
        <v>48</v>
      </c>
      <c r="R42" s="20">
        <f t="shared" si="4"/>
        <v>0</v>
      </c>
      <c r="S42" s="10">
        <f>'OOPS LAB'!AE43</f>
        <v>0</v>
      </c>
      <c r="T42" s="10">
        <f>'OOPS LAB'!AF43</f>
        <v>48</v>
      </c>
      <c r="U42" s="20">
        <f t="shared" si="5"/>
        <v>0</v>
      </c>
      <c r="V42" s="10">
        <f>'DE LAB'!AE43</f>
        <v>0</v>
      </c>
      <c r="W42" s="10">
        <f>'DE LAB'!AF43</f>
        <v>30</v>
      </c>
      <c r="X42" s="20">
        <f t="shared" si="6"/>
        <v>0</v>
      </c>
      <c r="Y42" s="10">
        <f>'DSA LAB'!AE43</f>
        <v>0</v>
      </c>
      <c r="Z42" s="10">
        <f>'DSA LAB'!AF43</f>
        <v>41</v>
      </c>
      <c r="AA42" s="20">
        <f t="shared" si="7"/>
        <v>0</v>
      </c>
      <c r="AB42" s="19">
        <f>'IT WORKSHOP'!AM43</f>
        <v>0</v>
      </c>
      <c r="AC42" s="10">
        <f>'IT WORKSHOP'!AN43</f>
        <v>33</v>
      </c>
      <c r="AD42" s="20">
        <f t="shared" si="8"/>
        <v>0</v>
      </c>
      <c r="AE42" s="13">
        <f t="shared" si="9"/>
        <v>0</v>
      </c>
      <c r="AF42" s="14">
        <f t="shared" si="10"/>
        <v>400</v>
      </c>
      <c r="AG42" s="21">
        <f t="shared" si="11"/>
        <v>0</v>
      </c>
      <c r="AH42" s="16"/>
      <c r="AI42" s="17"/>
    </row>
    <row r="43" spans="1:36" ht="15.75" customHeight="1">
      <c r="A43" s="7">
        <v>40</v>
      </c>
      <c r="B43" s="8">
        <v>2301277</v>
      </c>
      <c r="C43" s="18" t="s">
        <v>58</v>
      </c>
      <c r="D43" s="19">
        <f>DSA!BF44</f>
        <v>21</v>
      </c>
      <c r="E43" s="19">
        <f>DSA!BG44</f>
        <v>41</v>
      </c>
      <c r="F43" s="20">
        <f t="shared" si="0"/>
        <v>51.219512195121951</v>
      </c>
      <c r="G43" s="10">
        <f>'M-III'!BF44</f>
        <v>31</v>
      </c>
      <c r="H43" s="19">
        <f>'M-III'!BG43</f>
        <v>65</v>
      </c>
      <c r="I43" s="20">
        <f t="shared" si="1"/>
        <v>47.692307692307693</v>
      </c>
      <c r="J43" s="20">
        <f>OOPS!BG44</f>
        <v>22</v>
      </c>
      <c r="K43" s="19">
        <f>OOPS!BH44</f>
        <v>48</v>
      </c>
      <c r="L43" s="20">
        <f t="shared" si="2"/>
        <v>45.833333333333329</v>
      </c>
      <c r="M43" s="10">
        <f>DE!BF44</f>
        <v>19</v>
      </c>
      <c r="N43" s="10">
        <f>DE!BG44</f>
        <v>46</v>
      </c>
      <c r="O43" s="20">
        <f t="shared" si="3"/>
        <v>41.304347826086953</v>
      </c>
      <c r="P43" s="10">
        <f>DOS!BF44</f>
        <v>20</v>
      </c>
      <c r="Q43" s="10">
        <f>DOS!BG44</f>
        <v>48</v>
      </c>
      <c r="R43" s="20">
        <f t="shared" si="4"/>
        <v>41.666666666666671</v>
      </c>
      <c r="S43" s="10">
        <f>'OOPS LAB'!AE44</f>
        <v>28</v>
      </c>
      <c r="T43" s="10">
        <f>'OOPS LAB'!AF44</f>
        <v>48</v>
      </c>
      <c r="U43" s="20">
        <f t="shared" si="5"/>
        <v>58.333333333333336</v>
      </c>
      <c r="V43" s="10">
        <f>'DE LAB'!AE44</f>
        <v>16</v>
      </c>
      <c r="W43" s="10">
        <f>'DE LAB'!AF44</f>
        <v>30</v>
      </c>
      <c r="X43" s="20">
        <f t="shared" si="6"/>
        <v>53.333333333333336</v>
      </c>
      <c r="Y43" s="10">
        <f>'DSA LAB'!AE44</f>
        <v>20</v>
      </c>
      <c r="Z43" s="10">
        <f>'DSA LAB'!AF44</f>
        <v>41</v>
      </c>
      <c r="AA43" s="20">
        <f t="shared" si="7"/>
        <v>48.780487804878049</v>
      </c>
      <c r="AB43" s="19">
        <f>'IT WORKSHOP'!AM44</f>
        <v>22</v>
      </c>
      <c r="AC43" s="10">
        <f>'IT WORKSHOP'!AN44</f>
        <v>33</v>
      </c>
      <c r="AD43" s="20">
        <f t="shared" si="8"/>
        <v>66.666666666666657</v>
      </c>
      <c r="AE43" s="13">
        <f t="shared" si="9"/>
        <v>199</v>
      </c>
      <c r="AF43" s="14">
        <f t="shared" si="10"/>
        <v>400</v>
      </c>
      <c r="AG43" s="21">
        <f t="shared" si="11"/>
        <v>0.4975</v>
      </c>
      <c r="AH43" s="16"/>
      <c r="AI43" s="17"/>
    </row>
    <row r="44" spans="1:36" ht="15.75" customHeight="1">
      <c r="A44" s="7">
        <v>41</v>
      </c>
      <c r="B44" s="8">
        <v>2301278</v>
      </c>
      <c r="C44" s="18" t="s">
        <v>59</v>
      </c>
      <c r="D44" s="19">
        <f>DSA!BF45</f>
        <v>18</v>
      </c>
      <c r="E44" s="19">
        <f>DSA!BG45</f>
        <v>41</v>
      </c>
      <c r="F44" s="20">
        <f t="shared" si="0"/>
        <v>43.902439024390247</v>
      </c>
      <c r="G44" s="10">
        <f>'M-III'!BF45</f>
        <v>25</v>
      </c>
      <c r="H44" s="19">
        <f>'M-III'!BG44</f>
        <v>65</v>
      </c>
      <c r="I44" s="20">
        <f t="shared" si="1"/>
        <v>38.461538461538467</v>
      </c>
      <c r="J44" s="20">
        <f>OOPS!BG45</f>
        <v>18</v>
      </c>
      <c r="K44" s="19">
        <f>OOPS!BH45</f>
        <v>48</v>
      </c>
      <c r="L44" s="20">
        <f t="shared" si="2"/>
        <v>37.5</v>
      </c>
      <c r="M44" s="10">
        <f>DE!BF45</f>
        <v>16</v>
      </c>
      <c r="N44" s="10">
        <f>DE!BG45</f>
        <v>46</v>
      </c>
      <c r="O44" s="20">
        <f t="shared" si="3"/>
        <v>34.782608695652172</v>
      </c>
      <c r="P44" s="10">
        <f>DOS!BF45</f>
        <v>19</v>
      </c>
      <c r="Q44" s="10">
        <f>DOS!BG45</f>
        <v>48</v>
      </c>
      <c r="R44" s="20">
        <f t="shared" si="4"/>
        <v>39.583333333333329</v>
      </c>
      <c r="S44" s="10">
        <f>'OOPS LAB'!AE45</f>
        <v>25</v>
      </c>
      <c r="T44" s="10">
        <f>'OOPS LAB'!AF45</f>
        <v>48</v>
      </c>
      <c r="U44" s="20">
        <f t="shared" si="5"/>
        <v>52.083333333333336</v>
      </c>
      <c r="V44" s="10">
        <f>'DE LAB'!AE45</f>
        <v>8</v>
      </c>
      <c r="W44" s="10">
        <f>'DE LAB'!AF45</f>
        <v>30</v>
      </c>
      <c r="X44" s="20">
        <f t="shared" si="6"/>
        <v>26.666666666666668</v>
      </c>
      <c r="Y44" s="10">
        <f>'DSA LAB'!AE45</f>
        <v>26</v>
      </c>
      <c r="Z44" s="10">
        <f>'DSA LAB'!AF45</f>
        <v>41</v>
      </c>
      <c r="AA44" s="20">
        <f t="shared" si="7"/>
        <v>63.414634146341463</v>
      </c>
      <c r="AB44" s="19">
        <f>'IT WORKSHOP'!AM45</f>
        <v>16</v>
      </c>
      <c r="AC44" s="10">
        <f>'IT WORKSHOP'!AN45</f>
        <v>33</v>
      </c>
      <c r="AD44" s="20">
        <f t="shared" si="8"/>
        <v>48.484848484848484</v>
      </c>
      <c r="AE44" s="13">
        <f t="shared" si="9"/>
        <v>171</v>
      </c>
      <c r="AF44" s="14">
        <f t="shared" si="10"/>
        <v>400</v>
      </c>
      <c r="AG44" s="21">
        <f t="shared" si="11"/>
        <v>0.42749999999999999</v>
      </c>
      <c r="AH44" s="16"/>
      <c r="AI44" s="17"/>
    </row>
    <row r="45" spans="1:36" ht="15.75" customHeight="1">
      <c r="A45" s="7">
        <v>42</v>
      </c>
      <c r="B45" s="8">
        <v>2301279</v>
      </c>
      <c r="C45" s="18" t="s">
        <v>60</v>
      </c>
      <c r="D45" s="19">
        <f>DSA!BF46</f>
        <v>36</v>
      </c>
      <c r="E45" s="19">
        <f>DSA!BG46</f>
        <v>41</v>
      </c>
      <c r="F45" s="20">
        <f t="shared" si="0"/>
        <v>87.804878048780495</v>
      </c>
      <c r="G45" s="10">
        <f>'M-III'!BF46</f>
        <v>53</v>
      </c>
      <c r="H45" s="19">
        <f>'M-III'!BG45</f>
        <v>65</v>
      </c>
      <c r="I45" s="20">
        <f t="shared" si="1"/>
        <v>81.538461538461533</v>
      </c>
      <c r="J45" s="20">
        <f>OOPS!BG46</f>
        <v>36</v>
      </c>
      <c r="K45" s="19">
        <f>OOPS!BH46</f>
        <v>48</v>
      </c>
      <c r="L45" s="20">
        <f t="shared" si="2"/>
        <v>75</v>
      </c>
      <c r="M45" s="10">
        <f>DE!BF46</f>
        <v>36</v>
      </c>
      <c r="N45" s="10">
        <f>DE!BG46</f>
        <v>46</v>
      </c>
      <c r="O45" s="20">
        <f t="shared" si="3"/>
        <v>78.260869565217391</v>
      </c>
      <c r="P45" s="10">
        <f>DOS!BF46</f>
        <v>37</v>
      </c>
      <c r="Q45" s="10">
        <f>DOS!BG46</f>
        <v>48</v>
      </c>
      <c r="R45" s="20">
        <f t="shared" si="4"/>
        <v>77.083333333333343</v>
      </c>
      <c r="S45" s="10">
        <f>'OOPS LAB'!AE46</f>
        <v>42</v>
      </c>
      <c r="T45" s="10">
        <f>'OOPS LAB'!AF46</f>
        <v>48</v>
      </c>
      <c r="U45" s="20">
        <f t="shared" si="5"/>
        <v>87.5</v>
      </c>
      <c r="V45" s="10">
        <f>'DE LAB'!AE46</f>
        <v>24</v>
      </c>
      <c r="W45" s="10">
        <f>'DE LAB'!AF46</f>
        <v>30</v>
      </c>
      <c r="X45" s="20">
        <f t="shared" si="6"/>
        <v>80</v>
      </c>
      <c r="Y45" s="10">
        <f>'DSA LAB'!AE46</f>
        <v>28</v>
      </c>
      <c r="Z45" s="10">
        <f>'DSA LAB'!AF46</f>
        <v>41</v>
      </c>
      <c r="AA45" s="20">
        <f t="shared" si="7"/>
        <v>68.292682926829272</v>
      </c>
      <c r="AB45" s="19">
        <f>'IT WORKSHOP'!AM46</f>
        <v>28</v>
      </c>
      <c r="AC45" s="10">
        <f>'IT WORKSHOP'!AN46</f>
        <v>33</v>
      </c>
      <c r="AD45" s="20">
        <f t="shared" si="8"/>
        <v>84.848484848484844</v>
      </c>
      <c r="AE45" s="13">
        <f t="shared" si="9"/>
        <v>320</v>
      </c>
      <c r="AF45" s="14">
        <f t="shared" si="10"/>
        <v>400</v>
      </c>
      <c r="AG45" s="21">
        <f t="shared" si="11"/>
        <v>0.8</v>
      </c>
      <c r="AH45" s="16"/>
      <c r="AI45" s="17"/>
      <c r="AJ45" s="17"/>
    </row>
    <row r="46" spans="1:36" ht="15.75" customHeight="1">
      <c r="A46" s="7">
        <v>43</v>
      </c>
      <c r="B46" s="8">
        <v>2301280</v>
      </c>
      <c r="C46" s="18" t="s">
        <v>61</v>
      </c>
      <c r="D46" s="19">
        <f>DSA!BF47</f>
        <v>33</v>
      </c>
      <c r="E46" s="19">
        <f>DSA!BG47</f>
        <v>41</v>
      </c>
      <c r="F46" s="20">
        <f t="shared" si="0"/>
        <v>80.487804878048792</v>
      </c>
      <c r="G46" s="10">
        <f>'M-III'!BF47</f>
        <v>30</v>
      </c>
      <c r="H46" s="19">
        <f>'M-III'!BG46</f>
        <v>65</v>
      </c>
      <c r="I46" s="20">
        <f t="shared" si="1"/>
        <v>46.153846153846153</v>
      </c>
      <c r="J46" s="20">
        <f>OOPS!BG47</f>
        <v>16</v>
      </c>
      <c r="K46" s="19">
        <f>OOPS!BH47</f>
        <v>48</v>
      </c>
      <c r="L46" s="20">
        <f t="shared" si="2"/>
        <v>33.333333333333329</v>
      </c>
      <c r="M46" s="10">
        <f>DE!BF47</f>
        <v>21</v>
      </c>
      <c r="N46" s="10">
        <f>DE!BG47</f>
        <v>46</v>
      </c>
      <c r="O46" s="20">
        <f t="shared" si="3"/>
        <v>45.652173913043477</v>
      </c>
      <c r="P46" s="10">
        <f>DOS!BF47</f>
        <v>23</v>
      </c>
      <c r="Q46" s="10">
        <f>DOS!BG47</f>
        <v>48</v>
      </c>
      <c r="R46" s="20">
        <f t="shared" si="4"/>
        <v>47.916666666666671</v>
      </c>
      <c r="S46" s="10">
        <f>'OOPS LAB'!AE47</f>
        <v>14</v>
      </c>
      <c r="T46" s="10">
        <f>'OOPS LAB'!AF47</f>
        <v>48</v>
      </c>
      <c r="U46" s="20">
        <f t="shared" si="5"/>
        <v>29.166666666666668</v>
      </c>
      <c r="V46" s="10">
        <f>'DE LAB'!AE47</f>
        <v>20</v>
      </c>
      <c r="W46" s="10">
        <f>'DE LAB'!AF47</f>
        <v>30</v>
      </c>
      <c r="X46" s="20">
        <f t="shared" si="6"/>
        <v>66.666666666666657</v>
      </c>
      <c r="Y46" s="10">
        <f>'DSA LAB'!AE47</f>
        <v>11</v>
      </c>
      <c r="Z46" s="10">
        <f>'DSA LAB'!AF47</f>
        <v>41</v>
      </c>
      <c r="AA46" s="20">
        <f t="shared" si="7"/>
        <v>26.829268292682929</v>
      </c>
      <c r="AB46" s="19">
        <f>'IT WORKSHOP'!AM47</f>
        <v>13</v>
      </c>
      <c r="AC46" s="10">
        <f>'IT WORKSHOP'!AN47</f>
        <v>33</v>
      </c>
      <c r="AD46" s="20">
        <f t="shared" si="8"/>
        <v>39.393939393939391</v>
      </c>
      <c r="AE46" s="13">
        <f t="shared" si="9"/>
        <v>181</v>
      </c>
      <c r="AF46" s="14">
        <f t="shared" si="10"/>
        <v>400</v>
      </c>
      <c r="AG46" s="21">
        <f t="shared" si="11"/>
        <v>0.45250000000000001</v>
      </c>
      <c r="AH46" s="16"/>
      <c r="AI46" s="17"/>
      <c r="AJ46" s="17"/>
    </row>
    <row r="47" spans="1:36" ht="15.75" customHeight="1">
      <c r="A47" s="7">
        <v>44</v>
      </c>
      <c r="B47" s="8">
        <v>2301281</v>
      </c>
      <c r="C47" s="18" t="s">
        <v>62</v>
      </c>
      <c r="D47" s="19">
        <f>DSA!BF48</f>
        <v>35</v>
      </c>
      <c r="E47" s="19">
        <f>DSA!BG48</f>
        <v>41</v>
      </c>
      <c r="F47" s="20">
        <f t="shared" si="0"/>
        <v>85.365853658536579</v>
      </c>
      <c r="G47" s="10">
        <f>'M-III'!BF48</f>
        <v>49</v>
      </c>
      <c r="H47" s="19">
        <f>'M-III'!BG48</f>
        <v>65</v>
      </c>
      <c r="I47" s="20">
        <f t="shared" si="1"/>
        <v>75.384615384615387</v>
      </c>
      <c r="J47" s="20">
        <f>OOPS!BG48</f>
        <v>31</v>
      </c>
      <c r="K47" s="19">
        <f>OOPS!BH48</f>
        <v>48</v>
      </c>
      <c r="L47" s="20">
        <f t="shared" si="2"/>
        <v>64.583333333333343</v>
      </c>
      <c r="M47" s="10">
        <f>DE!BF48</f>
        <v>25</v>
      </c>
      <c r="N47" s="10">
        <f>DE!BG48</f>
        <v>46</v>
      </c>
      <c r="O47" s="20">
        <f t="shared" si="3"/>
        <v>54.347826086956516</v>
      </c>
      <c r="P47" s="10">
        <f>DOS!BF48</f>
        <v>36</v>
      </c>
      <c r="Q47" s="10">
        <f>DOS!BG48</f>
        <v>48</v>
      </c>
      <c r="R47" s="20">
        <f t="shared" si="4"/>
        <v>75</v>
      </c>
      <c r="S47" s="10">
        <f>'OOPS LAB'!AE48</f>
        <v>27</v>
      </c>
      <c r="T47" s="10">
        <f>'OOPS LAB'!AF48</f>
        <v>48</v>
      </c>
      <c r="U47" s="20">
        <f t="shared" si="5"/>
        <v>56.25</v>
      </c>
      <c r="V47" s="10">
        <f>'DE LAB'!AE48</f>
        <v>16</v>
      </c>
      <c r="W47" s="10">
        <f>'DE LAB'!AF48</f>
        <v>30</v>
      </c>
      <c r="X47" s="20">
        <f t="shared" si="6"/>
        <v>53.333333333333336</v>
      </c>
      <c r="Y47" s="10">
        <f>'DSA LAB'!AE48</f>
        <v>30</v>
      </c>
      <c r="Z47" s="10">
        <f>'DSA LAB'!AF48</f>
        <v>41</v>
      </c>
      <c r="AA47" s="20">
        <f t="shared" si="7"/>
        <v>73.170731707317074</v>
      </c>
      <c r="AB47" s="19">
        <f>'IT WORKSHOP'!AM48</f>
        <v>22</v>
      </c>
      <c r="AC47" s="10">
        <f>'IT WORKSHOP'!AN48</f>
        <v>33</v>
      </c>
      <c r="AD47" s="20">
        <f t="shared" si="8"/>
        <v>66.666666666666657</v>
      </c>
      <c r="AE47" s="13">
        <f t="shared" si="9"/>
        <v>271</v>
      </c>
      <c r="AF47" s="14">
        <f t="shared" si="10"/>
        <v>400</v>
      </c>
      <c r="AG47" s="21">
        <f t="shared" si="11"/>
        <v>0.67749999999999999</v>
      </c>
      <c r="AH47" s="16"/>
      <c r="AI47" s="17"/>
      <c r="AJ47" s="17"/>
    </row>
    <row r="48" spans="1:36" ht="15.75" customHeight="1">
      <c r="A48" s="7">
        <v>45</v>
      </c>
      <c r="B48" s="8">
        <v>2301282</v>
      </c>
      <c r="C48" s="18" t="s">
        <v>63</v>
      </c>
      <c r="D48" s="19">
        <f>DSA!BF49</f>
        <v>17</v>
      </c>
      <c r="E48" s="19">
        <f>DSA!BG49</f>
        <v>41</v>
      </c>
      <c r="F48" s="20">
        <f t="shared" si="0"/>
        <v>41.463414634146339</v>
      </c>
      <c r="G48" s="10">
        <f>'M-III'!BF49</f>
        <v>20</v>
      </c>
      <c r="H48" s="19">
        <f>'M-III'!BG49</f>
        <v>65</v>
      </c>
      <c r="I48" s="20">
        <f t="shared" si="1"/>
        <v>30.76923076923077</v>
      </c>
      <c r="J48" s="20">
        <f>OOPS!BG49</f>
        <v>7</v>
      </c>
      <c r="K48" s="19">
        <f>OOPS!BH49</f>
        <v>48</v>
      </c>
      <c r="L48" s="20">
        <f t="shared" si="2"/>
        <v>14.583333333333334</v>
      </c>
      <c r="M48" s="10">
        <f>DE!BF49</f>
        <v>17</v>
      </c>
      <c r="N48" s="10">
        <f>DE!BG49</f>
        <v>46</v>
      </c>
      <c r="O48" s="20">
        <f t="shared" si="3"/>
        <v>36.95652173913043</v>
      </c>
      <c r="P48" s="10">
        <f>DOS!BF49</f>
        <v>9</v>
      </c>
      <c r="Q48" s="10">
        <f>DOS!BG49</f>
        <v>48</v>
      </c>
      <c r="R48" s="20">
        <f t="shared" si="4"/>
        <v>18.75</v>
      </c>
      <c r="S48" s="10">
        <f>'OOPS LAB'!AE49</f>
        <v>12</v>
      </c>
      <c r="T48" s="10">
        <f>'OOPS LAB'!AF49</f>
        <v>48</v>
      </c>
      <c r="U48" s="20">
        <f t="shared" si="5"/>
        <v>25</v>
      </c>
      <c r="V48" s="10">
        <f>'DE LAB'!AE49</f>
        <v>18</v>
      </c>
      <c r="W48" s="10">
        <f>'DE LAB'!AF49</f>
        <v>30</v>
      </c>
      <c r="X48" s="20">
        <f t="shared" si="6"/>
        <v>60</v>
      </c>
      <c r="Y48" s="10">
        <f>'DSA LAB'!AE49</f>
        <v>12</v>
      </c>
      <c r="Z48" s="10">
        <f>'DSA LAB'!AF49</f>
        <v>41</v>
      </c>
      <c r="AA48" s="20">
        <f t="shared" si="7"/>
        <v>29.268292682926827</v>
      </c>
      <c r="AB48" s="19">
        <f>'IT WORKSHOP'!AM49</f>
        <v>6</v>
      </c>
      <c r="AC48" s="10">
        <f>'IT WORKSHOP'!AN49</f>
        <v>33</v>
      </c>
      <c r="AD48" s="20">
        <f t="shared" si="8"/>
        <v>18.181818181818183</v>
      </c>
      <c r="AE48" s="13">
        <f t="shared" si="9"/>
        <v>118</v>
      </c>
      <c r="AF48" s="14">
        <f t="shared" si="10"/>
        <v>400</v>
      </c>
      <c r="AG48" s="21">
        <f t="shared" si="11"/>
        <v>0.29499999999999998</v>
      </c>
      <c r="AH48" s="16"/>
      <c r="AI48" s="17"/>
      <c r="AJ48" s="17"/>
    </row>
    <row r="49" spans="1:36" ht="15.75" customHeight="1">
      <c r="A49" s="7">
        <v>46</v>
      </c>
      <c r="B49" s="8">
        <v>2301283</v>
      </c>
      <c r="C49" s="18" t="s">
        <v>64</v>
      </c>
      <c r="D49" s="19">
        <f>DSA!BF50</f>
        <v>26</v>
      </c>
      <c r="E49" s="19">
        <f>DSA!BG50</f>
        <v>41</v>
      </c>
      <c r="F49" s="20">
        <f t="shared" si="0"/>
        <v>63.414634146341463</v>
      </c>
      <c r="G49" s="10">
        <f>'M-III'!BF50</f>
        <v>30</v>
      </c>
      <c r="H49" s="19">
        <f>'M-III'!BG50</f>
        <v>65</v>
      </c>
      <c r="I49" s="20">
        <f t="shared" si="1"/>
        <v>46.153846153846153</v>
      </c>
      <c r="J49" s="20">
        <f>OOPS!BG50</f>
        <v>13</v>
      </c>
      <c r="K49" s="19">
        <f>OOPS!BH50</f>
        <v>48</v>
      </c>
      <c r="L49" s="20">
        <f t="shared" si="2"/>
        <v>27.083333333333332</v>
      </c>
      <c r="M49" s="10">
        <f>DE!BF50</f>
        <v>26</v>
      </c>
      <c r="N49" s="10">
        <f>DE!BG50</f>
        <v>46</v>
      </c>
      <c r="O49" s="20">
        <f t="shared" si="3"/>
        <v>56.521739130434781</v>
      </c>
      <c r="P49" s="10">
        <f>DOS!BF50</f>
        <v>21</v>
      </c>
      <c r="Q49" s="10">
        <f>DOS!BG50</f>
        <v>48</v>
      </c>
      <c r="R49" s="20">
        <f t="shared" si="4"/>
        <v>43.75</v>
      </c>
      <c r="S49" s="10">
        <f>'OOPS LAB'!AE50</f>
        <v>22</v>
      </c>
      <c r="T49" s="10">
        <f>'OOPS LAB'!AF50</f>
        <v>48</v>
      </c>
      <c r="U49" s="20">
        <f t="shared" si="5"/>
        <v>45.833333333333329</v>
      </c>
      <c r="V49" s="10">
        <f>'DE LAB'!AE50</f>
        <v>10</v>
      </c>
      <c r="W49" s="10">
        <f>'DE LAB'!AF50</f>
        <v>30</v>
      </c>
      <c r="X49" s="20">
        <f t="shared" si="6"/>
        <v>33.333333333333329</v>
      </c>
      <c r="Y49" s="10">
        <f>'DSA LAB'!AE50</f>
        <v>24</v>
      </c>
      <c r="Z49" s="10">
        <f>'DSA LAB'!AF50</f>
        <v>41</v>
      </c>
      <c r="AA49" s="20">
        <f t="shared" si="7"/>
        <v>58.536585365853654</v>
      </c>
      <c r="AB49" s="19">
        <f>'IT WORKSHOP'!AM50</f>
        <v>9</v>
      </c>
      <c r="AC49" s="10">
        <f>'IT WORKSHOP'!AN50</f>
        <v>33</v>
      </c>
      <c r="AD49" s="20">
        <f t="shared" si="8"/>
        <v>27.27272727272727</v>
      </c>
      <c r="AE49" s="13">
        <f t="shared" si="9"/>
        <v>181</v>
      </c>
      <c r="AF49" s="14">
        <f t="shared" si="10"/>
        <v>400</v>
      </c>
      <c r="AG49" s="21">
        <f t="shared" si="11"/>
        <v>0.45250000000000001</v>
      </c>
      <c r="AH49" s="16"/>
      <c r="AI49" s="17"/>
      <c r="AJ49" s="17"/>
    </row>
    <row r="50" spans="1:36" ht="15.75" customHeight="1">
      <c r="A50" s="7">
        <v>47</v>
      </c>
      <c r="B50" s="8">
        <v>2301284</v>
      </c>
      <c r="C50" s="18" t="s">
        <v>65</v>
      </c>
      <c r="D50" s="19">
        <f>DSA!BF51</f>
        <v>0</v>
      </c>
      <c r="E50" s="19">
        <f>DSA!BG51</f>
        <v>41</v>
      </c>
      <c r="F50" s="20">
        <f t="shared" si="0"/>
        <v>0</v>
      </c>
      <c r="G50" s="10">
        <f>'M-III'!BF51</f>
        <v>0</v>
      </c>
      <c r="H50" s="19">
        <f>'M-III'!BG51</f>
        <v>65</v>
      </c>
      <c r="I50" s="20">
        <f t="shared" si="1"/>
        <v>0</v>
      </c>
      <c r="J50" s="20">
        <f>OOPS!BG51</f>
        <v>0</v>
      </c>
      <c r="K50" s="19">
        <f>OOPS!BH51</f>
        <v>48</v>
      </c>
      <c r="L50" s="20">
        <f t="shared" si="2"/>
        <v>0</v>
      </c>
      <c r="M50" s="10">
        <f>DE!BF51</f>
        <v>3</v>
      </c>
      <c r="N50" s="10">
        <f>DE!BG51</f>
        <v>46</v>
      </c>
      <c r="O50" s="20">
        <f t="shared" si="3"/>
        <v>6.5217391304347823</v>
      </c>
      <c r="P50" s="10">
        <f>DOS!BF51</f>
        <v>0</v>
      </c>
      <c r="Q50" s="10">
        <f>DOS!BG51</f>
        <v>48</v>
      </c>
      <c r="R50" s="20">
        <f t="shared" si="4"/>
        <v>0</v>
      </c>
      <c r="S50" s="10">
        <f>'OOPS LAB'!AE51</f>
        <v>0</v>
      </c>
      <c r="T50" s="10">
        <f>'OOPS LAB'!AF51</f>
        <v>48</v>
      </c>
      <c r="U50" s="20">
        <f t="shared" si="5"/>
        <v>0</v>
      </c>
      <c r="V50" s="10">
        <f>'DE LAB'!AE51</f>
        <v>0</v>
      </c>
      <c r="W50" s="10">
        <f>'DE LAB'!AF51</f>
        <v>30</v>
      </c>
      <c r="X50" s="20">
        <f t="shared" si="6"/>
        <v>0</v>
      </c>
      <c r="Y50" s="10">
        <f>'DSA LAB'!AE51</f>
        <v>1</v>
      </c>
      <c r="Z50" s="10">
        <f>'DSA LAB'!AF51</f>
        <v>41</v>
      </c>
      <c r="AA50" s="20">
        <f t="shared" si="7"/>
        <v>2.4390243902439024</v>
      </c>
      <c r="AB50" s="19">
        <f>'IT WORKSHOP'!AM51</f>
        <v>0</v>
      </c>
      <c r="AC50" s="10">
        <f>'IT WORKSHOP'!AN51</f>
        <v>33</v>
      </c>
      <c r="AD50" s="20">
        <f t="shared" si="8"/>
        <v>0</v>
      </c>
      <c r="AE50" s="13">
        <f t="shared" si="9"/>
        <v>4</v>
      </c>
      <c r="AF50" s="14">
        <f t="shared" si="10"/>
        <v>400</v>
      </c>
      <c r="AG50" s="21">
        <f t="shared" si="11"/>
        <v>0.01</v>
      </c>
      <c r="AH50" s="16"/>
      <c r="AI50" s="17"/>
      <c r="AJ50" s="17"/>
    </row>
    <row r="51" spans="1:36" ht="15.75" customHeight="1">
      <c r="A51" s="7">
        <v>48</v>
      </c>
      <c r="B51" s="8">
        <v>2301285</v>
      </c>
      <c r="C51" s="18" t="s">
        <v>66</v>
      </c>
      <c r="D51" s="19">
        <f>DSA!BF52</f>
        <v>25</v>
      </c>
      <c r="E51" s="19">
        <f>DSA!BG52</f>
        <v>41</v>
      </c>
      <c r="F51" s="20">
        <f t="shared" si="0"/>
        <v>60.975609756097562</v>
      </c>
      <c r="G51" s="10">
        <f>'M-III'!BF52</f>
        <v>33</v>
      </c>
      <c r="H51" s="19">
        <f>'M-III'!BG52</f>
        <v>65</v>
      </c>
      <c r="I51" s="20">
        <f t="shared" si="1"/>
        <v>50.769230769230766</v>
      </c>
      <c r="J51" s="20">
        <f>OOPS!BG52</f>
        <v>24</v>
      </c>
      <c r="K51" s="19">
        <f>OOPS!BH52</f>
        <v>48</v>
      </c>
      <c r="L51" s="20">
        <f t="shared" si="2"/>
        <v>50</v>
      </c>
      <c r="M51" s="10">
        <f>DE!BF52</f>
        <v>30</v>
      </c>
      <c r="N51" s="10">
        <f>DE!BG52</f>
        <v>46</v>
      </c>
      <c r="O51" s="20">
        <f t="shared" si="3"/>
        <v>65.217391304347828</v>
      </c>
      <c r="P51" s="10">
        <f>DOS!BF52</f>
        <v>25</v>
      </c>
      <c r="Q51" s="10">
        <f>DOS!BG52</f>
        <v>48</v>
      </c>
      <c r="R51" s="20">
        <f t="shared" si="4"/>
        <v>52.083333333333336</v>
      </c>
      <c r="S51" s="10">
        <f>'OOPS LAB'!AE52</f>
        <v>29</v>
      </c>
      <c r="T51" s="10">
        <f>'OOPS LAB'!AF52</f>
        <v>48</v>
      </c>
      <c r="U51" s="20">
        <f t="shared" si="5"/>
        <v>60.416666666666664</v>
      </c>
      <c r="V51" s="10">
        <f>'DE LAB'!AE52</f>
        <v>20</v>
      </c>
      <c r="W51" s="10">
        <f>'DE LAB'!AF52</f>
        <v>30</v>
      </c>
      <c r="X51" s="20">
        <f t="shared" si="6"/>
        <v>66.666666666666657</v>
      </c>
      <c r="Y51" s="10">
        <f>'DSA LAB'!AE52</f>
        <v>27</v>
      </c>
      <c r="Z51" s="10">
        <f>'DSA LAB'!AF52</f>
        <v>41</v>
      </c>
      <c r="AA51" s="20">
        <f t="shared" si="7"/>
        <v>65.853658536585371</v>
      </c>
      <c r="AB51" s="19">
        <f>'IT WORKSHOP'!AM52</f>
        <v>23</v>
      </c>
      <c r="AC51" s="10">
        <f>'IT WORKSHOP'!AN52</f>
        <v>33</v>
      </c>
      <c r="AD51" s="20">
        <f t="shared" si="8"/>
        <v>69.696969696969703</v>
      </c>
      <c r="AE51" s="13">
        <f t="shared" si="9"/>
        <v>236</v>
      </c>
      <c r="AF51" s="14">
        <f t="shared" si="10"/>
        <v>400</v>
      </c>
      <c r="AG51" s="21">
        <f t="shared" si="11"/>
        <v>0.59</v>
      </c>
      <c r="AH51" s="16"/>
      <c r="AI51" s="17"/>
      <c r="AJ51" s="17"/>
    </row>
    <row r="52" spans="1:36" ht="15.75" customHeight="1">
      <c r="A52" s="7">
        <v>49</v>
      </c>
      <c r="B52" s="8">
        <v>2301286</v>
      </c>
      <c r="C52" s="18" t="s">
        <v>67</v>
      </c>
      <c r="D52" s="19">
        <f>DSA!BF53</f>
        <v>0</v>
      </c>
      <c r="E52" s="19">
        <f>DSA!BG53</f>
        <v>41</v>
      </c>
      <c r="F52" s="20">
        <f t="shared" si="0"/>
        <v>0</v>
      </c>
      <c r="G52" s="10">
        <f>'M-III'!BF53</f>
        <v>1</v>
      </c>
      <c r="H52" s="19">
        <f>'M-III'!BG53</f>
        <v>65</v>
      </c>
      <c r="I52" s="20">
        <f t="shared" si="1"/>
        <v>1.5384615384615385</v>
      </c>
      <c r="J52" s="20">
        <f>OOPS!BG53</f>
        <v>3</v>
      </c>
      <c r="K52" s="19">
        <f>OOPS!BH53</f>
        <v>48</v>
      </c>
      <c r="L52" s="20">
        <f t="shared" si="2"/>
        <v>6.25</v>
      </c>
      <c r="M52" s="10">
        <f>DE!BF53</f>
        <v>6</v>
      </c>
      <c r="N52" s="10">
        <f>DE!BG53</f>
        <v>46</v>
      </c>
      <c r="O52" s="20">
        <f t="shared" si="3"/>
        <v>13.043478260869565</v>
      </c>
      <c r="P52" s="10">
        <f>DOS!BF53</f>
        <v>2</v>
      </c>
      <c r="Q52" s="10">
        <f>DOS!BG53</f>
        <v>48</v>
      </c>
      <c r="R52" s="20">
        <f t="shared" si="4"/>
        <v>4.1666666666666661</v>
      </c>
      <c r="S52" s="10">
        <f>'OOPS LAB'!AE53</f>
        <v>2</v>
      </c>
      <c r="T52" s="10">
        <f>'OOPS LAB'!AF53</f>
        <v>48</v>
      </c>
      <c r="U52" s="20">
        <f t="shared" si="5"/>
        <v>4.1666666666666661</v>
      </c>
      <c r="V52" s="10">
        <f>'DE LAB'!AE53</f>
        <v>0</v>
      </c>
      <c r="W52" s="10">
        <f>'DE LAB'!AF53</f>
        <v>30</v>
      </c>
      <c r="X52" s="20">
        <f t="shared" si="6"/>
        <v>0</v>
      </c>
      <c r="Y52" s="10">
        <f>'DSA LAB'!AE53</f>
        <v>6</v>
      </c>
      <c r="Z52" s="10">
        <f>'DSA LAB'!AF53</f>
        <v>41</v>
      </c>
      <c r="AA52" s="20">
        <f t="shared" si="7"/>
        <v>14.634146341463413</v>
      </c>
      <c r="AB52" s="19">
        <f>'IT WORKSHOP'!AM53</f>
        <v>1</v>
      </c>
      <c r="AC52" s="10">
        <f>'IT WORKSHOP'!AN53</f>
        <v>33</v>
      </c>
      <c r="AD52" s="20">
        <f t="shared" si="8"/>
        <v>3.0303030303030303</v>
      </c>
      <c r="AE52" s="13">
        <f t="shared" si="9"/>
        <v>21</v>
      </c>
      <c r="AF52" s="14">
        <f t="shared" si="10"/>
        <v>400</v>
      </c>
      <c r="AG52" s="21">
        <f t="shared" si="11"/>
        <v>5.2499999999999998E-2</v>
      </c>
      <c r="AH52" s="16"/>
      <c r="AI52" s="17"/>
      <c r="AJ52" s="17"/>
    </row>
    <row r="53" spans="1:36" ht="15.75" customHeight="1">
      <c r="A53" s="7">
        <v>50</v>
      </c>
      <c r="B53" s="8">
        <v>2301287</v>
      </c>
      <c r="C53" s="18" t="s">
        <v>68</v>
      </c>
      <c r="D53" s="19">
        <f>DSA!BF54</f>
        <v>0</v>
      </c>
      <c r="E53" s="19">
        <f>DSA!BG54</f>
        <v>41</v>
      </c>
      <c r="F53" s="20">
        <f t="shared" si="0"/>
        <v>0</v>
      </c>
      <c r="G53" s="10">
        <f>'M-III'!BF54</f>
        <v>1</v>
      </c>
      <c r="H53" s="19">
        <f>'M-III'!BG54</f>
        <v>65</v>
      </c>
      <c r="I53" s="20">
        <f t="shared" si="1"/>
        <v>1.5384615384615385</v>
      </c>
      <c r="J53" s="20">
        <f>OOPS!BG54</f>
        <v>4</v>
      </c>
      <c r="K53" s="19">
        <f>OOPS!BH54</f>
        <v>48</v>
      </c>
      <c r="L53" s="20">
        <f t="shared" si="2"/>
        <v>8.3333333333333321</v>
      </c>
      <c r="M53" s="10">
        <f>DE!BF54</f>
        <v>4</v>
      </c>
      <c r="N53" s="10">
        <f>DE!BG54</f>
        <v>46</v>
      </c>
      <c r="O53" s="20">
        <f t="shared" si="3"/>
        <v>8.695652173913043</v>
      </c>
      <c r="P53" s="10">
        <f>DOS!BF54</f>
        <v>1</v>
      </c>
      <c r="Q53" s="10">
        <f>DOS!BG54</f>
        <v>48</v>
      </c>
      <c r="R53" s="20">
        <f t="shared" si="4"/>
        <v>2.083333333333333</v>
      </c>
      <c r="S53" s="10">
        <f>'OOPS LAB'!AE54</f>
        <v>2</v>
      </c>
      <c r="T53" s="10">
        <f>'OOPS LAB'!AF54</f>
        <v>48</v>
      </c>
      <c r="U53" s="20">
        <f t="shared" si="5"/>
        <v>4.1666666666666661</v>
      </c>
      <c r="V53" s="10">
        <f>'DE LAB'!AE54</f>
        <v>0</v>
      </c>
      <c r="W53" s="10">
        <f>'DE LAB'!AF54</f>
        <v>30</v>
      </c>
      <c r="X53" s="20">
        <f t="shared" si="6"/>
        <v>0</v>
      </c>
      <c r="Y53" s="10">
        <f>'DSA LAB'!AE54</f>
        <v>9</v>
      </c>
      <c r="Z53" s="10">
        <f>'DSA LAB'!AF54</f>
        <v>41</v>
      </c>
      <c r="AA53" s="20">
        <f t="shared" si="7"/>
        <v>21.951219512195124</v>
      </c>
      <c r="AB53" s="19">
        <f>'IT WORKSHOP'!AM54</f>
        <v>7</v>
      </c>
      <c r="AC53" s="10">
        <f>'IT WORKSHOP'!AN54</f>
        <v>33</v>
      </c>
      <c r="AD53" s="20">
        <f t="shared" si="8"/>
        <v>21.212121212121211</v>
      </c>
      <c r="AE53" s="13">
        <f t="shared" si="9"/>
        <v>28</v>
      </c>
      <c r="AF53" s="14">
        <f t="shared" si="10"/>
        <v>400</v>
      </c>
      <c r="AG53" s="21">
        <f t="shared" si="11"/>
        <v>7.0000000000000007E-2</v>
      </c>
      <c r="AH53" s="16"/>
      <c r="AI53" s="17"/>
      <c r="AJ53" s="17"/>
    </row>
    <row r="54" spans="1:36" ht="15.75" customHeight="1">
      <c r="A54" s="7">
        <v>51</v>
      </c>
      <c r="B54" s="8">
        <v>2339508</v>
      </c>
      <c r="C54" s="18" t="s">
        <v>69</v>
      </c>
      <c r="D54" s="19">
        <f>DSA!BF55</f>
        <v>32</v>
      </c>
      <c r="E54" s="19">
        <f>DSA!BG55</f>
        <v>41</v>
      </c>
      <c r="F54" s="20">
        <f t="shared" si="0"/>
        <v>78.048780487804876</v>
      </c>
      <c r="G54" s="10">
        <f>'M-III'!BF55</f>
        <v>48</v>
      </c>
      <c r="H54" s="19">
        <f>'M-III'!BG55</f>
        <v>65</v>
      </c>
      <c r="I54" s="20">
        <f t="shared" si="1"/>
        <v>73.846153846153854</v>
      </c>
      <c r="J54" s="20">
        <f>OOPS!BG55</f>
        <v>38</v>
      </c>
      <c r="K54" s="19">
        <f>OOPS!BH55</f>
        <v>48</v>
      </c>
      <c r="L54" s="20">
        <f t="shared" si="2"/>
        <v>79.166666666666657</v>
      </c>
      <c r="M54" s="10">
        <f>DE!BF55</f>
        <v>29</v>
      </c>
      <c r="N54" s="10">
        <f>DE!BG55</f>
        <v>46</v>
      </c>
      <c r="O54" s="20">
        <f t="shared" si="3"/>
        <v>63.04347826086957</v>
      </c>
      <c r="P54" s="10">
        <f>DOS!BF55</f>
        <v>33</v>
      </c>
      <c r="Q54" s="10">
        <f>DOS!BG55</f>
        <v>48</v>
      </c>
      <c r="R54" s="20">
        <f t="shared" si="4"/>
        <v>68.75</v>
      </c>
      <c r="S54" s="10">
        <f>'OOPS LAB'!AE55</f>
        <v>40</v>
      </c>
      <c r="T54" s="10">
        <f>'OOPS LAB'!AF55</f>
        <v>48</v>
      </c>
      <c r="U54" s="20">
        <f t="shared" si="5"/>
        <v>83.333333333333343</v>
      </c>
      <c r="V54" s="10">
        <f>'DE LAB'!AE55</f>
        <v>22</v>
      </c>
      <c r="W54" s="10">
        <f>'DE LAB'!AF55</f>
        <v>30</v>
      </c>
      <c r="X54" s="20">
        <f t="shared" si="6"/>
        <v>73.333333333333329</v>
      </c>
      <c r="Y54" s="10">
        <f>'DSA LAB'!AE55</f>
        <v>31</v>
      </c>
      <c r="Z54" s="10">
        <f>'DSA LAB'!AF55</f>
        <v>41</v>
      </c>
      <c r="AA54" s="20">
        <f t="shared" si="7"/>
        <v>75.609756097560975</v>
      </c>
      <c r="AB54" s="19">
        <f>'IT WORKSHOP'!AM55</f>
        <v>26</v>
      </c>
      <c r="AC54" s="10">
        <f>'IT WORKSHOP'!AN55</f>
        <v>33</v>
      </c>
      <c r="AD54" s="20">
        <f t="shared" si="8"/>
        <v>78.787878787878782</v>
      </c>
      <c r="AE54" s="13">
        <f t="shared" si="9"/>
        <v>299</v>
      </c>
      <c r="AF54" s="14">
        <f t="shared" si="10"/>
        <v>400</v>
      </c>
      <c r="AG54" s="21">
        <f t="shared" si="11"/>
        <v>0.74750000000000005</v>
      </c>
      <c r="AH54" s="16"/>
      <c r="AI54" s="17"/>
      <c r="AJ54" s="17"/>
    </row>
    <row r="55" spans="1:36" ht="15.75" customHeight="1">
      <c r="A55" s="7">
        <v>52</v>
      </c>
      <c r="B55" s="8">
        <v>2339509</v>
      </c>
      <c r="C55" s="18" t="s">
        <v>70</v>
      </c>
      <c r="D55" s="19">
        <f>DSA!BF56</f>
        <v>0</v>
      </c>
      <c r="E55" s="19">
        <f>DSA!BG56</f>
        <v>41</v>
      </c>
      <c r="F55" s="20">
        <f t="shared" si="0"/>
        <v>0</v>
      </c>
      <c r="G55" s="10">
        <f>'M-III'!BF56</f>
        <v>0</v>
      </c>
      <c r="H55" s="19">
        <f>'M-III'!BG56</f>
        <v>65</v>
      </c>
      <c r="I55" s="20">
        <f t="shared" si="1"/>
        <v>0</v>
      </c>
      <c r="J55" s="20">
        <f>OOPS!BG56</f>
        <v>0</v>
      </c>
      <c r="K55" s="19">
        <f>OOPS!BH56</f>
        <v>48</v>
      </c>
      <c r="L55" s="20">
        <f t="shared" si="2"/>
        <v>0</v>
      </c>
      <c r="M55" s="10">
        <f>DE!BF56</f>
        <v>0</v>
      </c>
      <c r="N55" s="10">
        <f>DE!BG56</f>
        <v>46</v>
      </c>
      <c r="O55" s="20">
        <f t="shared" si="3"/>
        <v>0</v>
      </c>
      <c r="P55" s="10">
        <f>DOS!BF56</f>
        <v>0</v>
      </c>
      <c r="Q55" s="10">
        <f>DOS!BG56</f>
        <v>48</v>
      </c>
      <c r="R55" s="20">
        <f t="shared" si="4"/>
        <v>0</v>
      </c>
      <c r="S55" s="10">
        <f>'OOPS LAB'!AE56</f>
        <v>0</v>
      </c>
      <c r="T55" s="10">
        <f>'OOPS LAB'!AF56</f>
        <v>48</v>
      </c>
      <c r="U55" s="20">
        <f t="shared" si="5"/>
        <v>0</v>
      </c>
      <c r="V55" s="10">
        <f>'DE LAB'!AE56</f>
        <v>0</v>
      </c>
      <c r="W55" s="10">
        <f>'DE LAB'!AF56</f>
        <v>30</v>
      </c>
      <c r="X55" s="20">
        <f t="shared" si="6"/>
        <v>0</v>
      </c>
      <c r="Y55" s="10">
        <f>'DSA LAB'!AE56</f>
        <v>0</v>
      </c>
      <c r="Z55" s="10">
        <f>'DSA LAB'!AF56</f>
        <v>41</v>
      </c>
      <c r="AA55" s="20">
        <f t="shared" si="7"/>
        <v>0</v>
      </c>
      <c r="AB55" s="19">
        <f>'IT WORKSHOP'!AM56</f>
        <v>0</v>
      </c>
      <c r="AC55" s="10">
        <f>'IT WORKSHOP'!AN56</f>
        <v>33</v>
      </c>
      <c r="AD55" s="20">
        <f t="shared" si="8"/>
        <v>0</v>
      </c>
      <c r="AE55" s="13">
        <f t="shared" si="9"/>
        <v>0</v>
      </c>
      <c r="AF55" s="14">
        <f t="shared" si="10"/>
        <v>400</v>
      </c>
      <c r="AG55" s="21">
        <f t="shared" si="11"/>
        <v>0</v>
      </c>
      <c r="AH55" s="16"/>
      <c r="AI55" s="17"/>
      <c r="AJ55" s="17"/>
    </row>
    <row r="56" spans="1:36" ht="15.75" customHeight="1">
      <c r="A56" s="7">
        <v>53</v>
      </c>
      <c r="B56" s="8">
        <v>2301207</v>
      </c>
      <c r="C56" s="18" t="s">
        <v>71</v>
      </c>
      <c r="D56" s="19">
        <f>DSA!BF57</f>
        <v>0</v>
      </c>
      <c r="E56" s="19">
        <f>DSA!BG57</f>
        <v>41</v>
      </c>
      <c r="F56" s="20">
        <f t="shared" si="0"/>
        <v>0</v>
      </c>
      <c r="G56" s="10">
        <f>'M-III'!BF57</f>
        <v>0</v>
      </c>
      <c r="H56" s="19">
        <f>'M-III'!BG57</f>
        <v>65</v>
      </c>
      <c r="I56" s="20">
        <f t="shared" si="1"/>
        <v>0</v>
      </c>
      <c r="J56" s="20">
        <f>OOPS!BG57</f>
        <v>0</v>
      </c>
      <c r="K56" s="19">
        <f>OOPS!BH57</f>
        <v>48</v>
      </c>
      <c r="L56" s="20">
        <f t="shared" si="2"/>
        <v>0</v>
      </c>
      <c r="M56" s="10">
        <f>DE!BF57</f>
        <v>0</v>
      </c>
      <c r="N56" s="10">
        <f>DE!BG57</f>
        <v>46</v>
      </c>
      <c r="O56" s="20">
        <f t="shared" si="3"/>
        <v>0</v>
      </c>
      <c r="P56" s="10">
        <f>DOS!BF57</f>
        <v>0</v>
      </c>
      <c r="Q56" s="10">
        <f>DOS!BG57</f>
        <v>48</v>
      </c>
      <c r="R56" s="20">
        <f t="shared" si="4"/>
        <v>0</v>
      </c>
      <c r="S56" s="10">
        <f>'OOPS LAB'!AE57</f>
        <v>0</v>
      </c>
      <c r="T56" s="10">
        <f>'OOPS LAB'!AF57</f>
        <v>48</v>
      </c>
      <c r="U56" s="20">
        <f t="shared" si="5"/>
        <v>0</v>
      </c>
      <c r="V56" s="10">
        <f>'DE LAB'!AE57</f>
        <v>0</v>
      </c>
      <c r="W56" s="10">
        <f>'DE LAB'!AF57</f>
        <v>30</v>
      </c>
      <c r="X56" s="20">
        <f t="shared" si="6"/>
        <v>0</v>
      </c>
      <c r="Y56" s="10">
        <f>'DSA LAB'!AE57</f>
        <v>0</v>
      </c>
      <c r="Z56" s="10">
        <f>'DSA LAB'!AF57</f>
        <v>41</v>
      </c>
      <c r="AA56" s="20">
        <f t="shared" si="7"/>
        <v>0</v>
      </c>
      <c r="AB56" s="19">
        <f>'IT WORKSHOP'!AM57</f>
        <v>0</v>
      </c>
      <c r="AC56" s="10">
        <f>'IT WORKSHOP'!AN57</f>
        <v>33</v>
      </c>
      <c r="AD56" s="20">
        <f t="shared" si="8"/>
        <v>0</v>
      </c>
      <c r="AE56" s="13">
        <f t="shared" si="9"/>
        <v>0</v>
      </c>
      <c r="AF56" s="14">
        <f t="shared" si="10"/>
        <v>400</v>
      </c>
      <c r="AG56" s="21">
        <f t="shared" si="11"/>
        <v>0</v>
      </c>
      <c r="AH56" s="16"/>
      <c r="AI56" s="17"/>
      <c r="AJ56" s="17"/>
    </row>
    <row r="57" spans="1:36" ht="15.75" customHeight="1">
      <c r="A57" s="7">
        <v>54</v>
      </c>
      <c r="B57" s="8" t="s">
        <v>72</v>
      </c>
      <c r="C57" s="18" t="s">
        <v>73</v>
      </c>
      <c r="D57" s="19">
        <f>DSA!BF58</f>
        <v>33</v>
      </c>
      <c r="E57" s="19">
        <f>DSA!BG58</f>
        <v>41</v>
      </c>
      <c r="F57" s="20">
        <f t="shared" si="0"/>
        <v>80.487804878048792</v>
      </c>
      <c r="G57" s="10">
        <f>'M-III'!BF58</f>
        <v>47</v>
      </c>
      <c r="H57" s="19">
        <f>'M-III'!BG58</f>
        <v>65</v>
      </c>
      <c r="I57" s="20">
        <f t="shared" si="1"/>
        <v>72.307692307692307</v>
      </c>
      <c r="J57" s="20">
        <f>OOPS!BG58</f>
        <v>38</v>
      </c>
      <c r="K57" s="19">
        <f>OOPS!BH58</f>
        <v>48</v>
      </c>
      <c r="L57" s="20">
        <f t="shared" si="2"/>
        <v>79.166666666666657</v>
      </c>
      <c r="M57" s="10">
        <f>DE!BF58</f>
        <v>34</v>
      </c>
      <c r="N57" s="10">
        <f>DE!BG58</f>
        <v>46</v>
      </c>
      <c r="O57" s="20">
        <f t="shared" si="3"/>
        <v>73.91304347826086</v>
      </c>
      <c r="P57" s="10">
        <f>DOS!BF58</f>
        <v>33</v>
      </c>
      <c r="Q57" s="10">
        <f>DOS!BG58</f>
        <v>48</v>
      </c>
      <c r="R57" s="20">
        <f t="shared" si="4"/>
        <v>68.75</v>
      </c>
      <c r="S57" s="10">
        <f>'OOPS LAB'!AE58</f>
        <v>32</v>
      </c>
      <c r="T57" s="10">
        <f>'OOPS LAB'!AF58</f>
        <v>48</v>
      </c>
      <c r="U57" s="20">
        <f t="shared" si="5"/>
        <v>66.666666666666657</v>
      </c>
      <c r="V57" s="10">
        <f>'DE LAB'!AE58</f>
        <v>24</v>
      </c>
      <c r="W57" s="10">
        <f>'DE LAB'!AF58</f>
        <v>30</v>
      </c>
      <c r="X57" s="20">
        <f t="shared" si="6"/>
        <v>80</v>
      </c>
      <c r="Y57" s="10">
        <f>'DSA LAB'!AE58</f>
        <v>33</v>
      </c>
      <c r="Z57" s="10">
        <f>'DSA LAB'!AF58</f>
        <v>41</v>
      </c>
      <c r="AA57" s="20">
        <f t="shared" si="7"/>
        <v>80.487804878048792</v>
      </c>
      <c r="AB57" s="19">
        <f>'IT WORKSHOP'!AM58</f>
        <v>22</v>
      </c>
      <c r="AC57" s="10">
        <f>'IT WORKSHOP'!AN58</f>
        <v>33</v>
      </c>
      <c r="AD57" s="20">
        <f t="shared" si="8"/>
        <v>66.666666666666657</v>
      </c>
      <c r="AE57" s="13">
        <f t="shared" si="9"/>
        <v>296</v>
      </c>
      <c r="AF57" s="14">
        <f t="shared" si="10"/>
        <v>400</v>
      </c>
      <c r="AG57" s="21">
        <f t="shared" si="11"/>
        <v>0.74</v>
      </c>
      <c r="AH57" s="16"/>
      <c r="AI57" s="17"/>
      <c r="AJ57" s="17"/>
    </row>
    <row r="58" spans="1:36" ht="15.75" customHeight="1">
      <c r="A58" s="7">
        <v>55</v>
      </c>
      <c r="B58" s="8" t="s">
        <v>72</v>
      </c>
      <c r="C58" s="18" t="s">
        <v>74</v>
      </c>
      <c r="D58" s="19">
        <f>DSA!BF59</f>
        <v>37</v>
      </c>
      <c r="E58" s="19">
        <f>DSA!BG59</f>
        <v>41</v>
      </c>
      <c r="F58" s="20">
        <f t="shared" si="0"/>
        <v>90.243902439024396</v>
      </c>
      <c r="G58" s="10">
        <f>'M-III'!BF59</f>
        <v>48</v>
      </c>
      <c r="H58" s="19">
        <f>'M-III'!BG59</f>
        <v>65</v>
      </c>
      <c r="I58" s="20">
        <f t="shared" si="1"/>
        <v>73.846153846153854</v>
      </c>
      <c r="J58" s="20">
        <f>OOPS!BG59</f>
        <v>39</v>
      </c>
      <c r="K58" s="19">
        <f>OOPS!BH59</f>
        <v>48</v>
      </c>
      <c r="L58" s="20">
        <f t="shared" si="2"/>
        <v>81.25</v>
      </c>
      <c r="M58" s="10">
        <f>DE!BF59</f>
        <v>35</v>
      </c>
      <c r="N58" s="10">
        <f>DE!BG59</f>
        <v>46</v>
      </c>
      <c r="O58" s="20">
        <f t="shared" si="3"/>
        <v>76.08695652173914</v>
      </c>
      <c r="P58" s="10">
        <f>DOS!BF59</f>
        <v>35</v>
      </c>
      <c r="Q58" s="10">
        <f>DOS!BG59</f>
        <v>48</v>
      </c>
      <c r="R58" s="20">
        <f t="shared" si="4"/>
        <v>72.916666666666657</v>
      </c>
      <c r="S58" s="10">
        <f>'OOPS LAB'!AE59</f>
        <v>41</v>
      </c>
      <c r="T58" s="10">
        <f>'OOPS LAB'!AF59</f>
        <v>48</v>
      </c>
      <c r="U58" s="20">
        <f t="shared" si="5"/>
        <v>85.416666666666657</v>
      </c>
      <c r="V58" s="10">
        <f>'DE LAB'!AE59</f>
        <v>24</v>
      </c>
      <c r="W58" s="10">
        <f>'DE LAB'!AF59</f>
        <v>30</v>
      </c>
      <c r="X58" s="20">
        <f t="shared" si="6"/>
        <v>80</v>
      </c>
      <c r="Y58" s="10">
        <f>'DSA LAB'!AE59</f>
        <v>38</v>
      </c>
      <c r="Z58" s="10">
        <f>'DSA LAB'!AF59</f>
        <v>41</v>
      </c>
      <c r="AA58" s="20">
        <f t="shared" si="7"/>
        <v>92.682926829268297</v>
      </c>
      <c r="AB58" s="19">
        <f>'IT WORKSHOP'!AM59</f>
        <v>25</v>
      </c>
      <c r="AC58" s="10">
        <f>'IT WORKSHOP'!AN59</f>
        <v>33</v>
      </c>
      <c r="AD58" s="20">
        <f t="shared" si="8"/>
        <v>75.757575757575751</v>
      </c>
      <c r="AE58" s="13">
        <f t="shared" si="9"/>
        <v>322</v>
      </c>
      <c r="AF58" s="14">
        <f t="shared" si="10"/>
        <v>400</v>
      </c>
      <c r="AG58" s="21">
        <f t="shared" si="11"/>
        <v>0.80500000000000005</v>
      </c>
      <c r="AH58" s="16"/>
      <c r="AI58" s="17"/>
      <c r="AJ58" s="17"/>
    </row>
    <row r="59" spans="1:36" ht="15.75" customHeight="1">
      <c r="A59" s="7">
        <v>56</v>
      </c>
      <c r="B59" s="8" t="s">
        <v>72</v>
      </c>
      <c r="C59" s="18" t="s">
        <v>75</v>
      </c>
      <c r="D59" s="19">
        <f>DSA!BF60</f>
        <v>37</v>
      </c>
      <c r="E59" s="19">
        <f>DSA!BG60</f>
        <v>41</v>
      </c>
      <c r="F59" s="20">
        <f t="shared" si="0"/>
        <v>90.243902439024396</v>
      </c>
      <c r="G59" s="10">
        <f>'M-III'!BF60</f>
        <v>57</v>
      </c>
      <c r="H59" s="19">
        <f>'M-III'!BG60</f>
        <v>65</v>
      </c>
      <c r="I59" s="20">
        <f t="shared" si="1"/>
        <v>87.692307692307693</v>
      </c>
      <c r="J59" s="20">
        <f>OOPS!BG60</f>
        <v>43</v>
      </c>
      <c r="K59" s="19">
        <f>OOPS!BH60</f>
        <v>48</v>
      </c>
      <c r="L59" s="20">
        <f t="shared" si="2"/>
        <v>89.583333333333343</v>
      </c>
      <c r="M59" s="10">
        <f>DE!BF60</f>
        <v>38</v>
      </c>
      <c r="N59" s="10">
        <f>DE!BG60</f>
        <v>46</v>
      </c>
      <c r="O59" s="20">
        <f t="shared" si="3"/>
        <v>82.608695652173907</v>
      </c>
      <c r="P59" s="10">
        <f>DOS!BF60</f>
        <v>36</v>
      </c>
      <c r="Q59" s="10">
        <f>DOS!BG60</f>
        <v>48</v>
      </c>
      <c r="R59" s="20">
        <f t="shared" si="4"/>
        <v>75</v>
      </c>
      <c r="S59" s="10">
        <f>'OOPS LAB'!AE60</f>
        <v>42</v>
      </c>
      <c r="T59" s="10">
        <f>'OOPS LAB'!AF60</f>
        <v>48</v>
      </c>
      <c r="U59" s="20">
        <f t="shared" si="5"/>
        <v>87.5</v>
      </c>
      <c r="V59" s="10">
        <f>'DE LAB'!AE60</f>
        <v>24</v>
      </c>
      <c r="W59" s="10">
        <f>'DE LAB'!AF60</f>
        <v>30</v>
      </c>
      <c r="X59" s="20">
        <f t="shared" si="6"/>
        <v>80</v>
      </c>
      <c r="Y59" s="10">
        <f>'DSA LAB'!AE60</f>
        <v>38</v>
      </c>
      <c r="Z59" s="10">
        <f>'DSA LAB'!AF60</f>
        <v>41</v>
      </c>
      <c r="AA59" s="20">
        <f t="shared" si="7"/>
        <v>92.682926829268297</v>
      </c>
      <c r="AB59" s="19">
        <f>'IT WORKSHOP'!AM60</f>
        <v>29</v>
      </c>
      <c r="AC59" s="10">
        <f>'IT WORKSHOP'!AN60</f>
        <v>33</v>
      </c>
      <c r="AD59" s="20">
        <f t="shared" si="8"/>
        <v>87.878787878787875</v>
      </c>
      <c r="AE59" s="13">
        <f t="shared" si="9"/>
        <v>344</v>
      </c>
      <c r="AF59" s="14">
        <f t="shared" si="10"/>
        <v>400</v>
      </c>
      <c r="AG59" s="21">
        <f t="shared" si="11"/>
        <v>0.86</v>
      </c>
      <c r="AH59" s="16"/>
      <c r="AI59" s="17"/>
      <c r="AJ59" s="17"/>
    </row>
    <row r="60" spans="1:36" ht="15.75" customHeight="1">
      <c r="A60" s="25">
        <v>57</v>
      </c>
      <c r="B60" s="10" t="s">
        <v>72</v>
      </c>
      <c r="C60" s="26" t="s">
        <v>76</v>
      </c>
      <c r="D60" s="19">
        <f>DSA!BF61</f>
        <v>26</v>
      </c>
      <c r="E60" s="19">
        <f>DSA!BG61</f>
        <v>27</v>
      </c>
      <c r="F60" s="20">
        <f t="shared" si="0"/>
        <v>96.296296296296291</v>
      </c>
      <c r="G60" s="10">
        <f>'M-III'!BF61</f>
        <v>42</v>
      </c>
      <c r="H60" s="19">
        <f>'M-III'!BG61</f>
        <v>48</v>
      </c>
      <c r="I60" s="20">
        <f t="shared" si="1"/>
        <v>87.5</v>
      </c>
      <c r="J60" s="20">
        <f>OOPS!BG61</f>
        <v>33</v>
      </c>
      <c r="K60" s="19">
        <v>33</v>
      </c>
      <c r="L60" s="20">
        <f t="shared" si="2"/>
        <v>100</v>
      </c>
      <c r="M60" s="10">
        <f>DE!BF61</f>
        <v>28</v>
      </c>
      <c r="N60" s="10">
        <f>DE!BG61</f>
        <v>33</v>
      </c>
      <c r="O60" s="20">
        <f t="shared" si="3"/>
        <v>84.848484848484844</v>
      </c>
      <c r="P60" s="10">
        <f>DOS!BF61</f>
        <v>30</v>
      </c>
      <c r="Q60" s="10">
        <f>DOS!BG61</f>
        <v>32</v>
      </c>
      <c r="R60" s="20">
        <f t="shared" si="4"/>
        <v>93.75</v>
      </c>
      <c r="S60" s="10">
        <f>'OOPS LAB'!AE61</f>
        <v>29</v>
      </c>
      <c r="T60" s="10">
        <f>'OOPS LAB'!AF61</f>
        <v>30</v>
      </c>
      <c r="U60" s="20">
        <f t="shared" si="5"/>
        <v>96.666666666666671</v>
      </c>
      <c r="V60" s="10">
        <f>'DE LAB'!AE61</f>
        <v>20</v>
      </c>
      <c r="W60" s="10">
        <f>'DE LAB'!AF61</f>
        <v>20</v>
      </c>
      <c r="X60" s="20">
        <f t="shared" si="6"/>
        <v>100</v>
      </c>
      <c r="Y60" s="10">
        <f>'DSA LAB'!AE61</f>
        <v>28</v>
      </c>
      <c r="Z60" s="10">
        <f>'DSA LAB'!AF61</f>
        <v>41</v>
      </c>
      <c r="AA60" s="20">
        <f t="shared" si="7"/>
        <v>68.292682926829272</v>
      </c>
      <c r="AB60" s="19">
        <f>'IT WORKSHOP'!AM61</f>
        <v>20</v>
      </c>
      <c r="AC60" s="10">
        <f>'IT WORKSHOP'!AN61</f>
        <v>21</v>
      </c>
      <c r="AD60" s="20">
        <f t="shared" si="8"/>
        <v>95.238095238095227</v>
      </c>
      <c r="AE60" s="13">
        <f t="shared" si="9"/>
        <v>256</v>
      </c>
      <c r="AF60" s="14">
        <f t="shared" si="10"/>
        <v>285</v>
      </c>
      <c r="AG60" s="21">
        <f t="shared" si="11"/>
        <v>0.89824561403508774</v>
      </c>
      <c r="AH60" s="16"/>
      <c r="AI60" s="17"/>
      <c r="AJ60" s="17"/>
    </row>
    <row r="61" spans="1:36" ht="15.75" customHeight="1">
      <c r="A61" s="25">
        <v>58</v>
      </c>
      <c r="B61" s="10" t="s">
        <v>77</v>
      </c>
      <c r="C61" s="26" t="s">
        <v>78</v>
      </c>
      <c r="D61" s="19">
        <f>DSA!BF62</f>
        <v>18</v>
      </c>
      <c r="E61" s="19">
        <f>DSA!BG62</f>
        <v>21</v>
      </c>
      <c r="F61" s="20">
        <f t="shared" si="0"/>
        <v>85.714285714285708</v>
      </c>
      <c r="G61" s="10">
        <f>'M-III'!BF62</f>
        <v>31</v>
      </c>
      <c r="H61" s="19">
        <f>'M-III'!BG62</f>
        <v>35</v>
      </c>
      <c r="I61" s="20">
        <f t="shared" si="1"/>
        <v>88.571428571428569</v>
      </c>
      <c r="J61" s="20">
        <f>OOPS!BG62</f>
        <v>20</v>
      </c>
      <c r="K61" s="19">
        <v>25</v>
      </c>
      <c r="L61" s="20">
        <f t="shared" si="2"/>
        <v>80</v>
      </c>
      <c r="M61" s="10">
        <f>DE!BF62</f>
        <v>19</v>
      </c>
      <c r="N61" s="10">
        <f>DE!BG62</f>
        <v>26</v>
      </c>
      <c r="O61" s="20">
        <f t="shared" si="3"/>
        <v>73.076923076923066</v>
      </c>
      <c r="P61" s="10">
        <f>DOS!BF62</f>
        <v>17</v>
      </c>
      <c r="Q61" s="10">
        <f>DOS!BG62</f>
        <v>23</v>
      </c>
      <c r="R61" s="20">
        <f t="shared" si="4"/>
        <v>73.91304347826086</v>
      </c>
      <c r="S61" s="10">
        <f>'OOPS LAB'!AE62</f>
        <v>21</v>
      </c>
      <c r="T61" s="10">
        <f>'OOPS LAB'!AF62</f>
        <v>22</v>
      </c>
      <c r="U61" s="20">
        <f t="shared" si="5"/>
        <v>95.454545454545453</v>
      </c>
      <c r="V61" s="10">
        <f>'DE LAB'!AE62</f>
        <v>10</v>
      </c>
      <c r="W61" s="10">
        <f>'DE LAB'!AF62</f>
        <v>14</v>
      </c>
      <c r="X61" s="20">
        <f t="shared" si="6"/>
        <v>71.428571428571431</v>
      </c>
      <c r="Y61" s="10">
        <f>'DSA LAB'!AE62</f>
        <v>20</v>
      </c>
      <c r="Z61" s="10">
        <f>'DSA LAB'!AF62</f>
        <v>41</v>
      </c>
      <c r="AA61" s="20">
        <f t="shared" si="7"/>
        <v>48.780487804878049</v>
      </c>
      <c r="AB61" s="19">
        <f>'IT WORKSHOP'!AM62</f>
        <v>11</v>
      </c>
      <c r="AC61" s="10">
        <f>'IT WORKSHOP'!AN62</f>
        <v>15</v>
      </c>
      <c r="AD61" s="20">
        <f t="shared" si="8"/>
        <v>73.333333333333329</v>
      </c>
      <c r="AE61" s="13">
        <f t="shared" si="9"/>
        <v>167</v>
      </c>
      <c r="AF61" s="14">
        <f t="shared" si="10"/>
        <v>222</v>
      </c>
      <c r="AG61" s="21">
        <f t="shared" si="11"/>
        <v>0.75225225225225223</v>
      </c>
      <c r="AH61" s="16"/>
      <c r="AI61" s="17"/>
      <c r="AJ61" s="17"/>
    </row>
    <row r="62" spans="1:36" ht="15.75" customHeight="1">
      <c r="A62" s="27"/>
      <c r="B62" s="28"/>
      <c r="C62" s="29"/>
      <c r="D62" s="28"/>
      <c r="E62" s="28"/>
      <c r="F62" s="30"/>
      <c r="G62" s="28"/>
      <c r="H62" s="31">
        <f>'M-III'!BG63</f>
        <v>0</v>
      </c>
      <c r="I62" s="30"/>
      <c r="J62" s="28"/>
      <c r="K62" s="28"/>
      <c r="L62" s="30"/>
      <c r="M62" s="28"/>
      <c r="N62" s="28"/>
      <c r="O62" s="30"/>
      <c r="P62" s="28"/>
      <c r="Q62" s="28"/>
      <c r="R62" s="30"/>
      <c r="S62" s="28"/>
      <c r="T62" s="28"/>
      <c r="U62" s="30"/>
      <c r="V62" s="28"/>
      <c r="W62" s="28"/>
      <c r="X62" s="30"/>
      <c r="Y62" s="28"/>
      <c r="Z62" s="28"/>
      <c r="AA62" s="30"/>
      <c r="AB62" s="28"/>
      <c r="AC62" s="28"/>
      <c r="AD62" s="30"/>
      <c r="AE62" s="32"/>
      <c r="AF62" s="33"/>
      <c r="AG62" s="34"/>
      <c r="AH62" s="16"/>
      <c r="AI62" s="17"/>
      <c r="AJ62" s="17"/>
    </row>
    <row r="63" spans="1:36" ht="15.75" customHeight="1">
      <c r="A63" s="27"/>
      <c r="B63" s="28"/>
      <c r="C63" s="29"/>
      <c r="D63" s="28"/>
      <c r="E63" s="28"/>
      <c r="F63" s="30"/>
      <c r="G63" s="28"/>
      <c r="H63" s="28"/>
      <c r="I63" s="30"/>
      <c r="J63" s="28"/>
      <c r="K63" s="28"/>
      <c r="L63" s="30"/>
      <c r="M63" s="28"/>
      <c r="N63" s="28"/>
      <c r="O63" s="30"/>
      <c r="P63" s="28"/>
      <c r="Q63" s="28"/>
      <c r="R63" s="30"/>
      <c r="S63" s="28"/>
      <c r="T63" s="28"/>
      <c r="U63" s="30"/>
      <c r="V63" s="28"/>
      <c r="W63" s="28"/>
      <c r="X63" s="30"/>
      <c r="Y63" s="28"/>
      <c r="Z63" s="28"/>
      <c r="AA63" s="30"/>
      <c r="AB63" s="28"/>
      <c r="AC63" s="28"/>
      <c r="AD63" s="30"/>
      <c r="AE63" s="32"/>
      <c r="AF63" s="33"/>
      <c r="AG63" s="34"/>
      <c r="AH63" s="16"/>
      <c r="AI63" s="17"/>
      <c r="AJ63" s="17"/>
    </row>
    <row r="64" spans="1:36" ht="15.75" customHeight="1">
      <c r="A64" s="27"/>
      <c r="B64" s="28"/>
      <c r="C64" s="29"/>
      <c r="D64" s="28"/>
      <c r="E64" s="28"/>
      <c r="F64" s="30"/>
      <c r="G64" s="28"/>
      <c r="H64" s="28"/>
      <c r="I64" s="30"/>
      <c r="J64" s="28"/>
      <c r="K64" s="28"/>
      <c r="L64" s="30"/>
      <c r="M64" s="28"/>
      <c r="N64" s="28"/>
      <c r="O64" s="30"/>
      <c r="P64" s="28"/>
      <c r="Q64" s="28"/>
      <c r="R64" s="30"/>
      <c r="S64" s="28"/>
      <c r="T64" s="28"/>
      <c r="U64" s="30"/>
      <c r="V64" s="28"/>
      <c r="W64" s="28"/>
      <c r="X64" s="30"/>
      <c r="Y64" s="28"/>
      <c r="Z64" s="28"/>
      <c r="AA64" s="30"/>
      <c r="AB64" s="28"/>
      <c r="AC64" s="28"/>
      <c r="AD64" s="30"/>
      <c r="AE64" s="32"/>
      <c r="AF64" s="33"/>
      <c r="AG64" s="34"/>
      <c r="AH64" s="16"/>
      <c r="AI64" s="17"/>
      <c r="AJ64" s="17"/>
    </row>
    <row r="65" spans="1:36" ht="15.75" customHeight="1">
      <c r="A65" s="27"/>
      <c r="B65" s="28"/>
      <c r="C65" s="29"/>
      <c r="D65" s="28"/>
      <c r="E65" s="28"/>
      <c r="F65" s="30"/>
      <c r="G65" s="28"/>
      <c r="H65" s="28"/>
      <c r="I65" s="30"/>
      <c r="J65" s="28"/>
      <c r="K65" s="28"/>
      <c r="L65" s="30"/>
      <c r="M65" s="28"/>
      <c r="N65" s="28"/>
      <c r="O65" s="30"/>
      <c r="P65" s="28"/>
      <c r="Q65" s="28"/>
      <c r="R65" s="30"/>
      <c r="S65" s="28"/>
      <c r="T65" s="28"/>
      <c r="U65" s="30"/>
      <c r="V65" s="28"/>
      <c r="W65" s="28"/>
      <c r="X65" s="30"/>
      <c r="Y65" s="28"/>
      <c r="Z65" s="28"/>
      <c r="AA65" s="30"/>
      <c r="AB65" s="28"/>
      <c r="AC65" s="28"/>
      <c r="AD65" s="30"/>
      <c r="AE65" s="32"/>
      <c r="AF65" s="33"/>
      <c r="AG65" s="34"/>
      <c r="AH65" s="16"/>
      <c r="AI65" s="17"/>
      <c r="AJ65" s="17"/>
    </row>
    <row r="66" spans="1:36" ht="15.75" customHeight="1">
      <c r="A66" s="27"/>
      <c r="B66" s="28"/>
      <c r="C66" s="29"/>
      <c r="D66" s="28"/>
      <c r="E66" s="28"/>
      <c r="F66" s="30"/>
      <c r="G66" s="28"/>
      <c r="H66" s="28"/>
      <c r="I66" s="30"/>
      <c r="J66" s="28"/>
      <c r="K66" s="28"/>
      <c r="L66" s="30"/>
      <c r="M66" s="28"/>
      <c r="N66" s="28"/>
      <c r="O66" s="30"/>
      <c r="P66" s="28"/>
      <c r="Q66" s="28"/>
      <c r="R66" s="30"/>
      <c r="S66" s="28"/>
      <c r="T66" s="28"/>
      <c r="U66" s="30"/>
      <c r="V66" s="28"/>
      <c r="W66" s="28"/>
      <c r="X66" s="30"/>
      <c r="Y66" s="28"/>
      <c r="Z66" s="28"/>
      <c r="AA66" s="30"/>
      <c r="AB66" s="28"/>
      <c r="AC66" s="28"/>
      <c r="AD66" s="30"/>
      <c r="AE66" s="32"/>
      <c r="AF66" s="33"/>
      <c r="AG66" s="34"/>
      <c r="AH66" s="16"/>
      <c r="AI66" s="17"/>
      <c r="AJ66" s="17"/>
    </row>
    <row r="67" spans="1:36" ht="15.75" customHeight="1">
      <c r="A67" s="27"/>
      <c r="B67" s="28"/>
      <c r="C67" s="29"/>
      <c r="D67" s="28"/>
      <c r="E67" s="28"/>
      <c r="F67" s="30"/>
      <c r="G67" s="28"/>
      <c r="H67" s="28"/>
      <c r="I67" s="30"/>
      <c r="J67" s="28"/>
      <c r="K67" s="28"/>
      <c r="L67" s="30"/>
      <c r="M67" s="28"/>
      <c r="N67" s="28"/>
      <c r="O67" s="30"/>
      <c r="P67" s="28"/>
      <c r="Q67" s="28"/>
      <c r="R67" s="30"/>
      <c r="S67" s="28"/>
      <c r="T67" s="28"/>
      <c r="U67" s="30"/>
      <c r="V67" s="28"/>
      <c r="W67" s="28"/>
      <c r="X67" s="30"/>
      <c r="Y67" s="28"/>
      <c r="Z67" s="28"/>
      <c r="AA67" s="30"/>
      <c r="AB67" s="28"/>
      <c r="AC67" s="28"/>
      <c r="AD67" s="30"/>
      <c r="AE67" s="32"/>
      <c r="AF67" s="33"/>
      <c r="AG67" s="34"/>
      <c r="AH67" s="16"/>
      <c r="AI67" s="17"/>
      <c r="AJ67" s="17"/>
    </row>
    <row r="68" spans="1:36" ht="15.75" customHeight="1">
      <c r="A68" s="35"/>
      <c r="B68" s="35"/>
      <c r="C68" s="36"/>
      <c r="D68" s="37"/>
      <c r="E68" s="37"/>
      <c r="F68" s="37"/>
      <c r="G68" s="37"/>
      <c r="H68" s="37"/>
      <c r="I68" s="37"/>
      <c r="J68" s="37"/>
      <c r="K68" s="37"/>
      <c r="L68" s="37"/>
      <c r="M68" s="31"/>
      <c r="N68" s="31"/>
      <c r="O68" s="31"/>
      <c r="P68" s="31"/>
      <c r="Q68" s="31"/>
      <c r="R68" s="38"/>
      <c r="S68" s="31"/>
      <c r="T68" s="31"/>
      <c r="U68" s="31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16"/>
      <c r="AI68" s="17"/>
      <c r="AJ68" s="17"/>
    </row>
    <row r="69" spans="1:36" ht="15.75" customHeight="1">
      <c r="A69" s="35"/>
      <c r="B69" s="35"/>
      <c r="C69" s="36"/>
      <c r="D69" s="37"/>
      <c r="E69" s="37"/>
      <c r="F69" s="37"/>
      <c r="G69" s="37"/>
      <c r="H69" s="37"/>
      <c r="I69" s="37"/>
      <c r="J69" s="37"/>
      <c r="K69" s="37"/>
      <c r="L69" s="37"/>
      <c r="M69" s="31"/>
      <c r="N69" s="31"/>
      <c r="O69" s="31"/>
      <c r="P69" s="31"/>
      <c r="Q69" s="31"/>
      <c r="R69" s="38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7"/>
      <c r="AF69" s="37"/>
      <c r="AG69" s="39"/>
      <c r="AH69" s="16"/>
      <c r="AI69" s="17"/>
      <c r="AJ69" s="17"/>
    </row>
    <row r="70" spans="1:36" ht="15.75" customHeight="1">
      <c r="A70" s="40"/>
      <c r="B70" s="40"/>
      <c r="C70" s="41"/>
      <c r="D70" s="24"/>
      <c r="M70" s="42"/>
      <c r="N70" s="42"/>
      <c r="O70" s="42"/>
      <c r="P70" s="42"/>
      <c r="Q70" s="42"/>
      <c r="R70" s="43"/>
      <c r="S70" s="42"/>
      <c r="T70" s="42"/>
      <c r="U70" s="42"/>
      <c r="V70" s="42"/>
      <c r="W70" s="42"/>
      <c r="X70" s="42"/>
      <c r="Y70" s="42"/>
      <c r="Z70" s="42"/>
      <c r="AA70" s="42"/>
      <c r="AB70" s="28"/>
      <c r="AC70" s="28"/>
      <c r="AD70" s="28"/>
      <c r="AE70" s="44"/>
      <c r="AF70" s="44"/>
      <c r="AG70" s="45"/>
      <c r="AH70" s="16"/>
      <c r="AI70" s="17"/>
    </row>
    <row r="71" spans="1:36" ht="15.75" customHeight="1">
      <c r="A71" s="40"/>
      <c r="B71" s="46"/>
      <c r="C71" s="47"/>
      <c r="M71" s="42"/>
      <c r="N71" s="42"/>
      <c r="O71" s="42"/>
      <c r="P71" s="42"/>
      <c r="Q71" s="42"/>
      <c r="R71" s="43"/>
      <c r="S71" s="42"/>
      <c r="T71" s="42"/>
      <c r="U71" s="42"/>
      <c r="V71" s="42"/>
      <c r="W71" s="42"/>
      <c r="X71" s="42"/>
      <c r="Y71" s="42"/>
      <c r="Z71" s="42"/>
      <c r="AA71" s="42"/>
      <c r="AB71" s="48"/>
      <c r="AC71" s="48"/>
      <c r="AD71" s="48"/>
      <c r="AE71" s="49"/>
      <c r="AF71" s="49"/>
      <c r="AG71" s="50"/>
      <c r="AH71" s="17"/>
      <c r="AI71" s="17"/>
    </row>
    <row r="72" spans="1:36" ht="15.75" customHeight="1">
      <c r="A72" s="40"/>
      <c r="B72" s="46"/>
      <c r="C72" s="47"/>
      <c r="M72" s="42"/>
      <c r="N72" s="42"/>
      <c r="O72" s="42"/>
      <c r="P72" s="42"/>
      <c r="Q72" s="42"/>
      <c r="R72" s="43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24"/>
      <c r="AF72" s="24"/>
      <c r="AG72" s="51"/>
      <c r="AH72" s="17"/>
      <c r="AI72" s="17"/>
    </row>
    <row r="73" spans="1:36" ht="15.75" customHeight="1">
      <c r="A73" s="40"/>
      <c r="B73" s="46"/>
      <c r="C73" s="47"/>
      <c r="M73" s="42"/>
      <c r="N73" s="42"/>
      <c r="O73" s="42"/>
      <c r="P73" s="42"/>
      <c r="Q73" s="42"/>
      <c r="R73" s="43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24"/>
      <c r="AF73" s="24"/>
      <c r="AG73" s="51"/>
    </row>
    <row r="74" spans="1:36" ht="15.75" customHeight="1">
      <c r="A74" s="40"/>
      <c r="B74" s="46"/>
      <c r="C74" s="47"/>
      <c r="M74" s="42"/>
      <c r="N74" s="42"/>
      <c r="O74" s="42"/>
      <c r="P74" s="42"/>
      <c r="Q74" s="42"/>
      <c r="R74" s="43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24"/>
      <c r="AF74" s="24"/>
      <c r="AG74" s="51"/>
    </row>
    <row r="75" spans="1:36" ht="15.75" customHeight="1">
      <c r="A75" s="40"/>
      <c r="B75" s="46"/>
      <c r="C75" s="47"/>
      <c r="O75" s="43"/>
      <c r="P75" s="24"/>
      <c r="Q75" s="42"/>
      <c r="R75" s="43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24"/>
      <c r="AF75" s="24"/>
      <c r="AG75" s="51"/>
    </row>
    <row r="76" spans="1:36" ht="15.75" customHeight="1">
      <c r="A76" s="40"/>
      <c r="B76" s="46"/>
      <c r="C76" s="47"/>
      <c r="O76" s="43"/>
      <c r="P76" s="24"/>
      <c r="Q76" s="42"/>
      <c r="R76" s="43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24"/>
      <c r="AF76" s="24"/>
      <c r="AG76" s="51"/>
    </row>
    <row r="77" spans="1:36" ht="15.75" customHeight="1">
      <c r="A77" s="40"/>
      <c r="B77" s="46"/>
      <c r="C77" s="47"/>
      <c r="O77" s="43"/>
      <c r="P77" s="24"/>
      <c r="Q77" s="42"/>
      <c r="R77" s="43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24"/>
      <c r="AF77" s="24"/>
      <c r="AG77" s="51"/>
    </row>
    <row r="78" spans="1:36" ht="15.75" customHeight="1">
      <c r="A78" s="40"/>
      <c r="B78" s="46"/>
      <c r="C78" s="47"/>
      <c r="O78" s="43"/>
      <c r="P78" s="24"/>
      <c r="Q78" s="42"/>
      <c r="R78" s="43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24"/>
      <c r="AF78" s="24"/>
      <c r="AG78" s="51"/>
    </row>
    <row r="79" spans="1:36" ht="15.75" customHeight="1">
      <c r="A79" s="40"/>
      <c r="B79" s="46"/>
      <c r="C79" s="47"/>
      <c r="O79" s="43"/>
      <c r="P79" s="24"/>
      <c r="Q79" s="42"/>
      <c r="R79" s="43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24"/>
      <c r="AF79" s="24"/>
      <c r="AG79" s="51"/>
      <c r="AH79" s="24"/>
      <c r="AI79" s="24"/>
    </row>
    <row r="80" spans="1:36" ht="15.75" customHeight="1">
      <c r="A80" s="40"/>
      <c r="B80" s="46"/>
      <c r="C80" s="47"/>
      <c r="O80" s="43"/>
      <c r="P80" s="24"/>
      <c r="Q80" s="42"/>
      <c r="R80" s="43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24"/>
      <c r="AF80" s="24"/>
      <c r="AG80" s="51"/>
      <c r="AH80" s="24"/>
      <c r="AI80" s="24"/>
    </row>
    <row r="81" spans="1:35" ht="15.75" customHeight="1">
      <c r="A81" s="40"/>
      <c r="B81" s="46"/>
      <c r="C81" s="47"/>
      <c r="O81" s="43"/>
      <c r="P81" s="24"/>
      <c r="Q81" s="42"/>
      <c r="R81" s="43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24"/>
      <c r="AF81" s="24"/>
      <c r="AG81" s="51"/>
      <c r="AH81" s="24"/>
      <c r="AI81" s="24"/>
    </row>
    <row r="82" spans="1:35" ht="15.75" customHeight="1">
      <c r="A82" s="40"/>
      <c r="B82" s="46"/>
      <c r="C82" s="47"/>
      <c r="O82" s="43"/>
      <c r="P82" s="24"/>
      <c r="Q82" s="42"/>
      <c r="R82" s="43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24"/>
      <c r="AF82" s="24"/>
      <c r="AG82" s="51"/>
      <c r="AH82" s="24"/>
      <c r="AI82" s="24"/>
    </row>
    <row r="83" spans="1:35" ht="15.75" customHeight="1">
      <c r="A83" s="40"/>
      <c r="B83" s="46"/>
      <c r="C83" s="47"/>
      <c r="O83" s="43"/>
      <c r="P83" s="24"/>
      <c r="Q83" s="42"/>
      <c r="R83" s="43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24"/>
      <c r="AF83" s="24"/>
      <c r="AG83" s="51"/>
      <c r="AH83" s="24"/>
      <c r="AI83" s="24"/>
    </row>
    <row r="84" spans="1:35" ht="15.75" customHeight="1">
      <c r="A84" s="40"/>
      <c r="B84" s="46"/>
      <c r="C84" s="47"/>
      <c r="O84" s="43"/>
      <c r="P84" s="24"/>
      <c r="Q84" s="42"/>
      <c r="R84" s="43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24"/>
      <c r="AF84" s="24"/>
      <c r="AG84" s="51"/>
      <c r="AH84" s="24"/>
      <c r="AI84" s="24"/>
    </row>
    <row r="85" spans="1:35" ht="15.75" customHeight="1">
      <c r="A85" s="40"/>
      <c r="B85" s="46"/>
      <c r="C85" s="47"/>
      <c r="O85" s="43"/>
      <c r="P85" s="24"/>
      <c r="Q85" s="42"/>
      <c r="R85" s="43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24"/>
      <c r="AF85" s="24"/>
      <c r="AG85" s="51"/>
      <c r="AH85" s="24"/>
      <c r="AI85" s="24"/>
    </row>
    <row r="86" spans="1:35" ht="15.75" customHeight="1">
      <c r="A86" s="40"/>
      <c r="B86" s="46"/>
      <c r="C86" s="47"/>
      <c r="O86" s="43"/>
      <c r="P86" s="24"/>
      <c r="Q86" s="42"/>
      <c r="R86" s="43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24"/>
      <c r="AF86" s="24"/>
      <c r="AG86" s="51"/>
      <c r="AH86" s="24"/>
      <c r="AI86" s="24"/>
    </row>
    <row r="87" spans="1:35" ht="15.75" customHeight="1">
      <c r="A87" s="40"/>
      <c r="B87" s="46"/>
      <c r="C87" s="47"/>
      <c r="O87" s="43"/>
      <c r="P87" s="24"/>
      <c r="Q87" s="42"/>
      <c r="R87" s="43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24"/>
      <c r="AF87" s="24"/>
      <c r="AG87" s="51"/>
      <c r="AH87" s="24"/>
      <c r="AI87" s="24"/>
    </row>
    <row r="88" spans="1:35" ht="15.75" customHeight="1">
      <c r="A88" s="40"/>
      <c r="B88" s="46"/>
      <c r="C88" s="47"/>
      <c r="O88" s="43"/>
      <c r="P88" s="24"/>
      <c r="Q88" s="42"/>
      <c r="R88" s="43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24"/>
      <c r="AF88" s="24"/>
      <c r="AG88" s="51"/>
      <c r="AH88" s="24"/>
      <c r="AI88" s="24"/>
    </row>
    <row r="89" spans="1:35" ht="15.75" customHeight="1">
      <c r="A89" s="40"/>
      <c r="B89" s="46"/>
      <c r="C89" s="47"/>
      <c r="O89" s="43"/>
      <c r="P89" s="24"/>
      <c r="Q89" s="42"/>
      <c r="R89" s="43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24"/>
      <c r="AF89" s="24"/>
      <c r="AG89" s="51"/>
      <c r="AH89" s="24"/>
      <c r="AI89" s="24"/>
    </row>
    <row r="90" spans="1:35" ht="15.75" customHeight="1">
      <c r="A90" s="40"/>
      <c r="B90" s="46"/>
      <c r="C90" s="47"/>
      <c r="O90" s="43"/>
      <c r="P90" s="24"/>
      <c r="Q90" s="42"/>
      <c r="R90" s="43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24"/>
      <c r="AF90" s="24"/>
      <c r="AG90" s="51"/>
      <c r="AH90" s="24"/>
      <c r="AI90" s="24"/>
    </row>
    <row r="91" spans="1:35" ht="15.75" customHeight="1">
      <c r="A91" s="40"/>
      <c r="B91" s="46"/>
      <c r="C91" s="47"/>
      <c r="O91" s="43"/>
      <c r="P91" s="24"/>
      <c r="Q91" s="42"/>
      <c r="R91" s="43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24"/>
      <c r="AF91" s="24"/>
      <c r="AG91" s="51"/>
      <c r="AH91" s="24"/>
      <c r="AI91" s="24"/>
    </row>
    <row r="92" spans="1:35" ht="15.75" customHeight="1">
      <c r="A92" s="40"/>
      <c r="B92" s="46"/>
      <c r="C92" s="47"/>
      <c r="O92" s="43"/>
      <c r="P92" s="24"/>
      <c r="Q92" s="42"/>
      <c r="R92" s="43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24"/>
      <c r="AF92" s="24"/>
      <c r="AG92" s="51"/>
      <c r="AH92" s="24"/>
      <c r="AI92" s="24"/>
    </row>
    <row r="93" spans="1:35" ht="15.75" customHeight="1">
      <c r="A93" s="40"/>
      <c r="B93" s="46"/>
      <c r="C93" s="47"/>
      <c r="O93" s="43"/>
      <c r="P93" s="24"/>
      <c r="Q93" s="42"/>
      <c r="R93" s="43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24"/>
      <c r="AF93" s="24"/>
      <c r="AG93" s="51"/>
      <c r="AH93" s="24"/>
      <c r="AI93" s="24"/>
    </row>
    <row r="94" spans="1:35" ht="15.75" customHeight="1">
      <c r="A94" s="40"/>
      <c r="B94" s="46"/>
      <c r="C94" s="47"/>
      <c r="O94" s="43"/>
      <c r="P94" s="24"/>
      <c r="Q94" s="42"/>
      <c r="R94" s="43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24"/>
      <c r="AF94" s="24"/>
      <c r="AG94" s="51"/>
      <c r="AH94" s="24"/>
      <c r="AI94" s="24"/>
    </row>
    <row r="95" spans="1:35" ht="15.75" customHeight="1">
      <c r="A95" s="40"/>
      <c r="B95" s="46"/>
      <c r="C95" s="47"/>
      <c r="O95" s="43"/>
      <c r="P95" s="24"/>
      <c r="Q95" s="42"/>
      <c r="R95" s="43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24"/>
      <c r="AF95" s="24"/>
      <c r="AG95" s="51"/>
      <c r="AH95" s="24"/>
      <c r="AI95" s="24"/>
    </row>
    <row r="96" spans="1:35" ht="15.75" customHeight="1">
      <c r="A96" s="40"/>
      <c r="B96" s="46"/>
      <c r="C96" s="47"/>
      <c r="O96" s="43"/>
      <c r="P96" s="24"/>
      <c r="Q96" s="42"/>
      <c r="R96" s="43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24"/>
      <c r="AF96" s="24"/>
      <c r="AG96" s="51"/>
      <c r="AH96" s="24"/>
      <c r="AI96" s="24"/>
    </row>
    <row r="97" spans="1:35" ht="15.75" customHeight="1">
      <c r="A97" s="40"/>
      <c r="B97" s="46"/>
      <c r="C97" s="47"/>
      <c r="O97" s="43"/>
      <c r="P97" s="24"/>
      <c r="Q97" s="42"/>
      <c r="R97" s="43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24"/>
      <c r="AF97" s="24"/>
      <c r="AG97" s="51"/>
      <c r="AH97" s="24"/>
      <c r="AI97" s="24"/>
    </row>
    <row r="98" spans="1:35" ht="15.75" customHeight="1">
      <c r="A98" s="40"/>
      <c r="B98" s="46"/>
      <c r="C98" s="47"/>
      <c r="O98" s="43"/>
      <c r="P98" s="24"/>
      <c r="Q98" s="42"/>
      <c r="R98" s="43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24"/>
      <c r="AF98" s="24"/>
      <c r="AG98" s="51"/>
      <c r="AH98" s="24"/>
      <c r="AI98" s="24"/>
    </row>
    <row r="99" spans="1:35" ht="15.75" customHeight="1">
      <c r="A99" s="40"/>
      <c r="B99" s="46"/>
      <c r="C99" s="47"/>
      <c r="O99" s="43"/>
      <c r="P99" s="24"/>
      <c r="Q99" s="42"/>
      <c r="R99" s="43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24"/>
      <c r="AF99" s="24"/>
      <c r="AG99" s="51"/>
      <c r="AH99" s="24"/>
      <c r="AI99" s="24"/>
    </row>
    <row r="100" spans="1:35" ht="15.75" customHeight="1">
      <c r="A100" s="40"/>
      <c r="B100" s="46"/>
      <c r="C100" s="47"/>
      <c r="O100" s="43"/>
      <c r="P100" s="24"/>
      <c r="Q100" s="42"/>
      <c r="R100" s="43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24"/>
      <c r="AF100" s="24"/>
      <c r="AG100" s="51"/>
      <c r="AH100" s="24"/>
      <c r="AI100" s="24"/>
    </row>
    <row r="101" spans="1:35" ht="15.75" customHeight="1">
      <c r="A101" s="40"/>
      <c r="B101" s="46"/>
      <c r="C101" s="47"/>
      <c r="O101" s="43"/>
      <c r="P101" s="24"/>
      <c r="Q101" s="42"/>
      <c r="R101" s="43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24"/>
      <c r="AF101" s="24"/>
      <c r="AG101" s="51"/>
      <c r="AH101" s="24"/>
      <c r="AI101" s="24"/>
    </row>
    <row r="102" spans="1:35" ht="15.75" customHeight="1">
      <c r="A102" s="40"/>
      <c r="B102" s="46"/>
      <c r="C102" s="47"/>
      <c r="O102" s="43"/>
      <c r="P102" s="24"/>
      <c r="Q102" s="42"/>
      <c r="R102" s="43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24"/>
      <c r="AF102" s="24"/>
      <c r="AG102" s="51"/>
      <c r="AH102" s="24"/>
      <c r="AI102" s="24"/>
    </row>
    <row r="103" spans="1:35" ht="15.75" customHeight="1">
      <c r="A103" s="40"/>
      <c r="B103" s="46"/>
      <c r="C103" s="47"/>
      <c r="O103" s="43"/>
      <c r="P103" s="24"/>
      <c r="Q103" s="42"/>
      <c r="R103" s="43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24"/>
      <c r="AF103" s="24"/>
      <c r="AG103" s="51"/>
      <c r="AH103" s="24"/>
      <c r="AI103" s="24"/>
    </row>
    <row r="104" spans="1:35" ht="15.75" customHeight="1">
      <c r="A104" s="40"/>
      <c r="B104" s="46"/>
      <c r="C104" s="47"/>
      <c r="O104" s="43"/>
      <c r="P104" s="24"/>
      <c r="Q104" s="42"/>
      <c r="R104" s="43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24"/>
      <c r="AF104" s="24"/>
      <c r="AG104" s="51"/>
      <c r="AH104" s="24"/>
      <c r="AI104" s="24"/>
    </row>
    <row r="105" spans="1:35" ht="15.75" customHeight="1">
      <c r="A105" s="40"/>
      <c r="B105" s="46"/>
      <c r="C105" s="47"/>
      <c r="O105" s="43"/>
      <c r="P105" s="24"/>
      <c r="Q105" s="42"/>
      <c r="R105" s="43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24"/>
      <c r="AF105" s="24"/>
      <c r="AG105" s="51"/>
      <c r="AH105" s="24"/>
      <c r="AI105" s="24"/>
    </row>
    <row r="106" spans="1:35" ht="15.75" customHeight="1">
      <c r="A106" s="40"/>
      <c r="B106" s="46"/>
      <c r="C106" s="47"/>
      <c r="O106" s="43"/>
      <c r="P106" s="24"/>
      <c r="Q106" s="42"/>
      <c r="R106" s="43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24"/>
      <c r="AF106" s="24"/>
      <c r="AG106" s="51"/>
      <c r="AH106" s="24"/>
      <c r="AI106" s="24"/>
    </row>
    <row r="107" spans="1:35" ht="15.75" customHeight="1">
      <c r="A107" s="40"/>
      <c r="B107" s="46"/>
      <c r="C107" s="47"/>
      <c r="O107" s="43"/>
      <c r="P107" s="24"/>
      <c r="Q107" s="42"/>
      <c r="R107" s="43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24"/>
      <c r="AF107" s="24"/>
      <c r="AG107" s="51"/>
      <c r="AH107" s="24"/>
      <c r="AI107" s="24"/>
    </row>
    <row r="108" spans="1:35" ht="15.75" customHeight="1">
      <c r="A108" s="40"/>
      <c r="B108" s="46"/>
      <c r="C108" s="47"/>
      <c r="O108" s="43"/>
      <c r="P108" s="24"/>
      <c r="Q108" s="42"/>
      <c r="R108" s="43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24"/>
      <c r="AF108" s="24"/>
      <c r="AG108" s="51"/>
      <c r="AH108" s="24"/>
      <c r="AI108" s="24"/>
    </row>
    <row r="109" spans="1:35" ht="15.75" customHeight="1">
      <c r="A109" s="40"/>
      <c r="B109" s="46"/>
      <c r="C109" s="47"/>
      <c r="O109" s="43"/>
      <c r="P109" s="24"/>
      <c r="Q109" s="42"/>
      <c r="R109" s="43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24"/>
      <c r="AF109" s="24"/>
      <c r="AG109" s="51"/>
      <c r="AH109" s="24"/>
      <c r="AI109" s="24"/>
    </row>
    <row r="110" spans="1:35" ht="15.75" customHeight="1">
      <c r="A110" s="40"/>
      <c r="B110" s="46"/>
      <c r="C110" s="47"/>
      <c r="O110" s="43"/>
      <c r="P110" s="24"/>
      <c r="Q110" s="42"/>
      <c r="R110" s="43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24"/>
      <c r="AF110" s="24"/>
      <c r="AG110" s="51"/>
      <c r="AH110" s="24"/>
      <c r="AI110" s="24"/>
    </row>
    <row r="111" spans="1:35" ht="15.75" customHeight="1">
      <c r="A111" s="40"/>
      <c r="B111" s="46"/>
      <c r="C111" s="47"/>
      <c r="O111" s="43"/>
      <c r="P111" s="24"/>
      <c r="Q111" s="42"/>
      <c r="R111" s="43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24"/>
      <c r="AF111" s="24"/>
      <c r="AG111" s="51"/>
      <c r="AH111" s="24"/>
      <c r="AI111" s="24"/>
    </row>
    <row r="112" spans="1:35" ht="15.75" customHeight="1">
      <c r="A112" s="40"/>
      <c r="B112" s="46"/>
      <c r="C112" s="47"/>
      <c r="O112" s="43"/>
      <c r="P112" s="24"/>
      <c r="Q112" s="42"/>
      <c r="R112" s="43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24"/>
      <c r="AF112" s="24"/>
      <c r="AG112" s="51"/>
      <c r="AH112" s="24"/>
      <c r="AI112" s="24"/>
    </row>
    <row r="113" spans="1:35" ht="15.75" customHeight="1">
      <c r="A113" s="40"/>
      <c r="B113" s="46"/>
      <c r="C113" s="47"/>
      <c r="O113" s="43"/>
      <c r="P113" s="24"/>
      <c r="Q113" s="42"/>
      <c r="R113" s="43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24"/>
      <c r="AF113" s="24"/>
      <c r="AG113" s="51"/>
      <c r="AH113" s="24"/>
      <c r="AI113" s="24"/>
    </row>
    <row r="114" spans="1:35" ht="15.75" customHeight="1">
      <c r="A114" s="40"/>
      <c r="B114" s="46"/>
      <c r="C114" s="47"/>
      <c r="O114" s="43"/>
      <c r="P114" s="24"/>
      <c r="Q114" s="42"/>
      <c r="R114" s="43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24"/>
      <c r="AF114" s="24"/>
      <c r="AG114" s="51"/>
      <c r="AH114" s="24"/>
      <c r="AI114" s="24"/>
    </row>
    <row r="115" spans="1:35" ht="15.75" customHeight="1">
      <c r="A115" s="40"/>
      <c r="B115" s="46"/>
      <c r="C115" s="47"/>
      <c r="O115" s="43"/>
      <c r="P115" s="24"/>
      <c r="Q115" s="42"/>
      <c r="R115" s="43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24"/>
      <c r="AF115" s="24"/>
      <c r="AG115" s="51"/>
      <c r="AH115" s="24"/>
      <c r="AI115" s="24"/>
    </row>
    <row r="116" spans="1:35" ht="15.75" customHeight="1">
      <c r="A116" s="40"/>
      <c r="B116" s="46"/>
      <c r="C116" s="47"/>
      <c r="O116" s="43"/>
      <c r="P116" s="24"/>
      <c r="Q116" s="42"/>
      <c r="R116" s="43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24"/>
      <c r="AF116" s="24"/>
      <c r="AG116" s="51"/>
      <c r="AH116" s="24"/>
      <c r="AI116" s="24"/>
    </row>
    <row r="117" spans="1:35" ht="15.75" customHeight="1">
      <c r="A117" s="40"/>
      <c r="B117" s="46"/>
      <c r="C117" s="47"/>
      <c r="O117" s="43"/>
      <c r="P117" s="24"/>
      <c r="Q117" s="42"/>
      <c r="R117" s="43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24"/>
      <c r="AF117" s="24"/>
      <c r="AG117" s="51"/>
      <c r="AH117" s="24"/>
      <c r="AI117" s="24"/>
    </row>
    <row r="118" spans="1:35" ht="15.75" customHeight="1">
      <c r="A118" s="40"/>
      <c r="B118" s="46"/>
      <c r="C118" s="47"/>
      <c r="O118" s="43"/>
      <c r="P118" s="24"/>
      <c r="Q118" s="42"/>
      <c r="R118" s="43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24"/>
      <c r="AF118" s="24"/>
      <c r="AG118" s="51"/>
      <c r="AH118" s="24"/>
      <c r="AI118" s="24"/>
    </row>
    <row r="119" spans="1:35" ht="15.75" customHeight="1">
      <c r="A119" s="40"/>
      <c r="B119" s="46"/>
      <c r="C119" s="47"/>
      <c r="O119" s="43"/>
      <c r="P119" s="24"/>
      <c r="Q119" s="42"/>
      <c r="R119" s="43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24"/>
      <c r="AF119" s="24"/>
      <c r="AG119" s="51"/>
      <c r="AH119" s="24"/>
      <c r="AI119" s="24"/>
    </row>
    <row r="120" spans="1:35" ht="15.75" customHeight="1">
      <c r="A120" s="40"/>
      <c r="B120" s="46"/>
      <c r="C120" s="47"/>
      <c r="O120" s="43"/>
      <c r="P120" s="24"/>
      <c r="Q120" s="42"/>
      <c r="R120" s="43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24"/>
      <c r="AF120" s="24"/>
      <c r="AG120" s="51"/>
      <c r="AH120" s="24"/>
      <c r="AI120" s="24"/>
    </row>
    <row r="121" spans="1:35" ht="15.75" customHeight="1">
      <c r="A121" s="40"/>
      <c r="B121" s="46"/>
      <c r="C121" s="47"/>
      <c r="O121" s="43"/>
      <c r="P121" s="24"/>
      <c r="Q121" s="42"/>
      <c r="R121" s="43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24"/>
      <c r="AF121" s="24"/>
      <c r="AG121" s="51"/>
      <c r="AH121" s="24"/>
      <c r="AI121" s="24"/>
    </row>
    <row r="122" spans="1:35" ht="15.75" customHeight="1">
      <c r="A122" s="40"/>
      <c r="B122" s="46"/>
      <c r="C122" s="47"/>
      <c r="O122" s="43"/>
      <c r="P122" s="24"/>
      <c r="Q122" s="42"/>
      <c r="R122" s="43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24"/>
      <c r="AF122" s="24"/>
      <c r="AG122" s="51"/>
      <c r="AH122" s="24"/>
      <c r="AI122" s="24"/>
    </row>
    <row r="123" spans="1:35" ht="15.75" customHeight="1">
      <c r="A123" s="40"/>
      <c r="B123" s="46"/>
      <c r="C123" s="47"/>
      <c r="O123" s="43"/>
      <c r="P123" s="24"/>
      <c r="Q123" s="42"/>
      <c r="R123" s="43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24"/>
      <c r="AF123" s="24"/>
      <c r="AG123" s="51"/>
      <c r="AH123" s="24"/>
      <c r="AI123" s="24"/>
    </row>
    <row r="124" spans="1:35" ht="15.75" customHeight="1">
      <c r="A124" s="40"/>
      <c r="B124" s="46"/>
      <c r="C124" s="47"/>
      <c r="O124" s="43"/>
      <c r="P124" s="24"/>
      <c r="Q124" s="42"/>
      <c r="R124" s="43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24"/>
      <c r="AF124" s="24"/>
      <c r="AG124" s="51"/>
      <c r="AH124" s="24"/>
      <c r="AI124" s="24"/>
    </row>
    <row r="125" spans="1:35" ht="15.75" customHeight="1">
      <c r="A125" s="40"/>
      <c r="B125" s="46"/>
      <c r="C125" s="47"/>
      <c r="O125" s="43"/>
      <c r="P125" s="24"/>
      <c r="Q125" s="42"/>
      <c r="R125" s="43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24"/>
      <c r="AF125" s="24"/>
      <c r="AG125" s="51"/>
      <c r="AH125" s="24"/>
      <c r="AI125" s="24"/>
    </row>
    <row r="126" spans="1:35" ht="15.75" customHeight="1">
      <c r="A126" s="40"/>
      <c r="B126" s="46"/>
      <c r="C126" s="47"/>
      <c r="O126" s="43"/>
      <c r="P126" s="24"/>
      <c r="Q126" s="42"/>
      <c r="R126" s="43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24"/>
      <c r="AF126" s="24"/>
      <c r="AG126" s="51"/>
      <c r="AH126" s="24"/>
      <c r="AI126" s="24"/>
    </row>
    <row r="127" spans="1:35" ht="15.75" customHeight="1">
      <c r="A127" s="40"/>
      <c r="B127" s="46"/>
      <c r="C127" s="47"/>
      <c r="O127" s="43"/>
      <c r="P127" s="24"/>
      <c r="Q127" s="42"/>
      <c r="R127" s="43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24"/>
      <c r="AF127" s="24"/>
      <c r="AG127" s="51"/>
      <c r="AH127" s="24"/>
      <c r="AI127" s="24"/>
    </row>
    <row r="128" spans="1:35" ht="15.75" customHeight="1">
      <c r="A128" s="40"/>
      <c r="B128" s="46"/>
      <c r="C128" s="47"/>
      <c r="O128" s="43"/>
      <c r="P128" s="24"/>
      <c r="Q128" s="42"/>
      <c r="R128" s="43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24"/>
      <c r="AF128" s="24"/>
      <c r="AG128" s="51"/>
      <c r="AH128" s="24"/>
      <c r="AI128" s="24"/>
    </row>
    <row r="129" spans="1:35" ht="15.75" customHeight="1">
      <c r="A129" s="40"/>
      <c r="B129" s="46"/>
      <c r="C129" s="47"/>
      <c r="O129" s="43"/>
      <c r="P129" s="24"/>
      <c r="Q129" s="42"/>
      <c r="R129" s="43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24"/>
      <c r="AF129" s="24"/>
      <c r="AG129" s="51"/>
      <c r="AH129" s="24"/>
      <c r="AI129" s="24"/>
    </row>
    <row r="130" spans="1:35" ht="15.75" customHeight="1">
      <c r="A130" s="40"/>
      <c r="B130" s="46"/>
      <c r="C130" s="47"/>
      <c r="O130" s="43"/>
      <c r="P130" s="24"/>
      <c r="Q130" s="42"/>
      <c r="R130" s="43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24"/>
      <c r="AF130" s="24"/>
      <c r="AG130" s="51"/>
      <c r="AH130" s="24"/>
      <c r="AI130" s="24"/>
    </row>
    <row r="131" spans="1:35" ht="15.75" customHeight="1">
      <c r="A131" s="40"/>
      <c r="B131" s="46"/>
      <c r="C131" s="47"/>
      <c r="O131" s="43"/>
      <c r="P131" s="24"/>
      <c r="Q131" s="42"/>
      <c r="R131" s="43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24"/>
      <c r="AF131" s="24"/>
      <c r="AG131" s="51"/>
      <c r="AH131" s="24"/>
      <c r="AI131" s="24"/>
    </row>
    <row r="132" spans="1:35" ht="15.75" customHeight="1">
      <c r="A132" s="40"/>
      <c r="B132" s="46"/>
      <c r="C132" s="47"/>
      <c r="O132" s="43"/>
      <c r="P132" s="24"/>
      <c r="Q132" s="42"/>
      <c r="R132" s="43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24"/>
      <c r="AF132" s="24"/>
      <c r="AG132" s="51"/>
      <c r="AH132" s="24"/>
      <c r="AI132" s="24"/>
    </row>
    <row r="133" spans="1:35" ht="15.75" customHeight="1">
      <c r="A133" s="40"/>
      <c r="B133" s="46"/>
      <c r="C133" s="47"/>
      <c r="O133" s="43"/>
      <c r="P133" s="24"/>
      <c r="Q133" s="42"/>
      <c r="R133" s="43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24"/>
      <c r="AF133" s="24"/>
      <c r="AG133" s="51"/>
      <c r="AH133" s="24"/>
      <c r="AI133" s="24"/>
    </row>
    <row r="134" spans="1:35" ht="15.75" customHeight="1">
      <c r="A134" s="40"/>
      <c r="B134" s="46"/>
      <c r="C134" s="47"/>
      <c r="O134" s="43"/>
      <c r="P134" s="24"/>
      <c r="Q134" s="42"/>
      <c r="R134" s="43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24"/>
      <c r="AF134" s="24"/>
      <c r="AG134" s="51"/>
      <c r="AH134" s="24"/>
      <c r="AI134" s="24"/>
    </row>
    <row r="135" spans="1:35" ht="15.75" customHeight="1">
      <c r="A135" s="40"/>
      <c r="B135" s="46"/>
      <c r="C135" s="47"/>
      <c r="O135" s="43"/>
      <c r="P135" s="24"/>
      <c r="Q135" s="42"/>
      <c r="R135" s="43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24"/>
      <c r="AF135" s="24"/>
      <c r="AG135" s="51"/>
      <c r="AH135" s="24"/>
      <c r="AI135" s="24"/>
    </row>
    <row r="136" spans="1:35" ht="15.75" customHeight="1">
      <c r="A136" s="40"/>
      <c r="B136" s="46"/>
      <c r="C136" s="47"/>
      <c r="O136" s="43"/>
      <c r="P136" s="24"/>
      <c r="Q136" s="42"/>
      <c r="R136" s="43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24"/>
      <c r="AF136" s="24"/>
      <c r="AG136" s="51"/>
      <c r="AH136" s="24"/>
      <c r="AI136" s="24"/>
    </row>
    <row r="137" spans="1:35" ht="15.75" customHeight="1">
      <c r="A137" s="40"/>
      <c r="B137" s="46"/>
      <c r="C137" s="47"/>
      <c r="O137" s="43"/>
      <c r="P137" s="24"/>
      <c r="Q137" s="42"/>
      <c r="R137" s="43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24"/>
      <c r="AF137" s="24"/>
      <c r="AG137" s="51"/>
    </row>
    <row r="138" spans="1:35" ht="15.75" customHeight="1">
      <c r="A138" s="40"/>
      <c r="B138" s="46"/>
      <c r="C138" s="47"/>
      <c r="O138" s="43"/>
      <c r="P138" s="24"/>
      <c r="Q138" s="42"/>
      <c r="R138" s="43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24"/>
      <c r="AF138" s="24"/>
      <c r="AG138" s="51"/>
    </row>
    <row r="139" spans="1:35" ht="15.75" customHeight="1">
      <c r="A139" s="40"/>
      <c r="B139" s="46"/>
      <c r="C139" s="47"/>
      <c r="O139" s="43"/>
      <c r="P139" s="24"/>
      <c r="Q139" s="42"/>
      <c r="R139" s="43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24"/>
      <c r="AF139" s="24"/>
      <c r="AG139" s="51"/>
    </row>
    <row r="140" spans="1:35" ht="15.75" customHeight="1">
      <c r="A140" s="40"/>
      <c r="B140" s="46"/>
      <c r="C140" s="47"/>
      <c r="O140" s="43"/>
      <c r="P140" s="24"/>
      <c r="Q140" s="42"/>
      <c r="R140" s="43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24"/>
      <c r="AF140" s="24"/>
      <c r="AG140" s="51"/>
    </row>
    <row r="141" spans="1:35" ht="15.75" customHeight="1">
      <c r="A141" s="40"/>
      <c r="B141" s="46"/>
      <c r="C141" s="47"/>
      <c r="O141" s="43"/>
      <c r="P141" s="24"/>
      <c r="Q141" s="42"/>
      <c r="R141" s="43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24"/>
      <c r="AF141" s="24"/>
      <c r="AG141" s="51"/>
    </row>
    <row r="142" spans="1:35" ht="15.75" customHeight="1">
      <c r="A142" s="40"/>
      <c r="B142" s="46"/>
      <c r="C142" s="47"/>
      <c r="O142" s="43"/>
      <c r="P142" s="24"/>
      <c r="Q142" s="42"/>
      <c r="R142" s="43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24"/>
      <c r="AF142" s="24"/>
      <c r="AG142" s="51"/>
    </row>
    <row r="143" spans="1:35" ht="15.75" customHeight="1">
      <c r="A143" s="40"/>
      <c r="B143" s="46"/>
      <c r="C143" s="47"/>
      <c r="O143" s="43"/>
      <c r="P143" s="24"/>
      <c r="Q143" s="42"/>
      <c r="R143" s="43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G143" s="51"/>
    </row>
    <row r="144" spans="1:35" ht="15.75" customHeight="1">
      <c r="A144" s="52"/>
      <c r="B144" s="52"/>
      <c r="C144" s="53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3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G144" s="51"/>
    </row>
    <row r="145" spans="1:33" ht="15.75" customHeight="1">
      <c r="A145" s="52"/>
      <c r="B145" s="52"/>
      <c r="C145" s="53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3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G145" s="51"/>
    </row>
    <row r="146" spans="1:33" ht="15.75" customHeight="1">
      <c r="A146" s="52"/>
      <c r="B146" s="52"/>
      <c r="C146" s="53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3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G146" s="51"/>
    </row>
    <row r="147" spans="1:33" ht="15.75" customHeight="1">
      <c r="A147" s="52"/>
      <c r="B147" s="52"/>
      <c r="C147" s="53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3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G147" s="51"/>
    </row>
    <row r="148" spans="1:33" ht="15.75" customHeight="1">
      <c r="A148" s="52"/>
      <c r="B148" s="52"/>
      <c r="C148" s="53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3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G148" s="51"/>
    </row>
    <row r="149" spans="1:33" ht="15.75" customHeight="1">
      <c r="A149" s="52"/>
      <c r="B149" s="52"/>
      <c r="C149" s="53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3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G149" s="51"/>
    </row>
    <row r="150" spans="1:33" ht="15.75" customHeight="1">
      <c r="A150" s="52"/>
      <c r="B150" s="52"/>
      <c r="C150" s="53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3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G150" s="51"/>
    </row>
    <row r="151" spans="1:33" ht="15.75" customHeight="1">
      <c r="A151" s="52"/>
      <c r="B151" s="52"/>
      <c r="C151" s="53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3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G151" s="51"/>
    </row>
    <row r="152" spans="1:33" ht="15.75" customHeight="1">
      <c r="A152" s="52"/>
      <c r="B152" s="52"/>
      <c r="C152" s="53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3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G152" s="51"/>
    </row>
    <row r="153" spans="1:33" ht="15.75" customHeight="1">
      <c r="A153" s="52"/>
      <c r="B153" s="52"/>
      <c r="C153" s="53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3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G153" s="51"/>
    </row>
    <row r="154" spans="1:33" ht="15.75" customHeight="1">
      <c r="A154" s="52"/>
      <c r="B154" s="52"/>
      <c r="C154" s="53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3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G154" s="51"/>
    </row>
    <row r="155" spans="1:33" ht="15.75" customHeight="1">
      <c r="A155" s="52"/>
      <c r="B155" s="52"/>
      <c r="C155" s="53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3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G155" s="51"/>
    </row>
    <row r="156" spans="1:33" ht="15.75" customHeight="1">
      <c r="A156" s="52"/>
      <c r="B156" s="52"/>
      <c r="C156" s="53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3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G156" s="51"/>
    </row>
    <row r="157" spans="1:33" ht="15.75" customHeight="1">
      <c r="A157" s="52"/>
      <c r="B157" s="52"/>
      <c r="C157" s="53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3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G157" s="51"/>
    </row>
    <row r="158" spans="1:33" ht="15.75" customHeight="1">
      <c r="A158" s="52"/>
      <c r="B158" s="52"/>
      <c r="C158" s="53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3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G158" s="51"/>
    </row>
    <row r="159" spans="1:33" ht="15.75" customHeight="1">
      <c r="A159" s="52"/>
      <c r="B159" s="52"/>
      <c r="C159" s="53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3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G159" s="51"/>
    </row>
    <row r="160" spans="1:33" ht="15.75" customHeight="1">
      <c r="A160" s="52"/>
      <c r="B160" s="52"/>
      <c r="C160" s="53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3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G160" s="51"/>
    </row>
    <row r="161" spans="1:33" ht="15.75" customHeight="1">
      <c r="A161" s="52"/>
      <c r="B161" s="52"/>
      <c r="C161" s="53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3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G161" s="51"/>
    </row>
    <row r="162" spans="1:33" ht="15.75" customHeight="1">
      <c r="A162" s="52"/>
      <c r="B162" s="52"/>
      <c r="C162" s="53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3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G162" s="51"/>
    </row>
    <row r="163" spans="1:33" ht="15.75" customHeight="1">
      <c r="A163" s="52"/>
      <c r="B163" s="52"/>
      <c r="C163" s="53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3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G163" s="51"/>
    </row>
    <row r="164" spans="1:33" ht="15.75" customHeight="1">
      <c r="A164" s="52"/>
      <c r="B164" s="52"/>
      <c r="C164" s="53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3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G164" s="51"/>
    </row>
    <row r="165" spans="1:33" ht="15.75" customHeight="1">
      <c r="A165" s="52"/>
      <c r="B165" s="52"/>
      <c r="C165" s="53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3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G165" s="51"/>
    </row>
    <row r="166" spans="1:33" ht="15.75" customHeight="1">
      <c r="A166" s="52"/>
      <c r="B166" s="52"/>
      <c r="C166" s="53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3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G166" s="51"/>
    </row>
    <row r="167" spans="1:33" ht="15.75" customHeight="1">
      <c r="A167" s="52"/>
      <c r="B167" s="52"/>
      <c r="C167" s="53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3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G167" s="51"/>
    </row>
    <row r="168" spans="1:33" ht="15.75" customHeight="1">
      <c r="A168" s="52"/>
      <c r="B168" s="52"/>
      <c r="C168" s="53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3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G168" s="51"/>
    </row>
    <row r="169" spans="1:33" ht="15.75" customHeight="1">
      <c r="A169" s="52"/>
      <c r="B169" s="52"/>
      <c r="C169" s="53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3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G169" s="51"/>
    </row>
    <row r="170" spans="1:33" ht="15.75" customHeight="1">
      <c r="A170" s="52"/>
      <c r="B170" s="52"/>
      <c r="C170" s="53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3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G170" s="51"/>
    </row>
    <row r="171" spans="1:33" ht="15.75" customHeight="1">
      <c r="A171" s="52"/>
      <c r="B171" s="52"/>
      <c r="C171" s="53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3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G171" s="51"/>
    </row>
    <row r="172" spans="1:33" ht="15.75" customHeight="1">
      <c r="A172" s="52"/>
      <c r="B172" s="52"/>
      <c r="C172" s="53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3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G172" s="51"/>
    </row>
    <row r="173" spans="1:33" ht="15.75" customHeight="1">
      <c r="A173" s="52"/>
      <c r="B173" s="52"/>
      <c r="C173" s="53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3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G173" s="51"/>
    </row>
    <row r="174" spans="1:33" ht="15.75" customHeight="1">
      <c r="A174" s="52"/>
      <c r="B174" s="52"/>
      <c r="C174" s="53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3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G174" s="51"/>
    </row>
    <row r="175" spans="1:33" ht="15.75" customHeight="1">
      <c r="A175" s="52"/>
      <c r="B175" s="52"/>
      <c r="C175" s="5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3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G175" s="51"/>
    </row>
    <row r="176" spans="1:33" ht="15.75" customHeight="1">
      <c r="A176" s="52"/>
      <c r="B176" s="52"/>
      <c r="C176" s="53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3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G176" s="51"/>
    </row>
    <row r="177" spans="1:33" ht="15.75" customHeight="1">
      <c r="A177" s="52"/>
      <c r="B177" s="52"/>
      <c r="C177" s="53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3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G177" s="51"/>
    </row>
    <row r="178" spans="1:33" ht="15.75" customHeight="1">
      <c r="A178" s="52"/>
      <c r="B178" s="52"/>
      <c r="C178" s="53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3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G178" s="51"/>
    </row>
    <row r="179" spans="1:33" ht="15.75" customHeight="1">
      <c r="A179" s="52"/>
      <c r="B179" s="52"/>
      <c r="C179" s="53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3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G179" s="51"/>
    </row>
    <row r="180" spans="1:33" ht="15.75" customHeight="1">
      <c r="A180" s="52"/>
      <c r="B180" s="52"/>
      <c r="C180" s="53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3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G180" s="51"/>
    </row>
    <row r="181" spans="1:33" ht="15.75" customHeight="1">
      <c r="A181" s="52"/>
      <c r="B181" s="52"/>
      <c r="C181" s="53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3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G181" s="51"/>
    </row>
    <row r="182" spans="1:33" ht="15.75" customHeight="1">
      <c r="A182" s="52"/>
      <c r="B182" s="52"/>
      <c r="C182" s="53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3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G182" s="51"/>
    </row>
    <row r="183" spans="1:33" ht="15.75" customHeight="1">
      <c r="A183" s="52"/>
      <c r="B183" s="52"/>
      <c r="C183" s="53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3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G183" s="51"/>
    </row>
    <row r="184" spans="1:33" ht="15.75" customHeight="1">
      <c r="A184" s="52"/>
      <c r="B184" s="52"/>
      <c r="C184" s="53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3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G184" s="51"/>
    </row>
    <row r="185" spans="1:33" ht="15.75" customHeight="1">
      <c r="A185" s="52"/>
      <c r="B185" s="52"/>
      <c r="C185" s="53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3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G185" s="51"/>
    </row>
    <row r="186" spans="1:33" ht="15.75" customHeight="1">
      <c r="A186" s="52"/>
      <c r="B186" s="52"/>
      <c r="C186" s="53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3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G186" s="51"/>
    </row>
    <row r="187" spans="1:33" ht="15.75" customHeight="1">
      <c r="A187" s="52"/>
      <c r="B187" s="52"/>
      <c r="C187" s="53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3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G187" s="51"/>
    </row>
    <row r="188" spans="1:33" ht="15.75" customHeight="1">
      <c r="A188" s="52"/>
      <c r="B188" s="52"/>
      <c r="C188" s="53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3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G188" s="51"/>
    </row>
    <row r="189" spans="1:33" ht="15.75" customHeight="1">
      <c r="A189" s="52"/>
      <c r="B189" s="52"/>
      <c r="C189" s="53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3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G189" s="51"/>
    </row>
    <row r="190" spans="1:33" ht="15.75" customHeight="1">
      <c r="A190" s="52"/>
      <c r="B190" s="52"/>
      <c r="C190" s="53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3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G190" s="51"/>
    </row>
    <row r="191" spans="1:33" ht="15.75" customHeight="1">
      <c r="A191" s="52"/>
      <c r="B191" s="52"/>
      <c r="C191" s="53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3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G191" s="51"/>
    </row>
    <row r="192" spans="1:33" ht="15.75" customHeight="1">
      <c r="A192" s="52"/>
      <c r="B192" s="52"/>
      <c r="C192" s="53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3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G192" s="51"/>
    </row>
    <row r="193" spans="1:33" ht="15.75" customHeight="1">
      <c r="A193" s="52"/>
      <c r="B193" s="52"/>
      <c r="C193" s="53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3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G193" s="51"/>
    </row>
    <row r="194" spans="1:33" ht="15.75" customHeight="1">
      <c r="A194" s="52"/>
      <c r="B194" s="52"/>
      <c r="C194" s="53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3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G194" s="51"/>
    </row>
    <row r="195" spans="1:33" ht="15.75" customHeight="1">
      <c r="A195" s="52"/>
      <c r="B195" s="52"/>
      <c r="C195" s="53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3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G195" s="51"/>
    </row>
    <row r="196" spans="1:33" ht="15.75" customHeight="1">
      <c r="A196" s="52"/>
      <c r="B196" s="52"/>
      <c r="C196" s="53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3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G196" s="51"/>
    </row>
    <row r="197" spans="1:33" ht="15.75" customHeight="1">
      <c r="A197" s="52"/>
      <c r="B197" s="52"/>
      <c r="C197" s="53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3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G197" s="51"/>
    </row>
    <row r="198" spans="1:33" ht="15.75" customHeight="1">
      <c r="A198" s="52"/>
      <c r="B198" s="52"/>
      <c r="C198" s="53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3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G198" s="51"/>
    </row>
    <row r="199" spans="1:33" ht="15.75" customHeight="1">
      <c r="A199" s="52"/>
      <c r="B199" s="52"/>
      <c r="C199" s="53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3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G199" s="51"/>
    </row>
    <row r="200" spans="1:33" ht="15.75" customHeight="1">
      <c r="A200" s="52"/>
      <c r="B200" s="52"/>
      <c r="C200" s="53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3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G200" s="51"/>
    </row>
    <row r="201" spans="1:33" ht="15.75" customHeight="1">
      <c r="A201" s="52"/>
      <c r="B201" s="52"/>
      <c r="C201" s="53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3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G201" s="51"/>
    </row>
    <row r="202" spans="1:33" ht="15.75" customHeight="1">
      <c r="A202" s="52"/>
      <c r="B202" s="52"/>
      <c r="C202" s="53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3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G202" s="51"/>
    </row>
    <row r="203" spans="1:33" ht="15.75" customHeight="1">
      <c r="A203" s="52"/>
      <c r="B203" s="52"/>
      <c r="C203" s="53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3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G203" s="51"/>
    </row>
    <row r="204" spans="1:33" ht="15.75" customHeight="1">
      <c r="A204" s="52"/>
      <c r="B204" s="52"/>
      <c r="C204" s="53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3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G204" s="51"/>
    </row>
    <row r="205" spans="1:33" ht="15.75" customHeight="1">
      <c r="A205" s="52"/>
      <c r="B205" s="52"/>
      <c r="C205" s="53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3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G205" s="51"/>
    </row>
    <row r="206" spans="1:33" ht="15.75" customHeight="1">
      <c r="A206" s="52"/>
      <c r="B206" s="52"/>
      <c r="C206" s="53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3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G206" s="51"/>
    </row>
    <row r="207" spans="1:33" ht="15.75" customHeight="1">
      <c r="A207" s="52"/>
      <c r="B207" s="52"/>
      <c r="C207" s="53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3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G207" s="51"/>
    </row>
    <row r="208" spans="1:33" ht="15.75" customHeight="1">
      <c r="A208" s="52"/>
      <c r="B208" s="52"/>
      <c r="C208" s="53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3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G208" s="51"/>
    </row>
    <row r="209" spans="1:33" ht="15.75" customHeight="1">
      <c r="A209" s="52"/>
      <c r="B209" s="52"/>
      <c r="C209" s="53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3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G209" s="51"/>
    </row>
    <row r="210" spans="1:33" ht="15.75" customHeight="1">
      <c r="A210" s="52"/>
      <c r="B210" s="52"/>
      <c r="C210" s="53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3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G210" s="51"/>
    </row>
    <row r="211" spans="1:33" ht="15.75" customHeight="1">
      <c r="A211" s="52"/>
      <c r="B211" s="52"/>
      <c r="C211" s="5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3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G211" s="51"/>
    </row>
    <row r="212" spans="1:33" ht="15.75" customHeight="1">
      <c r="A212" s="52"/>
      <c r="B212" s="52"/>
      <c r="C212" s="53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3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G212" s="51"/>
    </row>
    <row r="213" spans="1:33" ht="15.75" customHeight="1">
      <c r="A213" s="52"/>
      <c r="B213" s="52"/>
      <c r="C213" s="53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3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G213" s="51"/>
    </row>
    <row r="214" spans="1:33" ht="15.75" customHeight="1">
      <c r="A214" s="52"/>
      <c r="B214" s="52"/>
      <c r="C214" s="53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3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G214" s="51"/>
    </row>
    <row r="215" spans="1:33" ht="15.75" customHeight="1">
      <c r="A215" s="52"/>
      <c r="B215" s="52"/>
      <c r="C215" s="53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3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G215" s="51"/>
    </row>
    <row r="216" spans="1:33" ht="15.75" customHeight="1">
      <c r="A216" s="52"/>
      <c r="B216" s="52"/>
      <c r="C216" s="53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3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G216" s="51"/>
    </row>
    <row r="217" spans="1:33" ht="15.75" customHeight="1">
      <c r="A217" s="52"/>
      <c r="B217" s="52"/>
      <c r="C217" s="53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3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G217" s="51"/>
    </row>
    <row r="218" spans="1:33" ht="15.75" customHeight="1">
      <c r="A218" s="52"/>
      <c r="B218" s="52"/>
      <c r="C218" s="53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3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G218" s="51"/>
    </row>
    <row r="219" spans="1:33" ht="15.75" customHeight="1">
      <c r="A219" s="52"/>
      <c r="B219" s="52"/>
      <c r="C219" s="53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3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G219" s="51"/>
    </row>
    <row r="220" spans="1:33" ht="15.75" customHeight="1">
      <c r="A220" s="52"/>
      <c r="B220" s="52"/>
      <c r="C220" s="53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3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G220" s="51"/>
    </row>
    <row r="221" spans="1:33" ht="15.75" customHeight="1">
      <c r="A221" s="52"/>
      <c r="B221" s="52"/>
      <c r="C221" s="53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3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G221" s="51"/>
    </row>
    <row r="222" spans="1:33" ht="15.75" customHeight="1">
      <c r="A222" s="52"/>
      <c r="B222" s="52"/>
      <c r="C222" s="53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3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G222" s="51"/>
    </row>
    <row r="223" spans="1:33" ht="15.75" customHeight="1">
      <c r="A223" s="52"/>
      <c r="B223" s="52"/>
      <c r="C223" s="53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3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G223" s="51"/>
    </row>
    <row r="224" spans="1:33" ht="15.75" customHeight="1">
      <c r="A224" s="52"/>
      <c r="B224" s="52"/>
      <c r="C224" s="53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3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G224" s="51"/>
    </row>
    <row r="225" spans="1:33" ht="15.75" customHeight="1">
      <c r="A225" s="52"/>
      <c r="B225" s="52"/>
      <c r="C225" s="53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3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G225" s="51"/>
    </row>
    <row r="226" spans="1:33" ht="15.75" customHeight="1">
      <c r="A226" s="52"/>
      <c r="B226" s="52"/>
      <c r="C226" s="53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3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G226" s="51"/>
    </row>
    <row r="227" spans="1:33" ht="15.75" customHeight="1">
      <c r="A227" s="52"/>
      <c r="B227" s="52"/>
      <c r="C227" s="53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3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G227" s="51"/>
    </row>
    <row r="228" spans="1:33" ht="15.75" customHeight="1">
      <c r="A228" s="52"/>
      <c r="B228" s="52"/>
      <c r="C228" s="53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3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G228" s="51"/>
    </row>
    <row r="229" spans="1:33" ht="15.75" customHeight="1">
      <c r="A229" s="52"/>
      <c r="B229" s="52"/>
      <c r="C229" s="53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3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G229" s="51"/>
    </row>
    <row r="230" spans="1:33" ht="15.75" customHeight="1">
      <c r="A230" s="52"/>
      <c r="B230" s="52"/>
      <c r="C230" s="53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3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G230" s="51"/>
    </row>
    <row r="231" spans="1:33" ht="15.75" customHeight="1">
      <c r="A231" s="52"/>
      <c r="B231" s="52"/>
      <c r="C231" s="53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3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G231" s="51"/>
    </row>
    <row r="232" spans="1:33" ht="15.75" customHeight="1">
      <c r="A232" s="52"/>
      <c r="B232" s="52"/>
      <c r="C232" s="53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3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G232" s="51"/>
    </row>
    <row r="233" spans="1:33" ht="15.75" customHeight="1">
      <c r="A233" s="52"/>
      <c r="B233" s="52"/>
      <c r="C233" s="53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3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G233" s="51"/>
    </row>
    <row r="234" spans="1:33" ht="15.75" customHeight="1">
      <c r="A234" s="52"/>
      <c r="B234" s="52"/>
      <c r="C234" s="53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3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G234" s="51"/>
    </row>
    <row r="235" spans="1:33" ht="15.75" customHeight="1">
      <c r="A235" s="52"/>
      <c r="B235" s="52"/>
      <c r="C235" s="53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3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G235" s="51"/>
    </row>
    <row r="236" spans="1:33" ht="15.75" customHeight="1">
      <c r="A236" s="52"/>
      <c r="B236" s="52"/>
      <c r="C236" s="53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3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G236" s="51"/>
    </row>
    <row r="237" spans="1:33" ht="15.75" customHeight="1">
      <c r="A237" s="52"/>
      <c r="B237" s="52"/>
      <c r="C237" s="53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3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G237" s="51"/>
    </row>
    <row r="238" spans="1:33" ht="15.75" customHeight="1">
      <c r="A238" s="52"/>
      <c r="B238" s="52"/>
      <c r="C238" s="53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3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G238" s="51"/>
    </row>
    <row r="239" spans="1:33" ht="15.75" customHeight="1">
      <c r="A239" s="52"/>
      <c r="B239" s="52"/>
      <c r="C239" s="53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3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G239" s="51"/>
    </row>
    <row r="240" spans="1:33" ht="15.75" customHeight="1">
      <c r="A240" s="52"/>
      <c r="B240" s="52"/>
      <c r="C240" s="53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3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G240" s="51"/>
    </row>
    <row r="241" spans="1:33" ht="15.75" customHeight="1">
      <c r="A241" s="52"/>
      <c r="B241" s="52"/>
      <c r="C241" s="53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3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G241" s="51"/>
    </row>
    <row r="242" spans="1:33" ht="15.75" customHeight="1">
      <c r="A242" s="52"/>
      <c r="B242" s="52"/>
      <c r="C242" s="53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3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G242" s="51"/>
    </row>
    <row r="243" spans="1:33" ht="15.75" customHeight="1">
      <c r="A243" s="52"/>
      <c r="B243" s="52"/>
      <c r="C243" s="53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3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G243" s="51"/>
    </row>
    <row r="244" spans="1:33" ht="15.75" customHeight="1">
      <c r="A244" s="52"/>
      <c r="B244" s="52"/>
      <c r="C244" s="53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3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G244" s="51"/>
    </row>
    <row r="245" spans="1:33" ht="15.75" customHeight="1">
      <c r="A245" s="52"/>
      <c r="B245" s="52"/>
      <c r="C245" s="53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3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G245" s="51"/>
    </row>
    <row r="246" spans="1:33" ht="15.75" customHeight="1">
      <c r="A246" s="52"/>
      <c r="B246" s="52"/>
      <c r="C246" s="53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3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G246" s="51"/>
    </row>
    <row r="247" spans="1:33" ht="15.75" customHeight="1">
      <c r="A247" s="52"/>
      <c r="B247" s="52"/>
      <c r="C247" s="53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3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G247" s="51"/>
    </row>
    <row r="248" spans="1:33" ht="15.75" customHeight="1">
      <c r="A248" s="52"/>
      <c r="B248" s="52"/>
      <c r="C248" s="53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3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G248" s="51"/>
    </row>
    <row r="249" spans="1:33" ht="15.75" customHeight="1">
      <c r="A249" s="52"/>
      <c r="B249" s="52"/>
      <c r="C249" s="53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3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G249" s="51"/>
    </row>
    <row r="250" spans="1:33" ht="15.75" customHeight="1">
      <c r="A250" s="52"/>
      <c r="B250" s="52"/>
      <c r="C250" s="53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3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G250" s="51"/>
    </row>
    <row r="251" spans="1:33" ht="15.75" customHeight="1">
      <c r="A251" s="52"/>
      <c r="B251" s="52"/>
      <c r="C251" s="53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3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G251" s="51"/>
    </row>
    <row r="252" spans="1:33" ht="15.75" customHeight="1">
      <c r="A252" s="52"/>
      <c r="B252" s="52"/>
      <c r="C252" s="53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3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G252" s="51"/>
    </row>
    <row r="253" spans="1:33" ht="15.75" customHeight="1">
      <c r="A253" s="52"/>
      <c r="B253" s="52"/>
      <c r="C253" s="53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3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G253" s="51"/>
    </row>
    <row r="254" spans="1:33" ht="15.75" customHeight="1">
      <c r="A254" s="52"/>
      <c r="B254" s="52"/>
      <c r="C254" s="53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3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G254" s="51"/>
    </row>
    <row r="255" spans="1:33" ht="15.75" customHeight="1">
      <c r="A255" s="52"/>
      <c r="B255" s="52"/>
      <c r="C255" s="53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3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G255" s="51"/>
    </row>
    <row r="256" spans="1:33" ht="15.75" customHeight="1">
      <c r="A256" s="52"/>
      <c r="B256" s="52"/>
      <c r="C256" s="53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3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G256" s="51"/>
    </row>
    <row r="257" spans="1:33" ht="15.75" customHeight="1">
      <c r="A257" s="52"/>
      <c r="B257" s="52"/>
      <c r="C257" s="53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3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G257" s="51"/>
    </row>
    <row r="258" spans="1:33" ht="15.75" customHeight="1">
      <c r="A258" s="52"/>
      <c r="B258" s="52"/>
      <c r="C258" s="53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3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G258" s="51"/>
    </row>
    <row r="259" spans="1:33" ht="15.75" customHeight="1">
      <c r="A259" s="52"/>
      <c r="B259" s="52"/>
      <c r="C259" s="53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3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G259" s="51"/>
    </row>
    <row r="260" spans="1:33" ht="15.75" customHeight="1">
      <c r="A260" s="46"/>
      <c r="B260" s="46"/>
      <c r="C260" s="47"/>
    </row>
    <row r="261" spans="1:33" ht="15.75" customHeight="1">
      <c r="A261" s="46"/>
      <c r="B261" s="46"/>
      <c r="C261" s="47"/>
    </row>
    <row r="262" spans="1:33" ht="15.75" customHeight="1">
      <c r="A262" s="46"/>
      <c r="B262" s="46"/>
      <c r="C262" s="47"/>
    </row>
    <row r="263" spans="1:33" ht="15.75" customHeight="1">
      <c r="A263" s="46"/>
      <c r="B263" s="46"/>
      <c r="C263" s="47"/>
    </row>
    <row r="264" spans="1:33" ht="15.75" customHeight="1">
      <c r="A264" s="46"/>
      <c r="B264" s="46"/>
      <c r="C264" s="47"/>
    </row>
    <row r="265" spans="1:33" ht="15.75" customHeight="1">
      <c r="A265" s="46"/>
      <c r="B265" s="46"/>
      <c r="C265" s="47"/>
    </row>
    <row r="266" spans="1:33" ht="15.75" customHeight="1">
      <c r="A266" s="46"/>
      <c r="B266" s="46"/>
      <c r="C266" s="47"/>
    </row>
    <row r="267" spans="1:33" ht="15.75" customHeight="1">
      <c r="A267" s="46"/>
      <c r="B267" s="46"/>
      <c r="C267" s="47"/>
    </row>
    <row r="268" spans="1:33" ht="15.75" customHeight="1">
      <c r="A268" s="46"/>
      <c r="B268" s="46"/>
      <c r="C268" s="47"/>
    </row>
    <row r="269" spans="1:33" ht="15.75" customHeight="1">
      <c r="A269" s="46"/>
      <c r="B269" s="46"/>
      <c r="C269" s="47"/>
    </row>
    <row r="270" spans="1:33" ht="15.75" customHeight="1">
      <c r="A270" s="46"/>
      <c r="B270" s="46"/>
      <c r="C270" s="47"/>
    </row>
    <row r="271" spans="1:33" ht="15.75" customHeight="1">
      <c r="A271" s="46"/>
      <c r="B271" s="46"/>
      <c r="C271" s="47"/>
    </row>
    <row r="272" spans="1:33" ht="15.75" customHeight="1">
      <c r="A272" s="46"/>
      <c r="B272" s="46"/>
      <c r="C272" s="47"/>
    </row>
    <row r="273" spans="1:3" ht="15.75" customHeight="1">
      <c r="A273" s="46"/>
      <c r="B273" s="46"/>
      <c r="C273" s="47"/>
    </row>
    <row r="274" spans="1:3" ht="15.75" customHeight="1">
      <c r="A274" s="46"/>
      <c r="B274" s="46"/>
      <c r="C274" s="47"/>
    </row>
    <row r="275" spans="1:3" ht="15.75" customHeight="1">
      <c r="A275" s="46"/>
      <c r="B275" s="46"/>
      <c r="C275" s="47"/>
    </row>
    <row r="276" spans="1:3" ht="15.75" customHeight="1">
      <c r="A276" s="46"/>
      <c r="B276" s="46"/>
      <c r="C276" s="47"/>
    </row>
    <row r="277" spans="1:3" ht="15.75" customHeight="1">
      <c r="A277" s="46"/>
      <c r="B277" s="46"/>
      <c r="C277" s="47"/>
    </row>
    <row r="278" spans="1:3" ht="15.75" customHeight="1">
      <c r="A278" s="46"/>
      <c r="B278" s="46"/>
      <c r="C278" s="47"/>
    </row>
    <row r="279" spans="1:3" ht="15.75" customHeight="1">
      <c r="A279" s="46"/>
      <c r="B279" s="46"/>
      <c r="C279" s="47"/>
    </row>
    <row r="280" spans="1:3" ht="15.75" customHeight="1">
      <c r="A280" s="46"/>
      <c r="B280" s="46"/>
      <c r="C280" s="47"/>
    </row>
    <row r="281" spans="1:3" ht="15.75" customHeight="1">
      <c r="A281" s="46"/>
      <c r="B281" s="46"/>
      <c r="C281" s="47"/>
    </row>
    <row r="282" spans="1:3" ht="15.75" customHeight="1">
      <c r="A282" s="46"/>
      <c r="B282" s="46"/>
      <c r="C282" s="47"/>
    </row>
    <row r="283" spans="1:3" ht="15.75" customHeight="1">
      <c r="A283" s="46"/>
      <c r="B283" s="46"/>
      <c r="C283" s="47"/>
    </row>
    <row r="284" spans="1:3" ht="15.75" customHeight="1">
      <c r="A284" s="46"/>
      <c r="B284" s="46"/>
      <c r="C284" s="47"/>
    </row>
    <row r="285" spans="1:3" ht="15.75" customHeight="1">
      <c r="A285" s="46"/>
      <c r="B285" s="46"/>
      <c r="C285" s="47"/>
    </row>
    <row r="286" spans="1:3" ht="15.75" customHeight="1">
      <c r="A286" s="46"/>
      <c r="B286" s="46"/>
      <c r="C286" s="47"/>
    </row>
    <row r="287" spans="1:3" ht="15.75" customHeight="1">
      <c r="A287" s="46"/>
      <c r="B287" s="46"/>
      <c r="C287" s="47"/>
    </row>
    <row r="288" spans="1:3" ht="15.75" customHeight="1">
      <c r="A288" s="46"/>
      <c r="B288" s="46"/>
      <c r="C288" s="47"/>
    </row>
    <row r="289" spans="1:3" ht="15.75" customHeight="1">
      <c r="A289" s="46"/>
      <c r="B289" s="46"/>
      <c r="C289" s="47"/>
    </row>
    <row r="290" spans="1:3" ht="15.75" customHeight="1">
      <c r="A290" s="46"/>
      <c r="B290" s="46"/>
      <c r="C290" s="47"/>
    </row>
    <row r="291" spans="1:3" ht="15.75" customHeight="1">
      <c r="A291" s="46"/>
      <c r="B291" s="46"/>
      <c r="C291" s="47"/>
    </row>
    <row r="292" spans="1:3" ht="15.75" customHeight="1">
      <c r="A292" s="46"/>
      <c r="B292" s="46"/>
      <c r="C292" s="47"/>
    </row>
    <row r="293" spans="1:3" ht="15.75" customHeight="1">
      <c r="A293" s="46"/>
      <c r="B293" s="46"/>
      <c r="C293" s="47"/>
    </row>
    <row r="294" spans="1:3" ht="15.75" customHeight="1">
      <c r="A294" s="46"/>
      <c r="B294" s="46"/>
      <c r="C294" s="47"/>
    </row>
    <row r="295" spans="1:3" ht="15.75" customHeight="1">
      <c r="A295" s="46"/>
      <c r="B295" s="46"/>
      <c r="C295" s="47"/>
    </row>
    <row r="296" spans="1:3" ht="15.75" customHeight="1">
      <c r="A296" s="46"/>
      <c r="B296" s="46"/>
      <c r="C296" s="47"/>
    </row>
    <row r="297" spans="1:3" ht="15.75" customHeight="1">
      <c r="A297" s="46"/>
      <c r="B297" s="46"/>
      <c r="C297" s="47"/>
    </row>
    <row r="298" spans="1:3" ht="15.75" customHeight="1">
      <c r="A298" s="46"/>
      <c r="B298" s="46"/>
      <c r="C298" s="47"/>
    </row>
    <row r="299" spans="1:3" ht="15.75" customHeight="1">
      <c r="A299" s="46"/>
      <c r="B299" s="46"/>
      <c r="C299" s="47"/>
    </row>
    <row r="300" spans="1:3" ht="15.75" customHeight="1">
      <c r="A300" s="46"/>
      <c r="B300" s="46"/>
      <c r="C300" s="47"/>
    </row>
    <row r="301" spans="1:3" ht="15.75" customHeight="1">
      <c r="A301" s="46"/>
      <c r="B301" s="46"/>
      <c r="C301" s="47"/>
    </row>
    <row r="302" spans="1:3" ht="15.75" customHeight="1">
      <c r="A302" s="46"/>
      <c r="B302" s="46"/>
      <c r="C302" s="47"/>
    </row>
    <row r="303" spans="1:3" ht="15.75" customHeight="1">
      <c r="A303" s="46"/>
      <c r="B303" s="46"/>
      <c r="C303" s="47"/>
    </row>
    <row r="304" spans="1:3" ht="15.75" customHeight="1">
      <c r="A304" s="46"/>
      <c r="B304" s="46"/>
      <c r="C304" s="47"/>
    </row>
    <row r="305" spans="1:3" ht="15.75" customHeight="1">
      <c r="A305" s="46"/>
      <c r="B305" s="46"/>
      <c r="C305" s="47"/>
    </row>
    <row r="306" spans="1:3" ht="15.75" customHeight="1">
      <c r="A306" s="46"/>
      <c r="B306" s="46"/>
      <c r="C306" s="47"/>
    </row>
    <row r="307" spans="1:3" ht="15.75" customHeight="1">
      <c r="A307" s="46"/>
      <c r="B307" s="46"/>
      <c r="C307" s="47"/>
    </row>
    <row r="308" spans="1:3" ht="15.75" customHeight="1">
      <c r="A308" s="46"/>
      <c r="B308" s="46"/>
      <c r="C308" s="47"/>
    </row>
    <row r="309" spans="1:3" ht="15.75" customHeight="1">
      <c r="A309" s="46"/>
      <c r="B309" s="46"/>
      <c r="C309" s="47"/>
    </row>
    <row r="310" spans="1:3" ht="15.75" customHeight="1">
      <c r="A310" s="46"/>
      <c r="B310" s="46"/>
      <c r="C310" s="47"/>
    </row>
    <row r="311" spans="1:3" ht="15.75" customHeight="1">
      <c r="A311" s="46"/>
      <c r="B311" s="46"/>
      <c r="C311" s="47"/>
    </row>
    <row r="312" spans="1:3" ht="15.75" customHeight="1">
      <c r="A312" s="46"/>
      <c r="B312" s="46"/>
      <c r="C312" s="47"/>
    </row>
    <row r="313" spans="1:3" ht="15.75" customHeight="1">
      <c r="A313" s="46"/>
      <c r="B313" s="46"/>
      <c r="C313" s="47"/>
    </row>
    <row r="314" spans="1:3" ht="15.75" customHeight="1">
      <c r="A314" s="46"/>
      <c r="B314" s="46"/>
      <c r="C314" s="47"/>
    </row>
    <row r="315" spans="1:3" ht="15.75" customHeight="1">
      <c r="A315" s="46"/>
      <c r="B315" s="46"/>
      <c r="C315" s="47"/>
    </row>
    <row r="316" spans="1:3" ht="15.75" customHeight="1">
      <c r="A316" s="46"/>
      <c r="B316" s="46"/>
      <c r="C316" s="47"/>
    </row>
    <row r="317" spans="1:3" ht="15.75" customHeight="1">
      <c r="A317" s="46"/>
      <c r="B317" s="46"/>
      <c r="C317" s="47"/>
    </row>
    <row r="318" spans="1:3" ht="15.75" customHeight="1">
      <c r="A318" s="46"/>
      <c r="B318" s="46"/>
      <c r="C318" s="47"/>
    </row>
    <row r="319" spans="1:3" ht="15.75" customHeight="1">
      <c r="A319" s="46"/>
      <c r="B319" s="46"/>
      <c r="C319" s="47"/>
    </row>
    <row r="320" spans="1:3" ht="15.75" customHeight="1">
      <c r="A320" s="46"/>
      <c r="B320" s="46"/>
      <c r="C320" s="47"/>
    </row>
    <row r="321" spans="1:3" ht="15.75" customHeight="1">
      <c r="A321" s="46"/>
      <c r="B321" s="46"/>
      <c r="C321" s="47"/>
    </row>
    <row r="322" spans="1:3" ht="15.75" customHeight="1">
      <c r="A322" s="46"/>
      <c r="B322" s="46"/>
      <c r="C322" s="47"/>
    </row>
    <row r="323" spans="1:3" ht="15.75" customHeight="1">
      <c r="A323" s="46"/>
      <c r="B323" s="46"/>
      <c r="C323" s="47"/>
    </row>
    <row r="324" spans="1:3" ht="15.75" customHeight="1">
      <c r="A324" s="46"/>
      <c r="B324" s="46"/>
      <c r="C324" s="47"/>
    </row>
    <row r="325" spans="1:3" ht="15.75" customHeight="1">
      <c r="A325" s="46"/>
      <c r="B325" s="46"/>
      <c r="C325" s="47"/>
    </row>
    <row r="326" spans="1:3" ht="15.75" customHeight="1">
      <c r="A326" s="46"/>
      <c r="B326" s="46"/>
      <c r="C326" s="47"/>
    </row>
    <row r="327" spans="1:3" ht="15.75" customHeight="1">
      <c r="A327" s="46"/>
      <c r="B327" s="46"/>
      <c r="C327" s="47"/>
    </row>
    <row r="328" spans="1:3" ht="15.75" customHeight="1">
      <c r="A328" s="46"/>
      <c r="B328" s="46"/>
      <c r="C328" s="47"/>
    </row>
    <row r="329" spans="1:3" ht="15.75" customHeight="1">
      <c r="A329" s="46"/>
      <c r="B329" s="46"/>
      <c r="C329" s="47"/>
    </row>
    <row r="330" spans="1:3" ht="15.75" customHeight="1">
      <c r="A330" s="46"/>
      <c r="B330" s="46"/>
      <c r="C330" s="47"/>
    </row>
    <row r="331" spans="1:3" ht="15.75" customHeight="1">
      <c r="A331" s="46"/>
      <c r="B331" s="46"/>
      <c r="C331" s="47"/>
    </row>
    <row r="332" spans="1:3" ht="15.75" customHeight="1">
      <c r="A332" s="46"/>
      <c r="B332" s="46"/>
      <c r="C332" s="47"/>
    </row>
    <row r="333" spans="1:3" ht="15.75" customHeight="1">
      <c r="A333" s="46"/>
      <c r="B333" s="46"/>
      <c r="C333" s="47"/>
    </row>
    <row r="334" spans="1:3" ht="15.75" customHeight="1">
      <c r="A334" s="46"/>
      <c r="B334" s="46"/>
      <c r="C334" s="47"/>
    </row>
    <row r="335" spans="1:3" ht="15.75" customHeight="1">
      <c r="A335" s="46"/>
      <c r="B335" s="46"/>
      <c r="C335" s="47"/>
    </row>
    <row r="336" spans="1:3" ht="15.75" customHeight="1">
      <c r="A336" s="46"/>
      <c r="B336" s="46"/>
      <c r="C336" s="47"/>
    </row>
    <row r="337" spans="1:3" ht="15.75" customHeight="1">
      <c r="A337" s="46"/>
      <c r="B337" s="46"/>
      <c r="C337" s="47"/>
    </row>
    <row r="338" spans="1:3" ht="15.75" customHeight="1">
      <c r="A338" s="46"/>
      <c r="B338" s="46"/>
      <c r="C338" s="47"/>
    </row>
    <row r="339" spans="1:3" ht="15.75" customHeight="1">
      <c r="A339" s="46"/>
      <c r="B339" s="46"/>
      <c r="C339" s="47"/>
    </row>
    <row r="340" spans="1:3" ht="15.75" customHeight="1">
      <c r="A340" s="46"/>
      <c r="B340" s="46"/>
      <c r="C340" s="47"/>
    </row>
    <row r="341" spans="1:3" ht="15.75" customHeight="1">
      <c r="A341" s="46"/>
      <c r="B341" s="46"/>
      <c r="C341" s="47"/>
    </row>
    <row r="342" spans="1:3" ht="15.75" customHeight="1">
      <c r="A342" s="46"/>
      <c r="B342" s="46"/>
      <c r="C342" s="47"/>
    </row>
    <row r="343" spans="1:3" ht="15.75" customHeight="1">
      <c r="A343" s="46"/>
      <c r="B343" s="46"/>
      <c r="C343" s="47"/>
    </row>
    <row r="344" spans="1:3" ht="15.75" customHeight="1">
      <c r="A344" s="46"/>
      <c r="B344" s="46"/>
      <c r="C344" s="47"/>
    </row>
    <row r="345" spans="1:3" ht="15.75" customHeight="1">
      <c r="A345" s="46"/>
      <c r="B345" s="46"/>
      <c r="C345" s="47"/>
    </row>
    <row r="346" spans="1:3" ht="15.75" customHeight="1">
      <c r="A346" s="46"/>
      <c r="B346" s="46"/>
      <c r="C346" s="47"/>
    </row>
    <row r="347" spans="1:3" ht="15.75" customHeight="1">
      <c r="A347" s="46"/>
      <c r="B347" s="46"/>
      <c r="C347" s="47"/>
    </row>
    <row r="348" spans="1:3" ht="15.75" customHeight="1">
      <c r="A348" s="46"/>
      <c r="B348" s="46"/>
      <c r="C348" s="47"/>
    </row>
    <row r="349" spans="1:3" ht="15.75" customHeight="1">
      <c r="A349" s="46"/>
      <c r="B349" s="46"/>
      <c r="C349" s="47"/>
    </row>
    <row r="350" spans="1:3" ht="15.75" customHeight="1">
      <c r="A350" s="46"/>
      <c r="B350" s="46"/>
      <c r="C350" s="47"/>
    </row>
    <row r="351" spans="1:3" ht="15.75" customHeight="1">
      <c r="A351" s="46"/>
      <c r="B351" s="46"/>
      <c r="C351" s="47"/>
    </row>
    <row r="352" spans="1:3" ht="15.75" customHeight="1">
      <c r="A352" s="46"/>
      <c r="B352" s="46"/>
      <c r="C352" s="47"/>
    </row>
    <row r="353" spans="1:3" ht="15.75" customHeight="1">
      <c r="A353" s="46"/>
      <c r="B353" s="46"/>
      <c r="C353" s="47"/>
    </row>
    <row r="354" spans="1:3" ht="15.75" customHeight="1">
      <c r="A354" s="46"/>
      <c r="B354" s="46"/>
      <c r="C354" s="47"/>
    </row>
    <row r="355" spans="1:3" ht="15.75" customHeight="1">
      <c r="A355" s="46"/>
      <c r="B355" s="46"/>
      <c r="C355" s="47"/>
    </row>
    <row r="356" spans="1:3" ht="15.75" customHeight="1">
      <c r="A356" s="46"/>
      <c r="B356" s="46"/>
      <c r="C356" s="47"/>
    </row>
    <row r="357" spans="1:3" ht="15.75" customHeight="1">
      <c r="A357" s="46"/>
      <c r="B357" s="46"/>
      <c r="C357" s="47"/>
    </row>
    <row r="358" spans="1:3" ht="15.75" customHeight="1">
      <c r="A358" s="46"/>
      <c r="B358" s="46"/>
      <c r="C358" s="47"/>
    </row>
    <row r="359" spans="1:3" ht="15.75" customHeight="1">
      <c r="A359" s="46"/>
      <c r="B359" s="46"/>
      <c r="C359" s="47"/>
    </row>
    <row r="360" spans="1:3" ht="15.75" customHeight="1">
      <c r="A360" s="46"/>
      <c r="B360" s="46"/>
      <c r="C360" s="47"/>
    </row>
    <row r="361" spans="1:3" ht="15.75" customHeight="1">
      <c r="A361" s="46"/>
      <c r="B361" s="46"/>
      <c r="C361" s="47"/>
    </row>
    <row r="362" spans="1:3" ht="15.75" customHeight="1">
      <c r="A362" s="46"/>
      <c r="B362" s="46"/>
      <c r="C362" s="47"/>
    </row>
    <row r="363" spans="1:3" ht="15.75" customHeight="1">
      <c r="A363" s="46"/>
      <c r="B363" s="46"/>
      <c r="C363" s="47"/>
    </row>
    <row r="364" spans="1:3" ht="15.75" customHeight="1">
      <c r="A364" s="46"/>
      <c r="B364" s="46"/>
      <c r="C364" s="47"/>
    </row>
    <row r="365" spans="1:3" ht="15.75" customHeight="1">
      <c r="A365" s="46"/>
      <c r="B365" s="46"/>
      <c r="C365" s="47"/>
    </row>
    <row r="366" spans="1:3" ht="15.75" customHeight="1">
      <c r="A366" s="46"/>
      <c r="B366" s="46"/>
      <c r="C366" s="47"/>
    </row>
    <row r="367" spans="1:3" ht="15.75" customHeight="1">
      <c r="A367" s="46"/>
      <c r="B367" s="46"/>
      <c r="C367" s="47"/>
    </row>
    <row r="368" spans="1:3" ht="15.75" customHeight="1">
      <c r="A368" s="46"/>
      <c r="B368" s="46"/>
      <c r="C368" s="47"/>
    </row>
    <row r="369" spans="1:3" ht="15.75" customHeight="1">
      <c r="A369" s="46"/>
      <c r="B369" s="46"/>
      <c r="C369" s="47"/>
    </row>
    <row r="370" spans="1:3" ht="15.75" customHeight="1">
      <c r="A370" s="46"/>
      <c r="B370" s="46"/>
      <c r="C370" s="47"/>
    </row>
    <row r="371" spans="1:3" ht="15.75" customHeight="1">
      <c r="A371" s="46"/>
      <c r="B371" s="46"/>
      <c r="C371" s="47"/>
    </row>
    <row r="372" spans="1:3" ht="15.75" customHeight="1">
      <c r="A372" s="46"/>
      <c r="B372" s="46"/>
      <c r="C372" s="47"/>
    </row>
    <row r="373" spans="1:3" ht="15.75" customHeight="1">
      <c r="A373" s="46"/>
      <c r="B373" s="46"/>
      <c r="C373" s="47"/>
    </row>
    <row r="374" spans="1:3" ht="15.75" customHeight="1">
      <c r="A374" s="46"/>
      <c r="B374" s="46"/>
      <c r="C374" s="47"/>
    </row>
    <row r="375" spans="1:3" ht="15.75" customHeight="1">
      <c r="A375" s="46"/>
      <c r="B375" s="46"/>
      <c r="C375" s="47"/>
    </row>
    <row r="376" spans="1:3" ht="15.75" customHeight="1">
      <c r="A376" s="46"/>
      <c r="B376" s="46"/>
      <c r="C376" s="47"/>
    </row>
    <row r="377" spans="1:3" ht="15.75" customHeight="1">
      <c r="A377" s="46"/>
      <c r="B377" s="46"/>
      <c r="C377" s="47"/>
    </row>
    <row r="378" spans="1:3" ht="15.75" customHeight="1">
      <c r="A378" s="46"/>
      <c r="B378" s="46"/>
      <c r="C378" s="47"/>
    </row>
    <row r="379" spans="1:3" ht="15.75" customHeight="1">
      <c r="A379" s="46"/>
      <c r="B379" s="46"/>
      <c r="C379" s="47"/>
    </row>
    <row r="380" spans="1:3" ht="15.75" customHeight="1">
      <c r="A380" s="46"/>
      <c r="B380" s="46"/>
      <c r="C380" s="47"/>
    </row>
    <row r="381" spans="1:3" ht="15.75" customHeight="1">
      <c r="A381" s="46"/>
      <c r="B381" s="46"/>
      <c r="C381" s="47"/>
    </row>
    <row r="382" spans="1:3" ht="15.75" customHeight="1">
      <c r="A382" s="46"/>
      <c r="B382" s="46"/>
      <c r="C382" s="47"/>
    </row>
    <row r="383" spans="1:3" ht="15.75" customHeight="1">
      <c r="A383" s="46"/>
      <c r="B383" s="46"/>
      <c r="C383" s="47"/>
    </row>
    <row r="384" spans="1:3" ht="15.75" customHeight="1">
      <c r="A384" s="46"/>
      <c r="B384" s="46"/>
      <c r="C384" s="47"/>
    </row>
    <row r="385" spans="1:3" ht="15.75" customHeight="1">
      <c r="A385" s="46"/>
      <c r="B385" s="46"/>
      <c r="C385" s="47"/>
    </row>
    <row r="386" spans="1:3" ht="15.75" customHeight="1">
      <c r="A386" s="46"/>
      <c r="B386" s="46"/>
      <c r="C386" s="47"/>
    </row>
    <row r="387" spans="1:3" ht="15.75" customHeight="1">
      <c r="A387" s="46"/>
      <c r="B387" s="46"/>
      <c r="C387" s="47"/>
    </row>
    <row r="388" spans="1:3" ht="15.75" customHeight="1">
      <c r="A388" s="46"/>
      <c r="B388" s="46"/>
      <c r="C388" s="47"/>
    </row>
    <row r="389" spans="1:3" ht="15.75" customHeight="1">
      <c r="A389" s="46"/>
      <c r="B389" s="46"/>
      <c r="C389" s="47"/>
    </row>
    <row r="390" spans="1:3" ht="15.75" customHeight="1">
      <c r="A390" s="46"/>
      <c r="B390" s="46"/>
      <c r="C390" s="47"/>
    </row>
    <row r="391" spans="1:3" ht="15.75" customHeight="1">
      <c r="A391" s="46"/>
      <c r="B391" s="46"/>
      <c r="C391" s="47"/>
    </row>
    <row r="392" spans="1:3" ht="15.75" customHeight="1">
      <c r="A392" s="46"/>
      <c r="B392" s="46"/>
      <c r="C392" s="47"/>
    </row>
    <row r="393" spans="1:3" ht="15.75" customHeight="1">
      <c r="A393" s="46"/>
      <c r="B393" s="46"/>
      <c r="C393" s="47"/>
    </row>
    <row r="394" spans="1:3" ht="15.75" customHeight="1">
      <c r="A394" s="46"/>
      <c r="B394" s="46"/>
      <c r="C394" s="47"/>
    </row>
    <row r="395" spans="1:3" ht="15.75" customHeight="1">
      <c r="A395" s="46"/>
      <c r="B395" s="46"/>
      <c r="C395" s="47"/>
    </row>
    <row r="396" spans="1:3" ht="15.75" customHeight="1">
      <c r="A396" s="46"/>
      <c r="B396" s="46"/>
      <c r="C396" s="47"/>
    </row>
    <row r="397" spans="1:3" ht="15.75" customHeight="1">
      <c r="A397" s="46"/>
      <c r="B397" s="46"/>
      <c r="C397" s="47"/>
    </row>
    <row r="398" spans="1:3" ht="15.75" customHeight="1">
      <c r="A398" s="46"/>
      <c r="B398" s="46"/>
      <c r="C398" s="47"/>
    </row>
    <row r="399" spans="1:3" ht="15.75" customHeight="1">
      <c r="A399" s="46"/>
      <c r="B399" s="46"/>
      <c r="C399" s="47"/>
    </row>
    <row r="400" spans="1:3" ht="15.75" customHeight="1">
      <c r="A400" s="46"/>
      <c r="B400" s="46"/>
      <c r="C400" s="47"/>
    </row>
    <row r="401" spans="1:3" ht="15.75" customHeight="1">
      <c r="A401" s="46"/>
      <c r="B401" s="46"/>
      <c r="C401" s="47"/>
    </row>
    <row r="402" spans="1:3" ht="15.75" customHeight="1">
      <c r="A402" s="46"/>
      <c r="B402" s="46"/>
      <c r="C402" s="47"/>
    </row>
    <row r="403" spans="1:3" ht="15.75" customHeight="1">
      <c r="A403" s="46"/>
      <c r="B403" s="46"/>
      <c r="C403" s="47"/>
    </row>
    <row r="404" spans="1:3" ht="15.75" customHeight="1">
      <c r="A404" s="46"/>
      <c r="B404" s="46"/>
      <c r="C404" s="47"/>
    </row>
    <row r="405" spans="1:3" ht="15.75" customHeight="1">
      <c r="A405" s="46"/>
      <c r="B405" s="46"/>
      <c r="C405" s="47"/>
    </row>
    <row r="406" spans="1:3" ht="15.75" customHeight="1">
      <c r="A406" s="46"/>
      <c r="B406" s="46"/>
      <c r="C406" s="47"/>
    </row>
    <row r="407" spans="1:3" ht="15.75" customHeight="1">
      <c r="A407" s="46"/>
      <c r="B407" s="46"/>
      <c r="C407" s="47"/>
    </row>
    <row r="408" spans="1:3" ht="15.75" customHeight="1">
      <c r="A408" s="46"/>
      <c r="B408" s="46"/>
      <c r="C408" s="47"/>
    </row>
    <row r="409" spans="1:3" ht="15.75" customHeight="1">
      <c r="A409" s="46"/>
      <c r="B409" s="46"/>
      <c r="C409" s="47"/>
    </row>
    <row r="410" spans="1:3" ht="15.75" customHeight="1">
      <c r="A410" s="46"/>
      <c r="B410" s="46"/>
      <c r="C410" s="47"/>
    </row>
    <row r="411" spans="1:3" ht="15.75" customHeight="1">
      <c r="A411" s="46"/>
      <c r="B411" s="46"/>
      <c r="C411" s="47"/>
    </row>
    <row r="412" spans="1:3" ht="15.75" customHeight="1">
      <c r="A412" s="46"/>
      <c r="B412" s="46"/>
      <c r="C412" s="47"/>
    </row>
    <row r="413" spans="1:3" ht="15.75" customHeight="1">
      <c r="A413" s="46"/>
      <c r="B413" s="46"/>
      <c r="C413" s="47"/>
    </row>
    <row r="414" spans="1:3" ht="15.75" customHeight="1">
      <c r="A414" s="46"/>
      <c r="B414" s="46"/>
      <c r="C414" s="47"/>
    </row>
    <row r="415" spans="1:3" ht="15.75" customHeight="1">
      <c r="A415" s="46"/>
      <c r="B415" s="46"/>
      <c r="C415" s="47"/>
    </row>
    <row r="416" spans="1:3" ht="15.75" customHeight="1">
      <c r="A416" s="46"/>
      <c r="B416" s="46"/>
      <c r="C416" s="47"/>
    </row>
    <row r="417" spans="1:3" ht="15.75" customHeight="1">
      <c r="A417" s="46"/>
      <c r="B417" s="46"/>
      <c r="C417" s="47"/>
    </row>
    <row r="418" spans="1:3" ht="15.75" customHeight="1">
      <c r="A418" s="46"/>
      <c r="B418" s="46"/>
      <c r="C418" s="47"/>
    </row>
    <row r="419" spans="1:3" ht="15.75" customHeight="1">
      <c r="A419" s="46"/>
      <c r="B419" s="46"/>
      <c r="C419" s="47"/>
    </row>
    <row r="420" spans="1:3" ht="15.75" customHeight="1">
      <c r="A420" s="46"/>
      <c r="B420" s="46"/>
      <c r="C420" s="47"/>
    </row>
    <row r="421" spans="1:3" ht="15.75" customHeight="1">
      <c r="A421" s="46"/>
      <c r="B421" s="46"/>
      <c r="C421" s="47"/>
    </row>
    <row r="422" spans="1:3" ht="15.75" customHeight="1">
      <c r="A422" s="46"/>
      <c r="B422" s="46"/>
      <c r="C422" s="47"/>
    </row>
    <row r="423" spans="1:3" ht="15.75" customHeight="1">
      <c r="A423" s="46"/>
      <c r="B423" s="46"/>
      <c r="C423" s="47"/>
    </row>
    <row r="424" spans="1:3" ht="15.75" customHeight="1">
      <c r="A424" s="46"/>
      <c r="B424" s="46"/>
      <c r="C424" s="47"/>
    </row>
    <row r="425" spans="1:3" ht="15.75" customHeight="1">
      <c r="A425" s="46"/>
      <c r="B425" s="46"/>
      <c r="C425" s="47"/>
    </row>
    <row r="426" spans="1:3" ht="15.75" customHeight="1">
      <c r="A426" s="46"/>
      <c r="B426" s="46"/>
      <c r="C426" s="47"/>
    </row>
    <row r="427" spans="1:3" ht="15.75" customHeight="1">
      <c r="A427" s="46"/>
      <c r="B427" s="46"/>
      <c r="C427" s="47"/>
    </row>
    <row r="428" spans="1:3" ht="15.75" customHeight="1">
      <c r="A428" s="46"/>
      <c r="B428" s="46"/>
      <c r="C428" s="47"/>
    </row>
    <row r="429" spans="1:3" ht="15.75" customHeight="1">
      <c r="A429" s="46"/>
      <c r="B429" s="46"/>
      <c r="C429" s="47"/>
    </row>
    <row r="430" spans="1:3" ht="15.75" customHeight="1">
      <c r="A430" s="46"/>
      <c r="B430" s="46"/>
      <c r="C430" s="47"/>
    </row>
    <row r="431" spans="1:3" ht="15.75" customHeight="1">
      <c r="A431" s="46"/>
      <c r="B431" s="46"/>
      <c r="C431" s="47"/>
    </row>
    <row r="432" spans="1:3" ht="15.75" customHeight="1">
      <c r="A432" s="46"/>
      <c r="B432" s="46"/>
      <c r="C432" s="47"/>
    </row>
    <row r="433" spans="1:3" ht="15.75" customHeight="1">
      <c r="A433" s="46"/>
      <c r="B433" s="46"/>
      <c r="C433" s="47"/>
    </row>
    <row r="434" spans="1:3" ht="15.75" customHeight="1">
      <c r="A434" s="46"/>
      <c r="B434" s="46"/>
      <c r="C434" s="47"/>
    </row>
    <row r="435" spans="1:3" ht="15.75" customHeight="1">
      <c r="A435" s="46"/>
      <c r="B435" s="46"/>
      <c r="C435" s="47"/>
    </row>
    <row r="436" spans="1:3" ht="15.75" customHeight="1">
      <c r="A436" s="46"/>
      <c r="B436" s="46"/>
      <c r="C436" s="47"/>
    </row>
    <row r="437" spans="1:3" ht="15.75" customHeight="1">
      <c r="A437" s="46"/>
      <c r="B437" s="46"/>
      <c r="C437" s="47"/>
    </row>
    <row r="438" spans="1:3" ht="15.75" customHeight="1">
      <c r="A438" s="46"/>
      <c r="B438" s="46"/>
      <c r="C438" s="47"/>
    </row>
    <row r="439" spans="1:3" ht="15.75" customHeight="1">
      <c r="A439" s="46"/>
      <c r="B439" s="46"/>
      <c r="C439" s="47"/>
    </row>
    <row r="440" spans="1:3" ht="15.75" customHeight="1">
      <c r="A440" s="46"/>
      <c r="B440" s="46"/>
      <c r="C440" s="47"/>
    </row>
    <row r="441" spans="1:3" ht="15.75" customHeight="1">
      <c r="A441" s="46"/>
      <c r="B441" s="46"/>
      <c r="C441" s="47"/>
    </row>
    <row r="442" spans="1:3" ht="15.75" customHeight="1">
      <c r="A442" s="46"/>
      <c r="B442" s="46"/>
      <c r="C442" s="47"/>
    </row>
    <row r="443" spans="1:3" ht="15.75" customHeight="1">
      <c r="A443" s="46"/>
      <c r="B443" s="46"/>
      <c r="C443" s="47"/>
    </row>
    <row r="444" spans="1:3" ht="15.75" customHeight="1">
      <c r="A444" s="46"/>
      <c r="B444" s="46"/>
      <c r="C444" s="47"/>
    </row>
    <row r="445" spans="1:3" ht="15.75" customHeight="1">
      <c r="A445" s="46"/>
      <c r="B445" s="46"/>
      <c r="C445" s="47"/>
    </row>
    <row r="446" spans="1:3" ht="15.75" customHeight="1">
      <c r="A446" s="46"/>
      <c r="B446" s="46"/>
      <c r="C446" s="47"/>
    </row>
    <row r="447" spans="1:3" ht="15.75" customHeight="1">
      <c r="A447" s="46"/>
      <c r="B447" s="46"/>
      <c r="C447" s="47"/>
    </row>
    <row r="448" spans="1:3" ht="15.75" customHeight="1">
      <c r="A448" s="46"/>
      <c r="B448" s="46"/>
      <c r="C448" s="47"/>
    </row>
    <row r="449" spans="1:3" ht="15.75" customHeight="1">
      <c r="A449" s="46"/>
      <c r="B449" s="46"/>
      <c r="C449" s="47"/>
    </row>
    <row r="450" spans="1:3" ht="15.75" customHeight="1">
      <c r="A450" s="46"/>
      <c r="B450" s="46"/>
      <c r="C450" s="47"/>
    </row>
    <row r="451" spans="1:3" ht="15.75" customHeight="1">
      <c r="A451" s="46"/>
      <c r="B451" s="46"/>
      <c r="C451" s="47"/>
    </row>
    <row r="452" spans="1:3" ht="15.75" customHeight="1">
      <c r="A452" s="46"/>
      <c r="B452" s="46"/>
      <c r="C452" s="47"/>
    </row>
    <row r="453" spans="1:3" ht="15.75" customHeight="1">
      <c r="A453" s="46"/>
      <c r="B453" s="46"/>
      <c r="C453" s="47"/>
    </row>
    <row r="454" spans="1:3" ht="15.75" customHeight="1">
      <c r="A454" s="46"/>
      <c r="B454" s="46"/>
      <c r="C454" s="47"/>
    </row>
    <row r="455" spans="1:3" ht="15.75" customHeight="1">
      <c r="A455" s="46"/>
      <c r="B455" s="46"/>
      <c r="C455" s="47"/>
    </row>
    <row r="456" spans="1:3" ht="15.75" customHeight="1">
      <c r="A456" s="46"/>
      <c r="B456" s="46"/>
      <c r="C456" s="47"/>
    </row>
    <row r="457" spans="1:3" ht="15.75" customHeight="1">
      <c r="A457" s="46"/>
      <c r="B457" s="46"/>
      <c r="C457" s="47"/>
    </row>
    <row r="458" spans="1:3" ht="15.75" customHeight="1">
      <c r="A458" s="46"/>
      <c r="B458" s="46"/>
      <c r="C458" s="47"/>
    </row>
    <row r="459" spans="1:3" ht="15.75" customHeight="1">
      <c r="A459" s="46"/>
      <c r="B459" s="46"/>
      <c r="C459" s="47"/>
    </row>
    <row r="460" spans="1:3" ht="15.75" customHeight="1">
      <c r="A460" s="46"/>
      <c r="B460" s="46"/>
      <c r="C460" s="47"/>
    </row>
    <row r="461" spans="1:3" ht="15.75" customHeight="1">
      <c r="A461" s="46"/>
      <c r="B461" s="46"/>
      <c r="C461" s="47"/>
    </row>
    <row r="462" spans="1:3" ht="15.75" customHeight="1">
      <c r="A462" s="46"/>
      <c r="B462" s="46"/>
      <c r="C462" s="47"/>
    </row>
    <row r="463" spans="1:3" ht="15.75" customHeight="1">
      <c r="A463" s="46"/>
      <c r="B463" s="46"/>
      <c r="C463" s="47"/>
    </row>
    <row r="464" spans="1:3" ht="15.75" customHeight="1">
      <c r="A464" s="46"/>
      <c r="B464" s="46"/>
      <c r="C464" s="47"/>
    </row>
    <row r="465" spans="1:3" ht="15.75" customHeight="1">
      <c r="A465" s="46"/>
      <c r="B465" s="46"/>
      <c r="C465" s="47"/>
    </row>
    <row r="466" spans="1:3" ht="15.75" customHeight="1">
      <c r="A466" s="46"/>
      <c r="B466" s="46"/>
      <c r="C466" s="47"/>
    </row>
    <row r="467" spans="1:3" ht="15.75" customHeight="1">
      <c r="A467" s="46"/>
      <c r="B467" s="46"/>
      <c r="C467" s="47"/>
    </row>
    <row r="468" spans="1:3" ht="15.75" customHeight="1">
      <c r="A468" s="46"/>
      <c r="B468" s="46"/>
      <c r="C468" s="47"/>
    </row>
    <row r="469" spans="1:3" ht="15.75" customHeight="1">
      <c r="A469" s="46"/>
      <c r="B469" s="46"/>
      <c r="C469" s="47"/>
    </row>
    <row r="470" spans="1:3" ht="15.75" customHeight="1">
      <c r="A470" s="46"/>
      <c r="B470" s="46"/>
      <c r="C470" s="47"/>
    </row>
    <row r="471" spans="1:3" ht="15.75" customHeight="1">
      <c r="A471" s="46"/>
      <c r="B471" s="46"/>
      <c r="C471" s="47"/>
    </row>
    <row r="472" spans="1:3" ht="15.75" customHeight="1">
      <c r="A472" s="46"/>
      <c r="B472" s="46"/>
      <c r="C472" s="47"/>
    </row>
    <row r="473" spans="1:3" ht="15.75" customHeight="1">
      <c r="A473" s="46"/>
      <c r="B473" s="46"/>
      <c r="C473" s="47"/>
    </row>
    <row r="474" spans="1:3" ht="15.75" customHeight="1">
      <c r="A474" s="46"/>
      <c r="B474" s="46"/>
      <c r="C474" s="47"/>
    </row>
    <row r="475" spans="1:3" ht="15.75" customHeight="1">
      <c r="A475" s="46"/>
      <c r="B475" s="46"/>
      <c r="C475" s="47"/>
    </row>
    <row r="476" spans="1:3" ht="15.75" customHeight="1">
      <c r="A476" s="46"/>
      <c r="B476" s="46"/>
      <c r="C476" s="47"/>
    </row>
    <row r="477" spans="1:3" ht="15.75" customHeight="1">
      <c r="A477" s="46"/>
      <c r="B477" s="46"/>
      <c r="C477" s="47"/>
    </row>
    <row r="478" spans="1:3" ht="15.75" customHeight="1">
      <c r="A478" s="46"/>
      <c r="B478" s="46"/>
      <c r="C478" s="47"/>
    </row>
    <row r="479" spans="1:3" ht="15.75" customHeight="1">
      <c r="A479" s="46"/>
      <c r="B479" s="46"/>
      <c r="C479" s="47"/>
    </row>
    <row r="480" spans="1:3" ht="15.75" customHeight="1">
      <c r="A480" s="46"/>
      <c r="B480" s="46"/>
      <c r="C480" s="47"/>
    </row>
    <row r="481" spans="1:3" ht="15.75" customHeight="1">
      <c r="A481" s="46"/>
      <c r="B481" s="46"/>
      <c r="C481" s="47"/>
    </row>
    <row r="482" spans="1:3" ht="15.75" customHeight="1">
      <c r="A482" s="46"/>
      <c r="B482" s="46"/>
      <c r="C482" s="47"/>
    </row>
    <row r="483" spans="1:3" ht="15.75" customHeight="1">
      <c r="A483" s="46"/>
      <c r="B483" s="46"/>
      <c r="C483" s="47"/>
    </row>
    <row r="484" spans="1:3" ht="15.75" customHeight="1">
      <c r="A484" s="46"/>
      <c r="B484" s="46"/>
      <c r="C484" s="47"/>
    </row>
    <row r="485" spans="1:3" ht="15.75" customHeight="1">
      <c r="A485" s="46"/>
      <c r="B485" s="46"/>
      <c r="C485" s="47"/>
    </row>
    <row r="486" spans="1:3" ht="15.75" customHeight="1">
      <c r="A486" s="46"/>
      <c r="B486" s="46"/>
      <c r="C486" s="47"/>
    </row>
    <row r="487" spans="1:3" ht="15.75" customHeight="1">
      <c r="A487" s="46"/>
      <c r="B487" s="46"/>
      <c r="C487" s="47"/>
    </row>
    <row r="488" spans="1:3" ht="15.75" customHeight="1">
      <c r="A488" s="46"/>
      <c r="B488" s="46"/>
      <c r="C488" s="47"/>
    </row>
    <row r="489" spans="1:3" ht="15.75" customHeight="1">
      <c r="A489" s="46"/>
      <c r="B489" s="46"/>
      <c r="C489" s="47"/>
    </row>
    <row r="490" spans="1:3" ht="15.75" customHeight="1">
      <c r="A490" s="46"/>
      <c r="B490" s="46"/>
      <c r="C490" s="47"/>
    </row>
    <row r="491" spans="1:3" ht="15.75" customHeight="1">
      <c r="A491" s="46"/>
      <c r="B491" s="46"/>
      <c r="C491" s="47"/>
    </row>
    <row r="492" spans="1:3" ht="15.75" customHeight="1">
      <c r="A492" s="46"/>
      <c r="B492" s="46"/>
      <c r="C492" s="47"/>
    </row>
    <row r="493" spans="1:3" ht="15.75" customHeight="1">
      <c r="A493" s="46"/>
      <c r="B493" s="46"/>
      <c r="C493" s="47"/>
    </row>
    <row r="494" spans="1:3" ht="15.75" customHeight="1">
      <c r="A494" s="46"/>
      <c r="B494" s="46"/>
      <c r="C494" s="47"/>
    </row>
    <row r="495" spans="1:3" ht="15.75" customHeight="1">
      <c r="A495" s="46"/>
      <c r="B495" s="46"/>
      <c r="C495" s="47"/>
    </row>
    <row r="496" spans="1:3" ht="15.75" customHeight="1">
      <c r="A496" s="46"/>
      <c r="B496" s="46"/>
      <c r="C496" s="47"/>
    </row>
    <row r="497" spans="1:3" ht="15.75" customHeight="1">
      <c r="A497" s="46"/>
      <c r="B497" s="46"/>
      <c r="C497" s="47"/>
    </row>
    <row r="498" spans="1:3" ht="15.75" customHeight="1">
      <c r="A498" s="46"/>
      <c r="B498" s="46"/>
      <c r="C498" s="47"/>
    </row>
    <row r="499" spans="1:3" ht="15.75" customHeight="1">
      <c r="A499" s="46"/>
      <c r="B499" s="46"/>
      <c r="C499" s="47"/>
    </row>
    <row r="500" spans="1:3" ht="15.75" customHeight="1">
      <c r="A500" s="46"/>
      <c r="B500" s="46"/>
      <c r="C500" s="47"/>
    </row>
    <row r="501" spans="1:3" ht="15.75" customHeight="1">
      <c r="A501" s="46"/>
      <c r="B501" s="46"/>
      <c r="C501" s="47"/>
    </row>
    <row r="502" spans="1:3" ht="15.75" customHeight="1">
      <c r="A502" s="46"/>
      <c r="B502" s="46"/>
      <c r="C502" s="47"/>
    </row>
    <row r="503" spans="1:3" ht="15.75" customHeight="1">
      <c r="A503" s="46"/>
      <c r="B503" s="46"/>
      <c r="C503" s="47"/>
    </row>
    <row r="504" spans="1:3" ht="15.75" customHeight="1">
      <c r="A504" s="46"/>
      <c r="B504" s="46"/>
      <c r="C504" s="47"/>
    </row>
    <row r="505" spans="1:3" ht="15.75" customHeight="1">
      <c r="A505" s="46"/>
      <c r="B505" s="46"/>
      <c r="C505" s="47"/>
    </row>
    <row r="506" spans="1:3" ht="15.75" customHeight="1">
      <c r="A506" s="46"/>
      <c r="B506" s="46"/>
      <c r="C506" s="47"/>
    </row>
    <row r="507" spans="1:3" ht="15.75" customHeight="1">
      <c r="A507" s="46"/>
      <c r="B507" s="46"/>
      <c r="C507" s="47"/>
    </row>
    <row r="508" spans="1:3" ht="15.75" customHeight="1">
      <c r="A508" s="46"/>
      <c r="B508" s="46"/>
      <c r="C508" s="47"/>
    </row>
    <row r="509" spans="1:3" ht="15.75" customHeight="1">
      <c r="A509" s="46"/>
      <c r="B509" s="46"/>
      <c r="C509" s="47"/>
    </row>
    <row r="510" spans="1:3" ht="15.75" customHeight="1">
      <c r="A510" s="46"/>
      <c r="B510" s="46"/>
      <c r="C510" s="47"/>
    </row>
    <row r="511" spans="1:3" ht="15.75" customHeight="1">
      <c r="A511" s="46"/>
      <c r="B511" s="46"/>
      <c r="C511" s="47"/>
    </row>
    <row r="512" spans="1:3" ht="15.75" customHeight="1">
      <c r="A512" s="46"/>
      <c r="B512" s="46"/>
      <c r="C512" s="47"/>
    </row>
    <row r="513" spans="1:3" ht="15.75" customHeight="1">
      <c r="A513" s="46"/>
      <c r="B513" s="46"/>
      <c r="C513" s="47"/>
    </row>
    <row r="514" spans="1:3" ht="15.75" customHeight="1">
      <c r="A514" s="46"/>
      <c r="B514" s="46"/>
      <c r="C514" s="47"/>
    </row>
    <row r="515" spans="1:3" ht="15.75" customHeight="1">
      <c r="A515" s="46"/>
      <c r="B515" s="46"/>
      <c r="C515" s="47"/>
    </row>
    <row r="516" spans="1:3" ht="15.75" customHeight="1">
      <c r="A516" s="46"/>
      <c r="B516" s="46"/>
      <c r="C516" s="47"/>
    </row>
    <row r="517" spans="1:3" ht="15.75" customHeight="1">
      <c r="A517" s="46"/>
      <c r="B517" s="46"/>
      <c r="C517" s="47"/>
    </row>
    <row r="518" spans="1:3" ht="15.75" customHeight="1">
      <c r="A518" s="46"/>
      <c r="B518" s="46"/>
      <c r="C518" s="47"/>
    </row>
    <row r="519" spans="1:3" ht="15.75" customHeight="1">
      <c r="A519" s="46"/>
      <c r="B519" s="46"/>
      <c r="C519" s="47"/>
    </row>
    <row r="520" spans="1:3" ht="15.75" customHeight="1">
      <c r="A520" s="46"/>
      <c r="B520" s="46"/>
      <c r="C520" s="47"/>
    </row>
    <row r="521" spans="1:3" ht="15.75" customHeight="1">
      <c r="A521" s="46"/>
      <c r="B521" s="46"/>
      <c r="C521" s="47"/>
    </row>
    <row r="522" spans="1:3" ht="15.75" customHeight="1">
      <c r="A522" s="46"/>
      <c r="B522" s="46"/>
      <c r="C522" s="47"/>
    </row>
    <row r="523" spans="1:3" ht="15.75" customHeight="1">
      <c r="A523" s="46"/>
      <c r="B523" s="46"/>
      <c r="C523" s="47"/>
    </row>
    <row r="524" spans="1:3" ht="15.75" customHeight="1">
      <c r="A524" s="46"/>
      <c r="B524" s="46"/>
      <c r="C524" s="47"/>
    </row>
    <row r="525" spans="1:3" ht="15.75" customHeight="1">
      <c r="A525" s="46"/>
      <c r="B525" s="46"/>
      <c r="C525" s="47"/>
    </row>
    <row r="526" spans="1:3" ht="15.75" customHeight="1">
      <c r="A526" s="46"/>
      <c r="B526" s="46"/>
      <c r="C526" s="47"/>
    </row>
    <row r="527" spans="1:3" ht="15.75" customHeight="1">
      <c r="A527" s="46"/>
      <c r="B527" s="46"/>
      <c r="C527" s="47"/>
    </row>
    <row r="528" spans="1:3" ht="15.75" customHeight="1">
      <c r="A528" s="46"/>
      <c r="B528" s="46"/>
      <c r="C528" s="47"/>
    </row>
    <row r="529" spans="1:3" ht="15.75" customHeight="1">
      <c r="A529" s="46"/>
      <c r="B529" s="46"/>
      <c r="C529" s="47"/>
    </row>
    <row r="530" spans="1:3" ht="15.75" customHeight="1">
      <c r="A530" s="46"/>
      <c r="B530" s="46"/>
      <c r="C530" s="47"/>
    </row>
    <row r="531" spans="1:3" ht="15.75" customHeight="1">
      <c r="A531" s="46"/>
      <c r="B531" s="46"/>
      <c r="C531" s="47"/>
    </row>
    <row r="532" spans="1:3" ht="15.75" customHeight="1">
      <c r="A532" s="46"/>
      <c r="B532" s="46"/>
      <c r="C532" s="47"/>
    </row>
    <row r="533" spans="1:3" ht="15.75" customHeight="1">
      <c r="A533" s="46"/>
      <c r="B533" s="46"/>
      <c r="C533" s="47"/>
    </row>
    <row r="534" spans="1:3" ht="15.75" customHeight="1">
      <c r="A534" s="46"/>
      <c r="B534" s="46"/>
      <c r="C534" s="47"/>
    </row>
    <row r="535" spans="1:3" ht="15.75" customHeight="1">
      <c r="A535" s="46"/>
      <c r="B535" s="46"/>
      <c r="C535" s="47"/>
    </row>
    <row r="536" spans="1:3" ht="15.75" customHeight="1">
      <c r="A536" s="46"/>
      <c r="B536" s="46"/>
      <c r="C536" s="47"/>
    </row>
    <row r="537" spans="1:3" ht="15.75" customHeight="1">
      <c r="A537" s="46"/>
      <c r="B537" s="46"/>
      <c r="C537" s="47"/>
    </row>
    <row r="538" spans="1:3" ht="15.75" customHeight="1">
      <c r="A538" s="46"/>
      <c r="B538" s="46"/>
      <c r="C538" s="47"/>
    </row>
    <row r="539" spans="1:3" ht="15.75" customHeight="1">
      <c r="A539" s="46"/>
      <c r="B539" s="46"/>
      <c r="C539" s="47"/>
    </row>
    <row r="540" spans="1:3" ht="15.75" customHeight="1">
      <c r="A540" s="46"/>
      <c r="B540" s="46"/>
      <c r="C540" s="47"/>
    </row>
    <row r="541" spans="1:3" ht="15.75" customHeight="1">
      <c r="A541" s="46"/>
      <c r="B541" s="46"/>
      <c r="C541" s="47"/>
    </row>
    <row r="542" spans="1:3" ht="15.75" customHeight="1">
      <c r="A542" s="46"/>
      <c r="B542" s="46"/>
      <c r="C542" s="47"/>
    </row>
    <row r="543" spans="1:3" ht="15.75" customHeight="1">
      <c r="A543" s="46"/>
      <c r="B543" s="46"/>
      <c r="C543" s="47"/>
    </row>
    <row r="544" spans="1:3" ht="15.75" customHeight="1">
      <c r="A544" s="46"/>
      <c r="B544" s="46"/>
      <c r="C544" s="47"/>
    </row>
    <row r="545" spans="1:3" ht="15.75" customHeight="1">
      <c r="A545" s="46"/>
      <c r="B545" s="46"/>
      <c r="C545" s="47"/>
    </row>
    <row r="546" spans="1:3" ht="15.75" customHeight="1">
      <c r="A546" s="46"/>
      <c r="B546" s="46"/>
      <c r="C546" s="47"/>
    </row>
    <row r="547" spans="1:3" ht="15.75" customHeight="1">
      <c r="A547" s="46"/>
      <c r="B547" s="46"/>
      <c r="C547" s="47"/>
    </row>
    <row r="548" spans="1:3" ht="15.75" customHeight="1">
      <c r="A548" s="46"/>
      <c r="B548" s="46"/>
      <c r="C548" s="47"/>
    </row>
    <row r="549" spans="1:3" ht="15.75" customHeight="1">
      <c r="A549" s="46"/>
      <c r="B549" s="46"/>
      <c r="C549" s="47"/>
    </row>
    <row r="550" spans="1:3" ht="15.75" customHeight="1">
      <c r="A550" s="46"/>
      <c r="B550" s="46"/>
      <c r="C550" s="47"/>
    </row>
    <row r="551" spans="1:3" ht="15.75" customHeight="1">
      <c r="A551" s="46"/>
      <c r="B551" s="46"/>
      <c r="C551" s="47"/>
    </row>
    <row r="552" spans="1:3" ht="15.75" customHeight="1">
      <c r="A552" s="46"/>
      <c r="B552" s="46"/>
      <c r="C552" s="47"/>
    </row>
    <row r="553" spans="1:3" ht="15.75" customHeight="1">
      <c r="A553" s="46"/>
      <c r="B553" s="46"/>
      <c r="C553" s="47"/>
    </row>
    <row r="554" spans="1:3" ht="15.75" customHeight="1">
      <c r="A554" s="46"/>
      <c r="B554" s="46"/>
      <c r="C554" s="47"/>
    </row>
    <row r="555" spans="1:3" ht="15.75" customHeight="1">
      <c r="A555" s="46"/>
      <c r="B555" s="46"/>
      <c r="C555" s="47"/>
    </row>
    <row r="556" spans="1:3" ht="15.75" customHeight="1">
      <c r="A556" s="46"/>
      <c r="B556" s="46"/>
      <c r="C556" s="47"/>
    </row>
    <row r="557" spans="1:3" ht="15.75" customHeight="1">
      <c r="A557" s="46"/>
      <c r="B557" s="46"/>
      <c r="C557" s="47"/>
    </row>
    <row r="558" spans="1:3" ht="15.75" customHeight="1">
      <c r="A558" s="46"/>
      <c r="B558" s="46"/>
      <c r="C558" s="47"/>
    </row>
    <row r="559" spans="1:3" ht="15.75" customHeight="1">
      <c r="A559" s="46"/>
      <c r="B559" s="46"/>
      <c r="C559" s="47"/>
    </row>
    <row r="560" spans="1:3" ht="15.75" customHeight="1">
      <c r="A560" s="46"/>
      <c r="B560" s="46"/>
      <c r="C560" s="47"/>
    </row>
    <row r="561" spans="1:3" ht="15.75" customHeight="1">
      <c r="A561" s="46"/>
      <c r="B561" s="46"/>
      <c r="C561" s="47"/>
    </row>
    <row r="562" spans="1:3" ht="15.75" customHeight="1">
      <c r="A562" s="46"/>
      <c r="B562" s="46"/>
      <c r="C562" s="47"/>
    </row>
    <row r="563" spans="1:3" ht="15.75" customHeight="1">
      <c r="A563" s="46"/>
      <c r="B563" s="46"/>
      <c r="C563" s="47"/>
    </row>
    <row r="564" spans="1:3" ht="15.75" customHeight="1">
      <c r="A564" s="46"/>
      <c r="B564" s="46"/>
      <c r="C564" s="47"/>
    </row>
    <row r="565" spans="1:3" ht="15.75" customHeight="1">
      <c r="A565" s="46"/>
      <c r="B565" s="46"/>
      <c r="C565" s="47"/>
    </row>
    <row r="566" spans="1:3" ht="15.75" customHeight="1">
      <c r="A566" s="46"/>
      <c r="B566" s="46"/>
      <c r="C566" s="47"/>
    </row>
    <row r="567" spans="1:3" ht="15.75" customHeight="1">
      <c r="A567" s="46"/>
      <c r="B567" s="46"/>
      <c r="C567" s="47"/>
    </row>
    <row r="568" spans="1:3" ht="15.75" customHeight="1">
      <c r="A568" s="46"/>
      <c r="B568" s="46"/>
      <c r="C568" s="47"/>
    </row>
    <row r="569" spans="1:3" ht="15.75" customHeight="1">
      <c r="A569" s="46"/>
      <c r="B569" s="46"/>
      <c r="C569" s="47"/>
    </row>
    <row r="570" spans="1:3" ht="15.75" customHeight="1">
      <c r="A570" s="46"/>
      <c r="B570" s="46"/>
      <c r="C570" s="47"/>
    </row>
    <row r="571" spans="1:3" ht="15.75" customHeight="1">
      <c r="A571" s="46"/>
      <c r="B571" s="46"/>
      <c r="C571" s="47"/>
    </row>
    <row r="572" spans="1:3" ht="15.75" customHeight="1">
      <c r="A572" s="46"/>
      <c r="B572" s="46"/>
      <c r="C572" s="47"/>
    </row>
    <row r="573" spans="1:3" ht="15.75" customHeight="1">
      <c r="A573" s="46"/>
      <c r="B573" s="46"/>
      <c r="C573" s="47"/>
    </row>
    <row r="574" spans="1:3" ht="15.75" customHeight="1">
      <c r="A574" s="46"/>
      <c r="B574" s="46"/>
      <c r="C574" s="47"/>
    </row>
    <row r="575" spans="1:3" ht="15.75" customHeight="1">
      <c r="A575" s="46"/>
      <c r="B575" s="46"/>
      <c r="C575" s="47"/>
    </row>
    <row r="576" spans="1:3" ht="15.75" customHeight="1">
      <c r="A576" s="46"/>
      <c r="B576" s="46"/>
      <c r="C576" s="47"/>
    </row>
    <row r="577" spans="1:3" ht="15.75" customHeight="1">
      <c r="A577" s="46"/>
      <c r="B577" s="46"/>
      <c r="C577" s="47"/>
    </row>
    <row r="578" spans="1:3" ht="15.75" customHeight="1">
      <c r="A578" s="46"/>
      <c r="B578" s="46"/>
      <c r="C578" s="47"/>
    </row>
    <row r="579" spans="1:3" ht="15.75" customHeight="1">
      <c r="A579" s="46"/>
      <c r="B579" s="46"/>
      <c r="C579" s="47"/>
    </row>
    <row r="580" spans="1:3" ht="15.75" customHeight="1">
      <c r="A580" s="46"/>
      <c r="B580" s="46"/>
      <c r="C580" s="47"/>
    </row>
    <row r="581" spans="1:3" ht="15.75" customHeight="1">
      <c r="A581" s="46"/>
      <c r="B581" s="46"/>
      <c r="C581" s="47"/>
    </row>
    <row r="582" spans="1:3" ht="15.75" customHeight="1">
      <c r="A582" s="46"/>
      <c r="B582" s="46"/>
      <c r="C582" s="47"/>
    </row>
    <row r="583" spans="1:3" ht="15.75" customHeight="1">
      <c r="A583" s="46"/>
      <c r="B583" s="46"/>
      <c r="C583" s="47"/>
    </row>
    <row r="584" spans="1:3" ht="15.75" customHeight="1">
      <c r="A584" s="46"/>
      <c r="B584" s="46"/>
      <c r="C584" s="47"/>
    </row>
    <row r="585" spans="1:3" ht="15.75" customHeight="1">
      <c r="A585" s="46"/>
      <c r="B585" s="46"/>
      <c r="C585" s="47"/>
    </row>
    <row r="586" spans="1:3" ht="15.75" customHeight="1">
      <c r="A586" s="46"/>
      <c r="B586" s="46"/>
      <c r="C586" s="47"/>
    </row>
    <row r="587" spans="1:3" ht="15.75" customHeight="1">
      <c r="A587" s="46"/>
      <c r="B587" s="46"/>
      <c r="C587" s="47"/>
    </row>
    <row r="588" spans="1:3" ht="15.75" customHeight="1">
      <c r="A588" s="46"/>
      <c r="B588" s="46"/>
      <c r="C588" s="47"/>
    </row>
    <row r="589" spans="1:3" ht="15.75" customHeight="1">
      <c r="A589" s="46"/>
      <c r="B589" s="46"/>
      <c r="C589" s="47"/>
    </row>
    <row r="590" spans="1:3" ht="15.75" customHeight="1">
      <c r="A590" s="46"/>
      <c r="B590" s="46"/>
      <c r="C590" s="47"/>
    </row>
    <row r="591" spans="1:3" ht="15.75" customHeight="1">
      <c r="A591" s="46"/>
      <c r="B591" s="46"/>
      <c r="C591" s="47"/>
    </row>
    <row r="592" spans="1:3" ht="15.75" customHeight="1">
      <c r="A592" s="46"/>
      <c r="B592" s="46"/>
      <c r="C592" s="47"/>
    </row>
    <row r="593" spans="1:3" ht="15.75" customHeight="1">
      <c r="A593" s="46"/>
      <c r="B593" s="46"/>
      <c r="C593" s="47"/>
    </row>
    <row r="594" spans="1:3" ht="15.75" customHeight="1">
      <c r="A594" s="46"/>
      <c r="B594" s="46"/>
      <c r="C594" s="47"/>
    </row>
    <row r="595" spans="1:3" ht="15.75" customHeight="1">
      <c r="A595" s="46"/>
      <c r="B595" s="46"/>
      <c r="C595" s="47"/>
    </row>
    <row r="596" spans="1:3" ht="15.75" customHeight="1">
      <c r="A596" s="46"/>
      <c r="B596" s="46"/>
      <c r="C596" s="47"/>
    </row>
    <row r="597" spans="1:3" ht="15.75" customHeight="1">
      <c r="A597" s="46"/>
      <c r="B597" s="46"/>
      <c r="C597" s="47"/>
    </row>
    <row r="598" spans="1:3" ht="15.75" customHeight="1">
      <c r="A598" s="46"/>
      <c r="B598" s="46"/>
      <c r="C598" s="47"/>
    </row>
    <row r="599" spans="1:3" ht="15.75" customHeight="1">
      <c r="A599" s="46"/>
      <c r="B599" s="46"/>
      <c r="C599" s="47"/>
    </row>
    <row r="600" spans="1:3" ht="15.75" customHeight="1">
      <c r="A600" s="46"/>
      <c r="B600" s="46"/>
      <c r="C600" s="47"/>
    </row>
    <row r="601" spans="1:3" ht="15.75" customHeight="1">
      <c r="A601" s="46"/>
      <c r="B601" s="46"/>
      <c r="C601" s="47"/>
    </row>
    <row r="602" spans="1:3" ht="15.75" customHeight="1">
      <c r="A602" s="46"/>
      <c r="B602" s="46"/>
      <c r="C602" s="47"/>
    </row>
    <row r="603" spans="1:3" ht="15.75" customHeight="1">
      <c r="A603" s="46"/>
      <c r="B603" s="46"/>
      <c r="C603" s="47"/>
    </row>
    <row r="604" spans="1:3" ht="15.75" customHeight="1">
      <c r="A604" s="46"/>
      <c r="B604" s="46"/>
      <c r="C604" s="47"/>
    </row>
    <row r="605" spans="1:3" ht="15.75" customHeight="1">
      <c r="A605" s="46"/>
      <c r="B605" s="46"/>
      <c r="C605" s="47"/>
    </row>
    <row r="606" spans="1:3" ht="15.75" customHeight="1">
      <c r="A606" s="46"/>
      <c r="B606" s="46"/>
      <c r="C606" s="47"/>
    </row>
    <row r="607" spans="1:3" ht="15.75" customHeight="1">
      <c r="A607" s="46"/>
      <c r="B607" s="46"/>
      <c r="C607" s="47"/>
    </row>
    <row r="608" spans="1:3" ht="15.75" customHeight="1">
      <c r="A608" s="46"/>
      <c r="B608" s="46"/>
      <c r="C608" s="47"/>
    </row>
    <row r="609" spans="1:3" ht="15.75" customHeight="1">
      <c r="A609" s="46"/>
      <c r="B609" s="46"/>
      <c r="C609" s="47"/>
    </row>
    <row r="610" spans="1:3" ht="15.75" customHeight="1">
      <c r="A610" s="46"/>
      <c r="B610" s="46"/>
      <c r="C610" s="47"/>
    </row>
    <row r="611" spans="1:3" ht="15.75" customHeight="1">
      <c r="A611" s="46"/>
      <c r="B611" s="46"/>
      <c r="C611" s="47"/>
    </row>
    <row r="612" spans="1:3" ht="15.75" customHeight="1">
      <c r="A612" s="46"/>
      <c r="B612" s="46"/>
      <c r="C612" s="47"/>
    </row>
    <row r="613" spans="1:3" ht="15.75" customHeight="1">
      <c r="A613" s="46"/>
      <c r="B613" s="46"/>
      <c r="C613" s="47"/>
    </row>
    <row r="614" spans="1:3" ht="15.75" customHeight="1">
      <c r="A614" s="46"/>
      <c r="B614" s="46"/>
      <c r="C614" s="47"/>
    </row>
    <row r="615" spans="1:3" ht="15.75" customHeight="1">
      <c r="A615" s="46"/>
      <c r="B615" s="46"/>
      <c r="C615" s="47"/>
    </row>
    <row r="616" spans="1:3" ht="15.75" customHeight="1">
      <c r="A616" s="46"/>
      <c r="B616" s="46"/>
      <c r="C616" s="47"/>
    </row>
    <row r="617" spans="1:3" ht="15.75" customHeight="1">
      <c r="A617" s="46"/>
      <c r="B617" s="46"/>
      <c r="C617" s="47"/>
    </row>
    <row r="618" spans="1:3" ht="15.75" customHeight="1">
      <c r="A618" s="46"/>
      <c r="B618" s="46"/>
      <c r="C618" s="47"/>
    </row>
    <row r="619" spans="1:3" ht="15.75" customHeight="1">
      <c r="A619" s="46"/>
      <c r="B619" s="46"/>
      <c r="C619" s="47"/>
    </row>
    <row r="620" spans="1:3" ht="15.75" customHeight="1">
      <c r="A620" s="46"/>
      <c r="B620" s="46"/>
      <c r="C620" s="47"/>
    </row>
    <row r="621" spans="1:3" ht="15.75" customHeight="1">
      <c r="A621" s="46"/>
      <c r="B621" s="46"/>
      <c r="C621" s="47"/>
    </row>
    <row r="622" spans="1:3" ht="15.75" customHeight="1">
      <c r="A622" s="46"/>
      <c r="B622" s="46"/>
      <c r="C622" s="47"/>
    </row>
    <row r="623" spans="1:3" ht="15.75" customHeight="1">
      <c r="A623" s="46"/>
      <c r="B623" s="46"/>
      <c r="C623" s="47"/>
    </row>
    <row r="624" spans="1:3" ht="15.75" customHeight="1">
      <c r="A624" s="46"/>
      <c r="B624" s="46"/>
      <c r="C624" s="47"/>
    </row>
    <row r="625" spans="1:3" ht="15.75" customHeight="1">
      <c r="A625" s="46"/>
      <c r="B625" s="46"/>
      <c r="C625" s="47"/>
    </row>
    <row r="626" spans="1:3" ht="15.75" customHeight="1">
      <c r="A626" s="46"/>
      <c r="B626" s="46"/>
      <c r="C626" s="47"/>
    </row>
    <row r="627" spans="1:3" ht="15.75" customHeight="1">
      <c r="A627" s="46"/>
      <c r="B627" s="46"/>
      <c r="C627" s="47"/>
    </row>
    <row r="628" spans="1:3" ht="15.75" customHeight="1">
      <c r="A628" s="46"/>
      <c r="B628" s="46"/>
      <c r="C628" s="47"/>
    </row>
    <row r="629" spans="1:3" ht="15.75" customHeight="1">
      <c r="A629" s="46"/>
      <c r="B629" s="46"/>
      <c r="C629" s="47"/>
    </row>
    <row r="630" spans="1:3" ht="15.75" customHeight="1">
      <c r="A630" s="46"/>
      <c r="B630" s="46"/>
      <c r="C630" s="47"/>
    </row>
    <row r="631" spans="1:3" ht="15.75" customHeight="1">
      <c r="A631" s="46"/>
      <c r="B631" s="46"/>
      <c r="C631" s="47"/>
    </row>
    <row r="632" spans="1:3" ht="15.75" customHeight="1">
      <c r="A632" s="46"/>
      <c r="B632" s="46"/>
      <c r="C632" s="47"/>
    </row>
    <row r="633" spans="1:3" ht="15.75" customHeight="1">
      <c r="A633" s="46"/>
      <c r="B633" s="46"/>
      <c r="C633" s="47"/>
    </row>
    <row r="634" spans="1:3" ht="15.75" customHeight="1">
      <c r="A634" s="46"/>
      <c r="B634" s="46"/>
      <c r="C634" s="47"/>
    </row>
    <row r="635" spans="1:3" ht="15.75" customHeight="1">
      <c r="A635" s="46"/>
      <c r="B635" s="46"/>
      <c r="C635" s="47"/>
    </row>
    <row r="636" spans="1:3" ht="15.75" customHeight="1">
      <c r="A636" s="46"/>
      <c r="B636" s="46"/>
      <c r="C636" s="47"/>
    </row>
    <row r="637" spans="1:3" ht="15.75" customHeight="1">
      <c r="A637" s="46"/>
      <c r="B637" s="46"/>
      <c r="C637" s="47"/>
    </row>
    <row r="638" spans="1:3" ht="15.75" customHeight="1">
      <c r="A638" s="46"/>
      <c r="B638" s="46"/>
      <c r="C638" s="47"/>
    </row>
    <row r="639" spans="1:3" ht="15.75" customHeight="1">
      <c r="A639" s="46"/>
      <c r="B639" s="46"/>
      <c r="C639" s="47"/>
    </row>
    <row r="640" spans="1:3" ht="15.75" customHeight="1">
      <c r="A640" s="46"/>
      <c r="B640" s="46"/>
      <c r="C640" s="47"/>
    </row>
    <row r="641" spans="1:3" ht="15.75" customHeight="1">
      <c r="A641" s="46"/>
      <c r="B641" s="46"/>
      <c r="C641" s="47"/>
    </row>
    <row r="642" spans="1:3" ht="15.75" customHeight="1">
      <c r="A642" s="46"/>
      <c r="B642" s="46"/>
      <c r="C642" s="47"/>
    </row>
    <row r="643" spans="1:3" ht="15.75" customHeight="1">
      <c r="A643" s="46"/>
      <c r="B643" s="46"/>
      <c r="C643" s="47"/>
    </row>
    <row r="644" spans="1:3" ht="15.75" customHeight="1">
      <c r="A644" s="46"/>
      <c r="B644" s="46"/>
      <c r="C644" s="47"/>
    </row>
    <row r="645" spans="1:3" ht="15.75" customHeight="1">
      <c r="A645" s="46"/>
      <c r="B645" s="46"/>
      <c r="C645" s="47"/>
    </row>
    <row r="646" spans="1:3" ht="15.75" customHeight="1">
      <c r="A646" s="46"/>
      <c r="B646" s="46"/>
      <c r="C646" s="47"/>
    </row>
    <row r="647" spans="1:3" ht="15.75" customHeight="1">
      <c r="A647" s="46"/>
      <c r="B647" s="46"/>
      <c r="C647" s="47"/>
    </row>
    <row r="648" spans="1:3" ht="15.75" customHeight="1">
      <c r="A648" s="46"/>
      <c r="B648" s="46"/>
      <c r="C648" s="47"/>
    </row>
    <row r="649" spans="1:3" ht="15.75" customHeight="1">
      <c r="A649" s="46"/>
      <c r="B649" s="46"/>
      <c r="C649" s="47"/>
    </row>
    <row r="650" spans="1:3" ht="15.75" customHeight="1">
      <c r="A650" s="46"/>
      <c r="B650" s="46"/>
      <c r="C650" s="47"/>
    </row>
    <row r="651" spans="1:3" ht="15.75" customHeight="1">
      <c r="A651" s="46"/>
      <c r="B651" s="46"/>
      <c r="C651" s="47"/>
    </row>
    <row r="652" spans="1:3" ht="15.75" customHeight="1">
      <c r="A652" s="46"/>
      <c r="B652" s="46"/>
      <c r="C652" s="47"/>
    </row>
    <row r="653" spans="1:3" ht="15.75" customHeight="1">
      <c r="A653" s="46"/>
      <c r="B653" s="46"/>
      <c r="C653" s="47"/>
    </row>
    <row r="654" spans="1:3" ht="15.75" customHeight="1">
      <c r="A654" s="46"/>
      <c r="B654" s="46"/>
      <c r="C654" s="47"/>
    </row>
    <row r="655" spans="1:3" ht="15.75" customHeight="1">
      <c r="A655" s="46"/>
      <c r="B655" s="46"/>
      <c r="C655" s="47"/>
    </row>
    <row r="656" spans="1:3" ht="15.75" customHeight="1">
      <c r="A656" s="46"/>
      <c r="B656" s="46"/>
      <c r="C656" s="47"/>
    </row>
    <row r="657" spans="1:3" ht="15.75" customHeight="1">
      <c r="A657" s="46"/>
      <c r="B657" s="46"/>
      <c r="C657" s="47"/>
    </row>
    <row r="658" spans="1:3" ht="15.75" customHeight="1">
      <c r="A658" s="46"/>
      <c r="B658" s="46"/>
      <c r="C658" s="47"/>
    </row>
    <row r="659" spans="1:3" ht="15.75" customHeight="1">
      <c r="A659" s="46"/>
      <c r="B659" s="46"/>
      <c r="C659" s="47"/>
    </row>
    <row r="660" spans="1:3" ht="15.75" customHeight="1">
      <c r="A660" s="46"/>
      <c r="B660" s="46"/>
      <c r="C660" s="47"/>
    </row>
    <row r="661" spans="1:3" ht="15.75" customHeight="1">
      <c r="A661" s="46"/>
      <c r="B661" s="46"/>
      <c r="C661" s="47"/>
    </row>
    <row r="662" spans="1:3" ht="15.75" customHeight="1">
      <c r="A662" s="46"/>
      <c r="B662" s="46"/>
      <c r="C662" s="47"/>
    </row>
    <row r="663" spans="1:3" ht="15.75" customHeight="1">
      <c r="A663" s="46"/>
      <c r="B663" s="46"/>
      <c r="C663" s="47"/>
    </row>
    <row r="664" spans="1:3" ht="15.75" customHeight="1">
      <c r="A664" s="46"/>
      <c r="B664" s="46"/>
      <c r="C664" s="47"/>
    </row>
    <row r="665" spans="1:3" ht="15.75" customHeight="1">
      <c r="A665" s="46"/>
      <c r="B665" s="46"/>
      <c r="C665" s="47"/>
    </row>
    <row r="666" spans="1:3" ht="15.75" customHeight="1">
      <c r="A666" s="46"/>
      <c r="B666" s="46"/>
      <c r="C666" s="47"/>
    </row>
    <row r="667" spans="1:3" ht="15.75" customHeight="1">
      <c r="A667" s="46"/>
      <c r="B667" s="46"/>
      <c r="C667" s="47"/>
    </row>
    <row r="668" spans="1:3" ht="15.75" customHeight="1">
      <c r="A668" s="46"/>
      <c r="B668" s="46"/>
      <c r="C668" s="47"/>
    </row>
    <row r="669" spans="1:3" ht="15.75" customHeight="1">
      <c r="A669" s="46"/>
      <c r="B669" s="46"/>
      <c r="C669" s="47"/>
    </row>
    <row r="670" spans="1:3" ht="15.75" customHeight="1">
      <c r="A670" s="46"/>
      <c r="B670" s="46"/>
      <c r="C670" s="47"/>
    </row>
    <row r="671" spans="1:3" ht="15.75" customHeight="1">
      <c r="A671" s="46"/>
      <c r="B671" s="46"/>
      <c r="C671" s="47"/>
    </row>
    <row r="672" spans="1:3" ht="15.75" customHeight="1">
      <c r="A672" s="46"/>
      <c r="B672" s="46"/>
      <c r="C672" s="47"/>
    </row>
    <row r="673" spans="1:3" ht="15.75" customHeight="1">
      <c r="A673" s="46"/>
      <c r="B673" s="46"/>
      <c r="C673" s="47"/>
    </row>
    <row r="674" spans="1:3" ht="15.75" customHeight="1">
      <c r="A674" s="46"/>
      <c r="B674" s="46"/>
      <c r="C674" s="47"/>
    </row>
    <row r="675" spans="1:3" ht="15.75" customHeight="1">
      <c r="A675" s="46"/>
      <c r="B675" s="46"/>
      <c r="C675" s="47"/>
    </row>
    <row r="676" spans="1:3" ht="15.75" customHeight="1">
      <c r="A676" s="46"/>
      <c r="B676" s="46"/>
      <c r="C676" s="47"/>
    </row>
    <row r="677" spans="1:3" ht="15.75" customHeight="1">
      <c r="A677" s="46"/>
      <c r="B677" s="46"/>
      <c r="C677" s="47"/>
    </row>
    <row r="678" spans="1:3" ht="15.75" customHeight="1">
      <c r="A678" s="46"/>
      <c r="B678" s="46"/>
      <c r="C678" s="47"/>
    </row>
    <row r="679" spans="1:3" ht="15.75" customHeight="1">
      <c r="A679" s="46"/>
      <c r="B679" s="46"/>
      <c r="C679" s="47"/>
    </row>
    <row r="680" spans="1:3" ht="15.75" customHeight="1">
      <c r="A680" s="46"/>
      <c r="B680" s="46"/>
      <c r="C680" s="47"/>
    </row>
    <row r="681" spans="1:3" ht="15.75" customHeight="1">
      <c r="A681" s="46"/>
      <c r="B681" s="46"/>
      <c r="C681" s="47"/>
    </row>
    <row r="682" spans="1:3" ht="15.75" customHeight="1">
      <c r="A682" s="46"/>
      <c r="B682" s="46"/>
      <c r="C682" s="47"/>
    </row>
    <row r="683" spans="1:3" ht="15.75" customHeight="1">
      <c r="A683" s="46"/>
      <c r="B683" s="46"/>
      <c r="C683" s="47"/>
    </row>
    <row r="684" spans="1:3" ht="15.75" customHeight="1">
      <c r="A684" s="46"/>
      <c r="B684" s="46"/>
      <c r="C684" s="47"/>
    </row>
    <row r="685" spans="1:3" ht="15.75" customHeight="1">
      <c r="A685" s="46"/>
      <c r="B685" s="46"/>
      <c r="C685" s="47"/>
    </row>
    <row r="686" spans="1:3" ht="15.75" customHeight="1">
      <c r="A686" s="46"/>
      <c r="B686" s="46"/>
      <c r="C686" s="47"/>
    </row>
    <row r="687" spans="1:3" ht="15.75" customHeight="1">
      <c r="A687" s="46"/>
      <c r="B687" s="46"/>
      <c r="C687" s="47"/>
    </row>
    <row r="688" spans="1:3" ht="15.75" customHeight="1">
      <c r="A688" s="46"/>
      <c r="B688" s="46"/>
      <c r="C688" s="47"/>
    </row>
    <row r="689" spans="1:3" ht="15.75" customHeight="1">
      <c r="A689" s="46"/>
      <c r="B689" s="46"/>
      <c r="C689" s="47"/>
    </row>
    <row r="690" spans="1:3" ht="15.75" customHeight="1">
      <c r="A690" s="46"/>
      <c r="B690" s="46"/>
      <c r="C690" s="47"/>
    </row>
    <row r="691" spans="1:3" ht="15.75" customHeight="1">
      <c r="A691" s="46"/>
      <c r="B691" s="46"/>
      <c r="C691" s="47"/>
    </row>
    <row r="692" spans="1:3" ht="15.75" customHeight="1">
      <c r="A692" s="46"/>
      <c r="B692" s="46"/>
      <c r="C692" s="47"/>
    </row>
    <row r="693" spans="1:3" ht="15.75" customHeight="1">
      <c r="A693" s="46"/>
      <c r="B693" s="46"/>
      <c r="C693" s="47"/>
    </row>
    <row r="694" spans="1:3" ht="15.75" customHeight="1">
      <c r="A694" s="46"/>
      <c r="B694" s="46"/>
      <c r="C694" s="47"/>
    </row>
    <row r="695" spans="1:3" ht="15.75" customHeight="1">
      <c r="A695" s="46"/>
      <c r="B695" s="46"/>
      <c r="C695" s="47"/>
    </row>
    <row r="696" spans="1:3" ht="15.75" customHeight="1">
      <c r="A696" s="46"/>
      <c r="B696" s="46"/>
      <c r="C696" s="47"/>
    </row>
    <row r="697" spans="1:3" ht="15.75" customHeight="1">
      <c r="A697" s="46"/>
      <c r="B697" s="46"/>
      <c r="C697" s="47"/>
    </row>
    <row r="698" spans="1:3" ht="15.75" customHeight="1">
      <c r="A698" s="46"/>
      <c r="B698" s="46"/>
      <c r="C698" s="47"/>
    </row>
    <row r="699" spans="1:3" ht="15.75" customHeight="1">
      <c r="A699" s="46"/>
      <c r="B699" s="46"/>
      <c r="C699" s="47"/>
    </row>
    <row r="700" spans="1:3" ht="15.75" customHeight="1">
      <c r="A700" s="46"/>
      <c r="B700" s="46"/>
      <c r="C700" s="47"/>
    </row>
    <row r="701" spans="1:3" ht="15.75" customHeight="1">
      <c r="A701" s="46"/>
      <c r="B701" s="46"/>
      <c r="C701" s="47"/>
    </row>
    <row r="702" spans="1:3" ht="15.75" customHeight="1">
      <c r="A702" s="46"/>
      <c r="B702" s="46"/>
      <c r="C702" s="47"/>
    </row>
    <row r="703" spans="1:3" ht="15.75" customHeight="1">
      <c r="A703" s="46"/>
      <c r="B703" s="46"/>
      <c r="C703" s="47"/>
    </row>
    <row r="704" spans="1:3" ht="15.75" customHeight="1">
      <c r="A704" s="46"/>
      <c r="B704" s="46"/>
      <c r="C704" s="47"/>
    </row>
    <row r="705" spans="1:3" ht="15.75" customHeight="1">
      <c r="A705" s="46"/>
      <c r="B705" s="46"/>
      <c r="C705" s="47"/>
    </row>
    <row r="706" spans="1:3" ht="15.75" customHeight="1">
      <c r="A706" s="46"/>
      <c r="B706" s="46"/>
      <c r="C706" s="47"/>
    </row>
    <row r="707" spans="1:3" ht="15.75" customHeight="1">
      <c r="A707" s="46"/>
      <c r="B707" s="46"/>
      <c r="C707" s="47"/>
    </row>
    <row r="708" spans="1:3" ht="15.75" customHeight="1">
      <c r="A708" s="46"/>
      <c r="B708" s="46"/>
      <c r="C708" s="47"/>
    </row>
    <row r="709" spans="1:3" ht="15.75" customHeight="1">
      <c r="A709" s="46"/>
      <c r="B709" s="46"/>
      <c r="C709" s="47"/>
    </row>
    <row r="710" spans="1:3" ht="15.75" customHeight="1">
      <c r="A710" s="46"/>
      <c r="B710" s="46"/>
      <c r="C710" s="47"/>
    </row>
    <row r="711" spans="1:3" ht="15.75" customHeight="1">
      <c r="A711" s="46"/>
      <c r="B711" s="46"/>
      <c r="C711" s="47"/>
    </row>
    <row r="712" spans="1:3" ht="15.75" customHeight="1">
      <c r="A712" s="46"/>
      <c r="B712" s="46"/>
      <c r="C712" s="47"/>
    </row>
    <row r="713" spans="1:3" ht="15.75" customHeight="1">
      <c r="A713" s="46"/>
      <c r="B713" s="46"/>
      <c r="C713" s="47"/>
    </row>
    <row r="714" spans="1:3" ht="15.75" customHeight="1">
      <c r="A714" s="46"/>
      <c r="B714" s="46"/>
      <c r="C714" s="47"/>
    </row>
    <row r="715" spans="1:3" ht="15.75" customHeight="1">
      <c r="A715" s="46"/>
      <c r="B715" s="46"/>
      <c r="C715" s="47"/>
    </row>
    <row r="716" spans="1:3" ht="15.75" customHeight="1">
      <c r="A716" s="46"/>
      <c r="B716" s="46"/>
      <c r="C716" s="47"/>
    </row>
    <row r="717" spans="1:3" ht="15.75" customHeight="1">
      <c r="A717" s="46"/>
      <c r="B717" s="46"/>
      <c r="C717" s="47"/>
    </row>
    <row r="718" spans="1:3" ht="15.75" customHeight="1">
      <c r="A718" s="46"/>
      <c r="B718" s="46"/>
      <c r="C718" s="47"/>
    </row>
    <row r="719" spans="1:3" ht="15.75" customHeight="1">
      <c r="A719" s="46"/>
      <c r="B719" s="46"/>
      <c r="C719" s="47"/>
    </row>
    <row r="720" spans="1:3" ht="15.75" customHeight="1">
      <c r="A720" s="46"/>
      <c r="B720" s="46"/>
      <c r="C720" s="47"/>
    </row>
    <row r="721" spans="1:3" ht="15.75" customHeight="1">
      <c r="A721" s="46"/>
      <c r="B721" s="46"/>
      <c r="C721" s="47"/>
    </row>
    <row r="722" spans="1:3" ht="15.75" customHeight="1">
      <c r="A722" s="46"/>
      <c r="B722" s="46"/>
      <c r="C722" s="47"/>
    </row>
    <row r="723" spans="1:3" ht="15.75" customHeight="1">
      <c r="A723" s="46"/>
      <c r="B723" s="46"/>
      <c r="C723" s="47"/>
    </row>
    <row r="724" spans="1:3" ht="15.75" customHeight="1">
      <c r="A724" s="46"/>
      <c r="B724" s="46"/>
      <c r="C724" s="47"/>
    </row>
    <row r="725" spans="1:3" ht="15.75" customHeight="1">
      <c r="A725" s="46"/>
      <c r="B725" s="46"/>
      <c r="C725" s="47"/>
    </row>
    <row r="726" spans="1:3" ht="15.75" customHeight="1">
      <c r="A726" s="46"/>
      <c r="B726" s="46"/>
      <c r="C726" s="47"/>
    </row>
    <row r="727" spans="1:3" ht="15.75" customHeight="1">
      <c r="A727" s="46"/>
      <c r="B727" s="46"/>
      <c r="C727" s="47"/>
    </row>
    <row r="728" spans="1:3" ht="15.75" customHeight="1">
      <c r="A728" s="46"/>
      <c r="B728" s="46"/>
      <c r="C728" s="47"/>
    </row>
    <row r="729" spans="1:3" ht="15.75" customHeight="1">
      <c r="A729" s="46"/>
      <c r="B729" s="46"/>
      <c r="C729" s="47"/>
    </row>
    <row r="730" spans="1:3" ht="15.75" customHeight="1">
      <c r="A730" s="46"/>
      <c r="B730" s="46"/>
      <c r="C730" s="47"/>
    </row>
    <row r="731" spans="1:3" ht="15.75" customHeight="1">
      <c r="A731" s="46"/>
      <c r="B731" s="46"/>
      <c r="C731" s="47"/>
    </row>
    <row r="732" spans="1:3" ht="15.75" customHeight="1">
      <c r="A732" s="46"/>
      <c r="B732" s="46"/>
      <c r="C732" s="47"/>
    </row>
    <row r="733" spans="1:3" ht="15.75" customHeight="1">
      <c r="A733" s="46"/>
      <c r="B733" s="46"/>
      <c r="C733" s="47"/>
    </row>
    <row r="734" spans="1:3" ht="15.75" customHeight="1">
      <c r="A734" s="46"/>
      <c r="B734" s="46"/>
      <c r="C734" s="47"/>
    </row>
    <row r="735" spans="1:3" ht="15.75" customHeight="1">
      <c r="A735" s="46"/>
      <c r="B735" s="46"/>
      <c r="C735" s="47"/>
    </row>
    <row r="736" spans="1:3" ht="15.75" customHeight="1">
      <c r="A736" s="46"/>
      <c r="B736" s="46"/>
      <c r="C736" s="47"/>
    </row>
    <row r="737" spans="1:3" ht="15.75" customHeight="1">
      <c r="A737" s="46"/>
      <c r="B737" s="46"/>
      <c r="C737" s="47"/>
    </row>
    <row r="738" spans="1:3" ht="15.75" customHeight="1">
      <c r="A738" s="46"/>
      <c r="B738" s="46"/>
      <c r="C738" s="47"/>
    </row>
    <row r="739" spans="1:3" ht="15.75" customHeight="1">
      <c r="A739" s="46"/>
      <c r="B739" s="46"/>
      <c r="C739" s="47"/>
    </row>
    <row r="740" spans="1:3" ht="15.75" customHeight="1">
      <c r="A740" s="46"/>
      <c r="B740" s="46"/>
      <c r="C740" s="47"/>
    </row>
    <row r="741" spans="1:3" ht="15.75" customHeight="1">
      <c r="A741" s="46"/>
      <c r="B741" s="46"/>
      <c r="C741" s="47"/>
    </row>
    <row r="742" spans="1:3" ht="15.75" customHeight="1">
      <c r="A742" s="46"/>
      <c r="B742" s="46"/>
      <c r="C742" s="47"/>
    </row>
    <row r="743" spans="1:3" ht="15.75" customHeight="1">
      <c r="A743" s="46"/>
      <c r="B743" s="46"/>
      <c r="C743" s="47"/>
    </row>
    <row r="744" spans="1:3" ht="15.75" customHeight="1">
      <c r="A744" s="46"/>
      <c r="B744" s="46"/>
      <c r="C744" s="47"/>
    </row>
    <row r="745" spans="1:3" ht="15.75" customHeight="1">
      <c r="A745" s="46"/>
      <c r="B745" s="46"/>
      <c r="C745" s="47"/>
    </row>
    <row r="746" spans="1:3" ht="15.75" customHeight="1">
      <c r="A746" s="46"/>
      <c r="B746" s="46"/>
      <c r="C746" s="47"/>
    </row>
    <row r="747" spans="1:3" ht="15.75" customHeight="1">
      <c r="A747" s="46"/>
      <c r="B747" s="46"/>
      <c r="C747" s="47"/>
    </row>
    <row r="748" spans="1:3" ht="15.75" customHeight="1">
      <c r="A748" s="46"/>
      <c r="B748" s="46"/>
      <c r="C748" s="47"/>
    </row>
    <row r="749" spans="1:3" ht="15.75" customHeight="1">
      <c r="A749" s="46"/>
      <c r="B749" s="46"/>
      <c r="C749" s="47"/>
    </row>
    <row r="750" spans="1:3" ht="15.75" customHeight="1">
      <c r="A750" s="46"/>
      <c r="B750" s="46"/>
      <c r="C750" s="47"/>
    </row>
    <row r="751" spans="1:3" ht="15.75" customHeight="1">
      <c r="A751" s="46"/>
      <c r="B751" s="46"/>
      <c r="C751" s="47"/>
    </row>
    <row r="752" spans="1:3" ht="15.75" customHeight="1">
      <c r="A752" s="46"/>
      <c r="B752" s="46"/>
      <c r="C752" s="47"/>
    </row>
    <row r="753" spans="1:3" ht="15.75" customHeight="1">
      <c r="A753" s="46"/>
      <c r="B753" s="46"/>
      <c r="C753" s="47"/>
    </row>
    <row r="754" spans="1:3" ht="15.75" customHeight="1">
      <c r="A754" s="46"/>
      <c r="B754" s="46"/>
      <c r="C754" s="47"/>
    </row>
    <row r="755" spans="1:3" ht="15.75" customHeight="1">
      <c r="A755" s="46"/>
      <c r="B755" s="46"/>
      <c r="C755" s="47"/>
    </row>
    <row r="756" spans="1:3" ht="15.75" customHeight="1">
      <c r="A756" s="46"/>
      <c r="B756" s="46"/>
      <c r="C756" s="47"/>
    </row>
    <row r="757" spans="1:3" ht="15.75" customHeight="1">
      <c r="A757" s="46"/>
      <c r="B757" s="46"/>
      <c r="C757" s="47"/>
    </row>
    <row r="758" spans="1:3" ht="15.75" customHeight="1">
      <c r="A758" s="46"/>
      <c r="B758" s="46"/>
      <c r="C758" s="47"/>
    </row>
    <row r="759" spans="1:3" ht="15.75" customHeight="1">
      <c r="A759" s="46"/>
      <c r="B759" s="46"/>
      <c r="C759" s="47"/>
    </row>
    <row r="760" spans="1:3" ht="15.75" customHeight="1">
      <c r="A760" s="46"/>
      <c r="B760" s="46"/>
      <c r="C760" s="47"/>
    </row>
    <row r="761" spans="1:3" ht="15.75" customHeight="1">
      <c r="A761" s="46"/>
      <c r="B761" s="46"/>
      <c r="C761" s="47"/>
    </row>
    <row r="762" spans="1:3" ht="15.75" customHeight="1">
      <c r="A762" s="46"/>
      <c r="B762" s="46"/>
      <c r="C762" s="47"/>
    </row>
    <row r="763" spans="1:3" ht="15.75" customHeight="1">
      <c r="A763" s="46"/>
      <c r="B763" s="46"/>
      <c r="C763" s="47"/>
    </row>
    <row r="764" spans="1:3" ht="15.75" customHeight="1">
      <c r="A764" s="46"/>
      <c r="B764" s="46"/>
      <c r="C764" s="47"/>
    </row>
    <row r="765" spans="1:3" ht="15.75" customHeight="1">
      <c r="A765" s="46"/>
      <c r="B765" s="46"/>
      <c r="C765" s="47"/>
    </row>
    <row r="766" spans="1:3" ht="15.75" customHeight="1">
      <c r="A766" s="46"/>
      <c r="B766" s="46"/>
      <c r="C766" s="47"/>
    </row>
    <row r="767" spans="1:3" ht="15.75" customHeight="1">
      <c r="A767" s="46"/>
      <c r="B767" s="46"/>
      <c r="C767" s="47"/>
    </row>
    <row r="768" spans="1:3" ht="15.75" customHeight="1">
      <c r="A768" s="46"/>
      <c r="B768" s="46"/>
      <c r="C768" s="47"/>
    </row>
    <row r="769" spans="1:3" ht="15.75" customHeight="1">
      <c r="A769" s="46"/>
      <c r="B769" s="46"/>
      <c r="C769" s="47"/>
    </row>
    <row r="770" spans="1:3" ht="15.75" customHeight="1">
      <c r="A770" s="46"/>
      <c r="B770" s="46"/>
      <c r="C770" s="47"/>
    </row>
    <row r="771" spans="1:3" ht="15.75" customHeight="1">
      <c r="A771" s="46"/>
      <c r="B771" s="46"/>
      <c r="C771" s="47"/>
    </row>
    <row r="772" spans="1:3" ht="15.75" customHeight="1">
      <c r="A772" s="46"/>
      <c r="B772" s="46"/>
      <c r="C772" s="47"/>
    </row>
    <row r="773" spans="1:3" ht="15.75" customHeight="1">
      <c r="A773" s="46"/>
      <c r="B773" s="46"/>
      <c r="C773" s="47"/>
    </row>
    <row r="774" spans="1:3" ht="15.75" customHeight="1">
      <c r="A774" s="46"/>
      <c r="B774" s="46"/>
      <c r="C774" s="47"/>
    </row>
    <row r="775" spans="1:3" ht="15.75" customHeight="1">
      <c r="A775" s="46"/>
      <c r="B775" s="46"/>
      <c r="C775" s="47"/>
    </row>
    <row r="776" spans="1:3" ht="15.75" customHeight="1">
      <c r="A776" s="46"/>
      <c r="B776" s="46"/>
      <c r="C776" s="47"/>
    </row>
    <row r="777" spans="1:3" ht="15.75" customHeight="1">
      <c r="A777" s="46"/>
      <c r="B777" s="46"/>
      <c r="C777" s="47"/>
    </row>
    <row r="778" spans="1:3" ht="15.75" customHeight="1">
      <c r="A778" s="46"/>
      <c r="B778" s="46"/>
      <c r="C778" s="47"/>
    </row>
    <row r="779" spans="1:3" ht="15.75" customHeight="1">
      <c r="A779" s="46"/>
      <c r="B779" s="46"/>
      <c r="C779" s="47"/>
    </row>
    <row r="780" spans="1:3" ht="15.75" customHeight="1">
      <c r="A780" s="46"/>
      <c r="B780" s="46"/>
      <c r="C780" s="47"/>
    </row>
    <row r="781" spans="1:3" ht="15.75" customHeight="1">
      <c r="A781" s="46"/>
      <c r="B781" s="46"/>
      <c r="C781" s="47"/>
    </row>
    <row r="782" spans="1:3" ht="15.75" customHeight="1">
      <c r="A782" s="46"/>
      <c r="B782" s="46"/>
      <c r="C782" s="47"/>
    </row>
    <row r="783" spans="1:3" ht="15.75" customHeight="1">
      <c r="A783" s="46"/>
      <c r="B783" s="46"/>
      <c r="C783" s="47"/>
    </row>
    <row r="784" spans="1:3" ht="15.75" customHeight="1">
      <c r="A784" s="46"/>
      <c r="B784" s="46"/>
      <c r="C784" s="47"/>
    </row>
    <row r="785" spans="1:3" ht="15.75" customHeight="1">
      <c r="A785" s="46"/>
      <c r="B785" s="46"/>
      <c r="C785" s="47"/>
    </row>
    <row r="786" spans="1:3" ht="15.75" customHeight="1">
      <c r="A786" s="46"/>
      <c r="B786" s="46"/>
      <c r="C786" s="47"/>
    </row>
    <row r="787" spans="1:3" ht="15.75" customHeight="1">
      <c r="A787" s="46"/>
      <c r="B787" s="46"/>
      <c r="C787" s="47"/>
    </row>
    <row r="788" spans="1:3" ht="15.75" customHeight="1">
      <c r="A788" s="46"/>
      <c r="B788" s="46"/>
      <c r="C788" s="47"/>
    </row>
    <row r="789" spans="1:3" ht="15.75" customHeight="1">
      <c r="A789" s="46"/>
      <c r="B789" s="46"/>
      <c r="C789" s="47"/>
    </row>
    <row r="790" spans="1:3" ht="15.75" customHeight="1">
      <c r="A790" s="46"/>
      <c r="B790" s="46"/>
      <c r="C790" s="47"/>
    </row>
    <row r="791" spans="1:3" ht="15.75" customHeight="1">
      <c r="A791" s="46"/>
      <c r="B791" s="46"/>
      <c r="C791" s="47"/>
    </row>
    <row r="792" spans="1:3" ht="15.75" customHeight="1">
      <c r="A792" s="46"/>
      <c r="B792" s="46"/>
      <c r="C792" s="47"/>
    </row>
    <row r="793" spans="1:3" ht="15.75" customHeight="1">
      <c r="A793" s="46"/>
      <c r="B793" s="46"/>
      <c r="C793" s="47"/>
    </row>
    <row r="794" spans="1:3" ht="15.75" customHeight="1">
      <c r="A794" s="46"/>
      <c r="B794" s="46"/>
      <c r="C794" s="47"/>
    </row>
    <row r="795" spans="1:3" ht="15.75" customHeight="1">
      <c r="A795" s="46"/>
      <c r="B795" s="46"/>
      <c r="C795" s="47"/>
    </row>
    <row r="796" spans="1:3" ht="15.75" customHeight="1">
      <c r="A796" s="46"/>
      <c r="B796" s="46"/>
      <c r="C796" s="47"/>
    </row>
    <row r="797" spans="1:3" ht="15.75" customHeight="1">
      <c r="A797" s="46"/>
      <c r="B797" s="46"/>
      <c r="C797" s="47"/>
    </row>
    <row r="798" spans="1:3" ht="15.75" customHeight="1">
      <c r="A798" s="46"/>
      <c r="B798" s="46"/>
      <c r="C798" s="47"/>
    </row>
    <row r="799" spans="1:3" ht="15.75" customHeight="1">
      <c r="A799" s="46"/>
      <c r="B799" s="46"/>
      <c r="C799" s="47"/>
    </row>
    <row r="800" spans="1:3" ht="15.75" customHeight="1">
      <c r="A800" s="46"/>
      <c r="B800" s="46"/>
      <c r="C800" s="47"/>
    </row>
    <row r="801" spans="1:3" ht="15.75" customHeight="1">
      <c r="A801" s="46"/>
      <c r="B801" s="46"/>
      <c r="C801" s="47"/>
    </row>
    <row r="802" spans="1:3" ht="15.75" customHeight="1">
      <c r="A802" s="46"/>
      <c r="B802" s="46"/>
      <c r="C802" s="47"/>
    </row>
    <row r="803" spans="1:3" ht="15.75" customHeight="1">
      <c r="A803" s="46"/>
      <c r="B803" s="46"/>
      <c r="C803" s="47"/>
    </row>
    <row r="804" spans="1:3" ht="15.75" customHeight="1">
      <c r="A804" s="46"/>
      <c r="B804" s="46"/>
      <c r="C804" s="47"/>
    </row>
    <row r="805" spans="1:3" ht="15.75" customHeight="1">
      <c r="A805" s="46"/>
      <c r="B805" s="46"/>
      <c r="C805" s="47"/>
    </row>
    <row r="806" spans="1:3" ht="15.75" customHeight="1">
      <c r="A806" s="46"/>
      <c r="B806" s="46"/>
      <c r="C806" s="47"/>
    </row>
    <row r="807" spans="1:3" ht="15.75" customHeight="1">
      <c r="A807" s="46"/>
      <c r="B807" s="46"/>
      <c r="C807" s="47"/>
    </row>
    <row r="808" spans="1:3" ht="15.75" customHeight="1">
      <c r="A808" s="46"/>
      <c r="B808" s="46"/>
      <c r="C808" s="47"/>
    </row>
    <row r="809" spans="1:3" ht="15.75" customHeight="1">
      <c r="A809" s="46"/>
      <c r="B809" s="46"/>
      <c r="C809" s="47"/>
    </row>
    <row r="810" spans="1:3" ht="15.75" customHeight="1">
      <c r="A810" s="46"/>
      <c r="B810" s="46"/>
      <c r="C810" s="47"/>
    </row>
    <row r="811" spans="1:3" ht="15.75" customHeight="1">
      <c r="A811" s="46"/>
      <c r="B811" s="46"/>
      <c r="C811" s="47"/>
    </row>
    <row r="812" spans="1:3" ht="15.75" customHeight="1">
      <c r="A812" s="46"/>
      <c r="B812" s="46"/>
      <c r="C812" s="47"/>
    </row>
    <row r="813" spans="1:3" ht="15.75" customHeight="1">
      <c r="A813" s="46"/>
      <c r="B813" s="46"/>
      <c r="C813" s="47"/>
    </row>
    <row r="814" spans="1:3" ht="15.75" customHeight="1">
      <c r="A814" s="46"/>
      <c r="B814" s="46"/>
      <c r="C814" s="47"/>
    </row>
    <row r="815" spans="1:3" ht="15.75" customHeight="1">
      <c r="A815" s="46"/>
      <c r="B815" s="46"/>
      <c r="C815" s="47"/>
    </row>
    <row r="816" spans="1:3" ht="15.75" customHeight="1">
      <c r="A816" s="46"/>
      <c r="B816" s="46"/>
      <c r="C816" s="47"/>
    </row>
    <row r="817" spans="1:3" ht="15.75" customHeight="1">
      <c r="A817" s="46"/>
      <c r="B817" s="46"/>
      <c r="C817" s="47"/>
    </row>
    <row r="818" spans="1:3" ht="15.75" customHeight="1">
      <c r="A818" s="46"/>
      <c r="B818" s="46"/>
      <c r="C818" s="47"/>
    </row>
    <row r="819" spans="1:3" ht="15.75" customHeight="1">
      <c r="A819" s="46"/>
      <c r="B819" s="46"/>
      <c r="C819" s="47"/>
    </row>
    <row r="820" spans="1:3" ht="15.75" customHeight="1">
      <c r="A820" s="46"/>
      <c r="B820" s="46"/>
      <c r="C820" s="47"/>
    </row>
    <row r="821" spans="1:3" ht="15.75" customHeight="1">
      <c r="A821" s="46"/>
      <c r="B821" s="46"/>
      <c r="C821" s="47"/>
    </row>
    <row r="822" spans="1:3" ht="15.75" customHeight="1">
      <c r="A822" s="46"/>
      <c r="B822" s="46"/>
      <c r="C822" s="47"/>
    </row>
    <row r="823" spans="1:3" ht="15.75" customHeight="1">
      <c r="A823" s="46"/>
      <c r="B823" s="46"/>
      <c r="C823" s="47"/>
    </row>
    <row r="824" spans="1:3" ht="15.75" customHeight="1">
      <c r="A824" s="46"/>
      <c r="B824" s="46"/>
      <c r="C824" s="47"/>
    </row>
    <row r="825" spans="1:3" ht="15.75" customHeight="1">
      <c r="A825" s="46"/>
      <c r="B825" s="46"/>
      <c r="C825" s="47"/>
    </row>
    <row r="826" spans="1:3" ht="15.75" customHeight="1">
      <c r="A826" s="46"/>
      <c r="B826" s="46"/>
      <c r="C826" s="47"/>
    </row>
    <row r="827" spans="1:3" ht="15.75" customHeight="1">
      <c r="A827" s="46"/>
      <c r="B827" s="46"/>
      <c r="C827" s="47"/>
    </row>
    <row r="828" spans="1:3" ht="15.75" customHeight="1">
      <c r="A828" s="46"/>
      <c r="B828" s="46"/>
      <c r="C828" s="47"/>
    </row>
    <row r="829" spans="1:3" ht="15.75" customHeight="1">
      <c r="A829" s="46"/>
      <c r="B829" s="46"/>
      <c r="C829" s="47"/>
    </row>
    <row r="830" spans="1:3" ht="15.75" customHeight="1">
      <c r="A830" s="46"/>
      <c r="B830" s="46"/>
      <c r="C830" s="47"/>
    </row>
    <row r="831" spans="1:3" ht="15.75" customHeight="1">
      <c r="A831" s="46"/>
      <c r="B831" s="46"/>
      <c r="C831" s="47"/>
    </row>
    <row r="832" spans="1:3" ht="15.75" customHeight="1">
      <c r="A832" s="46"/>
      <c r="B832" s="46"/>
      <c r="C832" s="47"/>
    </row>
    <row r="833" spans="1:3" ht="15.75" customHeight="1">
      <c r="A833" s="46"/>
      <c r="B833" s="46"/>
      <c r="C833" s="47"/>
    </row>
    <row r="834" spans="1:3" ht="15.75" customHeight="1">
      <c r="A834" s="46"/>
      <c r="B834" s="46"/>
      <c r="C834" s="47"/>
    </row>
    <row r="835" spans="1:3" ht="15.75" customHeight="1">
      <c r="A835" s="46"/>
      <c r="B835" s="46"/>
      <c r="C835" s="47"/>
    </row>
    <row r="836" spans="1:3" ht="15.75" customHeight="1">
      <c r="A836" s="46"/>
      <c r="B836" s="46"/>
      <c r="C836" s="47"/>
    </row>
    <row r="837" spans="1:3" ht="15.75" customHeight="1">
      <c r="A837" s="46"/>
      <c r="B837" s="46"/>
      <c r="C837" s="47"/>
    </row>
    <row r="838" spans="1:3" ht="15.75" customHeight="1">
      <c r="A838" s="46"/>
      <c r="B838" s="46"/>
      <c r="C838" s="47"/>
    </row>
    <row r="839" spans="1:3" ht="15.75" customHeight="1">
      <c r="A839" s="46"/>
      <c r="B839" s="46"/>
      <c r="C839" s="47"/>
    </row>
    <row r="840" spans="1:3" ht="15.75" customHeight="1">
      <c r="A840" s="46"/>
      <c r="B840" s="46"/>
      <c r="C840" s="47"/>
    </row>
    <row r="841" spans="1:3" ht="15.75" customHeight="1">
      <c r="A841" s="46"/>
      <c r="B841" s="46"/>
      <c r="C841" s="47"/>
    </row>
    <row r="842" spans="1:3" ht="15.75" customHeight="1">
      <c r="A842" s="46"/>
      <c r="B842" s="46"/>
      <c r="C842" s="47"/>
    </row>
    <row r="843" spans="1:3" ht="15.75" customHeight="1">
      <c r="A843" s="46"/>
      <c r="B843" s="46"/>
      <c r="C843" s="47"/>
    </row>
    <row r="844" spans="1:3" ht="15.75" customHeight="1">
      <c r="A844" s="46"/>
      <c r="B844" s="46"/>
      <c r="C844" s="47"/>
    </row>
    <row r="845" spans="1:3" ht="15.75" customHeight="1">
      <c r="A845" s="46"/>
      <c r="B845" s="46"/>
      <c r="C845" s="47"/>
    </row>
    <row r="846" spans="1:3" ht="15.75" customHeight="1">
      <c r="A846" s="46"/>
      <c r="B846" s="46"/>
      <c r="C846" s="47"/>
    </row>
    <row r="847" spans="1:3" ht="15.75" customHeight="1">
      <c r="A847" s="46"/>
      <c r="B847" s="46"/>
      <c r="C847" s="47"/>
    </row>
    <row r="848" spans="1:3" ht="15.75" customHeight="1">
      <c r="A848" s="46"/>
      <c r="B848" s="46"/>
      <c r="C848" s="47"/>
    </row>
    <row r="849" spans="1:3" ht="15.75" customHeight="1">
      <c r="A849" s="46"/>
      <c r="B849" s="46"/>
      <c r="C849" s="47"/>
    </row>
    <row r="850" spans="1:3" ht="15.75" customHeight="1">
      <c r="A850" s="46"/>
      <c r="B850" s="46"/>
      <c r="C850" s="47"/>
    </row>
    <row r="851" spans="1:3" ht="15.75" customHeight="1">
      <c r="A851" s="46"/>
      <c r="B851" s="46"/>
      <c r="C851" s="47"/>
    </row>
    <row r="852" spans="1:3" ht="15.75" customHeight="1">
      <c r="A852" s="46"/>
      <c r="B852" s="46"/>
      <c r="C852" s="47"/>
    </row>
    <row r="853" spans="1:3" ht="15.75" customHeight="1">
      <c r="A853" s="46"/>
      <c r="B853" s="46"/>
      <c r="C853" s="47"/>
    </row>
    <row r="854" spans="1:3" ht="15.75" customHeight="1">
      <c r="A854" s="46"/>
      <c r="B854" s="46"/>
      <c r="C854" s="47"/>
    </row>
    <row r="855" spans="1:3" ht="15.75" customHeight="1">
      <c r="A855" s="46"/>
      <c r="B855" s="46"/>
      <c r="C855" s="47"/>
    </row>
    <row r="856" spans="1:3" ht="15.75" customHeight="1">
      <c r="A856" s="46"/>
      <c r="B856" s="46"/>
      <c r="C856" s="47"/>
    </row>
    <row r="857" spans="1:3" ht="15.75" customHeight="1">
      <c r="A857" s="46"/>
      <c r="B857" s="46"/>
      <c r="C857" s="47"/>
    </row>
    <row r="858" spans="1:3" ht="15.75" customHeight="1">
      <c r="A858" s="46"/>
      <c r="B858" s="46"/>
      <c r="C858" s="47"/>
    </row>
    <row r="859" spans="1:3" ht="15.75" customHeight="1">
      <c r="A859" s="46"/>
      <c r="B859" s="46"/>
      <c r="C859" s="47"/>
    </row>
    <row r="860" spans="1:3" ht="15.75" customHeight="1">
      <c r="A860" s="46"/>
      <c r="B860" s="46"/>
      <c r="C860" s="47"/>
    </row>
    <row r="861" spans="1:3" ht="15.75" customHeight="1">
      <c r="A861" s="46"/>
      <c r="B861" s="46"/>
      <c r="C861" s="47"/>
    </row>
    <row r="862" spans="1:3" ht="15.75" customHeight="1">
      <c r="A862" s="46"/>
      <c r="B862" s="46"/>
      <c r="C862" s="47"/>
    </row>
    <row r="863" spans="1:3" ht="15.75" customHeight="1">
      <c r="A863" s="46"/>
      <c r="B863" s="46"/>
      <c r="C863" s="47"/>
    </row>
    <row r="864" spans="1:3" ht="15.75" customHeight="1">
      <c r="A864" s="46"/>
      <c r="B864" s="46"/>
      <c r="C864" s="47"/>
    </row>
    <row r="865" spans="1:3" ht="15.75" customHeight="1">
      <c r="A865" s="46"/>
      <c r="B865" s="46"/>
      <c r="C865" s="47"/>
    </row>
    <row r="866" spans="1:3" ht="15.75" customHeight="1">
      <c r="A866" s="46"/>
      <c r="B866" s="46"/>
      <c r="C866" s="47"/>
    </row>
    <row r="867" spans="1:3" ht="15.75" customHeight="1">
      <c r="A867" s="46"/>
      <c r="B867" s="46"/>
      <c r="C867" s="47"/>
    </row>
    <row r="868" spans="1:3" ht="15.75" customHeight="1">
      <c r="A868" s="46"/>
      <c r="B868" s="46"/>
      <c r="C868" s="47"/>
    </row>
    <row r="869" spans="1:3" ht="15.75" customHeight="1">
      <c r="A869" s="46"/>
      <c r="B869" s="46"/>
      <c r="C869" s="47"/>
    </row>
    <row r="870" spans="1:3" ht="15.75" customHeight="1">
      <c r="A870" s="46"/>
      <c r="B870" s="46"/>
      <c r="C870" s="47"/>
    </row>
    <row r="871" spans="1:3" ht="15.75" customHeight="1">
      <c r="A871" s="46"/>
      <c r="B871" s="46"/>
      <c r="C871" s="47"/>
    </row>
    <row r="872" spans="1:3" ht="15.75" customHeight="1">
      <c r="A872" s="46"/>
      <c r="B872" s="46"/>
      <c r="C872" s="47"/>
    </row>
    <row r="873" spans="1:3" ht="15.75" customHeight="1">
      <c r="A873" s="46"/>
      <c r="B873" s="46"/>
      <c r="C873" s="47"/>
    </row>
    <row r="874" spans="1:3" ht="15.75" customHeight="1">
      <c r="A874" s="46"/>
      <c r="B874" s="46"/>
      <c r="C874" s="47"/>
    </row>
    <row r="875" spans="1:3" ht="15.75" customHeight="1">
      <c r="A875" s="46"/>
      <c r="B875" s="46"/>
      <c r="C875" s="47"/>
    </row>
    <row r="876" spans="1:3" ht="15.75" customHeight="1">
      <c r="A876" s="46"/>
      <c r="B876" s="46"/>
      <c r="C876" s="47"/>
    </row>
    <row r="877" spans="1:3" ht="15.75" customHeight="1">
      <c r="A877" s="46"/>
      <c r="B877" s="46"/>
      <c r="C877" s="47"/>
    </row>
    <row r="878" spans="1:3" ht="15.75" customHeight="1">
      <c r="A878" s="46"/>
      <c r="B878" s="46"/>
      <c r="C878" s="47"/>
    </row>
    <row r="879" spans="1:3" ht="15.75" customHeight="1">
      <c r="A879" s="46"/>
      <c r="B879" s="46"/>
      <c r="C879" s="47"/>
    </row>
    <row r="880" spans="1:3" ht="15.75" customHeight="1">
      <c r="A880" s="46"/>
      <c r="B880" s="46"/>
      <c r="C880" s="47"/>
    </row>
    <row r="881" spans="1:3" ht="15.75" customHeight="1">
      <c r="A881" s="46"/>
      <c r="B881" s="46"/>
      <c r="C881" s="47"/>
    </row>
    <row r="882" spans="1:3" ht="15.75" customHeight="1">
      <c r="A882" s="46"/>
      <c r="B882" s="46"/>
      <c r="C882" s="47"/>
    </row>
    <row r="883" spans="1:3" ht="15.75" customHeight="1">
      <c r="A883" s="46"/>
      <c r="B883" s="46"/>
      <c r="C883" s="47"/>
    </row>
    <row r="884" spans="1:3" ht="15.75" customHeight="1">
      <c r="A884" s="46"/>
      <c r="B884" s="46"/>
      <c r="C884" s="47"/>
    </row>
    <row r="885" spans="1:3" ht="15.75" customHeight="1">
      <c r="A885" s="46"/>
      <c r="B885" s="46"/>
      <c r="C885" s="47"/>
    </row>
    <row r="886" spans="1:3" ht="15.75" customHeight="1">
      <c r="A886" s="46"/>
      <c r="B886" s="46"/>
      <c r="C886" s="47"/>
    </row>
    <row r="887" spans="1:3" ht="15.75" customHeight="1">
      <c r="A887" s="46"/>
      <c r="B887" s="46"/>
      <c r="C887" s="47"/>
    </row>
    <row r="888" spans="1:3" ht="15.75" customHeight="1">
      <c r="A888" s="46"/>
      <c r="B888" s="46"/>
      <c r="C888" s="47"/>
    </row>
    <row r="889" spans="1:3" ht="15.75" customHeight="1">
      <c r="A889" s="46"/>
      <c r="B889" s="46"/>
      <c r="C889" s="47"/>
    </row>
    <row r="890" spans="1:3" ht="15.75" customHeight="1">
      <c r="A890" s="46"/>
      <c r="B890" s="46"/>
      <c r="C890" s="47"/>
    </row>
    <row r="891" spans="1:3" ht="15.75" customHeight="1">
      <c r="A891" s="46"/>
      <c r="B891" s="46"/>
      <c r="C891" s="47"/>
    </row>
    <row r="892" spans="1:3" ht="15.75" customHeight="1">
      <c r="A892" s="46"/>
      <c r="B892" s="46"/>
      <c r="C892" s="47"/>
    </row>
    <row r="893" spans="1:3" ht="15.75" customHeight="1">
      <c r="A893" s="46"/>
      <c r="B893" s="46"/>
      <c r="C893" s="47"/>
    </row>
    <row r="894" spans="1:3" ht="15.75" customHeight="1">
      <c r="A894" s="46"/>
      <c r="B894" s="46"/>
      <c r="C894" s="47"/>
    </row>
    <row r="895" spans="1:3" ht="15.75" customHeight="1">
      <c r="A895" s="46"/>
      <c r="B895" s="46"/>
      <c r="C895" s="47"/>
    </row>
    <row r="896" spans="1:3" ht="15.75" customHeight="1">
      <c r="A896" s="46"/>
      <c r="B896" s="46"/>
      <c r="C896" s="47"/>
    </row>
    <row r="897" spans="1:3" ht="15.75" customHeight="1">
      <c r="A897" s="46"/>
      <c r="B897" s="46"/>
      <c r="C897" s="47"/>
    </row>
    <row r="898" spans="1:3" ht="15.75" customHeight="1">
      <c r="A898" s="46"/>
      <c r="B898" s="46"/>
      <c r="C898" s="47"/>
    </row>
    <row r="899" spans="1:3" ht="15.75" customHeight="1">
      <c r="A899" s="46"/>
      <c r="B899" s="46"/>
      <c r="C899" s="47"/>
    </row>
    <row r="900" spans="1:3" ht="15.75" customHeight="1">
      <c r="A900" s="46"/>
      <c r="B900" s="46"/>
      <c r="C900" s="47"/>
    </row>
    <row r="901" spans="1:3" ht="15.75" customHeight="1">
      <c r="A901" s="46"/>
      <c r="B901" s="46"/>
      <c r="C901" s="47"/>
    </row>
    <row r="902" spans="1:3" ht="15.75" customHeight="1">
      <c r="A902" s="46"/>
      <c r="B902" s="46"/>
      <c r="C902" s="47"/>
    </row>
    <row r="903" spans="1:3" ht="15.75" customHeight="1">
      <c r="A903" s="46"/>
      <c r="B903" s="46"/>
      <c r="C903" s="47"/>
    </row>
    <row r="904" spans="1:3" ht="15.75" customHeight="1">
      <c r="A904" s="46"/>
      <c r="B904" s="46"/>
      <c r="C904" s="47"/>
    </row>
    <row r="905" spans="1:3" ht="15.75" customHeight="1">
      <c r="A905" s="46"/>
      <c r="B905" s="46"/>
      <c r="C905" s="47"/>
    </row>
    <row r="906" spans="1:3" ht="15.75" customHeight="1">
      <c r="A906" s="46"/>
      <c r="B906" s="46"/>
      <c r="C906" s="47"/>
    </row>
    <row r="907" spans="1:3" ht="15.75" customHeight="1">
      <c r="A907" s="46"/>
      <c r="B907" s="46"/>
      <c r="C907" s="47"/>
    </row>
    <row r="908" spans="1:3" ht="15.75" customHeight="1">
      <c r="A908" s="46"/>
      <c r="B908" s="46"/>
      <c r="C908" s="47"/>
    </row>
    <row r="909" spans="1:3" ht="15.75" customHeight="1">
      <c r="A909" s="46"/>
      <c r="B909" s="46"/>
      <c r="C909" s="47"/>
    </row>
    <row r="910" spans="1:3" ht="15.75" customHeight="1">
      <c r="A910" s="46"/>
      <c r="B910" s="46"/>
      <c r="C910" s="47"/>
    </row>
    <row r="911" spans="1:3" ht="15.75" customHeight="1">
      <c r="A911" s="46"/>
      <c r="B911" s="46"/>
      <c r="C911" s="47"/>
    </row>
    <row r="912" spans="1:3" ht="15.75" customHeight="1">
      <c r="A912" s="46"/>
      <c r="B912" s="46"/>
      <c r="C912" s="47"/>
    </row>
    <row r="913" spans="1:3" ht="15.75" customHeight="1">
      <c r="A913" s="46"/>
      <c r="B913" s="46"/>
      <c r="C913" s="47"/>
    </row>
    <row r="914" spans="1:3" ht="15.75" customHeight="1">
      <c r="A914" s="46"/>
      <c r="B914" s="46"/>
      <c r="C914" s="47"/>
    </row>
    <row r="915" spans="1:3" ht="15.75" customHeight="1">
      <c r="A915" s="46"/>
      <c r="B915" s="46"/>
      <c r="C915" s="47"/>
    </row>
    <row r="916" spans="1:3" ht="15.75" customHeight="1">
      <c r="A916" s="46"/>
      <c r="B916" s="46"/>
      <c r="C916" s="47"/>
    </row>
    <row r="917" spans="1:3" ht="15.75" customHeight="1">
      <c r="A917" s="46"/>
      <c r="B917" s="46"/>
      <c r="C917" s="47"/>
    </row>
    <row r="918" spans="1:3" ht="15.75" customHeight="1">
      <c r="A918" s="46"/>
      <c r="B918" s="46"/>
      <c r="C918" s="47"/>
    </row>
    <row r="919" spans="1:3" ht="15.75" customHeight="1">
      <c r="A919" s="46"/>
      <c r="B919" s="46"/>
      <c r="C919" s="47"/>
    </row>
    <row r="920" spans="1:3" ht="15.75" customHeight="1">
      <c r="A920" s="46"/>
      <c r="B920" s="46"/>
      <c r="C920" s="47"/>
    </row>
    <row r="921" spans="1:3" ht="15.75" customHeight="1">
      <c r="A921" s="46"/>
      <c r="B921" s="46"/>
      <c r="C921" s="47"/>
    </row>
    <row r="922" spans="1:3" ht="15.75" customHeight="1">
      <c r="A922" s="46"/>
      <c r="B922" s="46"/>
      <c r="C922" s="47"/>
    </row>
    <row r="923" spans="1:3" ht="15.75" customHeight="1">
      <c r="A923" s="46"/>
      <c r="B923" s="46"/>
      <c r="C923" s="47"/>
    </row>
    <row r="924" spans="1:3" ht="15.75" customHeight="1">
      <c r="A924" s="46"/>
      <c r="B924" s="46"/>
      <c r="C924" s="47"/>
    </row>
    <row r="925" spans="1:3" ht="15.75" customHeight="1">
      <c r="A925" s="46"/>
      <c r="B925" s="46"/>
      <c r="C925" s="47"/>
    </row>
    <row r="926" spans="1:3" ht="15.75" customHeight="1">
      <c r="A926" s="46"/>
      <c r="B926" s="46"/>
      <c r="C926" s="47"/>
    </row>
    <row r="927" spans="1:3" ht="15.75" customHeight="1">
      <c r="A927" s="46"/>
      <c r="B927" s="46"/>
      <c r="C927" s="47"/>
    </row>
    <row r="928" spans="1:3" ht="15.75" customHeight="1">
      <c r="A928" s="46"/>
      <c r="B928" s="46"/>
      <c r="C928" s="47"/>
    </row>
    <row r="929" spans="1:3" ht="15.75" customHeight="1">
      <c r="A929" s="46"/>
      <c r="B929" s="46"/>
      <c r="C929" s="47"/>
    </row>
    <row r="930" spans="1:3" ht="15.75" customHeight="1">
      <c r="A930" s="46"/>
      <c r="B930" s="46"/>
      <c r="C930" s="47"/>
    </row>
    <row r="931" spans="1:3" ht="15.75" customHeight="1">
      <c r="A931" s="46"/>
      <c r="B931" s="46"/>
      <c r="C931" s="47"/>
    </row>
    <row r="932" spans="1:3" ht="15.75" customHeight="1">
      <c r="A932" s="46"/>
      <c r="B932" s="46"/>
      <c r="C932" s="47"/>
    </row>
    <row r="933" spans="1:3" ht="15.75" customHeight="1">
      <c r="A933" s="46"/>
      <c r="B933" s="46"/>
      <c r="C933" s="47"/>
    </row>
    <row r="934" spans="1:3" ht="15.75" customHeight="1">
      <c r="A934" s="46"/>
      <c r="B934" s="46"/>
      <c r="C934" s="47"/>
    </row>
    <row r="935" spans="1:3" ht="15.75" customHeight="1">
      <c r="A935" s="46"/>
      <c r="B935" s="46"/>
      <c r="C935" s="47"/>
    </row>
    <row r="936" spans="1:3" ht="15.75" customHeight="1">
      <c r="A936" s="46"/>
      <c r="B936" s="46"/>
      <c r="C936" s="47"/>
    </row>
    <row r="937" spans="1:3" ht="15.75" customHeight="1">
      <c r="A937" s="46"/>
      <c r="B937" s="46"/>
      <c r="C937" s="47"/>
    </row>
    <row r="938" spans="1:3" ht="15.75" customHeight="1">
      <c r="A938" s="46"/>
      <c r="B938" s="46"/>
      <c r="C938" s="47"/>
    </row>
    <row r="939" spans="1:3" ht="15.75" customHeight="1">
      <c r="A939" s="46"/>
      <c r="B939" s="46"/>
      <c r="C939" s="47"/>
    </row>
    <row r="940" spans="1:3" ht="15.75" customHeight="1">
      <c r="A940" s="46"/>
      <c r="B940" s="46"/>
      <c r="C940" s="47"/>
    </row>
    <row r="941" spans="1:3" ht="15.75" customHeight="1">
      <c r="A941" s="46"/>
      <c r="B941" s="46"/>
      <c r="C941" s="47"/>
    </row>
    <row r="942" spans="1:3" ht="15.75" customHeight="1">
      <c r="A942" s="46"/>
      <c r="B942" s="46"/>
      <c r="C942" s="47"/>
    </row>
    <row r="943" spans="1:3" ht="15.75" customHeight="1">
      <c r="A943" s="46"/>
      <c r="B943" s="46"/>
      <c r="C943" s="47"/>
    </row>
    <row r="944" spans="1:3" ht="15.75" customHeight="1">
      <c r="A944" s="46"/>
      <c r="B944" s="46"/>
      <c r="C944" s="47"/>
    </row>
    <row r="945" spans="1:3" ht="15.75" customHeight="1">
      <c r="A945" s="46"/>
      <c r="B945" s="46"/>
      <c r="C945" s="47"/>
    </row>
    <row r="946" spans="1:3" ht="15.75" customHeight="1">
      <c r="A946" s="46"/>
      <c r="B946" s="46"/>
      <c r="C946" s="47"/>
    </row>
    <row r="947" spans="1:3" ht="15.75" customHeight="1">
      <c r="A947" s="46"/>
      <c r="B947" s="46"/>
      <c r="C947" s="47"/>
    </row>
    <row r="948" spans="1:3" ht="15.75" customHeight="1">
      <c r="A948" s="46"/>
      <c r="B948" s="46"/>
      <c r="C948" s="47"/>
    </row>
    <row r="949" spans="1:3" ht="15.75" customHeight="1">
      <c r="A949" s="46"/>
      <c r="B949" s="46"/>
      <c r="C949" s="47"/>
    </row>
    <row r="950" spans="1:3" ht="15.75" customHeight="1">
      <c r="A950" s="46"/>
      <c r="B950" s="46"/>
      <c r="C950" s="47"/>
    </row>
    <row r="951" spans="1:3" ht="15.75" customHeight="1">
      <c r="A951" s="46"/>
      <c r="B951" s="46"/>
      <c r="C951" s="47"/>
    </row>
    <row r="952" spans="1:3" ht="15.75" customHeight="1">
      <c r="A952" s="46"/>
      <c r="B952" s="46"/>
      <c r="C952" s="47"/>
    </row>
    <row r="953" spans="1:3" ht="15.75" customHeight="1">
      <c r="A953" s="46"/>
      <c r="B953" s="46"/>
      <c r="C953" s="47"/>
    </row>
    <row r="954" spans="1:3" ht="15.75" customHeight="1">
      <c r="A954" s="46"/>
      <c r="B954" s="46"/>
      <c r="C954" s="47"/>
    </row>
    <row r="955" spans="1:3" ht="15.75" customHeight="1">
      <c r="A955" s="46"/>
      <c r="B955" s="46"/>
      <c r="C955" s="47"/>
    </row>
    <row r="956" spans="1:3" ht="15.75" customHeight="1">
      <c r="A956" s="46"/>
      <c r="B956" s="46"/>
      <c r="C956" s="47"/>
    </row>
    <row r="957" spans="1:3" ht="15.75" customHeight="1">
      <c r="A957" s="46"/>
      <c r="B957" s="46"/>
      <c r="C957" s="47"/>
    </row>
    <row r="958" spans="1:3" ht="15.75" customHeight="1">
      <c r="A958" s="46"/>
      <c r="B958" s="46"/>
      <c r="C958" s="47"/>
    </row>
    <row r="959" spans="1:3" ht="15.75" customHeight="1">
      <c r="A959" s="46"/>
      <c r="B959" s="46"/>
      <c r="C959" s="47"/>
    </row>
    <row r="960" spans="1:3" ht="15.75" customHeight="1">
      <c r="A960" s="46"/>
      <c r="B960" s="46"/>
      <c r="C960" s="47"/>
    </row>
    <row r="961" spans="1:3" ht="15.75" customHeight="1">
      <c r="A961" s="46"/>
      <c r="B961" s="46"/>
      <c r="C961" s="47"/>
    </row>
    <row r="962" spans="1:3" ht="15.75" customHeight="1">
      <c r="A962" s="46"/>
      <c r="B962" s="46"/>
      <c r="C962" s="47"/>
    </row>
    <row r="963" spans="1:3" ht="15.75" customHeight="1">
      <c r="A963" s="46"/>
      <c r="B963" s="46"/>
      <c r="C963" s="47"/>
    </row>
    <row r="964" spans="1:3" ht="15.75" customHeight="1">
      <c r="A964" s="46"/>
      <c r="B964" s="46"/>
      <c r="C964" s="47"/>
    </row>
    <row r="965" spans="1:3" ht="15.75" customHeight="1">
      <c r="A965" s="46"/>
      <c r="B965" s="46"/>
      <c r="C965" s="47"/>
    </row>
    <row r="966" spans="1:3" ht="15.75" customHeight="1">
      <c r="A966" s="46"/>
      <c r="B966" s="46"/>
      <c r="C966" s="47"/>
    </row>
    <row r="967" spans="1:3" ht="15.75" customHeight="1">
      <c r="A967" s="46"/>
      <c r="B967" s="46"/>
      <c r="C967" s="47"/>
    </row>
    <row r="968" spans="1:3" ht="15.75" customHeight="1">
      <c r="A968" s="46"/>
      <c r="B968" s="46"/>
      <c r="C968" s="47"/>
    </row>
    <row r="969" spans="1:3" ht="15.75" customHeight="1">
      <c r="A969" s="46"/>
      <c r="B969" s="46"/>
      <c r="C969" s="47"/>
    </row>
    <row r="970" spans="1:3" ht="15.75" customHeight="1">
      <c r="A970" s="46"/>
      <c r="B970" s="46"/>
      <c r="C970" s="47"/>
    </row>
    <row r="971" spans="1:3" ht="15.75" customHeight="1">
      <c r="A971" s="46"/>
      <c r="B971" s="46"/>
      <c r="C971" s="47"/>
    </row>
    <row r="972" spans="1:3" ht="15.75" customHeight="1">
      <c r="A972" s="46"/>
      <c r="B972" s="46"/>
      <c r="C972" s="47"/>
    </row>
    <row r="973" spans="1:3" ht="15.75" customHeight="1">
      <c r="A973" s="46"/>
      <c r="B973" s="46"/>
      <c r="C973" s="47"/>
    </row>
    <row r="974" spans="1:3" ht="15.75" customHeight="1">
      <c r="A974" s="46"/>
      <c r="B974" s="46"/>
      <c r="C974" s="47"/>
    </row>
    <row r="975" spans="1:3" ht="15.75" customHeight="1">
      <c r="A975" s="46"/>
      <c r="B975" s="46"/>
      <c r="C975" s="47"/>
    </row>
    <row r="976" spans="1:3" ht="15.75" customHeight="1">
      <c r="A976" s="46"/>
      <c r="B976" s="46"/>
      <c r="C976" s="47"/>
    </row>
    <row r="977" spans="1:3" ht="15.75" customHeight="1">
      <c r="A977" s="46"/>
      <c r="B977" s="46"/>
      <c r="C977" s="47"/>
    </row>
    <row r="978" spans="1:3" ht="15.75" customHeight="1">
      <c r="A978" s="46"/>
      <c r="B978" s="46"/>
      <c r="C978" s="47"/>
    </row>
    <row r="979" spans="1:3" ht="15.75" customHeight="1">
      <c r="A979" s="46"/>
      <c r="B979" s="46"/>
      <c r="C979" s="47"/>
    </row>
    <row r="980" spans="1:3" ht="15.75" customHeight="1">
      <c r="A980" s="46"/>
      <c r="B980" s="46"/>
      <c r="C980" s="47"/>
    </row>
    <row r="981" spans="1:3" ht="15.75" customHeight="1">
      <c r="A981" s="46"/>
      <c r="B981" s="46"/>
      <c r="C981" s="47"/>
    </row>
    <row r="982" spans="1:3" ht="15.75" customHeight="1">
      <c r="A982" s="46"/>
      <c r="B982" s="46"/>
      <c r="C982" s="47"/>
    </row>
    <row r="983" spans="1:3" ht="15.75" customHeight="1">
      <c r="A983" s="46"/>
      <c r="B983" s="46"/>
      <c r="C983" s="47"/>
    </row>
    <row r="984" spans="1:3" ht="15.75" customHeight="1">
      <c r="A984" s="46"/>
      <c r="B984" s="46"/>
      <c r="C984" s="47"/>
    </row>
    <row r="985" spans="1:3" ht="15.75" customHeight="1">
      <c r="A985" s="46"/>
      <c r="B985" s="46"/>
      <c r="C985" s="47"/>
    </row>
    <row r="986" spans="1:3" ht="15.75" customHeight="1">
      <c r="A986" s="46"/>
      <c r="B986" s="46"/>
      <c r="C986" s="47"/>
    </row>
    <row r="987" spans="1:3" ht="15.75" customHeight="1">
      <c r="A987" s="46"/>
      <c r="B987" s="46"/>
      <c r="C987" s="47"/>
    </row>
    <row r="988" spans="1:3" ht="15.75" customHeight="1">
      <c r="A988" s="46"/>
      <c r="B988" s="46"/>
      <c r="C988" s="47"/>
    </row>
    <row r="989" spans="1:3" ht="15.75" customHeight="1">
      <c r="A989" s="46"/>
      <c r="B989" s="46"/>
      <c r="C989" s="47"/>
    </row>
    <row r="990" spans="1:3" ht="15.75" customHeight="1">
      <c r="A990" s="46"/>
      <c r="B990" s="46"/>
      <c r="C990" s="47"/>
    </row>
    <row r="991" spans="1:3" ht="15.75" customHeight="1">
      <c r="A991" s="46"/>
      <c r="B991" s="46"/>
      <c r="C991" s="47"/>
    </row>
    <row r="992" spans="1:3" ht="15.75" customHeight="1">
      <c r="A992" s="46"/>
      <c r="B992" s="46"/>
      <c r="C992" s="47"/>
    </row>
    <row r="993" spans="1:3" ht="15.75" customHeight="1">
      <c r="A993" s="46"/>
      <c r="B993" s="46"/>
      <c r="C993" s="47"/>
    </row>
    <row r="994" spans="1:3" ht="15.75" customHeight="1">
      <c r="A994" s="46"/>
      <c r="B994" s="46"/>
      <c r="C994" s="47"/>
    </row>
    <row r="995" spans="1:3" ht="15.75" customHeight="1">
      <c r="A995" s="46"/>
      <c r="B995" s="46"/>
      <c r="C995" s="47"/>
    </row>
    <row r="996" spans="1:3" ht="15.75" customHeight="1">
      <c r="A996" s="46"/>
      <c r="B996" s="46"/>
      <c r="C996" s="47"/>
    </row>
    <row r="997" spans="1:3" ht="15.75" customHeight="1">
      <c r="A997" s="46"/>
      <c r="B997" s="46"/>
      <c r="C997" s="47"/>
    </row>
    <row r="998" spans="1:3" ht="15.75" customHeight="1">
      <c r="A998" s="46"/>
      <c r="B998" s="46"/>
      <c r="C998" s="47"/>
    </row>
    <row r="999" spans="1:3" ht="15.75" customHeight="1">
      <c r="A999" s="46"/>
      <c r="B999" s="46"/>
      <c r="C999" s="47"/>
    </row>
    <row r="1000" spans="1:3" ht="15.75" customHeight="1">
      <c r="A1000" s="46"/>
      <c r="B1000" s="46"/>
      <c r="C1000" s="47"/>
    </row>
  </sheetData>
  <mergeCells count="12">
    <mergeCell ref="S2:U2"/>
    <mergeCell ref="V2:X2"/>
    <mergeCell ref="Y2:AA2"/>
    <mergeCell ref="AB2:AD2"/>
    <mergeCell ref="A1:AG1"/>
    <mergeCell ref="A2:C2"/>
    <mergeCell ref="D2:F2"/>
    <mergeCell ref="G2:I2"/>
    <mergeCell ref="J2:L2"/>
    <mergeCell ref="M2:O2"/>
    <mergeCell ref="P2:R2"/>
    <mergeCell ref="AE2:AG2"/>
  </mergeCells>
  <printOptions gridLines="1"/>
  <pageMargins left="0.64196387216303852" right="0" top="0.64196387216303852" bottom="0.73367299675775832" header="0" footer="0"/>
  <pageSetup paperSize="9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>
      <selection sqref="A1:L1"/>
    </sheetView>
  </sheetViews>
  <sheetFormatPr defaultColWidth="14.44140625" defaultRowHeight="15" customHeight="1"/>
  <cols>
    <col min="1" max="1" width="6.6640625" customWidth="1"/>
    <col min="2" max="2" width="8.6640625" customWidth="1"/>
    <col min="3" max="3" width="25.109375" customWidth="1"/>
    <col min="4" max="4" width="13.33203125" customWidth="1"/>
    <col min="5" max="5" width="13.44140625" customWidth="1"/>
    <col min="6" max="6" width="8.6640625" customWidth="1"/>
    <col min="7" max="7" width="12.33203125" customWidth="1"/>
    <col min="8" max="8" width="9.109375" customWidth="1"/>
    <col min="9" max="9" width="12.33203125" customWidth="1"/>
    <col min="10" max="10" width="8.6640625" customWidth="1"/>
    <col min="11" max="11" width="9.6640625" customWidth="1"/>
    <col min="12" max="12" width="14.33203125" customWidth="1"/>
    <col min="13" max="24" width="8.6640625" customWidth="1"/>
  </cols>
  <sheetData>
    <row r="1" spans="1:26" ht="18">
      <c r="A1" s="349" t="s">
        <v>79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1"/>
    </row>
    <row r="2" spans="1:26" ht="27.6">
      <c r="A2" s="352" t="s">
        <v>80</v>
      </c>
      <c r="B2" s="337"/>
      <c r="C2" s="353"/>
      <c r="D2" s="54" t="s">
        <v>2</v>
      </c>
      <c r="E2" s="55" t="s">
        <v>3</v>
      </c>
      <c r="F2" s="54" t="s">
        <v>4</v>
      </c>
      <c r="G2" s="55" t="s">
        <v>5</v>
      </c>
      <c r="H2" s="54" t="s">
        <v>6</v>
      </c>
      <c r="I2" s="55" t="s">
        <v>7</v>
      </c>
      <c r="J2" s="54" t="s">
        <v>8</v>
      </c>
      <c r="K2" s="55" t="s">
        <v>81</v>
      </c>
      <c r="L2" s="54" t="s">
        <v>10</v>
      </c>
    </row>
    <row r="3" spans="1:26" ht="14.4">
      <c r="A3" s="56" t="s">
        <v>12</v>
      </c>
      <c r="B3" s="57" t="s">
        <v>13</v>
      </c>
      <c r="C3" s="58" t="s">
        <v>14</v>
      </c>
      <c r="D3" s="59">
        <v>40</v>
      </c>
      <c r="E3" s="60">
        <v>40</v>
      </c>
      <c r="F3" s="60">
        <v>40</v>
      </c>
      <c r="G3" s="60">
        <v>40</v>
      </c>
      <c r="H3" s="60">
        <v>40</v>
      </c>
      <c r="I3" s="60">
        <v>30</v>
      </c>
      <c r="J3" s="60">
        <v>30</v>
      </c>
      <c r="K3" s="60">
        <v>30</v>
      </c>
      <c r="L3" s="61">
        <v>30</v>
      </c>
    </row>
    <row r="4" spans="1:26" ht="15.6">
      <c r="A4" s="62">
        <f>OVERALL!A4</f>
        <v>1</v>
      </c>
      <c r="B4" s="63">
        <f>OVERALL!B4</f>
        <v>2301236</v>
      </c>
      <c r="C4" s="64" t="str">
        <f>OVERALL!C4</f>
        <v>Manmohan Singh</v>
      </c>
      <c r="D4" s="65">
        <f>DSA!BX9</f>
        <v>17</v>
      </c>
      <c r="E4" s="66">
        <f>'M-III'!BZ9</f>
        <v>13</v>
      </c>
      <c r="F4" s="66">
        <f>OOPS!CA9</f>
        <v>14</v>
      </c>
      <c r="G4" s="66">
        <f>DE!BY9</f>
        <v>16</v>
      </c>
      <c r="H4" s="66">
        <f>DOS!BX9</f>
        <v>10</v>
      </c>
      <c r="I4" s="66">
        <f>'OOPS LAB'!AS8</f>
        <v>13</v>
      </c>
      <c r="J4" s="66">
        <f>'DE LAB'!AS8</f>
        <v>12</v>
      </c>
      <c r="K4" s="66">
        <f>'DSA LAB'!AS8</f>
        <v>13</v>
      </c>
      <c r="L4" s="67">
        <f>'IT WORKSHOP'!BA8</f>
        <v>10</v>
      </c>
    </row>
    <row r="5" spans="1:26" ht="15.6">
      <c r="A5" s="68">
        <f>OVERALL!A5</f>
        <v>2</v>
      </c>
      <c r="B5" s="69">
        <f>OVERALL!B5</f>
        <v>2301237</v>
      </c>
      <c r="C5" s="70" t="str">
        <f>OVERALL!C5</f>
        <v>Manpreet Kaur</v>
      </c>
      <c r="D5" s="65">
        <f>DSA!BX10</f>
        <v>33</v>
      </c>
      <c r="E5" s="71">
        <f>'M-III'!BZ10</f>
        <v>29</v>
      </c>
      <c r="F5" s="71">
        <f>OOPS!CA10</f>
        <v>26</v>
      </c>
      <c r="G5" s="71">
        <f>DE!BY10</f>
        <v>33</v>
      </c>
      <c r="H5" s="66">
        <f>DOS!BX10</f>
        <v>32</v>
      </c>
      <c r="I5" s="71">
        <f>'OOPS LAB'!AS9</f>
        <v>22</v>
      </c>
      <c r="J5" s="71">
        <f>'DE LAB'!AS9</f>
        <v>20</v>
      </c>
      <c r="K5" s="71">
        <f>'DSA LAB'!AS9</f>
        <v>16</v>
      </c>
      <c r="L5" s="72">
        <f>'IT WORKSHOP'!BA9</f>
        <v>22</v>
      </c>
    </row>
    <row r="6" spans="1:26" ht="15.6">
      <c r="A6" s="68">
        <f>OVERALL!A6</f>
        <v>3</v>
      </c>
      <c r="B6" s="69">
        <f>OVERALL!B6</f>
        <v>2301238</v>
      </c>
      <c r="C6" s="70" t="str">
        <f>OVERALL!C6</f>
        <v>Md Warish Chesam</v>
      </c>
      <c r="D6" s="65">
        <f>DSA!BX11</f>
        <v>23</v>
      </c>
      <c r="E6" s="71">
        <f>'M-III'!BZ11</f>
        <v>24</v>
      </c>
      <c r="F6" s="71">
        <f>OOPS!CA11</f>
        <v>19</v>
      </c>
      <c r="G6" s="71">
        <f>DE!BY11</f>
        <v>24</v>
      </c>
      <c r="H6" s="66">
        <f>DOS!BX11</f>
        <v>17</v>
      </c>
      <c r="I6" s="71">
        <f>'OOPS LAB'!AS10</f>
        <v>17</v>
      </c>
      <c r="J6" s="71">
        <f>'DE LAB'!AS10</f>
        <v>24</v>
      </c>
      <c r="K6" s="71">
        <f>'DSA LAB'!AS10</f>
        <v>20</v>
      </c>
      <c r="L6" s="72">
        <f>'IT WORKSHOP'!BA10</f>
        <v>16</v>
      </c>
    </row>
    <row r="7" spans="1:26" ht="15.6">
      <c r="A7" s="68">
        <f>OVERALL!A7</f>
        <v>4</v>
      </c>
      <c r="B7" s="69">
        <f>OVERALL!B7</f>
        <v>2301239</v>
      </c>
      <c r="C7" s="70" t="str">
        <f>OVERALL!C7</f>
        <v>Mohd Shahid Afridi</v>
      </c>
      <c r="D7" s="65">
        <f>DSA!BX12</f>
        <v>0</v>
      </c>
      <c r="E7" s="71">
        <f>'M-III'!BZ12</f>
        <v>0</v>
      </c>
      <c r="F7" s="71">
        <f>OOPS!CA12</f>
        <v>0</v>
      </c>
      <c r="G7" s="71">
        <f>DE!BY12</f>
        <v>2</v>
      </c>
      <c r="H7" s="66">
        <f>DOS!BX12</f>
        <v>0</v>
      </c>
      <c r="I7" s="71">
        <f>'OOPS LAB'!AS11</f>
        <v>0</v>
      </c>
      <c r="J7" s="71">
        <f>'DE LAB'!AS11</f>
        <v>2</v>
      </c>
      <c r="K7" s="71">
        <f>'DSA LAB'!AS11</f>
        <v>0</v>
      </c>
      <c r="L7" s="72">
        <f>'IT WORKSHOP'!BA11</f>
        <v>0</v>
      </c>
    </row>
    <row r="8" spans="1:26" ht="15.6">
      <c r="A8" s="68">
        <f>OVERALL!A8</f>
        <v>5</v>
      </c>
      <c r="B8" s="69">
        <f>OVERALL!B8</f>
        <v>2301240</v>
      </c>
      <c r="C8" s="70" t="str">
        <f>OVERALL!C8</f>
        <v>Munisha</v>
      </c>
      <c r="D8" s="65">
        <f>DSA!BX13</f>
        <v>29</v>
      </c>
      <c r="E8" s="71">
        <f>'M-III'!BZ13</f>
        <v>22</v>
      </c>
      <c r="F8" s="71">
        <f>OOPS!CA13</f>
        <v>18</v>
      </c>
      <c r="G8" s="71">
        <f>DE!BY13</f>
        <v>24</v>
      </c>
      <c r="H8" s="66">
        <f>DOS!BX13</f>
        <v>21</v>
      </c>
      <c r="I8" s="71">
        <f>'OOPS LAB'!AS12</f>
        <v>21</v>
      </c>
      <c r="J8" s="71">
        <f>'DE LAB'!AS12</f>
        <v>20</v>
      </c>
      <c r="K8" s="71">
        <f>'DSA LAB'!AS12</f>
        <v>19</v>
      </c>
      <c r="L8" s="72">
        <f>'IT WORKSHOP'!BA12</f>
        <v>24</v>
      </c>
    </row>
    <row r="9" spans="1:26" ht="15.6">
      <c r="A9" s="68">
        <f>OVERALL!A9</f>
        <v>6</v>
      </c>
      <c r="B9" s="69">
        <f>OVERALL!B9</f>
        <v>2301241</v>
      </c>
      <c r="C9" s="70" t="str">
        <f>OVERALL!C9</f>
        <v>Nikhil Kumar Thakur</v>
      </c>
      <c r="D9" s="65">
        <f>DSA!BX14</f>
        <v>33</v>
      </c>
      <c r="E9" s="71">
        <f>'M-III'!BZ14</f>
        <v>28</v>
      </c>
      <c r="F9" s="71">
        <f>OOPS!CA14</f>
        <v>24</v>
      </c>
      <c r="G9" s="71">
        <f>DE!BY14</f>
        <v>28</v>
      </c>
      <c r="H9" s="66">
        <f>DOS!BX14</f>
        <v>27</v>
      </c>
      <c r="I9" s="71">
        <f>'OOPS LAB'!AS13</f>
        <v>24</v>
      </c>
      <c r="J9" s="71">
        <f>'DE LAB'!AS13</f>
        <v>23</v>
      </c>
      <c r="K9" s="71">
        <f>'DSA LAB'!AS13</f>
        <v>25</v>
      </c>
      <c r="L9" s="73">
        <f>'IT WORKSHOP'!BA13</f>
        <v>27</v>
      </c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</row>
    <row r="10" spans="1:26" ht="15.6">
      <c r="A10" s="68">
        <f>OVERALL!A10</f>
        <v>7</v>
      </c>
      <c r="B10" s="69">
        <f>OVERALL!B10</f>
        <v>2301242</v>
      </c>
      <c r="C10" s="70" t="str">
        <f>OVERALL!C10</f>
        <v>Palak Pathania</v>
      </c>
      <c r="D10" s="65">
        <f>DSA!BX15</f>
        <v>32</v>
      </c>
      <c r="E10" s="71">
        <f>'M-III'!BZ15</f>
        <v>27</v>
      </c>
      <c r="F10" s="71">
        <f>OOPS!CA15</f>
        <v>30</v>
      </c>
      <c r="G10" s="71">
        <f>DE!BY15</f>
        <v>24</v>
      </c>
      <c r="H10" s="66">
        <f>DOS!BX15</f>
        <v>22</v>
      </c>
      <c r="I10" s="71">
        <f>'OOPS LAB'!AS14</f>
        <v>25</v>
      </c>
      <c r="J10" s="71">
        <f>'DE LAB'!AS14</f>
        <v>21</v>
      </c>
      <c r="K10" s="71">
        <f>'DSA LAB'!AS14</f>
        <v>23</v>
      </c>
      <c r="L10" s="72">
        <f>'IT WORKSHOP'!BA14</f>
        <v>16</v>
      </c>
    </row>
    <row r="11" spans="1:26" ht="15.6">
      <c r="A11" s="68">
        <f>OVERALL!A11</f>
        <v>8</v>
      </c>
      <c r="B11" s="69">
        <f>OVERALL!B11</f>
        <v>2301243</v>
      </c>
      <c r="C11" s="70" t="str">
        <f>OVERALL!C11</f>
        <v>Pardeep Singh</v>
      </c>
      <c r="D11" s="65">
        <f>DSA!BX16</f>
        <v>16</v>
      </c>
      <c r="E11" s="71">
        <f>'M-III'!BZ16</f>
        <v>19</v>
      </c>
      <c r="F11" s="71">
        <f>OOPS!CA16</f>
        <v>19</v>
      </c>
      <c r="G11" s="71">
        <f>DE!BY16</f>
        <v>21</v>
      </c>
      <c r="H11" s="66">
        <f>DOS!BX16</f>
        <v>17</v>
      </c>
      <c r="I11" s="71">
        <f>'OOPS LAB'!AS15</f>
        <v>19</v>
      </c>
      <c r="J11" s="71">
        <f>'DE LAB'!AS15</f>
        <v>14</v>
      </c>
      <c r="K11" s="71">
        <f>'DSA LAB'!AS15</f>
        <v>20</v>
      </c>
      <c r="L11" s="72">
        <f>'IT WORKSHOP'!BA15</f>
        <v>15</v>
      </c>
    </row>
    <row r="12" spans="1:26" ht="15.6">
      <c r="A12" s="68">
        <f>OVERALL!A12</f>
        <v>9</v>
      </c>
      <c r="B12" s="69">
        <f>OVERALL!B12</f>
        <v>2301244</v>
      </c>
      <c r="C12" s="70" t="str">
        <f>OVERALL!C12</f>
        <v>Parveen Mandal</v>
      </c>
      <c r="D12" s="65">
        <f>DSA!BX17</f>
        <v>0</v>
      </c>
      <c r="E12" s="71">
        <f>'M-III'!BZ17</f>
        <v>0</v>
      </c>
      <c r="F12" s="71">
        <f>OOPS!CA17</f>
        <v>0</v>
      </c>
      <c r="G12" s="71">
        <f>DE!BY17</f>
        <v>2</v>
      </c>
      <c r="H12" s="66">
        <f>DOS!BX17</f>
        <v>0</v>
      </c>
      <c r="I12" s="71">
        <f>'OOPS LAB'!AS16</f>
        <v>0</v>
      </c>
      <c r="J12" s="71">
        <f>'DE LAB'!AS16</f>
        <v>2</v>
      </c>
      <c r="K12" s="71">
        <f>'DSA LAB'!AS16</f>
        <v>0</v>
      </c>
      <c r="L12" s="75">
        <f>'IT WORKSHOP'!BA16</f>
        <v>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6">
      <c r="A13" s="68">
        <f>OVERALL!A13</f>
        <v>10</v>
      </c>
      <c r="B13" s="69">
        <f>OVERALL!B13</f>
        <v>2301245</v>
      </c>
      <c r="C13" s="70" t="str">
        <f>OVERALL!C13</f>
        <v>Payal</v>
      </c>
      <c r="D13" s="65">
        <f>DSA!BX18</f>
        <v>34</v>
      </c>
      <c r="E13" s="71">
        <f>'M-III'!BZ18</f>
        <v>34</v>
      </c>
      <c r="F13" s="71">
        <f>OOPS!CA18</f>
        <v>36</v>
      </c>
      <c r="G13" s="71">
        <f>DE!BY18</f>
        <v>32</v>
      </c>
      <c r="H13" s="66">
        <f>DOS!BX18</f>
        <v>36</v>
      </c>
      <c r="I13" s="71">
        <f>'OOPS LAB'!AS17</f>
        <v>25</v>
      </c>
      <c r="J13" s="71">
        <f>'DE LAB'!AS17</f>
        <v>26</v>
      </c>
      <c r="K13" s="71">
        <f>'DSA LAB'!AS17</f>
        <v>25</v>
      </c>
      <c r="L13" s="72">
        <f>'IT WORKSHOP'!BA17</f>
        <v>27</v>
      </c>
    </row>
    <row r="14" spans="1:26" ht="15.6">
      <c r="A14" s="68">
        <f>OVERALL!A14</f>
        <v>11</v>
      </c>
      <c r="B14" s="69">
        <f>OVERALL!B14</f>
        <v>2301247</v>
      </c>
      <c r="C14" s="70" t="str">
        <f>OVERALL!C14</f>
        <v>Priya</v>
      </c>
      <c r="D14" s="65">
        <f>DSA!BX19</f>
        <v>28</v>
      </c>
      <c r="E14" s="71">
        <f>'M-III'!BZ19</f>
        <v>22</v>
      </c>
      <c r="F14" s="71">
        <f>OOPS!CA19</f>
        <v>17</v>
      </c>
      <c r="G14" s="71">
        <f>DE!BY19</f>
        <v>21</v>
      </c>
      <c r="H14" s="66">
        <f>DOS!BX19</f>
        <v>19</v>
      </c>
      <c r="I14" s="71">
        <f>'OOPS LAB'!AS18</f>
        <v>14</v>
      </c>
      <c r="J14" s="71">
        <f>'DE LAB'!AS18</f>
        <v>18</v>
      </c>
      <c r="K14" s="71">
        <f>'DSA LAB'!AS18</f>
        <v>17</v>
      </c>
      <c r="L14" s="72">
        <f>'IT WORKSHOP'!BA18</f>
        <v>20</v>
      </c>
    </row>
    <row r="15" spans="1:26" ht="15.6">
      <c r="A15" s="68">
        <f>OVERALL!A15</f>
        <v>12</v>
      </c>
      <c r="B15" s="69">
        <f>OVERALL!B15</f>
        <v>2301248</v>
      </c>
      <c r="C15" s="70" t="str">
        <f>OVERALL!C15</f>
        <v>Priyam Puri</v>
      </c>
      <c r="D15" s="65">
        <f>DSA!BX20</f>
        <v>0</v>
      </c>
      <c r="E15" s="71">
        <f>'M-III'!BZ20</f>
        <v>0</v>
      </c>
      <c r="F15" s="71">
        <f>OOPS!CA20</f>
        <v>0</v>
      </c>
      <c r="G15" s="71">
        <f>DE!BY20</f>
        <v>2</v>
      </c>
      <c r="H15" s="66">
        <f>DOS!BX20</f>
        <v>0</v>
      </c>
      <c r="I15" s="71">
        <f>'OOPS LAB'!AS19</f>
        <v>0</v>
      </c>
      <c r="J15" s="71">
        <f>'DE LAB'!AS19</f>
        <v>2</v>
      </c>
      <c r="K15" s="71">
        <f>'DSA LAB'!AS19</f>
        <v>0</v>
      </c>
      <c r="L15" s="72">
        <f>'IT WORKSHOP'!BA19</f>
        <v>0</v>
      </c>
    </row>
    <row r="16" spans="1:26" ht="15.6">
      <c r="A16" s="68">
        <f>OVERALL!A16</f>
        <v>13</v>
      </c>
      <c r="B16" s="69">
        <f>OVERALL!B16</f>
        <v>2301249</v>
      </c>
      <c r="C16" s="70" t="str">
        <f>OVERALL!C16</f>
        <v>Rahul Sharma</v>
      </c>
      <c r="D16" s="65">
        <f>DSA!BX21</f>
        <v>19</v>
      </c>
      <c r="E16" s="71">
        <f>'M-III'!BZ21</f>
        <v>21</v>
      </c>
      <c r="F16" s="71">
        <f>OOPS!CA21</f>
        <v>13</v>
      </c>
      <c r="G16" s="71">
        <f>DE!BY21</f>
        <v>21</v>
      </c>
      <c r="H16" s="66">
        <f>DOS!BX21</f>
        <v>19</v>
      </c>
      <c r="I16" s="71">
        <f>'OOPS LAB'!AS20</f>
        <v>17</v>
      </c>
      <c r="J16" s="71">
        <f>'DE LAB'!AS20</f>
        <v>15</v>
      </c>
      <c r="K16" s="71">
        <f>'DSA LAB'!AS20</f>
        <v>21</v>
      </c>
      <c r="L16" s="72">
        <f>'IT WORKSHOP'!BA20</f>
        <v>22</v>
      </c>
    </row>
    <row r="17" spans="1:26" ht="15.6">
      <c r="A17" s="68">
        <f>OVERALL!A17</f>
        <v>14</v>
      </c>
      <c r="B17" s="69">
        <f>OVERALL!B17</f>
        <v>2301250</v>
      </c>
      <c r="C17" s="70" t="str">
        <f>OVERALL!C17</f>
        <v>Rahulpreet Singh Khinda</v>
      </c>
      <c r="D17" s="65">
        <f>DSA!BX22</f>
        <v>21</v>
      </c>
      <c r="E17" s="71">
        <f>'M-III'!BZ22</f>
        <v>18</v>
      </c>
      <c r="F17" s="71">
        <f>OOPS!CA22</f>
        <v>19</v>
      </c>
      <c r="G17" s="71">
        <f>DE!BY22</f>
        <v>21</v>
      </c>
      <c r="H17" s="66">
        <f>DOS!BX22</f>
        <v>15</v>
      </c>
      <c r="I17" s="71">
        <f>'OOPS LAB'!AS21</f>
        <v>14</v>
      </c>
      <c r="J17" s="71">
        <f>'DE LAB'!AS21</f>
        <v>18</v>
      </c>
      <c r="K17" s="71">
        <f>'DSA LAB'!AS21</f>
        <v>16</v>
      </c>
      <c r="L17" s="72">
        <f>'IT WORKSHOP'!BA21</f>
        <v>15</v>
      </c>
    </row>
    <row r="18" spans="1:26" ht="15.6">
      <c r="A18" s="68">
        <f>OVERALL!A18</f>
        <v>15</v>
      </c>
      <c r="B18" s="69">
        <f>OVERALL!B18</f>
        <v>2301251</v>
      </c>
      <c r="C18" s="70" t="str">
        <f>OVERALL!C18</f>
        <v>Raj Kumar</v>
      </c>
      <c r="D18" s="65">
        <f>DSA!BX23</f>
        <v>21</v>
      </c>
      <c r="E18" s="71">
        <f>'M-III'!BZ23</f>
        <v>18</v>
      </c>
      <c r="F18" s="71">
        <f>OOPS!CA23</f>
        <v>15</v>
      </c>
      <c r="G18" s="71">
        <f>DE!BY23</f>
        <v>18</v>
      </c>
      <c r="H18" s="66">
        <f>DOS!BX23</f>
        <v>15</v>
      </c>
      <c r="I18" s="71">
        <f>'OOPS LAB'!AS22</f>
        <v>16</v>
      </c>
      <c r="J18" s="71">
        <f>'DE LAB'!AS22</f>
        <v>12</v>
      </c>
      <c r="K18" s="71">
        <f>'DSA LAB'!AS22</f>
        <v>17</v>
      </c>
      <c r="L18" s="72">
        <f>'IT WORKSHOP'!BA22</f>
        <v>16</v>
      </c>
    </row>
    <row r="19" spans="1:26" ht="15.6">
      <c r="A19" s="68">
        <f>OVERALL!A19</f>
        <v>16</v>
      </c>
      <c r="B19" s="69">
        <f>OVERALL!B19</f>
        <v>2301252</v>
      </c>
      <c r="C19" s="70" t="str">
        <f>OVERALL!C19</f>
        <v>Rajan Sharma</v>
      </c>
      <c r="D19" s="65">
        <f>DSA!BX24</f>
        <v>25</v>
      </c>
      <c r="E19" s="71">
        <f>'M-III'!BZ24</f>
        <v>22</v>
      </c>
      <c r="F19" s="71">
        <f>OOPS!CA24</f>
        <v>25</v>
      </c>
      <c r="G19" s="71">
        <f>DE!BY24</f>
        <v>24</v>
      </c>
      <c r="H19" s="66">
        <f>DOS!BX24</f>
        <v>16</v>
      </c>
      <c r="I19" s="71">
        <f>'OOPS LAB'!AS23</f>
        <v>21</v>
      </c>
      <c r="J19" s="71">
        <f>'DE LAB'!AS23</f>
        <v>22</v>
      </c>
      <c r="K19" s="71">
        <f>'DSA LAB'!AS23</f>
        <v>20</v>
      </c>
      <c r="L19" s="72">
        <f>'IT WORKSHOP'!BA23</f>
        <v>16</v>
      </c>
    </row>
    <row r="20" spans="1:26" ht="15.6">
      <c r="A20" s="68">
        <f>OVERALL!A20</f>
        <v>17</v>
      </c>
      <c r="B20" s="69">
        <f>OVERALL!B20</f>
        <v>2301253</v>
      </c>
      <c r="C20" s="70" t="str">
        <f>OVERALL!C20</f>
        <v>Rajwinder Kaur</v>
      </c>
      <c r="D20" s="65">
        <f>DSA!BX25</f>
        <v>24</v>
      </c>
      <c r="E20" s="71">
        <f>'M-III'!BZ25</f>
        <v>32</v>
      </c>
      <c r="F20" s="71">
        <f>OOPS!CA25</f>
        <v>28</v>
      </c>
      <c r="G20" s="71">
        <f>DE!BY25</f>
        <v>29</v>
      </c>
      <c r="H20" s="66">
        <f>DOS!BX25</f>
        <v>29</v>
      </c>
      <c r="I20" s="71">
        <f>'OOPS LAB'!AS24</f>
        <v>21</v>
      </c>
      <c r="J20" s="71">
        <f>'DE LAB'!AS24</f>
        <v>20</v>
      </c>
      <c r="K20" s="71">
        <f>'DSA LAB'!AS24</f>
        <v>22</v>
      </c>
      <c r="L20" s="72">
        <f>'IT WORKSHOP'!BA24</f>
        <v>15</v>
      </c>
    </row>
    <row r="21" spans="1:26" ht="15.75" customHeight="1">
      <c r="A21" s="68">
        <f>OVERALL!A21</f>
        <v>18</v>
      </c>
      <c r="B21" s="69">
        <f>OVERALL!B21</f>
        <v>2301254</v>
      </c>
      <c r="C21" s="70" t="str">
        <f>OVERALL!C21</f>
        <v>RANJIT SHAH KANU</v>
      </c>
      <c r="D21" s="65">
        <f>DSA!BX26</f>
        <v>0</v>
      </c>
      <c r="E21" s="71">
        <f>'M-III'!BZ26</f>
        <v>0</v>
      </c>
      <c r="F21" s="71">
        <f>OOPS!CA26</f>
        <v>0</v>
      </c>
      <c r="G21" s="71">
        <f>DE!BY26</f>
        <v>2</v>
      </c>
      <c r="H21" s="66">
        <f>DOS!BX26</f>
        <v>0</v>
      </c>
      <c r="I21" s="71">
        <f>'OOPS LAB'!AS25</f>
        <v>0</v>
      </c>
      <c r="J21" s="71">
        <f>'DE LAB'!AS25</f>
        <v>2</v>
      </c>
      <c r="K21" s="71">
        <f>'DSA LAB'!AS25</f>
        <v>0</v>
      </c>
      <c r="L21" s="72">
        <f>'IT WORKSHOP'!BA25</f>
        <v>0</v>
      </c>
    </row>
    <row r="22" spans="1:26" ht="15.75" customHeight="1">
      <c r="A22" s="68">
        <f>OVERALL!A22</f>
        <v>19</v>
      </c>
      <c r="B22" s="69">
        <f>OVERALL!B22</f>
        <v>2301255</v>
      </c>
      <c r="C22" s="70" t="str">
        <f>OVERALL!C22</f>
        <v>Ravi Bhushan Kumar</v>
      </c>
      <c r="D22" s="65">
        <f>DSA!BX27</f>
        <v>18</v>
      </c>
      <c r="E22" s="71">
        <f>'M-III'!BZ27</f>
        <v>22</v>
      </c>
      <c r="F22" s="71">
        <f>OOPS!CA27</f>
        <v>32</v>
      </c>
      <c r="G22" s="71">
        <f>DE!BY27</f>
        <v>25</v>
      </c>
      <c r="H22" s="66">
        <f>DOS!BX27</f>
        <v>21</v>
      </c>
      <c r="I22" s="71">
        <f>'OOPS LAB'!AS26</f>
        <v>23</v>
      </c>
      <c r="J22" s="71">
        <f>'DE LAB'!AS26</f>
        <v>26</v>
      </c>
      <c r="K22" s="71">
        <f>'DSA LAB'!AS26</f>
        <v>16</v>
      </c>
      <c r="L22" s="72">
        <f>'IT WORKSHOP'!BA26</f>
        <v>25</v>
      </c>
    </row>
    <row r="23" spans="1:26" ht="15.75" customHeight="1">
      <c r="A23" s="68">
        <f>OVERALL!A23</f>
        <v>20</v>
      </c>
      <c r="B23" s="69">
        <f>OVERALL!B23</f>
        <v>2301256</v>
      </c>
      <c r="C23" s="70" t="str">
        <f>OVERALL!C23</f>
        <v>Reshma</v>
      </c>
      <c r="D23" s="65">
        <f>DSA!BX28</f>
        <v>26</v>
      </c>
      <c r="E23" s="71">
        <f>'M-III'!BZ28</f>
        <v>24</v>
      </c>
      <c r="F23" s="71">
        <f>OOPS!CA28</f>
        <v>17</v>
      </c>
      <c r="G23" s="71">
        <f>DE!BY28</f>
        <v>21</v>
      </c>
      <c r="H23" s="66">
        <f>DOS!BX28</f>
        <v>21</v>
      </c>
      <c r="I23" s="71">
        <f>'OOPS LAB'!AS27</f>
        <v>21</v>
      </c>
      <c r="J23" s="71">
        <f>'DE LAB'!AS27</f>
        <v>19</v>
      </c>
      <c r="K23" s="71">
        <f>'DSA LAB'!AS27</f>
        <v>24</v>
      </c>
      <c r="L23" s="75">
        <f>'IT WORKSHOP'!BA27</f>
        <v>20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68">
        <f>OVERALL!A24</f>
        <v>21</v>
      </c>
      <c r="B24" s="69">
        <f>OVERALL!B24</f>
        <v>2301257</v>
      </c>
      <c r="C24" s="70" t="str">
        <f>OVERALL!C24</f>
        <v>Ritesh Kumar Choudhary</v>
      </c>
      <c r="D24" s="65">
        <f>DSA!BX29</f>
        <v>19</v>
      </c>
      <c r="E24" s="71">
        <f>'M-III'!BZ29</f>
        <v>15</v>
      </c>
      <c r="F24" s="71">
        <f>OOPS!CA29</f>
        <v>18</v>
      </c>
      <c r="G24" s="71">
        <f>DE!BY29</f>
        <v>18</v>
      </c>
      <c r="H24" s="66">
        <f>DOS!BX29</f>
        <v>17</v>
      </c>
      <c r="I24" s="71">
        <f>'OOPS LAB'!AS28</f>
        <v>14</v>
      </c>
      <c r="J24" s="71">
        <f>'DE LAB'!AS28</f>
        <v>13</v>
      </c>
      <c r="K24" s="71">
        <f>'DSA LAB'!AS28</f>
        <v>18</v>
      </c>
      <c r="L24" s="72">
        <f>'IT WORKSHOP'!BA28</f>
        <v>15</v>
      </c>
    </row>
    <row r="25" spans="1:26" ht="15.75" customHeight="1">
      <c r="A25" s="68">
        <f>OVERALL!A25</f>
        <v>22</v>
      </c>
      <c r="B25" s="69">
        <f>OVERALL!B25</f>
        <v>2301258</v>
      </c>
      <c r="C25" s="70" t="str">
        <f>OVERALL!C25</f>
        <v>Ritesh Thakur</v>
      </c>
      <c r="D25" s="65">
        <f>DSA!BX30</f>
        <v>2</v>
      </c>
      <c r="E25" s="71">
        <f>'M-III'!BZ30</f>
        <v>7</v>
      </c>
      <c r="F25" s="71">
        <f>OOPS!CA30</f>
        <v>4</v>
      </c>
      <c r="G25" s="71">
        <f>DE!BY30</f>
        <v>3</v>
      </c>
      <c r="H25" s="66">
        <f>DOS!BX30</f>
        <v>6</v>
      </c>
      <c r="I25" s="71">
        <f>'OOPS LAB'!AS29</f>
        <v>2</v>
      </c>
      <c r="J25" s="71">
        <f>'DE LAB'!AS29</f>
        <v>12</v>
      </c>
      <c r="K25" s="71">
        <f>'DSA LAB'!AS29</f>
        <v>14</v>
      </c>
      <c r="L25" s="72">
        <f>'IT WORKSHOP'!BA29</f>
        <v>2</v>
      </c>
    </row>
    <row r="26" spans="1:26" ht="15.75" customHeight="1">
      <c r="A26" s="68">
        <f>OVERALL!A26</f>
        <v>23</v>
      </c>
      <c r="B26" s="69">
        <f>OVERALL!B26</f>
        <v>2301259</v>
      </c>
      <c r="C26" s="70" t="str">
        <f>OVERALL!C26</f>
        <v>Riya Thakur</v>
      </c>
      <c r="D26" s="65">
        <f>DSA!BX31</f>
        <v>27</v>
      </c>
      <c r="E26" s="71">
        <f>'M-III'!BZ31</f>
        <v>16</v>
      </c>
      <c r="F26" s="71">
        <f>OOPS!CA31</f>
        <v>21</v>
      </c>
      <c r="G26" s="71">
        <f>DE!BY31</f>
        <v>19</v>
      </c>
      <c r="H26" s="66">
        <f>DOS!BX31</f>
        <v>23</v>
      </c>
      <c r="I26" s="71">
        <f>'OOPS LAB'!AS30</f>
        <v>16</v>
      </c>
      <c r="J26" s="71">
        <f>'DE LAB'!AS30</f>
        <v>17</v>
      </c>
      <c r="K26" s="71">
        <f>'DSA LAB'!AS30</f>
        <v>16</v>
      </c>
      <c r="L26" s="72">
        <f>'IT WORKSHOP'!BA30</f>
        <v>18</v>
      </c>
    </row>
    <row r="27" spans="1:26" ht="15.75" customHeight="1">
      <c r="A27" s="68">
        <f>OVERALL!A27</f>
        <v>24</v>
      </c>
      <c r="B27" s="69">
        <f>OVERALL!B27</f>
        <v>2301260</v>
      </c>
      <c r="C27" s="70" t="str">
        <f>OVERALL!C27</f>
        <v>Rounit Dhiman</v>
      </c>
      <c r="D27" s="65">
        <f>DSA!BX32</f>
        <v>20</v>
      </c>
      <c r="E27" s="71">
        <f>'M-III'!BZ32</f>
        <v>20</v>
      </c>
      <c r="F27" s="71">
        <f>OOPS!CA32</f>
        <v>20</v>
      </c>
      <c r="G27" s="71">
        <f>DE!BY32</f>
        <v>20</v>
      </c>
      <c r="H27" s="66">
        <f>DOS!BX32</f>
        <v>18</v>
      </c>
      <c r="I27" s="71">
        <f>'OOPS LAB'!AS31</f>
        <v>15</v>
      </c>
      <c r="J27" s="71">
        <f>'DE LAB'!AS31</f>
        <v>16</v>
      </c>
      <c r="K27" s="71">
        <f>'DSA LAB'!AS31</f>
        <v>19</v>
      </c>
      <c r="L27" s="72">
        <f>'IT WORKSHOP'!BA31</f>
        <v>21</v>
      </c>
    </row>
    <row r="28" spans="1:26" ht="15.75" customHeight="1">
      <c r="A28" s="68">
        <f>OVERALL!A28</f>
        <v>25</v>
      </c>
      <c r="B28" s="69">
        <f>OVERALL!B28</f>
        <v>2301261</v>
      </c>
      <c r="C28" s="70" t="str">
        <f>OVERALL!C28</f>
        <v>Rubby Kumari</v>
      </c>
      <c r="D28" s="65">
        <f>DSA!BX33</f>
        <v>14</v>
      </c>
      <c r="E28" s="71">
        <f>'M-III'!BZ33</f>
        <v>13</v>
      </c>
      <c r="F28" s="71">
        <f>OOPS!CA33</f>
        <v>22</v>
      </c>
      <c r="G28" s="71">
        <f>DE!BY33</f>
        <v>17</v>
      </c>
      <c r="H28" s="66">
        <f>DOS!BX33</f>
        <v>15</v>
      </c>
      <c r="I28" s="71">
        <f>'OOPS LAB'!AS32</f>
        <v>14</v>
      </c>
      <c r="J28" s="71">
        <f>'DE LAB'!AS32</f>
        <v>12</v>
      </c>
      <c r="K28" s="71">
        <f>'DSA LAB'!AS32</f>
        <v>19</v>
      </c>
      <c r="L28" s="72">
        <f>'IT WORKSHOP'!BA32</f>
        <v>15</v>
      </c>
    </row>
    <row r="29" spans="1:26" ht="15.75" customHeight="1">
      <c r="A29" s="68">
        <f>OVERALL!A29</f>
        <v>26</v>
      </c>
      <c r="B29" s="69">
        <f>OVERALL!B29</f>
        <v>2301262</v>
      </c>
      <c r="C29" s="70" t="str">
        <f>OVERALL!C29</f>
        <v>Sakshi Devi</v>
      </c>
      <c r="D29" s="65">
        <f>DSA!BX34</f>
        <v>27</v>
      </c>
      <c r="E29" s="71">
        <f>'M-III'!BZ34</f>
        <v>11</v>
      </c>
      <c r="F29" s="71">
        <f>OOPS!CA34</f>
        <v>21</v>
      </c>
      <c r="G29" s="71">
        <f>DE!BY34</f>
        <v>24</v>
      </c>
      <c r="H29" s="66">
        <f>DOS!BX34</f>
        <v>18</v>
      </c>
      <c r="I29" s="71">
        <f>'OOPS LAB'!AS33</f>
        <v>16</v>
      </c>
      <c r="J29" s="71">
        <f>'DE LAB'!AS33</f>
        <v>12</v>
      </c>
      <c r="K29" s="71">
        <f>'DSA LAB'!AS33</f>
        <v>19</v>
      </c>
      <c r="L29" s="72">
        <f>'IT WORKSHOP'!BA33</f>
        <v>20</v>
      </c>
    </row>
    <row r="30" spans="1:26" ht="15.75" customHeight="1">
      <c r="A30" s="68">
        <f>OVERALL!A30</f>
        <v>27</v>
      </c>
      <c r="B30" s="69">
        <f>OVERALL!B30</f>
        <v>2301263</v>
      </c>
      <c r="C30" s="70" t="str">
        <f>OVERALL!C30</f>
        <v>Sanchi Sharma</v>
      </c>
      <c r="D30" s="65">
        <f>DSA!BX35</f>
        <v>34</v>
      </c>
      <c r="E30" s="71">
        <f>'M-III'!BZ35</f>
        <v>23</v>
      </c>
      <c r="F30" s="71">
        <f>OOPS!CA35</f>
        <v>30</v>
      </c>
      <c r="G30" s="71">
        <f>DE!BY35</f>
        <v>26</v>
      </c>
      <c r="H30" s="66">
        <f>DOS!BX35</f>
        <v>29</v>
      </c>
      <c r="I30" s="71">
        <f>'OOPS LAB'!AS34</f>
        <v>26</v>
      </c>
      <c r="J30" s="71">
        <f>'DE LAB'!AS34</f>
        <v>24</v>
      </c>
      <c r="K30" s="71">
        <f>'DSA LAB'!AS34</f>
        <v>22</v>
      </c>
      <c r="L30" s="72">
        <f>'IT WORKSHOP'!BA34</f>
        <v>26</v>
      </c>
    </row>
    <row r="31" spans="1:26" ht="15.75" customHeight="1">
      <c r="A31" s="68">
        <f>OVERALL!A31</f>
        <v>28</v>
      </c>
      <c r="B31" s="69">
        <f>OVERALL!B31</f>
        <v>2301264</v>
      </c>
      <c r="C31" s="70" t="str">
        <f>OVERALL!C31</f>
        <v>Sarbjit Singh</v>
      </c>
      <c r="D31" s="65">
        <f>DSA!BX36</f>
        <v>0</v>
      </c>
      <c r="E31" s="71">
        <f>'M-III'!BZ36</f>
        <v>5</v>
      </c>
      <c r="F31" s="71">
        <f>OOPS!CA36</f>
        <v>2</v>
      </c>
      <c r="G31" s="71">
        <f>DE!BY36</f>
        <v>17</v>
      </c>
      <c r="H31" s="66">
        <f>DOS!BX36</f>
        <v>5</v>
      </c>
      <c r="I31" s="71">
        <f>'OOPS LAB'!AS35</f>
        <v>3</v>
      </c>
      <c r="J31" s="71">
        <f>'DE LAB'!AS35</f>
        <v>13</v>
      </c>
      <c r="K31" s="71">
        <f>'DSA LAB'!AS35</f>
        <v>4</v>
      </c>
      <c r="L31" s="75">
        <f>'IT WORKSHOP'!BA35</f>
        <v>8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68">
        <f>OVERALL!A32</f>
        <v>29</v>
      </c>
      <c r="B32" s="69">
        <f>OVERALL!B32</f>
        <v>2301265</v>
      </c>
      <c r="C32" s="70" t="str">
        <f>OVERALL!C32</f>
        <v>Sarif Mayangmayum</v>
      </c>
      <c r="D32" s="65">
        <f>DSA!BX37</f>
        <v>25</v>
      </c>
      <c r="E32" s="71">
        <f>'M-III'!BZ37</f>
        <v>22</v>
      </c>
      <c r="F32" s="71">
        <f>OOPS!CA37</f>
        <v>28</v>
      </c>
      <c r="G32" s="71">
        <f>DE!BY37</f>
        <v>22</v>
      </c>
      <c r="H32" s="66">
        <f>DOS!BX37</f>
        <v>20</v>
      </c>
      <c r="I32" s="71">
        <f>'OOPS LAB'!AS36</f>
        <v>18</v>
      </c>
      <c r="J32" s="71">
        <f>'DE LAB'!AS36</f>
        <v>25</v>
      </c>
      <c r="K32" s="71">
        <f>'DSA LAB'!AS36</f>
        <v>24</v>
      </c>
      <c r="L32" s="72">
        <f>'IT WORKSHOP'!BA36</f>
        <v>16</v>
      </c>
    </row>
    <row r="33" spans="1:12" ht="15.75" customHeight="1">
      <c r="A33" s="68">
        <f>OVERALL!A33</f>
        <v>30</v>
      </c>
      <c r="B33" s="69">
        <f>OVERALL!B33</f>
        <v>2301267</v>
      </c>
      <c r="C33" s="70" t="str">
        <f>OVERALL!C33</f>
        <v>Shivam Kumar Chaubey</v>
      </c>
      <c r="D33" s="65">
        <f>DSA!BX38</f>
        <v>25</v>
      </c>
      <c r="E33" s="71">
        <f>'M-III'!BZ38</f>
        <v>24</v>
      </c>
      <c r="F33" s="71">
        <f>OOPS!CA38</f>
        <v>23</v>
      </c>
      <c r="G33" s="71">
        <f>DE!BY38</f>
        <v>27</v>
      </c>
      <c r="H33" s="66">
        <f>DOS!BX38</f>
        <v>22</v>
      </c>
      <c r="I33" s="71">
        <f>'OOPS LAB'!AS37</f>
        <v>22</v>
      </c>
      <c r="J33" s="71">
        <f>'DE LAB'!AS37</f>
        <v>22</v>
      </c>
      <c r="K33" s="71">
        <f>'DSA LAB'!AS37</f>
        <v>25</v>
      </c>
      <c r="L33" s="72">
        <f>'IT WORKSHOP'!BA37</f>
        <v>21</v>
      </c>
    </row>
    <row r="34" spans="1:12" ht="15.75" customHeight="1">
      <c r="A34" s="68">
        <f>OVERALL!A34</f>
        <v>31</v>
      </c>
      <c r="B34" s="69">
        <f>OVERALL!B34</f>
        <v>2301268</v>
      </c>
      <c r="C34" s="70" t="str">
        <f>OVERALL!C34</f>
        <v>Simba Godfrey</v>
      </c>
      <c r="D34" s="65">
        <f>DSA!BX39</f>
        <v>11</v>
      </c>
      <c r="E34" s="71">
        <f>'M-III'!BZ39</f>
        <v>6</v>
      </c>
      <c r="F34" s="71">
        <f>OOPS!CA39</f>
        <v>21</v>
      </c>
      <c r="G34" s="71">
        <f>DE!BY39</f>
        <v>19</v>
      </c>
      <c r="H34" s="66">
        <f>DOS!BX39</f>
        <v>13</v>
      </c>
      <c r="I34" s="71">
        <f>'OOPS LAB'!AS38</f>
        <v>16</v>
      </c>
      <c r="J34" s="71">
        <f>'DE LAB'!AS38</f>
        <v>14</v>
      </c>
      <c r="K34" s="71">
        <f>'DSA LAB'!AS38</f>
        <v>4</v>
      </c>
      <c r="L34" s="72">
        <f>'IT WORKSHOP'!BA38</f>
        <v>17</v>
      </c>
    </row>
    <row r="35" spans="1:12" ht="15.75" customHeight="1">
      <c r="A35" s="68">
        <f>OVERALL!A35</f>
        <v>32</v>
      </c>
      <c r="B35" s="69">
        <f>OVERALL!B35</f>
        <v>2301269</v>
      </c>
      <c r="C35" s="70" t="str">
        <f>OVERALL!C35</f>
        <v>Simran Kaur</v>
      </c>
      <c r="D35" s="65">
        <f>DSA!BX40</f>
        <v>28</v>
      </c>
      <c r="E35" s="71">
        <f>'M-III'!BZ40</f>
        <v>27</v>
      </c>
      <c r="F35" s="71">
        <f>OOPS!CA40</f>
        <v>26</v>
      </c>
      <c r="G35" s="71">
        <f>DE!BY40</f>
        <v>28</v>
      </c>
      <c r="H35" s="66">
        <f>DOS!BX40</f>
        <v>28</v>
      </c>
      <c r="I35" s="71">
        <f>'OOPS LAB'!AS39</f>
        <v>18</v>
      </c>
      <c r="J35" s="71">
        <f>'DE LAB'!AS39</f>
        <v>22</v>
      </c>
      <c r="K35" s="71">
        <f>'DSA LAB'!AS39</f>
        <v>15</v>
      </c>
      <c r="L35" s="72">
        <f>'IT WORKSHOP'!BA39</f>
        <v>22</v>
      </c>
    </row>
    <row r="36" spans="1:12" ht="15.75" customHeight="1">
      <c r="A36" s="68">
        <f>OVERALL!A36</f>
        <v>33</v>
      </c>
      <c r="B36" s="69">
        <f>OVERALL!B36</f>
        <v>2301270</v>
      </c>
      <c r="C36" s="70" t="str">
        <f>OVERALL!C36</f>
        <v>Simranjit Singh</v>
      </c>
      <c r="D36" s="65">
        <f>DSA!BX41</f>
        <v>14</v>
      </c>
      <c r="E36" s="71">
        <f>'M-III'!BZ41</f>
        <v>10</v>
      </c>
      <c r="F36" s="71">
        <f>OOPS!CA41</f>
        <v>5</v>
      </c>
      <c r="G36" s="71">
        <f>DE!BY41</f>
        <v>14</v>
      </c>
      <c r="H36" s="66">
        <f>DOS!BX41</f>
        <v>6</v>
      </c>
      <c r="I36" s="71">
        <f>'OOPS LAB'!AS40</f>
        <v>16</v>
      </c>
      <c r="J36" s="71">
        <f>'DE LAB'!AS40</f>
        <v>20</v>
      </c>
      <c r="K36" s="71">
        <f>'DSA LAB'!AS40</f>
        <v>18</v>
      </c>
      <c r="L36" s="72">
        <f>'IT WORKSHOP'!BA40</f>
        <v>16</v>
      </c>
    </row>
    <row r="37" spans="1:12" ht="15.75" customHeight="1">
      <c r="A37" s="68">
        <f>OVERALL!A37</f>
        <v>34</v>
      </c>
      <c r="B37" s="69">
        <f>OVERALL!B37</f>
        <v>2301271</v>
      </c>
      <c r="C37" s="70" t="str">
        <f>OVERALL!C37</f>
        <v>Sudip Sunar</v>
      </c>
      <c r="D37" s="65">
        <f>DSA!BX42</f>
        <v>21</v>
      </c>
      <c r="E37" s="71">
        <f>'M-III'!BZ42</f>
        <v>21</v>
      </c>
      <c r="F37" s="71">
        <f>OOPS!CA42</f>
        <v>21</v>
      </c>
      <c r="G37" s="71">
        <f>DE!BY42</f>
        <v>19</v>
      </c>
      <c r="H37" s="66">
        <f>DOS!BX42</f>
        <v>16</v>
      </c>
      <c r="I37" s="71">
        <f>'OOPS LAB'!AS41</f>
        <v>16</v>
      </c>
      <c r="J37" s="71">
        <f>'DE LAB'!AS41</f>
        <v>20</v>
      </c>
      <c r="K37" s="71">
        <f>'DSA LAB'!AS41</f>
        <v>15</v>
      </c>
      <c r="L37" s="72">
        <f>'IT WORKSHOP'!BA41</f>
        <v>18</v>
      </c>
    </row>
    <row r="38" spans="1:12" ht="15.75" customHeight="1">
      <c r="A38" s="68">
        <f>OVERALL!A38</f>
        <v>35</v>
      </c>
      <c r="B38" s="69">
        <f>OVERALL!B38</f>
        <v>2301272</v>
      </c>
      <c r="C38" s="70" t="str">
        <f>OVERALL!C38</f>
        <v>Sujal Sharma</v>
      </c>
      <c r="D38" s="65">
        <f>DSA!BX43</f>
        <v>0</v>
      </c>
      <c r="E38" s="71">
        <f>'M-III'!BZ43</f>
        <v>0</v>
      </c>
      <c r="F38" s="71">
        <f>OOPS!CA43</f>
        <v>3</v>
      </c>
      <c r="G38" s="71">
        <f>DE!BY43</f>
        <v>2</v>
      </c>
      <c r="H38" s="66">
        <f>DOS!BX43</f>
        <v>0</v>
      </c>
      <c r="I38" s="71">
        <f>'OOPS LAB'!AS42</f>
        <v>0</v>
      </c>
      <c r="J38" s="71">
        <f>'DE LAB'!AS42</f>
        <v>2</v>
      </c>
      <c r="K38" s="71">
        <f>'DSA LAB'!AS42</f>
        <v>0</v>
      </c>
      <c r="L38" s="72">
        <f>'IT WORKSHOP'!BA42</f>
        <v>1</v>
      </c>
    </row>
    <row r="39" spans="1:12" ht="15.75" customHeight="1">
      <c r="A39" s="68">
        <f>OVERALL!A39</f>
        <v>36</v>
      </c>
      <c r="B39" s="69">
        <f>OVERALL!B39</f>
        <v>2301273</v>
      </c>
      <c r="C39" s="70" t="str">
        <f>OVERALL!C39</f>
        <v>Sukhraj Singh</v>
      </c>
      <c r="D39" s="65">
        <f>DSA!BX44</f>
        <v>13</v>
      </c>
      <c r="E39" s="71">
        <f>'M-III'!BZ44</f>
        <v>4</v>
      </c>
      <c r="F39" s="71">
        <f>OOPS!CA44</f>
        <v>14</v>
      </c>
      <c r="G39" s="71">
        <f>DE!BY44</f>
        <v>16</v>
      </c>
      <c r="H39" s="66">
        <f>DOS!BX44</f>
        <v>21</v>
      </c>
      <c r="I39" s="71">
        <f>'OOPS LAB'!AS43</f>
        <v>14</v>
      </c>
      <c r="J39" s="71">
        <f>'DE LAB'!AS43</f>
        <v>2</v>
      </c>
      <c r="K39" s="71">
        <f>'DSA LAB'!AS43</f>
        <v>3</v>
      </c>
      <c r="L39" s="72">
        <f>'IT WORKSHOP'!BA43</f>
        <v>7</v>
      </c>
    </row>
    <row r="40" spans="1:12" ht="15.75" customHeight="1">
      <c r="A40" s="68">
        <f>OVERALL!A40</f>
        <v>37</v>
      </c>
      <c r="B40" s="69">
        <f>OVERALL!B40</f>
        <v>2301274</v>
      </c>
      <c r="C40" s="70" t="str">
        <f>OVERALL!C40</f>
        <v>Sukhreet Kaur</v>
      </c>
      <c r="D40" s="65">
        <f>DSA!BX45</f>
        <v>33</v>
      </c>
      <c r="E40" s="71">
        <f>'M-III'!BZ45</f>
        <v>26</v>
      </c>
      <c r="F40" s="71">
        <f>OOPS!CA45</f>
        <v>21</v>
      </c>
      <c r="G40" s="71">
        <f>DE!BY45</f>
        <v>24</v>
      </c>
      <c r="H40" s="66">
        <f>DOS!BX45</f>
        <v>21</v>
      </c>
      <c r="I40" s="71">
        <f>'OOPS LAB'!AS44</f>
        <v>19</v>
      </c>
      <c r="J40" s="71">
        <f>'DE LAB'!AS44</f>
        <v>18</v>
      </c>
      <c r="K40" s="71">
        <f>'DSA LAB'!AS44</f>
        <v>9</v>
      </c>
      <c r="L40" s="72">
        <f>'IT WORKSHOP'!BA44</f>
        <v>21</v>
      </c>
    </row>
    <row r="41" spans="1:12" ht="15.75" customHeight="1">
      <c r="A41" s="68">
        <f>OVERALL!A41</f>
        <v>38</v>
      </c>
      <c r="B41" s="69">
        <f>OVERALL!B41</f>
        <v>2301275</v>
      </c>
      <c r="C41" s="70" t="str">
        <f>OVERALL!C41</f>
        <v>Suman Krishna</v>
      </c>
      <c r="D41" s="65">
        <f>DSA!BX46</f>
        <v>20</v>
      </c>
      <c r="E41" s="71">
        <f>'M-III'!BZ46</f>
        <v>17</v>
      </c>
      <c r="F41" s="71">
        <f>OOPS!CA46</f>
        <v>21</v>
      </c>
      <c r="G41" s="71">
        <f>DE!BY46</f>
        <v>22</v>
      </c>
      <c r="H41" s="66">
        <f>DOS!BX46</f>
        <v>14</v>
      </c>
      <c r="I41" s="71">
        <f>'OOPS LAB'!AS45</f>
        <v>16</v>
      </c>
      <c r="J41" s="71">
        <f>'DE LAB'!AS45</f>
        <v>15</v>
      </c>
      <c r="K41" s="71">
        <f>'DSA LAB'!AS45</f>
        <v>14</v>
      </c>
      <c r="L41" s="72">
        <f>'IT WORKSHOP'!BA45</f>
        <v>18</v>
      </c>
    </row>
    <row r="42" spans="1:12" ht="15.75" customHeight="1">
      <c r="A42" s="68">
        <f>OVERALL!A42</f>
        <v>39</v>
      </c>
      <c r="B42" s="69">
        <f>OVERALL!B42</f>
        <v>2301276</v>
      </c>
      <c r="C42" s="70" t="str">
        <f>OVERALL!C42</f>
        <v>Sumanyu</v>
      </c>
      <c r="D42" s="65">
        <f>DSA!BX47</f>
        <v>0</v>
      </c>
      <c r="E42" s="71">
        <f>'M-III'!BZ47</f>
        <v>0</v>
      </c>
      <c r="F42" s="71">
        <f>OOPS!CA47</f>
        <v>0</v>
      </c>
      <c r="G42" s="71">
        <f>DE!BY47</f>
        <v>2</v>
      </c>
      <c r="H42" s="66">
        <f>DOS!BX47</f>
        <v>0</v>
      </c>
      <c r="I42" s="71">
        <f>'OOPS LAB'!AS46</f>
        <v>0</v>
      </c>
      <c r="J42" s="71">
        <f>'DE LAB'!AS46</f>
        <v>0</v>
      </c>
      <c r="K42" s="71">
        <f>'DSA LAB'!AS46</f>
        <v>0</v>
      </c>
      <c r="L42" s="72">
        <f>'IT WORKSHOP'!BA46</f>
        <v>0</v>
      </c>
    </row>
    <row r="43" spans="1:12" ht="15.75" customHeight="1">
      <c r="A43" s="68">
        <f>OVERALL!A43</f>
        <v>40</v>
      </c>
      <c r="B43" s="69">
        <f>OVERALL!B43</f>
        <v>2301277</v>
      </c>
      <c r="C43" s="70" t="str">
        <f>OVERALL!C43</f>
        <v>Tamana</v>
      </c>
      <c r="D43" s="65">
        <f>DSA!BX48</f>
        <v>25</v>
      </c>
      <c r="E43" s="71">
        <f>'M-III'!BZ48</f>
        <v>27</v>
      </c>
      <c r="F43" s="71">
        <f>OOPS!CA48</f>
        <v>23</v>
      </c>
      <c r="G43" s="71">
        <f>DE!BY48</f>
        <v>22</v>
      </c>
      <c r="H43" s="66">
        <f>DOS!BX48</f>
        <v>18</v>
      </c>
      <c r="I43" s="71">
        <f>'OOPS LAB'!AS47</f>
        <v>17</v>
      </c>
      <c r="J43" s="71">
        <f>'DE LAB'!AS47</f>
        <v>13</v>
      </c>
      <c r="K43" s="71">
        <f>'DSA LAB'!AS47</f>
        <v>13</v>
      </c>
      <c r="L43" s="72">
        <f>'IT WORKSHOP'!BA47</f>
        <v>19</v>
      </c>
    </row>
    <row r="44" spans="1:12" ht="15.75" customHeight="1">
      <c r="A44" s="68">
        <f>OVERALL!A44</f>
        <v>41</v>
      </c>
      <c r="B44" s="69">
        <f>OVERALL!B44</f>
        <v>2301278</v>
      </c>
      <c r="C44" s="70" t="str">
        <f>OVERALL!C44</f>
        <v>Tamana Farooq Khanday</v>
      </c>
      <c r="D44" s="65">
        <f>DSA!BX49</f>
        <v>16</v>
      </c>
      <c r="E44" s="71">
        <f>'M-III'!BZ49</f>
        <v>18</v>
      </c>
      <c r="F44" s="71">
        <f>OOPS!CA49</f>
        <v>21</v>
      </c>
      <c r="G44" s="71">
        <f>DE!BY49</f>
        <v>16</v>
      </c>
      <c r="H44" s="66">
        <f>DOS!BX49</f>
        <v>17</v>
      </c>
      <c r="I44" s="71">
        <f>'OOPS LAB'!AS48</f>
        <v>14</v>
      </c>
      <c r="J44" s="71">
        <f>'DE LAB'!AS48</f>
        <v>12</v>
      </c>
      <c r="K44" s="71">
        <f>'DSA LAB'!AS48</f>
        <v>12</v>
      </c>
      <c r="L44" s="72">
        <f>'IT WORKSHOP'!BA48</f>
        <v>13</v>
      </c>
    </row>
    <row r="45" spans="1:12" ht="15.75" customHeight="1">
      <c r="A45" s="68">
        <f>OVERALL!A45</f>
        <v>42</v>
      </c>
      <c r="B45" s="69">
        <f>OVERALL!B45</f>
        <v>2301279</v>
      </c>
      <c r="C45" s="70" t="str">
        <f>OVERALL!C45</f>
        <v>Tania</v>
      </c>
      <c r="D45" s="65">
        <f>DSA!BX50</f>
        <v>29</v>
      </c>
      <c r="E45" s="71">
        <f>'M-III'!BZ50</f>
        <v>20</v>
      </c>
      <c r="F45" s="71">
        <f>OOPS!CA50</f>
        <v>21</v>
      </c>
      <c r="G45" s="71">
        <f>DE!BY50</f>
        <v>21</v>
      </c>
      <c r="H45" s="66">
        <f>DOS!BX50</f>
        <v>20</v>
      </c>
      <c r="I45" s="71">
        <f>'OOPS LAB'!AS49</f>
        <v>19</v>
      </c>
      <c r="J45" s="71">
        <f>'DE LAB'!AS49</f>
        <v>21</v>
      </c>
      <c r="K45" s="71">
        <f>'DSA LAB'!AS49</f>
        <v>12</v>
      </c>
      <c r="L45" s="72">
        <f>'IT WORKSHOP'!BA49</f>
        <v>21</v>
      </c>
    </row>
    <row r="46" spans="1:12" ht="15.75" customHeight="1">
      <c r="A46" s="68">
        <f>OVERALL!A46</f>
        <v>43</v>
      </c>
      <c r="B46" s="69">
        <f>OVERALL!B46</f>
        <v>2301280</v>
      </c>
      <c r="C46" s="70" t="str">
        <f>OVERALL!C46</f>
        <v>Taniya</v>
      </c>
      <c r="D46" s="65">
        <f>DSA!BX51</f>
        <v>23</v>
      </c>
      <c r="E46" s="71">
        <f>'M-III'!BZ51</f>
        <v>11</v>
      </c>
      <c r="F46" s="71">
        <f>OOPS!CA51</f>
        <v>18</v>
      </c>
      <c r="G46" s="71">
        <f>DE!BY51</f>
        <v>16</v>
      </c>
      <c r="H46" s="66">
        <f>DOS!BX51</f>
        <v>23</v>
      </c>
      <c r="I46" s="71">
        <f>'OOPS LAB'!AS50</f>
        <v>13</v>
      </c>
      <c r="J46" s="71">
        <f>'DE LAB'!AS50</f>
        <v>16</v>
      </c>
      <c r="K46" s="71">
        <f>'DSA LAB'!AS50</f>
        <v>12</v>
      </c>
      <c r="L46" s="72">
        <f>'IT WORKSHOP'!BA50</f>
        <v>14</v>
      </c>
    </row>
    <row r="47" spans="1:12" ht="15.75" customHeight="1">
      <c r="A47" s="76">
        <f>OVERALL!A47</f>
        <v>44</v>
      </c>
      <c r="B47" s="77">
        <f>OVERALL!B47</f>
        <v>2301281</v>
      </c>
      <c r="C47" s="78" t="str">
        <f>OVERALL!C47</f>
        <v>Taziko Trakha</v>
      </c>
      <c r="D47" s="65">
        <f>DSA!BX52</f>
        <v>27</v>
      </c>
      <c r="E47" s="79">
        <f>'M-III'!BZ52</f>
        <v>19</v>
      </c>
      <c r="F47" s="79">
        <f>OOPS!CA52</f>
        <v>19</v>
      </c>
      <c r="G47" s="79">
        <f>DE!BY52</f>
        <v>21</v>
      </c>
      <c r="H47" s="66">
        <f>DOS!BX52</f>
        <v>22</v>
      </c>
      <c r="I47" s="79">
        <f>'OOPS LAB'!AS51</f>
        <v>15</v>
      </c>
      <c r="J47" s="79">
        <f>'DE LAB'!AS51</f>
        <v>19</v>
      </c>
      <c r="K47" s="79">
        <f>'DSA LAB'!AS51</f>
        <v>13</v>
      </c>
      <c r="L47" s="72">
        <f>'IT WORKSHOP'!BA51</f>
        <v>14</v>
      </c>
    </row>
    <row r="48" spans="1:12" ht="15.75" customHeight="1">
      <c r="A48" s="76">
        <f>OVERALL!A48</f>
        <v>45</v>
      </c>
      <c r="B48" s="77">
        <f>OVERALL!B48</f>
        <v>2301282</v>
      </c>
      <c r="C48" s="77" t="str">
        <f>OVERALL!C48</f>
        <v>Uday Kumar</v>
      </c>
      <c r="D48" s="65">
        <f>DSA!BX53</f>
        <v>6</v>
      </c>
      <c r="E48" s="79">
        <f>'M-III'!BZ53</f>
        <v>6</v>
      </c>
      <c r="F48" s="79">
        <f>OOPS!CA53</f>
        <v>8</v>
      </c>
      <c r="G48" s="79">
        <f>DE!BY53</f>
        <v>16</v>
      </c>
      <c r="H48" s="66">
        <f>DOS!BX53</f>
        <v>5</v>
      </c>
      <c r="I48" s="79">
        <f>'OOPS LAB'!AS52</f>
        <v>3</v>
      </c>
      <c r="J48" s="79">
        <f>'DE LAB'!AS52</f>
        <v>12</v>
      </c>
      <c r="K48" s="79">
        <f>'DSA LAB'!AS52</f>
        <v>2</v>
      </c>
      <c r="L48" s="72">
        <f>'IT WORKSHOP'!BA52</f>
        <v>3</v>
      </c>
    </row>
    <row r="49" spans="1:12" ht="15.75" customHeight="1">
      <c r="A49" s="76">
        <f>OVERALL!A49</f>
        <v>46</v>
      </c>
      <c r="B49" s="77">
        <f>OVERALL!B49</f>
        <v>2301283</v>
      </c>
      <c r="C49" s="77" t="str">
        <f>OVERALL!C49</f>
        <v>Vaibhav Shahi</v>
      </c>
      <c r="D49" s="65">
        <f>DSA!BX54</f>
        <v>5</v>
      </c>
      <c r="E49" s="79">
        <f>'M-III'!BZ54</f>
        <v>9</v>
      </c>
      <c r="F49" s="79">
        <f>OOPS!CA54</f>
        <v>17</v>
      </c>
      <c r="G49" s="79">
        <f>DE!BY54</f>
        <v>16</v>
      </c>
      <c r="H49" s="66">
        <f>DOS!BX54</f>
        <v>8</v>
      </c>
      <c r="I49" s="79">
        <f>'OOPS LAB'!AS53</f>
        <v>15</v>
      </c>
      <c r="J49" s="79">
        <f>'DE LAB'!AS53</f>
        <v>15</v>
      </c>
      <c r="K49" s="79">
        <f>'DSA LAB'!AS53</f>
        <v>5</v>
      </c>
      <c r="L49" s="72">
        <f>'IT WORKSHOP'!BA53</f>
        <v>7</v>
      </c>
    </row>
    <row r="50" spans="1:12" ht="15.75" customHeight="1">
      <c r="A50" s="76">
        <f>OVERALL!A50</f>
        <v>47</v>
      </c>
      <c r="B50" s="77">
        <f>OVERALL!B50</f>
        <v>2301284</v>
      </c>
      <c r="C50" s="77" t="str">
        <f>OVERALL!C50</f>
        <v>Vansh Kumar</v>
      </c>
      <c r="D50" s="65">
        <f>DSA!BX55</f>
        <v>0</v>
      </c>
      <c r="E50" s="79">
        <f>'M-III'!BZ55</f>
        <v>0</v>
      </c>
      <c r="F50" s="79">
        <f>OOPS!CA55</f>
        <v>0</v>
      </c>
      <c r="G50" s="79">
        <f>DE!BY55</f>
        <v>2</v>
      </c>
      <c r="H50" s="66">
        <f>DOS!BX55</f>
        <v>0</v>
      </c>
      <c r="I50" s="79">
        <f>'OOPS LAB'!AS54</f>
        <v>0</v>
      </c>
      <c r="J50" s="79">
        <f>'DE LAB'!AS54</f>
        <v>2</v>
      </c>
      <c r="K50" s="79">
        <f>'DSA LAB'!AS54</f>
        <v>0</v>
      </c>
      <c r="L50" s="72">
        <f>'IT WORKSHOP'!BA54</f>
        <v>0</v>
      </c>
    </row>
    <row r="51" spans="1:12" ht="15.75" customHeight="1">
      <c r="A51" s="76">
        <f>OVERALL!A51</f>
        <v>48</v>
      </c>
      <c r="B51" s="77">
        <f>OVERALL!B51</f>
        <v>2301285</v>
      </c>
      <c r="C51" s="77" t="str">
        <f>OVERALL!C51</f>
        <v>Vansh Sharma</v>
      </c>
      <c r="D51" s="65">
        <f>DSA!BX56</f>
        <v>5</v>
      </c>
      <c r="E51" s="79">
        <f>'M-III'!BZ56</f>
        <v>10</v>
      </c>
      <c r="F51" s="79">
        <f>OOPS!CA56</f>
        <v>7</v>
      </c>
      <c r="G51" s="79">
        <f>DE!BY56</f>
        <v>16</v>
      </c>
      <c r="H51" s="66">
        <f>DOS!BX56</f>
        <v>9</v>
      </c>
      <c r="I51" s="79">
        <f>'OOPS LAB'!AS55</f>
        <v>16</v>
      </c>
      <c r="J51" s="79">
        <f>'DE LAB'!AS55</f>
        <v>16</v>
      </c>
      <c r="K51" s="79">
        <f>'DSA LAB'!AS55</f>
        <v>15</v>
      </c>
      <c r="L51" s="72">
        <f>'IT WORKSHOP'!BA55</f>
        <v>18</v>
      </c>
    </row>
    <row r="52" spans="1:12" ht="15.75" customHeight="1">
      <c r="A52" s="76">
        <f>OVERALL!A52</f>
        <v>49</v>
      </c>
      <c r="B52" s="77">
        <f>OVERALL!B52</f>
        <v>2301286</v>
      </c>
      <c r="C52" s="77" t="str">
        <f>OVERALL!C52</f>
        <v>Vikramjit Singh</v>
      </c>
      <c r="D52" s="65">
        <f>DSA!BX57</f>
        <v>0</v>
      </c>
      <c r="E52" s="79">
        <f>'M-III'!BZ57</f>
        <v>2</v>
      </c>
      <c r="F52" s="79">
        <f>OOPS!CA57</f>
        <v>0</v>
      </c>
      <c r="G52" s="79">
        <f>DE!BY57</f>
        <v>2</v>
      </c>
      <c r="H52" s="66">
        <f>DOS!BX57</f>
        <v>0</v>
      </c>
      <c r="I52" s="79">
        <f>'OOPS LAB'!AS56</f>
        <v>0</v>
      </c>
      <c r="J52" s="79">
        <f>'DE LAB'!AS56</f>
        <v>2</v>
      </c>
      <c r="K52" s="79">
        <f>'DSA LAB'!AS56</f>
        <v>1</v>
      </c>
      <c r="L52" s="72">
        <f>'IT WORKSHOP'!BA56</f>
        <v>0</v>
      </c>
    </row>
    <row r="53" spans="1:12" ht="15.75" customHeight="1">
      <c r="A53" s="76">
        <f>OVERALL!A53</f>
        <v>50</v>
      </c>
      <c r="B53" s="77">
        <f>OVERALL!B53</f>
        <v>2301287</v>
      </c>
      <c r="C53" s="77" t="str">
        <f>OVERALL!C53</f>
        <v>Vishavjit Singh</v>
      </c>
      <c r="D53" s="65">
        <f>DSA!BX58</f>
        <v>0</v>
      </c>
      <c r="E53" s="79">
        <f>'M-III'!BZ58</f>
        <v>1</v>
      </c>
      <c r="F53" s="79">
        <f>OOPS!CA58</f>
        <v>0</v>
      </c>
      <c r="G53" s="79">
        <f>DE!BY58</f>
        <v>2</v>
      </c>
      <c r="H53" s="66">
        <f>DOS!BX58</f>
        <v>0</v>
      </c>
      <c r="I53" s="79">
        <f>'OOPS LAB'!AS57</f>
        <v>0</v>
      </c>
      <c r="J53" s="79">
        <f>'DE LAB'!AS57</f>
        <v>2</v>
      </c>
      <c r="K53" s="79">
        <f>'DSA LAB'!AS57</f>
        <v>1</v>
      </c>
      <c r="L53" s="72">
        <f>'IT WORKSHOP'!BA57</f>
        <v>2</v>
      </c>
    </row>
    <row r="54" spans="1:12" ht="15.75" customHeight="1">
      <c r="A54" s="76">
        <f>OVERALL!A54</f>
        <v>51</v>
      </c>
      <c r="B54" s="77">
        <f>OVERALL!B54</f>
        <v>2339508</v>
      </c>
      <c r="C54" s="77" t="str">
        <f>OVERALL!C54</f>
        <v>TANISHA</v>
      </c>
      <c r="D54" s="65">
        <f>DSA!BX59</f>
        <v>18</v>
      </c>
      <c r="E54" s="79">
        <f>'M-III'!BZ59</f>
        <v>12</v>
      </c>
      <c r="F54" s="79">
        <f>OOPS!CA59</f>
        <v>15</v>
      </c>
      <c r="G54" s="79">
        <f>DE!BY59</f>
        <v>18</v>
      </c>
      <c r="H54" s="66">
        <f>DOS!BX59</f>
        <v>14</v>
      </c>
      <c r="I54" s="79">
        <f>'OOPS LAB'!AS58</f>
        <v>20</v>
      </c>
      <c r="J54" s="79">
        <f>'DE LAB'!AS58</f>
        <v>20</v>
      </c>
      <c r="K54" s="79">
        <f>'DSA LAB'!AS58</f>
        <v>19</v>
      </c>
      <c r="L54" s="72">
        <f>'IT WORKSHOP'!BA58</f>
        <v>21</v>
      </c>
    </row>
    <row r="55" spans="1:12" ht="15.75" customHeight="1">
      <c r="A55" s="76">
        <f>OVERALL!A55</f>
        <v>52</v>
      </c>
      <c r="B55" s="77">
        <f>OVERALL!B55</f>
        <v>2339509</v>
      </c>
      <c r="C55" s="77" t="str">
        <f>OVERALL!C55</f>
        <v>TOHIED AHMED</v>
      </c>
      <c r="D55" s="65">
        <f>DSA!BX60</f>
        <v>0</v>
      </c>
      <c r="E55" s="79">
        <f>'M-III'!BZ60</f>
        <v>0</v>
      </c>
      <c r="F55" s="79">
        <f>OOPS!CA60</f>
        <v>0</v>
      </c>
      <c r="G55" s="79">
        <f>DE!BY60</f>
        <v>2</v>
      </c>
      <c r="H55" s="66">
        <f>DOS!BX60</f>
        <v>0</v>
      </c>
      <c r="I55" s="79">
        <f>'OOPS LAB'!AS59</f>
        <v>0</v>
      </c>
      <c r="J55" s="79">
        <f>'DE LAB'!AS59</f>
        <v>2</v>
      </c>
      <c r="K55" s="79">
        <f>'DSA LAB'!AS59</f>
        <v>0</v>
      </c>
      <c r="L55" s="72">
        <f>'IT WORKSHOP'!BA59</f>
        <v>0</v>
      </c>
    </row>
    <row r="56" spans="1:12" ht="15.75" customHeight="1">
      <c r="A56" s="76">
        <f>OVERALL!A56</f>
        <v>53</v>
      </c>
      <c r="B56" s="77">
        <f>OVERALL!B56</f>
        <v>2301207</v>
      </c>
      <c r="C56" s="77" t="str">
        <f>OVERALL!C56</f>
        <v>Harsh thakur</v>
      </c>
      <c r="D56" s="65">
        <f>DSA!BX61</f>
        <v>0</v>
      </c>
      <c r="E56" s="79">
        <f>'M-III'!BZ61</f>
        <v>0</v>
      </c>
      <c r="F56" s="79">
        <f>OOPS!CA61</f>
        <v>0</v>
      </c>
      <c r="G56" s="79">
        <f>DE!BY61</f>
        <v>2</v>
      </c>
      <c r="H56" s="66">
        <f>DOS!BX61</f>
        <v>0</v>
      </c>
      <c r="I56" s="79">
        <f>'OOPS LAB'!AS60</f>
        <v>0</v>
      </c>
      <c r="J56" s="79">
        <f>'DE LAB'!AS60</f>
        <v>2</v>
      </c>
      <c r="K56" s="79">
        <f>'DSA LAB'!AS60</f>
        <v>0</v>
      </c>
      <c r="L56" s="72">
        <f>'IT WORKSHOP'!BA60</f>
        <v>0</v>
      </c>
    </row>
    <row r="57" spans="1:12" ht="15.75" customHeight="1">
      <c r="A57" s="76">
        <f>OVERALL!A57</f>
        <v>54</v>
      </c>
      <c r="B57" s="77" t="str">
        <f>OVERALL!B57</f>
        <v>Leet</v>
      </c>
      <c r="C57" s="77" t="str">
        <f>OVERALL!C57</f>
        <v>Gagan</v>
      </c>
      <c r="D57" s="65">
        <f>DSA!BX62</f>
        <v>23</v>
      </c>
      <c r="E57" s="79">
        <f>'M-III'!BZ62</f>
        <v>19</v>
      </c>
      <c r="F57" s="79">
        <f>OOPS!CA62</f>
        <v>20</v>
      </c>
      <c r="G57" s="79">
        <f>DE!BY62</f>
        <v>23</v>
      </c>
      <c r="H57" s="66">
        <f>DOS!BX62</f>
        <v>15</v>
      </c>
      <c r="I57" s="79">
        <f>'OOPS LAB'!AS61</f>
        <v>17</v>
      </c>
      <c r="J57" s="79">
        <f>'DE LAB'!AS61</f>
        <v>23</v>
      </c>
      <c r="K57" s="79">
        <f>'DSA LAB'!AS61</f>
        <v>19</v>
      </c>
      <c r="L57" s="72">
        <f>'IT WORKSHOP'!BA61</f>
        <v>19</v>
      </c>
    </row>
    <row r="58" spans="1:12" ht="15.75" customHeight="1">
      <c r="A58" s="76">
        <f>OVERALL!A58</f>
        <v>55</v>
      </c>
      <c r="B58" s="77" t="str">
        <f>OVERALL!B58</f>
        <v>Leet</v>
      </c>
      <c r="C58" s="77" t="str">
        <f>OVERALL!C58</f>
        <v>Manisha</v>
      </c>
      <c r="D58" s="65">
        <f>DSA!BX63</f>
        <v>29</v>
      </c>
      <c r="E58" s="79">
        <f>'M-III'!BZ63</f>
        <v>20</v>
      </c>
      <c r="F58" s="79">
        <f>OOPS!CA63</f>
        <v>28</v>
      </c>
      <c r="G58" s="79">
        <f>DE!BY63</f>
        <v>27</v>
      </c>
      <c r="H58" s="66">
        <f>DOS!BX63</f>
        <v>28</v>
      </c>
      <c r="I58" s="79">
        <f>'OOPS LAB'!AS62</f>
        <v>22</v>
      </c>
      <c r="J58" s="79">
        <f>'DE LAB'!AS62</f>
        <v>23</v>
      </c>
      <c r="K58" s="79">
        <f>'DSA LAB'!AS62</f>
        <v>24</v>
      </c>
      <c r="L58" s="72">
        <f>'IT WORKSHOP'!BA62</f>
        <v>20</v>
      </c>
    </row>
    <row r="59" spans="1:12" ht="15.75" customHeight="1">
      <c r="A59" s="76">
        <f>OVERALL!A59</f>
        <v>56</v>
      </c>
      <c r="B59" s="77" t="str">
        <f>OVERALL!B59</f>
        <v>Leet</v>
      </c>
      <c r="C59" s="77" t="str">
        <f>OVERALL!C59</f>
        <v>Richa</v>
      </c>
      <c r="D59" s="65">
        <f>DSA!BX64</f>
        <v>35</v>
      </c>
      <c r="E59" s="79">
        <f>'M-III'!BZ64</f>
        <v>27</v>
      </c>
      <c r="F59" s="79">
        <f>OOPS!CA64</f>
        <v>35</v>
      </c>
      <c r="G59" s="79">
        <f>DE!BY64</f>
        <v>33</v>
      </c>
      <c r="H59" s="66">
        <f>DOS!BX64</f>
        <v>29</v>
      </c>
      <c r="I59" s="79">
        <f>'OOPS LAB'!AS63</f>
        <v>25</v>
      </c>
      <c r="J59" s="79">
        <f>'DE LAB'!AS63</f>
        <v>23</v>
      </c>
      <c r="K59" s="79">
        <f>'DSA LAB'!AS63</f>
        <v>26</v>
      </c>
      <c r="L59" s="72">
        <f>'IT WORKSHOP'!BA63</f>
        <v>25</v>
      </c>
    </row>
    <row r="60" spans="1:12" ht="15.75" customHeight="1">
      <c r="A60" s="76">
        <f>OVERALL!A60</f>
        <v>57</v>
      </c>
      <c r="B60" s="77" t="str">
        <f>OVERALL!B60</f>
        <v>Leet</v>
      </c>
      <c r="C60" s="77" t="str">
        <f>OVERALL!C60</f>
        <v>Prakriti</v>
      </c>
      <c r="D60" s="65">
        <f>DSA!BX65</f>
        <v>34</v>
      </c>
      <c r="E60" s="79">
        <f>'M-III'!BZ65</f>
        <v>18</v>
      </c>
      <c r="F60" s="79">
        <f>OOPS!CA65</f>
        <v>31</v>
      </c>
      <c r="G60" s="79">
        <f>DE!BY65</f>
        <v>26</v>
      </c>
      <c r="H60" s="66">
        <f>DOS!BX65</f>
        <v>30</v>
      </c>
      <c r="I60" s="79">
        <f>'OOPS LAB'!AS64</f>
        <v>25</v>
      </c>
      <c r="J60" s="79">
        <f>'DE LAB'!AS64</f>
        <v>27</v>
      </c>
      <c r="K60" s="79">
        <f>'DSA LAB'!AS64</f>
        <v>19</v>
      </c>
      <c r="L60" s="72">
        <f>'IT WORKSHOP'!BA64</f>
        <v>25</v>
      </c>
    </row>
    <row r="61" spans="1:12" ht="15.75" customHeight="1">
      <c r="A61" s="76">
        <f>OVERALL!A61</f>
        <v>58</v>
      </c>
      <c r="B61" s="77" t="str">
        <f>OVERALL!B61</f>
        <v>leet</v>
      </c>
      <c r="C61" s="77" t="str">
        <f>OVERALL!C61</f>
        <v>Shubham</v>
      </c>
      <c r="D61" s="65">
        <f>DSA!BX66</f>
        <v>16</v>
      </c>
      <c r="E61" s="79">
        <f>'M-III'!BZ66</f>
        <v>13</v>
      </c>
      <c r="F61" s="79">
        <f>OOPS!CA66</f>
        <v>17</v>
      </c>
      <c r="G61" s="79">
        <f>DE!BY66</f>
        <v>18</v>
      </c>
      <c r="H61" s="66">
        <f>DOS!BX66</f>
        <v>13</v>
      </c>
      <c r="I61" s="79">
        <f>'OOPS LAB'!AS65</f>
        <v>21</v>
      </c>
      <c r="J61" s="79">
        <f>'DE LAB'!AS65</f>
        <v>19</v>
      </c>
      <c r="K61" s="79">
        <f>'DSA LAB'!AS65</f>
        <v>16</v>
      </c>
      <c r="L61" s="72">
        <f>'IT WORKSHOP'!BA65</f>
        <v>21</v>
      </c>
    </row>
    <row r="62" spans="1:12" ht="15.75" customHeight="1">
      <c r="A62" s="354" t="s">
        <v>82</v>
      </c>
      <c r="B62" s="355"/>
      <c r="C62" s="356"/>
      <c r="D62" s="80">
        <f t="shared" ref="D62:L62" si="0">MAX(D4:D59)</f>
        <v>35</v>
      </c>
      <c r="E62" s="80">
        <f t="shared" si="0"/>
        <v>34</v>
      </c>
      <c r="F62" s="80">
        <f t="shared" si="0"/>
        <v>36</v>
      </c>
      <c r="G62" s="80">
        <f t="shared" si="0"/>
        <v>33</v>
      </c>
      <c r="H62" s="80">
        <f t="shared" si="0"/>
        <v>36</v>
      </c>
      <c r="I62" s="80">
        <f t="shared" si="0"/>
        <v>26</v>
      </c>
      <c r="J62" s="80">
        <f t="shared" si="0"/>
        <v>26</v>
      </c>
      <c r="K62" s="80">
        <f t="shared" si="0"/>
        <v>26</v>
      </c>
      <c r="L62" s="72">
        <f t="shared" si="0"/>
        <v>27</v>
      </c>
    </row>
    <row r="63" spans="1:12" ht="15.75" customHeight="1">
      <c r="A63" s="357" t="s">
        <v>83</v>
      </c>
      <c r="B63" s="358"/>
      <c r="C63" s="359"/>
      <c r="D63" s="71">
        <f t="shared" ref="D63:K63" si="1">MIN(D4:D59)</f>
        <v>0</v>
      </c>
      <c r="E63" s="71">
        <f t="shared" si="1"/>
        <v>0</v>
      </c>
      <c r="F63" s="71">
        <f t="shared" si="1"/>
        <v>0</v>
      </c>
      <c r="G63" s="71">
        <f t="shared" si="1"/>
        <v>2</v>
      </c>
      <c r="H63" s="71">
        <f t="shared" si="1"/>
        <v>0</v>
      </c>
      <c r="I63" s="71">
        <f t="shared" si="1"/>
        <v>0</v>
      </c>
      <c r="J63" s="71">
        <f t="shared" si="1"/>
        <v>0</v>
      </c>
      <c r="K63" s="71">
        <f t="shared" si="1"/>
        <v>0</v>
      </c>
      <c r="L63" s="81">
        <f>MIN(L4:L59)</f>
        <v>0</v>
      </c>
    </row>
    <row r="64" spans="1:12" ht="15.75" customHeight="1">
      <c r="A64" s="360" t="s">
        <v>84</v>
      </c>
      <c r="B64" s="361"/>
      <c r="C64" s="362"/>
      <c r="D64" s="82">
        <f t="shared" ref="D64:L64" si="2">AVERAGE(D4:D59)</f>
        <v>17.375</v>
      </c>
      <c r="E64" s="82">
        <f t="shared" si="2"/>
        <v>15.053571428571429</v>
      </c>
      <c r="F64" s="82">
        <f t="shared" si="2"/>
        <v>16.160714285714285</v>
      </c>
      <c r="G64" s="82">
        <f t="shared" si="2"/>
        <v>17.571428571428573</v>
      </c>
      <c r="H64" s="82">
        <f t="shared" si="2"/>
        <v>14.946428571428571</v>
      </c>
      <c r="I64" s="82">
        <f t="shared" si="2"/>
        <v>13.75</v>
      </c>
      <c r="J64" s="82">
        <f t="shared" si="2"/>
        <v>14.642857142857142</v>
      </c>
      <c r="K64" s="82">
        <f t="shared" si="2"/>
        <v>13.321428571428571</v>
      </c>
      <c r="L64" s="81">
        <f t="shared" si="2"/>
        <v>14</v>
      </c>
    </row>
    <row r="65" spans="1:15" ht="15.75" customHeight="1">
      <c r="A65" s="363" t="s">
        <v>85</v>
      </c>
      <c r="B65" s="350"/>
      <c r="C65" s="364"/>
      <c r="D65" s="342" t="s">
        <v>86</v>
      </c>
      <c r="E65" s="342" t="s">
        <v>87</v>
      </c>
      <c r="F65" s="342" t="s">
        <v>88</v>
      </c>
      <c r="G65" s="342" t="s">
        <v>89</v>
      </c>
      <c r="H65" s="342" t="s">
        <v>90</v>
      </c>
      <c r="I65" s="342" t="s">
        <v>88</v>
      </c>
      <c r="J65" s="342" t="s">
        <v>89</v>
      </c>
      <c r="K65" s="344" t="s">
        <v>86</v>
      </c>
      <c r="L65" s="345" t="s">
        <v>91</v>
      </c>
      <c r="M65" s="347"/>
      <c r="N65" s="347"/>
      <c r="O65" s="347"/>
    </row>
    <row r="66" spans="1:15" ht="15.75" customHeight="1">
      <c r="A66" s="365"/>
      <c r="B66" s="366"/>
      <c r="C66" s="367"/>
      <c r="D66" s="343"/>
      <c r="E66" s="343"/>
      <c r="F66" s="343"/>
      <c r="G66" s="343"/>
      <c r="H66" s="343"/>
      <c r="I66" s="343"/>
      <c r="J66" s="343"/>
      <c r="K66" s="343"/>
      <c r="L66" s="346"/>
      <c r="M66" s="348"/>
      <c r="N66" s="348"/>
      <c r="O66" s="348"/>
    </row>
    <row r="67" spans="1:15" ht="35.25" customHeight="1">
      <c r="A67" s="368" t="s">
        <v>92</v>
      </c>
      <c r="B67" s="366"/>
      <c r="C67" s="367"/>
      <c r="D67" s="83"/>
      <c r="E67" s="84"/>
      <c r="F67" s="85"/>
      <c r="G67" s="86"/>
      <c r="H67" s="86"/>
      <c r="I67" s="83"/>
      <c r="J67" s="84"/>
      <c r="K67" s="85"/>
      <c r="L67" s="87"/>
      <c r="M67" s="41"/>
      <c r="N67" s="24"/>
      <c r="O67" s="24"/>
    </row>
    <row r="68" spans="1:15" ht="15.75" customHeight="1">
      <c r="A68" s="40"/>
      <c r="H68" s="24"/>
    </row>
    <row r="69" spans="1:15" ht="15.75" customHeight="1">
      <c r="A69" s="40"/>
      <c r="H69" s="24"/>
    </row>
    <row r="70" spans="1:15" ht="15.75" customHeight="1">
      <c r="A70" s="40"/>
      <c r="H70" s="24"/>
    </row>
    <row r="71" spans="1:15" ht="15.75" customHeight="1">
      <c r="A71" s="40"/>
      <c r="H71" s="24"/>
    </row>
    <row r="72" spans="1:15" ht="15.75" customHeight="1">
      <c r="A72" s="40"/>
      <c r="H72" s="24"/>
    </row>
    <row r="73" spans="1:15" ht="15.75" customHeight="1">
      <c r="A73" s="40"/>
      <c r="H73" s="24"/>
    </row>
    <row r="74" spans="1:15" ht="15.75" customHeight="1">
      <c r="A74" s="40"/>
      <c r="H74" s="24"/>
    </row>
    <row r="75" spans="1:15" ht="15.75" customHeight="1">
      <c r="A75" s="40"/>
      <c r="H75" s="24"/>
    </row>
    <row r="76" spans="1:15" ht="15.75" customHeight="1">
      <c r="A76" s="40"/>
      <c r="H76" s="24"/>
    </row>
    <row r="77" spans="1:15" ht="15.75" customHeight="1">
      <c r="A77" s="40"/>
      <c r="H77" s="24"/>
    </row>
    <row r="78" spans="1:15" ht="15.75" customHeight="1">
      <c r="A78" s="40"/>
      <c r="H78" s="24"/>
    </row>
    <row r="79" spans="1:15" ht="15.75" customHeight="1">
      <c r="A79" s="40"/>
      <c r="H79" s="24"/>
    </row>
    <row r="80" spans="1:15" ht="15.75" customHeight="1">
      <c r="A80" s="40"/>
      <c r="H80" s="24"/>
    </row>
    <row r="81" spans="1:8" ht="15.75" customHeight="1">
      <c r="A81" s="40"/>
      <c r="H81" s="24"/>
    </row>
    <row r="82" spans="1:8" ht="15.75" customHeight="1">
      <c r="A82" s="40"/>
      <c r="H82" s="24"/>
    </row>
    <row r="83" spans="1:8" ht="15.75" customHeight="1">
      <c r="A83" s="40"/>
      <c r="H83" s="24"/>
    </row>
    <row r="84" spans="1:8" ht="15.75" customHeight="1">
      <c r="A84" s="40"/>
      <c r="H84" s="24"/>
    </row>
    <row r="85" spans="1:8" ht="15.75" customHeight="1">
      <c r="A85" s="40"/>
      <c r="H85" s="24"/>
    </row>
    <row r="86" spans="1:8" ht="15.75" customHeight="1">
      <c r="A86" s="40"/>
      <c r="H86" s="24"/>
    </row>
    <row r="87" spans="1:8" ht="15.75" customHeight="1">
      <c r="A87" s="40"/>
      <c r="H87" s="24"/>
    </row>
    <row r="88" spans="1:8" ht="15.75" customHeight="1">
      <c r="A88" s="40"/>
      <c r="H88" s="24"/>
    </row>
    <row r="89" spans="1:8" ht="15.75" customHeight="1">
      <c r="A89" s="40"/>
      <c r="H89" s="24"/>
    </row>
    <row r="90" spans="1:8" ht="15.75" customHeight="1">
      <c r="A90" s="40"/>
      <c r="H90" s="24"/>
    </row>
    <row r="91" spans="1:8" ht="15.75" customHeight="1">
      <c r="A91" s="40"/>
      <c r="H91" s="24"/>
    </row>
    <row r="92" spans="1:8" ht="15.75" customHeight="1">
      <c r="A92" s="40"/>
      <c r="H92" s="24"/>
    </row>
    <row r="93" spans="1:8" ht="15.75" customHeight="1">
      <c r="A93" s="40"/>
      <c r="H93" s="24"/>
    </row>
    <row r="94" spans="1:8" ht="15.75" customHeight="1">
      <c r="A94" s="40"/>
      <c r="H94" s="24"/>
    </row>
    <row r="95" spans="1:8" ht="15.75" customHeight="1">
      <c r="A95" s="40"/>
      <c r="H95" s="24"/>
    </row>
    <row r="96" spans="1:8" ht="15.75" customHeight="1">
      <c r="A96" s="40"/>
      <c r="H96" s="24"/>
    </row>
    <row r="97" spans="1:8" ht="15.75" customHeight="1">
      <c r="A97" s="40"/>
      <c r="H97" s="24"/>
    </row>
    <row r="98" spans="1:8" ht="15.75" customHeight="1">
      <c r="A98" s="40"/>
      <c r="H98" s="24"/>
    </row>
    <row r="99" spans="1:8" ht="15.75" customHeight="1">
      <c r="A99" s="40"/>
      <c r="H99" s="24"/>
    </row>
    <row r="100" spans="1:8" ht="15.75" customHeight="1">
      <c r="A100" s="40"/>
      <c r="H100" s="24"/>
    </row>
    <row r="101" spans="1:8" ht="15.75" customHeight="1">
      <c r="A101" s="40"/>
      <c r="H101" s="24"/>
    </row>
    <row r="102" spans="1:8" ht="15.75" customHeight="1">
      <c r="A102" s="40"/>
      <c r="H102" s="24"/>
    </row>
    <row r="103" spans="1:8" ht="15.75" customHeight="1">
      <c r="A103" s="40"/>
      <c r="H103" s="24"/>
    </row>
    <row r="104" spans="1:8" ht="15.75" customHeight="1">
      <c r="A104" s="40"/>
      <c r="H104" s="24"/>
    </row>
    <row r="105" spans="1:8" ht="15.75" customHeight="1">
      <c r="A105" s="40"/>
      <c r="H105" s="24"/>
    </row>
    <row r="106" spans="1:8" ht="15.75" customHeight="1">
      <c r="A106" s="40"/>
      <c r="H106" s="24"/>
    </row>
    <row r="107" spans="1:8" ht="15.75" customHeight="1">
      <c r="A107" s="40"/>
      <c r="H107" s="24"/>
    </row>
    <row r="108" spans="1:8" ht="15.75" customHeight="1">
      <c r="A108" s="40"/>
      <c r="H108" s="24"/>
    </row>
    <row r="109" spans="1:8" ht="15.75" customHeight="1">
      <c r="A109" s="40"/>
      <c r="H109" s="24"/>
    </row>
    <row r="110" spans="1:8" ht="15.75" customHeight="1">
      <c r="A110" s="40"/>
      <c r="H110" s="24"/>
    </row>
    <row r="111" spans="1:8" ht="15.75" customHeight="1">
      <c r="A111" s="40"/>
      <c r="H111" s="24"/>
    </row>
    <row r="112" spans="1:8" ht="15.75" customHeight="1">
      <c r="A112" s="40"/>
      <c r="H112" s="24"/>
    </row>
    <row r="113" spans="1:8" ht="15.75" customHeight="1">
      <c r="A113" s="40"/>
      <c r="H113" s="24"/>
    </row>
    <row r="114" spans="1:8" ht="15.75" customHeight="1">
      <c r="A114" s="40"/>
      <c r="H114" s="24"/>
    </row>
    <row r="115" spans="1:8" ht="15.75" customHeight="1">
      <c r="A115" s="40"/>
      <c r="H115" s="24"/>
    </row>
    <row r="116" spans="1:8" ht="15.75" customHeight="1">
      <c r="A116" s="40"/>
      <c r="H116" s="24"/>
    </row>
    <row r="117" spans="1:8" ht="15.75" customHeight="1">
      <c r="A117" s="40"/>
      <c r="H117" s="24"/>
    </row>
    <row r="118" spans="1:8" ht="15.75" customHeight="1">
      <c r="A118" s="40"/>
      <c r="H118" s="24"/>
    </row>
    <row r="119" spans="1:8" ht="15.75" customHeight="1">
      <c r="A119" s="40"/>
      <c r="H119" s="24"/>
    </row>
    <row r="120" spans="1:8" ht="15.75" customHeight="1">
      <c r="A120" s="40"/>
      <c r="H120" s="24"/>
    </row>
    <row r="121" spans="1:8" ht="15.75" customHeight="1">
      <c r="A121" s="40"/>
      <c r="H121" s="24"/>
    </row>
    <row r="122" spans="1:8" ht="15.75" customHeight="1">
      <c r="A122" s="40"/>
      <c r="H122" s="24"/>
    </row>
    <row r="123" spans="1:8" ht="15.75" customHeight="1">
      <c r="A123" s="40"/>
      <c r="H123" s="24"/>
    </row>
    <row r="124" spans="1:8" ht="15.75" customHeight="1">
      <c r="A124" s="40"/>
      <c r="H124" s="24"/>
    </row>
    <row r="125" spans="1:8" ht="15.75" customHeight="1">
      <c r="A125" s="40"/>
      <c r="H125" s="24"/>
    </row>
    <row r="126" spans="1:8" ht="15.75" customHeight="1">
      <c r="A126" s="40"/>
      <c r="H126" s="24"/>
    </row>
    <row r="127" spans="1:8" ht="15.75" customHeight="1">
      <c r="A127" s="40"/>
      <c r="H127" s="24"/>
    </row>
    <row r="128" spans="1:8" ht="15.75" customHeight="1">
      <c r="A128" s="40"/>
      <c r="H128" s="24"/>
    </row>
    <row r="129" spans="1:8" ht="15.75" customHeight="1">
      <c r="A129" s="40"/>
      <c r="H129" s="24"/>
    </row>
    <row r="130" spans="1:8" ht="15.75" customHeight="1">
      <c r="A130" s="40"/>
      <c r="H130" s="24"/>
    </row>
    <row r="131" spans="1:8" ht="15.75" customHeight="1">
      <c r="A131" s="40"/>
      <c r="H131" s="24"/>
    </row>
    <row r="132" spans="1:8" ht="15.75" customHeight="1">
      <c r="A132" s="40"/>
      <c r="H132" s="24"/>
    </row>
    <row r="133" spans="1:8" ht="15.75" customHeight="1">
      <c r="A133" s="40"/>
      <c r="H133" s="24"/>
    </row>
    <row r="134" spans="1:8" ht="15.75" customHeight="1">
      <c r="A134" s="40"/>
      <c r="H134" s="24"/>
    </row>
    <row r="135" spans="1:8" ht="15.75" customHeight="1">
      <c r="A135" s="40"/>
      <c r="H135" s="24"/>
    </row>
    <row r="136" spans="1:8" ht="15.75" customHeight="1">
      <c r="A136" s="40"/>
      <c r="H136" s="24"/>
    </row>
    <row r="137" spans="1:8" ht="15.75" customHeight="1">
      <c r="A137" s="40"/>
      <c r="H137" s="24"/>
    </row>
    <row r="138" spans="1:8" ht="15.75" customHeight="1">
      <c r="A138" s="40"/>
      <c r="H138" s="24"/>
    </row>
    <row r="139" spans="1:8" ht="15.75" customHeight="1">
      <c r="A139" s="40"/>
      <c r="H139" s="24"/>
    </row>
    <row r="140" spans="1:8" ht="15.75" customHeight="1">
      <c r="A140" s="40"/>
      <c r="H140" s="24"/>
    </row>
    <row r="141" spans="1:8" ht="15.75" customHeight="1">
      <c r="A141" s="40"/>
      <c r="H141" s="24"/>
    </row>
    <row r="142" spans="1:8" ht="15.75" customHeight="1">
      <c r="A142" s="40"/>
      <c r="H142" s="24"/>
    </row>
    <row r="143" spans="1:8" ht="15.75" customHeight="1">
      <c r="A143" s="40"/>
      <c r="H143" s="24"/>
    </row>
    <row r="144" spans="1:8" ht="15.75" customHeight="1">
      <c r="A144" s="40"/>
      <c r="H144" s="24"/>
    </row>
    <row r="145" spans="1:8" ht="15.75" customHeight="1">
      <c r="A145" s="40"/>
      <c r="H145" s="24"/>
    </row>
    <row r="146" spans="1:8" ht="15.75" customHeight="1">
      <c r="A146" s="40"/>
      <c r="H146" s="24"/>
    </row>
    <row r="147" spans="1:8" ht="15.75" customHeight="1">
      <c r="A147" s="40"/>
      <c r="H147" s="24"/>
    </row>
    <row r="148" spans="1:8" ht="15.75" customHeight="1">
      <c r="A148" s="40"/>
      <c r="H148" s="24"/>
    </row>
    <row r="149" spans="1:8" ht="15.75" customHeight="1">
      <c r="A149" s="40"/>
      <c r="H149" s="24"/>
    </row>
    <row r="150" spans="1:8" ht="15.75" customHeight="1">
      <c r="A150" s="40"/>
      <c r="H150" s="24"/>
    </row>
    <row r="151" spans="1:8" ht="15.75" customHeight="1">
      <c r="A151" s="40"/>
      <c r="H151" s="24"/>
    </row>
    <row r="152" spans="1:8" ht="15.75" customHeight="1">
      <c r="A152" s="40"/>
      <c r="H152" s="24"/>
    </row>
    <row r="153" spans="1:8" ht="15.75" customHeight="1">
      <c r="A153" s="40"/>
      <c r="H153" s="24"/>
    </row>
    <row r="154" spans="1:8" ht="15.75" customHeight="1">
      <c r="A154" s="40"/>
      <c r="H154" s="24"/>
    </row>
    <row r="155" spans="1:8" ht="15.75" customHeight="1">
      <c r="A155" s="40"/>
      <c r="H155" s="24"/>
    </row>
    <row r="156" spans="1:8" ht="15.75" customHeight="1">
      <c r="A156" s="40"/>
      <c r="H156" s="24"/>
    </row>
    <row r="157" spans="1:8" ht="15.75" customHeight="1">
      <c r="A157" s="40"/>
      <c r="H157" s="24"/>
    </row>
    <row r="158" spans="1:8" ht="15.75" customHeight="1">
      <c r="A158" s="40"/>
      <c r="H158" s="24"/>
    </row>
    <row r="159" spans="1:8" ht="15.75" customHeight="1">
      <c r="A159" s="40"/>
      <c r="H159" s="24"/>
    </row>
    <row r="160" spans="1:8" ht="15.75" customHeight="1">
      <c r="A160" s="40"/>
      <c r="H160" s="24"/>
    </row>
    <row r="161" spans="1:8" ht="15.75" customHeight="1">
      <c r="A161" s="40"/>
      <c r="H161" s="24"/>
    </row>
    <row r="162" spans="1:8" ht="15.75" customHeight="1">
      <c r="A162" s="40"/>
      <c r="H162" s="24"/>
    </row>
    <row r="163" spans="1:8" ht="15.75" customHeight="1">
      <c r="A163" s="40"/>
      <c r="H163" s="24"/>
    </row>
    <row r="164" spans="1:8" ht="15.75" customHeight="1">
      <c r="A164" s="40"/>
      <c r="H164" s="24"/>
    </row>
    <row r="165" spans="1:8" ht="15.75" customHeight="1">
      <c r="A165" s="40"/>
      <c r="H165" s="24"/>
    </row>
    <row r="166" spans="1:8" ht="15.75" customHeight="1">
      <c r="A166" s="40"/>
      <c r="H166" s="24"/>
    </row>
    <row r="167" spans="1:8" ht="15.75" customHeight="1">
      <c r="A167" s="40"/>
      <c r="H167" s="24"/>
    </row>
    <row r="168" spans="1:8" ht="15.75" customHeight="1">
      <c r="A168" s="40"/>
      <c r="H168" s="24"/>
    </row>
    <row r="169" spans="1:8" ht="15.75" customHeight="1">
      <c r="A169" s="40"/>
      <c r="H169" s="24"/>
    </row>
    <row r="170" spans="1:8" ht="15.75" customHeight="1">
      <c r="A170" s="40"/>
      <c r="H170" s="24"/>
    </row>
    <row r="171" spans="1:8" ht="15.75" customHeight="1">
      <c r="A171" s="40"/>
      <c r="H171" s="24"/>
    </row>
    <row r="172" spans="1:8" ht="15.75" customHeight="1">
      <c r="A172" s="40"/>
      <c r="H172" s="24"/>
    </row>
    <row r="173" spans="1:8" ht="15.75" customHeight="1">
      <c r="A173" s="40"/>
      <c r="H173" s="24"/>
    </row>
    <row r="174" spans="1:8" ht="15.75" customHeight="1">
      <c r="A174" s="40"/>
      <c r="H174" s="24"/>
    </row>
    <row r="175" spans="1:8" ht="15.75" customHeight="1">
      <c r="A175" s="40"/>
      <c r="H175" s="24"/>
    </row>
    <row r="176" spans="1:8" ht="15.75" customHeight="1">
      <c r="A176" s="40"/>
      <c r="H176" s="24"/>
    </row>
    <row r="177" spans="1:8" ht="15.75" customHeight="1">
      <c r="A177" s="40"/>
      <c r="H177" s="24"/>
    </row>
    <row r="178" spans="1:8" ht="15.75" customHeight="1">
      <c r="A178" s="40"/>
      <c r="H178" s="24"/>
    </row>
    <row r="179" spans="1:8" ht="15.75" customHeight="1">
      <c r="A179" s="40"/>
      <c r="H179" s="24"/>
    </row>
    <row r="180" spans="1:8" ht="15.75" customHeight="1">
      <c r="A180" s="40"/>
      <c r="H180" s="24"/>
    </row>
    <row r="181" spans="1:8" ht="15.75" customHeight="1">
      <c r="A181" s="40"/>
      <c r="H181" s="24"/>
    </row>
    <row r="182" spans="1:8" ht="15.75" customHeight="1">
      <c r="A182" s="40"/>
      <c r="H182" s="24"/>
    </row>
    <row r="183" spans="1:8" ht="15.75" customHeight="1">
      <c r="A183" s="40"/>
      <c r="H183" s="24"/>
    </row>
    <row r="184" spans="1:8" ht="15.75" customHeight="1">
      <c r="A184" s="40"/>
      <c r="H184" s="24"/>
    </row>
    <row r="185" spans="1:8" ht="15.75" customHeight="1">
      <c r="A185" s="40"/>
      <c r="H185" s="24"/>
    </row>
    <row r="186" spans="1:8" ht="15.75" customHeight="1">
      <c r="A186" s="40"/>
      <c r="H186" s="24"/>
    </row>
    <row r="187" spans="1:8" ht="15.75" customHeight="1">
      <c r="A187" s="40"/>
      <c r="H187" s="24"/>
    </row>
    <row r="188" spans="1:8" ht="15.75" customHeight="1">
      <c r="A188" s="40"/>
      <c r="H188" s="24"/>
    </row>
    <row r="189" spans="1:8" ht="15.75" customHeight="1">
      <c r="A189" s="40"/>
      <c r="H189" s="24"/>
    </row>
    <row r="190" spans="1:8" ht="15.75" customHeight="1">
      <c r="A190" s="40"/>
      <c r="H190" s="24"/>
    </row>
    <row r="191" spans="1:8" ht="15.75" customHeight="1">
      <c r="A191" s="40"/>
      <c r="H191" s="24"/>
    </row>
    <row r="192" spans="1:8" ht="15.75" customHeight="1">
      <c r="A192" s="40"/>
      <c r="H192" s="24"/>
    </row>
    <row r="193" spans="1:8" ht="15.75" customHeight="1">
      <c r="A193" s="40"/>
      <c r="H193" s="24"/>
    </row>
    <row r="194" spans="1:8" ht="15.75" customHeight="1">
      <c r="A194" s="40"/>
      <c r="H194" s="24"/>
    </row>
    <row r="195" spans="1:8" ht="15.75" customHeight="1">
      <c r="A195" s="40"/>
      <c r="H195" s="24"/>
    </row>
    <row r="196" spans="1:8" ht="15.75" customHeight="1">
      <c r="A196" s="40"/>
      <c r="H196" s="24"/>
    </row>
    <row r="197" spans="1:8" ht="15.75" customHeight="1">
      <c r="A197" s="40"/>
      <c r="H197" s="24"/>
    </row>
    <row r="198" spans="1:8" ht="15.75" customHeight="1">
      <c r="A198" s="40"/>
      <c r="H198" s="24"/>
    </row>
    <row r="199" spans="1:8" ht="15.75" customHeight="1">
      <c r="A199" s="40"/>
      <c r="H199" s="24"/>
    </row>
    <row r="200" spans="1:8" ht="15.75" customHeight="1">
      <c r="A200" s="40"/>
      <c r="H200" s="24"/>
    </row>
    <row r="201" spans="1:8" ht="15.75" customHeight="1">
      <c r="A201" s="40"/>
      <c r="H201" s="24"/>
    </row>
    <row r="202" spans="1:8" ht="15.75" customHeight="1">
      <c r="A202" s="40"/>
      <c r="H202" s="24"/>
    </row>
    <row r="203" spans="1:8" ht="15.75" customHeight="1">
      <c r="A203" s="40"/>
      <c r="H203" s="24"/>
    </row>
    <row r="204" spans="1:8" ht="15.75" customHeight="1">
      <c r="A204" s="40"/>
      <c r="H204" s="24"/>
    </row>
    <row r="205" spans="1:8" ht="15.75" customHeight="1">
      <c r="A205" s="40"/>
      <c r="H205" s="24"/>
    </row>
    <row r="206" spans="1:8" ht="15.75" customHeight="1">
      <c r="A206" s="40"/>
      <c r="H206" s="24"/>
    </row>
    <row r="207" spans="1:8" ht="15.75" customHeight="1">
      <c r="A207" s="40"/>
      <c r="H207" s="24"/>
    </row>
    <row r="208" spans="1:8" ht="15.75" customHeight="1">
      <c r="A208" s="40"/>
      <c r="H208" s="24"/>
    </row>
    <row r="209" spans="1:8" ht="15.75" customHeight="1">
      <c r="A209" s="40"/>
      <c r="H209" s="24"/>
    </row>
    <row r="210" spans="1:8" ht="15.75" customHeight="1">
      <c r="A210" s="40"/>
      <c r="H210" s="24"/>
    </row>
    <row r="211" spans="1:8" ht="15.75" customHeight="1">
      <c r="A211" s="40"/>
      <c r="H211" s="24"/>
    </row>
    <row r="212" spans="1:8" ht="15.75" customHeight="1">
      <c r="A212" s="40"/>
      <c r="H212" s="24"/>
    </row>
    <row r="213" spans="1:8" ht="15.75" customHeight="1">
      <c r="A213" s="40"/>
      <c r="H213" s="24"/>
    </row>
    <row r="214" spans="1:8" ht="15.75" customHeight="1">
      <c r="A214" s="40"/>
      <c r="H214" s="24"/>
    </row>
    <row r="215" spans="1:8" ht="15.75" customHeight="1">
      <c r="A215" s="40"/>
      <c r="H215" s="24"/>
    </row>
    <row r="216" spans="1:8" ht="15.75" customHeight="1">
      <c r="A216" s="40"/>
      <c r="H216" s="24"/>
    </row>
    <row r="217" spans="1:8" ht="15.75" customHeight="1">
      <c r="A217" s="40"/>
      <c r="H217" s="24"/>
    </row>
    <row r="218" spans="1:8" ht="15.75" customHeight="1">
      <c r="A218" s="40"/>
      <c r="H218" s="24"/>
    </row>
    <row r="219" spans="1:8" ht="15.75" customHeight="1">
      <c r="A219" s="40"/>
      <c r="H219" s="24"/>
    </row>
    <row r="220" spans="1:8" ht="15.75" customHeight="1">
      <c r="A220" s="40"/>
      <c r="H220" s="24"/>
    </row>
    <row r="221" spans="1:8" ht="15.75" customHeight="1">
      <c r="A221" s="40"/>
      <c r="H221" s="24"/>
    </row>
    <row r="222" spans="1:8" ht="15.75" customHeight="1">
      <c r="A222" s="40"/>
      <c r="H222" s="24"/>
    </row>
    <row r="223" spans="1:8" ht="15.75" customHeight="1">
      <c r="A223" s="40"/>
      <c r="H223" s="24"/>
    </row>
    <row r="224" spans="1:8" ht="15.75" customHeight="1">
      <c r="A224" s="40"/>
      <c r="H224" s="24"/>
    </row>
    <row r="225" spans="1:8" ht="15.75" customHeight="1">
      <c r="A225" s="40"/>
      <c r="H225" s="24"/>
    </row>
    <row r="226" spans="1:8" ht="15.75" customHeight="1">
      <c r="A226" s="40"/>
      <c r="H226" s="24"/>
    </row>
    <row r="227" spans="1:8" ht="15.75" customHeight="1">
      <c r="A227" s="40"/>
      <c r="H227" s="24"/>
    </row>
    <row r="228" spans="1:8" ht="15.75" customHeight="1">
      <c r="A228" s="40"/>
      <c r="H228" s="24"/>
    </row>
    <row r="229" spans="1:8" ht="15.75" customHeight="1">
      <c r="A229" s="40"/>
      <c r="H229" s="24"/>
    </row>
    <row r="230" spans="1:8" ht="15.75" customHeight="1">
      <c r="A230" s="40"/>
      <c r="H230" s="24"/>
    </row>
    <row r="231" spans="1:8" ht="15.75" customHeight="1">
      <c r="A231" s="40"/>
      <c r="H231" s="24"/>
    </row>
    <row r="232" spans="1:8" ht="15.75" customHeight="1">
      <c r="A232" s="40"/>
      <c r="H232" s="24"/>
    </row>
    <row r="233" spans="1:8" ht="15.75" customHeight="1">
      <c r="A233" s="40"/>
      <c r="H233" s="24"/>
    </row>
    <row r="234" spans="1:8" ht="15.75" customHeight="1">
      <c r="A234" s="40"/>
      <c r="H234" s="24"/>
    </row>
    <row r="235" spans="1:8" ht="15.75" customHeight="1">
      <c r="A235" s="40"/>
      <c r="H235" s="24"/>
    </row>
    <row r="236" spans="1:8" ht="15.75" customHeight="1">
      <c r="A236" s="40"/>
      <c r="H236" s="24"/>
    </row>
    <row r="237" spans="1:8" ht="15.75" customHeight="1">
      <c r="A237" s="40"/>
      <c r="H237" s="24"/>
    </row>
    <row r="238" spans="1:8" ht="15.75" customHeight="1">
      <c r="A238" s="40"/>
      <c r="H238" s="24"/>
    </row>
    <row r="239" spans="1:8" ht="15.75" customHeight="1">
      <c r="A239" s="40"/>
      <c r="H239" s="24"/>
    </row>
    <row r="240" spans="1:8" ht="15.75" customHeight="1">
      <c r="A240" s="40"/>
      <c r="H240" s="24"/>
    </row>
    <row r="241" spans="1:8" ht="15.75" customHeight="1">
      <c r="A241" s="40"/>
      <c r="H241" s="24"/>
    </row>
    <row r="242" spans="1:8" ht="15.75" customHeight="1">
      <c r="A242" s="40"/>
      <c r="H242" s="24"/>
    </row>
    <row r="243" spans="1:8" ht="15.75" customHeight="1">
      <c r="A243" s="40"/>
      <c r="H243" s="24"/>
    </row>
    <row r="244" spans="1:8" ht="15.75" customHeight="1">
      <c r="A244" s="40"/>
      <c r="H244" s="24"/>
    </row>
    <row r="245" spans="1:8" ht="15.75" customHeight="1">
      <c r="A245" s="40"/>
      <c r="H245" s="24"/>
    </row>
    <row r="246" spans="1:8" ht="15.75" customHeight="1">
      <c r="A246" s="40"/>
      <c r="H246" s="24"/>
    </row>
    <row r="247" spans="1:8" ht="15.75" customHeight="1">
      <c r="A247" s="40"/>
      <c r="H247" s="24"/>
    </row>
    <row r="248" spans="1:8" ht="15.75" customHeight="1">
      <c r="A248" s="40"/>
      <c r="H248" s="24"/>
    </row>
    <row r="249" spans="1:8" ht="15.75" customHeight="1">
      <c r="A249" s="40"/>
      <c r="H249" s="24"/>
    </row>
    <row r="250" spans="1:8" ht="15.75" customHeight="1">
      <c r="A250" s="40"/>
      <c r="H250" s="24"/>
    </row>
    <row r="251" spans="1:8" ht="15.75" customHeight="1">
      <c r="A251" s="40"/>
      <c r="H251" s="24"/>
    </row>
    <row r="252" spans="1:8" ht="15.75" customHeight="1">
      <c r="A252" s="40"/>
      <c r="H252" s="24"/>
    </row>
    <row r="253" spans="1:8" ht="15.75" customHeight="1">
      <c r="A253" s="40"/>
      <c r="H253" s="24"/>
    </row>
    <row r="254" spans="1:8" ht="15.75" customHeight="1">
      <c r="A254" s="40"/>
      <c r="H254" s="24"/>
    </row>
    <row r="255" spans="1:8" ht="15.75" customHeight="1">
      <c r="A255" s="40"/>
      <c r="H255" s="24"/>
    </row>
    <row r="256" spans="1:8" ht="15.75" customHeight="1">
      <c r="A256" s="40"/>
      <c r="H256" s="24"/>
    </row>
    <row r="257" spans="1:8" ht="15.75" customHeight="1">
      <c r="A257" s="40"/>
      <c r="H257" s="24"/>
    </row>
    <row r="258" spans="1:8" ht="15.75" customHeight="1">
      <c r="A258" s="40"/>
      <c r="H258" s="24"/>
    </row>
    <row r="259" spans="1:8" ht="15.75" customHeight="1">
      <c r="A259" s="40"/>
      <c r="H259" s="24"/>
    </row>
    <row r="260" spans="1:8" ht="15.75" customHeight="1">
      <c r="A260" s="40"/>
      <c r="H260" s="24"/>
    </row>
    <row r="261" spans="1:8" ht="15.75" customHeight="1">
      <c r="A261" s="40"/>
      <c r="H261" s="24"/>
    </row>
    <row r="262" spans="1:8" ht="15.75" customHeight="1">
      <c r="A262" s="40"/>
      <c r="H262" s="24"/>
    </row>
    <row r="263" spans="1:8" ht="15.75" customHeight="1">
      <c r="A263" s="40"/>
      <c r="H263" s="24"/>
    </row>
    <row r="264" spans="1:8" ht="15.75" customHeight="1">
      <c r="A264" s="40"/>
      <c r="H264" s="24"/>
    </row>
    <row r="265" spans="1:8" ht="15.75" customHeight="1"/>
    <row r="266" spans="1:8" ht="15.75" customHeight="1"/>
    <row r="267" spans="1:8" ht="15.75" customHeight="1"/>
    <row r="268" spans="1:8" ht="15.75" customHeight="1"/>
    <row r="269" spans="1:8" ht="15.75" customHeight="1"/>
    <row r="270" spans="1:8" ht="15.75" customHeight="1"/>
    <row r="271" spans="1:8" ht="15.75" customHeight="1"/>
    <row r="272" spans="1: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A67:C67"/>
    <mergeCell ref="O65:O66"/>
    <mergeCell ref="A1:L1"/>
    <mergeCell ref="A2:C2"/>
    <mergeCell ref="A62:C62"/>
    <mergeCell ref="A63:C63"/>
    <mergeCell ref="A64:C64"/>
    <mergeCell ref="A65:C66"/>
    <mergeCell ref="D65:D66"/>
    <mergeCell ref="J65:J66"/>
    <mergeCell ref="K65:K66"/>
    <mergeCell ref="L65:L66"/>
    <mergeCell ref="M65:M66"/>
    <mergeCell ref="N65:N66"/>
    <mergeCell ref="E65:E66"/>
    <mergeCell ref="F65:F66"/>
    <mergeCell ref="G65:G66"/>
    <mergeCell ref="H65:H66"/>
    <mergeCell ref="I65:I66"/>
  </mergeCells>
  <pageMargins left="0.7" right="0.7" top="0.75" bottom="0.75" header="0" footer="0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B1000"/>
  <sheetViews>
    <sheetView workbookViewId="0">
      <selection sqref="A1:BH1"/>
    </sheetView>
  </sheetViews>
  <sheetFormatPr defaultColWidth="14.44140625" defaultRowHeight="15" customHeight="1"/>
  <cols>
    <col min="1" max="1" width="5.33203125" customWidth="1"/>
    <col min="2" max="2" width="15.44140625" customWidth="1"/>
    <col min="3" max="3" width="25" customWidth="1"/>
    <col min="4" max="55" width="4.6640625" hidden="1" customWidth="1"/>
    <col min="56" max="60" width="8.6640625" customWidth="1"/>
    <col min="61" max="61" width="9.44140625" customWidth="1"/>
    <col min="62" max="64" width="8.6640625" customWidth="1"/>
    <col min="65" max="65" width="19.33203125" customWidth="1"/>
    <col min="66" max="69" width="8.6640625" customWidth="1"/>
    <col min="70" max="70" width="9.109375" customWidth="1"/>
    <col min="71" max="71" width="13.33203125" hidden="1" customWidth="1"/>
    <col min="72" max="72" width="13.33203125" customWidth="1"/>
    <col min="73" max="73" width="9.88671875" customWidth="1"/>
    <col min="74" max="74" width="8.6640625" customWidth="1"/>
    <col min="75" max="75" width="5.6640625" customWidth="1"/>
    <col min="76" max="76" width="8.44140625" customWidth="1"/>
    <col min="77" max="77" width="12.6640625" customWidth="1"/>
    <col min="78" max="78" width="17.6640625" hidden="1" customWidth="1"/>
    <col min="79" max="80" width="14.33203125" customWidth="1"/>
  </cols>
  <sheetData>
    <row r="1" spans="1:80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24"/>
      <c r="BJ1" s="24"/>
      <c r="BK1" s="24"/>
      <c r="BL1" s="24"/>
      <c r="BM1" s="24"/>
      <c r="BN1" s="24"/>
      <c r="BO1" s="24"/>
      <c r="BP1" s="24"/>
      <c r="BQ1" s="24"/>
      <c r="BR1" s="40"/>
      <c r="BS1" s="24"/>
      <c r="BT1" s="40"/>
      <c r="BU1" s="24"/>
      <c r="BV1" s="40"/>
      <c r="BW1" s="40"/>
      <c r="BX1" s="40"/>
      <c r="BY1" s="24"/>
      <c r="BZ1" s="24"/>
      <c r="CA1" s="24"/>
      <c r="CB1" s="88"/>
    </row>
    <row r="2" spans="1:80" ht="18">
      <c r="A2" s="372" t="s">
        <v>88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348"/>
      <c r="BI2" s="24"/>
      <c r="BJ2" s="373"/>
      <c r="BK2" s="369" t="s">
        <v>93</v>
      </c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BW2" s="358"/>
      <c r="BX2" s="358"/>
      <c r="BY2" s="358"/>
      <c r="BZ2" s="358"/>
      <c r="CA2" s="359"/>
      <c r="CB2" s="89"/>
    </row>
    <row r="3" spans="1:80" ht="66.75" customHeight="1">
      <c r="A3" s="375" t="s">
        <v>1</v>
      </c>
      <c r="B3" s="358"/>
      <c r="C3" s="359"/>
      <c r="D3" s="90"/>
      <c r="E3" s="91"/>
      <c r="F3" s="91"/>
      <c r="G3" s="91"/>
      <c r="H3" s="91"/>
      <c r="I3" s="91"/>
      <c r="J3" s="90"/>
      <c r="K3" s="92"/>
      <c r="L3" s="92"/>
      <c r="M3" s="92"/>
      <c r="N3" s="92"/>
      <c r="O3" s="92"/>
      <c r="P3" s="92"/>
      <c r="Q3" s="92"/>
      <c r="R3" s="91"/>
      <c r="S3" s="91"/>
      <c r="T3" s="92" t="s">
        <v>94</v>
      </c>
      <c r="U3" s="90">
        <v>45392</v>
      </c>
      <c r="V3" s="92"/>
      <c r="W3" s="92"/>
      <c r="X3" s="92"/>
      <c r="Y3" s="92"/>
      <c r="Z3" s="92"/>
      <c r="AA3" s="92"/>
      <c r="AB3" s="91"/>
      <c r="AC3" s="91"/>
      <c r="AD3" s="91"/>
      <c r="AE3" s="91"/>
      <c r="AF3" s="91"/>
      <c r="AG3" s="90"/>
      <c r="AH3" s="92"/>
      <c r="AI3" s="92"/>
      <c r="AJ3" s="92"/>
      <c r="AK3" s="92"/>
      <c r="AL3" s="92"/>
      <c r="AM3" s="92"/>
      <c r="AN3" s="92"/>
      <c r="AO3" s="92"/>
      <c r="AP3" s="91"/>
      <c r="AQ3" s="91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1"/>
      <c r="BC3" s="91"/>
      <c r="BD3" s="92" t="s">
        <v>95</v>
      </c>
      <c r="BE3" s="376" t="s">
        <v>96</v>
      </c>
      <c r="BF3" s="376" t="s">
        <v>97</v>
      </c>
      <c r="BG3" s="376" t="s">
        <v>98</v>
      </c>
      <c r="BH3" s="376" t="s">
        <v>99</v>
      </c>
      <c r="BI3" s="378" t="s">
        <v>100</v>
      </c>
      <c r="BJ3" s="374"/>
      <c r="BK3" s="370" t="s">
        <v>101</v>
      </c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8"/>
      <c r="BY3" s="358"/>
      <c r="BZ3" s="358"/>
      <c r="CA3" s="359"/>
      <c r="CB3" s="93"/>
    </row>
    <row r="4" spans="1:80" ht="21" customHeight="1">
      <c r="A4" s="94" t="s">
        <v>12</v>
      </c>
      <c r="B4" s="94" t="s">
        <v>13</v>
      </c>
      <c r="C4" s="95" t="s">
        <v>14</v>
      </c>
      <c r="D4" s="96">
        <v>1</v>
      </c>
      <c r="E4" s="96">
        <v>2</v>
      </c>
      <c r="F4" s="96">
        <v>3</v>
      </c>
      <c r="G4" s="96">
        <v>4</v>
      </c>
      <c r="H4" s="96">
        <v>5</v>
      </c>
      <c r="I4" s="96">
        <v>6</v>
      </c>
      <c r="J4" s="96">
        <v>7</v>
      </c>
      <c r="K4" s="96">
        <v>8</v>
      </c>
      <c r="L4" s="96">
        <v>9</v>
      </c>
      <c r="M4" s="96">
        <v>10</v>
      </c>
      <c r="N4" s="96">
        <v>11</v>
      </c>
      <c r="O4" s="96">
        <v>12</v>
      </c>
      <c r="P4" s="96">
        <v>13</v>
      </c>
      <c r="Q4" s="96">
        <v>14</v>
      </c>
      <c r="R4" s="96">
        <v>15</v>
      </c>
      <c r="S4" s="96">
        <v>16</v>
      </c>
      <c r="T4" s="96">
        <v>17</v>
      </c>
      <c r="U4" s="96">
        <v>18</v>
      </c>
      <c r="V4" s="96">
        <v>19</v>
      </c>
      <c r="W4" s="96">
        <v>20</v>
      </c>
      <c r="X4" s="96">
        <v>21</v>
      </c>
      <c r="Y4" s="96">
        <v>22</v>
      </c>
      <c r="Z4" s="96">
        <v>23</v>
      </c>
      <c r="AA4" s="96">
        <v>24</v>
      </c>
      <c r="AB4" s="96">
        <v>25</v>
      </c>
      <c r="AC4" s="96">
        <v>26</v>
      </c>
      <c r="AD4" s="96">
        <v>27</v>
      </c>
      <c r="AE4" s="96">
        <v>28</v>
      </c>
      <c r="AF4" s="96">
        <v>29</v>
      </c>
      <c r="AG4" s="96">
        <v>30</v>
      </c>
      <c r="AH4" s="96">
        <v>31</v>
      </c>
      <c r="AI4" s="96">
        <v>32</v>
      </c>
      <c r="AJ4" s="96">
        <v>33</v>
      </c>
      <c r="AK4" s="96">
        <v>34</v>
      </c>
      <c r="AL4" s="96">
        <v>35</v>
      </c>
      <c r="AM4" s="96">
        <v>36</v>
      </c>
      <c r="AN4" s="96">
        <v>37</v>
      </c>
      <c r="AO4" s="96">
        <v>38</v>
      </c>
      <c r="AP4" s="96">
        <v>39</v>
      </c>
      <c r="AQ4" s="96">
        <v>40</v>
      </c>
      <c r="AR4" s="96">
        <v>41</v>
      </c>
      <c r="AS4" s="96">
        <v>42</v>
      </c>
      <c r="AT4" s="96">
        <v>43</v>
      </c>
      <c r="AU4" s="96">
        <v>44</v>
      </c>
      <c r="AV4" s="96">
        <v>45</v>
      </c>
      <c r="AW4" s="96">
        <v>46</v>
      </c>
      <c r="AX4" s="96">
        <v>47</v>
      </c>
      <c r="AY4" s="96">
        <v>48</v>
      </c>
      <c r="AZ4" s="96">
        <v>49</v>
      </c>
      <c r="BA4" s="96">
        <v>50</v>
      </c>
      <c r="BB4" s="96">
        <v>51</v>
      </c>
      <c r="BC4" s="96">
        <v>52</v>
      </c>
      <c r="BD4" s="96">
        <v>17</v>
      </c>
      <c r="BE4" s="377"/>
      <c r="BF4" s="377"/>
      <c r="BG4" s="377"/>
      <c r="BH4" s="377"/>
      <c r="BI4" s="377"/>
      <c r="BJ4" s="374"/>
      <c r="BK4" s="370" t="s">
        <v>102</v>
      </c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8"/>
      <c r="BY4" s="358"/>
      <c r="BZ4" s="358"/>
      <c r="CA4" s="359"/>
      <c r="CB4" s="93"/>
    </row>
    <row r="5" spans="1:80" ht="15" customHeight="1">
      <c r="A5" s="97">
        <f>OVERALL!A4</f>
        <v>1</v>
      </c>
      <c r="B5" s="97">
        <f>OVERALL!B4</f>
        <v>2301236</v>
      </c>
      <c r="C5" s="98" t="str">
        <f>OVERALL!C4</f>
        <v>Manmohan Singh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>
        <v>15</v>
      </c>
      <c r="U5" s="96">
        <v>16</v>
      </c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9">
        <v>19</v>
      </c>
      <c r="BE5" s="99">
        <f t="shared" ref="BE5:BE12" si="0">COUNTIF(D5:BC5,"P")+BD5</f>
        <v>19</v>
      </c>
      <c r="BF5" s="40"/>
      <c r="BG5" s="100">
        <f t="shared" ref="BG5:BG12" si="1">BE5+BF5</f>
        <v>19</v>
      </c>
      <c r="BH5" s="88">
        <v>48</v>
      </c>
      <c r="BI5" s="101">
        <f t="shared" ref="BI5:BI62" si="2">BG5/BH5</f>
        <v>0.39583333333333331</v>
      </c>
      <c r="BJ5" s="374"/>
      <c r="BK5" s="371" t="s">
        <v>103</v>
      </c>
      <c r="BL5" s="358"/>
      <c r="BM5" s="358"/>
      <c r="BN5" s="358"/>
      <c r="BO5" s="358"/>
      <c r="BP5" s="358"/>
      <c r="BQ5" s="358"/>
      <c r="BR5" s="358"/>
      <c r="BS5" s="358"/>
      <c r="BT5" s="359"/>
      <c r="BU5" s="371" t="s">
        <v>104</v>
      </c>
      <c r="BV5" s="358"/>
      <c r="BW5" s="358"/>
      <c r="BX5" s="358"/>
      <c r="BY5" s="358"/>
      <c r="BZ5" s="358"/>
      <c r="CA5" s="359"/>
      <c r="CB5" s="102"/>
    </row>
    <row r="6" spans="1:80" ht="15" customHeight="1">
      <c r="A6" s="97">
        <f>OVERALL!A5</f>
        <v>2</v>
      </c>
      <c r="B6" s="97">
        <f>OVERALL!B5</f>
        <v>2301237</v>
      </c>
      <c r="C6" s="98" t="str">
        <f>OVERALL!C5</f>
        <v>Manpreet Kaur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>
        <v>24</v>
      </c>
      <c r="U6" s="96">
        <v>31</v>
      </c>
      <c r="V6" s="96"/>
      <c r="W6" s="96"/>
      <c r="X6" s="96"/>
      <c r="Y6" s="103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9">
        <v>36</v>
      </c>
      <c r="BE6" s="99">
        <f t="shared" si="0"/>
        <v>36</v>
      </c>
      <c r="BF6" s="96"/>
      <c r="BG6" s="100">
        <f t="shared" si="1"/>
        <v>36</v>
      </c>
      <c r="BH6" s="88">
        <v>48</v>
      </c>
      <c r="BI6" s="101">
        <f t="shared" si="2"/>
        <v>0.75</v>
      </c>
      <c r="BJ6" s="374"/>
      <c r="BK6" s="371" t="s">
        <v>105</v>
      </c>
      <c r="BL6" s="358"/>
      <c r="BM6" s="358"/>
      <c r="BN6" s="358"/>
      <c r="BO6" s="358"/>
      <c r="BP6" s="358"/>
      <c r="BQ6" s="358"/>
      <c r="BR6" s="358"/>
      <c r="BS6" s="358"/>
      <c r="BT6" s="359"/>
      <c r="BU6" s="371" t="s">
        <v>106</v>
      </c>
      <c r="BV6" s="358"/>
      <c r="BW6" s="358"/>
      <c r="BX6" s="358"/>
      <c r="BY6" s="358"/>
      <c r="BZ6" s="358"/>
      <c r="CA6" s="359"/>
      <c r="CB6" s="102"/>
    </row>
    <row r="7" spans="1:80" ht="41.25" customHeight="1">
      <c r="A7" s="97">
        <f>OVERALL!A6</f>
        <v>3</v>
      </c>
      <c r="B7" s="97">
        <f>OVERALL!B6</f>
        <v>2301238</v>
      </c>
      <c r="C7" s="98" t="str">
        <f>OVERALL!C6</f>
        <v>Md Warish Chesam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>
        <v>22</v>
      </c>
      <c r="U7" s="96">
        <v>29</v>
      </c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9">
        <v>30</v>
      </c>
      <c r="BE7" s="99">
        <f t="shared" si="0"/>
        <v>30</v>
      </c>
      <c r="BF7" s="96"/>
      <c r="BG7" s="100">
        <f t="shared" si="1"/>
        <v>30</v>
      </c>
      <c r="BH7" s="88">
        <v>48</v>
      </c>
      <c r="BI7" s="101">
        <f t="shared" si="2"/>
        <v>0.625</v>
      </c>
      <c r="BJ7" s="374"/>
      <c r="BK7" s="379" t="s">
        <v>12</v>
      </c>
      <c r="BL7" s="379" t="s">
        <v>13</v>
      </c>
      <c r="BM7" s="379" t="s">
        <v>14</v>
      </c>
      <c r="BN7" s="379" t="s">
        <v>107</v>
      </c>
      <c r="BO7" s="379" t="s">
        <v>108</v>
      </c>
      <c r="BP7" s="382" t="s">
        <v>109</v>
      </c>
      <c r="BQ7" s="379" t="s">
        <v>110</v>
      </c>
      <c r="BR7" s="379" t="s">
        <v>111</v>
      </c>
      <c r="BS7" s="379" t="s">
        <v>112</v>
      </c>
      <c r="BT7" s="379" t="s">
        <v>113</v>
      </c>
      <c r="BU7" s="104" t="s">
        <v>114</v>
      </c>
      <c r="BV7" s="383" t="s">
        <v>115</v>
      </c>
      <c r="BW7" s="358"/>
      <c r="BX7" s="359"/>
      <c r="BY7" s="380" t="s">
        <v>116</v>
      </c>
      <c r="BZ7" s="380" t="s">
        <v>117</v>
      </c>
      <c r="CA7" s="379" t="s">
        <v>118</v>
      </c>
      <c r="CB7" s="381"/>
    </row>
    <row r="8" spans="1:80" ht="41.4">
      <c r="A8" s="97">
        <f>OVERALL!A7</f>
        <v>4</v>
      </c>
      <c r="B8" s="97">
        <f>OVERALL!B7</f>
        <v>2301239</v>
      </c>
      <c r="C8" s="98" t="str">
        <f>OVERALL!C7</f>
        <v>Mohd Shahid Afridi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>
        <v>0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9">
        <v>0</v>
      </c>
      <c r="BE8" s="99">
        <f t="shared" si="0"/>
        <v>0</v>
      </c>
      <c r="BF8" s="96"/>
      <c r="BG8" s="100">
        <f t="shared" si="1"/>
        <v>0</v>
      </c>
      <c r="BH8" s="88">
        <v>48</v>
      </c>
      <c r="BI8" s="101">
        <f t="shared" si="2"/>
        <v>0</v>
      </c>
      <c r="BJ8" s="374"/>
      <c r="BK8" s="377"/>
      <c r="BL8" s="377"/>
      <c r="BM8" s="377"/>
      <c r="BN8" s="377"/>
      <c r="BO8" s="377"/>
      <c r="BP8" s="377"/>
      <c r="BQ8" s="377"/>
      <c r="BR8" s="377"/>
      <c r="BS8" s="377"/>
      <c r="BT8" s="377"/>
      <c r="BU8" s="104" t="s">
        <v>119</v>
      </c>
      <c r="BV8" s="104">
        <v>1</v>
      </c>
      <c r="BW8" s="104">
        <v>2</v>
      </c>
      <c r="BX8" s="104">
        <v>3</v>
      </c>
      <c r="BY8" s="377"/>
      <c r="BZ8" s="377"/>
      <c r="CA8" s="377"/>
      <c r="CB8" s="348"/>
    </row>
    <row r="9" spans="1:80" ht="15.6">
      <c r="A9" s="97">
        <f>OVERALL!A8</f>
        <v>5</v>
      </c>
      <c r="B9" s="97">
        <f>OVERALL!B8</f>
        <v>2301240</v>
      </c>
      <c r="C9" s="98" t="str">
        <f>OVERALL!C8</f>
        <v>Munisha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>
        <v>23</v>
      </c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9">
        <v>33</v>
      </c>
      <c r="BE9" s="99">
        <f t="shared" si="0"/>
        <v>33</v>
      </c>
      <c r="BF9" s="96"/>
      <c r="BG9" s="100">
        <f t="shared" si="1"/>
        <v>33</v>
      </c>
      <c r="BH9" s="88">
        <v>48</v>
      </c>
      <c r="BI9" s="101">
        <f t="shared" si="2"/>
        <v>0.6875</v>
      </c>
      <c r="BJ9" s="374"/>
      <c r="BK9" s="105">
        <f>OVERALL!A4</f>
        <v>1</v>
      </c>
      <c r="BL9" s="105">
        <f>OVERALL!B4</f>
        <v>2301236</v>
      </c>
      <c r="BM9" s="106" t="str">
        <f>OVERALL!C4</f>
        <v>Manmohan Singh</v>
      </c>
      <c r="BN9" s="107">
        <f t="shared" ref="BN9:BN66" si="3">BH5</f>
        <v>48</v>
      </c>
      <c r="BO9" s="108">
        <f t="shared" ref="BO9:BO66" si="4">BG5</f>
        <v>19</v>
      </c>
      <c r="BP9" s="108">
        <f t="shared" ref="BP9:BP66" si="5">BO9/BN9%</f>
        <v>39.583333333333336</v>
      </c>
      <c r="BQ9" s="107" t="str">
        <f t="shared" ref="BQ9:BQ66" si="6">IF(BP9&gt;=95.5,"6",IF(BP9&gt;=90.5,"5", IF(BP9&gt;=85.5,"4",IF(BP9&gt;=80.5,"3",IF(BP9&gt;=75.5,"2","0")))))</f>
        <v>0</v>
      </c>
      <c r="BR9" s="109">
        <v>12</v>
      </c>
      <c r="BS9" s="107">
        <v>10</v>
      </c>
      <c r="BT9" s="110">
        <v>10</v>
      </c>
      <c r="BU9" s="107">
        <f t="shared" ref="BU9:BU66" si="7">(BR9+BT9)/2</f>
        <v>11</v>
      </c>
      <c r="BV9" s="107">
        <v>0</v>
      </c>
      <c r="BW9" s="107">
        <v>8</v>
      </c>
      <c r="BX9" s="107">
        <v>0</v>
      </c>
      <c r="BY9" s="108">
        <f t="shared" ref="BY9:BY66" si="8">AVERAGE(BV9:BX9)</f>
        <v>2.6666666666666665</v>
      </c>
      <c r="BZ9" s="108"/>
      <c r="CA9" s="111">
        <f t="shared" ref="CA9:CA66" si="9">ROUND(BQ9+BU9+BY9+BZ9,0)</f>
        <v>14</v>
      </c>
      <c r="CB9" s="112"/>
    </row>
    <row r="10" spans="1:80" ht="15.6">
      <c r="A10" s="97">
        <f>OVERALL!A9</f>
        <v>6</v>
      </c>
      <c r="B10" s="97">
        <f>OVERALL!B9</f>
        <v>2301241</v>
      </c>
      <c r="C10" s="98" t="str">
        <f>OVERALL!C9</f>
        <v>Nikhil Kumar Thakur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>
        <v>25</v>
      </c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4">
        <v>42</v>
      </c>
      <c r="BE10" s="99">
        <f t="shared" si="0"/>
        <v>42</v>
      </c>
      <c r="BF10" s="96"/>
      <c r="BG10" s="100">
        <f t="shared" si="1"/>
        <v>42</v>
      </c>
      <c r="BH10" s="88">
        <v>48</v>
      </c>
      <c r="BI10" s="101">
        <f t="shared" si="2"/>
        <v>0.875</v>
      </c>
      <c r="BJ10" s="374"/>
      <c r="BK10" s="105">
        <f>OVERALL!A5</f>
        <v>2</v>
      </c>
      <c r="BL10" s="105">
        <f>OVERALL!B5</f>
        <v>2301237</v>
      </c>
      <c r="BM10" s="106" t="str">
        <f>OVERALL!C5</f>
        <v>Manpreet Kaur</v>
      </c>
      <c r="BN10" s="107">
        <f t="shared" si="3"/>
        <v>48</v>
      </c>
      <c r="BO10" s="108">
        <f t="shared" si="4"/>
        <v>36</v>
      </c>
      <c r="BP10" s="108">
        <f t="shared" si="5"/>
        <v>75</v>
      </c>
      <c r="BQ10" s="107" t="str">
        <f t="shared" si="6"/>
        <v>0</v>
      </c>
      <c r="BR10" s="115">
        <v>18</v>
      </c>
      <c r="BS10" s="107">
        <v>17</v>
      </c>
      <c r="BT10" s="110">
        <v>17</v>
      </c>
      <c r="BU10" s="107">
        <f t="shared" si="7"/>
        <v>17.5</v>
      </c>
      <c r="BV10" s="107">
        <v>8</v>
      </c>
      <c r="BW10" s="107">
        <v>9</v>
      </c>
      <c r="BX10" s="107">
        <v>8</v>
      </c>
      <c r="BY10" s="108">
        <f t="shared" si="8"/>
        <v>8.3333333333333339</v>
      </c>
      <c r="BZ10" s="108"/>
      <c r="CA10" s="111">
        <f t="shared" si="9"/>
        <v>26</v>
      </c>
      <c r="CB10" s="112"/>
    </row>
    <row r="11" spans="1:80" ht="15.6">
      <c r="A11" s="97">
        <f>OVERALL!A10</f>
        <v>7</v>
      </c>
      <c r="B11" s="97">
        <f>OVERALL!B10</f>
        <v>2301242</v>
      </c>
      <c r="C11" s="98" t="str">
        <f>OVERALL!C10</f>
        <v>Palak Pathania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>
        <v>25</v>
      </c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4">
        <v>36</v>
      </c>
      <c r="BE11" s="99">
        <f t="shared" si="0"/>
        <v>36</v>
      </c>
      <c r="BF11" s="96"/>
      <c r="BG11" s="100">
        <f t="shared" si="1"/>
        <v>36</v>
      </c>
      <c r="BH11" s="88">
        <v>48</v>
      </c>
      <c r="BI11" s="101">
        <f t="shared" si="2"/>
        <v>0.75</v>
      </c>
      <c r="BJ11" s="374"/>
      <c r="BK11" s="105">
        <f>OVERALL!A6</f>
        <v>3</v>
      </c>
      <c r="BL11" s="105">
        <f>OVERALL!B6</f>
        <v>2301238</v>
      </c>
      <c r="BM11" s="106" t="str">
        <f>OVERALL!C6</f>
        <v>Md Warish Chesam</v>
      </c>
      <c r="BN11" s="107">
        <f t="shared" si="3"/>
        <v>48</v>
      </c>
      <c r="BO11" s="108">
        <f t="shared" si="4"/>
        <v>30</v>
      </c>
      <c r="BP11" s="108">
        <f t="shared" si="5"/>
        <v>62.5</v>
      </c>
      <c r="BQ11" s="107" t="str">
        <f t="shared" si="6"/>
        <v>0</v>
      </c>
      <c r="BR11" s="115">
        <v>10</v>
      </c>
      <c r="BS11" s="107">
        <v>12</v>
      </c>
      <c r="BT11" s="110">
        <v>12</v>
      </c>
      <c r="BU11" s="107">
        <f t="shared" si="7"/>
        <v>11</v>
      </c>
      <c r="BV11" s="107">
        <v>8</v>
      </c>
      <c r="BW11" s="107">
        <v>9</v>
      </c>
      <c r="BX11" s="107">
        <v>8</v>
      </c>
      <c r="BY11" s="108">
        <f t="shared" si="8"/>
        <v>8.3333333333333339</v>
      </c>
      <c r="BZ11" s="108"/>
      <c r="CA11" s="111">
        <f t="shared" si="9"/>
        <v>19</v>
      </c>
      <c r="CB11" s="112"/>
    </row>
    <row r="12" spans="1:80" ht="15.6">
      <c r="A12" s="97">
        <f>OVERALL!A11</f>
        <v>8</v>
      </c>
      <c r="B12" s="97">
        <f>OVERALL!B11</f>
        <v>2301243</v>
      </c>
      <c r="C12" s="98" t="str">
        <f>OVERALL!C11</f>
        <v>Pardeep Singh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>
        <v>20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4">
        <v>30</v>
      </c>
      <c r="BE12" s="99">
        <f t="shared" si="0"/>
        <v>30</v>
      </c>
      <c r="BF12" s="96"/>
      <c r="BG12" s="100">
        <f t="shared" si="1"/>
        <v>30</v>
      </c>
      <c r="BH12" s="88">
        <v>48</v>
      </c>
      <c r="BI12" s="101">
        <f t="shared" si="2"/>
        <v>0.625</v>
      </c>
      <c r="BJ12" s="374"/>
      <c r="BK12" s="105">
        <f>OVERALL!A7</f>
        <v>4</v>
      </c>
      <c r="BL12" s="105">
        <f>OVERALL!B7</f>
        <v>2301239</v>
      </c>
      <c r="BM12" s="106" t="str">
        <f>OVERALL!C7</f>
        <v>Mohd Shahid Afridi</v>
      </c>
      <c r="BN12" s="107">
        <f t="shared" si="3"/>
        <v>48</v>
      </c>
      <c r="BO12" s="108">
        <f t="shared" si="4"/>
        <v>0</v>
      </c>
      <c r="BP12" s="108">
        <f t="shared" si="5"/>
        <v>0</v>
      </c>
      <c r="BQ12" s="107" t="str">
        <f t="shared" si="6"/>
        <v>0</v>
      </c>
      <c r="BR12" s="116">
        <v>0</v>
      </c>
      <c r="BS12" s="116">
        <v>0</v>
      </c>
      <c r="BT12" s="116">
        <v>0</v>
      </c>
      <c r="BU12" s="107">
        <f t="shared" si="7"/>
        <v>0</v>
      </c>
      <c r="BV12" s="107">
        <v>0</v>
      </c>
      <c r="BW12" s="107">
        <v>0</v>
      </c>
      <c r="BX12" s="107">
        <v>0</v>
      </c>
      <c r="BY12" s="108">
        <f t="shared" si="8"/>
        <v>0</v>
      </c>
      <c r="BZ12" s="108"/>
      <c r="CA12" s="111">
        <f t="shared" si="9"/>
        <v>0</v>
      </c>
      <c r="CB12" s="112"/>
    </row>
    <row r="13" spans="1:80" ht="14.25" customHeight="1">
      <c r="A13" s="97">
        <f>OVERALL!A12</f>
        <v>9</v>
      </c>
      <c r="B13" s="97">
        <f>OVERALL!B12</f>
        <v>2301244</v>
      </c>
      <c r="C13" s="98" t="str">
        <f>OVERALL!C12</f>
        <v>Parveen Mandal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>
        <v>0</v>
      </c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4">
        <v>0</v>
      </c>
      <c r="BE13" s="96">
        <v>0</v>
      </c>
      <c r="BF13" s="96"/>
      <c r="BG13" s="88">
        <v>0</v>
      </c>
      <c r="BH13" s="88">
        <v>48</v>
      </c>
      <c r="BI13" s="101">
        <f t="shared" si="2"/>
        <v>0</v>
      </c>
      <c r="BJ13" s="374"/>
      <c r="BK13" s="105">
        <f>OVERALL!A8</f>
        <v>5</v>
      </c>
      <c r="BL13" s="105">
        <f>OVERALL!B8</f>
        <v>2301240</v>
      </c>
      <c r="BM13" s="106" t="str">
        <f>OVERALL!C8</f>
        <v>Munisha</v>
      </c>
      <c r="BN13" s="107">
        <f t="shared" si="3"/>
        <v>48</v>
      </c>
      <c r="BO13" s="108">
        <f t="shared" si="4"/>
        <v>33</v>
      </c>
      <c r="BP13" s="108">
        <f t="shared" si="5"/>
        <v>68.75</v>
      </c>
      <c r="BQ13" s="107" t="str">
        <f t="shared" si="6"/>
        <v>0</v>
      </c>
      <c r="BR13" s="115">
        <v>10</v>
      </c>
      <c r="BS13" s="107">
        <v>9</v>
      </c>
      <c r="BT13" s="110">
        <v>9</v>
      </c>
      <c r="BU13" s="107">
        <f t="shared" si="7"/>
        <v>9.5</v>
      </c>
      <c r="BV13" s="107">
        <v>7</v>
      </c>
      <c r="BW13" s="107">
        <v>9</v>
      </c>
      <c r="BX13" s="107">
        <v>8</v>
      </c>
      <c r="BY13" s="108">
        <f t="shared" si="8"/>
        <v>8</v>
      </c>
      <c r="BZ13" s="108"/>
      <c r="CA13" s="111">
        <f t="shared" si="9"/>
        <v>18</v>
      </c>
      <c r="CB13" s="112"/>
    </row>
    <row r="14" spans="1:80" ht="31.2">
      <c r="A14" s="97">
        <f>OVERALL!A13</f>
        <v>10</v>
      </c>
      <c r="B14" s="97">
        <f>OVERALL!B13</f>
        <v>2301245</v>
      </c>
      <c r="C14" s="98" t="str">
        <f>OVERALL!C13</f>
        <v>Payal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>
        <v>26</v>
      </c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4">
        <v>40</v>
      </c>
      <c r="BE14" s="99">
        <f t="shared" ref="BE14:BE62" si="10">COUNTIF(D14:BC14,"P")+BD14</f>
        <v>40</v>
      </c>
      <c r="BF14" s="96">
        <v>3</v>
      </c>
      <c r="BG14" s="100">
        <f t="shared" ref="BG14:BG62" si="11">BE14+BF14</f>
        <v>43</v>
      </c>
      <c r="BH14" s="88">
        <v>48</v>
      </c>
      <c r="BI14" s="101">
        <f t="shared" si="2"/>
        <v>0.89583333333333337</v>
      </c>
      <c r="BJ14" s="374"/>
      <c r="BK14" s="105">
        <f>OVERALL!A9</f>
        <v>6</v>
      </c>
      <c r="BL14" s="105">
        <f>OVERALL!B9</f>
        <v>2301241</v>
      </c>
      <c r="BM14" s="106" t="str">
        <f>OVERALL!C9</f>
        <v>Nikhil Kumar Thakur</v>
      </c>
      <c r="BN14" s="107">
        <f t="shared" si="3"/>
        <v>48</v>
      </c>
      <c r="BO14" s="108">
        <f t="shared" si="4"/>
        <v>42</v>
      </c>
      <c r="BP14" s="108">
        <f t="shared" si="5"/>
        <v>87.5</v>
      </c>
      <c r="BQ14" s="107" t="str">
        <f t="shared" si="6"/>
        <v>4</v>
      </c>
      <c r="BR14" s="115">
        <v>12</v>
      </c>
      <c r="BS14" s="107">
        <f t="shared" ref="BS14:BS16" si="12">BT21/2.5</f>
        <v>3.2</v>
      </c>
      <c r="BT14" s="110">
        <v>10</v>
      </c>
      <c r="BU14" s="107">
        <f t="shared" si="7"/>
        <v>11</v>
      </c>
      <c r="BV14" s="107">
        <v>9</v>
      </c>
      <c r="BW14" s="107">
        <v>9</v>
      </c>
      <c r="BX14" s="107">
        <v>8</v>
      </c>
      <c r="BY14" s="108">
        <f t="shared" si="8"/>
        <v>8.6666666666666661</v>
      </c>
      <c r="BZ14" s="108"/>
      <c r="CA14" s="111">
        <f t="shared" si="9"/>
        <v>24</v>
      </c>
      <c r="CB14" s="112"/>
    </row>
    <row r="15" spans="1:80" ht="15.6">
      <c r="A15" s="97">
        <f>OVERALL!A14</f>
        <v>11</v>
      </c>
      <c r="B15" s="97">
        <f>OVERALL!B14</f>
        <v>2301247</v>
      </c>
      <c r="C15" s="98" t="str">
        <f>OVERALL!C14</f>
        <v>Priya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>
        <v>26</v>
      </c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9">
        <v>34</v>
      </c>
      <c r="BE15" s="99">
        <f t="shared" si="10"/>
        <v>34</v>
      </c>
      <c r="BF15" s="96"/>
      <c r="BG15" s="100">
        <f t="shared" si="11"/>
        <v>34</v>
      </c>
      <c r="BH15" s="88">
        <v>48</v>
      </c>
      <c r="BI15" s="101">
        <f t="shared" si="2"/>
        <v>0.70833333333333337</v>
      </c>
      <c r="BJ15" s="374"/>
      <c r="BK15" s="105">
        <f>OVERALL!A10</f>
        <v>7</v>
      </c>
      <c r="BL15" s="105">
        <f>OVERALL!B10</f>
        <v>2301242</v>
      </c>
      <c r="BM15" s="106" t="str">
        <f>OVERALL!C10</f>
        <v>Palak Pathania</v>
      </c>
      <c r="BN15" s="107">
        <f t="shared" si="3"/>
        <v>48</v>
      </c>
      <c r="BO15" s="108">
        <f t="shared" si="4"/>
        <v>36</v>
      </c>
      <c r="BP15" s="108">
        <f t="shared" si="5"/>
        <v>75</v>
      </c>
      <c r="BQ15" s="107" t="str">
        <f t="shared" si="6"/>
        <v>0</v>
      </c>
      <c r="BR15" s="115">
        <v>22</v>
      </c>
      <c r="BS15" s="107">
        <f t="shared" si="12"/>
        <v>4</v>
      </c>
      <c r="BT15" s="110">
        <v>20</v>
      </c>
      <c r="BU15" s="107">
        <f t="shared" si="7"/>
        <v>21</v>
      </c>
      <c r="BV15" s="107">
        <v>9</v>
      </c>
      <c r="BW15" s="107">
        <v>10</v>
      </c>
      <c r="BX15" s="107">
        <v>9</v>
      </c>
      <c r="BY15" s="108">
        <f t="shared" si="8"/>
        <v>9.3333333333333339</v>
      </c>
      <c r="BZ15" s="108"/>
      <c r="CA15" s="111">
        <f t="shared" si="9"/>
        <v>30</v>
      </c>
      <c r="CB15" s="112"/>
    </row>
    <row r="16" spans="1:80" ht="15.6">
      <c r="A16" s="97">
        <f>OVERALL!A15</f>
        <v>12</v>
      </c>
      <c r="B16" s="97">
        <f>OVERALL!B15</f>
        <v>2301248</v>
      </c>
      <c r="C16" s="98" t="str">
        <f>OVERALL!C15</f>
        <v>Priyam Puri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>
        <v>0</v>
      </c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9">
        <v>0</v>
      </c>
      <c r="BE16" s="99">
        <f t="shared" si="10"/>
        <v>0</v>
      </c>
      <c r="BF16" s="96"/>
      <c r="BG16" s="100">
        <f t="shared" si="11"/>
        <v>0</v>
      </c>
      <c r="BH16" s="88">
        <v>48</v>
      </c>
      <c r="BI16" s="101">
        <f t="shared" si="2"/>
        <v>0</v>
      </c>
      <c r="BJ16" s="374"/>
      <c r="BK16" s="105">
        <f>OVERALL!A11</f>
        <v>8</v>
      </c>
      <c r="BL16" s="105">
        <f>OVERALL!B11</f>
        <v>2301243</v>
      </c>
      <c r="BM16" s="106" t="str">
        <f>OVERALL!C11</f>
        <v>Pardeep Singh</v>
      </c>
      <c r="BN16" s="107">
        <f t="shared" si="3"/>
        <v>48</v>
      </c>
      <c r="BO16" s="108">
        <f t="shared" si="4"/>
        <v>30</v>
      </c>
      <c r="BP16" s="108">
        <f t="shared" si="5"/>
        <v>62.5</v>
      </c>
      <c r="BQ16" s="107" t="str">
        <f t="shared" si="6"/>
        <v>0</v>
      </c>
      <c r="BR16" s="115">
        <v>16</v>
      </c>
      <c r="BS16" s="107">
        <f t="shared" si="12"/>
        <v>2</v>
      </c>
      <c r="BT16" s="110">
        <v>7</v>
      </c>
      <c r="BU16" s="107">
        <f t="shared" si="7"/>
        <v>11.5</v>
      </c>
      <c r="BV16" s="107">
        <v>8</v>
      </c>
      <c r="BW16" s="107">
        <v>8</v>
      </c>
      <c r="BX16" s="107">
        <v>7</v>
      </c>
      <c r="BY16" s="108">
        <f t="shared" si="8"/>
        <v>7.666666666666667</v>
      </c>
      <c r="BZ16" s="108"/>
      <c r="CA16" s="111">
        <f t="shared" si="9"/>
        <v>19</v>
      </c>
      <c r="CB16" s="112"/>
    </row>
    <row r="17" spans="1:80" ht="15.6">
      <c r="A17" s="97">
        <f>OVERALL!A16</f>
        <v>13</v>
      </c>
      <c r="B17" s="97">
        <f>OVERALL!B16</f>
        <v>2301249</v>
      </c>
      <c r="C17" s="98" t="str">
        <f>OVERALL!C16</f>
        <v>Rahul Sharma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>
        <v>16</v>
      </c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9">
        <v>25</v>
      </c>
      <c r="BE17" s="99">
        <f t="shared" si="10"/>
        <v>25</v>
      </c>
      <c r="BF17" s="96">
        <v>5</v>
      </c>
      <c r="BG17" s="100">
        <f t="shared" si="11"/>
        <v>30</v>
      </c>
      <c r="BH17" s="88">
        <v>48</v>
      </c>
      <c r="BI17" s="101">
        <f t="shared" si="2"/>
        <v>0.625</v>
      </c>
      <c r="BJ17" s="374"/>
      <c r="BK17" s="105">
        <f>OVERALL!A12</f>
        <v>9</v>
      </c>
      <c r="BL17" s="105">
        <f>OVERALL!B12</f>
        <v>2301244</v>
      </c>
      <c r="BM17" s="106" t="str">
        <f>OVERALL!C12</f>
        <v>Parveen Mandal</v>
      </c>
      <c r="BN17" s="107">
        <f t="shared" si="3"/>
        <v>48</v>
      </c>
      <c r="BO17" s="107">
        <f t="shared" si="4"/>
        <v>0</v>
      </c>
      <c r="BP17" s="108">
        <f t="shared" si="5"/>
        <v>0</v>
      </c>
      <c r="BQ17" s="107" t="str">
        <f t="shared" si="6"/>
        <v>0</v>
      </c>
      <c r="BR17" s="116">
        <v>0</v>
      </c>
      <c r="BS17" s="107">
        <f t="shared" ref="BS17:BS44" si="13">BT17/2.5</f>
        <v>0</v>
      </c>
      <c r="BT17" s="116">
        <v>0</v>
      </c>
      <c r="BU17" s="107">
        <f t="shared" si="7"/>
        <v>0</v>
      </c>
      <c r="BV17" s="107">
        <v>0</v>
      </c>
      <c r="BW17" s="107">
        <v>0</v>
      </c>
      <c r="BX17" s="107">
        <v>0</v>
      </c>
      <c r="BY17" s="108">
        <f t="shared" si="8"/>
        <v>0</v>
      </c>
      <c r="BZ17" s="108"/>
      <c r="CA17" s="111">
        <f t="shared" si="9"/>
        <v>0</v>
      </c>
      <c r="CB17" s="112"/>
    </row>
    <row r="18" spans="1:80" ht="15.6">
      <c r="A18" s="97">
        <f>OVERALL!A17</f>
        <v>14</v>
      </c>
      <c r="B18" s="97">
        <f>OVERALL!B17</f>
        <v>2301250</v>
      </c>
      <c r="C18" s="98" t="str">
        <f>OVERALL!C17</f>
        <v>Rahulpreet Singh Khinda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>
        <v>15</v>
      </c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9">
        <v>26</v>
      </c>
      <c r="BE18" s="99">
        <f t="shared" si="10"/>
        <v>26</v>
      </c>
      <c r="BF18" s="96"/>
      <c r="BG18" s="100">
        <f t="shared" si="11"/>
        <v>26</v>
      </c>
      <c r="BH18" s="88">
        <v>48</v>
      </c>
      <c r="BI18" s="101">
        <f t="shared" si="2"/>
        <v>0.54166666666666663</v>
      </c>
      <c r="BJ18" s="374"/>
      <c r="BK18" s="105">
        <f>OVERALL!A13</f>
        <v>10</v>
      </c>
      <c r="BL18" s="105">
        <f>OVERALL!B13</f>
        <v>2301245</v>
      </c>
      <c r="BM18" s="106" t="str">
        <f>OVERALL!C13</f>
        <v>Payal</v>
      </c>
      <c r="BN18" s="107">
        <f t="shared" si="3"/>
        <v>48</v>
      </c>
      <c r="BO18" s="108">
        <f t="shared" si="4"/>
        <v>43</v>
      </c>
      <c r="BP18" s="108">
        <f t="shared" si="5"/>
        <v>89.583333333333343</v>
      </c>
      <c r="BQ18" s="107" t="str">
        <f t="shared" si="6"/>
        <v>4</v>
      </c>
      <c r="BR18" s="115">
        <v>24</v>
      </c>
      <c r="BS18" s="107">
        <f t="shared" si="13"/>
        <v>8.4</v>
      </c>
      <c r="BT18" s="117">
        <v>21</v>
      </c>
      <c r="BU18" s="107">
        <f t="shared" si="7"/>
        <v>22.5</v>
      </c>
      <c r="BV18" s="107">
        <v>9</v>
      </c>
      <c r="BW18" s="107">
        <v>10</v>
      </c>
      <c r="BX18" s="107">
        <v>9</v>
      </c>
      <c r="BY18" s="108">
        <f t="shared" si="8"/>
        <v>9.3333333333333339</v>
      </c>
      <c r="BZ18" s="108"/>
      <c r="CA18" s="111">
        <f t="shared" si="9"/>
        <v>36</v>
      </c>
      <c r="CB18" s="112"/>
    </row>
    <row r="19" spans="1:80" ht="15.6">
      <c r="A19" s="97">
        <f>OVERALL!A18</f>
        <v>15</v>
      </c>
      <c r="B19" s="97">
        <f>OVERALL!B18</f>
        <v>2301251</v>
      </c>
      <c r="C19" s="98" t="str">
        <f>OVERALL!C18</f>
        <v>Raj Kumar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>
        <v>10</v>
      </c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9">
        <v>20</v>
      </c>
      <c r="BE19" s="99">
        <f t="shared" si="10"/>
        <v>20</v>
      </c>
      <c r="BF19" s="96"/>
      <c r="BG19" s="100">
        <f t="shared" si="11"/>
        <v>20</v>
      </c>
      <c r="BH19" s="88">
        <v>48</v>
      </c>
      <c r="BI19" s="101">
        <f t="shared" si="2"/>
        <v>0.41666666666666669</v>
      </c>
      <c r="BJ19" s="374"/>
      <c r="BK19" s="105">
        <f>OVERALL!A14</f>
        <v>11</v>
      </c>
      <c r="BL19" s="105">
        <f>OVERALL!B14</f>
        <v>2301247</v>
      </c>
      <c r="BM19" s="106" t="str">
        <f>OVERALL!C14</f>
        <v>Priya</v>
      </c>
      <c r="BN19" s="107">
        <f t="shared" si="3"/>
        <v>48</v>
      </c>
      <c r="BO19" s="108">
        <f t="shared" si="4"/>
        <v>34</v>
      </c>
      <c r="BP19" s="108">
        <f t="shared" si="5"/>
        <v>70.833333333333343</v>
      </c>
      <c r="BQ19" s="107" t="str">
        <f t="shared" si="6"/>
        <v>0</v>
      </c>
      <c r="BR19" s="115">
        <v>18</v>
      </c>
      <c r="BS19" s="107">
        <f t="shared" si="13"/>
        <v>1.6</v>
      </c>
      <c r="BT19" s="110">
        <v>4</v>
      </c>
      <c r="BU19" s="107">
        <f t="shared" si="7"/>
        <v>11</v>
      </c>
      <c r="BV19" s="107">
        <v>9</v>
      </c>
      <c r="BW19" s="107">
        <v>9</v>
      </c>
      <c r="BX19" s="107">
        <v>0</v>
      </c>
      <c r="BY19" s="108">
        <f t="shared" si="8"/>
        <v>6</v>
      </c>
      <c r="BZ19" s="108"/>
      <c r="CA19" s="111">
        <f t="shared" si="9"/>
        <v>17</v>
      </c>
      <c r="CB19" s="112"/>
    </row>
    <row r="20" spans="1:80" ht="15.6">
      <c r="A20" s="97">
        <f>OVERALL!A19</f>
        <v>16</v>
      </c>
      <c r="B20" s="97">
        <f>OVERALL!B19</f>
        <v>2301252</v>
      </c>
      <c r="C20" s="98" t="str">
        <f>OVERALL!C19</f>
        <v>Rajan Sharma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>
        <v>24</v>
      </c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9">
        <v>40</v>
      </c>
      <c r="BE20" s="99">
        <f t="shared" si="10"/>
        <v>40</v>
      </c>
      <c r="BF20" s="96"/>
      <c r="BG20" s="100">
        <f t="shared" si="11"/>
        <v>40</v>
      </c>
      <c r="BH20" s="88">
        <v>48</v>
      </c>
      <c r="BI20" s="101">
        <f t="shared" si="2"/>
        <v>0.83333333333333337</v>
      </c>
      <c r="BJ20" s="374"/>
      <c r="BK20" s="105">
        <f>OVERALL!A15</f>
        <v>12</v>
      </c>
      <c r="BL20" s="105">
        <f>OVERALL!B15</f>
        <v>2301248</v>
      </c>
      <c r="BM20" s="106" t="str">
        <f>OVERALL!C15</f>
        <v>Priyam Puri</v>
      </c>
      <c r="BN20" s="107">
        <f t="shared" si="3"/>
        <v>48</v>
      </c>
      <c r="BO20" s="108">
        <f t="shared" si="4"/>
        <v>0</v>
      </c>
      <c r="BP20" s="108">
        <f t="shared" si="5"/>
        <v>0</v>
      </c>
      <c r="BQ20" s="107" t="str">
        <f t="shared" si="6"/>
        <v>0</v>
      </c>
      <c r="BR20" s="116">
        <v>0</v>
      </c>
      <c r="BS20" s="107">
        <f t="shared" si="13"/>
        <v>0</v>
      </c>
      <c r="BT20" s="116">
        <v>0</v>
      </c>
      <c r="BU20" s="107">
        <f t="shared" si="7"/>
        <v>0</v>
      </c>
      <c r="BV20" s="107">
        <v>0</v>
      </c>
      <c r="BW20" s="107">
        <v>0</v>
      </c>
      <c r="BX20" s="107">
        <v>0</v>
      </c>
      <c r="BY20" s="108">
        <f t="shared" si="8"/>
        <v>0</v>
      </c>
      <c r="BZ20" s="108"/>
      <c r="CA20" s="111">
        <f t="shared" si="9"/>
        <v>0</v>
      </c>
      <c r="CB20" s="112"/>
    </row>
    <row r="21" spans="1:80" ht="15.75" customHeight="1">
      <c r="A21" s="97">
        <f>OVERALL!A20</f>
        <v>17</v>
      </c>
      <c r="B21" s="97">
        <f>OVERALL!B20</f>
        <v>2301253</v>
      </c>
      <c r="C21" s="98" t="str">
        <f>OVERALL!C20</f>
        <v>Rajwinder Kaur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>
        <v>15</v>
      </c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9">
        <v>25</v>
      </c>
      <c r="BE21" s="99">
        <f t="shared" si="10"/>
        <v>25</v>
      </c>
      <c r="BF21" s="96"/>
      <c r="BG21" s="100">
        <f t="shared" si="11"/>
        <v>25</v>
      </c>
      <c r="BH21" s="88">
        <v>48</v>
      </c>
      <c r="BI21" s="101">
        <f t="shared" si="2"/>
        <v>0.52083333333333337</v>
      </c>
      <c r="BJ21" s="374"/>
      <c r="BK21" s="105">
        <f>OVERALL!A16</f>
        <v>13</v>
      </c>
      <c r="BL21" s="105">
        <f>OVERALL!B16</f>
        <v>2301249</v>
      </c>
      <c r="BM21" s="106" t="str">
        <f>OVERALL!C16</f>
        <v>Rahul Sharma</v>
      </c>
      <c r="BN21" s="107">
        <f t="shared" si="3"/>
        <v>48</v>
      </c>
      <c r="BO21" s="108">
        <f t="shared" si="4"/>
        <v>30</v>
      </c>
      <c r="BP21" s="108">
        <f t="shared" si="5"/>
        <v>62.5</v>
      </c>
      <c r="BQ21" s="107" t="str">
        <f t="shared" si="6"/>
        <v>0</v>
      </c>
      <c r="BR21" s="115">
        <v>13</v>
      </c>
      <c r="BS21" s="107">
        <f t="shared" si="13"/>
        <v>3.2</v>
      </c>
      <c r="BT21" s="117">
        <v>8</v>
      </c>
      <c r="BU21" s="107">
        <f t="shared" si="7"/>
        <v>10.5</v>
      </c>
      <c r="BV21" s="107">
        <v>7</v>
      </c>
      <c r="BW21" s="107">
        <v>0</v>
      </c>
      <c r="BX21" s="107">
        <v>0</v>
      </c>
      <c r="BY21" s="108">
        <f t="shared" si="8"/>
        <v>2.3333333333333335</v>
      </c>
      <c r="BZ21" s="108"/>
      <c r="CA21" s="111">
        <f t="shared" si="9"/>
        <v>13</v>
      </c>
      <c r="CB21" s="112"/>
    </row>
    <row r="22" spans="1:80" ht="15.75" customHeight="1">
      <c r="A22" s="97">
        <f>OVERALL!A21</f>
        <v>18</v>
      </c>
      <c r="B22" s="97">
        <f>OVERALL!B21</f>
        <v>2301254</v>
      </c>
      <c r="C22" s="98" t="str">
        <f>OVERALL!C21</f>
        <v>RANJIT SHAH KANU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>
        <v>0</v>
      </c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9">
        <v>0</v>
      </c>
      <c r="BE22" s="99">
        <f t="shared" si="10"/>
        <v>0</v>
      </c>
      <c r="BF22" s="96"/>
      <c r="BG22" s="100">
        <f t="shared" si="11"/>
        <v>0</v>
      </c>
      <c r="BH22" s="88">
        <v>48</v>
      </c>
      <c r="BI22" s="101">
        <f t="shared" si="2"/>
        <v>0</v>
      </c>
      <c r="BJ22" s="374"/>
      <c r="BK22" s="105">
        <f>OVERALL!A17</f>
        <v>14</v>
      </c>
      <c r="BL22" s="105">
        <f>OVERALL!B17</f>
        <v>2301250</v>
      </c>
      <c r="BM22" s="106" t="str">
        <f>OVERALL!C17</f>
        <v>Rahulpreet Singh Khinda</v>
      </c>
      <c r="BN22" s="107">
        <f t="shared" si="3"/>
        <v>48</v>
      </c>
      <c r="BO22" s="108">
        <f t="shared" si="4"/>
        <v>26</v>
      </c>
      <c r="BP22" s="108">
        <f t="shared" si="5"/>
        <v>54.166666666666671</v>
      </c>
      <c r="BQ22" s="107" t="str">
        <f t="shared" si="6"/>
        <v>0</v>
      </c>
      <c r="BR22" s="115">
        <v>11</v>
      </c>
      <c r="BS22" s="107">
        <f t="shared" si="13"/>
        <v>4</v>
      </c>
      <c r="BT22" s="118">
        <v>10</v>
      </c>
      <c r="BU22" s="107">
        <f t="shared" si="7"/>
        <v>10.5</v>
      </c>
      <c r="BV22" s="107">
        <v>7</v>
      </c>
      <c r="BW22" s="107">
        <v>9</v>
      </c>
      <c r="BX22" s="107">
        <v>8</v>
      </c>
      <c r="BY22" s="108">
        <f t="shared" si="8"/>
        <v>8</v>
      </c>
      <c r="BZ22" s="108"/>
      <c r="CA22" s="111">
        <f t="shared" si="9"/>
        <v>19</v>
      </c>
      <c r="CB22" s="112"/>
    </row>
    <row r="23" spans="1:80" ht="15.75" customHeight="1">
      <c r="A23" s="97">
        <f>OVERALL!A22</f>
        <v>19</v>
      </c>
      <c r="B23" s="97">
        <f>OVERALL!B22</f>
        <v>2301255</v>
      </c>
      <c r="C23" s="98" t="str">
        <f>OVERALL!C22</f>
        <v>Ravi Bhushan Kumar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>
        <v>23</v>
      </c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96"/>
      <c r="BD23" s="114">
        <v>38</v>
      </c>
      <c r="BE23" s="99">
        <f t="shared" si="10"/>
        <v>38</v>
      </c>
      <c r="BF23" s="96"/>
      <c r="BG23" s="100">
        <f t="shared" si="11"/>
        <v>38</v>
      </c>
      <c r="BH23" s="88">
        <v>48</v>
      </c>
      <c r="BI23" s="101">
        <f t="shared" si="2"/>
        <v>0.79166666666666663</v>
      </c>
      <c r="BJ23" s="374"/>
      <c r="BK23" s="105">
        <f>OVERALL!A18</f>
        <v>15</v>
      </c>
      <c r="BL23" s="105">
        <f>OVERALL!B18</f>
        <v>2301251</v>
      </c>
      <c r="BM23" s="106" t="str">
        <f>OVERALL!C18</f>
        <v>Raj Kumar</v>
      </c>
      <c r="BN23" s="107">
        <f t="shared" si="3"/>
        <v>48</v>
      </c>
      <c r="BO23" s="108">
        <f t="shared" si="4"/>
        <v>20</v>
      </c>
      <c r="BP23" s="108">
        <f t="shared" si="5"/>
        <v>41.666666666666671</v>
      </c>
      <c r="BQ23" s="107" t="str">
        <f t="shared" si="6"/>
        <v>0</v>
      </c>
      <c r="BR23" s="115">
        <v>10</v>
      </c>
      <c r="BS23" s="107">
        <f t="shared" si="13"/>
        <v>2</v>
      </c>
      <c r="BT23" s="110">
        <v>5</v>
      </c>
      <c r="BU23" s="107">
        <f t="shared" si="7"/>
        <v>7.5</v>
      </c>
      <c r="BV23" s="107">
        <v>8</v>
      </c>
      <c r="BW23" s="107">
        <v>8</v>
      </c>
      <c r="BX23" s="107">
        <v>7</v>
      </c>
      <c r="BY23" s="108">
        <f t="shared" si="8"/>
        <v>7.666666666666667</v>
      </c>
      <c r="BZ23" s="108"/>
      <c r="CA23" s="111">
        <f t="shared" si="9"/>
        <v>15</v>
      </c>
      <c r="CB23" s="112"/>
    </row>
    <row r="24" spans="1:80" ht="17.25" customHeight="1">
      <c r="A24" s="97">
        <f>OVERALL!A23</f>
        <v>20</v>
      </c>
      <c r="B24" s="97">
        <f>OVERALL!B23</f>
        <v>2301256</v>
      </c>
      <c r="C24" s="98" t="str">
        <f>OVERALL!C23</f>
        <v>Reshma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>
        <v>22</v>
      </c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96"/>
      <c r="BD24" s="114">
        <v>32</v>
      </c>
      <c r="BE24" s="99">
        <f t="shared" si="10"/>
        <v>32</v>
      </c>
      <c r="BF24" s="96"/>
      <c r="BG24" s="100">
        <f t="shared" si="11"/>
        <v>32</v>
      </c>
      <c r="BH24" s="88">
        <v>48</v>
      </c>
      <c r="BI24" s="101">
        <f t="shared" si="2"/>
        <v>0.66666666666666663</v>
      </c>
      <c r="BJ24" s="374"/>
      <c r="BK24" s="105">
        <f>OVERALL!A19</f>
        <v>16</v>
      </c>
      <c r="BL24" s="105">
        <f>OVERALL!B19</f>
        <v>2301252</v>
      </c>
      <c r="BM24" s="106" t="str">
        <f>OVERALL!C19</f>
        <v>Rajan Sharma</v>
      </c>
      <c r="BN24" s="107">
        <f t="shared" si="3"/>
        <v>48</v>
      </c>
      <c r="BO24" s="108">
        <f t="shared" si="4"/>
        <v>40</v>
      </c>
      <c r="BP24" s="108">
        <f t="shared" si="5"/>
        <v>83.333333333333343</v>
      </c>
      <c r="BQ24" s="107" t="str">
        <f t="shared" si="6"/>
        <v>3</v>
      </c>
      <c r="BR24" s="115">
        <v>15</v>
      </c>
      <c r="BS24" s="107">
        <f t="shared" si="13"/>
        <v>4</v>
      </c>
      <c r="BT24" s="110">
        <v>10</v>
      </c>
      <c r="BU24" s="107">
        <f t="shared" si="7"/>
        <v>12.5</v>
      </c>
      <c r="BV24" s="107">
        <v>9</v>
      </c>
      <c r="BW24" s="107">
        <v>10</v>
      </c>
      <c r="BX24" s="107">
        <v>9</v>
      </c>
      <c r="BY24" s="108">
        <f t="shared" si="8"/>
        <v>9.3333333333333339</v>
      </c>
      <c r="BZ24" s="108"/>
      <c r="CA24" s="111">
        <f t="shared" si="9"/>
        <v>25</v>
      </c>
      <c r="CB24" s="112"/>
    </row>
    <row r="25" spans="1:80" ht="15.75" customHeight="1">
      <c r="A25" s="97">
        <f>OVERALL!A24</f>
        <v>21</v>
      </c>
      <c r="B25" s="97">
        <f>OVERALL!B24</f>
        <v>2301257</v>
      </c>
      <c r="C25" s="98" t="str">
        <f>OVERALL!C24</f>
        <v>Ritesh Kumar Choudhary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>
        <v>12</v>
      </c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96"/>
      <c r="BD25" s="114">
        <v>14</v>
      </c>
      <c r="BE25" s="99">
        <f t="shared" si="10"/>
        <v>14</v>
      </c>
      <c r="BF25" s="96">
        <v>13</v>
      </c>
      <c r="BG25" s="100">
        <f t="shared" si="11"/>
        <v>27</v>
      </c>
      <c r="BH25" s="88">
        <v>48</v>
      </c>
      <c r="BI25" s="101">
        <f t="shared" si="2"/>
        <v>0.5625</v>
      </c>
      <c r="BJ25" s="374"/>
      <c r="BK25" s="105">
        <f>OVERALL!A20</f>
        <v>17</v>
      </c>
      <c r="BL25" s="105">
        <f>OVERALL!B20</f>
        <v>2301253</v>
      </c>
      <c r="BM25" s="106" t="str">
        <f>OVERALL!C20</f>
        <v>Rajwinder Kaur</v>
      </c>
      <c r="BN25" s="107">
        <f t="shared" si="3"/>
        <v>48</v>
      </c>
      <c r="BO25" s="108">
        <f t="shared" si="4"/>
        <v>25</v>
      </c>
      <c r="BP25" s="108">
        <f t="shared" si="5"/>
        <v>52.083333333333336</v>
      </c>
      <c r="BQ25" s="107" t="str">
        <f t="shared" si="6"/>
        <v>0</v>
      </c>
      <c r="BR25" s="115">
        <v>20</v>
      </c>
      <c r="BS25" s="107">
        <f t="shared" si="13"/>
        <v>7.2</v>
      </c>
      <c r="BT25" s="110">
        <v>18</v>
      </c>
      <c r="BU25" s="107">
        <f t="shared" si="7"/>
        <v>19</v>
      </c>
      <c r="BV25" s="107">
        <v>8</v>
      </c>
      <c r="BW25" s="107">
        <v>10</v>
      </c>
      <c r="BX25" s="107">
        <v>9</v>
      </c>
      <c r="BY25" s="108">
        <f t="shared" si="8"/>
        <v>9</v>
      </c>
      <c r="BZ25" s="108"/>
      <c r="CA25" s="111">
        <f t="shared" si="9"/>
        <v>28</v>
      </c>
      <c r="CB25" s="112"/>
    </row>
    <row r="26" spans="1:80" ht="15.75" customHeight="1">
      <c r="A26" s="97">
        <f>OVERALL!A25</f>
        <v>22</v>
      </c>
      <c r="B26" s="97">
        <f>OVERALL!B25</f>
        <v>2301258</v>
      </c>
      <c r="C26" s="98" t="str">
        <f>OVERALL!C25</f>
        <v>Ritesh Thakur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>
        <v>11</v>
      </c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96"/>
      <c r="BD26" s="114">
        <v>13</v>
      </c>
      <c r="BE26" s="99">
        <f t="shared" si="10"/>
        <v>13</v>
      </c>
      <c r="BF26" s="96"/>
      <c r="BG26" s="100">
        <f t="shared" si="11"/>
        <v>13</v>
      </c>
      <c r="BH26" s="88">
        <v>48</v>
      </c>
      <c r="BI26" s="101">
        <f t="shared" si="2"/>
        <v>0.27083333333333331</v>
      </c>
      <c r="BJ26" s="374"/>
      <c r="BK26" s="105">
        <f>OVERALL!A21</f>
        <v>18</v>
      </c>
      <c r="BL26" s="105">
        <f>OVERALL!B21</f>
        <v>2301254</v>
      </c>
      <c r="BM26" s="106" t="str">
        <f>OVERALL!C21</f>
        <v>RANJIT SHAH KANU</v>
      </c>
      <c r="BN26" s="107">
        <f t="shared" si="3"/>
        <v>48</v>
      </c>
      <c r="BO26" s="108">
        <f t="shared" si="4"/>
        <v>0</v>
      </c>
      <c r="BP26" s="108">
        <f t="shared" si="5"/>
        <v>0</v>
      </c>
      <c r="BQ26" s="107" t="str">
        <f t="shared" si="6"/>
        <v>0</v>
      </c>
      <c r="BR26" s="116">
        <v>0</v>
      </c>
      <c r="BS26" s="107">
        <f t="shared" si="13"/>
        <v>0</v>
      </c>
      <c r="BT26" s="116">
        <v>0</v>
      </c>
      <c r="BU26" s="107">
        <f t="shared" si="7"/>
        <v>0</v>
      </c>
      <c r="BV26" s="107">
        <v>0</v>
      </c>
      <c r="BW26" s="107">
        <v>0</v>
      </c>
      <c r="BX26" s="107">
        <v>0</v>
      </c>
      <c r="BY26" s="108">
        <f t="shared" si="8"/>
        <v>0</v>
      </c>
      <c r="BZ26" s="108"/>
      <c r="CA26" s="111">
        <f t="shared" si="9"/>
        <v>0</v>
      </c>
      <c r="CB26" s="112"/>
    </row>
    <row r="27" spans="1:80" ht="15.75" customHeight="1">
      <c r="A27" s="97">
        <f>OVERALL!A26</f>
        <v>23</v>
      </c>
      <c r="B27" s="97">
        <f>OVERALL!B26</f>
        <v>2301259</v>
      </c>
      <c r="C27" s="98" t="str">
        <f>OVERALL!C26</f>
        <v>Riya Thakur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>
        <v>24</v>
      </c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96"/>
      <c r="BD27" s="114">
        <v>31</v>
      </c>
      <c r="BE27" s="99">
        <f t="shared" si="10"/>
        <v>31</v>
      </c>
      <c r="BF27" s="96"/>
      <c r="BG27" s="100">
        <f t="shared" si="11"/>
        <v>31</v>
      </c>
      <c r="BH27" s="88">
        <v>48</v>
      </c>
      <c r="BI27" s="101">
        <f t="shared" si="2"/>
        <v>0.64583333333333337</v>
      </c>
      <c r="BJ27" s="374"/>
      <c r="BK27" s="105">
        <f>OVERALL!A22</f>
        <v>19</v>
      </c>
      <c r="BL27" s="105">
        <f>OVERALL!B22</f>
        <v>2301255</v>
      </c>
      <c r="BM27" s="106" t="str">
        <f>OVERALL!C22</f>
        <v>Ravi Bhushan Kumar</v>
      </c>
      <c r="BN27" s="107">
        <f t="shared" si="3"/>
        <v>48</v>
      </c>
      <c r="BO27" s="108">
        <f t="shared" si="4"/>
        <v>38</v>
      </c>
      <c r="BP27" s="108">
        <f t="shared" si="5"/>
        <v>79.166666666666671</v>
      </c>
      <c r="BQ27" s="107" t="str">
        <f t="shared" si="6"/>
        <v>2</v>
      </c>
      <c r="BR27" s="115">
        <v>24</v>
      </c>
      <c r="BS27" s="107">
        <f t="shared" si="13"/>
        <v>6.8</v>
      </c>
      <c r="BT27" s="110">
        <v>17</v>
      </c>
      <c r="BU27" s="107">
        <f t="shared" si="7"/>
        <v>20.5</v>
      </c>
      <c r="BV27" s="107">
        <v>9</v>
      </c>
      <c r="BW27" s="107">
        <v>10</v>
      </c>
      <c r="BX27" s="107">
        <v>10</v>
      </c>
      <c r="BY27" s="108">
        <f t="shared" si="8"/>
        <v>9.6666666666666661</v>
      </c>
      <c r="BZ27" s="108"/>
      <c r="CA27" s="111">
        <f t="shared" si="9"/>
        <v>32</v>
      </c>
      <c r="CB27" s="112"/>
    </row>
    <row r="28" spans="1:80" ht="15.75" customHeight="1">
      <c r="A28" s="97">
        <f>OVERALL!A27</f>
        <v>24</v>
      </c>
      <c r="B28" s="97">
        <f>OVERALL!B27</f>
        <v>2301260</v>
      </c>
      <c r="C28" s="98" t="str">
        <f>OVERALL!C27</f>
        <v>Rounit Dhiman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>
        <v>19</v>
      </c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96"/>
      <c r="BD28" s="114">
        <v>32</v>
      </c>
      <c r="BE28" s="99">
        <f t="shared" si="10"/>
        <v>32</v>
      </c>
      <c r="BF28" s="96">
        <v>1</v>
      </c>
      <c r="BG28" s="100">
        <f t="shared" si="11"/>
        <v>33</v>
      </c>
      <c r="BH28" s="88">
        <v>48</v>
      </c>
      <c r="BI28" s="101">
        <f t="shared" si="2"/>
        <v>0.6875</v>
      </c>
      <c r="BJ28" s="374"/>
      <c r="BK28" s="105">
        <f>OVERALL!A23</f>
        <v>20</v>
      </c>
      <c r="BL28" s="105">
        <f>OVERALL!B23</f>
        <v>2301256</v>
      </c>
      <c r="BM28" s="106" t="str">
        <f>OVERALL!C23</f>
        <v>Reshma</v>
      </c>
      <c r="BN28" s="107">
        <f t="shared" si="3"/>
        <v>48</v>
      </c>
      <c r="BO28" s="108">
        <f t="shared" si="4"/>
        <v>32</v>
      </c>
      <c r="BP28" s="108">
        <f t="shared" si="5"/>
        <v>66.666666666666671</v>
      </c>
      <c r="BQ28" s="107" t="str">
        <f t="shared" si="6"/>
        <v>0</v>
      </c>
      <c r="BR28" s="115">
        <v>7</v>
      </c>
      <c r="BS28" s="107">
        <f t="shared" si="13"/>
        <v>4</v>
      </c>
      <c r="BT28" s="110">
        <v>10</v>
      </c>
      <c r="BU28" s="107">
        <f t="shared" si="7"/>
        <v>8.5</v>
      </c>
      <c r="BV28" s="107">
        <v>7</v>
      </c>
      <c r="BW28" s="107">
        <v>8</v>
      </c>
      <c r="BX28" s="107">
        <v>9</v>
      </c>
      <c r="BY28" s="108">
        <f t="shared" si="8"/>
        <v>8</v>
      </c>
      <c r="BZ28" s="108"/>
      <c r="CA28" s="111">
        <f t="shared" si="9"/>
        <v>17</v>
      </c>
      <c r="CB28" s="112"/>
    </row>
    <row r="29" spans="1:80" ht="15.75" customHeight="1">
      <c r="A29" s="97">
        <f>OVERALL!A28</f>
        <v>25</v>
      </c>
      <c r="B29" s="97">
        <f>OVERALL!B28</f>
        <v>2301261</v>
      </c>
      <c r="C29" s="98" t="str">
        <f>OVERALL!C28</f>
        <v>Rubby Kumari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>
        <v>7</v>
      </c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96"/>
      <c r="BD29" s="114">
        <v>8</v>
      </c>
      <c r="BE29" s="99">
        <f t="shared" si="10"/>
        <v>8</v>
      </c>
      <c r="BF29" s="96"/>
      <c r="BG29" s="100">
        <f t="shared" si="11"/>
        <v>8</v>
      </c>
      <c r="BH29" s="88">
        <v>48</v>
      </c>
      <c r="BI29" s="101">
        <f t="shared" si="2"/>
        <v>0.16666666666666666</v>
      </c>
      <c r="BJ29" s="374"/>
      <c r="BK29" s="105">
        <f>OVERALL!A24</f>
        <v>21</v>
      </c>
      <c r="BL29" s="105">
        <f>OVERALL!B24</f>
        <v>2301257</v>
      </c>
      <c r="BM29" s="106" t="str">
        <f>OVERALL!C24</f>
        <v>Ritesh Kumar Choudhary</v>
      </c>
      <c r="BN29" s="107">
        <f t="shared" si="3"/>
        <v>48</v>
      </c>
      <c r="BO29" s="108">
        <f t="shared" si="4"/>
        <v>27</v>
      </c>
      <c r="BP29" s="108">
        <f t="shared" si="5"/>
        <v>56.25</v>
      </c>
      <c r="BQ29" s="107" t="str">
        <f t="shared" si="6"/>
        <v>0</v>
      </c>
      <c r="BR29" s="115">
        <v>10</v>
      </c>
      <c r="BS29" s="107">
        <f t="shared" si="13"/>
        <v>4</v>
      </c>
      <c r="BT29" s="110">
        <v>10</v>
      </c>
      <c r="BU29" s="107">
        <f t="shared" si="7"/>
        <v>10</v>
      </c>
      <c r="BV29" s="107">
        <v>7</v>
      </c>
      <c r="BW29" s="107">
        <v>8</v>
      </c>
      <c r="BX29" s="107">
        <v>8</v>
      </c>
      <c r="BY29" s="108">
        <f t="shared" si="8"/>
        <v>7.666666666666667</v>
      </c>
      <c r="BZ29" s="108"/>
      <c r="CA29" s="111">
        <f t="shared" si="9"/>
        <v>18</v>
      </c>
      <c r="CB29" s="112"/>
    </row>
    <row r="30" spans="1:80" ht="15.75" customHeight="1">
      <c r="A30" s="97">
        <f>OVERALL!A29</f>
        <v>26</v>
      </c>
      <c r="B30" s="97">
        <f>OVERALL!B29</f>
        <v>2301262</v>
      </c>
      <c r="C30" s="98" t="str">
        <f>OVERALL!C29</f>
        <v>Sakshi Devi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>
        <v>23</v>
      </c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96"/>
      <c r="BD30" s="114">
        <v>30</v>
      </c>
      <c r="BE30" s="99">
        <f t="shared" si="10"/>
        <v>30</v>
      </c>
      <c r="BF30" s="96"/>
      <c r="BG30" s="100">
        <f t="shared" si="11"/>
        <v>30</v>
      </c>
      <c r="BH30" s="88">
        <v>48</v>
      </c>
      <c r="BI30" s="101">
        <f t="shared" si="2"/>
        <v>0.625</v>
      </c>
      <c r="BJ30" s="374"/>
      <c r="BK30" s="105">
        <f>OVERALL!A25</f>
        <v>22</v>
      </c>
      <c r="BL30" s="105">
        <f>OVERALL!B25</f>
        <v>2301258</v>
      </c>
      <c r="BM30" s="106" t="str">
        <f>OVERALL!C25</f>
        <v>Ritesh Thakur</v>
      </c>
      <c r="BN30" s="107">
        <f t="shared" si="3"/>
        <v>48</v>
      </c>
      <c r="BO30" s="108">
        <f t="shared" si="4"/>
        <v>13</v>
      </c>
      <c r="BP30" s="108">
        <f t="shared" si="5"/>
        <v>27.083333333333336</v>
      </c>
      <c r="BQ30" s="107" t="str">
        <f t="shared" si="6"/>
        <v>0</v>
      </c>
      <c r="BR30" s="116">
        <v>0</v>
      </c>
      <c r="BS30" s="107">
        <f t="shared" si="13"/>
        <v>3.2</v>
      </c>
      <c r="BT30" s="110">
        <v>8</v>
      </c>
      <c r="BU30" s="107">
        <f t="shared" si="7"/>
        <v>4</v>
      </c>
      <c r="BV30" s="107">
        <v>0</v>
      </c>
      <c r="BW30" s="107">
        <v>0</v>
      </c>
      <c r="BX30" s="107">
        <v>0</v>
      </c>
      <c r="BY30" s="108">
        <f t="shared" si="8"/>
        <v>0</v>
      </c>
      <c r="BZ30" s="108"/>
      <c r="CA30" s="111">
        <f t="shared" si="9"/>
        <v>4</v>
      </c>
      <c r="CB30" s="112"/>
    </row>
    <row r="31" spans="1:80" ht="15.75" customHeight="1">
      <c r="A31" s="97">
        <f>OVERALL!A30</f>
        <v>27</v>
      </c>
      <c r="B31" s="97">
        <f>OVERALL!B30</f>
        <v>2301263</v>
      </c>
      <c r="C31" s="98" t="str">
        <f>OVERALL!C30</f>
        <v>Sanchi Sharma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>
        <v>26</v>
      </c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96"/>
      <c r="BD31" s="114">
        <v>43</v>
      </c>
      <c r="BE31" s="99">
        <f t="shared" si="10"/>
        <v>43</v>
      </c>
      <c r="BF31" s="96"/>
      <c r="BG31" s="100">
        <f t="shared" si="11"/>
        <v>43</v>
      </c>
      <c r="BH31" s="88">
        <v>48</v>
      </c>
      <c r="BI31" s="101">
        <f t="shared" si="2"/>
        <v>0.89583333333333337</v>
      </c>
      <c r="BJ31" s="374"/>
      <c r="BK31" s="105">
        <f>OVERALL!A26</f>
        <v>23</v>
      </c>
      <c r="BL31" s="105">
        <f>OVERALL!B26</f>
        <v>2301259</v>
      </c>
      <c r="BM31" s="106" t="str">
        <f>OVERALL!C26</f>
        <v>Riya Thakur</v>
      </c>
      <c r="BN31" s="107">
        <f t="shared" si="3"/>
        <v>48</v>
      </c>
      <c r="BO31" s="108">
        <f t="shared" si="4"/>
        <v>31</v>
      </c>
      <c r="BP31" s="108">
        <f t="shared" si="5"/>
        <v>64.583333333333343</v>
      </c>
      <c r="BQ31" s="107" t="str">
        <f t="shared" si="6"/>
        <v>0</v>
      </c>
      <c r="BR31" s="115">
        <v>11</v>
      </c>
      <c r="BS31" s="107">
        <f t="shared" si="13"/>
        <v>5.6</v>
      </c>
      <c r="BT31" s="110">
        <v>14</v>
      </c>
      <c r="BU31" s="107">
        <f t="shared" si="7"/>
        <v>12.5</v>
      </c>
      <c r="BV31" s="107">
        <v>7</v>
      </c>
      <c r="BW31" s="107">
        <v>9</v>
      </c>
      <c r="BX31" s="107">
        <v>8</v>
      </c>
      <c r="BY31" s="108">
        <f t="shared" si="8"/>
        <v>8</v>
      </c>
      <c r="BZ31" s="108"/>
      <c r="CA31" s="111">
        <f t="shared" si="9"/>
        <v>21</v>
      </c>
      <c r="CB31" s="112"/>
    </row>
    <row r="32" spans="1:80" ht="15.75" customHeight="1">
      <c r="A32" s="97">
        <f>OVERALL!A31</f>
        <v>28</v>
      </c>
      <c r="B32" s="97">
        <f>OVERALL!B31</f>
        <v>2301264</v>
      </c>
      <c r="C32" s="98" t="str">
        <f>OVERALL!C31</f>
        <v>Sarbjit Singh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>
        <v>10</v>
      </c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96"/>
      <c r="BD32" s="114">
        <v>14</v>
      </c>
      <c r="BE32" s="99">
        <f t="shared" si="10"/>
        <v>14</v>
      </c>
      <c r="BF32" s="96"/>
      <c r="BG32" s="100">
        <f t="shared" si="11"/>
        <v>14</v>
      </c>
      <c r="BH32" s="88">
        <v>48</v>
      </c>
      <c r="BI32" s="101">
        <f t="shared" si="2"/>
        <v>0.29166666666666669</v>
      </c>
      <c r="BJ32" s="374"/>
      <c r="BK32" s="105">
        <f>OVERALL!A27</f>
        <v>24</v>
      </c>
      <c r="BL32" s="105">
        <f>OVERALL!B27</f>
        <v>2301260</v>
      </c>
      <c r="BM32" s="106" t="str">
        <f>OVERALL!C27</f>
        <v>Rounit Dhiman</v>
      </c>
      <c r="BN32" s="107">
        <f t="shared" si="3"/>
        <v>48</v>
      </c>
      <c r="BO32" s="108">
        <f t="shared" si="4"/>
        <v>33</v>
      </c>
      <c r="BP32" s="108">
        <f t="shared" si="5"/>
        <v>68.75</v>
      </c>
      <c r="BQ32" s="107" t="str">
        <f t="shared" si="6"/>
        <v>0</v>
      </c>
      <c r="BR32" s="115">
        <v>11</v>
      </c>
      <c r="BS32" s="107">
        <f t="shared" si="13"/>
        <v>5.2</v>
      </c>
      <c r="BT32" s="110">
        <v>13</v>
      </c>
      <c r="BU32" s="107">
        <f t="shared" si="7"/>
        <v>12</v>
      </c>
      <c r="BV32" s="107">
        <v>7</v>
      </c>
      <c r="BW32" s="107">
        <v>9</v>
      </c>
      <c r="BX32" s="107">
        <v>8</v>
      </c>
      <c r="BY32" s="108">
        <f t="shared" si="8"/>
        <v>8</v>
      </c>
      <c r="BZ32" s="108"/>
      <c r="CA32" s="111">
        <f t="shared" si="9"/>
        <v>20</v>
      </c>
      <c r="CB32" s="112"/>
    </row>
    <row r="33" spans="1:80" ht="15.75" customHeight="1">
      <c r="A33" s="97">
        <f>OVERALL!A32</f>
        <v>29</v>
      </c>
      <c r="B33" s="97">
        <f>OVERALL!B32</f>
        <v>2301265</v>
      </c>
      <c r="C33" s="98" t="str">
        <f>OVERALL!C32</f>
        <v>Sarif Mayangmayum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>
        <v>21</v>
      </c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96"/>
      <c r="BD33" s="114">
        <v>34</v>
      </c>
      <c r="BE33" s="99">
        <f t="shared" si="10"/>
        <v>34</v>
      </c>
      <c r="BF33" s="96">
        <v>6</v>
      </c>
      <c r="BG33" s="100">
        <f t="shared" si="11"/>
        <v>40</v>
      </c>
      <c r="BH33" s="88">
        <v>48</v>
      </c>
      <c r="BI33" s="101">
        <f t="shared" si="2"/>
        <v>0.83333333333333337</v>
      </c>
      <c r="BJ33" s="374"/>
      <c r="BK33" s="105">
        <f>OVERALL!A28</f>
        <v>25</v>
      </c>
      <c r="BL33" s="105">
        <f>OVERALL!B28</f>
        <v>2301261</v>
      </c>
      <c r="BM33" s="106" t="str">
        <f>OVERALL!C28</f>
        <v>Rubby Kumari</v>
      </c>
      <c r="BN33" s="107">
        <f t="shared" si="3"/>
        <v>48</v>
      </c>
      <c r="BO33" s="108">
        <f t="shared" si="4"/>
        <v>8</v>
      </c>
      <c r="BP33" s="108">
        <f t="shared" si="5"/>
        <v>16.666666666666668</v>
      </c>
      <c r="BQ33" s="107" t="str">
        <f t="shared" si="6"/>
        <v>0</v>
      </c>
      <c r="BR33" s="115">
        <v>15</v>
      </c>
      <c r="BS33" s="107">
        <f t="shared" si="13"/>
        <v>5.6</v>
      </c>
      <c r="BT33" s="110">
        <v>14</v>
      </c>
      <c r="BU33" s="107">
        <f t="shared" si="7"/>
        <v>14.5</v>
      </c>
      <c r="BV33" s="107">
        <v>6</v>
      </c>
      <c r="BW33" s="107">
        <v>8</v>
      </c>
      <c r="BX33" s="107">
        <v>8</v>
      </c>
      <c r="BY33" s="108">
        <f t="shared" si="8"/>
        <v>7.333333333333333</v>
      </c>
      <c r="BZ33" s="108"/>
      <c r="CA33" s="111">
        <f t="shared" si="9"/>
        <v>22</v>
      </c>
      <c r="CB33" s="112"/>
    </row>
    <row r="34" spans="1:80" ht="15.75" customHeight="1">
      <c r="A34" s="97">
        <f>OVERALL!A33</f>
        <v>30</v>
      </c>
      <c r="B34" s="97">
        <f>OVERALL!B33</f>
        <v>2301267</v>
      </c>
      <c r="C34" s="98" t="str">
        <f>OVERALL!C33</f>
        <v>Shivam Kumar Chaubey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>
        <v>24</v>
      </c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96"/>
      <c r="BD34" s="114">
        <v>40</v>
      </c>
      <c r="BE34" s="99">
        <f t="shared" si="10"/>
        <v>40</v>
      </c>
      <c r="BF34" s="96"/>
      <c r="BG34" s="100">
        <f t="shared" si="11"/>
        <v>40</v>
      </c>
      <c r="BH34" s="88">
        <v>48</v>
      </c>
      <c r="BI34" s="101">
        <f t="shared" si="2"/>
        <v>0.83333333333333337</v>
      </c>
      <c r="BJ34" s="374"/>
      <c r="BK34" s="105">
        <f>OVERALL!A29</f>
        <v>26</v>
      </c>
      <c r="BL34" s="105">
        <f>OVERALL!B29</f>
        <v>2301262</v>
      </c>
      <c r="BM34" s="106" t="str">
        <f>OVERALL!C29</f>
        <v>Sakshi Devi</v>
      </c>
      <c r="BN34" s="107">
        <f t="shared" si="3"/>
        <v>48</v>
      </c>
      <c r="BO34" s="108">
        <f t="shared" si="4"/>
        <v>30</v>
      </c>
      <c r="BP34" s="108">
        <f t="shared" si="5"/>
        <v>62.5</v>
      </c>
      <c r="BQ34" s="107" t="str">
        <f t="shared" si="6"/>
        <v>0</v>
      </c>
      <c r="BR34" s="115">
        <v>15</v>
      </c>
      <c r="BS34" s="107">
        <f t="shared" si="13"/>
        <v>4.8</v>
      </c>
      <c r="BT34" s="110">
        <v>12</v>
      </c>
      <c r="BU34" s="107">
        <f t="shared" si="7"/>
        <v>13.5</v>
      </c>
      <c r="BV34" s="107">
        <v>7</v>
      </c>
      <c r="BW34" s="107">
        <v>9</v>
      </c>
      <c r="BX34" s="107">
        <v>6</v>
      </c>
      <c r="BY34" s="108">
        <f t="shared" si="8"/>
        <v>7.333333333333333</v>
      </c>
      <c r="BZ34" s="108"/>
      <c r="CA34" s="111">
        <f t="shared" si="9"/>
        <v>21</v>
      </c>
      <c r="CB34" s="112"/>
    </row>
    <row r="35" spans="1:80" ht="15.75" customHeight="1">
      <c r="A35" s="97">
        <f>OVERALL!A34</f>
        <v>31</v>
      </c>
      <c r="B35" s="97">
        <f>OVERALL!B34</f>
        <v>2301268</v>
      </c>
      <c r="C35" s="98" t="str">
        <f>OVERALL!C34</f>
        <v>Simba Godfrey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>
        <v>16</v>
      </c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96"/>
      <c r="BD35" s="114">
        <v>24</v>
      </c>
      <c r="BE35" s="99">
        <f t="shared" si="10"/>
        <v>24</v>
      </c>
      <c r="BF35" s="96"/>
      <c r="BG35" s="100">
        <f t="shared" si="11"/>
        <v>24</v>
      </c>
      <c r="BH35" s="88">
        <v>48</v>
      </c>
      <c r="BI35" s="101">
        <f t="shared" si="2"/>
        <v>0.5</v>
      </c>
      <c r="BJ35" s="374"/>
      <c r="BK35" s="105">
        <f>OVERALL!A30</f>
        <v>27</v>
      </c>
      <c r="BL35" s="105">
        <f>OVERALL!B30</f>
        <v>2301263</v>
      </c>
      <c r="BM35" s="106" t="str">
        <f>OVERALL!C30</f>
        <v>Sanchi Sharma</v>
      </c>
      <c r="BN35" s="107">
        <f t="shared" si="3"/>
        <v>48</v>
      </c>
      <c r="BO35" s="108">
        <f t="shared" si="4"/>
        <v>43</v>
      </c>
      <c r="BP35" s="108">
        <f t="shared" si="5"/>
        <v>89.583333333333343</v>
      </c>
      <c r="BQ35" s="107" t="str">
        <f t="shared" si="6"/>
        <v>4</v>
      </c>
      <c r="BR35" s="115">
        <v>18</v>
      </c>
      <c r="BS35" s="107">
        <f t="shared" si="13"/>
        <v>6.4</v>
      </c>
      <c r="BT35" s="110">
        <v>16</v>
      </c>
      <c r="BU35" s="107">
        <f t="shared" si="7"/>
        <v>17</v>
      </c>
      <c r="BV35" s="107">
        <v>9</v>
      </c>
      <c r="BW35" s="107">
        <v>8</v>
      </c>
      <c r="BX35" s="107">
        <v>9</v>
      </c>
      <c r="BY35" s="108">
        <f t="shared" si="8"/>
        <v>8.6666666666666661</v>
      </c>
      <c r="BZ35" s="108"/>
      <c r="CA35" s="111">
        <f t="shared" si="9"/>
        <v>30</v>
      </c>
      <c r="CB35" s="112"/>
    </row>
    <row r="36" spans="1:80" ht="15.75" customHeight="1">
      <c r="A36" s="97">
        <f>OVERALL!A35</f>
        <v>32</v>
      </c>
      <c r="B36" s="97">
        <f>OVERALL!B35</f>
        <v>2301269</v>
      </c>
      <c r="C36" s="98" t="str">
        <f>OVERALL!C35</f>
        <v>Simran Kaur</v>
      </c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>
        <v>23</v>
      </c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9">
        <v>35</v>
      </c>
      <c r="BE36" s="99">
        <f t="shared" si="10"/>
        <v>35</v>
      </c>
      <c r="BF36" s="96"/>
      <c r="BG36" s="100">
        <f t="shared" si="11"/>
        <v>35</v>
      </c>
      <c r="BH36" s="88">
        <v>48</v>
      </c>
      <c r="BI36" s="101">
        <f t="shared" si="2"/>
        <v>0.72916666666666663</v>
      </c>
      <c r="BJ36" s="374"/>
      <c r="BK36" s="105">
        <f>OVERALL!A31</f>
        <v>28</v>
      </c>
      <c r="BL36" s="105">
        <f>OVERALL!B31</f>
        <v>2301264</v>
      </c>
      <c r="BM36" s="106" t="str">
        <f>OVERALL!C31</f>
        <v>Sarbjit Singh</v>
      </c>
      <c r="BN36" s="107">
        <f t="shared" si="3"/>
        <v>48</v>
      </c>
      <c r="BO36" s="108">
        <f t="shared" si="4"/>
        <v>14</v>
      </c>
      <c r="BP36" s="108">
        <f t="shared" si="5"/>
        <v>29.166666666666668</v>
      </c>
      <c r="BQ36" s="107" t="str">
        <f t="shared" si="6"/>
        <v>0</v>
      </c>
      <c r="BR36" s="116">
        <v>0</v>
      </c>
      <c r="BS36" s="107">
        <f t="shared" si="13"/>
        <v>0</v>
      </c>
      <c r="BT36" s="116">
        <v>0</v>
      </c>
      <c r="BU36" s="107">
        <f t="shared" si="7"/>
        <v>0</v>
      </c>
      <c r="BV36" s="107">
        <v>7</v>
      </c>
      <c r="BW36" s="107">
        <v>0</v>
      </c>
      <c r="BX36" s="107">
        <v>0</v>
      </c>
      <c r="BY36" s="108">
        <f t="shared" si="8"/>
        <v>2.3333333333333335</v>
      </c>
      <c r="BZ36" s="108"/>
      <c r="CA36" s="111">
        <f t="shared" si="9"/>
        <v>2</v>
      </c>
      <c r="CB36" s="112"/>
    </row>
    <row r="37" spans="1:80" ht="15.75" customHeight="1">
      <c r="A37" s="97">
        <f>OVERALL!A36</f>
        <v>33</v>
      </c>
      <c r="B37" s="97">
        <f>OVERALL!B36</f>
        <v>2301270</v>
      </c>
      <c r="C37" s="98" t="str">
        <f>OVERALL!C36</f>
        <v>Simranjit Singh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>
        <v>20</v>
      </c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9">
        <v>27</v>
      </c>
      <c r="BE37" s="99">
        <f t="shared" si="10"/>
        <v>27</v>
      </c>
      <c r="BF37" s="96">
        <v>5</v>
      </c>
      <c r="BG37" s="100">
        <f t="shared" si="11"/>
        <v>32</v>
      </c>
      <c r="BH37" s="88">
        <v>48</v>
      </c>
      <c r="BI37" s="101">
        <f t="shared" si="2"/>
        <v>0.66666666666666663</v>
      </c>
      <c r="BJ37" s="374"/>
      <c r="BK37" s="105">
        <f>OVERALL!A32</f>
        <v>29</v>
      </c>
      <c r="BL37" s="105">
        <f>OVERALL!B32</f>
        <v>2301265</v>
      </c>
      <c r="BM37" s="106" t="str">
        <f>OVERALL!C32</f>
        <v>Sarif Mayangmayum</v>
      </c>
      <c r="BN37" s="107">
        <f t="shared" si="3"/>
        <v>48</v>
      </c>
      <c r="BO37" s="108">
        <f t="shared" si="4"/>
        <v>40</v>
      </c>
      <c r="BP37" s="108">
        <f t="shared" si="5"/>
        <v>83.333333333333343</v>
      </c>
      <c r="BQ37" s="107" t="str">
        <f t="shared" si="6"/>
        <v>3</v>
      </c>
      <c r="BR37" s="115">
        <v>19</v>
      </c>
      <c r="BS37" s="107">
        <f t="shared" si="13"/>
        <v>5.6</v>
      </c>
      <c r="BT37" s="110">
        <v>14</v>
      </c>
      <c r="BU37" s="107">
        <f t="shared" si="7"/>
        <v>16.5</v>
      </c>
      <c r="BV37" s="107">
        <v>8</v>
      </c>
      <c r="BW37" s="107">
        <v>9</v>
      </c>
      <c r="BX37" s="107">
        <v>8</v>
      </c>
      <c r="BY37" s="108">
        <f t="shared" si="8"/>
        <v>8.3333333333333339</v>
      </c>
      <c r="BZ37" s="108"/>
      <c r="CA37" s="111">
        <f t="shared" si="9"/>
        <v>28</v>
      </c>
      <c r="CB37" s="112"/>
    </row>
    <row r="38" spans="1:80" ht="15.75" customHeight="1">
      <c r="A38" s="97">
        <f>OVERALL!A37</f>
        <v>34</v>
      </c>
      <c r="B38" s="97">
        <f>OVERALL!B37</f>
        <v>2301271</v>
      </c>
      <c r="C38" s="98" t="str">
        <f>OVERALL!C37</f>
        <v>Sudip Sunar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>
        <v>18</v>
      </c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9">
        <v>33</v>
      </c>
      <c r="BE38" s="99">
        <f t="shared" si="10"/>
        <v>33</v>
      </c>
      <c r="BF38" s="96"/>
      <c r="BG38" s="100">
        <f t="shared" si="11"/>
        <v>33</v>
      </c>
      <c r="BH38" s="88">
        <v>48</v>
      </c>
      <c r="BI38" s="101">
        <f t="shared" si="2"/>
        <v>0.6875</v>
      </c>
      <c r="BJ38" s="374"/>
      <c r="BK38" s="105">
        <f>OVERALL!A33</f>
        <v>30</v>
      </c>
      <c r="BL38" s="105">
        <f>OVERALL!B33</f>
        <v>2301267</v>
      </c>
      <c r="BM38" s="106" t="str">
        <f>OVERALL!C33</f>
        <v>Shivam Kumar Chaubey</v>
      </c>
      <c r="BN38" s="107">
        <f t="shared" si="3"/>
        <v>48</v>
      </c>
      <c r="BO38" s="108">
        <f t="shared" si="4"/>
        <v>40</v>
      </c>
      <c r="BP38" s="108">
        <f t="shared" si="5"/>
        <v>83.333333333333343</v>
      </c>
      <c r="BQ38" s="107" t="str">
        <f t="shared" si="6"/>
        <v>3</v>
      </c>
      <c r="BR38" s="115">
        <v>13</v>
      </c>
      <c r="BS38" s="107">
        <f t="shared" si="13"/>
        <v>4.4000000000000004</v>
      </c>
      <c r="BT38" s="110">
        <v>11</v>
      </c>
      <c r="BU38" s="107">
        <f t="shared" si="7"/>
        <v>12</v>
      </c>
      <c r="BV38" s="107">
        <v>8</v>
      </c>
      <c r="BW38" s="107">
        <v>9</v>
      </c>
      <c r="BX38" s="107">
        <v>8</v>
      </c>
      <c r="BY38" s="108">
        <f t="shared" si="8"/>
        <v>8.3333333333333339</v>
      </c>
      <c r="BZ38" s="108"/>
      <c r="CA38" s="111">
        <f t="shared" si="9"/>
        <v>23</v>
      </c>
      <c r="CB38" s="112"/>
    </row>
    <row r="39" spans="1:80" ht="15.75" customHeight="1">
      <c r="A39" s="97">
        <f>OVERALL!A38</f>
        <v>35</v>
      </c>
      <c r="B39" s="97">
        <f>OVERALL!B38</f>
        <v>2301272</v>
      </c>
      <c r="C39" s="98" t="str">
        <f>OVERALL!C38</f>
        <v>Sujal Sharma</v>
      </c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>
        <v>1</v>
      </c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9">
        <v>1</v>
      </c>
      <c r="BE39" s="99">
        <f t="shared" si="10"/>
        <v>1</v>
      </c>
      <c r="BF39" s="96"/>
      <c r="BG39" s="100">
        <f t="shared" si="11"/>
        <v>1</v>
      </c>
      <c r="BH39" s="88">
        <v>48</v>
      </c>
      <c r="BI39" s="101">
        <f t="shared" si="2"/>
        <v>2.0833333333333332E-2</v>
      </c>
      <c r="BJ39" s="374"/>
      <c r="BK39" s="105">
        <f>OVERALL!A34</f>
        <v>31</v>
      </c>
      <c r="BL39" s="105">
        <f>OVERALL!B34</f>
        <v>2301268</v>
      </c>
      <c r="BM39" s="106" t="str">
        <f>OVERALL!C34</f>
        <v>Simba Godfrey</v>
      </c>
      <c r="BN39" s="107">
        <f t="shared" si="3"/>
        <v>48</v>
      </c>
      <c r="BO39" s="108">
        <f t="shared" si="4"/>
        <v>24</v>
      </c>
      <c r="BP39" s="108">
        <f t="shared" si="5"/>
        <v>50</v>
      </c>
      <c r="BQ39" s="107" t="str">
        <f t="shared" si="6"/>
        <v>0</v>
      </c>
      <c r="BR39" s="115">
        <v>11</v>
      </c>
      <c r="BS39" s="107">
        <f t="shared" si="13"/>
        <v>5.6</v>
      </c>
      <c r="BT39" s="110">
        <v>14</v>
      </c>
      <c r="BU39" s="107">
        <f t="shared" si="7"/>
        <v>12.5</v>
      </c>
      <c r="BV39" s="107">
        <v>8</v>
      </c>
      <c r="BW39" s="107">
        <v>9</v>
      </c>
      <c r="BX39" s="107">
        <v>9</v>
      </c>
      <c r="BY39" s="108">
        <f t="shared" si="8"/>
        <v>8.6666666666666661</v>
      </c>
      <c r="BZ39" s="108"/>
      <c r="CA39" s="111">
        <f t="shared" si="9"/>
        <v>21</v>
      </c>
      <c r="CB39" s="112"/>
    </row>
    <row r="40" spans="1:80" ht="15.75" customHeight="1">
      <c r="A40" s="97">
        <f>OVERALL!A39</f>
        <v>36</v>
      </c>
      <c r="B40" s="97">
        <f>OVERALL!B39</f>
        <v>2301273</v>
      </c>
      <c r="C40" s="98" t="str">
        <f>OVERALL!C39</f>
        <v>Sukhraj Singh</v>
      </c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>
        <v>15</v>
      </c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9">
        <v>19</v>
      </c>
      <c r="BE40" s="99">
        <f t="shared" si="10"/>
        <v>19</v>
      </c>
      <c r="BF40" s="96"/>
      <c r="BG40" s="100">
        <f t="shared" si="11"/>
        <v>19</v>
      </c>
      <c r="BH40" s="88">
        <v>48</v>
      </c>
      <c r="BI40" s="101">
        <f t="shared" si="2"/>
        <v>0.39583333333333331</v>
      </c>
      <c r="BJ40" s="374"/>
      <c r="BK40" s="105">
        <f>OVERALL!A35</f>
        <v>32</v>
      </c>
      <c r="BL40" s="105">
        <f>OVERALL!B35</f>
        <v>2301269</v>
      </c>
      <c r="BM40" s="106" t="str">
        <f>OVERALL!C35</f>
        <v>Simran Kaur</v>
      </c>
      <c r="BN40" s="107">
        <f t="shared" si="3"/>
        <v>48</v>
      </c>
      <c r="BO40" s="108">
        <f t="shared" si="4"/>
        <v>35</v>
      </c>
      <c r="BP40" s="108">
        <f t="shared" si="5"/>
        <v>72.916666666666671</v>
      </c>
      <c r="BQ40" s="107" t="str">
        <f t="shared" si="6"/>
        <v>0</v>
      </c>
      <c r="BR40" s="115">
        <v>19</v>
      </c>
      <c r="BS40" s="107">
        <f t="shared" si="13"/>
        <v>6.8</v>
      </c>
      <c r="BT40" s="110">
        <v>17</v>
      </c>
      <c r="BU40" s="107">
        <f t="shared" si="7"/>
        <v>18</v>
      </c>
      <c r="BV40" s="107">
        <v>7</v>
      </c>
      <c r="BW40" s="107">
        <v>8</v>
      </c>
      <c r="BX40" s="107">
        <v>9</v>
      </c>
      <c r="BY40" s="108">
        <f t="shared" si="8"/>
        <v>8</v>
      </c>
      <c r="BZ40" s="108"/>
      <c r="CA40" s="111">
        <f t="shared" si="9"/>
        <v>26</v>
      </c>
      <c r="CB40" s="112"/>
    </row>
    <row r="41" spans="1:80" ht="15.75" customHeight="1">
      <c r="A41" s="97">
        <f>OVERALL!A40</f>
        <v>37</v>
      </c>
      <c r="B41" s="97">
        <f>OVERALL!B40</f>
        <v>2301274</v>
      </c>
      <c r="C41" s="98" t="str">
        <f>OVERALL!C40</f>
        <v>Sukhreet Kaur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>
        <v>27</v>
      </c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9">
        <v>27</v>
      </c>
      <c r="BE41" s="99">
        <f t="shared" si="10"/>
        <v>27</v>
      </c>
      <c r="BF41" s="96"/>
      <c r="BG41" s="100">
        <f t="shared" si="11"/>
        <v>27</v>
      </c>
      <c r="BH41" s="88">
        <v>48</v>
      </c>
      <c r="BI41" s="101">
        <f t="shared" si="2"/>
        <v>0.5625</v>
      </c>
      <c r="BJ41" s="374"/>
      <c r="BK41" s="105">
        <f>OVERALL!A36</f>
        <v>33</v>
      </c>
      <c r="BL41" s="105">
        <f>OVERALL!B36</f>
        <v>2301270</v>
      </c>
      <c r="BM41" s="106" t="str">
        <f>OVERALL!C36</f>
        <v>Simranjit Singh</v>
      </c>
      <c r="BN41" s="107">
        <f t="shared" si="3"/>
        <v>48</v>
      </c>
      <c r="BO41" s="108">
        <f t="shared" si="4"/>
        <v>32</v>
      </c>
      <c r="BP41" s="108">
        <f t="shared" si="5"/>
        <v>66.666666666666671</v>
      </c>
      <c r="BQ41" s="107" t="str">
        <f t="shared" si="6"/>
        <v>0</v>
      </c>
      <c r="BR41" s="116">
        <v>0</v>
      </c>
      <c r="BS41" s="107">
        <f t="shared" si="13"/>
        <v>0</v>
      </c>
      <c r="BT41" s="116">
        <v>0</v>
      </c>
      <c r="BU41" s="107">
        <f t="shared" si="7"/>
        <v>0</v>
      </c>
      <c r="BV41" s="107">
        <v>8</v>
      </c>
      <c r="BW41" s="107">
        <v>8</v>
      </c>
      <c r="BX41" s="107">
        <v>0</v>
      </c>
      <c r="BY41" s="108">
        <f t="shared" si="8"/>
        <v>5.333333333333333</v>
      </c>
      <c r="BZ41" s="108"/>
      <c r="CA41" s="111">
        <f t="shared" si="9"/>
        <v>5</v>
      </c>
      <c r="CB41" s="112"/>
    </row>
    <row r="42" spans="1:80" ht="15.75" customHeight="1">
      <c r="A42" s="97">
        <f>OVERALL!A41</f>
        <v>38</v>
      </c>
      <c r="B42" s="97">
        <f>OVERALL!B41</f>
        <v>2301275</v>
      </c>
      <c r="C42" s="98" t="str">
        <f>OVERALL!C41</f>
        <v>Suman Krishna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>
        <v>17</v>
      </c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9">
        <v>33</v>
      </c>
      <c r="BE42" s="99">
        <f t="shared" si="10"/>
        <v>33</v>
      </c>
      <c r="BF42" s="96"/>
      <c r="BG42" s="100">
        <f t="shared" si="11"/>
        <v>33</v>
      </c>
      <c r="BH42" s="88">
        <v>48</v>
      </c>
      <c r="BI42" s="101">
        <f t="shared" si="2"/>
        <v>0.6875</v>
      </c>
      <c r="BJ42" s="374"/>
      <c r="BK42" s="105">
        <f>OVERALL!A37</f>
        <v>34</v>
      </c>
      <c r="BL42" s="105">
        <f>OVERALL!B37</f>
        <v>2301271</v>
      </c>
      <c r="BM42" s="106" t="str">
        <f>OVERALL!C37</f>
        <v>Sudip Sunar</v>
      </c>
      <c r="BN42" s="107">
        <f t="shared" si="3"/>
        <v>48</v>
      </c>
      <c r="BO42" s="108">
        <f t="shared" si="4"/>
        <v>33</v>
      </c>
      <c r="BP42" s="108">
        <f t="shared" si="5"/>
        <v>68.75</v>
      </c>
      <c r="BQ42" s="107" t="str">
        <f t="shared" si="6"/>
        <v>0</v>
      </c>
      <c r="BR42" s="115">
        <v>14</v>
      </c>
      <c r="BS42" s="107">
        <f t="shared" si="13"/>
        <v>4.8</v>
      </c>
      <c r="BT42" s="110">
        <v>12</v>
      </c>
      <c r="BU42" s="107">
        <f t="shared" si="7"/>
        <v>13</v>
      </c>
      <c r="BV42" s="107">
        <v>8</v>
      </c>
      <c r="BW42" s="107">
        <v>9</v>
      </c>
      <c r="BX42" s="107">
        <v>8</v>
      </c>
      <c r="BY42" s="108">
        <f t="shared" si="8"/>
        <v>8.3333333333333339</v>
      </c>
      <c r="BZ42" s="108"/>
      <c r="CA42" s="111">
        <f t="shared" si="9"/>
        <v>21</v>
      </c>
      <c r="CB42" s="112"/>
    </row>
    <row r="43" spans="1:80" ht="15.75" customHeight="1">
      <c r="A43" s="97">
        <f>OVERALL!A42</f>
        <v>39</v>
      </c>
      <c r="B43" s="97">
        <f>OVERALL!B42</f>
        <v>2301276</v>
      </c>
      <c r="C43" s="98" t="str">
        <f>OVERALL!C42</f>
        <v>Sumanyu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>
        <v>0</v>
      </c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9">
        <v>0</v>
      </c>
      <c r="BE43" s="99">
        <f t="shared" si="10"/>
        <v>0</v>
      </c>
      <c r="BF43" s="96"/>
      <c r="BG43" s="100">
        <f t="shared" si="11"/>
        <v>0</v>
      </c>
      <c r="BH43" s="88">
        <v>48</v>
      </c>
      <c r="BI43" s="101">
        <f t="shared" si="2"/>
        <v>0</v>
      </c>
      <c r="BJ43" s="374"/>
      <c r="BK43" s="105">
        <f>OVERALL!A38</f>
        <v>35</v>
      </c>
      <c r="BL43" s="105">
        <f>OVERALL!B38</f>
        <v>2301272</v>
      </c>
      <c r="BM43" s="106" t="str">
        <f>OVERALL!C38</f>
        <v>Sujal Sharma</v>
      </c>
      <c r="BN43" s="107">
        <f t="shared" si="3"/>
        <v>48</v>
      </c>
      <c r="BO43" s="108">
        <f t="shared" si="4"/>
        <v>1</v>
      </c>
      <c r="BP43" s="108">
        <f t="shared" si="5"/>
        <v>2.0833333333333335</v>
      </c>
      <c r="BQ43" s="107" t="str">
        <f t="shared" si="6"/>
        <v>0</v>
      </c>
      <c r="BR43" s="116">
        <v>0</v>
      </c>
      <c r="BS43" s="107">
        <f t="shared" si="13"/>
        <v>0</v>
      </c>
      <c r="BT43" s="116">
        <v>0</v>
      </c>
      <c r="BU43" s="107">
        <f t="shared" si="7"/>
        <v>0</v>
      </c>
      <c r="BV43" s="107">
        <v>9</v>
      </c>
      <c r="BW43" s="107">
        <v>0</v>
      </c>
      <c r="BX43" s="107">
        <v>0</v>
      </c>
      <c r="BY43" s="108">
        <f t="shared" si="8"/>
        <v>3</v>
      </c>
      <c r="BZ43" s="108"/>
      <c r="CA43" s="111">
        <f t="shared" si="9"/>
        <v>3</v>
      </c>
      <c r="CB43" s="112"/>
    </row>
    <row r="44" spans="1:80" ht="15.75" customHeight="1">
      <c r="A44" s="97">
        <f>OVERALL!A43</f>
        <v>40</v>
      </c>
      <c r="B44" s="97">
        <f>OVERALL!B43</f>
        <v>2301277</v>
      </c>
      <c r="C44" s="98" t="str">
        <f>OVERALL!C43</f>
        <v>Tamana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>
        <v>18</v>
      </c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9">
        <v>22</v>
      </c>
      <c r="BE44" s="99">
        <f t="shared" si="10"/>
        <v>22</v>
      </c>
      <c r="BF44" s="96"/>
      <c r="BG44" s="100">
        <f t="shared" si="11"/>
        <v>22</v>
      </c>
      <c r="BH44" s="88">
        <v>48</v>
      </c>
      <c r="BI44" s="101">
        <f t="shared" si="2"/>
        <v>0.45833333333333331</v>
      </c>
      <c r="BJ44" s="374"/>
      <c r="BK44" s="105">
        <f>OVERALL!A39</f>
        <v>36</v>
      </c>
      <c r="BL44" s="105">
        <f>OVERALL!B39</f>
        <v>2301273</v>
      </c>
      <c r="BM44" s="106" t="str">
        <f>OVERALL!C39</f>
        <v>Sukhraj Singh</v>
      </c>
      <c r="BN44" s="107">
        <f t="shared" si="3"/>
        <v>48</v>
      </c>
      <c r="BO44" s="108">
        <f t="shared" si="4"/>
        <v>19</v>
      </c>
      <c r="BP44" s="108">
        <f t="shared" si="5"/>
        <v>39.583333333333336</v>
      </c>
      <c r="BQ44" s="107" t="str">
        <f t="shared" si="6"/>
        <v>0</v>
      </c>
      <c r="BR44" s="115">
        <v>12</v>
      </c>
      <c r="BS44" s="107">
        <f t="shared" si="13"/>
        <v>4</v>
      </c>
      <c r="BT44" s="110">
        <v>10</v>
      </c>
      <c r="BU44" s="107">
        <f t="shared" si="7"/>
        <v>11</v>
      </c>
      <c r="BV44" s="107">
        <v>0</v>
      </c>
      <c r="BW44" s="107">
        <v>8</v>
      </c>
      <c r="BX44" s="107">
        <v>0</v>
      </c>
      <c r="BY44" s="108">
        <f t="shared" si="8"/>
        <v>2.6666666666666665</v>
      </c>
      <c r="BZ44" s="108"/>
      <c r="CA44" s="111">
        <f t="shared" si="9"/>
        <v>14</v>
      </c>
      <c r="CB44" s="112"/>
    </row>
    <row r="45" spans="1:80" ht="15.75" customHeight="1">
      <c r="A45" s="97">
        <f>OVERALL!A44</f>
        <v>41</v>
      </c>
      <c r="B45" s="97">
        <f>OVERALL!B44</f>
        <v>2301278</v>
      </c>
      <c r="C45" s="98" t="str">
        <f>OVERALL!C44</f>
        <v>Tamana Farooq Khanday</v>
      </c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>
        <v>14</v>
      </c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9">
        <v>18</v>
      </c>
      <c r="BE45" s="99">
        <f t="shared" si="10"/>
        <v>18</v>
      </c>
      <c r="BF45" s="96"/>
      <c r="BG45" s="100">
        <f t="shared" si="11"/>
        <v>18</v>
      </c>
      <c r="BH45" s="88">
        <v>48</v>
      </c>
      <c r="BI45" s="101">
        <f t="shared" si="2"/>
        <v>0.375</v>
      </c>
      <c r="BJ45" s="374"/>
      <c r="BK45" s="105">
        <f>OVERALL!A40</f>
        <v>37</v>
      </c>
      <c r="BL45" s="105">
        <f>OVERALL!B40</f>
        <v>2301274</v>
      </c>
      <c r="BM45" s="106" t="str">
        <f>OVERALL!C40</f>
        <v>Sukhreet Kaur</v>
      </c>
      <c r="BN45" s="107">
        <f t="shared" si="3"/>
        <v>48</v>
      </c>
      <c r="BO45" s="108">
        <f t="shared" si="4"/>
        <v>27</v>
      </c>
      <c r="BP45" s="108">
        <f t="shared" si="5"/>
        <v>56.25</v>
      </c>
      <c r="BQ45" s="107" t="str">
        <f t="shared" si="6"/>
        <v>0</v>
      </c>
      <c r="BR45" s="115">
        <v>13</v>
      </c>
      <c r="BS45" s="119">
        <v>13</v>
      </c>
      <c r="BT45" s="120">
        <v>13</v>
      </c>
      <c r="BU45" s="107">
        <f t="shared" si="7"/>
        <v>13</v>
      </c>
      <c r="BV45" s="107">
        <v>6</v>
      </c>
      <c r="BW45" s="107">
        <v>8</v>
      </c>
      <c r="BX45" s="107">
        <v>9</v>
      </c>
      <c r="BY45" s="108">
        <f t="shared" si="8"/>
        <v>7.666666666666667</v>
      </c>
      <c r="BZ45" s="108"/>
      <c r="CA45" s="111">
        <f t="shared" si="9"/>
        <v>21</v>
      </c>
      <c r="CB45" s="112"/>
    </row>
    <row r="46" spans="1:80" ht="15.75" customHeight="1">
      <c r="A46" s="97">
        <f>OVERALL!A45</f>
        <v>42</v>
      </c>
      <c r="B46" s="97">
        <f>OVERALL!B45</f>
        <v>2301279</v>
      </c>
      <c r="C46" s="98" t="str">
        <f>OVERALL!C45</f>
        <v>Tania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>
        <v>25</v>
      </c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96"/>
      <c r="BD46" s="114">
        <v>36</v>
      </c>
      <c r="BE46" s="99">
        <f t="shared" si="10"/>
        <v>36</v>
      </c>
      <c r="BF46" s="96"/>
      <c r="BG46" s="100">
        <f t="shared" si="11"/>
        <v>36</v>
      </c>
      <c r="BH46" s="88">
        <v>48</v>
      </c>
      <c r="BI46" s="101">
        <f t="shared" si="2"/>
        <v>0.75</v>
      </c>
      <c r="BJ46" s="374"/>
      <c r="BK46" s="105">
        <f>OVERALL!A41</f>
        <v>38</v>
      </c>
      <c r="BL46" s="105">
        <f>OVERALL!B41</f>
        <v>2301275</v>
      </c>
      <c r="BM46" s="106" t="str">
        <f>OVERALL!C41</f>
        <v>Suman Krishna</v>
      </c>
      <c r="BN46" s="107">
        <f t="shared" si="3"/>
        <v>48</v>
      </c>
      <c r="BO46" s="108">
        <f t="shared" si="4"/>
        <v>33</v>
      </c>
      <c r="BP46" s="108">
        <f t="shared" si="5"/>
        <v>68.75</v>
      </c>
      <c r="BQ46" s="107" t="str">
        <f t="shared" si="6"/>
        <v>0</v>
      </c>
      <c r="BR46" s="115">
        <v>14</v>
      </c>
      <c r="BS46" s="107">
        <f t="shared" ref="BS46:BS56" si="14">BT46/2.5</f>
        <v>4.4000000000000004</v>
      </c>
      <c r="BT46" s="110">
        <v>11</v>
      </c>
      <c r="BU46" s="107">
        <f t="shared" si="7"/>
        <v>12.5</v>
      </c>
      <c r="BV46" s="107">
        <v>8</v>
      </c>
      <c r="BW46" s="107">
        <v>9</v>
      </c>
      <c r="BX46" s="107">
        <v>9</v>
      </c>
      <c r="BY46" s="108">
        <f t="shared" si="8"/>
        <v>8.6666666666666661</v>
      </c>
      <c r="BZ46" s="108"/>
      <c r="CA46" s="111">
        <f t="shared" si="9"/>
        <v>21</v>
      </c>
      <c r="CB46" s="112"/>
    </row>
    <row r="47" spans="1:80" ht="15.75" customHeight="1">
      <c r="A47" s="97">
        <f>OVERALL!A46</f>
        <v>43</v>
      </c>
      <c r="B47" s="97">
        <f>OVERALL!B46</f>
        <v>2301280</v>
      </c>
      <c r="C47" s="98" t="str">
        <f>OVERALL!C46</f>
        <v>Taniya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>
        <v>12</v>
      </c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96"/>
      <c r="BD47" s="114">
        <v>16</v>
      </c>
      <c r="BE47" s="99">
        <f t="shared" si="10"/>
        <v>16</v>
      </c>
      <c r="BF47" s="96"/>
      <c r="BG47" s="100">
        <f t="shared" si="11"/>
        <v>16</v>
      </c>
      <c r="BH47" s="88">
        <v>48</v>
      </c>
      <c r="BI47" s="101">
        <f t="shared" si="2"/>
        <v>0.33333333333333331</v>
      </c>
      <c r="BJ47" s="374"/>
      <c r="BK47" s="105">
        <f>OVERALL!A42</f>
        <v>39</v>
      </c>
      <c r="BL47" s="105">
        <f>OVERALL!B42</f>
        <v>2301276</v>
      </c>
      <c r="BM47" s="106" t="str">
        <f>OVERALL!C42</f>
        <v>Sumanyu</v>
      </c>
      <c r="BN47" s="107">
        <f t="shared" si="3"/>
        <v>48</v>
      </c>
      <c r="BO47" s="108">
        <f t="shared" si="4"/>
        <v>0</v>
      </c>
      <c r="BP47" s="108">
        <f t="shared" si="5"/>
        <v>0</v>
      </c>
      <c r="BQ47" s="107" t="str">
        <f t="shared" si="6"/>
        <v>0</v>
      </c>
      <c r="BR47" s="116">
        <v>0</v>
      </c>
      <c r="BS47" s="107">
        <f t="shared" si="14"/>
        <v>0</v>
      </c>
      <c r="BT47" s="116">
        <v>0</v>
      </c>
      <c r="BU47" s="107">
        <f t="shared" si="7"/>
        <v>0</v>
      </c>
      <c r="BV47" s="107">
        <v>0</v>
      </c>
      <c r="BW47" s="107">
        <v>0</v>
      </c>
      <c r="BX47" s="107">
        <v>0</v>
      </c>
      <c r="BY47" s="108">
        <f t="shared" si="8"/>
        <v>0</v>
      </c>
      <c r="BZ47" s="108"/>
      <c r="CA47" s="111">
        <f t="shared" si="9"/>
        <v>0</v>
      </c>
      <c r="CB47" s="112"/>
    </row>
    <row r="48" spans="1:80" ht="15.75" customHeight="1">
      <c r="A48" s="97">
        <f>OVERALL!A47</f>
        <v>44</v>
      </c>
      <c r="B48" s="97">
        <f>OVERALL!B47</f>
        <v>2301281</v>
      </c>
      <c r="C48" s="98" t="str">
        <f>OVERALL!C47</f>
        <v>Taziko Trakha</v>
      </c>
      <c r="D48" s="121"/>
      <c r="E48" s="121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>
        <v>17</v>
      </c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96"/>
      <c r="BD48" s="114">
        <v>25</v>
      </c>
      <c r="BE48" s="99">
        <f t="shared" si="10"/>
        <v>25</v>
      </c>
      <c r="BF48" s="96">
        <v>6</v>
      </c>
      <c r="BG48" s="100">
        <f t="shared" si="11"/>
        <v>31</v>
      </c>
      <c r="BH48" s="88">
        <v>48</v>
      </c>
      <c r="BI48" s="101">
        <f t="shared" si="2"/>
        <v>0.64583333333333337</v>
      </c>
      <c r="BJ48" s="374"/>
      <c r="BK48" s="105">
        <f>OVERALL!A43</f>
        <v>40</v>
      </c>
      <c r="BL48" s="105">
        <f>OVERALL!B43</f>
        <v>2301277</v>
      </c>
      <c r="BM48" s="106" t="str">
        <f>OVERALL!C43</f>
        <v>Tamana</v>
      </c>
      <c r="BN48" s="107">
        <f t="shared" si="3"/>
        <v>48</v>
      </c>
      <c r="BO48" s="108">
        <f t="shared" si="4"/>
        <v>22</v>
      </c>
      <c r="BP48" s="108">
        <f t="shared" si="5"/>
        <v>45.833333333333336</v>
      </c>
      <c r="BQ48" s="107" t="str">
        <f t="shared" si="6"/>
        <v>0</v>
      </c>
      <c r="BR48" s="115">
        <v>15</v>
      </c>
      <c r="BS48" s="107">
        <f t="shared" si="14"/>
        <v>6</v>
      </c>
      <c r="BT48" s="110">
        <v>15</v>
      </c>
      <c r="BU48" s="107">
        <f t="shared" si="7"/>
        <v>15</v>
      </c>
      <c r="BV48" s="107">
        <v>7</v>
      </c>
      <c r="BW48" s="107">
        <v>9</v>
      </c>
      <c r="BX48" s="107">
        <v>8</v>
      </c>
      <c r="BY48" s="108">
        <f t="shared" si="8"/>
        <v>8</v>
      </c>
      <c r="BZ48" s="108"/>
      <c r="CA48" s="111">
        <f t="shared" si="9"/>
        <v>23</v>
      </c>
      <c r="CB48" s="112"/>
    </row>
    <row r="49" spans="1:80" ht="15.75" customHeight="1">
      <c r="A49" s="122">
        <v>45</v>
      </c>
      <c r="B49" s="97">
        <f>OVERALL!B48</f>
        <v>2301282</v>
      </c>
      <c r="C49" s="98" t="str">
        <f>OVERALL!C48</f>
        <v>Uday Kumar</v>
      </c>
      <c r="D49" s="113"/>
      <c r="E49" s="113"/>
      <c r="F49" s="12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>
        <v>7</v>
      </c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96"/>
      <c r="BD49" s="114">
        <v>7</v>
      </c>
      <c r="BE49" s="99">
        <f t="shared" si="10"/>
        <v>7</v>
      </c>
      <c r="BF49" s="96"/>
      <c r="BG49" s="100">
        <f t="shared" si="11"/>
        <v>7</v>
      </c>
      <c r="BH49" s="88">
        <v>48</v>
      </c>
      <c r="BI49" s="101">
        <f t="shared" si="2"/>
        <v>0.14583333333333334</v>
      </c>
      <c r="BJ49" s="374"/>
      <c r="BK49" s="105">
        <f>OVERALL!A44</f>
        <v>41</v>
      </c>
      <c r="BL49" s="105">
        <f>OVERALL!B44</f>
        <v>2301278</v>
      </c>
      <c r="BM49" s="106" t="str">
        <f>OVERALL!C44</f>
        <v>Tamana Farooq Khanday</v>
      </c>
      <c r="BN49" s="107">
        <f t="shared" si="3"/>
        <v>48</v>
      </c>
      <c r="BO49" s="108">
        <f t="shared" si="4"/>
        <v>18</v>
      </c>
      <c r="BP49" s="108">
        <f t="shared" si="5"/>
        <v>37.5</v>
      </c>
      <c r="BQ49" s="107" t="str">
        <f t="shared" si="6"/>
        <v>0</v>
      </c>
      <c r="BR49" s="115">
        <v>12</v>
      </c>
      <c r="BS49" s="107">
        <f t="shared" si="14"/>
        <v>5.6</v>
      </c>
      <c r="BT49" s="110">
        <v>14</v>
      </c>
      <c r="BU49" s="107">
        <f t="shared" si="7"/>
        <v>13</v>
      </c>
      <c r="BV49" s="107">
        <v>9</v>
      </c>
      <c r="BW49" s="107">
        <v>8</v>
      </c>
      <c r="BX49" s="107">
        <v>8</v>
      </c>
      <c r="BY49" s="108">
        <f t="shared" si="8"/>
        <v>8.3333333333333339</v>
      </c>
      <c r="BZ49" s="108"/>
      <c r="CA49" s="111">
        <f t="shared" si="9"/>
        <v>21</v>
      </c>
      <c r="CB49" s="112"/>
    </row>
    <row r="50" spans="1:80" ht="15.75" customHeight="1">
      <c r="A50" s="122">
        <v>46</v>
      </c>
      <c r="B50" s="97">
        <f>OVERALL!B49</f>
        <v>2301283</v>
      </c>
      <c r="C50" s="98" t="str">
        <f>OVERALL!C49</f>
        <v>Vaibhav Shahi</v>
      </c>
      <c r="D50" s="96"/>
      <c r="E50" s="96"/>
      <c r="F50" s="103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>
        <v>11</v>
      </c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9">
        <v>13</v>
      </c>
      <c r="BE50" s="99">
        <f t="shared" si="10"/>
        <v>13</v>
      </c>
      <c r="BF50" s="96"/>
      <c r="BG50" s="100">
        <f t="shared" si="11"/>
        <v>13</v>
      </c>
      <c r="BH50" s="88">
        <v>48</v>
      </c>
      <c r="BI50" s="101">
        <f t="shared" si="2"/>
        <v>0.27083333333333331</v>
      </c>
      <c r="BJ50" s="374"/>
      <c r="BK50" s="105">
        <f>OVERALL!A45</f>
        <v>42</v>
      </c>
      <c r="BL50" s="105">
        <f>OVERALL!B45</f>
        <v>2301279</v>
      </c>
      <c r="BM50" s="106" t="str">
        <f>OVERALL!C45</f>
        <v>Tania</v>
      </c>
      <c r="BN50" s="107">
        <f t="shared" si="3"/>
        <v>48</v>
      </c>
      <c r="BO50" s="108">
        <f t="shared" si="4"/>
        <v>36</v>
      </c>
      <c r="BP50" s="108">
        <f t="shared" si="5"/>
        <v>75</v>
      </c>
      <c r="BQ50" s="107" t="str">
        <f t="shared" si="6"/>
        <v>0</v>
      </c>
      <c r="BR50" s="115">
        <v>15</v>
      </c>
      <c r="BS50" s="107">
        <f t="shared" si="14"/>
        <v>4.4000000000000004</v>
      </c>
      <c r="BT50" s="110">
        <v>11</v>
      </c>
      <c r="BU50" s="107">
        <f t="shared" si="7"/>
        <v>13</v>
      </c>
      <c r="BV50" s="107">
        <v>8</v>
      </c>
      <c r="BW50" s="107">
        <v>9</v>
      </c>
      <c r="BX50" s="107">
        <v>8</v>
      </c>
      <c r="BY50" s="108">
        <f t="shared" si="8"/>
        <v>8.3333333333333339</v>
      </c>
      <c r="BZ50" s="108"/>
      <c r="CA50" s="111">
        <f t="shared" si="9"/>
        <v>21</v>
      </c>
      <c r="CB50" s="112"/>
    </row>
    <row r="51" spans="1:80" ht="15.75" customHeight="1">
      <c r="A51" s="122">
        <v>47</v>
      </c>
      <c r="B51" s="97">
        <f>OVERALL!B50</f>
        <v>2301284</v>
      </c>
      <c r="C51" s="98" t="str">
        <f>OVERALL!C50</f>
        <v>Vansh Kumar</v>
      </c>
      <c r="D51" s="96"/>
      <c r="E51" s="96"/>
      <c r="F51" s="103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>
        <v>0</v>
      </c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9">
        <v>0</v>
      </c>
      <c r="BE51" s="99">
        <f t="shared" si="10"/>
        <v>0</v>
      </c>
      <c r="BF51" s="96"/>
      <c r="BG51" s="100">
        <f t="shared" si="11"/>
        <v>0</v>
      </c>
      <c r="BH51" s="88">
        <v>48</v>
      </c>
      <c r="BI51" s="101">
        <f t="shared" si="2"/>
        <v>0</v>
      </c>
      <c r="BJ51" s="374"/>
      <c r="BK51" s="105">
        <f>OVERALL!A46</f>
        <v>43</v>
      </c>
      <c r="BL51" s="105">
        <f>OVERALL!B46</f>
        <v>2301280</v>
      </c>
      <c r="BM51" s="106" t="str">
        <f>OVERALL!C46</f>
        <v>Taniya</v>
      </c>
      <c r="BN51" s="107">
        <f t="shared" si="3"/>
        <v>48</v>
      </c>
      <c r="BO51" s="108">
        <f t="shared" si="4"/>
        <v>16</v>
      </c>
      <c r="BP51" s="108">
        <f t="shared" si="5"/>
        <v>33.333333333333336</v>
      </c>
      <c r="BQ51" s="107" t="str">
        <f t="shared" si="6"/>
        <v>0</v>
      </c>
      <c r="BR51" s="115">
        <v>14</v>
      </c>
      <c r="BS51" s="107">
        <f t="shared" si="14"/>
        <v>2.4</v>
      </c>
      <c r="BT51" s="110">
        <v>6</v>
      </c>
      <c r="BU51" s="107">
        <f t="shared" si="7"/>
        <v>10</v>
      </c>
      <c r="BV51" s="107">
        <v>8</v>
      </c>
      <c r="BW51" s="107">
        <v>9</v>
      </c>
      <c r="BX51" s="107">
        <v>7</v>
      </c>
      <c r="BY51" s="108">
        <f t="shared" si="8"/>
        <v>8</v>
      </c>
      <c r="BZ51" s="108"/>
      <c r="CA51" s="111">
        <f t="shared" si="9"/>
        <v>18</v>
      </c>
      <c r="CB51" s="112"/>
    </row>
    <row r="52" spans="1:80" ht="15.75" customHeight="1">
      <c r="A52" s="122">
        <v>48</v>
      </c>
      <c r="B52" s="97">
        <f>OVERALL!B51</f>
        <v>2301285</v>
      </c>
      <c r="C52" s="98" t="str">
        <f>OVERALL!C51</f>
        <v>Vansh Sharma</v>
      </c>
      <c r="D52" s="124"/>
      <c r="E52" s="124"/>
      <c r="F52" s="125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>
        <v>18</v>
      </c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6">
        <v>24</v>
      </c>
      <c r="BE52" s="99">
        <f t="shared" si="10"/>
        <v>24</v>
      </c>
      <c r="BF52" s="124"/>
      <c r="BG52" s="100">
        <f t="shared" si="11"/>
        <v>24</v>
      </c>
      <c r="BH52" s="88">
        <v>48</v>
      </c>
      <c r="BI52" s="101">
        <f t="shared" si="2"/>
        <v>0.5</v>
      </c>
      <c r="BJ52" s="374"/>
      <c r="BK52" s="105">
        <f>OVERALL!A47</f>
        <v>44</v>
      </c>
      <c r="BL52" s="105">
        <f>OVERALL!B47</f>
        <v>2301281</v>
      </c>
      <c r="BM52" s="106" t="str">
        <f>OVERALL!C47</f>
        <v>Taziko Trakha</v>
      </c>
      <c r="BN52" s="107">
        <f t="shared" si="3"/>
        <v>48</v>
      </c>
      <c r="BO52" s="108">
        <f t="shared" si="4"/>
        <v>31</v>
      </c>
      <c r="BP52" s="108">
        <f t="shared" si="5"/>
        <v>64.583333333333343</v>
      </c>
      <c r="BQ52" s="107" t="str">
        <f t="shared" si="6"/>
        <v>0</v>
      </c>
      <c r="BR52" s="127">
        <v>14</v>
      </c>
      <c r="BS52" s="128">
        <f t="shared" si="14"/>
        <v>2.4</v>
      </c>
      <c r="BT52" s="110">
        <v>6</v>
      </c>
      <c r="BU52" s="128">
        <f t="shared" si="7"/>
        <v>10</v>
      </c>
      <c r="BV52" s="128">
        <v>8</v>
      </c>
      <c r="BW52" s="128">
        <v>9</v>
      </c>
      <c r="BX52" s="128">
        <v>9</v>
      </c>
      <c r="BY52" s="129">
        <f t="shared" si="8"/>
        <v>8.6666666666666661</v>
      </c>
      <c r="BZ52" s="129"/>
      <c r="CA52" s="111">
        <f t="shared" si="9"/>
        <v>19</v>
      </c>
      <c r="CB52" s="112"/>
    </row>
    <row r="53" spans="1:80" ht="15.75" customHeight="1">
      <c r="A53" s="122">
        <v>49</v>
      </c>
      <c r="B53" s="97">
        <f>OVERALL!B52</f>
        <v>2301286</v>
      </c>
      <c r="C53" s="130" t="str">
        <f>OVERALL!C52</f>
        <v>Vikramjit Singh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>
        <v>3</v>
      </c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9">
        <v>3</v>
      </c>
      <c r="BE53" s="99">
        <f t="shared" si="10"/>
        <v>3</v>
      </c>
      <c r="BF53" s="96"/>
      <c r="BG53" s="100">
        <f t="shared" si="11"/>
        <v>3</v>
      </c>
      <c r="BH53" s="88">
        <v>48</v>
      </c>
      <c r="BI53" s="101">
        <f t="shared" si="2"/>
        <v>6.25E-2</v>
      </c>
      <c r="BJ53" s="374"/>
      <c r="BK53" s="105">
        <f>OVERALL!A48</f>
        <v>45</v>
      </c>
      <c r="BL53" s="105">
        <f>OVERALL!B48</f>
        <v>2301282</v>
      </c>
      <c r="BM53" s="106" t="str">
        <f>OVERALL!C48</f>
        <v>Uday Kumar</v>
      </c>
      <c r="BN53" s="107">
        <f t="shared" si="3"/>
        <v>48</v>
      </c>
      <c r="BO53" s="108">
        <f t="shared" si="4"/>
        <v>7</v>
      </c>
      <c r="BP53" s="108">
        <f t="shared" si="5"/>
        <v>14.583333333333334</v>
      </c>
      <c r="BQ53" s="131" t="str">
        <f t="shared" si="6"/>
        <v>0</v>
      </c>
      <c r="BR53" s="113">
        <v>10</v>
      </c>
      <c r="BS53" s="107">
        <f t="shared" si="14"/>
        <v>0.4</v>
      </c>
      <c r="BT53" s="110">
        <v>1</v>
      </c>
      <c r="BU53" s="107">
        <f t="shared" si="7"/>
        <v>5.5</v>
      </c>
      <c r="BV53" s="113">
        <v>8</v>
      </c>
      <c r="BW53" s="113">
        <v>0</v>
      </c>
      <c r="BX53" s="113">
        <v>0</v>
      </c>
      <c r="BY53" s="108">
        <f t="shared" si="8"/>
        <v>2.6666666666666665</v>
      </c>
      <c r="BZ53" s="132"/>
      <c r="CA53" s="133">
        <f t="shared" si="9"/>
        <v>8</v>
      </c>
      <c r="CB53" s="112"/>
    </row>
    <row r="54" spans="1:80" ht="15.75" customHeight="1">
      <c r="A54" s="122">
        <v>50</v>
      </c>
      <c r="B54" s="97">
        <f>OVERALL!B53</f>
        <v>2301287</v>
      </c>
      <c r="C54" s="130" t="str">
        <f>OVERALL!C53</f>
        <v>Vishavjit Singh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>
        <v>4</v>
      </c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9">
        <v>4</v>
      </c>
      <c r="BE54" s="99">
        <f t="shared" si="10"/>
        <v>4</v>
      </c>
      <c r="BF54" s="96"/>
      <c r="BG54" s="100">
        <f t="shared" si="11"/>
        <v>4</v>
      </c>
      <c r="BH54" s="88">
        <v>48</v>
      </c>
      <c r="BI54" s="101">
        <f t="shared" si="2"/>
        <v>8.3333333333333329E-2</v>
      </c>
      <c r="BJ54" s="24"/>
      <c r="BK54" s="105">
        <f>OVERALL!A49</f>
        <v>46</v>
      </c>
      <c r="BL54" s="105">
        <f>OVERALL!B49</f>
        <v>2301283</v>
      </c>
      <c r="BM54" s="106" t="str">
        <f>OVERALL!C49</f>
        <v>Vaibhav Shahi</v>
      </c>
      <c r="BN54" s="107">
        <f t="shared" si="3"/>
        <v>48</v>
      </c>
      <c r="BO54" s="108">
        <f t="shared" si="4"/>
        <v>13</v>
      </c>
      <c r="BP54" s="108">
        <f t="shared" si="5"/>
        <v>27.083333333333336</v>
      </c>
      <c r="BQ54" s="131" t="str">
        <f t="shared" si="6"/>
        <v>0</v>
      </c>
      <c r="BR54" s="113">
        <v>10</v>
      </c>
      <c r="BS54" s="107">
        <f t="shared" si="14"/>
        <v>5.6</v>
      </c>
      <c r="BT54" s="110">
        <v>14</v>
      </c>
      <c r="BU54" s="107">
        <f t="shared" si="7"/>
        <v>12</v>
      </c>
      <c r="BV54" s="113">
        <v>8</v>
      </c>
      <c r="BW54" s="113">
        <v>0</v>
      </c>
      <c r="BX54" s="113">
        <v>6</v>
      </c>
      <c r="BY54" s="108">
        <f t="shared" si="8"/>
        <v>4.666666666666667</v>
      </c>
      <c r="BZ54" s="132"/>
      <c r="CA54" s="133">
        <f t="shared" si="9"/>
        <v>17</v>
      </c>
      <c r="CB54" s="112"/>
    </row>
    <row r="55" spans="1:80" ht="15.75" customHeight="1">
      <c r="A55" s="122">
        <v>51</v>
      </c>
      <c r="B55" s="97">
        <f>OVERALL!B54</f>
        <v>2339508</v>
      </c>
      <c r="C55" s="130" t="str">
        <f>OVERALL!C54</f>
        <v>TANISHA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>
        <v>25</v>
      </c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9">
        <v>38</v>
      </c>
      <c r="BE55" s="99">
        <f t="shared" si="10"/>
        <v>38</v>
      </c>
      <c r="BF55" s="96"/>
      <c r="BG55" s="100">
        <f t="shared" si="11"/>
        <v>38</v>
      </c>
      <c r="BH55" s="88">
        <v>48</v>
      </c>
      <c r="BI55" s="101">
        <f t="shared" si="2"/>
        <v>0.79166666666666663</v>
      </c>
      <c r="BJ55" s="24"/>
      <c r="BK55" s="105">
        <f>OVERALL!A50</f>
        <v>47</v>
      </c>
      <c r="BL55" s="105">
        <f>OVERALL!B50</f>
        <v>2301284</v>
      </c>
      <c r="BM55" s="106" t="str">
        <f>OVERALL!C50</f>
        <v>Vansh Kumar</v>
      </c>
      <c r="BN55" s="107">
        <f t="shared" si="3"/>
        <v>48</v>
      </c>
      <c r="BO55" s="108">
        <f t="shared" si="4"/>
        <v>0</v>
      </c>
      <c r="BP55" s="108">
        <f t="shared" si="5"/>
        <v>0</v>
      </c>
      <c r="BQ55" s="131" t="str">
        <f t="shared" si="6"/>
        <v>0</v>
      </c>
      <c r="BR55" s="116">
        <v>0</v>
      </c>
      <c r="BS55" s="107">
        <f t="shared" si="14"/>
        <v>0</v>
      </c>
      <c r="BT55" s="116">
        <v>0</v>
      </c>
      <c r="BU55" s="107">
        <f t="shared" si="7"/>
        <v>0</v>
      </c>
      <c r="BV55" s="96">
        <v>0</v>
      </c>
      <c r="BW55" s="96">
        <v>0</v>
      </c>
      <c r="BX55" s="96">
        <v>0</v>
      </c>
      <c r="BY55" s="108">
        <f t="shared" si="8"/>
        <v>0</v>
      </c>
      <c r="BZ55" s="88"/>
      <c r="CA55" s="133">
        <f t="shared" si="9"/>
        <v>0</v>
      </c>
      <c r="CB55" s="112"/>
    </row>
    <row r="56" spans="1:80" ht="15.75" customHeight="1">
      <c r="A56" s="122">
        <v>52</v>
      </c>
      <c r="B56" s="97">
        <f>OVERALL!B55</f>
        <v>2339509</v>
      </c>
      <c r="C56" s="130" t="str">
        <f>OVERALL!C55</f>
        <v>TOHIED AHMED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>
        <v>0</v>
      </c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9">
        <v>0</v>
      </c>
      <c r="BE56" s="99">
        <f t="shared" si="10"/>
        <v>0</v>
      </c>
      <c r="BF56" s="96"/>
      <c r="BG56" s="100">
        <f t="shared" si="11"/>
        <v>0</v>
      </c>
      <c r="BH56" s="88">
        <v>48</v>
      </c>
      <c r="BI56" s="101">
        <f t="shared" si="2"/>
        <v>0</v>
      </c>
      <c r="BJ56" s="24"/>
      <c r="BK56" s="105">
        <f>OVERALL!A51</f>
        <v>48</v>
      </c>
      <c r="BL56" s="105">
        <f>OVERALL!B51</f>
        <v>2301285</v>
      </c>
      <c r="BM56" s="106" t="str">
        <f>OVERALL!C51</f>
        <v>Vansh Sharma</v>
      </c>
      <c r="BN56" s="107">
        <f t="shared" si="3"/>
        <v>48</v>
      </c>
      <c r="BO56" s="108">
        <f t="shared" si="4"/>
        <v>24</v>
      </c>
      <c r="BP56" s="108">
        <f t="shared" si="5"/>
        <v>50</v>
      </c>
      <c r="BQ56" s="131" t="str">
        <f t="shared" si="6"/>
        <v>0</v>
      </c>
      <c r="BR56" s="116">
        <v>0</v>
      </c>
      <c r="BS56" s="107">
        <f t="shared" si="14"/>
        <v>0</v>
      </c>
      <c r="BT56" s="116">
        <v>0</v>
      </c>
      <c r="BU56" s="107">
        <f t="shared" si="7"/>
        <v>0</v>
      </c>
      <c r="BV56" s="96">
        <v>7</v>
      </c>
      <c r="BW56" s="96">
        <v>9</v>
      </c>
      <c r="BX56" s="96">
        <v>5</v>
      </c>
      <c r="BY56" s="108">
        <f t="shared" si="8"/>
        <v>7</v>
      </c>
      <c r="BZ56" s="88"/>
      <c r="CA56" s="133">
        <f t="shared" si="9"/>
        <v>7</v>
      </c>
      <c r="CB56" s="112"/>
    </row>
    <row r="57" spans="1:80" ht="15.75" customHeight="1">
      <c r="A57" s="122">
        <v>53</v>
      </c>
      <c r="B57" s="97">
        <f>OVERALL!B56</f>
        <v>2301207</v>
      </c>
      <c r="C57" s="130" t="str">
        <f>OVERALL!C56</f>
        <v>Harsh thakur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>
        <v>0</v>
      </c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9">
        <v>0</v>
      </c>
      <c r="BE57" s="99">
        <f t="shared" si="10"/>
        <v>0</v>
      </c>
      <c r="BF57" s="96"/>
      <c r="BG57" s="100">
        <f t="shared" si="11"/>
        <v>0</v>
      </c>
      <c r="BH57" s="88">
        <v>48</v>
      </c>
      <c r="BI57" s="101">
        <f t="shared" si="2"/>
        <v>0</v>
      </c>
      <c r="BJ57" s="24"/>
      <c r="BK57" s="105">
        <f>OVERALL!A52</f>
        <v>49</v>
      </c>
      <c r="BL57" s="105">
        <f>OVERALL!B52</f>
        <v>2301286</v>
      </c>
      <c r="BM57" s="106" t="str">
        <f>OVERALL!C52</f>
        <v>Vikramjit Singh</v>
      </c>
      <c r="BN57" s="107">
        <f t="shared" si="3"/>
        <v>48</v>
      </c>
      <c r="BO57" s="108">
        <f t="shared" si="4"/>
        <v>3</v>
      </c>
      <c r="BP57" s="108">
        <f t="shared" si="5"/>
        <v>6.25</v>
      </c>
      <c r="BQ57" s="131" t="str">
        <f t="shared" si="6"/>
        <v>0</v>
      </c>
      <c r="BR57" s="116">
        <v>0</v>
      </c>
      <c r="BS57" s="107">
        <f t="shared" ref="BS57:BS59" si="15">BT62/2.5</f>
        <v>2.8</v>
      </c>
      <c r="BT57" s="116">
        <v>0</v>
      </c>
      <c r="BU57" s="107">
        <f t="shared" si="7"/>
        <v>0</v>
      </c>
      <c r="BV57" s="96">
        <v>0</v>
      </c>
      <c r="BW57" s="96">
        <v>0</v>
      </c>
      <c r="BX57" s="96">
        <v>0</v>
      </c>
      <c r="BY57" s="108">
        <f t="shared" si="8"/>
        <v>0</v>
      </c>
      <c r="BZ57" s="88"/>
      <c r="CA57" s="133">
        <f t="shared" si="9"/>
        <v>0</v>
      </c>
      <c r="CB57" s="112"/>
    </row>
    <row r="58" spans="1:80" ht="15.75" customHeight="1">
      <c r="A58" s="122">
        <v>54</v>
      </c>
      <c r="B58" s="97" t="str">
        <f>OVERALL!B57</f>
        <v>Leet</v>
      </c>
      <c r="C58" s="130" t="str">
        <f>OVERALL!C57</f>
        <v>Gagan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>
        <v>20</v>
      </c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9">
        <v>38</v>
      </c>
      <c r="BE58" s="99">
        <f t="shared" si="10"/>
        <v>38</v>
      </c>
      <c r="BF58" s="96"/>
      <c r="BG58" s="100">
        <f t="shared" si="11"/>
        <v>38</v>
      </c>
      <c r="BH58" s="88">
        <v>48</v>
      </c>
      <c r="BI58" s="101">
        <f t="shared" si="2"/>
        <v>0.79166666666666663</v>
      </c>
      <c r="BJ58" s="24"/>
      <c r="BK58" s="105">
        <f>OVERALL!A53</f>
        <v>50</v>
      </c>
      <c r="BL58" s="105">
        <f>OVERALL!B53</f>
        <v>2301287</v>
      </c>
      <c r="BM58" s="106" t="str">
        <f>OVERALL!C53</f>
        <v>Vishavjit Singh</v>
      </c>
      <c r="BN58" s="107">
        <f t="shared" si="3"/>
        <v>48</v>
      </c>
      <c r="BO58" s="108">
        <f t="shared" si="4"/>
        <v>4</v>
      </c>
      <c r="BP58" s="108">
        <f t="shared" si="5"/>
        <v>8.3333333333333339</v>
      </c>
      <c r="BQ58" s="131" t="str">
        <f t="shared" si="6"/>
        <v>0</v>
      </c>
      <c r="BR58" s="116">
        <v>0</v>
      </c>
      <c r="BS58" s="107">
        <f t="shared" si="15"/>
        <v>7.2</v>
      </c>
      <c r="BT58" s="116">
        <v>0</v>
      </c>
      <c r="BU58" s="107">
        <f t="shared" si="7"/>
        <v>0</v>
      </c>
      <c r="BV58" s="96">
        <v>0</v>
      </c>
      <c r="BW58" s="96">
        <v>0</v>
      </c>
      <c r="BX58" s="96">
        <v>0</v>
      </c>
      <c r="BY58" s="108">
        <f t="shared" si="8"/>
        <v>0</v>
      </c>
      <c r="BZ58" s="88"/>
      <c r="CA58" s="133">
        <f t="shared" si="9"/>
        <v>0</v>
      </c>
      <c r="CB58" s="112"/>
    </row>
    <row r="59" spans="1:80" ht="15.75" customHeight="1">
      <c r="A59" s="122">
        <v>55</v>
      </c>
      <c r="B59" s="97" t="str">
        <f>OVERALL!B58</f>
        <v>Leet</v>
      </c>
      <c r="C59" s="130" t="str">
        <f>OVERALL!C58</f>
        <v>Manisha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>
        <v>22</v>
      </c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9">
        <v>39</v>
      </c>
      <c r="BE59" s="99">
        <f t="shared" si="10"/>
        <v>39</v>
      </c>
      <c r="BF59" s="96"/>
      <c r="BG59" s="100">
        <f t="shared" si="11"/>
        <v>39</v>
      </c>
      <c r="BH59" s="88">
        <v>48</v>
      </c>
      <c r="BI59" s="101">
        <f t="shared" si="2"/>
        <v>0.8125</v>
      </c>
      <c r="BJ59" s="24"/>
      <c r="BK59" s="105">
        <f>OVERALL!A54</f>
        <v>51</v>
      </c>
      <c r="BL59" s="105">
        <f>OVERALL!B54</f>
        <v>2339508</v>
      </c>
      <c r="BM59" s="106" t="str">
        <f>OVERALL!C54</f>
        <v>TANISHA</v>
      </c>
      <c r="BN59" s="107">
        <f t="shared" si="3"/>
        <v>48</v>
      </c>
      <c r="BO59" s="108">
        <f t="shared" si="4"/>
        <v>38</v>
      </c>
      <c r="BP59" s="108">
        <f t="shared" si="5"/>
        <v>79.166666666666671</v>
      </c>
      <c r="BQ59" s="131" t="str">
        <f t="shared" si="6"/>
        <v>2</v>
      </c>
      <c r="BR59" s="116">
        <v>0</v>
      </c>
      <c r="BS59" s="107">
        <f t="shared" si="15"/>
        <v>8</v>
      </c>
      <c r="BT59" s="46">
        <v>10</v>
      </c>
      <c r="BU59" s="128">
        <f t="shared" si="7"/>
        <v>5</v>
      </c>
      <c r="BV59" s="96">
        <v>8</v>
      </c>
      <c r="BW59" s="96">
        <v>8</v>
      </c>
      <c r="BX59" s="96">
        <v>8</v>
      </c>
      <c r="BY59" s="108">
        <f t="shared" si="8"/>
        <v>8</v>
      </c>
      <c r="BZ59" s="88"/>
      <c r="CA59" s="133">
        <f t="shared" si="9"/>
        <v>15</v>
      </c>
      <c r="CB59" s="112"/>
    </row>
    <row r="60" spans="1:80" ht="15.75" customHeight="1">
      <c r="A60" s="122">
        <v>56</v>
      </c>
      <c r="B60" s="97" t="str">
        <f>OVERALL!B59</f>
        <v>Leet</v>
      </c>
      <c r="C60" s="130" t="str">
        <f>OVERALL!C59</f>
        <v>Richa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>
        <v>24</v>
      </c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9">
        <v>43</v>
      </c>
      <c r="BE60" s="99">
        <f t="shared" si="10"/>
        <v>43</v>
      </c>
      <c r="BF60" s="96"/>
      <c r="BG60" s="100">
        <f t="shared" si="11"/>
        <v>43</v>
      </c>
      <c r="BH60" s="88">
        <v>48</v>
      </c>
      <c r="BI60" s="101">
        <f t="shared" si="2"/>
        <v>0.89583333333333337</v>
      </c>
      <c r="BJ60" s="24"/>
      <c r="BK60" s="105">
        <f>OVERALL!A55</f>
        <v>52</v>
      </c>
      <c r="BL60" s="105">
        <f>OVERALL!B55</f>
        <v>2339509</v>
      </c>
      <c r="BM60" s="106" t="str">
        <f>OVERALL!C55</f>
        <v>TOHIED AHMED</v>
      </c>
      <c r="BN60" s="107">
        <f t="shared" si="3"/>
        <v>48</v>
      </c>
      <c r="BO60" s="108">
        <f t="shared" si="4"/>
        <v>0</v>
      </c>
      <c r="BP60" s="108">
        <f t="shared" si="5"/>
        <v>0</v>
      </c>
      <c r="BQ60" s="131" t="str">
        <f t="shared" si="6"/>
        <v>0</v>
      </c>
      <c r="BR60" s="116">
        <v>0</v>
      </c>
      <c r="BS60" s="107">
        <f t="shared" ref="BS60:BS65" si="16">BT60/2.5</f>
        <v>0</v>
      </c>
      <c r="BT60" s="116">
        <v>0</v>
      </c>
      <c r="BU60" s="107">
        <f t="shared" si="7"/>
        <v>0</v>
      </c>
      <c r="BV60" s="96">
        <v>0</v>
      </c>
      <c r="BW60" s="96">
        <v>0</v>
      </c>
      <c r="BX60" s="96">
        <v>0</v>
      </c>
      <c r="BY60" s="108">
        <f t="shared" si="8"/>
        <v>0</v>
      </c>
      <c r="BZ60" s="88"/>
      <c r="CA60" s="133">
        <f t="shared" si="9"/>
        <v>0</v>
      </c>
      <c r="CB60" s="112"/>
    </row>
    <row r="61" spans="1:80" ht="15.75" customHeight="1">
      <c r="A61" s="122">
        <v>57</v>
      </c>
      <c r="B61" s="97" t="str">
        <f>OVERALL!B60</f>
        <v>Leet</v>
      </c>
      <c r="C61" s="130" t="str">
        <f>OVERALL!C60</f>
        <v>Prakriti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>
        <v>14</v>
      </c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99">
        <v>33</v>
      </c>
      <c r="BE61" s="99">
        <f t="shared" si="10"/>
        <v>33</v>
      </c>
      <c r="BF61" s="40"/>
      <c r="BG61" s="100">
        <f t="shared" si="11"/>
        <v>33</v>
      </c>
      <c r="BH61" s="88">
        <v>33</v>
      </c>
      <c r="BI61" s="101">
        <f t="shared" si="2"/>
        <v>1</v>
      </c>
      <c r="BJ61" s="24"/>
      <c r="BK61" s="105">
        <f>OVERALL!A56</f>
        <v>53</v>
      </c>
      <c r="BL61" s="105">
        <f>OVERALL!B56</f>
        <v>2301207</v>
      </c>
      <c r="BM61" s="106" t="str">
        <f>OVERALL!C56</f>
        <v>Harsh thakur</v>
      </c>
      <c r="BN61" s="107">
        <f t="shared" si="3"/>
        <v>48</v>
      </c>
      <c r="BO61" s="108">
        <f t="shared" si="4"/>
        <v>0</v>
      </c>
      <c r="BP61" s="108">
        <f t="shared" si="5"/>
        <v>0</v>
      </c>
      <c r="BQ61" s="131" t="str">
        <f t="shared" si="6"/>
        <v>0</v>
      </c>
      <c r="BR61" s="96">
        <v>0</v>
      </c>
      <c r="BS61" s="128">
        <f t="shared" si="16"/>
        <v>0</v>
      </c>
      <c r="BT61" s="116">
        <v>0</v>
      </c>
      <c r="BU61" s="107">
        <f t="shared" si="7"/>
        <v>0</v>
      </c>
      <c r="BV61" s="96">
        <v>0</v>
      </c>
      <c r="BW61" s="96">
        <v>0</v>
      </c>
      <c r="BX61" s="96">
        <v>0</v>
      </c>
      <c r="BY61" s="108">
        <f t="shared" si="8"/>
        <v>0</v>
      </c>
      <c r="BZ61" s="88"/>
      <c r="CA61" s="133">
        <f t="shared" si="9"/>
        <v>0</v>
      </c>
      <c r="CB61" s="112"/>
    </row>
    <row r="62" spans="1:80" ht="15.75" customHeight="1">
      <c r="A62" s="122">
        <v>58</v>
      </c>
      <c r="B62" s="97" t="str">
        <f>OVERALL!B61</f>
        <v>leet</v>
      </c>
      <c r="C62" s="130" t="str">
        <f>OVERALL!C61</f>
        <v>Shubham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>
        <v>6</v>
      </c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99">
        <v>20</v>
      </c>
      <c r="BE62" s="99">
        <f t="shared" si="10"/>
        <v>20</v>
      </c>
      <c r="BF62" s="40"/>
      <c r="BG62" s="100">
        <f t="shared" si="11"/>
        <v>20</v>
      </c>
      <c r="BH62" s="88">
        <v>25</v>
      </c>
      <c r="BI62" s="101">
        <f t="shared" si="2"/>
        <v>0.8</v>
      </c>
      <c r="BJ62" s="24"/>
      <c r="BK62" s="105">
        <f>OVERALL!A57</f>
        <v>54</v>
      </c>
      <c r="BL62" s="105" t="str">
        <f>OVERALL!B57</f>
        <v>Leet</v>
      </c>
      <c r="BM62" s="106" t="str">
        <f>OVERALL!C57</f>
        <v>Gagan</v>
      </c>
      <c r="BN62" s="107">
        <f t="shared" si="3"/>
        <v>48</v>
      </c>
      <c r="BO62" s="108">
        <f t="shared" si="4"/>
        <v>38</v>
      </c>
      <c r="BP62" s="108">
        <f t="shared" si="5"/>
        <v>79.166666666666671</v>
      </c>
      <c r="BQ62" s="131" t="str">
        <f t="shared" si="6"/>
        <v>2</v>
      </c>
      <c r="BR62" s="96">
        <v>13</v>
      </c>
      <c r="BS62" s="107">
        <f t="shared" si="16"/>
        <v>2.8</v>
      </c>
      <c r="BT62" s="110">
        <v>7</v>
      </c>
      <c r="BU62" s="107">
        <f t="shared" si="7"/>
        <v>10</v>
      </c>
      <c r="BV62" s="96">
        <v>8</v>
      </c>
      <c r="BW62" s="96">
        <v>9</v>
      </c>
      <c r="BX62" s="96">
        <v>7</v>
      </c>
      <c r="BY62" s="108">
        <f t="shared" si="8"/>
        <v>8</v>
      </c>
      <c r="BZ62" s="88"/>
      <c r="CA62" s="133">
        <f t="shared" si="9"/>
        <v>20</v>
      </c>
      <c r="CB62" s="112"/>
    </row>
    <row r="63" spans="1:80" ht="15.75" customHeight="1">
      <c r="A63" s="52"/>
      <c r="B63" s="52"/>
      <c r="C63" s="134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24"/>
      <c r="BE63" s="40"/>
      <c r="BF63" s="40"/>
      <c r="BG63" s="24"/>
      <c r="BH63" s="24"/>
      <c r="BI63" s="24"/>
      <c r="BJ63" s="24"/>
      <c r="BK63" s="105">
        <f>OVERALL!A58</f>
        <v>55</v>
      </c>
      <c r="BL63" s="105" t="str">
        <f>OVERALL!B58</f>
        <v>Leet</v>
      </c>
      <c r="BM63" s="106" t="str">
        <f>OVERALL!C58</f>
        <v>Manisha</v>
      </c>
      <c r="BN63" s="107">
        <f t="shared" si="3"/>
        <v>48</v>
      </c>
      <c r="BO63" s="108">
        <f t="shared" si="4"/>
        <v>39</v>
      </c>
      <c r="BP63" s="108">
        <f t="shared" si="5"/>
        <v>81.25</v>
      </c>
      <c r="BQ63" s="131" t="str">
        <f t="shared" si="6"/>
        <v>3</v>
      </c>
      <c r="BR63" s="96">
        <v>15</v>
      </c>
      <c r="BS63" s="107">
        <f t="shared" si="16"/>
        <v>7.2</v>
      </c>
      <c r="BT63" s="110">
        <v>18</v>
      </c>
      <c r="BU63" s="107">
        <f t="shared" si="7"/>
        <v>16.5</v>
      </c>
      <c r="BV63" s="96">
        <v>9</v>
      </c>
      <c r="BW63" s="96">
        <v>9</v>
      </c>
      <c r="BX63" s="96">
        <v>8</v>
      </c>
      <c r="BY63" s="108">
        <f t="shared" si="8"/>
        <v>8.6666666666666661</v>
      </c>
      <c r="BZ63" s="88"/>
      <c r="CA63" s="133">
        <f t="shared" si="9"/>
        <v>28</v>
      </c>
      <c r="CB63" s="112"/>
    </row>
    <row r="64" spans="1:80" ht="15.75" customHeight="1">
      <c r="A64" s="52"/>
      <c r="B64" s="52"/>
      <c r="C64" s="134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24"/>
      <c r="BE64" s="40"/>
      <c r="BF64" s="40"/>
      <c r="BG64" s="24"/>
      <c r="BH64" s="24"/>
      <c r="BI64" s="24"/>
      <c r="BJ64" s="24"/>
      <c r="BK64" s="105">
        <f>OVERALL!A59</f>
        <v>56</v>
      </c>
      <c r="BL64" s="105" t="str">
        <f>OVERALL!B59</f>
        <v>Leet</v>
      </c>
      <c r="BM64" s="106" t="str">
        <f>OVERALL!C59</f>
        <v>Richa</v>
      </c>
      <c r="BN64" s="107">
        <f t="shared" si="3"/>
        <v>48</v>
      </c>
      <c r="BO64" s="108">
        <f t="shared" si="4"/>
        <v>43</v>
      </c>
      <c r="BP64" s="108">
        <f t="shared" si="5"/>
        <v>89.583333333333343</v>
      </c>
      <c r="BQ64" s="131" t="str">
        <f t="shared" si="6"/>
        <v>4</v>
      </c>
      <c r="BR64" s="96">
        <v>24</v>
      </c>
      <c r="BS64" s="107">
        <f t="shared" si="16"/>
        <v>8</v>
      </c>
      <c r="BT64" s="110">
        <v>20</v>
      </c>
      <c r="BU64" s="107">
        <f t="shared" si="7"/>
        <v>22</v>
      </c>
      <c r="BV64" s="96">
        <v>9</v>
      </c>
      <c r="BW64" s="96">
        <v>10</v>
      </c>
      <c r="BX64" s="96">
        <v>9</v>
      </c>
      <c r="BY64" s="108">
        <f t="shared" si="8"/>
        <v>9.3333333333333339</v>
      </c>
      <c r="BZ64" s="88"/>
      <c r="CA64" s="133">
        <f t="shared" si="9"/>
        <v>35</v>
      </c>
      <c r="CB64" s="112"/>
    </row>
    <row r="65" spans="1:80" ht="15.75" customHeight="1">
      <c r="A65" s="52"/>
      <c r="B65" s="52"/>
      <c r="C65" s="134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24"/>
      <c r="BE65" s="40"/>
      <c r="BF65" s="40"/>
      <c r="BG65" s="24"/>
      <c r="BH65" s="24"/>
      <c r="BI65" s="24"/>
      <c r="BJ65" s="24"/>
      <c r="BK65" s="105">
        <f>OVERALL!A60</f>
        <v>57</v>
      </c>
      <c r="BL65" s="105" t="str">
        <f>OVERALL!B60</f>
        <v>Leet</v>
      </c>
      <c r="BM65" s="106" t="str">
        <f>OVERALL!C60</f>
        <v>Prakriti</v>
      </c>
      <c r="BN65" s="107">
        <f t="shared" si="3"/>
        <v>33</v>
      </c>
      <c r="BO65" s="108">
        <f t="shared" si="4"/>
        <v>33</v>
      </c>
      <c r="BP65" s="108">
        <f t="shared" si="5"/>
        <v>100</v>
      </c>
      <c r="BQ65" s="135" t="str">
        <f t="shared" si="6"/>
        <v>6</v>
      </c>
      <c r="BR65" s="96">
        <v>18</v>
      </c>
      <c r="BS65" s="107">
        <f t="shared" si="16"/>
        <v>6</v>
      </c>
      <c r="BT65" s="40">
        <v>15</v>
      </c>
      <c r="BU65" s="107">
        <f t="shared" si="7"/>
        <v>16.5</v>
      </c>
      <c r="BV65" s="96">
        <v>8</v>
      </c>
      <c r="BW65" s="96">
        <v>9</v>
      </c>
      <c r="BX65" s="96">
        <v>9</v>
      </c>
      <c r="BY65" s="108">
        <f t="shared" si="8"/>
        <v>8.6666666666666661</v>
      </c>
      <c r="BZ65" s="88"/>
      <c r="CA65" s="136">
        <f t="shared" si="9"/>
        <v>31</v>
      </c>
      <c r="CB65" s="112"/>
    </row>
    <row r="66" spans="1:80" ht="15.75" customHeight="1">
      <c r="A66" s="52"/>
      <c r="B66" s="52"/>
      <c r="C66" s="13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4"/>
      <c r="BE66" s="40"/>
      <c r="BF66" s="40"/>
      <c r="BG66" s="24"/>
      <c r="BH66" s="24"/>
      <c r="BI66" s="24"/>
      <c r="BJ66" s="24"/>
      <c r="BK66" s="105">
        <f>OVERALL!A61</f>
        <v>58</v>
      </c>
      <c r="BL66" s="105" t="str">
        <f>OVERALL!B61</f>
        <v>leet</v>
      </c>
      <c r="BM66" s="106" t="str">
        <f>OVERALL!C61</f>
        <v>Shubham</v>
      </c>
      <c r="BN66" s="107">
        <f t="shared" si="3"/>
        <v>25</v>
      </c>
      <c r="BO66" s="108">
        <f t="shared" si="4"/>
        <v>20</v>
      </c>
      <c r="BP66" s="108">
        <f t="shared" si="5"/>
        <v>80</v>
      </c>
      <c r="BQ66" s="135" t="str">
        <f t="shared" si="6"/>
        <v>2</v>
      </c>
      <c r="BR66" s="137">
        <v>0</v>
      </c>
      <c r="BS66" s="107">
        <f>BT71/2.5</f>
        <v>0</v>
      </c>
      <c r="BT66" s="138">
        <v>12</v>
      </c>
      <c r="BU66" s="107">
        <f t="shared" si="7"/>
        <v>6</v>
      </c>
      <c r="BV66" s="96">
        <v>9</v>
      </c>
      <c r="BW66" s="96">
        <v>9</v>
      </c>
      <c r="BX66" s="96">
        <v>8</v>
      </c>
      <c r="BY66" s="108">
        <f t="shared" si="8"/>
        <v>8.6666666666666661</v>
      </c>
      <c r="BZ66" s="88"/>
      <c r="CA66" s="136">
        <f t="shared" si="9"/>
        <v>17</v>
      </c>
      <c r="CB66" s="112"/>
    </row>
    <row r="67" spans="1:80" ht="15.75" customHeight="1">
      <c r="A67" s="52"/>
      <c r="B67" s="52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24"/>
      <c r="BE67" s="40"/>
      <c r="BF67" s="40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40"/>
      <c r="BS67" s="24"/>
      <c r="BT67" s="40"/>
      <c r="BU67" s="24"/>
      <c r="BV67" s="40"/>
      <c r="BW67" s="40"/>
      <c r="BX67" s="40"/>
      <c r="BY67" s="24"/>
      <c r="BZ67" s="24"/>
      <c r="CA67" s="24"/>
      <c r="CB67" s="24"/>
    </row>
    <row r="68" spans="1:80" ht="15.75" customHeight="1">
      <c r="A68" s="52"/>
      <c r="B68" s="52"/>
      <c r="C68" s="13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24"/>
      <c r="BE68" s="40"/>
      <c r="BF68" s="40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40"/>
      <c r="BS68" s="24"/>
      <c r="BT68" s="40"/>
      <c r="BU68" s="24"/>
      <c r="BV68" s="40"/>
      <c r="BW68" s="40"/>
      <c r="BX68" s="40"/>
      <c r="BY68" s="24"/>
      <c r="BZ68" s="24"/>
      <c r="CA68" s="24"/>
      <c r="CB68" s="24"/>
    </row>
    <row r="69" spans="1:80" ht="15.75" customHeight="1">
      <c r="A69" s="52"/>
      <c r="B69" s="52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24"/>
      <c r="BE69" s="40"/>
      <c r="BF69" s="40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40"/>
      <c r="BS69" s="24"/>
      <c r="BT69" s="40"/>
      <c r="BU69" s="24"/>
      <c r="BV69" s="40"/>
      <c r="BW69" s="40"/>
      <c r="BX69" s="40"/>
      <c r="BY69" s="24"/>
      <c r="BZ69" s="24"/>
      <c r="CA69" s="24"/>
      <c r="CB69" s="24"/>
    </row>
    <row r="70" spans="1:80" ht="15.75" customHeight="1">
      <c r="A70" s="52"/>
      <c r="B70" s="52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24"/>
      <c r="BE70" s="40"/>
      <c r="BF70" s="40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40"/>
      <c r="BS70" s="24"/>
      <c r="BT70" s="40"/>
      <c r="BU70" s="24"/>
      <c r="BV70" s="40"/>
      <c r="BW70" s="40"/>
      <c r="BX70" s="40"/>
      <c r="BY70" s="24"/>
      <c r="BZ70" s="24"/>
      <c r="CA70" s="24"/>
      <c r="CB70" s="24"/>
    </row>
    <row r="71" spans="1:80" ht="15.75" customHeight="1">
      <c r="A71" s="52"/>
      <c r="B71" s="52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40"/>
      <c r="BF71" s="40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40"/>
      <c r="BS71" s="24"/>
      <c r="BT71" s="40"/>
      <c r="BU71" s="24"/>
      <c r="BV71" s="40"/>
      <c r="BW71" s="40"/>
      <c r="BX71" s="40"/>
      <c r="BY71" s="24"/>
      <c r="BZ71" s="24"/>
      <c r="CA71" s="24"/>
      <c r="CB71" s="24"/>
    </row>
    <row r="72" spans="1:80" ht="15.75" customHeight="1">
      <c r="A72" s="52"/>
      <c r="B72" s="52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40"/>
      <c r="BF72" s="40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40"/>
      <c r="BS72" s="24"/>
      <c r="BT72" s="40"/>
      <c r="BU72" s="24"/>
      <c r="BV72" s="40"/>
      <c r="BW72" s="40"/>
      <c r="BX72" s="40"/>
      <c r="BY72" s="24"/>
      <c r="BZ72" s="24"/>
      <c r="CA72" s="24"/>
      <c r="CB72" s="24"/>
    </row>
    <row r="73" spans="1:80" ht="15.75" customHeight="1">
      <c r="A73" s="52"/>
      <c r="B73" s="52"/>
      <c r="C73" s="13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4"/>
      <c r="BE73" s="40"/>
      <c r="BF73" s="40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40"/>
      <c r="BS73" s="24"/>
      <c r="BT73" s="40"/>
      <c r="BU73" s="24"/>
      <c r="BV73" s="40"/>
      <c r="BW73" s="40"/>
      <c r="BX73" s="40"/>
      <c r="BY73" s="24"/>
      <c r="BZ73" s="24"/>
      <c r="CA73" s="24"/>
      <c r="CB73" s="24"/>
    </row>
    <row r="74" spans="1:80" ht="15.75" customHeight="1">
      <c r="A74" s="52"/>
      <c r="B74" s="52"/>
      <c r="C74" s="13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24"/>
      <c r="BE74" s="40"/>
      <c r="BF74" s="40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40"/>
      <c r="BS74" s="24"/>
      <c r="BT74" s="40"/>
      <c r="BU74" s="24"/>
      <c r="BV74" s="40"/>
      <c r="BW74" s="40"/>
      <c r="BX74" s="40"/>
      <c r="BY74" s="24"/>
      <c r="BZ74" s="24"/>
      <c r="CA74" s="24"/>
      <c r="CB74" s="24"/>
    </row>
    <row r="75" spans="1:80" ht="15.75" customHeight="1">
      <c r="A75" s="52"/>
      <c r="B75" s="52"/>
      <c r="C75" s="13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24"/>
      <c r="BE75" s="40"/>
      <c r="BF75" s="40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40"/>
      <c r="BS75" s="24"/>
      <c r="BT75" s="40"/>
      <c r="BU75" s="24"/>
      <c r="BV75" s="40"/>
      <c r="BW75" s="40"/>
      <c r="BX75" s="40"/>
      <c r="BY75" s="24"/>
      <c r="BZ75" s="24"/>
      <c r="CA75" s="24"/>
      <c r="CB75" s="24"/>
    </row>
    <row r="76" spans="1:80" ht="15.75" customHeight="1">
      <c r="A76" s="52"/>
      <c r="B76" s="52"/>
      <c r="C76" s="13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24"/>
      <c r="BE76" s="40"/>
      <c r="BF76" s="40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40"/>
      <c r="BS76" s="24"/>
      <c r="BT76" s="40"/>
      <c r="BU76" s="24"/>
      <c r="BV76" s="40"/>
      <c r="BW76" s="40"/>
      <c r="BX76" s="40"/>
      <c r="BY76" s="24"/>
      <c r="BZ76" s="24"/>
      <c r="CA76" s="24"/>
      <c r="CB76" s="24"/>
    </row>
    <row r="77" spans="1:80" ht="15.75" customHeight="1">
      <c r="A77" s="52"/>
      <c r="B77" s="52"/>
      <c r="C77" s="13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4"/>
      <c r="BE77" s="40"/>
      <c r="BF77" s="40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40"/>
      <c r="BS77" s="24"/>
      <c r="BT77" s="40"/>
      <c r="BU77" s="24"/>
      <c r="BV77" s="40"/>
      <c r="BW77" s="40"/>
      <c r="BX77" s="40"/>
      <c r="BY77" s="24"/>
      <c r="BZ77" s="24"/>
      <c r="CA77" s="24"/>
      <c r="CB77" s="24"/>
    </row>
    <row r="78" spans="1:80" ht="15.75" customHeight="1">
      <c r="A78" s="52"/>
      <c r="B78" s="52"/>
      <c r="C78" s="13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24"/>
      <c r="BE78" s="40"/>
      <c r="BF78" s="40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40"/>
      <c r="BS78" s="24"/>
      <c r="BT78" s="40"/>
      <c r="BU78" s="24"/>
      <c r="BV78" s="40"/>
      <c r="BW78" s="40"/>
      <c r="BX78" s="40"/>
      <c r="BY78" s="24"/>
      <c r="BZ78" s="24"/>
      <c r="CA78" s="24"/>
      <c r="CB78" s="24"/>
    </row>
    <row r="79" spans="1:80" ht="15.75" customHeight="1">
      <c r="A79" s="52"/>
      <c r="B79" s="52"/>
      <c r="C79" s="13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24"/>
      <c r="BE79" s="40"/>
      <c r="BF79" s="40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40"/>
      <c r="BS79" s="24"/>
      <c r="BT79" s="40"/>
      <c r="BU79" s="24"/>
      <c r="BV79" s="40"/>
      <c r="BW79" s="40"/>
      <c r="BX79" s="40"/>
      <c r="BY79" s="24"/>
      <c r="BZ79" s="24"/>
      <c r="CA79" s="24"/>
      <c r="CB79" s="24"/>
    </row>
    <row r="80" spans="1:80" ht="15.75" customHeight="1">
      <c r="A80" s="52"/>
      <c r="B80" s="52"/>
      <c r="C80" s="13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4"/>
      <c r="BE80" s="40"/>
      <c r="BF80" s="40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40"/>
      <c r="BS80" s="24"/>
      <c r="BT80" s="40"/>
      <c r="BU80" s="24"/>
      <c r="BV80" s="40"/>
      <c r="BW80" s="40"/>
      <c r="BX80" s="40"/>
      <c r="BY80" s="24"/>
      <c r="BZ80" s="24"/>
      <c r="CA80" s="24"/>
      <c r="CB80" s="24"/>
    </row>
    <row r="81" spans="1:80" ht="15.75" customHeight="1">
      <c r="A81" s="52"/>
      <c r="B81" s="52"/>
      <c r="C81" s="13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24"/>
      <c r="BE81" s="40"/>
      <c r="BF81" s="40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40"/>
      <c r="BS81" s="24"/>
      <c r="BT81" s="40"/>
      <c r="BU81" s="24"/>
      <c r="BV81" s="40"/>
      <c r="BW81" s="40"/>
      <c r="BX81" s="40"/>
      <c r="BY81" s="24"/>
      <c r="BZ81" s="24"/>
      <c r="CA81" s="24"/>
      <c r="CB81" s="24"/>
    </row>
    <row r="82" spans="1:80" ht="15.75" customHeight="1">
      <c r="A82" s="52"/>
      <c r="B82" s="52"/>
      <c r="C82" s="13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24"/>
      <c r="BE82" s="40"/>
      <c r="BF82" s="40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40"/>
      <c r="BS82" s="24"/>
      <c r="BT82" s="40"/>
      <c r="BU82" s="24"/>
      <c r="BV82" s="40"/>
      <c r="BW82" s="40"/>
      <c r="BX82" s="40"/>
      <c r="BY82" s="24"/>
      <c r="BZ82" s="24"/>
      <c r="CA82" s="24"/>
      <c r="CB82" s="24"/>
    </row>
    <row r="83" spans="1:80" ht="15.75" customHeight="1">
      <c r="A83" s="52"/>
      <c r="B83" s="52"/>
      <c r="C83" s="13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4"/>
      <c r="BE83" s="40"/>
      <c r="BF83" s="40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40"/>
      <c r="BS83" s="24"/>
      <c r="BT83" s="40"/>
      <c r="BU83" s="24"/>
      <c r="BV83" s="40"/>
      <c r="BW83" s="40"/>
      <c r="BX83" s="40"/>
      <c r="BY83" s="24"/>
      <c r="BZ83" s="24"/>
      <c r="CA83" s="24"/>
      <c r="CB83" s="24"/>
    </row>
    <row r="84" spans="1:80" ht="15.75" customHeight="1">
      <c r="A84" s="52"/>
      <c r="B84" s="52"/>
      <c r="C84" s="13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24"/>
      <c r="BE84" s="40"/>
      <c r="BF84" s="40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40"/>
      <c r="BS84" s="24"/>
      <c r="BT84" s="40"/>
      <c r="BU84" s="24"/>
      <c r="BV84" s="40"/>
      <c r="BW84" s="40"/>
      <c r="BX84" s="40"/>
      <c r="BY84" s="24"/>
      <c r="BZ84" s="24"/>
      <c r="CA84" s="24"/>
      <c r="CB84" s="24"/>
    </row>
    <row r="85" spans="1:80" ht="15.75" customHeight="1">
      <c r="A85" s="52"/>
      <c r="B85" s="52"/>
      <c r="C85" s="13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24"/>
      <c r="BE85" s="40"/>
      <c r="BF85" s="40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40"/>
      <c r="BS85" s="24"/>
      <c r="BT85" s="40"/>
      <c r="BU85" s="24"/>
      <c r="BV85" s="40"/>
      <c r="BW85" s="40"/>
      <c r="BX85" s="40"/>
      <c r="BY85" s="24"/>
      <c r="BZ85" s="24"/>
      <c r="CA85" s="24"/>
      <c r="CB85" s="24"/>
    </row>
    <row r="86" spans="1:80" ht="15.75" customHeight="1">
      <c r="A86" s="52"/>
      <c r="B86" s="52"/>
      <c r="C86" s="13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24"/>
      <c r="BE86" s="40"/>
      <c r="BF86" s="40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40"/>
      <c r="BS86" s="24"/>
      <c r="BT86" s="40"/>
      <c r="BU86" s="24"/>
      <c r="BV86" s="40"/>
      <c r="BW86" s="40"/>
      <c r="BX86" s="40"/>
      <c r="BY86" s="24"/>
      <c r="BZ86" s="24"/>
      <c r="CA86" s="24"/>
      <c r="CB86" s="24"/>
    </row>
    <row r="87" spans="1:80" ht="15.75" customHeight="1">
      <c r="A87" s="52"/>
      <c r="B87" s="52"/>
      <c r="C87" s="13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24"/>
      <c r="BE87" s="40"/>
      <c r="BF87" s="40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40"/>
      <c r="BS87" s="24"/>
      <c r="BT87" s="40"/>
      <c r="BU87" s="24"/>
      <c r="BV87" s="40"/>
      <c r="BW87" s="40"/>
      <c r="BX87" s="40"/>
      <c r="BY87" s="24"/>
      <c r="BZ87" s="24"/>
      <c r="CA87" s="24"/>
      <c r="CB87" s="24"/>
    </row>
    <row r="88" spans="1:80" ht="15.75" customHeight="1">
      <c r="A88" s="52"/>
      <c r="B88" s="52"/>
      <c r="C88" s="13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4"/>
      <c r="BE88" s="40"/>
      <c r="BF88" s="40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40"/>
      <c r="BS88" s="24"/>
      <c r="BT88" s="40"/>
      <c r="BU88" s="24"/>
      <c r="BV88" s="40"/>
      <c r="BW88" s="40"/>
      <c r="BX88" s="40"/>
      <c r="BY88" s="24"/>
      <c r="BZ88" s="24"/>
      <c r="CA88" s="24"/>
      <c r="CB88" s="24"/>
    </row>
    <row r="89" spans="1:80" ht="15.75" customHeight="1">
      <c r="A89" s="52"/>
      <c r="B89" s="52"/>
      <c r="C89" s="13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4"/>
      <c r="BE89" s="40"/>
      <c r="BF89" s="40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40"/>
      <c r="BS89" s="24"/>
      <c r="BT89" s="40"/>
      <c r="BU89" s="24"/>
      <c r="BV89" s="40"/>
      <c r="BW89" s="40"/>
      <c r="BX89" s="40"/>
      <c r="BY89" s="24"/>
      <c r="BZ89" s="24"/>
      <c r="CA89" s="24"/>
      <c r="CB89" s="24"/>
    </row>
    <row r="90" spans="1:80" ht="15.75" customHeight="1">
      <c r="A90" s="52"/>
      <c r="B90" s="52"/>
      <c r="C90" s="13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24"/>
      <c r="BE90" s="40"/>
      <c r="BF90" s="40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40"/>
      <c r="BS90" s="24"/>
      <c r="BT90" s="40"/>
      <c r="BU90" s="24"/>
      <c r="BV90" s="40"/>
      <c r="BW90" s="40"/>
      <c r="BX90" s="40"/>
      <c r="BY90" s="24"/>
      <c r="BZ90" s="24"/>
      <c r="CA90" s="24"/>
      <c r="CB90" s="24"/>
    </row>
    <row r="91" spans="1:80" ht="15.75" customHeight="1">
      <c r="A91" s="52"/>
      <c r="B91" s="52"/>
      <c r="C91" s="13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24"/>
      <c r="BE91" s="40"/>
      <c r="BF91" s="40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40"/>
      <c r="BS91" s="24"/>
      <c r="BT91" s="40"/>
      <c r="BU91" s="24"/>
      <c r="BV91" s="40"/>
      <c r="BW91" s="40"/>
      <c r="BX91" s="40"/>
      <c r="BY91" s="24"/>
      <c r="BZ91" s="24"/>
      <c r="CA91" s="24"/>
      <c r="CB91" s="24"/>
    </row>
    <row r="92" spans="1:80" ht="15.75" customHeight="1">
      <c r="A92" s="52"/>
      <c r="B92" s="52"/>
      <c r="C92" s="13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24"/>
      <c r="BE92" s="40"/>
      <c r="BF92" s="40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40"/>
      <c r="BS92" s="24"/>
      <c r="BT92" s="40"/>
      <c r="BU92" s="24"/>
      <c r="BV92" s="40"/>
      <c r="BW92" s="40"/>
      <c r="BX92" s="40"/>
      <c r="BY92" s="24"/>
      <c r="BZ92" s="24"/>
      <c r="CA92" s="24"/>
      <c r="CB92" s="24"/>
    </row>
    <row r="93" spans="1:80" ht="15.75" customHeight="1">
      <c r="A93" s="52"/>
      <c r="B93" s="52"/>
      <c r="C93" s="13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24"/>
      <c r="BE93" s="40"/>
      <c r="BF93" s="40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40"/>
      <c r="BS93" s="24"/>
      <c r="BT93" s="40"/>
      <c r="BU93" s="24"/>
      <c r="BV93" s="40"/>
      <c r="BW93" s="40"/>
      <c r="BX93" s="40"/>
      <c r="BY93" s="24"/>
      <c r="BZ93" s="24"/>
      <c r="CA93" s="24"/>
      <c r="CB93" s="24"/>
    </row>
    <row r="94" spans="1:80" ht="15.75" customHeight="1">
      <c r="A94" s="24"/>
      <c r="B94" s="40"/>
      <c r="C94" s="2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24"/>
      <c r="BE94" s="40"/>
      <c r="BF94" s="40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40"/>
      <c r="BS94" s="24"/>
      <c r="BT94" s="40"/>
      <c r="BU94" s="24"/>
      <c r="BV94" s="40"/>
      <c r="BW94" s="40"/>
      <c r="BX94" s="40"/>
      <c r="BY94" s="24"/>
      <c r="BZ94" s="24"/>
      <c r="CA94" s="24"/>
      <c r="CB94" s="24"/>
    </row>
    <row r="95" spans="1:80" ht="15.75" customHeight="1">
      <c r="A95" s="24"/>
      <c r="B95" s="40"/>
      <c r="C95" s="2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4"/>
      <c r="BE95" s="40"/>
      <c r="BF95" s="40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40"/>
      <c r="BS95" s="24"/>
      <c r="BT95" s="40"/>
      <c r="BU95" s="24"/>
      <c r="BV95" s="40"/>
      <c r="BW95" s="40"/>
      <c r="BX95" s="40"/>
      <c r="BY95" s="24"/>
      <c r="BZ95" s="24"/>
      <c r="CA95" s="24"/>
      <c r="CB95" s="24"/>
    </row>
    <row r="96" spans="1:80" ht="15.75" customHeight="1">
      <c r="A96" s="24"/>
      <c r="B96" s="40"/>
      <c r="C96" s="2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24"/>
      <c r="BE96" s="40"/>
      <c r="BF96" s="40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40"/>
      <c r="BS96" s="24"/>
      <c r="BT96" s="40"/>
      <c r="BU96" s="24"/>
      <c r="BV96" s="40"/>
      <c r="BW96" s="40"/>
      <c r="BX96" s="40"/>
      <c r="BY96" s="24"/>
      <c r="BZ96" s="24"/>
      <c r="CA96" s="24"/>
      <c r="CB96" s="24"/>
    </row>
    <row r="97" spans="1:80" ht="15.75" customHeight="1">
      <c r="A97" s="24"/>
      <c r="B97" s="40"/>
      <c r="C97" s="2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24"/>
      <c r="BE97" s="40"/>
      <c r="BF97" s="40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40"/>
      <c r="BS97" s="24"/>
      <c r="BT97" s="40"/>
      <c r="BU97" s="24"/>
      <c r="BV97" s="40"/>
      <c r="BW97" s="40"/>
      <c r="BX97" s="40"/>
      <c r="BY97" s="24"/>
      <c r="BZ97" s="24"/>
      <c r="CA97" s="24"/>
      <c r="CB97" s="24"/>
    </row>
    <row r="98" spans="1:80" ht="15.75" customHeight="1">
      <c r="A98" s="24"/>
      <c r="B98" s="40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40"/>
      <c r="BF98" s="40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40"/>
      <c r="BS98" s="24"/>
      <c r="BT98" s="40"/>
      <c r="BU98" s="24"/>
      <c r="BV98" s="40"/>
      <c r="BW98" s="40"/>
      <c r="BX98" s="40"/>
      <c r="BY98" s="24"/>
      <c r="BZ98" s="24"/>
      <c r="CA98" s="24"/>
      <c r="CB98" s="24"/>
    </row>
    <row r="99" spans="1:80" ht="15.75" customHeight="1">
      <c r="A99" s="24"/>
      <c r="B99" s="40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40"/>
      <c r="BF99" s="40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40"/>
      <c r="BS99" s="24"/>
      <c r="BT99" s="40"/>
      <c r="BU99" s="24"/>
      <c r="BV99" s="40"/>
      <c r="BW99" s="40"/>
      <c r="BX99" s="40"/>
      <c r="BY99" s="24"/>
      <c r="BZ99" s="24"/>
      <c r="CA99" s="24"/>
      <c r="CB99" s="24"/>
    </row>
    <row r="100" spans="1:80" ht="15.75" customHeight="1">
      <c r="A100" s="24"/>
      <c r="B100" s="40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40"/>
      <c r="BF100" s="40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40"/>
      <c r="BS100" s="24"/>
      <c r="BT100" s="40"/>
      <c r="BU100" s="24"/>
      <c r="BV100" s="40"/>
      <c r="BW100" s="40"/>
      <c r="BX100" s="40"/>
      <c r="BY100" s="24"/>
      <c r="BZ100" s="24"/>
      <c r="CA100" s="24"/>
      <c r="CB100" s="24"/>
    </row>
    <row r="101" spans="1:80" ht="15.75" customHeight="1">
      <c r="A101" s="24"/>
      <c r="B101" s="40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40"/>
      <c r="BF101" s="40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40"/>
      <c r="BS101" s="24"/>
      <c r="BT101" s="40"/>
      <c r="BU101" s="24"/>
      <c r="BV101" s="40"/>
      <c r="BW101" s="40"/>
      <c r="BX101" s="40"/>
      <c r="BY101" s="24"/>
      <c r="BZ101" s="24"/>
      <c r="CA101" s="24"/>
      <c r="CB101" s="24"/>
    </row>
    <row r="102" spans="1:80" ht="15.75" customHeight="1">
      <c r="A102" s="24"/>
      <c r="B102" s="40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40"/>
      <c r="BF102" s="40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40"/>
      <c r="BS102" s="24"/>
      <c r="BT102" s="40"/>
      <c r="BU102" s="24"/>
      <c r="BV102" s="40"/>
      <c r="BW102" s="40"/>
      <c r="BX102" s="40"/>
      <c r="BY102" s="24"/>
      <c r="BZ102" s="24"/>
      <c r="CA102" s="24"/>
      <c r="CB102" s="24"/>
    </row>
    <row r="103" spans="1:80" ht="15.75" customHeight="1">
      <c r="A103" s="24"/>
      <c r="B103" s="40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40"/>
      <c r="BF103" s="40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40"/>
      <c r="BS103" s="24"/>
      <c r="BT103" s="40"/>
      <c r="BU103" s="24"/>
      <c r="BV103" s="40"/>
      <c r="BW103" s="40"/>
      <c r="BX103" s="40"/>
      <c r="BY103" s="24"/>
      <c r="BZ103" s="24"/>
      <c r="CA103" s="24"/>
      <c r="CB103" s="24"/>
    </row>
    <row r="104" spans="1:80" ht="15.75" customHeight="1">
      <c r="A104" s="24"/>
      <c r="B104" s="40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40"/>
      <c r="BF104" s="40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40"/>
      <c r="BS104" s="24"/>
      <c r="BT104" s="40"/>
      <c r="BU104" s="24"/>
      <c r="BV104" s="40"/>
      <c r="BW104" s="40"/>
      <c r="BX104" s="40"/>
      <c r="BY104" s="24"/>
      <c r="BZ104" s="24"/>
      <c r="CA104" s="24"/>
      <c r="CB104" s="24"/>
    </row>
    <row r="105" spans="1:80" ht="15.75" customHeight="1">
      <c r="A105" s="24"/>
      <c r="B105" s="40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40"/>
      <c r="BF105" s="40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40"/>
      <c r="BS105" s="24"/>
      <c r="BT105" s="40"/>
      <c r="BU105" s="24"/>
      <c r="BV105" s="40"/>
      <c r="BW105" s="40"/>
      <c r="BX105" s="40"/>
      <c r="BY105" s="24"/>
      <c r="BZ105" s="24"/>
      <c r="CA105" s="24"/>
      <c r="CB105" s="24"/>
    </row>
    <row r="106" spans="1:80" ht="15.75" customHeight="1">
      <c r="A106" s="24"/>
      <c r="B106" s="40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40"/>
      <c r="BF106" s="40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40"/>
      <c r="BS106" s="24"/>
      <c r="BT106" s="40"/>
      <c r="BU106" s="24"/>
      <c r="BV106" s="40"/>
      <c r="BW106" s="40"/>
      <c r="BX106" s="40"/>
      <c r="BY106" s="24"/>
      <c r="BZ106" s="24"/>
      <c r="CA106" s="24"/>
      <c r="CB106" s="24"/>
    </row>
    <row r="107" spans="1:80" ht="15.75" customHeight="1">
      <c r="A107" s="24"/>
      <c r="B107" s="40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40"/>
      <c r="BF107" s="40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40"/>
      <c r="BS107" s="24"/>
      <c r="BT107" s="40"/>
      <c r="BU107" s="24"/>
      <c r="BV107" s="40"/>
      <c r="BW107" s="40"/>
      <c r="BX107" s="40"/>
      <c r="BY107" s="24"/>
      <c r="BZ107" s="24"/>
      <c r="CA107" s="24"/>
      <c r="CB107" s="24"/>
    </row>
    <row r="108" spans="1:80" ht="15.75" customHeight="1">
      <c r="A108" s="24"/>
      <c r="B108" s="40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40"/>
      <c r="BF108" s="40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40"/>
      <c r="BS108" s="24"/>
      <c r="BT108" s="40"/>
      <c r="BU108" s="24"/>
      <c r="BV108" s="40"/>
      <c r="BW108" s="40"/>
      <c r="BX108" s="40"/>
      <c r="BY108" s="24"/>
      <c r="BZ108" s="24"/>
      <c r="CA108" s="24"/>
      <c r="CB108" s="24"/>
    </row>
    <row r="109" spans="1:80" ht="15.75" customHeight="1">
      <c r="A109" s="24"/>
      <c r="B109" s="40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40"/>
      <c r="BF109" s="40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40"/>
      <c r="BS109" s="24"/>
      <c r="BT109" s="40"/>
      <c r="BU109" s="24"/>
      <c r="BV109" s="40"/>
      <c r="BW109" s="40"/>
      <c r="BX109" s="40"/>
      <c r="BY109" s="24"/>
      <c r="BZ109" s="24"/>
      <c r="CA109" s="24"/>
      <c r="CB109" s="24"/>
    </row>
    <row r="110" spans="1:80" ht="15.75" customHeight="1">
      <c r="A110" s="24"/>
      <c r="B110" s="40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40"/>
      <c r="BF110" s="40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40"/>
      <c r="BS110" s="24"/>
      <c r="BT110" s="40"/>
      <c r="BU110" s="24"/>
      <c r="BV110" s="40"/>
      <c r="BW110" s="40"/>
      <c r="BX110" s="40"/>
      <c r="BY110" s="24"/>
      <c r="BZ110" s="24"/>
      <c r="CA110" s="24"/>
      <c r="CB110" s="24"/>
    </row>
    <row r="111" spans="1:80" ht="15.75" customHeight="1">
      <c r="A111" s="24"/>
      <c r="B111" s="40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40"/>
      <c r="BF111" s="40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40"/>
      <c r="BS111" s="24"/>
      <c r="BT111" s="40"/>
      <c r="BU111" s="24"/>
      <c r="BV111" s="40"/>
      <c r="BW111" s="40"/>
      <c r="BX111" s="40"/>
      <c r="BY111" s="24"/>
      <c r="BZ111" s="24"/>
      <c r="CA111" s="24"/>
      <c r="CB111" s="24"/>
    </row>
    <row r="112" spans="1:80" ht="15.75" customHeight="1">
      <c r="A112" s="24"/>
      <c r="B112" s="40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40"/>
      <c r="BF112" s="40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40"/>
      <c r="BS112" s="24"/>
      <c r="BT112" s="40"/>
      <c r="BU112" s="24"/>
      <c r="BV112" s="40"/>
      <c r="BW112" s="40"/>
      <c r="BX112" s="40"/>
      <c r="BY112" s="24"/>
      <c r="BZ112" s="24"/>
      <c r="CA112" s="24"/>
      <c r="CB112" s="24"/>
    </row>
    <row r="113" spans="1:80" ht="15.75" customHeight="1">
      <c r="A113" s="24"/>
      <c r="B113" s="40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40"/>
      <c r="BF113" s="40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40"/>
      <c r="BS113" s="24"/>
      <c r="BT113" s="40"/>
      <c r="BU113" s="24"/>
      <c r="BV113" s="40"/>
      <c r="BW113" s="40"/>
      <c r="BX113" s="40"/>
      <c r="BY113" s="24"/>
      <c r="BZ113" s="24"/>
      <c r="CA113" s="24"/>
      <c r="CB113" s="24"/>
    </row>
    <row r="114" spans="1:80" ht="15.75" customHeight="1">
      <c r="A114" s="24"/>
      <c r="B114" s="40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40"/>
      <c r="BF114" s="40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40"/>
      <c r="BS114" s="24"/>
      <c r="BT114" s="40"/>
      <c r="BU114" s="24"/>
      <c r="BV114" s="40"/>
      <c r="BW114" s="40"/>
      <c r="BX114" s="40"/>
      <c r="BY114" s="24"/>
      <c r="BZ114" s="24"/>
      <c r="CA114" s="24"/>
      <c r="CB114" s="24"/>
    </row>
    <row r="115" spans="1:80" ht="15.75" customHeight="1">
      <c r="A115" s="24"/>
      <c r="B115" s="40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40"/>
      <c r="BF115" s="40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40"/>
      <c r="BS115" s="24"/>
      <c r="BT115" s="40"/>
      <c r="BU115" s="24"/>
      <c r="BV115" s="40"/>
      <c r="BW115" s="40"/>
      <c r="BX115" s="40"/>
      <c r="BY115" s="24"/>
      <c r="BZ115" s="24"/>
      <c r="CA115" s="24"/>
      <c r="CB115" s="24"/>
    </row>
    <row r="116" spans="1:80" ht="15.75" customHeight="1">
      <c r="A116" s="24"/>
      <c r="B116" s="40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40"/>
      <c r="BF116" s="40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40"/>
      <c r="BS116" s="24"/>
      <c r="BT116" s="40"/>
      <c r="BU116" s="24"/>
      <c r="BV116" s="40"/>
      <c r="BW116" s="40"/>
      <c r="BX116" s="40"/>
      <c r="BY116" s="24"/>
      <c r="BZ116" s="24"/>
      <c r="CA116" s="24"/>
      <c r="CB116" s="24"/>
    </row>
    <row r="117" spans="1:80" ht="15.75" customHeight="1">
      <c r="A117" s="24"/>
      <c r="B117" s="40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40"/>
      <c r="BF117" s="40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40"/>
      <c r="BS117" s="24"/>
      <c r="BT117" s="40"/>
      <c r="BU117" s="24"/>
      <c r="BV117" s="40"/>
      <c r="BW117" s="40"/>
      <c r="BX117" s="40"/>
      <c r="BY117" s="24"/>
      <c r="BZ117" s="24"/>
      <c r="CA117" s="24"/>
      <c r="CB117" s="24"/>
    </row>
    <row r="118" spans="1:80" ht="15.75" customHeight="1">
      <c r="A118" s="24"/>
      <c r="B118" s="40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40"/>
      <c r="BF118" s="40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40"/>
      <c r="BS118" s="24"/>
      <c r="BT118" s="40"/>
      <c r="BU118" s="24"/>
      <c r="BV118" s="40"/>
      <c r="BW118" s="40"/>
      <c r="BX118" s="40"/>
      <c r="BY118" s="24"/>
      <c r="BZ118" s="24"/>
      <c r="CA118" s="24"/>
      <c r="CB118" s="24"/>
    </row>
    <row r="119" spans="1:80" ht="15.75" customHeight="1">
      <c r="A119" s="24"/>
      <c r="B119" s="40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40"/>
      <c r="BF119" s="40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40"/>
      <c r="BS119" s="24"/>
      <c r="BT119" s="40"/>
      <c r="BU119" s="24"/>
      <c r="BV119" s="40"/>
      <c r="BW119" s="40"/>
      <c r="BX119" s="40"/>
      <c r="BY119" s="24"/>
      <c r="BZ119" s="24"/>
      <c r="CA119" s="24"/>
      <c r="CB119" s="24"/>
    </row>
    <row r="120" spans="1:80" ht="15.75" customHeight="1">
      <c r="A120" s="24"/>
      <c r="B120" s="40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40"/>
      <c r="BF120" s="40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40"/>
      <c r="BS120" s="24"/>
      <c r="BT120" s="40"/>
      <c r="BU120" s="24"/>
      <c r="BV120" s="40"/>
      <c r="BW120" s="40"/>
      <c r="BX120" s="40"/>
      <c r="BY120" s="24"/>
      <c r="BZ120" s="24"/>
      <c r="CA120" s="24"/>
      <c r="CB120" s="24"/>
    </row>
    <row r="121" spans="1:80" ht="15.75" customHeight="1">
      <c r="A121" s="24"/>
      <c r="B121" s="40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40"/>
      <c r="BF121" s="40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40"/>
      <c r="BS121" s="24"/>
      <c r="BT121" s="40"/>
      <c r="BU121" s="24"/>
      <c r="BV121" s="40"/>
      <c r="BW121" s="40"/>
      <c r="BX121" s="40"/>
      <c r="BY121" s="24"/>
      <c r="BZ121" s="24"/>
      <c r="CA121" s="24"/>
      <c r="CB121" s="24"/>
    </row>
    <row r="122" spans="1:80" ht="15.75" customHeight="1">
      <c r="A122" s="24"/>
      <c r="B122" s="40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40"/>
      <c r="BF122" s="40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40"/>
      <c r="BS122" s="24"/>
      <c r="BT122" s="40"/>
      <c r="BU122" s="24"/>
      <c r="BV122" s="40"/>
      <c r="BW122" s="40"/>
      <c r="BX122" s="40"/>
      <c r="BY122" s="24"/>
      <c r="BZ122" s="24"/>
      <c r="CA122" s="24"/>
      <c r="CB122" s="24"/>
    </row>
    <row r="123" spans="1:80" ht="15.75" customHeight="1">
      <c r="A123" s="24"/>
      <c r="B123" s="40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40"/>
      <c r="BF123" s="40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40"/>
      <c r="BS123" s="24"/>
      <c r="BT123" s="40"/>
      <c r="BU123" s="24"/>
      <c r="BV123" s="40"/>
      <c r="BW123" s="40"/>
      <c r="BX123" s="40"/>
      <c r="BY123" s="24"/>
      <c r="BZ123" s="24"/>
      <c r="CA123" s="24"/>
      <c r="CB123" s="24"/>
    </row>
    <row r="124" spans="1:80" ht="15.75" customHeight="1">
      <c r="A124" s="24"/>
      <c r="B124" s="40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40"/>
      <c r="BF124" s="40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40"/>
      <c r="BS124" s="24"/>
      <c r="BT124" s="40"/>
      <c r="BU124" s="24"/>
      <c r="BV124" s="40"/>
      <c r="BW124" s="40"/>
      <c r="BX124" s="40"/>
      <c r="BY124" s="24"/>
      <c r="BZ124" s="24"/>
      <c r="CA124" s="24"/>
      <c r="CB124" s="24"/>
    </row>
    <row r="125" spans="1:80" ht="15.75" customHeight="1">
      <c r="A125" s="24"/>
      <c r="B125" s="40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40"/>
      <c r="BF125" s="40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40"/>
      <c r="BS125" s="24"/>
      <c r="BT125" s="40"/>
      <c r="BU125" s="24"/>
      <c r="BV125" s="40"/>
      <c r="BW125" s="40"/>
      <c r="BX125" s="40"/>
      <c r="BY125" s="24"/>
      <c r="BZ125" s="24"/>
      <c r="CA125" s="24"/>
      <c r="CB125" s="24"/>
    </row>
    <row r="126" spans="1:80" ht="15.75" customHeight="1">
      <c r="A126" s="24"/>
      <c r="B126" s="40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40"/>
      <c r="BF126" s="40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40"/>
      <c r="BS126" s="24"/>
      <c r="BT126" s="40"/>
      <c r="BU126" s="24"/>
      <c r="BV126" s="40"/>
      <c r="BW126" s="40"/>
      <c r="BX126" s="40"/>
      <c r="BY126" s="24"/>
      <c r="BZ126" s="24"/>
      <c r="CA126" s="24"/>
      <c r="CB126" s="24"/>
    </row>
    <row r="127" spans="1:80" ht="15.75" customHeight="1">
      <c r="A127" s="24"/>
      <c r="B127" s="40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40"/>
      <c r="BF127" s="40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40"/>
      <c r="BS127" s="24"/>
      <c r="BT127" s="40"/>
      <c r="BU127" s="24"/>
      <c r="BV127" s="40"/>
      <c r="BW127" s="40"/>
      <c r="BX127" s="40"/>
      <c r="BY127" s="24"/>
      <c r="BZ127" s="24"/>
      <c r="CA127" s="24"/>
      <c r="CB127" s="24"/>
    </row>
    <row r="128" spans="1:80" ht="15.75" customHeight="1">
      <c r="A128" s="24"/>
      <c r="B128" s="40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40"/>
      <c r="BF128" s="40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40"/>
      <c r="BS128" s="24"/>
      <c r="BT128" s="40"/>
      <c r="BU128" s="24"/>
      <c r="BV128" s="40"/>
      <c r="BW128" s="40"/>
      <c r="BX128" s="40"/>
      <c r="BY128" s="24"/>
      <c r="BZ128" s="24"/>
      <c r="CA128" s="24"/>
      <c r="CB128" s="24"/>
    </row>
    <row r="129" spans="1:80" ht="15.75" customHeight="1">
      <c r="A129" s="24"/>
      <c r="B129" s="40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40"/>
      <c r="BF129" s="40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40"/>
      <c r="BS129" s="24"/>
      <c r="BT129" s="40"/>
      <c r="BU129" s="24"/>
      <c r="BV129" s="40"/>
      <c r="BW129" s="40"/>
      <c r="BX129" s="40"/>
      <c r="BY129" s="24"/>
      <c r="BZ129" s="24"/>
      <c r="CA129" s="24"/>
      <c r="CB129" s="24"/>
    </row>
    <row r="130" spans="1:80" ht="15.75" customHeight="1">
      <c r="A130" s="24"/>
      <c r="B130" s="40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40"/>
      <c r="BF130" s="40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40"/>
      <c r="BS130" s="24"/>
      <c r="BT130" s="40"/>
      <c r="BU130" s="24"/>
      <c r="BV130" s="40"/>
      <c r="BW130" s="40"/>
      <c r="BX130" s="40"/>
      <c r="BY130" s="24"/>
      <c r="BZ130" s="24"/>
      <c r="CA130" s="24"/>
      <c r="CB130" s="24"/>
    </row>
    <row r="131" spans="1:80" ht="15.75" customHeight="1">
      <c r="A131" s="24"/>
      <c r="B131" s="40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40"/>
      <c r="BF131" s="40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40"/>
      <c r="BS131" s="24"/>
      <c r="BT131" s="40"/>
      <c r="BU131" s="24"/>
      <c r="BV131" s="40"/>
      <c r="BW131" s="40"/>
      <c r="BX131" s="40"/>
      <c r="BY131" s="24"/>
      <c r="BZ131" s="24"/>
      <c r="CA131" s="24"/>
      <c r="CB131" s="24"/>
    </row>
    <row r="132" spans="1:80" ht="15.75" customHeight="1">
      <c r="A132" s="24"/>
      <c r="B132" s="40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40"/>
      <c r="BF132" s="40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40"/>
      <c r="BS132" s="24"/>
      <c r="BT132" s="40"/>
      <c r="BU132" s="24"/>
      <c r="BV132" s="40"/>
      <c r="BW132" s="40"/>
      <c r="BX132" s="40"/>
      <c r="BY132" s="24"/>
      <c r="BZ132" s="24"/>
      <c r="CA132" s="24"/>
      <c r="CB132" s="24"/>
    </row>
    <row r="133" spans="1:80" ht="15.75" customHeight="1">
      <c r="A133" s="24"/>
      <c r="B133" s="40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40"/>
      <c r="BF133" s="40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40"/>
      <c r="BS133" s="24"/>
      <c r="BT133" s="40"/>
      <c r="BU133" s="24"/>
      <c r="BV133" s="40"/>
      <c r="BW133" s="40"/>
      <c r="BX133" s="40"/>
      <c r="BY133" s="24"/>
      <c r="BZ133" s="24"/>
      <c r="CA133" s="24"/>
      <c r="CB133" s="24"/>
    </row>
    <row r="134" spans="1:80" ht="15.75" customHeight="1">
      <c r="A134" s="24"/>
      <c r="B134" s="40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40"/>
      <c r="BF134" s="40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40"/>
      <c r="BS134" s="24"/>
      <c r="BT134" s="40"/>
      <c r="BU134" s="24"/>
      <c r="BV134" s="40"/>
      <c r="BW134" s="40"/>
      <c r="BX134" s="40"/>
      <c r="BY134" s="24"/>
      <c r="BZ134" s="24"/>
      <c r="CA134" s="24"/>
      <c r="CB134" s="24"/>
    </row>
    <row r="135" spans="1:80" ht="15.75" customHeight="1">
      <c r="A135" s="24"/>
      <c r="B135" s="40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40"/>
      <c r="BF135" s="40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40"/>
      <c r="BS135" s="24"/>
      <c r="BT135" s="40"/>
      <c r="BU135" s="24"/>
      <c r="BV135" s="40"/>
      <c r="BW135" s="40"/>
      <c r="BX135" s="40"/>
      <c r="BY135" s="24"/>
      <c r="BZ135" s="24"/>
      <c r="CA135" s="24"/>
      <c r="CB135" s="24"/>
    </row>
    <row r="136" spans="1:80" ht="15.75" customHeight="1">
      <c r="A136" s="24"/>
      <c r="B136" s="40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40"/>
      <c r="BF136" s="40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40"/>
      <c r="BS136" s="24"/>
      <c r="BT136" s="40"/>
      <c r="BU136" s="24"/>
      <c r="BV136" s="40"/>
      <c r="BW136" s="40"/>
      <c r="BX136" s="40"/>
      <c r="BY136" s="24"/>
      <c r="BZ136" s="24"/>
      <c r="CA136" s="24"/>
      <c r="CB136" s="24"/>
    </row>
    <row r="137" spans="1:80" ht="15.75" customHeight="1">
      <c r="A137" s="24"/>
      <c r="B137" s="40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40"/>
      <c r="BF137" s="40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40"/>
      <c r="BS137" s="24"/>
      <c r="BT137" s="40"/>
      <c r="BU137" s="24"/>
      <c r="BV137" s="40"/>
      <c r="BW137" s="40"/>
      <c r="BX137" s="40"/>
      <c r="BY137" s="24"/>
      <c r="BZ137" s="24"/>
      <c r="CA137" s="24"/>
      <c r="CB137" s="24"/>
    </row>
    <row r="138" spans="1:80" ht="15.75" customHeight="1">
      <c r="A138" s="24"/>
      <c r="B138" s="40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40"/>
      <c r="BF138" s="40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40"/>
      <c r="BS138" s="24"/>
      <c r="BT138" s="40"/>
      <c r="BU138" s="24"/>
      <c r="BV138" s="40"/>
      <c r="BW138" s="40"/>
      <c r="BX138" s="40"/>
      <c r="BY138" s="24"/>
      <c r="BZ138" s="24"/>
      <c r="CA138" s="24"/>
      <c r="CB138" s="24"/>
    </row>
    <row r="139" spans="1:80" ht="15.75" customHeight="1">
      <c r="A139" s="24"/>
      <c r="B139" s="40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40"/>
      <c r="BF139" s="40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40"/>
      <c r="BS139" s="24"/>
      <c r="BT139" s="40"/>
      <c r="BU139" s="24"/>
      <c r="BV139" s="40"/>
      <c r="BW139" s="40"/>
      <c r="BX139" s="40"/>
      <c r="BY139" s="24"/>
      <c r="BZ139" s="24"/>
      <c r="CA139" s="24"/>
      <c r="CB139" s="24"/>
    </row>
    <row r="140" spans="1:80" ht="15.75" customHeight="1">
      <c r="A140" s="24"/>
      <c r="B140" s="40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40"/>
      <c r="BF140" s="40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40"/>
      <c r="BS140" s="24"/>
      <c r="BT140" s="40"/>
      <c r="BU140" s="24"/>
      <c r="BV140" s="40"/>
      <c r="BW140" s="40"/>
      <c r="BX140" s="40"/>
      <c r="BY140" s="24"/>
      <c r="BZ140" s="24"/>
      <c r="CA140" s="24"/>
      <c r="CB140" s="24"/>
    </row>
    <row r="141" spans="1:80" ht="15.75" customHeight="1">
      <c r="A141" s="24"/>
      <c r="B141" s="40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40"/>
      <c r="BF141" s="40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40"/>
      <c r="BS141" s="24"/>
      <c r="BT141" s="40"/>
      <c r="BU141" s="24"/>
      <c r="BV141" s="40"/>
      <c r="BW141" s="40"/>
      <c r="BX141" s="40"/>
      <c r="BY141" s="24"/>
      <c r="BZ141" s="24"/>
      <c r="CA141" s="24"/>
      <c r="CB141" s="24"/>
    </row>
    <row r="142" spans="1:80" ht="15.75" customHeight="1">
      <c r="A142" s="24"/>
      <c r="B142" s="40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40"/>
      <c r="BF142" s="40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40"/>
      <c r="BS142" s="24"/>
      <c r="BT142" s="40"/>
      <c r="BU142" s="24"/>
      <c r="BV142" s="40"/>
      <c r="BW142" s="40"/>
      <c r="BX142" s="40"/>
      <c r="BY142" s="24"/>
      <c r="BZ142" s="24"/>
      <c r="CA142" s="24"/>
      <c r="CB142" s="24"/>
    </row>
    <row r="143" spans="1:80" ht="15.75" customHeight="1">
      <c r="A143" s="24"/>
      <c r="B143" s="40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40"/>
      <c r="BF143" s="40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40"/>
      <c r="BS143" s="24"/>
      <c r="BT143" s="40"/>
      <c r="BU143" s="24"/>
      <c r="BV143" s="40"/>
      <c r="BW143" s="40"/>
      <c r="BX143" s="40"/>
      <c r="BY143" s="24"/>
      <c r="BZ143" s="24"/>
      <c r="CA143" s="24"/>
      <c r="CB143" s="24"/>
    </row>
    <row r="144" spans="1:80" ht="15.75" customHeight="1">
      <c r="A144" s="24"/>
      <c r="B144" s="40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40"/>
      <c r="BF144" s="40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40"/>
      <c r="BS144" s="24"/>
      <c r="BT144" s="40"/>
      <c r="BU144" s="24"/>
      <c r="BV144" s="40"/>
      <c r="BW144" s="40"/>
      <c r="BX144" s="40"/>
      <c r="BY144" s="24"/>
      <c r="BZ144" s="24"/>
      <c r="CA144" s="24"/>
      <c r="CB144" s="24"/>
    </row>
    <row r="145" spans="1:80" ht="15.75" customHeight="1">
      <c r="A145" s="24"/>
      <c r="B145" s="40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40"/>
      <c r="BF145" s="40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40"/>
      <c r="BS145" s="24"/>
      <c r="BT145" s="40"/>
      <c r="BU145" s="24"/>
      <c r="BV145" s="40"/>
      <c r="BW145" s="40"/>
      <c r="BX145" s="40"/>
      <c r="BY145" s="24"/>
      <c r="BZ145" s="24"/>
      <c r="CA145" s="24"/>
      <c r="CB145" s="24"/>
    </row>
    <row r="146" spans="1:80" ht="15.75" customHeight="1">
      <c r="A146" s="24"/>
      <c r="B146" s="40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40"/>
      <c r="BF146" s="40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40"/>
      <c r="BS146" s="24"/>
      <c r="BT146" s="40"/>
      <c r="BU146" s="24"/>
      <c r="BV146" s="40"/>
      <c r="BW146" s="40"/>
      <c r="BX146" s="40"/>
      <c r="BY146" s="24"/>
      <c r="BZ146" s="24"/>
      <c r="CA146" s="24"/>
      <c r="CB146" s="24"/>
    </row>
    <row r="147" spans="1:80" ht="15.75" customHeight="1">
      <c r="A147" s="24"/>
      <c r="B147" s="40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40"/>
      <c r="BF147" s="40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40"/>
      <c r="BS147" s="24"/>
      <c r="BT147" s="40"/>
      <c r="BU147" s="24"/>
      <c r="BV147" s="40"/>
      <c r="BW147" s="40"/>
      <c r="BX147" s="40"/>
      <c r="BY147" s="24"/>
      <c r="BZ147" s="24"/>
      <c r="CA147" s="24"/>
      <c r="CB147" s="24"/>
    </row>
    <row r="148" spans="1:80" ht="15.75" customHeight="1">
      <c r="A148" s="24"/>
      <c r="B148" s="40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40"/>
      <c r="BF148" s="40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40"/>
      <c r="BS148" s="24"/>
      <c r="BT148" s="40"/>
      <c r="BU148" s="24"/>
      <c r="BV148" s="40"/>
      <c r="BW148" s="40"/>
      <c r="BX148" s="40"/>
      <c r="BY148" s="24"/>
      <c r="BZ148" s="24"/>
      <c r="CA148" s="24"/>
      <c r="CB148" s="24"/>
    </row>
    <row r="149" spans="1:80" ht="15.75" customHeight="1">
      <c r="A149" s="24"/>
      <c r="B149" s="40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40"/>
      <c r="BF149" s="40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40"/>
      <c r="BS149" s="24"/>
      <c r="BT149" s="40"/>
      <c r="BU149" s="24"/>
      <c r="BV149" s="40"/>
      <c r="BW149" s="40"/>
      <c r="BX149" s="40"/>
      <c r="BY149" s="24"/>
      <c r="BZ149" s="24"/>
      <c r="CA149" s="24"/>
      <c r="CB149" s="24"/>
    </row>
    <row r="150" spans="1:80" ht="15.75" customHeight="1">
      <c r="A150" s="24"/>
      <c r="B150" s="40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40"/>
      <c r="BF150" s="40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40"/>
      <c r="BS150" s="24"/>
      <c r="BT150" s="40"/>
      <c r="BU150" s="24"/>
      <c r="BV150" s="40"/>
      <c r="BW150" s="40"/>
      <c r="BX150" s="40"/>
      <c r="BY150" s="24"/>
      <c r="BZ150" s="24"/>
      <c r="CA150" s="24"/>
      <c r="CB150" s="24"/>
    </row>
    <row r="151" spans="1:80" ht="15.75" customHeight="1">
      <c r="A151" s="24"/>
      <c r="B151" s="40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40"/>
      <c r="BF151" s="40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40"/>
      <c r="BS151" s="24"/>
      <c r="BT151" s="40"/>
      <c r="BU151" s="24"/>
      <c r="BV151" s="40"/>
      <c r="BW151" s="40"/>
      <c r="BX151" s="40"/>
      <c r="BY151" s="24"/>
      <c r="BZ151" s="24"/>
      <c r="CA151" s="24"/>
      <c r="CB151" s="24"/>
    </row>
    <row r="152" spans="1:80" ht="15.75" customHeight="1">
      <c r="A152" s="24"/>
      <c r="B152" s="40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40"/>
      <c r="BF152" s="40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40"/>
      <c r="BS152" s="24"/>
      <c r="BT152" s="40"/>
      <c r="BU152" s="24"/>
      <c r="BV152" s="40"/>
      <c r="BW152" s="40"/>
      <c r="BX152" s="40"/>
      <c r="BY152" s="24"/>
      <c r="BZ152" s="24"/>
      <c r="CA152" s="24"/>
      <c r="CB152" s="24"/>
    </row>
    <row r="153" spans="1:80" ht="15.75" customHeight="1">
      <c r="A153" s="24"/>
      <c r="B153" s="40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40"/>
      <c r="BF153" s="40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40"/>
      <c r="BS153" s="24"/>
      <c r="BT153" s="40"/>
      <c r="BU153" s="24"/>
      <c r="BV153" s="40"/>
      <c r="BW153" s="40"/>
      <c r="BX153" s="40"/>
      <c r="BY153" s="24"/>
      <c r="BZ153" s="24"/>
      <c r="CA153" s="24"/>
      <c r="CB153" s="24"/>
    </row>
    <row r="154" spans="1:80" ht="15.75" customHeight="1">
      <c r="A154" s="24"/>
      <c r="B154" s="40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40"/>
      <c r="BF154" s="40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40"/>
      <c r="BS154" s="24"/>
      <c r="BT154" s="40"/>
      <c r="BU154" s="24"/>
      <c r="BV154" s="40"/>
      <c r="BW154" s="40"/>
      <c r="BX154" s="40"/>
      <c r="BY154" s="24"/>
      <c r="BZ154" s="24"/>
      <c r="CA154" s="24"/>
      <c r="CB154" s="24"/>
    </row>
    <row r="155" spans="1:80" ht="15.75" customHeight="1">
      <c r="A155" s="24"/>
      <c r="B155" s="40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40"/>
      <c r="BF155" s="40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40"/>
      <c r="BS155" s="24"/>
      <c r="BT155" s="40"/>
      <c r="BU155" s="24"/>
      <c r="BV155" s="40"/>
      <c r="BW155" s="40"/>
      <c r="BX155" s="40"/>
      <c r="BY155" s="24"/>
      <c r="BZ155" s="24"/>
      <c r="CA155" s="24"/>
      <c r="CB155" s="24"/>
    </row>
    <row r="156" spans="1:80" ht="15.75" customHeight="1">
      <c r="A156" s="24"/>
      <c r="B156" s="40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40"/>
      <c r="BF156" s="40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40"/>
      <c r="BS156" s="24"/>
      <c r="BT156" s="40"/>
      <c r="BU156" s="24"/>
      <c r="BV156" s="40"/>
      <c r="BW156" s="40"/>
      <c r="BX156" s="40"/>
      <c r="BY156" s="24"/>
      <c r="BZ156" s="24"/>
      <c r="CA156" s="24"/>
      <c r="CB156" s="24"/>
    </row>
    <row r="157" spans="1:80" ht="15.75" customHeight="1">
      <c r="A157" s="24"/>
      <c r="B157" s="40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40"/>
      <c r="BF157" s="40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40"/>
      <c r="BS157" s="24"/>
      <c r="BT157" s="40"/>
      <c r="BU157" s="24"/>
      <c r="BV157" s="40"/>
      <c r="BW157" s="40"/>
      <c r="BX157" s="40"/>
      <c r="BY157" s="24"/>
      <c r="BZ157" s="24"/>
      <c r="CA157" s="24"/>
      <c r="CB157" s="24"/>
    </row>
    <row r="158" spans="1:80" ht="15.75" customHeight="1">
      <c r="A158" s="24"/>
      <c r="B158" s="40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40"/>
      <c r="BF158" s="40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40"/>
      <c r="BS158" s="24"/>
      <c r="BT158" s="40"/>
      <c r="BU158" s="24"/>
      <c r="BV158" s="40"/>
      <c r="BW158" s="40"/>
      <c r="BX158" s="40"/>
      <c r="BY158" s="24"/>
      <c r="BZ158" s="24"/>
      <c r="CA158" s="24"/>
      <c r="CB158" s="24"/>
    </row>
    <row r="159" spans="1:80" ht="15.75" customHeight="1">
      <c r="A159" s="24"/>
      <c r="B159" s="40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40"/>
      <c r="BF159" s="40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40"/>
      <c r="BS159" s="24"/>
      <c r="BT159" s="40"/>
      <c r="BU159" s="24"/>
      <c r="BV159" s="40"/>
      <c r="BW159" s="40"/>
      <c r="BX159" s="40"/>
      <c r="BY159" s="24"/>
      <c r="BZ159" s="24"/>
      <c r="CA159" s="24"/>
      <c r="CB159" s="24"/>
    </row>
    <row r="160" spans="1:80" ht="15.75" customHeight="1">
      <c r="A160" s="24"/>
      <c r="B160" s="40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40"/>
      <c r="BF160" s="40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40"/>
      <c r="BS160" s="24"/>
      <c r="BT160" s="40"/>
      <c r="BU160" s="24"/>
      <c r="BV160" s="40"/>
      <c r="BW160" s="40"/>
      <c r="BX160" s="40"/>
      <c r="BY160" s="24"/>
      <c r="BZ160" s="24"/>
      <c r="CA160" s="24"/>
      <c r="CB160" s="24"/>
    </row>
    <row r="161" spans="1:80" ht="15.75" customHeight="1">
      <c r="A161" s="24"/>
      <c r="B161" s="40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40"/>
      <c r="BF161" s="40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40"/>
      <c r="BS161" s="24"/>
      <c r="BT161" s="40"/>
      <c r="BU161" s="24"/>
      <c r="BV161" s="40"/>
      <c r="BW161" s="40"/>
      <c r="BX161" s="40"/>
      <c r="BY161" s="24"/>
      <c r="BZ161" s="24"/>
      <c r="CA161" s="24"/>
      <c r="CB161" s="24"/>
    </row>
    <row r="162" spans="1:80" ht="15.75" customHeight="1">
      <c r="A162" s="24"/>
      <c r="B162" s="40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40"/>
      <c r="BF162" s="40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40"/>
      <c r="BS162" s="24"/>
      <c r="BT162" s="40"/>
      <c r="BU162" s="24"/>
      <c r="BV162" s="40"/>
      <c r="BW162" s="40"/>
      <c r="BX162" s="40"/>
      <c r="BY162" s="24"/>
      <c r="BZ162" s="24"/>
      <c r="CA162" s="24"/>
      <c r="CB162" s="24"/>
    </row>
    <row r="163" spans="1:80" ht="15.75" customHeight="1">
      <c r="A163" s="24"/>
      <c r="B163" s="40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40"/>
      <c r="BF163" s="40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40"/>
      <c r="BS163" s="24"/>
      <c r="BT163" s="40"/>
      <c r="BU163" s="24"/>
      <c r="BV163" s="40"/>
      <c r="BW163" s="40"/>
      <c r="BX163" s="40"/>
      <c r="BY163" s="24"/>
      <c r="BZ163" s="24"/>
      <c r="CA163" s="24"/>
      <c r="CB163" s="24"/>
    </row>
    <row r="164" spans="1:80" ht="15.75" customHeight="1">
      <c r="A164" s="24"/>
      <c r="B164" s="40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40"/>
      <c r="BF164" s="40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40"/>
      <c r="BS164" s="24"/>
      <c r="BT164" s="40"/>
      <c r="BU164" s="24"/>
      <c r="BV164" s="40"/>
      <c r="BW164" s="40"/>
      <c r="BX164" s="40"/>
      <c r="BY164" s="24"/>
      <c r="BZ164" s="24"/>
      <c r="CA164" s="24"/>
      <c r="CB164" s="24"/>
    </row>
    <row r="165" spans="1:80" ht="15.75" customHeight="1">
      <c r="A165" s="24"/>
      <c r="B165" s="40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40"/>
      <c r="BF165" s="40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40"/>
      <c r="BS165" s="24"/>
      <c r="BT165" s="40"/>
      <c r="BU165" s="24"/>
      <c r="BV165" s="40"/>
      <c r="BW165" s="40"/>
      <c r="BX165" s="40"/>
      <c r="BY165" s="24"/>
      <c r="BZ165" s="24"/>
      <c r="CA165" s="24"/>
      <c r="CB165" s="24"/>
    </row>
    <row r="166" spans="1:80" ht="15.75" customHeight="1">
      <c r="A166" s="24"/>
      <c r="B166" s="40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40"/>
      <c r="BF166" s="40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40"/>
      <c r="BS166" s="24"/>
      <c r="BT166" s="40"/>
      <c r="BU166" s="24"/>
      <c r="BV166" s="40"/>
      <c r="BW166" s="40"/>
      <c r="BX166" s="40"/>
      <c r="BY166" s="24"/>
      <c r="BZ166" s="24"/>
      <c r="CA166" s="24"/>
      <c r="CB166" s="24"/>
    </row>
    <row r="167" spans="1:80" ht="15.75" customHeight="1">
      <c r="A167" s="24"/>
      <c r="B167" s="40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40"/>
      <c r="BF167" s="40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40"/>
      <c r="BS167" s="24"/>
      <c r="BT167" s="40"/>
      <c r="BU167" s="24"/>
      <c r="BV167" s="40"/>
      <c r="BW167" s="40"/>
      <c r="BX167" s="40"/>
      <c r="BY167" s="24"/>
      <c r="BZ167" s="24"/>
      <c r="CA167" s="24"/>
      <c r="CB167" s="24"/>
    </row>
    <row r="168" spans="1:80" ht="15.75" customHeight="1">
      <c r="A168" s="24"/>
      <c r="B168" s="40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40"/>
      <c r="BF168" s="40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40"/>
      <c r="BS168" s="24"/>
      <c r="BT168" s="40"/>
      <c r="BU168" s="24"/>
      <c r="BV168" s="40"/>
      <c r="BW168" s="40"/>
      <c r="BX168" s="40"/>
      <c r="BY168" s="24"/>
      <c r="BZ168" s="24"/>
      <c r="CA168" s="24"/>
      <c r="CB168" s="24"/>
    </row>
    <row r="169" spans="1:80" ht="15.75" customHeight="1">
      <c r="A169" s="24"/>
      <c r="B169" s="40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40"/>
      <c r="BF169" s="40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40"/>
      <c r="BS169" s="24"/>
      <c r="BT169" s="40"/>
      <c r="BU169" s="24"/>
      <c r="BV169" s="40"/>
      <c r="BW169" s="40"/>
      <c r="BX169" s="40"/>
      <c r="BY169" s="24"/>
      <c r="BZ169" s="24"/>
      <c r="CA169" s="24"/>
      <c r="CB169" s="24"/>
    </row>
    <row r="170" spans="1:80" ht="15.75" customHeight="1">
      <c r="A170" s="24"/>
      <c r="B170" s="40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40"/>
      <c r="BF170" s="40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40"/>
      <c r="BS170" s="24"/>
      <c r="BT170" s="40"/>
      <c r="BU170" s="24"/>
      <c r="BV170" s="40"/>
      <c r="BW170" s="40"/>
      <c r="BX170" s="40"/>
      <c r="BY170" s="24"/>
      <c r="BZ170" s="24"/>
      <c r="CA170" s="24"/>
      <c r="CB170" s="24"/>
    </row>
    <row r="171" spans="1:80" ht="15.75" customHeight="1">
      <c r="A171" s="24"/>
      <c r="B171" s="40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40"/>
      <c r="BF171" s="40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40"/>
      <c r="BS171" s="24"/>
      <c r="BT171" s="40"/>
      <c r="BU171" s="24"/>
      <c r="BV171" s="40"/>
      <c r="BW171" s="40"/>
      <c r="BX171" s="40"/>
      <c r="BY171" s="24"/>
      <c r="BZ171" s="24"/>
      <c r="CA171" s="24"/>
      <c r="CB171" s="24"/>
    </row>
    <row r="172" spans="1:80" ht="15.75" customHeight="1">
      <c r="A172" s="24"/>
      <c r="B172" s="40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40"/>
      <c r="BF172" s="40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40"/>
      <c r="BS172" s="24"/>
      <c r="BT172" s="40"/>
      <c r="BU172" s="24"/>
      <c r="BV172" s="40"/>
      <c r="BW172" s="40"/>
      <c r="BX172" s="40"/>
      <c r="BY172" s="24"/>
      <c r="BZ172" s="24"/>
      <c r="CA172" s="24"/>
      <c r="CB172" s="24"/>
    </row>
    <row r="173" spans="1:80" ht="15.75" customHeight="1">
      <c r="A173" s="24"/>
      <c r="B173" s="40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40"/>
      <c r="BF173" s="40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40"/>
      <c r="BS173" s="24"/>
      <c r="BT173" s="40"/>
      <c r="BU173" s="24"/>
      <c r="BV173" s="40"/>
      <c r="BW173" s="40"/>
      <c r="BX173" s="40"/>
      <c r="BY173" s="24"/>
      <c r="BZ173" s="24"/>
      <c r="CA173" s="24"/>
      <c r="CB173" s="24"/>
    </row>
    <row r="174" spans="1:80" ht="15.75" customHeight="1">
      <c r="A174" s="24"/>
      <c r="B174" s="40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40"/>
      <c r="BF174" s="40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40"/>
      <c r="BS174" s="24"/>
      <c r="BT174" s="40"/>
      <c r="BU174" s="24"/>
      <c r="BV174" s="40"/>
      <c r="BW174" s="40"/>
      <c r="BX174" s="40"/>
      <c r="BY174" s="24"/>
      <c r="BZ174" s="24"/>
      <c r="CA174" s="24"/>
      <c r="CB174" s="24"/>
    </row>
    <row r="175" spans="1:80" ht="15.75" customHeight="1">
      <c r="A175" s="24"/>
      <c r="B175" s="40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40"/>
      <c r="BF175" s="40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40"/>
      <c r="BS175" s="24"/>
      <c r="BT175" s="40"/>
      <c r="BU175" s="24"/>
      <c r="BV175" s="40"/>
      <c r="BW175" s="40"/>
      <c r="BX175" s="40"/>
      <c r="BY175" s="24"/>
      <c r="BZ175" s="24"/>
      <c r="CA175" s="24"/>
      <c r="CB175" s="24"/>
    </row>
    <row r="176" spans="1:80" ht="15.75" customHeight="1">
      <c r="A176" s="24"/>
      <c r="B176" s="40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40"/>
      <c r="BF176" s="40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40"/>
      <c r="BS176" s="24"/>
      <c r="BT176" s="40"/>
      <c r="BU176" s="24"/>
      <c r="BV176" s="40"/>
      <c r="BW176" s="40"/>
      <c r="BX176" s="40"/>
      <c r="BY176" s="24"/>
      <c r="BZ176" s="24"/>
      <c r="CA176" s="24"/>
      <c r="CB176" s="24"/>
    </row>
    <row r="177" spans="1:80" ht="15.75" customHeight="1">
      <c r="A177" s="24"/>
      <c r="B177" s="40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40"/>
      <c r="BF177" s="40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40"/>
      <c r="BS177" s="24"/>
      <c r="BT177" s="40"/>
      <c r="BU177" s="24"/>
      <c r="BV177" s="40"/>
      <c r="BW177" s="40"/>
      <c r="BX177" s="40"/>
      <c r="BY177" s="24"/>
      <c r="BZ177" s="24"/>
      <c r="CA177" s="24"/>
      <c r="CB177" s="24"/>
    </row>
    <row r="178" spans="1:80" ht="15.75" customHeight="1">
      <c r="A178" s="24"/>
      <c r="B178" s="40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40"/>
      <c r="BF178" s="40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40"/>
      <c r="BS178" s="24"/>
      <c r="BT178" s="40"/>
      <c r="BU178" s="24"/>
      <c r="BV178" s="40"/>
      <c r="BW178" s="40"/>
      <c r="BX178" s="40"/>
      <c r="BY178" s="24"/>
      <c r="BZ178" s="24"/>
      <c r="CA178" s="24"/>
      <c r="CB178" s="24"/>
    </row>
    <row r="179" spans="1:80" ht="15.75" customHeight="1">
      <c r="A179" s="24"/>
      <c r="B179" s="40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40"/>
      <c r="BF179" s="40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40"/>
      <c r="BS179" s="24"/>
      <c r="BT179" s="40"/>
      <c r="BU179" s="24"/>
      <c r="BV179" s="40"/>
      <c r="BW179" s="40"/>
      <c r="BX179" s="40"/>
      <c r="BY179" s="24"/>
      <c r="BZ179" s="24"/>
      <c r="CA179" s="24"/>
      <c r="CB179" s="24"/>
    </row>
    <row r="180" spans="1:80" ht="15.75" customHeight="1">
      <c r="A180" s="24"/>
      <c r="B180" s="40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40"/>
      <c r="BF180" s="40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40"/>
      <c r="BS180" s="24"/>
      <c r="BT180" s="40"/>
      <c r="BU180" s="24"/>
      <c r="BV180" s="40"/>
      <c r="BW180" s="40"/>
      <c r="BX180" s="40"/>
      <c r="BY180" s="24"/>
      <c r="BZ180" s="24"/>
      <c r="CA180" s="24"/>
      <c r="CB180" s="24"/>
    </row>
    <row r="181" spans="1:80" ht="15.75" customHeight="1">
      <c r="A181" s="24"/>
      <c r="B181" s="40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40"/>
      <c r="BF181" s="40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40"/>
      <c r="BS181" s="24"/>
      <c r="BT181" s="40"/>
      <c r="BU181" s="24"/>
      <c r="BV181" s="40"/>
      <c r="BW181" s="40"/>
      <c r="BX181" s="40"/>
      <c r="BY181" s="24"/>
      <c r="BZ181" s="24"/>
      <c r="CA181" s="24"/>
      <c r="CB181" s="24"/>
    </row>
    <row r="182" spans="1:80" ht="15.75" customHeight="1">
      <c r="A182" s="24"/>
      <c r="B182" s="40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40"/>
      <c r="BF182" s="40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40"/>
      <c r="BS182" s="24"/>
      <c r="BT182" s="40"/>
      <c r="BU182" s="24"/>
      <c r="BV182" s="40"/>
      <c r="BW182" s="40"/>
      <c r="BX182" s="40"/>
      <c r="BY182" s="24"/>
      <c r="BZ182" s="24"/>
      <c r="CA182" s="24"/>
      <c r="CB182" s="24"/>
    </row>
    <row r="183" spans="1:80" ht="15.75" customHeight="1">
      <c r="A183" s="24"/>
      <c r="B183" s="40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40"/>
      <c r="BF183" s="40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40"/>
      <c r="BS183" s="24"/>
      <c r="BT183" s="40"/>
      <c r="BU183" s="24"/>
      <c r="BV183" s="40"/>
      <c r="BW183" s="40"/>
      <c r="BX183" s="40"/>
      <c r="BY183" s="24"/>
      <c r="BZ183" s="24"/>
      <c r="CA183" s="24"/>
      <c r="CB183" s="24"/>
    </row>
    <row r="184" spans="1:80" ht="15.75" customHeight="1">
      <c r="A184" s="24"/>
      <c r="B184" s="40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40"/>
      <c r="BF184" s="40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40"/>
      <c r="BS184" s="24"/>
      <c r="BT184" s="40"/>
      <c r="BU184" s="24"/>
      <c r="BV184" s="40"/>
      <c r="BW184" s="40"/>
      <c r="BX184" s="40"/>
      <c r="BY184" s="24"/>
      <c r="BZ184" s="24"/>
      <c r="CA184" s="24"/>
      <c r="CB184" s="24"/>
    </row>
    <row r="185" spans="1:80" ht="15.75" customHeight="1">
      <c r="A185" s="24"/>
      <c r="B185" s="40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40"/>
      <c r="BF185" s="40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40"/>
      <c r="BS185" s="24"/>
      <c r="BT185" s="40"/>
      <c r="BU185" s="24"/>
      <c r="BV185" s="40"/>
      <c r="BW185" s="40"/>
      <c r="BX185" s="40"/>
      <c r="BY185" s="24"/>
      <c r="BZ185" s="24"/>
      <c r="CA185" s="24"/>
      <c r="CB185" s="24"/>
    </row>
    <row r="186" spans="1:80" ht="15.75" customHeight="1">
      <c r="A186" s="24"/>
      <c r="B186" s="40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40"/>
      <c r="BF186" s="40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40"/>
      <c r="BS186" s="24"/>
      <c r="BT186" s="40"/>
      <c r="BU186" s="24"/>
      <c r="BV186" s="40"/>
      <c r="BW186" s="40"/>
      <c r="BX186" s="40"/>
      <c r="BY186" s="24"/>
      <c r="BZ186" s="24"/>
      <c r="CA186" s="24"/>
      <c r="CB186" s="24"/>
    </row>
    <row r="187" spans="1:80" ht="15.75" customHeight="1">
      <c r="A187" s="24"/>
      <c r="B187" s="40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40"/>
      <c r="BF187" s="40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40"/>
      <c r="BS187" s="24"/>
      <c r="BT187" s="40"/>
      <c r="BU187" s="24"/>
      <c r="BV187" s="40"/>
      <c r="BW187" s="40"/>
      <c r="BX187" s="40"/>
      <c r="BY187" s="24"/>
      <c r="BZ187" s="24"/>
      <c r="CA187" s="24"/>
      <c r="CB187" s="24"/>
    </row>
    <row r="188" spans="1:80" ht="15.75" customHeight="1">
      <c r="A188" s="24"/>
      <c r="B188" s="40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40"/>
      <c r="BF188" s="40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40"/>
      <c r="BS188" s="24"/>
      <c r="BT188" s="40"/>
      <c r="BU188" s="24"/>
      <c r="BV188" s="40"/>
      <c r="BW188" s="40"/>
      <c r="BX188" s="40"/>
      <c r="BY188" s="24"/>
      <c r="BZ188" s="24"/>
      <c r="CA188" s="24"/>
      <c r="CB188" s="24"/>
    </row>
    <row r="189" spans="1:80" ht="15.75" customHeight="1">
      <c r="A189" s="24"/>
      <c r="B189" s="40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40"/>
      <c r="BF189" s="40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40"/>
      <c r="BS189" s="24"/>
      <c r="BT189" s="40"/>
      <c r="BU189" s="24"/>
      <c r="BV189" s="40"/>
      <c r="BW189" s="40"/>
      <c r="BX189" s="40"/>
      <c r="BY189" s="24"/>
      <c r="BZ189" s="24"/>
      <c r="CA189" s="24"/>
      <c r="CB189" s="24"/>
    </row>
    <row r="190" spans="1:80" ht="15.75" customHeight="1">
      <c r="A190" s="24"/>
      <c r="B190" s="40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40"/>
      <c r="BF190" s="40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40"/>
      <c r="BS190" s="24"/>
      <c r="BT190" s="40"/>
      <c r="BU190" s="24"/>
      <c r="BV190" s="40"/>
      <c r="BW190" s="40"/>
      <c r="BX190" s="40"/>
      <c r="BY190" s="24"/>
      <c r="BZ190" s="24"/>
      <c r="CA190" s="24"/>
      <c r="CB190" s="24"/>
    </row>
    <row r="191" spans="1:80" ht="15.75" customHeight="1">
      <c r="A191" s="24"/>
      <c r="B191" s="40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40"/>
      <c r="BF191" s="40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40"/>
      <c r="BS191" s="24"/>
      <c r="BT191" s="40"/>
      <c r="BU191" s="24"/>
      <c r="BV191" s="40"/>
      <c r="BW191" s="40"/>
      <c r="BX191" s="40"/>
      <c r="BY191" s="24"/>
      <c r="BZ191" s="24"/>
      <c r="CA191" s="24"/>
      <c r="CB191" s="24"/>
    </row>
    <row r="192" spans="1:80" ht="15.75" customHeight="1">
      <c r="A192" s="24"/>
      <c r="B192" s="40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40"/>
      <c r="BF192" s="40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40"/>
      <c r="BS192" s="24"/>
      <c r="BT192" s="40"/>
      <c r="BU192" s="24"/>
      <c r="BV192" s="40"/>
      <c r="BW192" s="40"/>
      <c r="BX192" s="40"/>
      <c r="BY192" s="24"/>
      <c r="BZ192" s="24"/>
      <c r="CA192" s="24"/>
      <c r="CB192" s="24"/>
    </row>
    <row r="193" spans="1:80" ht="15.75" customHeight="1">
      <c r="A193" s="24"/>
      <c r="B193" s="40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40"/>
      <c r="BF193" s="40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40"/>
      <c r="BS193" s="24"/>
      <c r="BT193" s="40"/>
      <c r="BU193" s="24"/>
      <c r="BV193" s="40"/>
      <c r="BW193" s="40"/>
      <c r="BX193" s="40"/>
      <c r="BY193" s="24"/>
      <c r="BZ193" s="24"/>
      <c r="CA193" s="24"/>
      <c r="CB193" s="24"/>
    </row>
    <row r="194" spans="1:80" ht="15.75" customHeight="1">
      <c r="A194" s="24"/>
      <c r="B194" s="40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40"/>
      <c r="BF194" s="40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40"/>
      <c r="BS194" s="24"/>
      <c r="BT194" s="40"/>
      <c r="BU194" s="24"/>
      <c r="BV194" s="40"/>
      <c r="BW194" s="40"/>
      <c r="BX194" s="40"/>
      <c r="BY194" s="24"/>
      <c r="BZ194" s="24"/>
      <c r="CA194" s="24"/>
      <c r="CB194" s="24"/>
    </row>
    <row r="195" spans="1:80" ht="15.75" customHeight="1">
      <c r="A195" s="24"/>
      <c r="B195" s="40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40"/>
      <c r="BF195" s="40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40"/>
      <c r="BS195" s="24"/>
      <c r="BT195" s="40"/>
      <c r="BU195" s="24"/>
      <c r="BV195" s="40"/>
      <c r="BW195" s="40"/>
      <c r="BX195" s="40"/>
      <c r="BY195" s="24"/>
      <c r="BZ195" s="24"/>
      <c r="CA195" s="24"/>
      <c r="CB195" s="24"/>
    </row>
    <row r="196" spans="1:80" ht="15.75" customHeight="1">
      <c r="A196" s="24"/>
      <c r="B196" s="40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40"/>
      <c r="BF196" s="40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40"/>
      <c r="BS196" s="24"/>
      <c r="BT196" s="40"/>
      <c r="BU196" s="24"/>
      <c r="BV196" s="40"/>
      <c r="BW196" s="40"/>
      <c r="BX196" s="40"/>
      <c r="BY196" s="24"/>
      <c r="BZ196" s="24"/>
      <c r="CA196" s="24"/>
      <c r="CB196" s="24"/>
    </row>
    <row r="197" spans="1:80" ht="15.75" customHeight="1">
      <c r="A197" s="24"/>
      <c r="B197" s="40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40"/>
      <c r="BF197" s="40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40"/>
      <c r="BS197" s="24"/>
      <c r="BT197" s="40"/>
      <c r="BU197" s="24"/>
      <c r="BV197" s="40"/>
      <c r="BW197" s="40"/>
      <c r="BX197" s="40"/>
      <c r="BY197" s="24"/>
      <c r="BZ197" s="24"/>
      <c r="CA197" s="24"/>
      <c r="CB197" s="24"/>
    </row>
    <row r="198" spans="1:80" ht="15.75" customHeight="1">
      <c r="A198" s="24"/>
      <c r="B198" s="40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40"/>
      <c r="BF198" s="40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40"/>
      <c r="BS198" s="24"/>
      <c r="BT198" s="40"/>
      <c r="BU198" s="24"/>
      <c r="BV198" s="40"/>
      <c r="BW198" s="40"/>
      <c r="BX198" s="40"/>
      <c r="BY198" s="24"/>
      <c r="BZ198" s="24"/>
      <c r="CA198" s="24"/>
      <c r="CB198" s="24"/>
    </row>
    <row r="199" spans="1:80" ht="15.75" customHeight="1">
      <c r="A199" s="24"/>
      <c r="B199" s="40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40"/>
      <c r="BF199" s="40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40"/>
      <c r="BS199" s="24"/>
      <c r="BT199" s="40"/>
      <c r="BU199" s="24"/>
      <c r="BV199" s="40"/>
      <c r="BW199" s="40"/>
      <c r="BX199" s="40"/>
      <c r="BY199" s="24"/>
      <c r="BZ199" s="24"/>
      <c r="CA199" s="24"/>
      <c r="CB199" s="24"/>
    </row>
    <row r="200" spans="1:80" ht="15.75" customHeight="1">
      <c r="A200" s="24"/>
      <c r="B200" s="40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40"/>
      <c r="BF200" s="40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40"/>
      <c r="BS200" s="24"/>
      <c r="BT200" s="40"/>
      <c r="BU200" s="24"/>
      <c r="BV200" s="40"/>
      <c r="BW200" s="40"/>
      <c r="BX200" s="40"/>
      <c r="BY200" s="24"/>
      <c r="BZ200" s="24"/>
      <c r="CA200" s="24"/>
      <c r="CB200" s="24"/>
    </row>
    <row r="201" spans="1:80" ht="15.75" customHeight="1">
      <c r="A201" s="24"/>
      <c r="B201" s="40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40"/>
      <c r="BF201" s="40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40"/>
      <c r="BS201" s="24"/>
      <c r="BT201" s="40"/>
      <c r="BU201" s="24"/>
      <c r="BV201" s="40"/>
      <c r="BW201" s="40"/>
      <c r="BX201" s="40"/>
      <c r="BY201" s="24"/>
      <c r="BZ201" s="24"/>
      <c r="CA201" s="24"/>
      <c r="CB201" s="24"/>
    </row>
    <row r="202" spans="1:80" ht="15.75" customHeight="1">
      <c r="A202" s="24"/>
      <c r="B202" s="40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40"/>
      <c r="BF202" s="40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40"/>
      <c r="BS202" s="24"/>
      <c r="BT202" s="40"/>
      <c r="BU202" s="24"/>
      <c r="BV202" s="40"/>
      <c r="BW202" s="40"/>
      <c r="BX202" s="40"/>
      <c r="BY202" s="24"/>
      <c r="BZ202" s="24"/>
      <c r="CA202" s="24"/>
      <c r="CB202" s="24"/>
    </row>
    <row r="203" spans="1:80" ht="15.75" customHeight="1">
      <c r="A203" s="24"/>
      <c r="B203" s="40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40"/>
      <c r="BF203" s="40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40"/>
      <c r="BS203" s="24"/>
      <c r="BT203" s="40"/>
      <c r="BU203" s="24"/>
      <c r="BV203" s="40"/>
      <c r="BW203" s="40"/>
      <c r="BX203" s="40"/>
      <c r="BY203" s="24"/>
      <c r="BZ203" s="24"/>
      <c r="CA203" s="24"/>
      <c r="CB203" s="24"/>
    </row>
    <row r="204" spans="1:80" ht="15.75" customHeight="1">
      <c r="A204" s="24"/>
      <c r="B204" s="40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40"/>
      <c r="BF204" s="40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40"/>
      <c r="BS204" s="24"/>
      <c r="BT204" s="40"/>
      <c r="BU204" s="24"/>
      <c r="BV204" s="40"/>
      <c r="BW204" s="40"/>
      <c r="BX204" s="40"/>
      <c r="BY204" s="24"/>
      <c r="BZ204" s="24"/>
      <c r="CA204" s="24"/>
      <c r="CB204" s="24"/>
    </row>
    <row r="205" spans="1:80" ht="15.75" customHeight="1">
      <c r="A205" s="24"/>
      <c r="B205" s="40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40"/>
      <c r="BF205" s="40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40"/>
      <c r="BS205" s="24"/>
      <c r="BT205" s="40"/>
      <c r="BU205" s="24"/>
      <c r="BV205" s="40"/>
      <c r="BW205" s="40"/>
      <c r="BX205" s="40"/>
      <c r="BY205" s="24"/>
      <c r="BZ205" s="24"/>
      <c r="CA205" s="24"/>
      <c r="CB205" s="24"/>
    </row>
    <row r="206" spans="1:80" ht="15.75" customHeight="1">
      <c r="A206" s="24"/>
      <c r="B206" s="40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40"/>
      <c r="BF206" s="40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40"/>
      <c r="BS206" s="24"/>
      <c r="BT206" s="40"/>
      <c r="BU206" s="24"/>
      <c r="BV206" s="40"/>
      <c r="BW206" s="40"/>
      <c r="BX206" s="40"/>
      <c r="BY206" s="24"/>
      <c r="BZ206" s="24"/>
      <c r="CA206" s="24"/>
      <c r="CB206" s="24"/>
    </row>
    <row r="207" spans="1:80" ht="15.75" customHeight="1">
      <c r="A207" s="24"/>
      <c r="B207" s="40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40"/>
      <c r="BF207" s="40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40"/>
      <c r="BS207" s="24"/>
      <c r="BT207" s="40"/>
      <c r="BU207" s="24"/>
      <c r="BV207" s="40"/>
      <c r="BW207" s="40"/>
      <c r="BX207" s="40"/>
      <c r="BY207" s="24"/>
      <c r="BZ207" s="24"/>
      <c r="CA207" s="24"/>
      <c r="CB207" s="24"/>
    </row>
    <row r="208" spans="1:80" ht="15.75" customHeight="1">
      <c r="A208" s="24"/>
      <c r="B208" s="40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40"/>
      <c r="BF208" s="40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40"/>
      <c r="BS208" s="24"/>
      <c r="BT208" s="40"/>
      <c r="BU208" s="24"/>
      <c r="BV208" s="40"/>
      <c r="BW208" s="40"/>
      <c r="BX208" s="40"/>
      <c r="BY208" s="24"/>
      <c r="BZ208" s="24"/>
      <c r="CA208" s="24"/>
      <c r="CB208" s="24"/>
    </row>
    <row r="209" spans="1:80" ht="15.75" customHeight="1">
      <c r="A209" s="24"/>
      <c r="B209" s="40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40"/>
      <c r="BF209" s="40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40"/>
      <c r="BS209" s="24"/>
      <c r="BT209" s="40"/>
      <c r="BU209" s="24"/>
      <c r="BV209" s="40"/>
      <c r="BW209" s="40"/>
      <c r="BX209" s="40"/>
      <c r="BY209" s="24"/>
      <c r="BZ209" s="24"/>
      <c r="CA209" s="24"/>
      <c r="CB209" s="24"/>
    </row>
    <row r="210" spans="1:80" ht="15.75" customHeight="1">
      <c r="A210" s="24"/>
      <c r="B210" s="40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40"/>
      <c r="BF210" s="40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40"/>
      <c r="BS210" s="24"/>
      <c r="BT210" s="40"/>
      <c r="BU210" s="24"/>
      <c r="BV210" s="40"/>
      <c r="BW210" s="40"/>
      <c r="BX210" s="40"/>
      <c r="BY210" s="24"/>
      <c r="BZ210" s="24"/>
      <c r="CA210" s="24"/>
      <c r="CB210" s="24"/>
    </row>
    <row r="211" spans="1:80" ht="15.75" customHeight="1">
      <c r="A211" s="24"/>
      <c r="B211" s="40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40"/>
      <c r="BF211" s="40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40"/>
      <c r="BS211" s="24"/>
      <c r="BT211" s="40"/>
      <c r="BU211" s="24"/>
      <c r="BV211" s="40"/>
      <c r="BW211" s="40"/>
      <c r="BX211" s="40"/>
      <c r="BY211" s="24"/>
      <c r="BZ211" s="24"/>
      <c r="CA211" s="24"/>
      <c r="CB211" s="24"/>
    </row>
    <row r="212" spans="1:80" ht="15.75" customHeight="1">
      <c r="A212" s="24"/>
      <c r="B212" s="40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40"/>
      <c r="BF212" s="40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40"/>
      <c r="BS212" s="24"/>
      <c r="BT212" s="40"/>
      <c r="BU212" s="24"/>
      <c r="BV212" s="40"/>
      <c r="BW212" s="40"/>
      <c r="BX212" s="40"/>
      <c r="BY212" s="24"/>
      <c r="BZ212" s="24"/>
      <c r="CA212" s="24"/>
      <c r="CB212" s="24"/>
    </row>
    <row r="213" spans="1:80" ht="15.75" customHeight="1">
      <c r="A213" s="24"/>
      <c r="B213" s="40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40"/>
      <c r="BF213" s="40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40"/>
      <c r="BS213" s="24"/>
      <c r="BT213" s="40"/>
      <c r="BU213" s="24"/>
      <c r="BV213" s="40"/>
      <c r="BW213" s="40"/>
      <c r="BX213" s="40"/>
      <c r="BY213" s="24"/>
      <c r="BZ213" s="24"/>
      <c r="CA213" s="24"/>
      <c r="CB213" s="24"/>
    </row>
    <row r="214" spans="1:80" ht="15.75" customHeight="1">
      <c r="A214" s="24"/>
      <c r="B214" s="40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40"/>
      <c r="BF214" s="40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40"/>
      <c r="BS214" s="24"/>
      <c r="BT214" s="40"/>
      <c r="BU214" s="24"/>
      <c r="BV214" s="40"/>
      <c r="BW214" s="40"/>
      <c r="BX214" s="40"/>
      <c r="BY214" s="24"/>
      <c r="BZ214" s="24"/>
      <c r="CA214" s="24"/>
      <c r="CB214" s="24"/>
    </row>
    <row r="215" spans="1:80" ht="15.75" customHeight="1">
      <c r="A215" s="24"/>
      <c r="B215" s="40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40"/>
      <c r="BF215" s="40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40"/>
      <c r="BS215" s="24"/>
      <c r="BT215" s="40"/>
      <c r="BU215" s="24"/>
      <c r="BV215" s="40"/>
      <c r="BW215" s="40"/>
      <c r="BX215" s="40"/>
      <c r="BY215" s="24"/>
      <c r="BZ215" s="24"/>
      <c r="CA215" s="24"/>
      <c r="CB215" s="24"/>
    </row>
    <row r="216" spans="1:80" ht="15.75" customHeight="1">
      <c r="A216" s="24"/>
      <c r="B216" s="40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40"/>
      <c r="BF216" s="40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40"/>
      <c r="BS216" s="24"/>
      <c r="BT216" s="40"/>
      <c r="BU216" s="24"/>
      <c r="BV216" s="40"/>
      <c r="BW216" s="40"/>
      <c r="BX216" s="40"/>
      <c r="BY216" s="24"/>
      <c r="BZ216" s="24"/>
      <c r="CA216" s="24"/>
      <c r="CB216" s="24"/>
    </row>
    <row r="217" spans="1:80" ht="15.75" customHeight="1">
      <c r="A217" s="24"/>
      <c r="B217" s="40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40"/>
      <c r="BF217" s="40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40"/>
      <c r="BS217" s="24"/>
      <c r="BT217" s="40"/>
      <c r="BU217" s="24"/>
      <c r="BV217" s="40"/>
      <c r="BW217" s="40"/>
      <c r="BX217" s="40"/>
      <c r="BY217" s="24"/>
      <c r="BZ217" s="24"/>
      <c r="CA217" s="24"/>
      <c r="CB217" s="24"/>
    </row>
    <row r="218" spans="1:80" ht="15.75" customHeight="1">
      <c r="A218" s="24"/>
      <c r="B218" s="40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40"/>
      <c r="BF218" s="40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40"/>
      <c r="BS218" s="24"/>
      <c r="BT218" s="40"/>
      <c r="BU218" s="24"/>
      <c r="BV218" s="40"/>
      <c r="BW218" s="40"/>
      <c r="BX218" s="40"/>
      <c r="BY218" s="24"/>
      <c r="BZ218" s="24"/>
      <c r="CA218" s="24"/>
      <c r="CB218" s="24"/>
    </row>
    <row r="219" spans="1:80" ht="15.75" customHeight="1">
      <c r="A219" s="24"/>
      <c r="B219" s="40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40"/>
      <c r="BF219" s="40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40"/>
      <c r="BS219" s="24"/>
      <c r="BT219" s="40"/>
      <c r="BU219" s="24"/>
      <c r="BV219" s="40"/>
      <c r="BW219" s="40"/>
      <c r="BX219" s="40"/>
      <c r="BY219" s="24"/>
      <c r="BZ219" s="24"/>
      <c r="CA219" s="24"/>
      <c r="CB219" s="24"/>
    </row>
    <row r="220" spans="1:80" ht="15.75" customHeight="1">
      <c r="A220" s="24"/>
      <c r="B220" s="40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40"/>
      <c r="BF220" s="40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40"/>
      <c r="BS220" s="24"/>
      <c r="BT220" s="40"/>
      <c r="BU220" s="24"/>
      <c r="BV220" s="40"/>
      <c r="BW220" s="40"/>
      <c r="BX220" s="40"/>
      <c r="BY220" s="24"/>
      <c r="BZ220" s="24"/>
      <c r="CA220" s="24"/>
      <c r="CB220" s="24"/>
    </row>
    <row r="221" spans="1:80" ht="15.75" customHeight="1">
      <c r="A221" s="24"/>
      <c r="B221" s="40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40"/>
      <c r="BF221" s="40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40"/>
      <c r="BS221" s="24"/>
      <c r="BT221" s="40"/>
      <c r="BU221" s="24"/>
      <c r="BV221" s="40"/>
      <c r="BW221" s="40"/>
      <c r="BX221" s="40"/>
      <c r="BY221" s="24"/>
      <c r="BZ221" s="24"/>
      <c r="CA221" s="24"/>
      <c r="CB221" s="24"/>
    </row>
    <row r="222" spans="1:80" ht="15.75" customHeight="1">
      <c r="A222" s="24"/>
      <c r="B222" s="40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40"/>
      <c r="BF222" s="40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40"/>
      <c r="BS222" s="24"/>
      <c r="BT222" s="40"/>
      <c r="BU222" s="24"/>
      <c r="BV222" s="40"/>
      <c r="BW222" s="40"/>
      <c r="BX222" s="40"/>
      <c r="BY222" s="24"/>
      <c r="BZ222" s="24"/>
      <c r="CA222" s="24"/>
      <c r="CB222" s="24"/>
    </row>
    <row r="223" spans="1:80" ht="15.75" customHeight="1">
      <c r="A223" s="24"/>
      <c r="B223" s="40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40"/>
      <c r="BF223" s="40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40"/>
      <c r="BS223" s="24"/>
      <c r="BT223" s="40"/>
      <c r="BU223" s="24"/>
      <c r="BV223" s="40"/>
      <c r="BW223" s="40"/>
      <c r="BX223" s="40"/>
      <c r="BY223" s="24"/>
      <c r="BZ223" s="24"/>
      <c r="CA223" s="24"/>
      <c r="CB223" s="24"/>
    </row>
    <row r="224" spans="1:80" ht="15.75" customHeight="1">
      <c r="A224" s="24"/>
      <c r="B224" s="40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40"/>
      <c r="BF224" s="40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40"/>
      <c r="BS224" s="24"/>
      <c r="BT224" s="40"/>
      <c r="BU224" s="24"/>
      <c r="BV224" s="40"/>
      <c r="BW224" s="40"/>
      <c r="BX224" s="40"/>
      <c r="BY224" s="24"/>
      <c r="BZ224" s="24"/>
      <c r="CA224" s="24"/>
      <c r="CB224" s="24"/>
    </row>
    <row r="225" spans="1:80" ht="15.75" customHeight="1">
      <c r="A225" s="24"/>
      <c r="B225" s="40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40"/>
      <c r="BF225" s="40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40"/>
      <c r="BS225" s="24"/>
      <c r="BT225" s="40"/>
      <c r="BU225" s="24"/>
      <c r="BV225" s="40"/>
      <c r="BW225" s="40"/>
      <c r="BX225" s="40"/>
      <c r="BY225" s="24"/>
      <c r="BZ225" s="24"/>
      <c r="CA225" s="24"/>
      <c r="CB225" s="24"/>
    </row>
    <row r="226" spans="1:80" ht="15.75" customHeight="1">
      <c r="A226" s="24"/>
      <c r="B226" s="40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40"/>
      <c r="BF226" s="40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40"/>
      <c r="BS226" s="24"/>
      <c r="BT226" s="40"/>
      <c r="BU226" s="24"/>
      <c r="BV226" s="40"/>
      <c r="BW226" s="40"/>
      <c r="BX226" s="40"/>
      <c r="BY226" s="24"/>
      <c r="BZ226" s="24"/>
      <c r="CA226" s="24"/>
      <c r="CB226" s="24"/>
    </row>
    <row r="227" spans="1:80" ht="15.75" customHeight="1">
      <c r="A227" s="24"/>
      <c r="B227" s="40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40"/>
      <c r="BF227" s="40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40"/>
      <c r="BS227" s="24"/>
      <c r="BT227" s="40"/>
      <c r="BU227" s="24"/>
      <c r="BV227" s="40"/>
      <c r="BW227" s="40"/>
      <c r="BX227" s="40"/>
      <c r="BY227" s="24"/>
      <c r="BZ227" s="24"/>
      <c r="CA227" s="24"/>
      <c r="CB227" s="24"/>
    </row>
    <row r="228" spans="1:80" ht="15.75" customHeight="1">
      <c r="A228" s="24"/>
      <c r="B228" s="40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40"/>
      <c r="BF228" s="40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40"/>
      <c r="BS228" s="24"/>
      <c r="BT228" s="40"/>
      <c r="BU228" s="24"/>
      <c r="BV228" s="40"/>
      <c r="BW228" s="40"/>
      <c r="BX228" s="40"/>
      <c r="BY228" s="24"/>
      <c r="BZ228" s="24"/>
      <c r="CA228" s="24"/>
      <c r="CB228" s="24"/>
    </row>
    <row r="229" spans="1:80" ht="15.75" customHeight="1">
      <c r="A229" s="24"/>
      <c r="B229" s="40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40"/>
      <c r="BF229" s="40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40"/>
      <c r="BS229" s="24"/>
      <c r="BT229" s="40"/>
      <c r="BU229" s="24"/>
      <c r="BV229" s="40"/>
      <c r="BW229" s="40"/>
      <c r="BX229" s="40"/>
      <c r="BY229" s="24"/>
      <c r="BZ229" s="24"/>
      <c r="CA229" s="24"/>
      <c r="CB229" s="24"/>
    </row>
    <row r="230" spans="1:80" ht="15.75" customHeight="1">
      <c r="A230" s="24"/>
      <c r="B230" s="40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40"/>
      <c r="BF230" s="40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40"/>
      <c r="BS230" s="24"/>
      <c r="BT230" s="40"/>
      <c r="BU230" s="24"/>
      <c r="BV230" s="40"/>
      <c r="BW230" s="40"/>
      <c r="BX230" s="40"/>
      <c r="BY230" s="24"/>
      <c r="BZ230" s="24"/>
      <c r="CA230" s="24"/>
      <c r="CB230" s="24"/>
    </row>
    <row r="231" spans="1:80" ht="15.75" customHeight="1">
      <c r="A231" s="24"/>
      <c r="B231" s="40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40"/>
      <c r="BF231" s="40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40"/>
      <c r="BS231" s="24"/>
      <c r="BT231" s="40"/>
      <c r="BU231" s="24"/>
      <c r="BV231" s="40"/>
      <c r="BW231" s="40"/>
      <c r="BX231" s="40"/>
      <c r="BY231" s="24"/>
      <c r="BZ231" s="24"/>
      <c r="CA231" s="24"/>
      <c r="CB231" s="24"/>
    </row>
    <row r="232" spans="1:80" ht="15.75" customHeight="1">
      <c r="A232" s="24"/>
      <c r="B232" s="40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40"/>
      <c r="BF232" s="40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40"/>
      <c r="BS232" s="24"/>
      <c r="BT232" s="40"/>
      <c r="BU232" s="24"/>
      <c r="BV232" s="40"/>
      <c r="BW232" s="40"/>
      <c r="BX232" s="40"/>
      <c r="BY232" s="24"/>
      <c r="BZ232" s="24"/>
      <c r="CA232" s="24"/>
      <c r="CB232" s="24"/>
    </row>
    <row r="233" spans="1:80" ht="15.75" customHeight="1">
      <c r="A233" s="24"/>
      <c r="B233" s="40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40"/>
      <c r="BF233" s="40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40"/>
      <c r="BS233" s="24"/>
      <c r="BT233" s="40"/>
      <c r="BU233" s="24"/>
      <c r="BV233" s="40"/>
      <c r="BW233" s="40"/>
      <c r="BX233" s="40"/>
      <c r="BY233" s="24"/>
      <c r="BZ233" s="24"/>
      <c r="CA233" s="24"/>
      <c r="CB233" s="24"/>
    </row>
    <row r="234" spans="1:80" ht="15.75" customHeight="1">
      <c r="A234" s="24"/>
      <c r="B234" s="40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40"/>
      <c r="BF234" s="40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40"/>
      <c r="BS234" s="24"/>
      <c r="BT234" s="40"/>
      <c r="BU234" s="24"/>
      <c r="BV234" s="40"/>
      <c r="BW234" s="40"/>
      <c r="BX234" s="40"/>
      <c r="BY234" s="24"/>
      <c r="BZ234" s="24"/>
      <c r="CA234" s="24"/>
      <c r="CB234" s="24"/>
    </row>
    <row r="235" spans="1:80" ht="15.75" customHeight="1">
      <c r="A235" s="24"/>
      <c r="B235" s="40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40"/>
      <c r="BF235" s="40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40"/>
      <c r="BS235" s="24"/>
      <c r="BT235" s="40"/>
      <c r="BU235" s="24"/>
      <c r="BV235" s="40"/>
      <c r="BW235" s="40"/>
      <c r="BX235" s="40"/>
      <c r="BY235" s="24"/>
      <c r="BZ235" s="24"/>
      <c r="CA235" s="24"/>
      <c r="CB235" s="24"/>
    </row>
    <row r="236" spans="1:80" ht="15.75" customHeight="1">
      <c r="A236" s="24"/>
      <c r="B236" s="40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40"/>
      <c r="BF236" s="40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40"/>
      <c r="BS236" s="24"/>
      <c r="BT236" s="40"/>
      <c r="BU236" s="24"/>
      <c r="BV236" s="40"/>
      <c r="BW236" s="40"/>
      <c r="BX236" s="40"/>
      <c r="BY236" s="24"/>
      <c r="BZ236" s="24"/>
      <c r="CA236" s="24"/>
      <c r="CB236" s="24"/>
    </row>
    <row r="237" spans="1:80" ht="15.75" customHeight="1">
      <c r="A237" s="24"/>
      <c r="B237" s="40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40"/>
      <c r="BF237" s="40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40"/>
      <c r="BS237" s="24"/>
      <c r="BT237" s="40"/>
      <c r="BU237" s="24"/>
      <c r="BV237" s="40"/>
      <c r="BW237" s="40"/>
      <c r="BX237" s="40"/>
      <c r="BY237" s="24"/>
      <c r="BZ237" s="24"/>
      <c r="CA237" s="24"/>
      <c r="CB237" s="24"/>
    </row>
    <row r="238" spans="1:80" ht="15.75" customHeight="1">
      <c r="A238" s="24"/>
      <c r="B238" s="40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40"/>
      <c r="BF238" s="40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40"/>
      <c r="BS238" s="24"/>
      <c r="BT238" s="40"/>
      <c r="BU238" s="24"/>
      <c r="BV238" s="40"/>
      <c r="BW238" s="40"/>
      <c r="BX238" s="40"/>
      <c r="BY238" s="24"/>
      <c r="BZ238" s="24"/>
      <c r="CA238" s="24"/>
      <c r="CB238" s="24"/>
    </row>
    <row r="239" spans="1:80" ht="15.75" customHeight="1">
      <c r="A239" s="24"/>
      <c r="B239" s="40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40"/>
      <c r="BF239" s="40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40"/>
      <c r="BS239" s="24"/>
      <c r="BT239" s="40"/>
      <c r="BU239" s="24"/>
      <c r="BV239" s="40"/>
      <c r="BW239" s="40"/>
      <c r="BX239" s="40"/>
      <c r="BY239" s="24"/>
      <c r="BZ239" s="24"/>
      <c r="CA239" s="24"/>
      <c r="CB239" s="24"/>
    </row>
    <row r="240" spans="1:80" ht="15.75" customHeight="1">
      <c r="A240" s="24"/>
      <c r="B240" s="40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40"/>
      <c r="BF240" s="40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40"/>
      <c r="BS240" s="24"/>
      <c r="BT240" s="40"/>
      <c r="BU240" s="24"/>
      <c r="BV240" s="40"/>
      <c r="BW240" s="40"/>
      <c r="BX240" s="40"/>
      <c r="BY240" s="24"/>
      <c r="BZ240" s="24"/>
      <c r="CA240" s="24"/>
      <c r="CB240" s="24"/>
    </row>
    <row r="241" spans="1:80" ht="15.75" customHeight="1">
      <c r="A241" s="24"/>
      <c r="B241" s="40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40"/>
      <c r="BF241" s="40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40"/>
      <c r="BS241" s="24"/>
      <c r="BT241" s="40"/>
      <c r="BU241" s="24"/>
      <c r="BV241" s="40"/>
      <c r="BW241" s="40"/>
      <c r="BX241" s="40"/>
      <c r="BY241" s="24"/>
      <c r="BZ241" s="24"/>
      <c r="CA241" s="24"/>
      <c r="CB241" s="24"/>
    </row>
    <row r="242" spans="1:80" ht="15.75" customHeight="1">
      <c r="A242" s="24"/>
      <c r="B242" s="40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40"/>
      <c r="BF242" s="40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40"/>
      <c r="BS242" s="24"/>
      <c r="BT242" s="40"/>
      <c r="BU242" s="24"/>
      <c r="BV242" s="40"/>
      <c r="BW242" s="40"/>
      <c r="BX242" s="40"/>
      <c r="BY242" s="24"/>
      <c r="BZ242" s="24"/>
      <c r="CA242" s="24"/>
      <c r="CB242" s="24"/>
    </row>
    <row r="243" spans="1:80" ht="15.75" customHeight="1">
      <c r="A243" s="24"/>
      <c r="B243" s="40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40"/>
      <c r="BF243" s="40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40"/>
      <c r="BS243" s="24"/>
      <c r="BT243" s="40"/>
      <c r="BU243" s="24"/>
      <c r="BV243" s="40"/>
      <c r="BW243" s="40"/>
      <c r="BX243" s="40"/>
      <c r="BY243" s="24"/>
      <c r="BZ243" s="24"/>
      <c r="CA243" s="24"/>
      <c r="CB243" s="24"/>
    </row>
    <row r="244" spans="1:80" ht="15.75" customHeight="1">
      <c r="A244" s="24"/>
      <c r="B244" s="40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40"/>
      <c r="BF244" s="40"/>
      <c r="BG244" s="24"/>
      <c r="BH244" s="24"/>
      <c r="BI244" s="24"/>
      <c r="BJ244" s="24"/>
      <c r="BK244" s="24"/>
      <c r="BM244" s="24"/>
      <c r="BN244" s="24"/>
      <c r="BO244" s="24"/>
      <c r="BP244" s="24"/>
      <c r="BQ244" s="24"/>
      <c r="BR244" s="40"/>
      <c r="BS244" s="24"/>
      <c r="BT244" s="40"/>
      <c r="BU244" s="24"/>
      <c r="BV244" s="40"/>
      <c r="BW244" s="40"/>
      <c r="BX244" s="40"/>
      <c r="BY244" s="24"/>
      <c r="BZ244" s="24"/>
      <c r="CA244" s="24"/>
      <c r="CB244" s="24"/>
    </row>
    <row r="245" spans="1:80" ht="15.75" customHeight="1">
      <c r="B245" s="46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E245" s="46"/>
      <c r="BF245" s="46"/>
      <c r="BJ245" s="24"/>
      <c r="BR245" s="46"/>
      <c r="BT245" s="46"/>
      <c r="BV245" s="46"/>
      <c r="BW245" s="46"/>
      <c r="BX245" s="46"/>
    </row>
    <row r="246" spans="1:80" ht="15.75" customHeight="1">
      <c r="B246" s="4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E246" s="46"/>
      <c r="BF246" s="46"/>
      <c r="BJ246" s="24"/>
      <c r="BR246" s="46"/>
      <c r="BT246" s="46"/>
      <c r="BV246" s="46"/>
      <c r="BW246" s="46"/>
      <c r="BX246" s="46"/>
    </row>
    <row r="247" spans="1:80" ht="15.75" customHeight="1">
      <c r="B247" s="46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E247" s="46"/>
      <c r="BF247" s="46"/>
      <c r="BJ247" s="24"/>
      <c r="BR247" s="46"/>
      <c r="BT247" s="46"/>
      <c r="BV247" s="46"/>
      <c r="BW247" s="46"/>
      <c r="BX247" s="46"/>
    </row>
    <row r="248" spans="1:80" ht="15.75" customHeight="1">
      <c r="B248" s="46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E248" s="46"/>
      <c r="BF248" s="46"/>
      <c r="BJ248" s="24"/>
      <c r="BR248" s="46"/>
      <c r="BT248" s="46"/>
      <c r="BV248" s="46"/>
      <c r="BW248" s="46"/>
      <c r="BX248" s="46"/>
    </row>
    <row r="249" spans="1:80" ht="15.75" customHeight="1">
      <c r="B249" s="46"/>
      <c r="BE249" s="46"/>
      <c r="BF249" s="46"/>
      <c r="BR249" s="46"/>
      <c r="BT249" s="46"/>
      <c r="BV249" s="46"/>
      <c r="BW249" s="46"/>
      <c r="BX249" s="46"/>
    </row>
    <row r="250" spans="1:80" ht="15.75" customHeight="1">
      <c r="B250" s="46"/>
      <c r="BE250" s="46"/>
      <c r="BF250" s="46"/>
      <c r="BR250" s="46"/>
      <c r="BT250" s="46"/>
      <c r="BV250" s="46"/>
      <c r="BW250" s="46"/>
      <c r="BX250" s="46"/>
    </row>
    <row r="251" spans="1:80" ht="15.75" customHeight="1">
      <c r="B251" s="46"/>
      <c r="BE251" s="46"/>
      <c r="BF251" s="46"/>
      <c r="BR251" s="46"/>
      <c r="BT251" s="46"/>
      <c r="BV251" s="46"/>
      <c r="BW251" s="46"/>
      <c r="BX251" s="46"/>
    </row>
    <row r="252" spans="1:80" ht="15.75" customHeight="1">
      <c r="B252" s="46"/>
      <c r="BE252" s="46"/>
      <c r="BF252" s="46"/>
      <c r="BR252" s="46"/>
      <c r="BT252" s="46"/>
      <c r="BV252" s="46"/>
      <c r="BW252" s="46"/>
      <c r="BX252" s="46"/>
    </row>
    <row r="253" spans="1:80" ht="15.75" customHeight="1">
      <c r="B253" s="46"/>
      <c r="BE253" s="46"/>
      <c r="BF253" s="46"/>
      <c r="BR253" s="46"/>
      <c r="BT253" s="46"/>
      <c r="BV253" s="46"/>
      <c r="BW253" s="46"/>
      <c r="BX253" s="46"/>
    </row>
    <row r="254" spans="1:80" ht="15.75" customHeight="1">
      <c r="B254" s="46"/>
      <c r="BE254" s="46"/>
      <c r="BF254" s="46"/>
      <c r="BR254" s="46"/>
      <c r="BT254" s="46"/>
      <c r="BV254" s="46"/>
      <c r="BW254" s="46"/>
      <c r="BX254" s="46"/>
    </row>
    <row r="255" spans="1:80" ht="15.75" customHeight="1">
      <c r="B255" s="46"/>
      <c r="BE255" s="46"/>
      <c r="BF255" s="46"/>
      <c r="BR255" s="46"/>
      <c r="BT255" s="46"/>
      <c r="BV255" s="46"/>
      <c r="BW255" s="46"/>
      <c r="BX255" s="46"/>
    </row>
    <row r="256" spans="1:80" ht="15.75" customHeight="1">
      <c r="B256" s="46"/>
      <c r="BE256" s="46"/>
      <c r="BF256" s="46"/>
      <c r="BR256" s="46"/>
      <c r="BT256" s="46"/>
      <c r="BV256" s="46"/>
      <c r="BW256" s="46"/>
      <c r="BX256" s="46"/>
    </row>
    <row r="257" spans="2:76" ht="15.75" customHeight="1">
      <c r="B257" s="46"/>
      <c r="BE257" s="46"/>
      <c r="BF257" s="46"/>
      <c r="BR257" s="46"/>
      <c r="BT257" s="46"/>
      <c r="BV257" s="46"/>
      <c r="BW257" s="46"/>
      <c r="BX257" s="46"/>
    </row>
    <row r="258" spans="2:76" ht="15.75" customHeight="1">
      <c r="B258" s="46"/>
      <c r="BE258" s="46"/>
      <c r="BF258" s="46"/>
      <c r="BR258" s="46"/>
      <c r="BT258" s="46"/>
      <c r="BV258" s="46"/>
      <c r="BW258" s="46"/>
      <c r="BX258" s="46"/>
    </row>
    <row r="259" spans="2:76" ht="15.75" customHeight="1">
      <c r="B259" s="46"/>
      <c r="BE259" s="46"/>
      <c r="BF259" s="46"/>
      <c r="BR259" s="46"/>
      <c r="BT259" s="46"/>
      <c r="BV259" s="46"/>
      <c r="BW259" s="46"/>
      <c r="BX259" s="46"/>
    </row>
    <row r="260" spans="2:76" ht="15.75" customHeight="1">
      <c r="B260" s="46"/>
      <c r="BE260" s="46"/>
      <c r="BF260" s="46"/>
      <c r="BR260" s="46"/>
      <c r="BT260" s="46"/>
      <c r="BV260" s="46"/>
      <c r="BW260" s="46"/>
      <c r="BX260" s="46"/>
    </row>
    <row r="261" spans="2:76" ht="15.75" customHeight="1">
      <c r="B261" s="46"/>
      <c r="BE261" s="46"/>
      <c r="BF261" s="46"/>
      <c r="BR261" s="46"/>
      <c r="BT261" s="46"/>
      <c r="BV261" s="46"/>
      <c r="BW261" s="46"/>
      <c r="BX261" s="46"/>
    </row>
    <row r="262" spans="2:76" ht="15.75" customHeight="1">
      <c r="B262" s="46"/>
      <c r="BE262" s="46"/>
      <c r="BF262" s="46"/>
      <c r="BR262" s="46"/>
      <c r="BT262" s="46"/>
      <c r="BV262" s="46"/>
      <c r="BW262" s="46"/>
      <c r="BX262" s="46"/>
    </row>
    <row r="263" spans="2:76" ht="15.75" customHeight="1">
      <c r="B263" s="46"/>
      <c r="BE263" s="46"/>
      <c r="BF263" s="46"/>
      <c r="BR263" s="46"/>
      <c r="BT263" s="46"/>
      <c r="BV263" s="46"/>
      <c r="BW263" s="46"/>
      <c r="BX263" s="46"/>
    </row>
    <row r="264" spans="2:76" ht="15.75" customHeight="1">
      <c r="B264" s="46"/>
      <c r="BE264" s="46"/>
      <c r="BF264" s="46"/>
      <c r="BR264" s="46"/>
      <c r="BT264" s="46"/>
      <c r="BV264" s="46"/>
      <c r="BW264" s="46"/>
      <c r="BX264" s="46"/>
    </row>
    <row r="265" spans="2:76" ht="15.75" customHeight="1">
      <c r="B265" s="46"/>
      <c r="BE265" s="46"/>
      <c r="BF265" s="46"/>
      <c r="BR265" s="46"/>
      <c r="BT265" s="46"/>
      <c r="BV265" s="46"/>
      <c r="BW265" s="46"/>
      <c r="BX265" s="46"/>
    </row>
    <row r="266" spans="2:76" ht="15.75" customHeight="1">
      <c r="B266" s="46"/>
      <c r="BE266" s="46"/>
      <c r="BF266" s="46"/>
      <c r="BR266" s="46"/>
      <c r="BT266" s="46"/>
      <c r="BV266" s="46"/>
      <c r="BW266" s="46"/>
      <c r="BX266" s="46"/>
    </row>
    <row r="267" spans="2:76" ht="15.75" customHeight="1">
      <c r="B267" s="46"/>
      <c r="BE267" s="46"/>
      <c r="BF267" s="46"/>
      <c r="BR267" s="46"/>
      <c r="BT267" s="46"/>
      <c r="BV267" s="46"/>
      <c r="BW267" s="46"/>
      <c r="BX267" s="46"/>
    </row>
    <row r="268" spans="2:76" ht="15.75" customHeight="1">
      <c r="B268" s="46"/>
      <c r="BE268" s="46"/>
      <c r="BF268" s="46"/>
      <c r="BR268" s="46"/>
      <c r="BT268" s="46"/>
      <c r="BV268" s="46"/>
      <c r="BW268" s="46"/>
      <c r="BX268" s="46"/>
    </row>
    <row r="269" spans="2:76" ht="15.75" customHeight="1">
      <c r="B269" s="46"/>
      <c r="BE269" s="46"/>
      <c r="BF269" s="46"/>
      <c r="BR269" s="46"/>
      <c r="BT269" s="46"/>
      <c r="BV269" s="46"/>
      <c r="BW269" s="46"/>
      <c r="BX269" s="46"/>
    </row>
    <row r="270" spans="2:76" ht="15.75" customHeight="1">
      <c r="B270" s="46"/>
      <c r="BE270" s="46"/>
      <c r="BF270" s="46"/>
      <c r="BR270" s="46"/>
      <c r="BT270" s="46"/>
      <c r="BV270" s="46"/>
      <c r="BW270" s="46"/>
      <c r="BX270" s="46"/>
    </row>
    <row r="271" spans="2:76" ht="15.75" customHeight="1">
      <c r="B271" s="46"/>
      <c r="BE271" s="46"/>
      <c r="BF271" s="46"/>
      <c r="BR271" s="46"/>
      <c r="BT271" s="46"/>
      <c r="BV271" s="46"/>
      <c r="BW271" s="46"/>
      <c r="BX271" s="46"/>
    </row>
    <row r="272" spans="2:76" ht="15.75" customHeight="1">
      <c r="B272" s="46"/>
      <c r="BE272" s="46"/>
      <c r="BF272" s="46"/>
      <c r="BR272" s="46"/>
      <c r="BT272" s="46"/>
      <c r="BV272" s="46"/>
      <c r="BW272" s="46"/>
      <c r="BX272" s="46"/>
    </row>
    <row r="273" spans="2:76" ht="15.75" customHeight="1">
      <c r="B273" s="46"/>
      <c r="BE273" s="46"/>
      <c r="BF273" s="46"/>
      <c r="BR273" s="46"/>
      <c r="BT273" s="46"/>
      <c r="BV273" s="46"/>
      <c r="BW273" s="46"/>
      <c r="BX273" s="46"/>
    </row>
    <row r="274" spans="2:76" ht="15.75" customHeight="1">
      <c r="B274" s="46"/>
      <c r="BE274" s="46"/>
      <c r="BF274" s="46"/>
      <c r="BR274" s="46"/>
      <c r="BT274" s="46"/>
      <c r="BV274" s="46"/>
      <c r="BW274" s="46"/>
      <c r="BX274" s="46"/>
    </row>
    <row r="275" spans="2:76" ht="15.75" customHeight="1">
      <c r="B275" s="46"/>
      <c r="BE275" s="46"/>
      <c r="BF275" s="46"/>
      <c r="BR275" s="46"/>
      <c r="BT275" s="46"/>
      <c r="BV275" s="46"/>
      <c r="BW275" s="46"/>
      <c r="BX275" s="46"/>
    </row>
    <row r="276" spans="2:76" ht="15.75" customHeight="1">
      <c r="B276" s="46"/>
      <c r="BE276" s="46"/>
      <c r="BF276" s="46"/>
      <c r="BR276" s="46"/>
      <c r="BT276" s="46"/>
      <c r="BV276" s="46"/>
      <c r="BW276" s="46"/>
      <c r="BX276" s="46"/>
    </row>
    <row r="277" spans="2:76" ht="15.75" customHeight="1">
      <c r="B277" s="46"/>
      <c r="BE277" s="46"/>
      <c r="BF277" s="46"/>
      <c r="BR277" s="46"/>
      <c r="BT277" s="46"/>
      <c r="BV277" s="46"/>
      <c r="BW277" s="46"/>
      <c r="BX277" s="46"/>
    </row>
    <row r="278" spans="2:76" ht="15.75" customHeight="1">
      <c r="B278" s="46"/>
      <c r="BE278" s="46"/>
      <c r="BF278" s="46"/>
      <c r="BR278" s="46"/>
      <c r="BT278" s="46"/>
      <c r="BV278" s="46"/>
      <c r="BW278" s="46"/>
      <c r="BX278" s="46"/>
    </row>
    <row r="279" spans="2:76" ht="15.75" customHeight="1">
      <c r="B279" s="46"/>
      <c r="BE279" s="46"/>
      <c r="BF279" s="46"/>
      <c r="BR279" s="46"/>
      <c r="BT279" s="46"/>
      <c r="BV279" s="46"/>
      <c r="BW279" s="46"/>
      <c r="BX279" s="46"/>
    </row>
    <row r="280" spans="2:76" ht="15.75" customHeight="1">
      <c r="B280" s="46"/>
      <c r="BE280" s="46"/>
      <c r="BF280" s="46"/>
      <c r="BR280" s="46"/>
      <c r="BT280" s="46"/>
      <c r="BV280" s="46"/>
      <c r="BW280" s="46"/>
      <c r="BX280" s="46"/>
    </row>
    <row r="281" spans="2:76" ht="15.75" customHeight="1">
      <c r="B281" s="46"/>
      <c r="BE281" s="46"/>
      <c r="BF281" s="46"/>
      <c r="BR281" s="46"/>
      <c r="BT281" s="46"/>
      <c r="BV281" s="46"/>
      <c r="BW281" s="46"/>
      <c r="BX281" s="46"/>
    </row>
    <row r="282" spans="2:76" ht="15.75" customHeight="1">
      <c r="B282" s="46"/>
      <c r="BE282" s="46"/>
      <c r="BF282" s="46"/>
      <c r="BR282" s="46"/>
      <c r="BT282" s="46"/>
      <c r="BV282" s="46"/>
      <c r="BW282" s="46"/>
      <c r="BX282" s="46"/>
    </row>
    <row r="283" spans="2:76" ht="15.75" customHeight="1">
      <c r="B283" s="46"/>
      <c r="BE283" s="46"/>
      <c r="BF283" s="46"/>
      <c r="BR283" s="46"/>
      <c r="BT283" s="46"/>
      <c r="BV283" s="46"/>
      <c r="BW283" s="46"/>
      <c r="BX283" s="46"/>
    </row>
    <row r="284" spans="2:76" ht="15.75" customHeight="1">
      <c r="B284" s="46"/>
      <c r="BE284" s="46"/>
      <c r="BF284" s="46"/>
      <c r="BR284" s="46"/>
      <c r="BT284" s="46"/>
      <c r="BV284" s="46"/>
      <c r="BW284" s="46"/>
      <c r="BX284" s="46"/>
    </row>
    <row r="285" spans="2:76" ht="15.75" customHeight="1">
      <c r="B285" s="46"/>
      <c r="BE285" s="46"/>
      <c r="BF285" s="46"/>
      <c r="BR285" s="46"/>
      <c r="BT285" s="46"/>
      <c r="BV285" s="46"/>
      <c r="BW285" s="46"/>
      <c r="BX285" s="46"/>
    </row>
    <row r="286" spans="2:76" ht="15.75" customHeight="1">
      <c r="B286" s="46"/>
      <c r="BE286" s="46"/>
      <c r="BF286" s="46"/>
      <c r="BR286" s="46"/>
      <c r="BT286" s="46"/>
      <c r="BV286" s="46"/>
      <c r="BW286" s="46"/>
      <c r="BX286" s="46"/>
    </row>
    <row r="287" spans="2:76" ht="15.75" customHeight="1">
      <c r="B287" s="46"/>
      <c r="BE287" s="46"/>
      <c r="BF287" s="46"/>
      <c r="BR287" s="46"/>
      <c r="BT287" s="46"/>
      <c r="BV287" s="46"/>
      <c r="BW287" s="46"/>
      <c r="BX287" s="46"/>
    </row>
    <row r="288" spans="2:76" ht="15.75" customHeight="1">
      <c r="B288" s="46"/>
      <c r="BE288" s="46"/>
      <c r="BF288" s="46"/>
      <c r="BR288" s="46"/>
      <c r="BT288" s="46"/>
      <c r="BV288" s="46"/>
      <c r="BW288" s="46"/>
      <c r="BX288" s="46"/>
    </row>
    <row r="289" spans="2:76" ht="15.75" customHeight="1">
      <c r="B289" s="46"/>
      <c r="BE289" s="46"/>
      <c r="BF289" s="46"/>
      <c r="BR289" s="46"/>
      <c r="BT289" s="46"/>
      <c r="BV289" s="46"/>
      <c r="BW289" s="46"/>
      <c r="BX289" s="46"/>
    </row>
    <row r="290" spans="2:76" ht="15.75" customHeight="1">
      <c r="B290" s="46"/>
      <c r="BE290" s="46"/>
      <c r="BF290" s="46"/>
      <c r="BR290" s="46"/>
      <c r="BT290" s="46"/>
      <c r="BV290" s="46"/>
      <c r="BW290" s="46"/>
      <c r="BX290" s="46"/>
    </row>
    <row r="291" spans="2:76" ht="15.75" customHeight="1">
      <c r="B291" s="46"/>
      <c r="BE291" s="46"/>
      <c r="BF291" s="46"/>
      <c r="BR291" s="46"/>
      <c r="BT291" s="46"/>
      <c r="BV291" s="46"/>
      <c r="BW291" s="46"/>
      <c r="BX291" s="46"/>
    </row>
    <row r="292" spans="2:76" ht="15.75" customHeight="1">
      <c r="B292" s="46"/>
      <c r="BE292" s="46"/>
      <c r="BF292" s="46"/>
      <c r="BR292" s="46"/>
      <c r="BT292" s="46"/>
      <c r="BV292" s="46"/>
      <c r="BW292" s="46"/>
      <c r="BX292" s="46"/>
    </row>
    <row r="293" spans="2:76" ht="15.75" customHeight="1">
      <c r="B293" s="46"/>
      <c r="BE293" s="46"/>
      <c r="BF293" s="46"/>
      <c r="BR293" s="46"/>
      <c r="BT293" s="46"/>
      <c r="BV293" s="46"/>
      <c r="BW293" s="46"/>
      <c r="BX293" s="46"/>
    </row>
    <row r="294" spans="2:76" ht="15.75" customHeight="1">
      <c r="B294" s="46"/>
      <c r="BE294" s="46"/>
      <c r="BF294" s="46"/>
      <c r="BR294" s="46"/>
      <c r="BT294" s="46"/>
      <c r="BV294" s="46"/>
      <c r="BW294" s="46"/>
      <c r="BX294" s="46"/>
    </row>
    <row r="295" spans="2:76" ht="15.75" customHeight="1">
      <c r="B295" s="46"/>
      <c r="BE295" s="46"/>
      <c r="BF295" s="46"/>
      <c r="BR295" s="46"/>
      <c r="BT295" s="46"/>
      <c r="BV295" s="46"/>
      <c r="BW295" s="46"/>
      <c r="BX295" s="46"/>
    </row>
    <row r="296" spans="2:76" ht="15.75" customHeight="1">
      <c r="B296" s="46"/>
      <c r="BE296" s="46"/>
      <c r="BF296" s="46"/>
      <c r="BR296" s="46"/>
      <c r="BT296" s="46"/>
      <c r="BV296" s="46"/>
      <c r="BW296" s="46"/>
      <c r="BX296" s="46"/>
    </row>
    <row r="297" spans="2:76" ht="15.75" customHeight="1">
      <c r="B297" s="46"/>
      <c r="BE297" s="46"/>
      <c r="BF297" s="46"/>
      <c r="BR297" s="46"/>
      <c r="BT297" s="46"/>
      <c r="BV297" s="46"/>
      <c r="BW297" s="46"/>
      <c r="BX297" s="46"/>
    </row>
    <row r="298" spans="2:76" ht="15.75" customHeight="1">
      <c r="B298" s="46"/>
      <c r="BE298" s="46"/>
      <c r="BF298" s="46"/>
      <c r="BR298" s="46"/>
      <c r="BT298" s="46"/>
      <c r="BV298" s="46"/>
      <c r="BW298" s="46"/>
      <c r="BX298" s="46"/>
    </row>
    <row r="299" spans="2:76" ht="15.75" customHeight="1">
      <c r="B299" s="46"/>
      <c r="BE299" s="46"/>
      <c r="BF299" s="46"/>
      <c r="BR299" s="46"/>
      <c r="BT299" s="46"/>
      <c r="BV299" s="46"/>
      <c r="BW299" s="46"/>
      <c r="BX299" s="46"/>
    </row>
    <row r="300" spans="2:76" ht="15.75" customHeight="1">
      <c r="B300" s="46"/>
      <c r="BE300" s="46"/>
      <c r="BF300" s="46"/>
      <c r="BR300" s="46"/>
      <c r="BT300" s="46"/>
      <c r="BV300" s="46"/>
      <c r="BW300" s="46"/>
      <c r="BX300" s="46"/>
    </row>
    <row r="301" spans="2:76" ht="15.75" customHeight="1">
      <c r="B301" s="46"/>
      <c r="BE301" s="46"/>
      <c r="BF301" s="46"/>
      <c r="BR301" s="46"/>
      <c r="BT301" s="46"/>
      <c r="BV301" s="46"/>
      <c r="BW301" s="46"/>
      <c r="BX301" s="46"/>
    </row>
    <row r="302" spans="2:76" ht="15.75" customHeight="1">
      <c r="B302" s="46"/>
      <c r="BE302" s="46"/>
      <c r="BF302" s="46"/>
      <c r="BR302" s="46"/>
      <c r="BT302" s="46"/>
      <c r="BV302" s="46"/>
      <c r="BW302" s="46"/>
      <c r="BX302" s="46"/>
    </row>
    <row r="303" spans="2:76" ht="15.75" customHeight="1">
      <c r="B303" s="46"/>
      <c r="BE303" s="46"/>
      <c r="BF303" s="46"/>
      <c r="BR303" s="46"/>
      <c r="BT303" s="46"/>
      <c r="BV303" s="46"/>
      <c r="BW303" s="46"/>
      <c r="BX303" s="46"/>
    </row>
    <row r="304" spans="2:76" ht="15.75" customHeight="1">
      <c r="B304" s="46"/>
      <c r="BE304" s="46"/>
      <c r="BF304" s="46"/>
      <c r="BR304" s="46"/>
      <c r="BT304" s="46"/>
      <c r="BV304" s="46"/>
      <c r="BW304" s="46"/>
      <c r="BX304" s="46"/>
    </row>
    <row r="305" spans="2:76" ht="15.75" customHeight="1">
      <c r="B305" s="46"/>
      <c r="BE305" s="46"/>
      <c r="BF305" s="46"/>
      <c r="BR305" s="46"/>
      <c r="BT305" s="46"/>
      <c r="BV305" s="46"/>
      <c r="BW305" s="46"/>
      <c r="BX305" s="46"/>
    </row>
    <row r="306" spans="2:76" ht="15.75" customHeight="1">
      <c r="B306" s="46"/>
      <c r="BE306" s="46"/>
      <c r="BF306" s="46"/>
      <c r="BR306" s="46"/>
      <c r="BT306" s="46"/>
      <c r="BV306" s="46"/>
      <c r="BW306" s="46"/>
      <c r="BX306" s="46"/>
    </row>
    <row r="307" spans="2:76" ht="15.75" customHeight="1">
      <c r="B307" s="46"/>
      <c r="BE307" s="46"/>
      <c r="BF307" s="46"/>
      <c r="BR307" s="46"/>
      <c r="BT307" s="46"/>
      <c r="BV307" s="46"/>
      <c r="BW307" s="46"/>
      <c r="BX307" s="46"/>
    </row>
    <row r="308" spans="2:76" ht="15.75" customHeight="1">
      <c r="B308" s="46"/>
      <c r="BE308" s="46"/>
      <c r="BF308" s="46"/>
      <c r="BR308" s="46"/>
      <c r="BT308" s="46"/>
      <c r="BV308" s="46"/>
      <c r="BW308" s="46"/>
      <c r="BX308" s="46"/>
    </row>
    <row r="309" spans="2:76" ht="15.75" customHeight="1">
      <c r="B309" s="46"/>
      <c r="BE309" s="46"/>
      <c r="BF309" s="46"/>
      <c r="BR309" s="46"/>
      <c r="BT309" s="46"/>
      <c r="BV309" s="46"/>
      <c r="BW309" s="46"/>
      <c r="BX309" s="46"/>
    </row>
    <row r="310" spans="2:76" ht="15.75" customHeight="1">
      <c r="B310" s="46"/>
      <c r="BE310" s="46"/>
      <c r="BF310" s="46"/>
      <c r="BR310" s="46"/>
      <c r="BT310" s="46"/>
      <c r="BV310" s="46"/>
      <c r="BW310" s="46"/>
      <c r="BX310" s="46"/>
    </row>
    <row r="311" spans="2:76" ht="15.75" customHeight="1">
      <c r="B311" s="46"/>
      <c r="BE311" s="46"/>
      <c r="BF311" s="46"/>
      <c r="BR311" s="46"/>
      <c r="BT311" s="46"/>
      <c r="BV311" s="46"/>
      <c r="BW311" s="46"/>
      <c r="BX311" s="46"/>
    </row>
    <row r="312" spans="2:76" ht="15.75" customHeight="1">
      <c r="B312" s="46"/>
      <c r="BE312" s="46"/>
      <c r="BF312" s="46"/>
      <c r="BR312" s="46"/>
      <c r="BT312" s="46"/>
      <c r="BV312" s="46"/>
      <c r="BW312" s="46"/>
      <c r="BX312" s="46"/>
    </row>
    <row r="313" spans="2:76" ht="15.75" customHeight="1">
      <c r="B313" s="46"/>
      <c r="BE313" s="46"/>
      <c r="BF313" s="46"/>
      <c r="BR313" s="46"/>
      <c r="BT313" s="46"/>
      <c r="BV313" s="46"/>
      <c r="BW313" s="46"/>
      <c r="BX313" s="46"/>
    </row>
    <row r="314" spans="2:76" ht="15.75" customHeight="1">
      <c r="B314" s="46"/>
      <c r="BE314" s="46"/>
      <c r="BF314" s="46"/>
      <c r="BR314" s="46"/>
      <c r="BT314" s="46"/>
      <c r="BV314" s="46"/>
      <c r="BW314" s="46"/>
      <c r="BX314" s="46"/>
    </row>
    <row r="315" spans="2:76" ht="15.75" customHeight="1">
      <c r="B315" s="46"/>
      <c r="BE315" s="46"/>
      <c r="BF315" s="46"/>
      <c r="BR315" s="46"/>
      <c r="BT315" s="46"/>
      <c r="BV315" s="46"/>
      <c r="BW315" s="46"/>
      <c r="BX315" s="46"/>
    </row>
    <row r="316" spans="2:76" ht="15.75" customHeight="1">
      <c r="B316" s="46"/>
      <c r="BE316" s="46"/>
      <c r="BF316" s="46"/>
      <c r="BR316" s="46"/>
      <c r="BT316" s="46"/>
      <c r="BV316" s="46"/>
      <c r="BW316" s="46"/>
      <c r="BX316" s="46"/>
    </row>
    <row r="317" spans="2:76" ht="15.75" customHeight="1">
      <c r="B317" s="46"/>
      <c r="BE317" s="46"/>
      <c r="BF317" s="46"/>
      <c r="BR317" s="46"/>
      <c r="BT317" s="46"/>
      <c r="BV317" s="46"/>
      <c r="BW317" s="46"/>
      <c r="BX317" s="46"/>
    </row>
    <row r="318" spans="2:76" ht="15.75" customHeight="1">
      <c r="B318" s="46"/>
      <c r="BE318" s="46"/>
      <c r="BF318" s="46"/>
      <c r="BR318" s="46"/>
      <c r="BT318" s="46"/>
      <c r="BV318" s="46"/>
      <c r="BW318" s="46"/>
      <c r="BX318" s="46"/>
    </row>
    <row r="319" spans="2:76" ht="15.75" customHeight="1">
      <c r="B319" s="46"/>
      <c r="BE319" s="46"/>
      <c r="BF319" s="46"/>
      <c r="BR319" s="46"/>
      <c r="BT319" s="46"/>
      <c r="BV319" s="46"/>
      <c r="BW319" s="46"/>
      <c r="BX319" s="46"/>
    </row>
    <row r="320" spans="2:76" ht="15.75" customHeight="1">
      <c r="B320" s="46"/>
      <c r="BE320" s="46"/>
      <c r="BF320" s="46"/>
      <c r="BR320" s="46"/>
      <c r="BT320" s="46"/>
      <c r="BV320" s="46"/>
      <c r="BW320" s="46"/>
      <c r="BX320" s="46"/>
    </row>
    <row r="321" spans="2:76" ht="15.75" customHeight="1">
      <c r="B321" s="46"/>
      <c r="BE321" s="46"/>
      <c r="BF321" s="46"/>
      <c r="BR321" s="46"/>
      <c r="BT321" s="46"/>
      <c r="BV321" s="46"/>
      <c r="BW321" s="46"/>
      <c r="BX321" s="46"/>
    </row>
    <row r="322" spans="2:76" ht="15.75" customHeight="1">
      <c r="B322" s="46"/>
      <c r="BE322" s="46"/>
      <c r="BF322" s="46"/>
      <c r="BR322" s="46"/>
      <c r="BT322" s="46"/>
      <c r="BV322" s="46"/>
      <c r="BW322" s="46"/>
      <c r="BX322" s="46"/>
    </row>
    <row r="323" spans="2:76" ht="15.75" customHeight="1">
      <c r="B323" s="46"/>
      <c r="BE323" s="46"/>
      <c r="BF323" s="46"/>
      <c r="BR323" s="46"/>
      <c r="BT323" s="46"/>
      <c r="BV323" s="46"/>
      <c r="BW323" s="46"/>
      <c r="BX323" s="46"/>
    </row>
    <row r="324" spans="2:76" ht="15.75" customHeight="1">
      <c r="B324" s="46"/>
      <c r="BE324" s="46"/>
      <c r="BF324" s="46"/>
      <c r="BR324" s="46"/>
      <c r="BT324" s="46"/>
      <c r="BV324" s="46"/>
      <c r="BW324" s="46"/>
      <c r="BX324" s="46"/>
    </row>
    <row r="325" spans="2:76" ht="15.75" customHeight="1">
      <c r="B325" s="46"/>
      <c r="BE325" s="46"/>
      <c r="BF325" s="46"/>
      <c r="BR325" s="46"/>
      <c r="BT325" s="46"/>
      <c r="BV325" s="46"/>
      <c r="BW325" s="46"/>
      <c r="BX325" s="46"/>
    </row>
    <row r="326" spans="2:76" ht="15.75" customHeight="1">
      <c r="B326" s="46"/>
      <c r="BE326" s="46"/>
      <c r="BF326" s="46"/>
      <c r="BR326" s="46"/>
      <c r="BT326" s="46"/>
      <c r="BV326" s="46"/>
      <c r="BW326" s="46"/>
      <c r="BX326" s="46"/>
    </row>
    <row r="327" spans="2:76" ht="15.75" customHeight="1">
      <c r="B327" s="46"/>
      <c r="BE327" s="46"/>
      <c r="BF327" s="46"/>
      <c r="BR327" s="46"/>
      <c r="BT327" s="46"/>
      <c r="BV327" s="46"/>
      <c r="BW327" s="46"/>
      <c r="BX327" s="46"/>
    </row>
    <row r="328" spans="2:76" ht="15.75" customHeight="1">
      <c r="B328" s="46"/>
      <c r="BE328" s="46"/>
      <c r="BF328" s="46"/>
      <c r="BR328" s="46"/>
      <c r="BT328" s="46"/>
      <c r="BV328" s="46"/>
      <c r="BW328" s="46"/>
      <c r="BX328" s="46"/>
    </row>
    <row r="329" spans="2:76" ht="15.75" customHeight="1">
      <c r="B329" s="46"/>
      <c r="BE329" s="46"/>
      <c r="BF329" s="46"/>
      <c r="BR329" s="46"/>
      <c r="BT329" s="46"/>
      <c r="BV329" s="46"/>
      <c r="BW329" s="46"/>
      <c r="BX329" s="46"/>
    </row>
    <row r="330" spans="2:76" ht="15.75" customHeight="1">
      <c r="B330" s="46"/>
      <c r="BE330" s="46"/>
      <c r="BF330" s="46"/>
      <c r="BR330" s="46"/>
      <c r="BT330" s="46"/>
      <c r="BV330" s="46"/>
      <c r="BW330" s="46"/>
      <c r="BX330" s="46"/>
    </row>
    <row r="331" spans="2:76" ht="15.75" customHeight="1">
      <c r="B331" s="46"/>
      <c r="BE331" s="46"/>
      <c r="BF331" s="46"/>
      <c r="BR331" s="46"/>
      <c r="BT331" s="46"/>
      <c r="BV331" s="46"/>
      <c r="BW331" s="46"/>
      <c r="BX331" s="46"/>
    </row>
    <row r="332" spans="2:76" ht="15.75" customHeight="1">
      <c r="B332" s="46"/>
      <c r="BE332" s="46"/>
      <c r="BF332" s="46"/>
      <c r="BR332" s="46"/>
      <c r="BT332" s="46"/>
      <c r="BV332" s="46"/>
      <c r="BW332" s="46"/>
      <c r="BX332" s="46"/>
    </row>
    <row r="333" spans="2:76" ht="15.75" customHeight="1">
      <c r="B333" s="46"/>
      <c r="BE333" s="46"/>
      <c r="BF333" s="46"/>
      <c r="BR333" s="46"/>
      <c r="BT333" s="46"/>
      <c r="BV333" s="46"/>
      <c r="BW333" s="46"/>
      <c r="BX333" s="46"/>
    </row>
    <row r="334" spans="2:76" ht="15.75" customHeight="1">
      <c r="B334" s="46"/>
      <c r="BE334" s="46"/>
      <c r="BF334" s="46"/>
      <c r="BR334" s="46"/>
      <c r="BT334" s="46"/>
      <c r="BV334" s="46"/>
      <c r="BW334" s="46"/>
      <c r="BX334" s="46"/>
    </row>
    <row r="335" spans="2:76" ht="15.75" customHeight="1">
      <c r="B335" s="46"/>
      <c r="BE335" s="46"/>
      <c r="BF335" s="46"/>
      <c r="BR335" s="46"/>
      <c r="BT335" s="46"/>
      <c r="BV335" s="46"/>
      <c r="BW335" s="46"/>
      <c r="BX335" s="46"/>
    </row>
    <row r="336" spans="2:76" ht="15.75" customHeight="1">
      <c r="B336" s="46"/>
      <c r="BE336" s="46"/>
      <c r="BF336" s="46"/>
      <c r="BR336" s="46"/>
      <c r="BT336" s="46"/>
      <c r="BV336" s="46"/>
      <c r="BW336" s="46"/>
      <c r="BX336" s="46"/>
    </row>
    <row r="337" spans="2:76" ht="15.75" customHeight="1">
      <c r="B337" s="46"/>
      <c r="BE337" s="46"/>
      <c r="BF337" s="46"/>
      <c r="BR337" s="46"/>
      <c r="BT337" s="46"/>
      <c r="BV337" s="46"/>
      <c r="BW337" s="46"/>
      <c r="BX337" s="46"/>
    </row>
    <row r="338" spans="2:76" ht="15.75" customHeight="1">
      <c r="B338" s="46"/>
      <c r="BE338" s="46"/>
      <c r="BF338" s="46"/>
      <c r="BR338" s="46"/>
      <c r="BT338" s="46"/>
      <c r="BV338" s="46"/>
      <c r="BW338" s="46"/>
      <c r="BX338" s="46"/>
    </row>
    <row r="339" spans="2:76" ht="15.75" customHeight="1">
      <c r="B339" s="46"/>
      <c r="BE339" s="46"/>
      <c r="BF339" s="46"/>
      <c r="BR339" s="46"/>
      <c r="BT339" s="46"/>
      <c r="BV339" s="46"/>
      <c r="BW339" s="46"/>
      <c r="BX339" s="46"/>
    </row>
    <row r="340" spans="2:76" ht="15.75" customHeight="1">
      <c r="B340" s="46"/>
      <c r="BE340" s="46"/>
      <c r="BF340" s="46"/>
      <c r="BR340" s="46"/>
      <c r="BT340" s="46"/>
      <c r="BV340" s="46"/>
      <c r="BW340" s="46"/>
      <c r="BX340" s="46"/>
    </row>
    <row r="341" spans="2:76" ht="15.75" customHeight="1">
      <c r="B341" s="46"/>
      <c r="BE341" s="46"/>
      <c r="BF341" s="46"/>
      <c r="BR341" s="46"/>
      <c r="BT341" s="46"/>
      <c r="BV341" s="46"/>
      <c r="BW341" s="46"/>
      <c r="BX341" s="46"/>
    </row>
    <row r="342" spans="2:76" ht="15.75" customHeight="1">
      <c r="B342" s="46"/>
      <c r="BE342" s="46"/>
      <c r="BF342" s="46"/>
      <c r="BR342" s="46"/>
      <c r="BT342" s="46"/>
      <c r="BV342" s="46"/>
      <c r="BW342" s="46"/>
      <c r="BX342" s="46"/>
    </row>
    <row r="343" spans="2:76" ht="15.75" customHeight="1">
      <c r="B343" s="46"/>
      <c r="BE343" s="46"/>
      <c r="BF343" s="46"/>
      <c r="BR343" s="46"/>
      <c r="BT343" s="46"/>
      <c r="BV343" s="46"/>
      <c r="BW343" s="46"/>
      <c r="BX343" s="46"/>
    </row>
    <row r="344" spans="2:76" ht="15.75" customHeight="1">
      <c r="B344" s="46"/>
      <c r="BE344" s="46"/>
      <c r="BF344" s="46"/>
      <c r="BR344" s="46"/>
      <c r="BT344" s="46"/>
      <c r="BV344" s="46"/>
      <c r="BW344" s="46"/>
      <c r="BX344" s="46"/>
    </row>
    <row r="345" spans="2:76" ht="15.75" customHeight="1">
      <c r="B345" s="46"/>
      <c r="BE345" s="46"/>
      <c r="BF345" s="46"/>
      <c r="BR345" s="46"/>
      <c r="BT345" s="46"/>
      <c r="BV345" s="46"/>
      <c r="BW345" s="46"/>
      <c r="BX345" s="46"/>
    </row>
    <row r="346" spans="2:76" ht="15.75" customHeight="1">
      <c r="B346" s="46"/>
      <c r="BE346" s="46"/>
      <c r="BF346" s="46"/>
      <c r="BR346" s="46"/>
      <c r="BT346" s="46"/>
      <c r="BV346" s="46"/>
      <c r="BW346" s="46"/>
      <c r="BX346" s="46"/>
    </row>
    <row r="347" spans="2:76" ht="15.75" customHeight="1">
      <c r="B347" s="46"/>
      <c r="BE347" s="46"/>
      <c r="BF347" s="46"/>
      <c r="BR347" s="46"/>
      <c r="BT347" s="46"/>
      <c r="BV347" s="46"/>
      <c r="BW347" s="46"/>
      <c r="BX347" s="46"/>
    </row>
    <row r="348" spans="2:76" ht="15.75" customHeight="1">
      <c r="B348" s="46"/>
      <c r="BE348" s="46"/>
      <c r="BF348" s="46"/>
      <c r="BR348" s="46"/>
      <c r="BT348" s="46"/>
      <c r="BV348" s="46"/>
      <c r="BW348" s="46"/>
      <c r="BX348" s="46"/>
    </row>
    <row r="349" spans="2:76" ht="15.75" customHeight="1">
      <c r="B349" s="46"/>
      <c r="BE349" s="46"/>
      <c r="BF349" s="46"/>
      <c r="BR349" s="46"/>
      <c r="BT349" s="46"/>
      <c r="BV349" s="46"/>
      <c r="BW349" s="46"/>
      <c r="BX349" s="46"/>
    </row>
    <row r="350" spans="2:76" ht="15.75" customHeight="1">
      <c r="B350" s="46"/>
      <c r="BE350" s="46"/>
      <c r="BF350" s="46"/>
      <c r="BR350" s="46"/>
      <c r="BT350" s="46"/>
      <c r="BV350" s="46"/>
      <c r="BW350" s="46"/>
      <c r="BX350" s="46"/>
    </row>
    <row r="351" spans="2:76" ht="15.75" customHeight="1">
      <c r="B351" s="46"/>
      <c r="BE351" s="46"/>
      <c r="BF351" s="46"/>
      <c r="BR351" s="46"/>
      <c r="BT351" s="46"/>
      <c r="BV351" s="46"/>
      <c r="BW351" s="46"/>
      <c r="BX351" s="46"/>
    </row>
    <row r="352" spans="2:76" ht="15.75" customHeight="1">
      <c r="B352" s="46"/>
      <c r="BE352" s="46"/>
      <c r="BF352" s="46"/>
      <c r="BR352" s="46"/>
      <c r="BT352" s="46"/>
      <c r="BV352" s="46"/>
      <c r="BW352" s="46"/>
      <c r="BX352" s="46"/>
    </row>
    <row r="353" spans="2:76" ht="15.75" customHeight="1">
      <c r="B353" s="46"/>
      <c r="BE353" s="46"/>
      <c r="BF353" s="46"/>
      <c r="BR353" s="46"/>
      <c r="BT353" s="46"/>
      <c r="BV353" s="46"/>
      <c r="BW353" s="46"/>
      <c r="BX353" s="46"/>
    </row>
    <row r="354" spans="2:76" ht="15.75" customHeight="1">
      <c r="B354" s="46"/>
      <c r="BE354" s="46"/>
      <c r="BF354" s="46"/>
      <c r="BR354" s="46"/>
      <c r="BT354" s="46"/>
      <c r="BV354" s="46"/>
      <c r="BW354" s="46"/>
      <c r="BX354" s="46"/>
    </row>
    <row r="355" spans="2:76" ht="15.75" customHeight="1">
      <c r="B355" s="46"/>
      <c r="BE355" s="46"/>
      <c r="BF355" s="46"/>
      <c r="BR355" s="46"/>
      <c r="BT355" s="46"/>
      <c r="BV355" s="46"/>
      <c r="BW355" s="46"/>
      <c r="BX355" s="46"/>
    </row>
    <row r="356" spans="2:76" ht="15.75" customHeight="1">
      <c r="B356" s="46"/>
      <c r="BE356" s="46"/>
      <c r="BF356" s="46"/>
      <c r="BR356" s="46"/>
      <c r="BT356" s="46"/>
      <c r="BV356" s="46"/>
      <c r="BW356" s="46"/>
      <c r="BX356" s="46"/>
    </row>
    <row r="357" spans="2:76" ht="15.75" customHeight="1">
      <c r="B357" s="46"/>
      <c r="BE357" s="46"/>
      <c r="BF357" s="46"/>
      <c r="BR357" s="46"/>
      <c r="BT357" s="46"/>
      <c r="BV357" s="46"/>
      <c r="BW357" s="46"/>
      <c r="BX357" s="46"/>
    </row>
    <row r="358" spans="2:76" ht="15.75" customHeight="1">
      <c r="B358" s="46"/>
      <c r="BE358" s="46"/>
      <c r="BF358" s="46"/>
      <c r="BR358" s="46"/>
      <c r="BT358" s="46"/>
      <c r="BV358" s="46"/>
      <c r="BW358" s="46"/>
      <c r="BX358" s="46"/>
    </row>
    <row r="359" spans="2:76" ht="15.75" customHeight="1">
      <c r="B359" s="46"/>
      <c r="BE359" s="46"/>
      <c r="BF359" s="46"/>
      <c r="BR359" s="46"/>
      <c r="BT359" s="46"/>
      <c r="BV359" s="46"/>
      <c r="BW359" s="46"/>
      <c r="BX359" s="46"/>
    </row>
    <row r="360" spans="2:76" ht="15.75" customHeight="1">
      <c r="B360" s="46"/>
      <c r="BE360" s="46"/>
      <c r="BF360" s="46"/>
      <c r="BR360" s="46"/>
      <c r="BT360" s="46"/>
      <c r="BV360" s="46"/>
      <c r="BW360" s="46"/>
      <c r="BX360" s="46"/>
    </row>
    <row r="361" spans="2:76" ht="15.75" customHeight="1">
      <c r="B361" s="46"/>
      <c r="BE361" s="46"/>
      <c r="BF361" s="46"/>
      <c r="BR361" s="46"/>
      <c r="BT361" s="46"/>
      <c r="BV361" s="46"/>
      <c r="BW361" s="46"/>
      <c r="BX361" s="46"/>
    </row>
    <row r="362" spans="2:76" ht="15.75" customHeight="1">
      <c r="B362" s="46"/>
      <c r="BE362" s="46"/>
      <c r="BF362" s="46"/>
      <c r="BR362" s="46"/>
      <c r="BT362" s="46"/>
      <c r="BV362" s="46"/>
      <c r="BW362" s="46"/>
      <c r="BX362" s="46"/>
    </row>
    <row r="363" spans="2:76" ht="15.75" customHeight="1">
      <c r="B363" s="46"/>
      <c r="BE363" s="46"/>
      <c r="BF363" s="46"/>
      <c r="BR363" s="46"/>
      <c r="BT363" s="46"/>
      <c r="BV363" s="46"/>
      <c r="BW363" s="46"/>
      <c r="BX363" s="46"/>
    </row>
    <row r="364" spans="2:76" ht="15.75" customHeight="1">
      <c r="B364" s="46"/>
      <c r="BE364" s="46"/>
      <c r="BF364" s="46"/>
      <c r="BR364" s="46"/>
      <c r="BT364" s="46"/>
      <c r="BV364" s="46"/>
      <c r="BW364" s="46"/>
      <c r="BX364" s="46"/>
    </row>
    <row r="365" spans="2:76" ht="15.75" customHeight="1">
      <c r="B365" s="46"/>
      <c r="BE365" s="46"/>
      <c r="BF365" s="46"/>
      <c r="BR365" s="46"/>
      <c r="BT365" s="46"/>
      <c r="BV365" s="46"/>
      <c r="BW365" s="46"/>
      <c r="BX365" s="46"/>
    </row>
    <row r="366" spans="2:76" ht="15.75" customHeight="1">
      <c r="B366" s="46"/>
      <c r="BE366" s="46"/>
      <c r="BF366" s="46"/>
      <c r="BR366" s="46"/>
      <c r="BT366" s="46"/>
      <c r="BV366" s="46"/>
      <c r="BW366" s="46"/>
      <c r="BX366" s="46"/>
    </row>
    <row r="367" spans="2:76" ht="15.75" customHeight="1">
      <c r="B367" s="46"/>
      <c r="BE367" s="46"/>
      <c r="BF367" s="46"/>
      <c r="BR367" s="46"/>
      <c r="BT367" s="46"/>
      <c r="BV367" s="46"/>
      <c r="BW367" s="46"/>
      <c r="BX367" s="46"/>
    </row>
    <row r="368" spans="2:76" ht="15.75" customHeight="1">
      <c r="B368" s="46"/>
      <c r="BE368" s="46"/>
      <c r="BF368" s="46"/>
      <c r="BR368" s="46"/>
      <c r="BT368" s="46"/>
      <c r="BV368" s="46"/>
      <c r="BW368" s="46"/>
      <c r="BX368" s="46"/>
    </row>
    <row r="369" spans="2:76" ht="15.75" customHeight="1">
      <c r="B369" s="46"/>
      <c r="BE369" s="46"/>
      <c r="BF369" s="46"/>
      <c r="BR369" s="46"/>
      <c r="BT369" s="46"/>
      <c r="BV369" s="46"/>
      <c r="BW369" s="46"/>
      <c r="BX369" s="46"/>
    </row>
    <row r="370" spans="2:76" ht="15.75" customHeight="1">
      <c r="B370" s="46"/>
      <c r="BE370" s="46"/>
      <c r="BF370" s="46"/>
      <c r="BR370" s="46"/>
      <c r="BT370" s="46"/>
      <c r="BV370" s="46"/>
      <c r="BW370" s="46"/>
      <c r="BX370" s="46"/>
    </row>
    <row r="371" spans="2:76" ht="15.75" customHeight="1">
      <c r="B371" s="46"/>
      <c r="BE371" s="46"/>
      <c r="BF371" s="46"/>
      <c r="BR371" s="46"/>
      <c r="BT371" s="46"/>
      <c r="BV371" s="46"/>
      <c r="BW371" s="46"/>
      <c r="BX371" s="46"/>
    </row>
    <row r="372" spans="2:76" ht="15.75" customHeight="1">
      <c r="B372" s="46"/>
      <c r="BE372" s="46"/>
      <c r="BF372" s="46"/>
      <c r="BR372" s="46"/>
      <c r="BT372" s="46"/>
      <c r="BV372" s="46"/>
      <c r="BW372" s="46"/>
      <c r="BX372" s="46"/>
    </row>
    <row r="373" spans="2:76" ht="15.75" customHeight="1">
      <c r="B373" s="46"/>
      <c r="BE373" s="46"/>
      <c r="BF373" s="46"/>
      <c r="BR373" s="46"/>
      <c r="BT373" s="46"/>
      <c r="BV373" s="46"/>
      <c r="BW373" s="46"/>
      <c r="BX373" s="46"/>
    </row>
    <row r="374" spans="2:76" ht="15.75" customHeight="1">
      <c r="B374" s="46"/>
      <c r="BE374" s="46"/>
      <c r="BF374" s="46"/>
      <c r="BR374" s="46"/>
      <c r="BT374" s="46"/>
      <c r="BV374" s="46"/>
      <c r="BW374" s="46"/>
      <c r="BX374" s="46"/>
    </row>
    <row r="375" spans="2:76" ht="15.75" customHeight="1">
      <c r="B375" s="46"/>
      <c r="BE375" s="46"/>
      <c r="BF375" s="46"/>
      <c r="BR375" s="46"/>
      <c r="BT375" s="46"/>
      <c r="BV375" s="46"/>
      <c r="BW375" s="46"/>
      <c r="BX375" s="46"/>
    </row>
    <row r="376" spans="2:76" ht="15.75" customHeight="1">
      <c r="B376" s="46"/>
      <c r="BE376" s="46"/>
      <c r="BF376" s="46"/>
      <c r="BR376" s="46"/>
      <c r="BT376" s="46"/>
      <c r="BV376" s="46"/>
      <c r="BW376" s="46"/>
      <c r="BX376" s="46"/>
    </row>
    <row r="377" spans="2:76" ht="15.75" customHeight="1">
      <c r="B377" s="46"/>
      <c r="BE377" s="46"/>
      <c r="BF377" s="46"/>
      <c r="BR377" s="46"/>
      <c r="BT377" s="46"/>
      <c r="BV377" s="46"/>
      <c r="BW377" s="46"/>
      <c r="BX377" s="46"/>
    </row>
    <row r="378" spans="2:76" ht="15.75" customHeight="1">
      <c r="B378" s="46"/>
      <c r="BE378" s="46"/>
      <c r="BF378" s="46"/>
      <c r="BR378" s="46"/>
      <c r="BT378" s="46"/>
      <c r="BV378" s="46"/>
      <c r="BW378" s="46"/>
      <c r="BX378" s="46"/>
    </row>
    <row r="379" spans="2:76" ht="15.75" customHeight="1">
      <c r="B379" s="46"/>
      <c r="BE379" s="46"/>
      <c r="BF379" s="46"/>
      <c r="BR379" s="46"/>
      <c r="BT379" s="46"/>
      <c r="BV379" s="46"/>
      <c r="BW379" s="46"/>
      <c r="BX379" s="46"/>
    </row>
    <row r="380" spans="2:76" ht="15.75" customHeight="1">
      <c r="B380" s="46"/>
      <c r="BE380" s="46"/>
      <c r="BF380" s="46"/>
      <c r="BR380" s="46"/>
      <c r="BT380" s="46"/>
      <c r="BV380" s="46"/>
      <c r="BW380" s="46"/>
      <c r="BX380" s="46"/>
    </row>
    <row r="381" spans="2:76" ht="15.75" customHeight="1">
      <c r="B381" s="46"/>
      <c r="BE381" s="46"/>
      <c r="BF381" s="46"/>
      <c r="BR381" s="46"/>
      <c r="BT381" s="46"/>
      <c r="BV381" s="46"/>
      <c r="BW381" s="46"/>
      <c r="BX381" s="46"/>
    </row>
    <row r="382" spans="2:76" ht="15.75" customHeight="1">
      <c r="B382" s="46"/>
      <c r="BE382" s="46"/>
      <c r="BF382" s="46"/>
      <c r="BR382" s="46"/>
      <c r="BT382" s="46"/>
      <c r="BV382" s="46"/>
      <c r="BW382" s="46"/>
      <c r="BX382" s="46"/>
    </row>
    <row r="383" spans="2:76" ht="15.75" customHeight="1">
      <c r="B383" s="46"/>
      <c r="BE383" s="46"/>
      <c r="BF383" s="46"/>
      <c r="BR383" s="46"/>
      <c r="BT383" s="46"/>
      <c r="BV383" s="46"/>
      <c r="BW383" s="46"/>
      <c r="BX383" s="46"/>
    </row>
    <row r="384" spans="2:76" ht="15.75" customHeight="1">
      <c r="B384" s="46"/>
      <c r="BE384" s="46"/>
      <c r="BF384" s="46"/>
      <c r="BR384" s="46"/>
      <c r="BT384" s="46"/>
      <c r="BV384" s="46"/>
      <c r="BW384" s="46"/>
      <c r="BX384" s="46"/>
    </row>
    <row r="385" spans="2:76" ht="15.75" customHeight="1">
      <c r="B385" s="46"/>
      <c r="BE385" s="46"/>
      <c r="BF385" s="46"/>
      <c r="BR385" s="46"/>
      <c r="BT385" s="46"/>
      <c r="BV385" s="46"/>
      <c r="BW385" s="46"/>
      <c r="BX385" s="46"/>
    </row>
    <row r="386" spans="2:76" ht="15.75" customHeight="1">
      <c r="B386" s="46"/>
      <c r="BE386" s="46"/>
      <c r="BF386" s="46"/>
      <c r="BR386" s="46"/>
      <c r="BT386" s="46"/>
      <c r="BV386" s="46"/>
      <c r="BW386" s="46"/>
      <c r="BX386" s="46"/>
    </row>
    <row r="387" spans="2:76" ht="15.75" customHeight="1">
      <c r="B387" s="46"/>
      <c r="BE387" s="46"/>
      <c r="BF387" s="46"/>
      <c r="BR387" s="46"/>
      <c r="BT387" s="46"/>
      <c r="BV387" s="46"/>
      <c r="BW387" s="46"/>
      <c r="BX387" s="46"/>
    </row>
    <row r="388" spans="2:76" ht="15.75" customHeight="1">
      <c r="B388" s="46"/>
      <c r="BE388" s="46"/>
      <c r="BF388" s="46"/>
      <c r="BR388" s="46"/>
      <c r="BT388" s="46"/>
      <c r="BV388" s="46"/>
      <c r="BW388" s="46"/>
      <c r="BX388" s="46"/>
    </row>
    <row r="389" spans="2:76" ht="15.75" customHeight="1">
      <c r="B389" s="46"/>
      <c r="BE389" s="46"/>
      <c r="BF389" s="46"/>
      <c r="BR389" s="46"/>
      <c r="BT389" s="46"/>
      <c r="BV389" s="46"/>
      <c r="BW389" s="46"/>
      <c r="BX389" s="46"/>
    </row>
    <row r="390" spans="2:76" ht="15.75" customHeight="1">
      <c r="B390" s="46"/>
      <c r="BE390" s="46"/>
      <c r="BF390" s="46"/>
      <c r="BR390" s="46"/>
      <c r="BT390" s="46"/>
      <c r="BV390" s="46"/>
      <c r="BW390" s="46"/>
      <c r="BX390" s="46"/>
    </row>
    <row r="391" spans="2:76" ht="15.75" customHeight="1">
      <c r="B391" s="46"/>
      <c r="BE391" s="46"/>
      <c r="BF391" s="46"/>
      <c r="BR391" s="46"/>
      <c r="BT391" s="46"/>
      <c r="BV391" s="46"/>
      <c r="BW391" s="46"/>
      <c r="BX391" s="46"/>
    </row>
    <row r="392" spans="2:76" ht="15.75" customHeight="1">
      <c r="B392" s="46"/>
      <c r="BE392" s="46"/>
      <c r="BF392" s="46"/>
      <c r="BR392" s="46"/>
      <c r="BT392" s="46"/>
      <c r="BV392" s="46"/>
      <c r="BW392" s="46"/>
      <c r="BX392" s="46"/>
    </row>
    <row r="393" spans="2:76" ht="15.75" customHeight="1">
      <c r="B393" s="46"/>
      <c r="BE393" s="46"/>
      <c r="BF393" s="46"/>
      <c r="BR393" s="46"/>
      <c r="BT393" s="46"/>
      <c r="BV393" s="46"/>
      <c r="BW393" s="46"/>
      <c r="BX393" s="46"/>
    </row>
    <row r="394" spans="2:76" ht="15.75" customHeight="1">
      <c r="B394" s="46"/>
      <c r="BE394" s="46"/>
      <c r="BF394" s="46"/>
      <c r="BR394" s="46"/>
      <c r="BT394" s="46"/>
      <c r="BV394" s="46"/>
      <c r="BW394" s="46"/>
      <c r="BX394" s="46"/>
    </row>
    <row r="395" spans="2:76" ht="15.75" customHeight="1">
      <c r="B395" s="46"/>
      <c r="BE395" s="46"/>
      <c r="BF395" s="46"/>
      <c r="BR395" s="46"/>
      <c r="BT395" s="46"/>
      <c r="BV395" s="46"/>
      <c r="BW395" s="46"/>
      <c r="BX395" s="46"/>
    </row>
    <row r="396" spans="2:76" ht="15.75" customHeight="1">
      <c r="B396" s="46"/>
      <c r="BE396" s="46"/>
      <c r="BF396" s="46"/>
      <c r="BR396" s="46"/>
      <c r="BT396" s="46"/>
      <c r="BV396" s="46"/>
      <c r="BW396" s="46"/>
      <c r="BX396" s="46"/>
    </row>
    <row r="397" spans="2:76" ht="15.75" customHeight="1">
      <c r="B397" s="46"/>
      <c r="BE397" s="46"/>
      <c r="BF397" s="46"/>
      <c r="BR397" s="46"/>
      <c r="BT397" s="46"/>
      <c r="BV397" s="46"/>
      <c r="BW397" s="46"/>
      <c r="BX397" s="46"/>
    </row>
    <row r="398" spans="2:76" ht="15.75" customHeight="1">
      <c r="B398" s="46"/>
      <c r="BE398" s="46"/>
      <c r="BF398" s="46"/>
      <c r="BR398" s="46"/>
      <c r="BT398" s="46"/>
      <c r="BV398" s="46"/>
      <c r="BW398" s="46"/>
      <c r="BX398" s="46"/>
    </row>
    <row r="399" spans="2:76" ht="15.75" customHeight="1">
      <c r="B399" s="46"/>
      <c r="BE399" s="46"/>
      <c r="BF399" s="46"/>
      <c r="BR399" s="46"/>
      <c r="BT399" s="46"/>
      <c r="BV399" s="46"/>
      <c r="BW399" s="46"/>
      <c r="BX399" s="46"/>
    </row>
    <row r="400" spans="2:76" ht="15.75" customHeight="1">
      <c r="B400" s="46"/>
      <c r="BE400" s="46"/>
      <c r="BF400" s="46"/>
      <c r="BR400" s="46"/>
      <c r="BT400" s="46"/>
      <c r="BV400" s="46"/>
      <c r="BW400" s="46"/>
      <c r="BX400" s="46"/>
    </row>
    <row r="401" spans="2:76" ht="15.75" customHeight="1">
      <c r="B401" s="46"/>
      <c r="BE401" s="46"/>
      <c r="BF401" s="46"/>
      <c r="BR401" s="46"/>
      <c r="BT401" s="46"/>
      <c r="BV401" s="46"/>
      <c r="BW401" s="46"/>
      <c r="BX401" s="46"/>
    </row>
    <row r="402" spans="2:76" ht="15.75" customHeight="1">
      <c r="B402" s="46"/>
      <c r="BE402" s="46"/>
      <c r="BF402" s="46"/>
      <c r="BR402" s="46"/>
      <c r="BT402" s="46"/>
      <c r="BV402" s="46"/>
      <c r="BW402" s="46"/>
      <c r="BX402" s="46"/>
    </row>
    <row r="403" spans="2:76" ht="15.75" customHeight="1">
      <c r="B403" s="46"/>
      <c r="BE403" s="46"/>
      <c r="BF403" s="46"/>
      <c r="BR403" s="46"/>
      <c r="BT403" s="46"/>
      <c r="BV403" s="46"/>
      <c r="BW403" s="46"/>
      <c r="BX403" s="46"/>
    </row>
    <row r="404" spans="2:76" ht="15.75" customHeight="1">
      <c r="B404" s="46"/>
      <c r="BE404" s="46"/>
      <c r="BF404" s="46"/>
      <c r="BR404" s="46"/>
      <c r="BT404" s="46"/>
      <c r="BV404" s="46"/>
      <c r="BW404" s="46"/>
      <c r="BX404" s="46"/>
    </row>
    <row r="405" spans="2:76" ht="15.75" customHeight="1">
      <c r="B405" s="46"/>
      <c r="BE405" s="46"/>
      <c r="BF405" s="46"/>
      <c r="BR405" s="46"/>
      <c r="BT405" s="46"/>
      <c r="BV405" s="46"/>
      <c r="BW405" s="46"/>
      <c r="BX405" s="46"/>
    </row>
    <row r="406" spans="2:76" ht="15.75" customHeight="1">
      <c r="B406" s="46"/>
      <c r="BE406" s="46"/>
      <c r="BF406" s="46"/>
      <c r="BR406" s="46"/>
      <c r="BT406" s="46"/>
      <c r="BV406" s="46"/>
      <c r="BW406" s="46"/>
      <c r="BX406" s="46"/>
    </row>
    <row r="407" spans="2:76" ht="15.75" customHeight="1">
      <c r="B407" s="46"/>
      <c r="BE407" s="46"/>
      <c r="BF407" s="46"/>
      <c r="BR407" s="46"/>
      <c r="BT407" s="46"/>
      <c r="BV407" s="46"/>
      <c r="BW407" s="46"/>
      <c r="BX407" s="46"/>
    </row>
    <row r="408" spans="2:76" ht="15.75" customHeight="1">
      <c r="B408" s="46"/>
      <c r="BE408" s="46"/>
      <c r="BF408" s="46"/>
      <c r="BR408" s="46"/>
      <c r="BT408" s="46"/>
      <c r="BV408" s="46"/>
      <c r="BW408" s="46"/>
      <c r="BX408" s="46"/>
    </row>
    <row r="409" spans="2:76" ht="15.75" customHeight="1">
      <c r="B409" s="46"/>
      <c r="BE409" s="46"/>
      <c r="BF409" s="46"/>
      <c r="BR409" s="46"/>
      <c r="BT409" s="46"/>
      <c r="BV409" s="46"/>
      <c r="BW409" s="46"/>
      <c r="BX409" s="46"/>
    </row>
    <row r="410" spans="2:76" ht="15.75" customHeight="1">
      <c r="B410" s="46"/>
      <c r="BE410" s="46"/>
      <c r="BF410" s="46"/>
      <c r="BR410" s="46"/>
      <c r="BT410" s="46"/>
      <c r="BV410" s="46"/>
      <c r="BW410" s="46"/>
      <c r="BX410" s="46"/>
    </row>
    <row r="411" spans="2:76" ht="15.75" customHeight="1">
      <c r="B411" s="46"/>
      <c r="BE411" s="46"/>
      <c r="BF411" s="46"/>
      <c r="BR411" s="46"/>
      <c r="BT411" s="46"/>
      <c r="BV411" s="46"/>
      <c r="BW411" s="46"/>
      <c r="BX411" s="46"/>
    </row>
    <row r="412" spans="2:76" ht="15.75" customHeight="1">
      <c r="B412" s="46"/>
      <c r="BE412" s="46"/>
      <c r="BF412" s="46"/>
      <c r="BR412" s="46"/>
      <c r="BT412" s="46"/>
      <c r="BV412" s="46"/>
      <c r="BW412" s="46"/>
      <c r="BX412" s="46"/>
    </row>
    <row r="413" spans="2:76" ht="15.75" customHeight="1">
      <c r="B413" s="46"/>
      <c r="BE413" s="46"/>
      <c r="BF413" s="46"/>
      <c r="BR413" s="46"/>
      <c r="BT413" s="46"/>
      <c r="BV413" s="46"/>
      <c r="BW413" s="46"/>
      <c r="BX413" s="46"/>
    </row>
    <row r="414" spans="2:76" ht="15.75" customHeight="1">
      <c r="B414" s="46"/>
      <c r="BE414" s="46"/>
      <c r="BF414" s="46"/>
      <c r="BR414" s="46"/>
      <c r="BT414" s="46"/>
      <c r="BV414" s="46"/>
      <c r="BW414" s="46"/>
      <c r="BX414" s="46"/>
    </row>
    <row r="415" spans="2:76" ht="15.75" customHeight="1">
      <c r="B415" s="46"/>
      <c r="BE415" s="46"/>
      <c r="BF415" s="46"/>
      <c r="BR415" s="46"/>
      <c r="BT415" s="46"/>
      <c r="BV415" s="46"/>
      <c r="BW415" s="46"/>
      <c r="BX415" s="46"/>
    </row>
    <row r="416" spans="2:76" ht="15.75" customHeight="1">
      <c r="B416" s="46"/>
      <c r="BE416" s="46"/>
      <c r="BF416" s="46"/>
      <c r="BR416" s="46"/>
      <c r="BT416" s="46"/>
      <c r="BV416" s="46"/>
      <c r="BW416" s="46"/>
      <c r="BX416" s="46"/>
    </row>
    <row r="417" spans="2:76" ht="15.75" customHeight="1">
      <c r="B417" s="46"/>
      <c r="BE417" s="46"/>
      <c r="BF417" s="46"/>
      <c r="BR417" s="46"/>
      <c r="BT417" s="46"/>
      <c r="BV417" s="46"/>
      <c r="BW417" s="46"/>
      <c r="BX417" s="46"/>
    </row>
    <row r="418" spans="2:76" ht="15.75" customHeight="1">
      <c r="B418" s="46"/>
      <c r="BE418" s="46"/>
      <c r="BF418" s="46"/>
      <c r="BR418" s="46"/>
      <c r="BT418" s="46"/>
      <c r="BV418" s="46"/>
      <c r="BW418" s="46"/>
      <c r="BX418" s="46"/>
    </row>
    <row r="419" spans="2:76" ht="15.75" customHeight="1">
      <c r="B419" s="46"/>
      <c r="BE419" s="46"/>
      <c r="BF419" s="46"/>
      <c r="BR419" s="46"/>
      <c r="BT419" s="46"/>
      <c r="BV419" s="46"/>
      <c r="BW419" s="46"/>
      <c r="BX419" s="46"/>
    </row>
    <row r="420" spans="2:76" ht="15.75" customHeight="1">
      <c r="B420" s="46"/>
      <c r="BE420" s="46"/>
      <c r="BF420" s="46"/>
      <c r="BR420" s="46"/>
      <c r="BT420" s="46"/>
      <c r="BV420" s="46"/>
      <c r="BW420" s="46"/>
      <c r="BX420" s="46"/>
    </row>
    <row r="421" spans="2:76" ht="15.75" customHeight="1">
      <c r="B421" s="46"/>
      <c r="BE421" s="46"/>
      <c r="BF421" s="46"/>
      <c r="BR421" s="46"/>
      <c r="BT421" s="46"/>
      <c r="BV421" s="46"/>
      <c r="BW421" s="46"/>
      <c r="BX421" s="46"/>
    </row>
    <row r="422" spans="2:76" ht="15.75" customHeight="1">
      <c r="B422" s="46"/>
      <c r="BE422" s="46"/>
      <c r="BF422" s="46"/>
      <c r="BR422" s="46"/>
      <c r="BT422" s="46"/>
      <c r="BV422" s="46"/>
      <c r="BW422" s="46"/>
      <c r="BX422" s="46"/>
    </row>
    <row r="423" spans="2:76" ht="15.75" customHeight="1">
      <c r="B423" s="46"/>
      <c r="BE423" s="46"/>
      <c r="BF423" s="46"/>
      <c r="BR423" s="46"/>
      <c r="BT423" s="46"/>
      <c r="BV423" s="46"/>
      <c r="BW423" s="46"/>
      <c r="BX423" s="46"/>
    </row>
    <row r="424" spans="2:76" ht="15.75" customHeight="1">
      <c r="B424" s="46"/>
      <c r="BE424" s="46"/>
      <c r="BF424" s="46"/>
      <c r="BR424" s="46"/>
      <c r="BT424" s="46"/>
      <c r="BV424" s="46"/>
      <c r="BW424" s="46"/>
      <c r="BX424" s="46"/>
    </row>
    <row r="425" spans="2:76" ht="15.75" customHeight="1">
      <c r="B425" s="46"/>
      <c r="BE425" s="46"/>
      <c r="BF425" s="46"/>
      <c r="BR425" s="46"/>
      <c r="BT425" s="46"/>
      <c r="BV425" s="46"/>
      <c r="BW425" s="46"/>
      <c r="BX425" s="46"/>
    </row>
    <row r="426" spans="2:76" ht="15.75" customHeight="1">
      <c r="B426" s="46"/>
      <c r="BE426" s="46"/>
      <c r="BF426" s="46"/>
      <c r="BR426" s="46"/>
      <c r="BT426" s="46"/>
      <c r="BV426" s="46"/>
      <c r="BW426" s="46"/>
      <c r="BX426" s="46"/>
    </row>
    <row r="427" spans="2:76" ht="15.75" customHeight="1">
      <c r="B427" s="46"/>
      <c r="BE427" s="46"/>
      <c r="BF427" s="46"/>
      <c r="BR427" s="46"/>
      <c r="BT427" s="46"/>
      <c r="BV427" s="46"/>
      <c r="BW427" s="46"/>
      <c r="BX427" s="46"/>
    </row>
    <row r="428" spans="2:76" ht="15.75" customHeight="1">
      <c r="B428" s="46"/>
      <c r="BE428" s="46"/>
      <c r="BF428" s="46"/>
      <c r="BR428" s="46"/>
      <c r="BT428" s="46"/>
      <c r="BV428" s="46"/>
      <c r="BW428" s="46"/>
      <c r="BX428" s="46"/>
    </row>
    <row r="429" spans="2:76" ht="15.75" customHeight="1">
      <c r="B429" s="46"/>
      <c r="BE429" s="46"/>
      <c r="BF429" s="46"/>
      <c r="BR429" s="46"/>
      <c r="BT429" s="46"/>
      <c r="BV429" s="46"/>
      <c r="BW429" s="46"/>
      <c r="BX429" s="46"/>
    </row>
    <row r="430" spans="2:76" ht="15.75" customHeight="1">
      <c r="B430" s="46"/>
      <c r="BE430" s="46"/>
      <c r="BF430" s="46"/>
      <c r="BR430" s="46"/>
      <c r="BT430" s="46"/>
      <c r="BV430" s="46"/>
      <c r="BW430" s="46"/>
      <c r="BX430" s="46"/>
    </row>
    <row r="431" spans="2:76" ht="15.75" customHeight="1">
      <c r="B431" s="46"/>
      <c r="BE431" s="46"/>
      <c r="BF431" s="46"/>
      <c r="BR431" s="46"/>
      <c r="BT431" s="46"/>
      <c r="BV431" s="46"/>
      <c r="BW431" s="46"/>
      <c r="BX431" s="46"/>
    </row>
    <row r="432" spans="2:76" ht="15.75" customHeight="1">
      <c r="B432" s="46"/>
      <c r="BE432" s="46"/>
      <c r="BF432" s="46"/>
      <c r="BR432" s="46"/>
      <c r="BT432" s="46"/>
      <c r="BV432" s="46"/>
      <c r="BW432" s="46"/>
      <c r="BX432" s="46"/>
    </row>
    <row r="433" spans="2:76" ht="15.75" customHeight="1">
      <c r="B433" s="46"/>
      <c r="BE433" s="46"/>
      <c r="BF433" s="46"/>
      <c r="BR433" s="46"/>
      <c r="BT433" s="46"/>
      <c r="BV433" s="46"/>
      <c r="BW433" s="46"/>
      <c r="BX433" s="46"/>
    </row>
    <row r="434" spans="2:76" ht="15.75" customHeight="1">
      <c r="B434" s="46"/>
      <c r="BE434" s="46"/>
      <c r="BF434" s="46"/>
      <c r="BR434" s="46"/>
      <c r="BT434" s="46"/>
      <c r="BV434" s="46"/>
      <c r="BW434" s="46"/>
      <c r="BX434" s="46"/>
    </row>
    <row r="435" spans="2:76" ht="15.75" customHeight="1">
      <c r="B435" s="46"/>
      <c r="BE435" s="46"/>
      <c r="BF435" s="46"/>
      <c r="BR435" s="46"/>
      <c r="BT435" s="46"/>
      <c r="BV435" s="46"/>
      <c r="BW435" s="46"/>
      <c r="BX435" s="46"/>
    </row>
    <row r="436" spans="2:76" ht="15.75" customHeight="1">
      <c r="B436" s="46"/>
      <c r="BE436" s="46"/>
      <c r="BF436" s="46"/>
      <c r="BR436" s="46"/>
      <c r="BT436" s="46"/>
      <c r="BV436" s="46"/>
      <c r="BW436" s="46"/>
      <c r="BX436" s="46"/>
    </row>
    <row r="437" spans="2:76" ht="15.75" customHeight="1">
      <c r="B437" s="46"/>
      <c r="BE437" s="46"/>
      <c r="BF437" s="46"/>
      <c r="BR437" s="46"/>
      <c r="BT437" s="46"/>
      <c r="BV437" s="46"/>
      <c r="BW437" s="46"/>
      <c r="BX437" s="46"/>
    </row>
    <row r="438" spans="2:76" ht="15.75" customHeight="1">
      <c r="B438" s="46"/>
      <c r="BE438" s="46"/>
      <c r="BF438" s="46"/>
      <c r="BR438" s="46"/>
      <c r="BT438" s="46"/>
      <c r="BV438" s="46"/>
      <c r="BW438" s="46"/>
      <c r="BX438" s="46"/>
    </row>
    <row r="439" spans="2:76" ht="15.75" customHeight="1">
      <c r="B439" s="46"/>
      <c r="BE439" s="46"/>
      <c r="BF439" s="46"/>
      <c r="BR439" s="46"/>
      <c r="BT439" s="46"/>
      <c r="BV439" s="46"/>
      <c r="BW439" s="46"/>
      <c r="BX439" s="46"/>
    </row>
    <row r="440" spans="2:76" ht="15.75" customHeight="1">
      <c r="B440" s="46"/>
      <c r="BE440" s="46"/>
      <c r="BF440" s="46"/>
      <c r="BR440" s="46"/>
      <c r="BT440" s="46"/>
      <c r="BV440" s="46"/>
      <c r="BW440" s="46"/>
      <c r="BX440" s="46"/>
    </row>
    <row r="441" spans="2:76" ht="15.75" customHeight="1">
      <c r="B441" s="46"/>
      <c r="BE441" s="46"/>
      <c r="BF441" s="46"/>
      <c r="BR441" s="46"/>
      <c r="BT441" s="46"/>
      <c r="BV441" s="46"/>
      <c r="BW441" s="46"/>
      <c r="BX441" s="46"/>
    </row>
    <row r="442" spans="2:76" ht="15.75" customHeight="1">
      <c r="B442" s="46"/>
      <c r="BE442" s="46"/>
      <c r="BF442" s="46"/>
      <c r="BR442" s="46"/>
      <c r="BT442" s="46"/>
      <c r="BV442" s="46"/>
      <c r="BW442" s="46"/>
      <c r="BX442" s="46"/>
    </row>
    <row r="443" spans="2:76" ht="15.75" customHeight="1">
      <c r="B443" s="46"/>
      <c r="BE443" s="46"/>
      <c r="BF443" s="46"/>
      <c r="BR443" s="46"/>
      <c r="BT443" s="46"/>
      <c r="BV443" s="46"/>
      <c r="BW443" s="46"/>
      <c r="BX443" s="46"/>
    </row>
    <row r="444" spans="2:76" ht="15.75" customHeight="1">
      <c r="B444" s="46"/>
      <c r="BE444" s="46"/>
      <c r="BF444" s="46"/>
      <c r="BR444" s="46"/>
      <c r="BT444" s="46"/>
      <c r="BV444" s="46"/>
      <c r="BW444" s="46"/>
      <c r="BX444" s="46"/>
    </row>
    <row r="445" spans="2:76" ht="15.75" customHeight="1">
      <c r="B445" s="46"/>
      <c r="BE445" s="46"/>
      <c r="BF445" s="46"/>
      <c r="BR445" s="46"/>
      <c r="BT445" s="46"/>
      <c r="BV445" s="46"/>
      <c r="BW445" s="46"/>
      <c r="BX445" s="46"/>
    </row>
    <row r="446" spans="2:76" ht="15.75" customHeight="1">
      <c r="B446" s="46"/>
      <c r="BE446" s="46"/>
      <c r="BF446" s="46"/>
      <c r="BR446" s="46"/>
      <c r="BT446" s="46"/>
      <c r="BV446" s="46"/>
      <c r="BW446" s="46"/>
      <c r="BX446" s="46"/>
    </row>
    <row r="447" spans="2:76" ht="15.75" customHeight="1">
      <c r="B447" s="46"/>
      <c r="BE447" s="46"/>
      <c r="BF447" s="46"/>
      <c r="BR447" s="46"/>
      <c r="BT447" s="46"/>
      <c r="BV447" s="46"/>
      <c r="BW447" s="46"/>
      <c r="BX447" s="46"/>
    </row>
    <row r="448" spans="2:76" ht="15.75" customHeight="1">
      <c r="B448" s="46"/>
      <c r="BE448" s="46"/>
      <c r="BF448" s="46"/>
      <c r="BR448" s="46"/>
      <c r="BT448" s="46"/>
      <c r="BV448" s="46"/>
      <c r="BW448" s="46"/>
      <c r="BX448" s="46"/>
    </row>
    <row r="449" spans="2:76" ht="15.75" customHeight="1">
      <c r="B449" s="46"/>
      <c r="BE449" s="46"/>
      <c r="BF449" s="46"/>
      <c r="BR449" s="46"/>
      <c r="BT449" s="46"/>
      <c r="BV449" s="46"/>
      <c r="BW449" s="46"/>
      <c r="BX449" s="46"/>
    </row>
    <row r="450" spans="2:76" ht="15.75" customHeight="1">
      <c r="B450" s="46"/>
      <c r="BE450" s="46"/>
      <c r="BF450" s="46"/>
      <c r="BR450" s="46"/>
      <c r="BT450" s="46"/>
      <c r="BV450" s="46"/>
      <c r="BW450" s="46"/>
      <c r="BX450" s="46"/>
    </row>
    <row r="451" spans="2:76" ht="15.75" customHeight="1">
      <c r="B451" s="46"/>
      <c r="BE451" s="46"/>
      <c r="BF451" s="46"/>
      <c r="BR451" s="46"/>
      <c r="BT451" s="46"/>
      <c r="BV451" s="46"/>
      <c r="BW451" s="46"/>
      <c r="BX451" s="46"/>
    </row>
    <row r="452" spans="2:76" ht="15.75" customHeight="1">
      <c r="B452" s="46"/>
      <c r="BE452" s="46"/>
      <c r="BF452" s="46"/>
      <c r="BR452" s="46"/>
      <c r="BT452" s="46"/>
      <c r="BV452" s="46"/>
      <c r="BW452" s="46"/>
      <c r="BX452" s="46"/>
    </row>
    <row r="453" spans="2:76" ht="15.75" customHeight="1">
      <c r="B453" s="46"/>
      <c r="BE453" s="46"/>
      <c r="BF453" s="46"/>
      <c r="BR453" s="46"/>
      <c r="BT453" s="46"/>
      <c r="BV453" s="46"/>
      <c r="BW453" s="46"/>
      <c r="BX453" s="46"/>
    </row>
    <row r="454" spans="2:76" ht="15.75" customHeight="1">
      <c r="B454" s="46"/>
      <c r="BE454" s="46"/>
      <c r="BF454" s="46"/>
      <c r="BR454" s="46"/>
      <c r="BT454" s="46"/>
      <c r="BV454" s="46"/>
      <c r="BW454" s="46"/>
      <c r="BX454" s="46"/>
    </row>
    <row r="455" spans="2:76" ht="15.75" customHeight="1">
      <c r="B455" s="46"/>
      <c r="BE455" s="46"/>
      <c r="BF455" s="46"/>
      <c r="BR455" s="46"/>
      <c r="BT455" s="46"/>
      <c r="BV455" s="46"/>
      <c r="BW455" s="46"/>
      <c r="BX455" s="46"/>
    </row>
    <row r="456" spans="2:76" ht="15.75" customHeight="1">
      <c r="B456" s="46"/>
      <c r="BE456" s="46"/>
      <c r="BF456" s="46"/>
      <c r="BR456" s="46"/>
      <c r="BT456" s="46"/>
      <c r="BV456" s="46"/>
      <c r="BW456" s="46"/>
      <c r="BX456" s="46"/>
    </row>
    <row r="457" spans="2:76" ht="15.75" customHeight="1">
      <c r="B457" s="46"/>
      <c r="BE457" s="46"/>
      <c r="BF457" s="46"/>
      <c r="BR457" s="46"/>
      <c r="BT457" s="46"/>
      <c r="BV457" s="46"/>
      <c r="BW457" s="46"/>
      <c r="BX457" s="46"/>
    </row>
    <row r="458" spans="2:76" ht="15.75" customHeight="1">
      <c r="B458" s="46"/>
      <c r="BE458" s="46"/>
      <c r="BF458" s="46"/>
      <c r="BR458" s="46"/>
      <c r="BT458" s="46"/>
      <c r="BV458" s="46"/>
      <c r="BW458" s="46"/>
      <c r="BX458" s="46"/>
    </row>
    <row r="459" spans="2:76" ht="15.75" customHeight="1">
      <c r="B459" s="46"/>
      <c r="BE459" s="46"/>
      <c r="BF459" s="46"/>
      <c r="BR459" s="46"/>
      <c r="BT459" s="46"/>
      <c r="BV459" s="46"/>
      <c r="BW459" s="46"/>
      <c r="BX459" s="46"/>
    </row>
    <row r="460" spans="2:76" ht="15.75" customHeight="1">
      <c r="B460" s="46"/>
      <c r="BE460" s="46"/>
      <c r="BF460" s="46"/>
      <c r="BR460" s="46"/>
      <c r="BT460" s="46"/>
      <c r="BV460" s="46"/>
      <c r="BW460" s="46"/>
      <c r="BX460" s="46"/>
    </row>
    <row r="461" spans="2:76" ht="15.75" customHeight="1">
      <c r="B461" s="46"/>
      <c r="BE461" s="46"/>
      <c r="BF461" s="46"/>
      <c r="BR461" s="46"/>
      <c r="BT461" s="46"/>
      <c r="BV461" s="46"/>
      <c r="BW461" s="46"/>
      <c r="BX461" s="46"/>
    </row>
    <row r="462" spans="2:76" ht="15.75" customHeight="1">
      <c r="B462" s="46"/>
      <c r="BE462" s="46"/>
      <c r="BF462" s="46"/>
      <c r="BR462" s="46"/>
      <c r="BT462" s="46"/>
      <c r="BV462" s="46"/>
      <c r="BW462" s="46"/>
      <c r="BX462" s="46"/>
    </row>
    <row r="463" spans="2:76" ht="15.75" customHeight="1">
      <c r="B463" s="46"/>
      <c r="BE463" s="46"/>
      <c r="BF463" s="46"/>
      <c r="BR463" s="46"/>
      <c r="BT463" s="46"/>
      <c r="BV463" s="46"/>
      <c r="BW463" s="46"/>
      <c r="BX463" s="46"/>
    </row>
    <row r="464" spans="2:76" ht="15.75" customHeight="1">
      <c r="B464" s="46"/>
      <c r="BE464" s="46"/>
      <c r="BF464" s="46"/>
      <c r="BR464" s="46"/>
      <c r="BT464" s="46"/>
      <c r="BV464" s="46"/>
      <c r="BW464" s="46"/>
      <c r="BX464" s="46"/>
    </row>
    <row r="465" spans="2:76" ht="15.75" customHeight="1">
      <c r="B465" s="46"/>
      <c r="BE465" s="46"/>
      <c r="BF465" s="46"/>
      <c r="BR465" s="46"/>
      <c r="BT465" s="46"/>
      <c r="BV465" s="46"/>
      <c r="BW465" s="46"/>
      <c r="BX465" s="46"/>
    </row>
    <row r="466" spans="2:76" ht="15.75" customHeight="1">
      <c r="B466" s="46"/>
      <c r="BE466" s="46"/>
      <c r="BF466" s="46"/>
      <c r="BR466" s="46"/>
      <c r="BT466" s="46"/>
      <c r="BV466" s="46"/>
      <c r="BW466" s="46"/>
      <c r="BX466" s="46"/>
    </row>
    <row r="467" spans="2:76" ht="15.75" customHeight="1">
      <c r="B467" s="46"/>
      <c r="BE467" s="46"/>
      <c r="BF467" s="46"/>
      <c r="BR467" s="46"/>
      <c r="BT467" s="46"/>
      <c r="BV467" s="46"/>
      <c r="BW467" s="46"/>
      <c r="BX467" s="46"/>
    </row>
    <row r="468" spans="2:76" ht="15.75" customHeight="1">
      <c r="B468" s="46"/>
      <c r="BE468" s="46"/>
      <c r="BF468" s="46"/>
      <c r="BR468" s="46"/>
      <c r="BT468" s="46"/>
      <c r="BV468" s="46"/>
      <c r="BW468" s="46"/>
      <c r="BX468" s="46"/>
    </row>
    <row r="469" spans="2:76" ht="15.75" customHeight="1">
      <c r="B469" s="46"/>
      <c r="BE469" s="46"/>
      <c r="BF469" s="46"/>
      <c r="BR469" s="46"/>
      <c r="BT469" s="46"/>
      <c r="BV469" s="46"/>
      <c r="BW469" s="46"/>
      <c r="BX469" s="46"/>
    </row>
    <row r="470" spans="2:76" ht="15.75" customHeight="1">
      <c r="B470" s="46"/>
      <c r="BE470" s="46"/>
      <c r="BF470" s="46"/>
      <c r="BR470" s="46"/>
      <c r="BT470" s="46"/>
      <c r="BV470" s="46"/>
      <c r="BW470" s="46"/>
      <c r="BX470" s="46"/>
    </row>
    <row r="471" spans="2:76" ht="15.75" customHeight="1">
      <c r="B471" s="46"/>
      <c r="BE471" s="46"/>
      <c r="BF471" s="46"/>
      <c r="BR471" s="46"/>
      <c r="BT471" s="46"/>
      <c r="BV471" s="46"/>
      <c r="BW471" s="46"/>
      <c r="BX471" s="46"/>
    </row>
    <row r="472" spans="2:76" ht="15.75" customHeight="1">
      <c r="B472" s="46"/>
      <c r="BE472" s="46"/>
      <c r="BF472" s="46"/>
      <c r="BR472" s="46"/>
      <c r="BT472" s="46"/>
      <c r="BV472" s="46"/>
      <c r="BW472" s="46"/>
      <c r="BX472" s="46"/>
    </row>
    <row r="473" spans="2:76" ht="15.75" customHeight="1">
      <c r="B473" s="46"/>
      <c r="BE473" s="46"/>
      <c r="BF473" s="46"/>
      <c r="BR473" s="46"/>
      <c r="BT473" s="46"/>
      <c r="BV473" s="46"/>
      <c r="BW473" s="46"/>
      <c r="BX473" s="46"/>
    </row>
    <row r="474" spans="2:76" ht="15.75" customHeight="1">
      <c r="B474" s="46"/>
      <c r="BE474" s="46"/>
      <c r="BF474" s="46"/>
      <c r="BR474" s="46"/>
      <c r="BT474" s="46"/>
      <c r="BV474" s="46"/>
      <c r="BW474" s="46"/>
      <c r="BX474" s="46"/>
    </row>
    <row r="475" spans="2:76" ht="15.75" customHeight="1">
      <c r="B475" s="46"/>
      <c r="BE475" s="46"/>
      <c r="BF475" s="46"/>
      <c r="BR475" s="46"/>
      <c r="BT475" s="46"/>
      <c r="BV475" s="46"/>
      <c r="BW475" s="46"/>
      <c r="BX475" s="46"/>
    </row>
    <row r="476" spans="2:76" ht="15.75" customHeight="1">
      <c r="B476" s="46"/>
      <c r="BE476" s="46"/>
      <c r="BF476" s="46"/>
      <c r="BR476" s="46"/>
      <c r="BT476" s="46"/>
      <c r="BV476" s="46"/>
      <c r="BW476" s="46"/>
      <c r="BX476" s="46"/>
    </row>
    <row r="477" spans="2:76" ht="15.75" customHeight="1">
      <c r="B477" s="46"/>
      <c r="BE477" s="46"/>
      <c r="BF477" s="46"/>
      <c r="BR477" s="46"/>
      <c r="BT477" s="46"/>
      <c r="BV477" s="46"/>
      <c r="BW477" s="46"/>
      <c r="BX477" s="46"/>
    </row>
    <row r="478" spans="2:76" ht="15.75" customHeight="1">
      <c r="B478" s="46"/>
      <c r="BE478" s="46"/>
      <c r="BF478" s="46"/>
      <c r="BR478" s="46"/>
      <c r="BT478" s="46"/>
      <c r="BV478" s="46"/>
      <c r="BW478" s="46"/>
      <c r="BX478" s="46"/>
    </row>
    <row r="479" spans="2:76" ht="15.75" customHeight="1">
      <c r="B479" s="46"/>
      <c r="BE479" s="46"/>
      <c r="BF479" s="46"/>
      <c r="BR479" s="46"/>
      <c r="BT479" s="46"/>
      <c r="BV479" s="46"/>
      <c r="BW479" s="46"/>
      <c r="BX479" s="46"/>
    </row>
    <row r="480" spans="2:76" ht="15.75" customHeight="1">
      <c r="B480" s="46"/>
      <c r="BE480" s="46"/>
      <c r="BF480" s="46"/>
      <c r="BR480" s="46"/>
      <c r="BT480" s="46"/>
      <c r="BV480" s="46"/>
      <c r="BW480" s="46"/>
      <c r="BX480" s="46"/>
    </row>
    <row r="481" spans="2:76" ht="15.75" customHeight="1">
      <c r="B481" s="46"/>
      <c r="BE481" s="46"/>
      <c r="BF481" s="46"/>
      <c r="BR481" s="46"/>
      <c r="BT481" s="46"/>
      <c r="BV481" s="46"/>
      <c r="BW481" s="46"/>
      <c r="BX481" s="46"/>
    </row>
    <row r="482" spans="2:76" ht="15.75" customHeight="1">
      <c r="B482" s="46"/>
      <c r="BE482" s="46"/>
      <c r="BF482" s="46"/>
      <c r="BR482" s="46"/>
      <c r="BT482" s="46"/>
      <c r="BV482" s="46"/>
      <c r="BW482" s="46"/>
      <c r="BX482" s="46"/>
    </row>
    <row r="483" spans="2:76" ht="15.75" customHeight="1">
      <c r="B483" s="46"/>
      <c r="BE483" s="46"/>
      <c r="BF483" s="46"/>
      <c r="BR483" s="46"/>
      <c r="BT483" s="46"/>
      <c r="BV483" s="46"/>
      <c r="BW483" s="46"/>
      <c r="BX483" s="46"/>
    </row>
    <row r="484" spans="2:76" ht="15.75" customHeight="1">
      <c r="B484" s="46"/>
      <c r="BE484" s="46"/>
      <c r="BF484" s="46"/>
      <c r="BR484" s="46"/>
      <c r="BT484" s="46"/>
      <c r="BV484" s="46"/>
      <c r="BW484" s="46"/>
      <c r="BX484" s="46"/>
    </row>
    <row r="485" spans="2:76" ht="15.75" customHeight="1">
      <c r="B485" s="46"/>
      <c r="BE485" s="46"/>
      <c r="BF485" s="46"/>
      <c r="BR485" s="46"/>
      <c r="BT485" s="46"/>
      <c r="BV485" s="46"/>
      <c r="BW485" s="46"/>
      <c r="BX485" s="46"/>
    </row>
    <row r="486" spans="2:76" ht="15.75" customHeight="1">
      <c r="B486" s="46"/>
      <c r="BE486" s="46"/>
      <c r="BF486" s="46"/>
      <c r="BR486" s="46"/>
      <c r="BT486" s="46"/>
      <c r="BV486" s="46"/>
      <c r="BW486" s="46"/>
      <c r="BX486" s="46"/>
    </row>
    <row r="487" spans="2:76" ht="15.75" customHeight="1">
      <c r="B487" s="46"/>
      <c r="BE487" s="46"/>
      <c r="BF487" s="46"/>
      <c r="BR487" s="46"/>
      <c r="BT487" s="46"/>
      <c r="BV487" s="46"/>
      <c r="BW487" s="46"/>
      <c r="BX487" s="46"/>
    </row>
    <row r="488" spans="2:76" ht="15.75" customHeight="1">
      <c r="B488" s="46"/>
      <c r="BE488" s="46"/>
      <c r="BF488" s="46"/>
      <c r="BR488" s="46"/>
      <c r="BT488" s="46"/>
      <c r="BV488" s="46"/>
      <c r="BW488" s="46"/>
      <c r="BX488" s="46"/>
    </row>
    <row r="489" spans="2:76" ht="15.75" customHeight="1">
      <c r="B489" s="46"/>
      <c r="BE489" s="46"/>
      <c r="BF489" s="46"/>
      <c r="BR489" s="46"/>
      <c r="BT489" s="46"/>
      <c r="BV489" s="46"/>
      <c r="BW489" s="46"/>
      <c r="BX489" s="46"/>
    </row>
    <row r="490" spans="2:76" ht="15.75" customHeight="1">
      <c r="B490" s="46"/>
      <c r="BE490" s="46"/>
      <c r="BF490" s="46"/>
      <c r="BR490" s="46"/>
      <c r="BT490" s="46"/>
      <c r="BV490" s="46"/>
      <c r="BW490" s="46"/>
      <c r="BX490" s="46"/>
    </row>
    <row r="491" spans="2:76" ht="15.75" customHeight="1">
      <c r="B491" s="46"/>
      <c r="BE491" s="46"/>
      <c r="BF491" s="46"/>
      <c r="BR491" s="46"/>
      <c r="BT491" s="46"/>
      <c r="BV491" s="46"/>
      <c r="BW491" s="46"/>
      <c r="BX491" s="46"/>
    </row>
    <row r="492" spans="2:76" ht="15.75" customHeight="1">
      <c r="B492" s="46"/>
      <c r="BE492" s="46"/>
      <c r="BF492" s="46"/>
      <c r="BR492" s="46"/>
      <c r="BT492" s="46"/>
      <c r="BV492" s="46"/>
      <c r="BW492" s="46"/>
      <c r="BX492" s="46"/>
    </row>
    <row r="493" spans="2:76" ht="15.75" customHeight="1">
      <c r="B493" s="46"/>
      <c r="BE493" s="46"/>
      <c r="BF493" s="46"/>
      <c r="BR493" s="46"/>
      <c r="BT493" s="46"/>
      <c r="BV493" s="46"/>
      <c r="BW493" s="46"/>
      <c r="BX493" s="46"/>
    </row>
    <row r="494" spans="2:76" ht="15.75" customHeight="1">
      <c r="B494" s="46"/>
      <c r="BE494" s="46"/>
      <c r="BF494" s="46"/>
      <c r="BR494" s="46"/>
      <c r="BT494" s="46"/>
      <c r="BV494" s="46"/>
      <c r="BW494" s="46"/>
      <c r="BX494" s="46"/>
    </row>
    <row r="495" spans="2:76" ht="15.75" customHeight="1">
      <c r="B495" s="46"/>
      <c r="BE495" s="46"/>
      <c r="BF495" s="46"/>
      <c r="BR495" s="46"/>
      <c r="BT495" s="46"/>
      <c r="BV495" s="46"/>
      <c r="BW495" s="46"/>
      <c r="BX495" s="46"/>
    </row>
    <row r="496" spans="2:76" ht="15.75" customHeight="1">
      <c r="B496" s="46"/>
      <c r="BE496" s="46"/>
      <c r="BF496" s="46"/>
      <c r="BR496" s="46"/>
      <c r="BT496" s="46"/>
      <c r="BV496" s="46"/>
      <c r="BW496" s="46"/>
      <c r="BX496" s="46"/>
    </row>
    <row r="497" spans="2:76" ht="15.75" customHeight="1">
      <c r="B497" s="46"/>
      <c r="BE497" s="46"/>
      <c r="BF497" s="46"/>
      <c r="BR497" s="46"/>
      <c r="BT497" s="46"/>
      <c r="BV497" s="46"/>
      <c r="BW497" s="46"/>
      <c r="BX497" s="46"/>
    </row>
    <row r="498" spans="2:76" ht="15.75" customHeight="1">
      <c r="B498" s="46"/>
      <c r="BE498" s="46"/>
      <c r="BF498" s="46"/>
      <c r="BR498" s="46"/>
      <c r="BT498" s="46"/>
      <c r="BV498" s="46"/>
      <c r="BW498" s="46"/>
      <c r="BX498" s="46"/>
    </row>
    <row r="499" spans="2:76" ht="15.75" customHeight="1">
      <c r="B499" s="46"/>
      <c r="BE499" s="46"/>
      <c r="BF499" s="46"/>
      <c r="BR499" s="46"/>
      <c r="BT499" s="46"/>
      <c r="BV499" s="46"/>
      <c r="BW499" s="46"/>
      <c r="BX499" s="46"/>
    </row>
    <row r="500" spans="2:76" ht="15.75" customHeight="1">
      <c r="B500" s="46"/>
      <c r="BE500" s="46"/>
      <c r="BF500" s="46"/>
      <c r="BR500" s="46"/>
      <c r="BT500" s="46"/>
      <c r="BV500" s="46"/>
      <c r="BW500" s="46"/>
      <c r="BX500" s="46"/>
    </row>
    <row r="501" spans="2:76" ht="15.75" customHeight="1">
      <c r="B501" s="46"/>
      <c r="BE501" s="46"/>
      <c r="BF501" s="46"/>
      <c r="BR501" s="46"/>
      <c r="BT501" s="46"/>
      <c r="BV501" s="46"/>
      <c r="BW501" s="46"/>
      <c r="BX501" s="46"/>
    </row>
    <row r="502" spans="2:76" ht="15.75" customHeight="1">
      <c r="B502" s="46"/>
      <c r="BE502" s="46"/>
      <c r="BF502" s="46"/>
      <c r="BR502" s="46"/>
      <c r="BT502" s="46"/>
      <c r="BV502" s="46"/>
      <c r="BW502" s="46"/>
      <c r="BX502" s="46"/>
    </row>
    <row r="503" spans="2:76" ht="15.75" customHeight="1">
      <c r="B503" s="46"/>
      <c r="BE503" s="46"/>
      <c r="BF503" s="46"/>
      <c r="BR503" s="46"/>
      <c r="BT503" s="46"/>
      <c r="BV503" s="46"/>
      <c r="BW503" s="46"/>
      <c r="BX503" s="46"/>
    </row>
    <row r="504" spans="2:76" ht="15.75" customHeight="1">
      <c r="B504" s="46"/>
      <c r="BE504" s="46"/>
      <c r="BF504" s="46"/>
      <c r="BR504" s="46"/>
      <c r="BT504" s="46"/>
      <c r="BV504" s="46"/>
      <c r="BW504" s="46"/>
      <c r="BX504" s="46"/>
    </row>
    <row r="505" spans="2:76" ht="15.75" customHeight="1">
      <c r="B505" s="46"/>
      <c r="BE505" s="46"/>
      <c r="BF505" s="46"/>
      <c r="BR505" s="46"/>
      <c r="BT505" s="46"/>
      <c r="BV505" s="46"/>
      <c r="BW505" s="46"/>
      <c r="BX505" s="46"/>
    </row>
    <row r="506" spans="2:76" ht="15.75" customHeight="1">
      <c r="B506" s="46"/>
      <c r="BE506" s="46"/>
      <c r="BF506" s="46"/>
      <c r="BR506" s="46"/>
      <c r="BT506" s="46"/>
      <c r="BV506" s="46"/>
      <c r="BW506" s="46"/>
      <c r="BX506" s="46"/>
    </row>
    <row r="507" spans="2:76" ht="15.75" customHeight="1">
      <c r="B507" s="46"/>
      <c r="BE507" s="46"/>
      <c r="BF507" s="46"/>
      <c r="BR507" s="46"/>
      <c r="BT507" s="46"/>
      <c r="BV507" s="46"/>
      <c r="BW507" s="46"/>
      <c r="BX507" s="46"/>
    </row>
    <row r="508" spans="2:76" ht="15.75" customHeight="1">
      <c r="B508" s="46"/>
      <c r="BE508" s="46"/>
      <c r="BF508" s="46"/>
      <c r="BR508" s="46"/>
      <c r="BT508" s="46"/>
      <c r="BV508" s="46"/>
      <c r="BW508" s="46"/>
      <c r="BX508" s="46"/>
    </row>
    <row r="509" spans="2:76" ht="15.75" customHeight="1">
      <c r="B509" s="46"/>
      <c r="BE509" s="46"/>
      <c r="BF509" s="46"/>
      <c r="BR509" s="46"/>
      <c r="BT509" s="46"/>
      <c r="BV509" s="46"/>
      <c r="BW509" s="46"/>
      <c r="BX509" s="46"/>
    </row>
    <row r="510" spans="2:76" ht="15.75" customHeight="1">
      <c r="B510" s="46"/>
      <c r="BE510" s="46"/>
      <c r="BF510" s="46"/>
      <c r="BR510" s="46"/>
      <c r="BT510" s="46"/>
      <c r="BV510" s="46"/>
      <c r="BW510" s="46"/>
      <c r="BX510" s="46"/>
    </row>
    <row r="511" spans="2:76" ht="15.75" customHeight="1">
      <c r="B511" s="46"/>
      <c r="BE511" s="46"/>
      <c r="BF511" s="46"/>
      <c r="BR511" s="46"/>
      <c r="BT511" s="46"/>
      <c r="BV511" s="46"/>
      <c r="BW511" s="46"/>
      <c r="BX511" s="46"/>
    </row>
    <row r="512" spans="2:76" ht="15.75" customHeight="1">
      <c r="B512" s="46"/>
      <c r="BE512" s="46"/>
      <c r="BF512" s="46"/>
      <c r="BR512" s="46"/>
      <c r="BT512" s="46"/>
      <c r="BV512" s="46"/>
      <c r="BW512" s="46"/>
      <c r="BX512" s="46"/>
    </row>
    <row r="513" spans="2:76" ht="15.75" customHeight="1">
      <c r="B513" s="46"/>
      <c r="BE513" s="46"/>
      <c r="BF513" s="46"/>
      <c r="BR513" s="46"/>
      <c r="BT513" s="46"/>
      <c r="BV513" s="46"/>
      <c r="BW513" s="46"/>
      <c r="BX513" s="46"/>
    </row>
    <row r="514" spans="2:76" ht="15.75" customHeight="1">
      <c r="B514" s="46"/>
      <c r="BE514" s="46"/>
      <c r="BF514" s="46"/>
      <c r="BR514" s="46"/>
      <c r="BT514" s="46"/>
      <c r="BV514" s="46"/>
      <c r="BW514" s="46"/>
      <c r="BX514" s="46"/>
    </row>
    <row r="515" spans="2:76" ht="15.75" customHeight="1">
      <c r="B515" s="46"/>
      <c r="BE515" s="46"/>
      <c r="BF515" s="46"/>
      <c r="BR515" s="46"/>
      <c r="BT515" s="46"/>
      <c r="BV515" s="46"/>
      <c r="BW515" s="46"/>
      <c r="BX515" s="46"/>
    </row>
    <row r="516" spans="2:76" ht="15.75" customHeight="1">
      <c r="B516" s="46"/>
      <c r="BE516" s="46"/>
      <c r="BF516" s="46"/>
      <c r="BR516" s="46"/>
      <c r="BT516" s="46"/>
      <c r="BV516" s="46"/>
      <c r="BW516" s="46"/>
      <c r="BX516" s="46"/>
    </row>
    <row r="517" spans="2:76" ht="15.75" customHeight="1">
      <c r="B517" s="46"/>
      <c r="BE517" s="46"/>
      <c r="BF517" s="46"/>
      <c r="BR517" s="46"/>
      <c r="BT517" s="46"/>
      <c r="BV517" s="46"/>
      <c r="BW517" s="46"/>
      <c r="BX517" s="46"/>
    </row>
    <row r="518" spans="2:76" ht="15.75" customHeight="1">
      <c r="B518" s="46"/>
      <c r="BE518" s="46"/>
      <c r="BF518" s="46"/>
      <c r="BR518" s="46"/>
      <c r="BT518" s="46"/>
      <c r="BV518" s="46"/>
      <c r="BW518" s="46"/>
      <c r="BX518" s="46"/>
    </row>
    <row r="519" spans="2:76" ht="15.75" customHeight="1">
      <c r="B519" s="46"/>
      <c r="BE519" s="46"/>
      <c r="BF519" s="46"/>
      <c r="BR519" s="46"/>
      <c r="BT519" s="46"/>
      <c r="BV519" s="46"/>
      <c r="BW519" s="46"/>
      <c r="BX519" s="46"/>
    </row>
    <row r="520" spans="2:76" ht="15.75" customHeight="1">
      <c r="B520" s="46"/>
      <c r="BE520" s="46"/>
      <c r="BF520" s="46"/>
      <c r="BR520" s="46"/>
      <c r="BT520" s="46"/>
      <c r="BV520" s="46"/>
      <c r="BW520" s="46"/>
      <c r="BX520" s="46"/>
    </row>
    <row r="521" spans="2:76" ht="15.75" customHeight="1">
      <c r="B521" s="46"/>
      <c r="BE521" s="46"/>
      <c r="BF521" s="46"/>
      <c r="BR521" s="46"/>
      <c r="BT521" s="46"/>
      <c r="BV521" s="46"/>
      <c r="BW521" s="46"/>
      <c r="BX521" s="46"/>
    </row>
    <row r="522" spans="2:76" ht="15.75" customHeight="1">
      <c r="B522" s="46"/>
      <c r="BE522" s="46"/>
      <c r="BF522" s="46"/>
      <c r="BR522" s="46"/>
      <c r="BT522" s="46"/>
      <c r="BV522" s="46"/>
      <c r="BW522" s="46"/>
      <c r="BX522" s="46"/>
    </row>
    <row r="523" spans="2:76" ht="15.75" customHeight="1">
      <c r="B523" s="46"/>
      <c r="BE523" s="46"/>
      <c r="BF523" s="46"/>
      <c r="BR523" s="46"/>
      <c r="BT523" s="46"/>
      <c r="BV523" s="46"/>
      <c r="BW523" s="46"/>
      <c r="BX523" s="46"/>
    </row>
    <row r="524" spans="2:76" ht="15.75" customHeight="1">
      <c r="B524" s="46"/>
      <c r="BE524" s="46"/>
      <c r="BF524" s="46"/>
      <c r="BR524" s="46"/>
      <c r="BT524" s="46"/>
      <c r="BV524" s="46"/>
      <c r="BW524" s="46"/>
      <c r="BX524" s="46"/>
    </row>
    <row r="525" spans="2:76" ht="15.75" customHeight="1">
      <c r="B525" s="46"/>
      <c r="BE525" s="46"/>
      <c r="BF525" s="46"/>
      <c r="BR525" s="46"/>
      <c r="BT525" s="46"/>
      <c r="BV525" s="46"/>
      <c r="BW525" s="46"/>
      <c r="BX525" s="46"/>
    </row>
    <row r="526" spans="2:76" ht="15.75" customHeight="1">
      <c r="B526" s="46"/>
      <c r="BE526" s="46"/>
      <c r="BF526" s="46"/>
      <c r="BR526" s="46"/>
      <c r="BT526" s="46"/>
      <c r="BV526" s="46"/>
      <c r="BW526" s="46"/>
      <c r="BX526" s="46"/>
    </row>
    <row r="527" spans="2:76" ht="15.75" customHeight="1">
      <c r="B527" s="46"/>
      <c r="BE527" s="46"/>
      <c r="BF527" s="46"/>
      <c r="BR527" s="46"/>
      <c r="BT527" s="46"/>
      <c r="BV527" s="46"/>
      <c r="BW527" s="46"/>
      <c r="BX527" s="46"/>
    </row>
    <row r="528" spans="2:76" ht="15.75" customHeight="1">
      <c r="B528" s="46"/>
      <c r="BE528" s="46"/>
      <c r="BF528" s="46"/>
      <c r="BR528" s="46"/>
      <c r="BT528" s="46"/>
      <c r="BV528" s="46"/>
      <c r="BW528" s="46"/>
      <c r="BX528" s="46"/>
    </row>
    <row r="529" spans="2:76" ht="15.75" customHeight="1">
      <c r="B529" s="46"/>
      <c r="BE529" s="46"/>
      <c r="BF529" s="46"/>
      <c r="BR529" s="46"/>
      <c r="BT529" s="46"/>
      <c r="BV529" s="46"/>
      <c r="BW529" s="46"/>
      <c r="BX529" s="46"/>
    </row>
    <row r="530" spans="2:76" ht="15.75" customHeight="1">
      <c r="B530" s="46"/>
      <c r="BE530" s="46"/>
      <c r="BF530" s="46"/>
      <c r="BR530" s="46"/>
      <c r="BT530" s="46"/>
      <c r="BV530" s="46"/>
      <c r="BW530" s="46"/>
      <c r="BX530" s="46"/>
    </row>
    <row r="531" spans="2:76" ht="15.75" customHeight="1">
      <c r="B531" s="46"/>
      <c r="BE531" s="46"/>
      <c r="BF531" s="46"/>
      <c r="BR531" s="46"/>
      <c r="BT531" s="46"/>
      <c r="BV531" s="46"/>
      <c r="BW531" s="46"/>
      <c r="BX531" s="46"/>
    </row>
    <row r="532" spans="2:76" ht="15.75" customHeight="1">
      <c r="B532" s="46"/>
      <c r="BE532" s="46"/>
      <c r="BF532" s="46"/>
      <c r="BR532" s="46"/>
      <c r="BT532" s="46"/>
      <c r="BV532" s="46"/>
      <c r="BW532" s="46"/>
      <c r="BX532" s="46"/>
    </row>
    <row r="533" spans="2:76" ht="15.75" customHeight="1">
      <c r="B533" s="46"/>
      <c r="BE533" s="46"/>
      <c r="BF533" s="46"/>
      <c r="BR533" s="46"/>
      <c r="BT533" s="46"/>
      <c r="BV533" s="46"/>
      <c r="BW533" s="46"/>
      <c r="BX533" s="46"/>
    </row>
    <row r="534" spans="2:76" ht="15.75" customHeight="1">
      <c r="B534" s="46"/>
      <c r="BE534" s="46"/>
      <c r="BF534" s="46"/>
      <c r="BR534" s="46"/>
      <c r="BT534" s="46"/>
      <c r="BV534" s="46"/>
      <c r="BW534" s="46"/>
      <c r="BX534" s="46"/>
    </row>
    <row r="535" spans="2:76" ht="15.75" customHeight="1">
      <c r="B535" s="46"/>
      <c r="BE535" s="46"/>
      <c r="BF535" s="46"/>
      <c r="BR535" s="46"/>
      <c r="BT535" s="46"/>
      <c r="BV535" s="46"/>
      <c r="BW535" s="46"/>
      <c r="BX535" s="46"/>
    </row>
    <row r="536" spans="2:76" ht="15.75" customHeight="1">
      <c r="B536" s="46"/>
      <c r="BE536" s="46"/>
      <c r="BF536" s="46"/>
      <c r="BR536" s="46"/>
      <c r="BT536" s="46"/>
      <c r="BV536" s="46"/>
      <c r="BW536" s="46"/>
      <c r="BX536" s="46"/>
    </row>
    <row r="537" spans="2:76" ht="15.75" customHeight="1">
      <c r="B537" s="46"/>
      <c r="BE537" s="46"/>
      <c r="BF537" s="46"/>
      <c r="BR537" s="46"/>
      <c r="BT537" s="46"/>
      <c r="BV537" s="46"/>
      <c r="BW537" s="46"/>
      <c r="BX537" s="46"/>
    </row>
    <row r="538" spans="2:76" ht="15.75" customHeight="1">
      <c r="B538" s="46"/>
      <c r="BE538" s="46"/>
      <c r="BF538" s="46"/>
      <c r="BR538" s="46"/>
      <c r="BT538" s="46"/>
      <c r="BV538" s="46"/>
      <c r="BW538" s="46"/>
      <c r="BX538" s="46"/>
    </row>
    <row r="539" spans="2:76" ht="15.75" customHeight="1">
      <c r="B539" s="46"/>
      <c r="BE539" s="46"/>
      <c r="BF539" s="46"/>
      <c r="BR539" s="46"/>
      <c r="BT539" s="46"/>
      <c r="BV539" s="46"/>
      <c r="BW539" s="46"/>
      <c r="BX539" s="46"/>
    </row>
    <row r="540" spans="2:76" ht="15.75" customHeight="1">
      <c r="B540" s="46"/>
      <c r="BE540" s="46"/>
      <c r="BF540" s="46"/>
      <c r="BR540" s="46"/>
      <c r="BT540" s="46"/>
      <c r="BV540" s="46"/>
      <c r="BW540" s="46"/>
      <c r="BX540" s="46"/>
    </row>
    <row r="541" spans="2:76" ht="15.75" customHeight="1">
      <c r="B541" s="46"/>
      <c r="BE541" s="46"/>
      <c r="BF541" s="46"/>
      <c r="BR541" s="46"/>
      <c r="BT541" s="46"/>
      <c r="BV541" s="46"/>
      <c r="BW541" s="46"/>
      <c r="BX541" s="46"/>
    </row>
    <row r="542" spans="2:76" ht="15.75" customHeight="1">
      <c r="B542" s="46"/>
      <c r="BE542" s="46"/>
      <c r="BF542" s="46"/>
      <c r="BR542" s="46"/>
      <c r="BT542" s="46"/>
      <c r="BV542" s="46"/>
      <c r="BW542" s="46"/>
      <c r="BX542" s="46"/>
    </row>
    <row r="543" spans="2:76" ht="15.75" customHeight="1">
      <c r="B543" s="46"/>
      <c r="BE543" s="46"/>
      <c r="BF543" s="46"/>
      <c r="BR543" s="46"/>
      <c r="BT543" s="46"/>
      <c r="BV543" s="46"/>
      <c r="BW543" s="46"/>
      <c r="BX543" s="46"/>
    </row>
    <row r="544" spans="2:76" ht="15.75" customHeight="1">
      <c r="B544" s="46"/>
      <c r="BE544" s="46"/>
      <c r="BF544" s="46"/>
      <c r="BR544" s="46"/>
      <c r="BT544" s="46"/>
      <c r="BV544" s="46"/>
      <c r="BW544" s="46"/>
      <c r="BX544" s="46"/>
    </row>
    <row r="545" spans="2:76" ht="15.75" customHeight="1">
      <c r="B545" s="46"/>
      <c r="BE545" s="46"/>
      <c r="BF545" s="46"/>
      <c r="BR545" s="46"/>
      <c r="BT545" s="46"/>
      <c r="BV545" s="46"/>
      <c r="BW545" s="46"/>
      <c r="BX545" s="46"/>
    </row>
    <row r="546" spans="2:76" ht="15.75" customHeight="1">
      <c r="B546" s="46"/>
      <c r="BE546" s="46"/>
      <c r="BF546" s="46"/>
      <c r="BR546" s="46"/>
      <c r="BT546" s="46"/>
      <c r="BV546" s="46"/>
      <c r="BW546" s="46"/>
      <c r="BX546" s="46"/>
    </row>
    <row r="547" spans="2:76" ht="15.75" customHeight="1">
      <c r="B547" s="46"/>
      <c r="BE547" s="46"/>
      <c r="BF547" s="46"/>
      <c r="BR547" s="46"/>
      <c r="BT547" s="46"/>
      <c r="BV547" s="46"/>
      <c r="BW547" s="46"/>
      <c r="BX547" s="46"/>
    </row>
    <row r="548" spans="2:76" ht="15.75" customHeight="1">
      <c r="B548" s="46"/>
      <c r="BE548" s="46"/>
      <c r="BF548" s="46"/>
      <c r="BR548" s="46"/>
      <c r="BT548" s="46"/>
      <c r="BV548" s="46"/>
      <c r="BW548" s="46"/>
      <c r="BX548" s="46"/>
    </row>
    <row r="549" spans="2:76" ht="15.75" customHeight="1">
      <c r="B549" s="46"/>
      <c r="BE549" s="46"/>
      <c r="BF549" s="46"/>
      <c r="BR549" s="46"/>
      <c r="BT549" s="46"/>
      <c r="BV549" s="46"/>
      <c r="BW549" s="46"/>
      <c r="BX549" s="46"/>
    </row>
    <row r="550" spans="2:76" ht="15.75" customHeight="1">
      <c r="B550" s="46"/>
      <c r="BE550" s="46"/>
      <c r="BF550" s="46"/>
      <c r="BR550" s="46"/>
      <c r="BT550" s="46"/>
      <c r="BV550" s="46"/>
      <c r="BW550" s="46"/>
      <c r="BX550" s="46"/>
    </row>
    <row r="551" spans="2:76" ht="15.75" customHeight="1">
      <c r="B551" s="46"/>
      <c r="BE551" s="46"/>
      <c r="BF551" s="46"/>
      <c r="BR551" s="46"/>
      <c r="BT551" s="46"/>
      <c r="BV551" s="46"/>
      <c r="BW551" s="46"/>
      <c r="BX551" s="46"/>
    </row>
    <row r="552" spans="2:76" ht="15.75" customHeight="1">
      <c r="B552" s="46"/>
      <c r="BE552" s="46"/>
      <c r="BF552" s="46"/>
      <c r="BR552" s="46"/>
      <c r="BT552" s="46"/>
      <c r="BV552" s="46"/>
      <c r="BW552" s="46"/>
      <c r="BX552" s="46"/>
    </row>
    <row r="553" spans="2:76" ht="15.75" customHeight="1">
      <c r="B553" s="46"/>
      <c r="BE553" s="46"/>
      <c r="BF553" s="46"/>
      <c r="BR553" s="46"/>
      <c r="BT553" s="46"/>
      <c r="BV553" s="46"/>
      <c r="BW553" s="46"/>
      <c r="BX553" s="46"/>
    </row>
    <row r="554" spans="2:76" ht="15.75" customHeight="1">
      <c r="B554" s="46"/>
      <c r="BE554" s="46"/>
      <c r="BF554" s="46"/>
      <c r="BR554" s="46"/>
      <c r="BT554" s="46"/>
      <c r="BV554" s="46"/>
      <c r="BW554" s="46"/>
      <c r="BX554" s="46"/>
    </row>
    <row r="555" spans="2:76" ht="15.75" customHeight="1">
      <c r="B555" s="46"/>
      <c r="BE555" s="46"/>
      <c r="BF555" s="46"/>
      <c r="BR555" s="46"/>
      <c r="BT555" s="46"/>
      <c r="BV555" s="46"/>
      <c r="BW555" s="46"/>
      <c r="BX555" s="46"/>
    </row>
    <row r="556" spans="2:76" ht="15.75" customHeight="1">
      <c r="B556" s="46"/>
      <c r="BE556" s="46"/>
      <c r="BF556" s="46"/>
      <c r="BR556" s="46"/>
      <c r="BT556" s="46"/>
      <c r="BV556" s="46"/>
      <c r="BW556" s="46"/>
      <c r="BX556" s="46"/>
    </row>
    <row r="557" spans="2:76" ht="15.75" customHeight="1">
      <c r="B557" s="46"/>
      <c r="BE557" s="46"/>
      <c r="BF557" s="46"/>
      <c r="BR557" s="46"/>
      <c r="BT557" s="46"/>
      <c r="BV557" s="46"/>
      <c r="BW557" s="46"/>
      <c r="BX557" s="46"/>
    </row>
    <row r="558" spans="2:76" ht="15.75" customHeight="1">
      <c r="B558" s="46"/>
      <c r="BE558" s="46"/>
      <c r="BF558" s="46"/>
      <c r="BR558" s="46"/>
      <c r="BT558" s="46"/>
      <c r="BV558" s="46"/>
      <c r="BW558" s="46"/>
      <c r="BX558" s="46"/>
    </row>
    <row r="559" spans="2:76" ht="15.75" customHeight="1">
      <c r="B559" s="46"/>
      <c r="BE559" s="46"/>
      <c r="BF559" s="46"/>
      <c r="BR559" s="46"/>
      <c r="BT559" s="46"/>
      <c r="BV559" s="46"/>
      <c r="BW559" s="46"/>
      <c r="BX559" s="46"/>
    </row>
    <row r="560" spans="2:76" ht="15.75" customHeight="1">
      <c r="B560" s="46"/>
      <c r="BE560" s="46"/>
      <c r="BF560" s="46"/>
      <c r="BR560" s="46"/>
      <c r="BT560" s="46"/>
      <c r="BV560" s="46"/>
      <c r="BW560" s="46"/>
      <c r="BX560" s="46"/>
    </row>
    <row r="561" spans="2:76" ht="15.75" customHeight="1">
      <c r="B561" s="46"/>
      <c r="BE561" s="46"/>
      <c r="BF561" s="46"/>
      <c r="BR561" s="46"/>
      <c r="BT561" s="46"/>
      <c r="BV561" s="46"/>
      <c r="BW561" s="46"/>
      <c r="BX561" s="46"/>
    </row>
    <row r="562" spans="2:76" ht="15.75" customHeight="1">
      <c r="B562" s="46"/>
      <c r="BE562" s="46"/>
      <c r="BF562" s="46"/>
      <c r="BR562" s="46"/>
      <c r="BT562" s="46"/>
      <c r="BV562" s="46"/>
      <c r="BW562" s="46"/>
      <c r="BX562" s="46"/>
    </row>
    <row r="563" spans="2:76" ht="15.75" customHeight="1">
      <c r="B563" s="46"/>
      <c r="BE563" s="46"/>
      <c r="BF563" s="46"/>
      <c r="BR563" s="46"/>
      <c r="BT563" s="46"/>
      <c r="BV563" s="46"/>
      <c r="BW563" s="46"/>
      <c r="BX563" s="46"/>
    </row>
    <row r="564" spans="2:76" ht="15.75" customHeight="1">
      <c r="B564" s="46"/>
      <c r="BE564" s="46"/>
      <c r="BF564" s="46"/>
      <c r="BR564" s="46"/>
      <c r="BT564" s="46"/>
      <c r="BV564" s="46"/>
      <c r="BW564" s="46"/>
      <c r="BX564" s="46"/>
    </row>
    <row r="565" spans="2:76" ht="15.75" customHeight="1">
      <c r="B565" s="46"/>
      <c r="BE565" s="46"/>
      <c r="BF565" s="46"/>
      <c r="BR565" s="46"/>
      <c r="BT565" s="46"/>
      <c r="BV565" s="46"/>
      <c r="BW565" s="46"/>
      <c r="BX565" s="46"/>
    </row>
    <row r="566" spans="2:76" ht="15.75" customHeight="1">
      <c r="B566" s="46"/>
      <c r="BE566" s="46"/>
      <c r="BF566" s="46"/>
      <c r="BR566" s="46"/>
      <c r="BT566" s="46"/>
      <c r="BV566" s="46"/>
      <c r="BW566" s="46"/>
      <c r="BX566" s="46"/>
    </row>
    <row r="567" spans="2:76" ht="15.75" customHeight="1">
      <c r="B567" s="46"/>
      <c r="BE567" s="46"/>
      <c r="BF567" s="46"/>
      <c r="BR567" s="46"/>
      <c r="BT567" s="46"/>
      <c r="BV567" s="46"/>
      <c r="BW567" s="46"/>
      <c r="BX567" s="46"/>
    </row>
    <row r="568" spans="2:76" ht="15.75" customHeight="1">
      <c r="B568" s="46"/>
      <c r="BE568" s="46"/>
      <c r="BF568" s="46"/>
      <c r="BR568" s="46"/>
      <c r="BT568" s="46"/>
      <c r="BV568" s="46"/>
      <c r="BW568" s="46"/>
      <c r="BX568" s="46"/>
    </row>
    <row r="569" spans="2:76" ht="15.75" customHeight="1">
      <c r="B569" s="46"/>
      <c r="BE569" s="46"/>
      <c r="BF569" s="46"/>
      <c r="BR569" s="46"/>
      <c r="BT569" s="46"/>
      <c r="BV569" s="46"/>
      <c r="BW569" s="46"/>
      <c r="BX569" s="46"/>
    </row>
    <row r="570" spans="2:76" ht="15.75" customHeight="1">
      <c r="B570" s="46"/>
      <c r="BE570" s="46"/>
      <c r="BF570" s="46"/>
      <c r="BR570" s="46"/>
      <c r="BT570" s="46"/>
      <c r="BV570" s="46"/>
      <c r="BW570" s="46"/>
      <c r="BX570" s="46"/>
    </row>
    <row r="571" spans="2:76" ht="15.75" customHeight="1">
      <c r="B571" s="46"/>
      <c r="BE571" s="46"/>
      <c r="BF571" s="46"/>
      <c r="BR571" s="46"/>
      <c r="BT571" s="46"/>
      <c r="BV571" s="46"/>
      <c r="BW571" s="46"/>
      <c r="BX571" s="46"/>
    </row>
    <row r="572" spans="2:76" ht="15.75" customHeight="1">
      <c r="B572" s="46"/>
      <c r="BE572" s="46"/>
      <c r="BF572" s="46"/>
      <c r="BR572" s="46"/>
      <c r="BT572" s="46"/>
      <c r="BV572" s="46"/>
      <c r="BW572" s="46"/>
      <c r="BX572" s="46"/>
    </row>
    <row r="573" spans="2:76" ht="15.75" customHeight="1">
      <c r="B573" s="46"/>
      <c r="BE573" s="46"/>
      <c r="BF573" s="46"/>
      <c r="BR573" s="46"/>
      <c r="BT573" s="46"/>
      <c r="BV573" s="46"/>
      <c r="BW573" s="46"/>
      <c r="BX573" s="46"/>
    </row>
    <row r="574" spans="2:76" ht="15.75" customHeight="1">
      <c r="B574" s="46"/>
      <c r="BE574" s="46"/>
      <c r="BF574" s="46"/>
      <c r="BR574" s="46"/>
      <c r="BT574" s="46"/>
      <c r="BV574" s="46"/>
      <c r="BW574" s="46"/>
      <c r="BX574" s="46"/>
    </row>
    <row r="575" spans="2:76" ht="15.75" customHeight="1">
      <c r="B575" s="46"/>
      <c r="BE575" s="46"/>
      <c r="BF575" s="46"/>
      <c r="BR575" s="46"/>
      <c r="BT575" s="46"/>
      <c r="BV575" s="46"/>
      <c r="BW575" s="46"/>
      <c r="BX575" s="46"/>
    </row>
    <row r="576" spans="2:76" ht="15.75" customHeight="1">
      <c r="B576" s="46"/>
      <c r="BE576" s="46"/>
      <c r="BF576" s="46"/>
      <c r="BR576" s="46"/>
      <c r="BT576" s="46"/>
      <c r="BV576" s="46"/>
      <c r="BW576" s="46"/>
      <c r="BX576" s="46"/>
    </row>
    <row r="577" spans="2:76" ht="15.75" customHeight="1">
      <c r="B577" s="46"/>
      <c r="BE577" s="46"/>
      <c r="BF577" s="46"/>
      <c r="BR577" s="46"/>
      <c r="BT577" s="46"/>
      <c r="BV577" s="46"/>
      <c r="BW577" s="46"/>
      <c r="BX577" s="46"/>
    </row>
    <row r="578" spans="2:76" ht="15.75" customHeight="1">
      <c r="B578" s="46"/>
      <c r="BE578" s="46"/>
      <c r="BF578" s="46"/>
      <c r="BR578" s="46"/>
      <c r="BT578" s="46"/>
      <c r="BV578" s="46"/>
      <c r="BW578" s="46"/>
      <c r="BX578" s="46"/>
    </row>
    <row r="579" spans="2:76" ht="15.75" customHeight="1">
      <c r="B579" s="46"/>
      <c r="BE579" s="46"/>
      <c r="BF579" s="46"/>
      <c r="BR579" s="46"/>
      <c r="BT579" s="46"/>
      <c r="BV579" s="46"/>
      <c r="BW579" s="46"/>
      <c r="BX579" s="46"/>
    </row>
    <row r="580" spans="2:76" ht="15.75" customHeight="1">
      <c r="B580" s="46"/>
      <c r="BE580" s="46"/>
      <c r="BF580" s="46"/>
      <c r="BR580" s="46"/>
      <c r="BT580" s="46"/>
      <c r="BV580" s="46"/>
      <c r="BW580" s="46"/>
      <c r="BX580" s="46"/>
    </row>
    <row r="581" spans="2:76" ht="15.75" customHeight="1">
      <c r="B581" s="46"/>
      <c r="BE581" s="46"/>
      <c r="BF581" s="46"/>
      <c r="BR581" s="46"/>
      <c r="BT581" s="46"/>
      <c r="BV581" s="46"/>
      <c r="BW581" s="46"/>
      <c r="BX581" s="46"/>
    </row>
    <row r="582" spans="2:76" ht="15.75" customHeight="1">
      <c r="B582" s="46"/>
      <c r="BE582" s="46"/>
      <c r="BF582" s="46"/>
      <c r="BR582" s="46"/>
      <c r="BT582" s="46"/>
      <c r="BV582" s="46"/>
      <c r="BW582" s="46"/>
      <c r="BX582" s="46"/>
    </row>
    <row r="583" spans="2:76" ht="15.75" customHeight="1">
      <c r="B583" s="46"/>
      <c r="BE583" s="46"/>
      <c r="BF583" s="46"/>
      <c r="BR583" s="46"/>
      <c r="BT583" s="46"/>
      <c r="BV583" s="46"/>
      <c r="BW583" s="46"/>
      <c r="BX583" s="46"/>
    </row>
    <row r="584" spans="2:76" ht="15.75" customHeight="1">
      <c r="B584" s="46"/>
      <c r="BE584" s="46"/>
      <c r="BF584" s="46"/>
      <c r="BR584" s="46"/>
      <c r="BT584" s="46"/>
      <c r="BV584" s="46"/>
      <c r="BW584" s="46"/>
      <c r="BX584" s="46"/>
    </row>
    <row r="585" spans="2:76" ht="15.75" customHeight="1">
      <c r="B585" s="46"/>
      <c r="BE585" s="46"/>
      <c r="BF585" s="46"/>
      <c r="BR585" s="46"/>
      <c r="BT585" s="46"/>
      <c r="BV585" s="46"/>
      <c r="BW585" s="46"/>
      <c r="BX585" s="46"/>
    </row>
    <row r="586" spans="2:76" ht="15.75" customHeight="1">
      <c r="B586" s="46"/>
      <c r="BE586" s="46"/>
      <c r="BF586" s="46"/>
      <c r="BR586" s="46"/>
      <c r="BT586" s="46"/>
      <c r="BV586" s="46"/>
      <c r="BW586" s="46"/>
      <c r="BX586" s="46"/>
    </row>
    <row r="587" spans="2:76" ht="15.75" customHeight="1">
      <c r="B587" s="46"/>
      <c r="BE587" s="46"/>
      <c r="BF587" s="46"/>
      <c r="BR587" s="46"/>
      <c r="BT587" s="46"/>
      <c r="BV587" s="46"/>
      <c r="BW587" s="46"/>
      <c r="BX587" s="46"/>
    </row>
    <row r="588" spans="2:76" ht="15.75" customHeight="1">
      <c r="B588" s="46"/>
      <c r="BE588" s="46"/>
      <c r="BF588" s="46"/>
      <c r="BR588" s="46"/>
      <c r="BT588" s="46"/>
      <c r="BV588" s="46"/>
      <c r="BW588" s="46"/>
      <c r="BX588" s="46"/>
    </row>
    <row r="589" spans="2:76" ht="15.75" customHeight="1">
      <c r="B589" s="46"/>
      <c r="BE589" s="46"/>
      <c r="BF589" s="46"/>
      <c r="BR589" s="46"/>
      <c r="BT589" s="46"/>
      <c r="BV589" s="46"/>
      <c r="BW589" s="46"/>
      <c r="BX589" s="46"/>
    </row>
    <row r="590" spans="2:76" ht="15.75" customHeight="1">
      <c r="B590" s="46"/>
      <c r="BE590" s="46"/>
      <c r="BF590" s="46"/>
      <c r="BR590" s="46"/>
      <c r="BT590" s="46"/>
      <c r="BV590" s="46"/>
      <c r="BW590" s="46"/>
      <c r="BX590" s="46"/>
    </row>
    <row r="591" spans="2:76" ht="15.75" customHeight="1">
      <c r="B591" s="46"/>
      <c r="BE591" s="46"/>
      <c r="BF591" s="46"/>
      <c r="BR591" s="46"/>
      <c r="BT591" s="46"/>
      <c r="BV591" s="46"/>
      <c r="BW591" s="46"/>
      <c r="BX591" s="46"/>
    </row>
    <row r="592" spans="2:76" ht="15.75" customHeight="1">
      <c r="B592" s="46"/>
      <c r="BE592" s="46"/>
      <c r="BF592" s="46"/>
      <c r="BR592" s="46"/>
      <c r="BT592" s="46"/>
      <c r="BV592" s="46"/>
      <c r="BW592" s="46"/>
      <c r="BX592" s="46"/>
    </row>
    <row r="593" spans="2:76" ht="15.75" customHeight="1">
      <c r="B593" s="46"/>
      <c r="BE593" s="46"/>
      <c r="BF593" s="46"/>
      <c r="BR593" s="46"/>
      <c r="BT593" s="46"/>
      <c r="BV593" s="46"/>
      <c r="BW593" s="46"/>
      <c r="BX593" s="46"/>
    </row>
    <row r="594" spans="2:76" ht="15.75" customHeight="1">
      <c r="B594" s="46"/>
      <c r="BE594" s="46"/>
      <c r="BF594" s="46"/>
      <c r="BR594" s="46"/>
      <c r="BT594" s="46"/>
      <c r="BV594" s="46"/>
      <c r="BW594" s="46"/>
      <c r="BX594" s="46"/>
    </row>
    <row r="595" spans="2:76" ht="15.75" customHeight="1">
      <c r="B595" s="46"/>
      <c r="BE595" s="46"/>
      <c r="BF595" s="46"/>
      <c r="BR595" s="46"/>
      <c r="BT595" s="46"/>
      <c r="BV595" s="46"/>
      <c r="BW595" s="46"/>
      <c r="BX595" s="46"/>
    </row>
    <row r="596" spans="2:76" ht="15.75" customHeight="1">
      <c r="B596" s="46"/>
      <c r="BE596" s="46"/>
      <c r="BF596" s="46"/>
      <c r="BR596" s="46"/>
      <c r="BT596" s="46"/>
      <c r="BV596" s="46"/>
      <c r="BW596" s="46"/>
      <c r="BX596" s="46"/>
    </row>
    <row r="597" spans="2:76" ht="15.75" customHeight="1">
      <c r="B597" s="46"/>
      <c r="BE597" s="46"/>
      <c r="BF597" s="46"/>
      <c r="BR597" s="46"/>
      <c r="BT597" s="46"/>
      <c r="BV597" s="46"/>
      <c r="BW597" s="46"/>
      <c r="BX597" s="46"/>
    </row>
    <row r="598" spans="2:76" ht="15.75" customHeight="1">
      <c r="B598" s="46"/>
      <c r="BE598" s="46"/>
      <c r="BF598" s="46"/>
      <c r="BR598" s="46"/>
      <c r="BT598" s="46"/>
      <c r="BV598" s="46"/>
      <c r="BW598" s="46"/>
      <c r="BX598" s="46"/>
    </row>
    <row r="599" spans="2:76" ht="15.75" customHeight="1">
      <c r="B599" s="46"/>
      <c r="BE599" s="46"/>
      <c r="BF599" s="46"/>
      <c r="BR599" s="46"/>
      <c r="BT599" s="46"/>
      <c r="BV599" s="46"/>
      <c r="BW599" s="46"/>
      <c r="BX599" s="46"/>
    </row>
    <row r="600" spans="2:76" ht="15.75" customHeight="1">
      <c r="B600" s="46"/>
      <c r="BE600" s="46"/>
      <c r="BF600" s="46"/>
      <c r="BR600" s="46"/>
      <c r="BT600" s="46"/>
      <c r="BV600" s="46"/>
      <c r="BW600" s="46"/>
      <c r="BX600" s="46"/>
    </row>
    <row r="601" spans="2:76" ht="15.75" customHeight="1">
      <c r="B601" s="46"/>
      <c r="BE601" s="46"/>
      <c r="BF601" s="46"/>
      <c r="BR601" s="46"/>
      <c r="BT601" s="46"/>
      <c r="BV601" s="46"/>
      <c r="BW601" s="46"/>
      <c r="BX601" s="46"/>
    </row>
    <row r="602" spans="2:76" ht="15.75" customHeight="1">
      <c r="B602" s="46"/>
      <c r="BE602" s="46"/>
      <c r="BF602" s="46"/>
      <c r="BR602" s="46"/>
      <c r="BT602" s="46"/>
      <c r="BV602" s="46"/>
      <c r="BW602" s="46"/>
      <c r="BX602" s="46"/>
    </row>
    <row r="603" spans="2:76" ht="15.75" customHeight="1">
      <c r="B603" s="46"/>
      <c r="BE603" s="46"/>
      <c r="BF603" s="46"/>
      <c r="BR603" s="46"/>
      <c r="BT603" s="46"/>
      <c r="BV603" s="46"/>
      <c r="BW603" s="46"/>
      <c r="BX603" s="46"/>
    </row>
    <row r="604" spans="2:76" ht="15.75" customHeight="1">
      <c r="B604" s="46"/>
      <c r="BE604" s="46"/>
      <c r="BF604" s="46"/>
      <c r="BR604" s="46"/>
      <c r="BT604" s="46"/>
      <c r="BV604" s="46"/>
      <c r="BW604" s="46"/>
      <c r="BX604" s="46"/>
    </row>
    <row r="605" spans="2:76" ht="15.75" customHeight="1">
      <c r="B605" s="46"/>
      <c r="BE605" s="46"/>
      <c r="BF605" s="46"/>
      <c r="BR605" s="46"/>
      <c r="BT605" s="46"/>
      <c r="BV605" s="46"/>
      <c r="BW605" s="46"/>
      <c r="BX605" s="46"/>
    </row>
    <row r="606" spans="2:76" ht="15.75" customHeight="1">
      <c r="B606" s="46"/>
      <c r="BE606" s="46"/>
      <c r="BF606" s="46"/>
      <c r="BR606" s="46"/>
      <c r="BT606" s="46"/>
      <c r="BV606" s="46"/>
      <c r="BW606" s="46"/>
      <c r="BX606" s="46"/>
    </row>
    <row r="607" spans="2:76" ht="15.75" customHeight="1">
      <c r="B607" s="46"/>
      <c r="BE607" s="46"/>
      <c r="BF607" s="46"/>
      <c r="BR607" s="46"/>
      <c r="BT607" s="46"/>
      <c r="BV607" s="46"/>
      <c r="BW607" s="46"/>
      <c r="BX607" s="46"/>
    </row>
    <row r="608" spans="2:76" ht="15.75" customHeight="1">
      <c r="B608" s="46"/>
      <c r="BE608" s="46"/>
      <c r="BF608" s="46"/>
      <c r="BR608" s="46"/>
      <c r="BT608" s="46"/>
      <c r="BV608" s="46"/>
      <c r="BW608" s="46"/>
      <c r="BX608" s="46"/>
    </row>
    <row r="609" spans="2:76" ht="15.75" customHeight="1">
      <c r="B609" s="46"/>
      <c r="BE609" s="46"/>
      <c r="BF609" s="46"/>
      <c r="BR609" s="46"/>
      <c r="BT609" s="46"/>
      <c r="BV609" s="46"/>
      <c r="BW609" s="46"/>
      <c r="BX609" s="46"/>
    </row>
    <row r="610" spans="2:76" ht="15.75" customHeight="1">
      <c r="B610" s="46"/>
      <c r="BE610" s="46"/>
      <c r="BF610" s="46"/>
      <c r="BR610" s="46"/>
      <c r="BT610" s="46"/>
      <c r="BV610" s="46"/>
      <c r="BW610" s="46"/>
      <c r="BX610" s="46"/>
    </row>
    <row r="611" spans="2:76" ht="15.75" customHeight="1">
      <c r="B611" s="46"/>
      <c r="BE611" s="46"/>
      <c r="BF611" s="46"/>
      <c r="BR611" s="46"/>
      <c r="BT611" s="46"/>
      <c r="BV611" s="46"/>
      <c r="BW611" s="46"/>
      <c r="BX611" s="46"/>
    </row>
    <row r="612" spans="2:76" ht="15.75" customHeight="1">
      <c r="B612" s="46"/>
      <c r="BE612" s="46"/>
      <c r="BF612" s="46"/>
      <c r="BR612" s="46"/>
      <c r="BT612" s="46"/>
      <c r="BV612" s="46"/>
      <c r="BW612" s="46"/>
      <c r="BX612" s="46"/>
    </row>
    <row r="613" spans="2:76" ht="15.75" customHeight="1">
      <c r="B613" s="46"/>
      <c r="BE613" s="46"/>
      <c r="BF613" s="46"/>
      <c r="BR613" s="46"/>
      <c r="BT613" s="46"/>
      <c r="BV613" s="46"/>
      <c r="BW613" s="46"/>
      <c r="BX613" s="46"/>
    </row>
    <row r="614" spans="2:76" ht="15.75" customHeight="1">
      <c r="B614" s="46"/>
      <c r="BE614" s="46"/>
      <c r="BF614" s="46"/>
      <c r="BR614" s="46"/>
      <c r="BT614" s="46"/>
      <c r="BV614" s="46"/>
      <c r="BW614" s="46"/>
      <c r="BX614" s="46"/>
    </row>
    <row r="615" spans="2:76" ht="15.75" customHeight="1">
      <c r="B615" s="46"/>
      <c r="BE615" s="46"/>
      <c r="BF615" s="46"/>
      <c r="BR615" s="46"/>
      <c r="BT615" s="46"/>
      <c r="BV615" s="46"/>
      <c r="BW615" s="46"/>
      <c r="BX615" s="46"/>
    </row>
    <row r="616" spans="2:76" ht="15.75" customHeight="1">
      <c r="B616" s="46"/>
      <c r="BE616" s="46"/>
      <c r="BF616" s="46"/>
      <c r="BR616" s="46"/>
      <c r="BT616" s="46"/>
      <c r="BV616" s="46"/>
      <c r="BW616" s="46"/>
      <c r="BX616" s="46"/>
    </row>
    <row r="617" spans="2:76" ht="15.75" customHeight="1">
      <c r="B617" s="46"/>
      <c r="BE617" s="46"/>
      <c r="BF617" s="46"/>
      <c r="BR617" s="46"/>
      <c r="BT617" s="46"/>
      <c r="BV617" s="46"/>
      <c r="BW617" s="46"/>
      <c r="BX617" s="46"/>
    </row>
    <row r="618" spans="2:76" ht="15.75" customHeight="1">
      <c r="B618" s="46"/>
      <c r="BE618" s="46"/>
      <c r="BF618" s="46"/>
      <c r="BR618" s="46"/>
      <c r="BT618" s="46"/>
      <c r="BV618" s="46"/>
      <c r="BW618" s="46"/>
      <c r="BX618" s="46"/>
    </row>
    <row r="619" spans="2:76" ht="15.75" customHeight="1">
      <c r="B619" s="46"/>
      <c r="BE619" s="46"/>
      <c r="BF619" s="46"/>
      <c r="BR619" s="46"/>
      <c r="BT619" s="46"/>
      <c r="BV619" s="46"/>
      <c r="BW619" s="46"/>
      <c r="BX619" s="46"/>
    </row>
    <row r="620" spans="2:76" ht="15.75" customHeight="1">
      <c r="B620" s="46"/>
      <c r="BE620" s="46"/>
      <c r="BF620" s="46"/>
      <c r="BR620" s="46"/>
      <c r="BT620" s="46"/>
      <c r="BV620" s="46"/>
      <c r="BW620" s="46"/>
      <c r="BX620" s="46"/>
    </row>
    <row r="621" spans="2:76" ht="15.75" customHeight="1">
      <c r="B621" s="46"/>
      <c r="BE621" s="46"/>
      <c r="BF621" s="46"/>
      <c r="BR621" s="46"/>
      <c r="BT621" s="46"/>
      <c r="BV621" s="46"/>
      <c r="BW621" s="46"/>
      <c r="BX621" s="46"/>
    </row>
    <row r="622" spans="2:76" ht="15.75" customHeight="1">
      <c r="B622" s="46"/>
      <c r="BE622" s="46"/>
      <c r="BF622" s="46"/>
      <c r="BR622" s="46"/>
      <c r="BT622" s="46"/>
      <c r="BV622" s="46"/>
      <c r="BW622" s="46"/>
      <c r="BX622" s="46"/>
    </row>
    <row r="623" spans="2:76" ht="15.75" customHeight="1">
      <c r="B623" s="46"/>
      <c r="BE623" s="46"/>
      <c r="BF623" s="46"/>
      <c r="BR623" s="46"/>
      <c r="BT623" s="46"/>
      <c r="BV623" s="46"/>
      <c r="BW623" s="46"/>
      <c r="BX623" s="46"/>
    </row>
    <row r="624" spans="2:76" ht="15.75" customHeight="1">
      <c r="B624" s="46"/>
      <c r="BE624" s="46"/>
      <c r="BF624" s="46"/>
      <c r="BR624" s="46"/>
      <c r="BT624" s="46"/>
      <c r="BV624" s="46"/>
      <c r="BW624" s="46"/>
      <c r="BX624" s="46"/>
    </row>
    <row r="625" spans="2:76" ht="15.75" customHeight="1">
      <c r="B625" s="46"/>
      <c r="BE625" s="46"/>
      <c r="BF625" s="46"/>
      <c r="BR625" s="46"/>
      <c r="BT625" s="46"/>
      <c r="BV625" s="46"/>
      <c r="BW625" s="46"/>
      <c r="BX625" s="46"/>
    </row>
    <row r="626" spans="2:76" ht="15.75" customHeight="1">
      <c r="B626" s="46"/>
      <c r="BE626" s="46"/>
      <c r="BF626" s="46"/>
      <c r="BR626" s="46"/>
      <c r="BT626" s="46"/>
      <c r="BV626" s="46"/>
      <c r="BW626" s="46"/>
      <c r="BX626" s="46"/>
    </row>
    <row r="627" spans="2:76" ht="15.75" customHeight="1">
      <c r="B627" s="46"/>
      <c r="BE627" s="46"/>
      <c r="BF627" s="46"/>
      <c r="BR627" s="46"/>
      <c r="BT627" s="46"/>
      <c r="BV627" s="46"/>
      <c r="BW627" s="46"/>
      <c r="BX627" s="46"/>
    </row>
    <row r="628" spans="2:76" ht="15.75" customHeight="1">
      <c r="B628" s="46"/>
      <c r="BE628" s="46"/>
      <c r="BF628" s="46"/>
      <c r="BR628" s="46"/>
      <c r="BT628" s="46"/>
      <c r="BV628" s="46"/>
      <c r="BW628" s="46"/>
      <c r="BX628" s="46"/>
    </row>
    <row r="629" spans="2:76" ht="15.75" customHeight="1">
      <c r="B629" s="46"/>
      <c r="BE629" s="46"/>
      <c r="BF629" s="46"/>
      <c r="BR629" s="46"/>
      <c r="BT629" s="46"/>
      <c r="BV629" s="46"/>
      <c r="BW629" s="46"/>
      <c r="BX629" s="46"/>
    </row>
    <row r="630" spans="2:76" ht="15.75" customHeight="1">
      <c r="B630" s="46"/>
      <c r="BE630" s="46"/>
      <c r="BF630" s="46"/>
      <c r="BR630" s="46"/>
      <c r="BT630" s="46"/>
      <c r="BV630" s="46"/>
      <c r="BW630" s="46"/>
      <c r="BX630" s="46"/>
    </row>
    <row r="631" spans="2:76" ht="15.75" customHeight="1">
      <c r="B631" s="46"/>
      <c r="BE631" s="46"/>
      <c r="BF631" s="46"/>
      <c r="BR631" s="46"/>
      <c r="BT631" s="46"/>
      <c r="BV631" s="46"/>
      <c r="BW631" s="46"/>
      <c r="BX631" s="46"/>
    </row>
    <row r="632" spans="2:76" ht="15.75" customHeight="1">
      <c r="B632" s="46"/>
      <c r="BE632" s="46"/>
      <c r="BF632" s="46"/>
      <c r="BR632" s="46"/>
      <c r="BT632" s="46"/>
      <c r="BV632" s="46"/>
      <c r="BW632" s="46"/>
      <c r="BX632" s="46"/>
    </row>
    <row r="633" spans="2:76" ht="15.75" customHeight="1">
      <c r="B633" s="46"/>
      <c r="BE633" s="46"/>
      <c r="BF633" s="46"/>
      <c r="BR633" s="46"/>
      <c r="BT633" s="46"/>
      <c r="BV633" s="46"/>
      <c r="BW633" s="46"/>
      <c r="BX633" s="46"/>
    </row>
    <row r="634" spans="2:76" ht="15.75" customHeight="1">
      <c r="B634" s="46"/>
      <c r="BE634" s="46"/>
      <c r="BF634" s="46"/>
      <c r="BR634" s="46"/>
      <c r="BT634" s="46"/>
      <c r="BV634" s="46"/>
      <c r="BW634" s="46"/>
      <c r="BX634" s="46"/>
    </row>
    <row r="635" spans="2:76" ht="15.75" customHeight="1">
      <c r="B635" s="46"/>
      <c r="BE635" s="46"/>
      <c r="BF635" s="46"/>
      <c r="BR635" s="46"/>
      <c r="BT635" s="46"/>
      <c r="BV635" s="46"/>
      <c r="BW635" s="46"/>
      <c r="BX635" s="46"/>
    </row>
    <row r="636" spans="2:76" ht="15.75" customHeight="1">
      <c r="B636" s="46"/>
      <c r="BE636" s="46"/>
      <c r="BF636" s="46"/>
      <c r="BR636" s="46"/>
      <c r="BT636" s="46"/>
      <c r="BV636" s="46"/>
      <c r="BW636" s="46"/>
      <c r="BX636" s="46"/>
    </row>
    <row r="637" spans="2:76" ht="15.75" customHeight="1">
      <c r="B637" s="46"/>
      <c r="BE637" s="46"/>
      <c r="BF637" s="46"/>
      <c r="BR637" s="46"/>
      <c r="BT637" s="46"/>
      <c r="BV637" s="46"/>
      <c r="BW637" s="46"/>
      <c r="BX637" s="46"/>
    </row>
    <row r="638" spans="2:76" ht="15.75" customHeight="1">
      <c r="B638" s="46"/>
      <c r="BE638" s="46"/>
      <c r="BF638" s="46"/>
      <c r="BR638" s="46"/>
      <c r="BT638" s="46"/>
      <c r="BV638" s="46"/>
      <c r="BW638" s="46"/>
      <c r="BX638" s="46"/>
    </row>
    <row r="639" spans="2:76" ht="15.75" customHeight="1">
      <c r="B639" s="46"/>
      <c r="BE639" s="46"/>
      <c r="BF639" s="46"/>
      <c r="BR639" s="46"/>
      <c r="BT639" s="46"/>
      <c r="BV639" s="46"/>
      <c r="BW639" s="46"/>
      <c r="BX639" s="46"/>
    </row>
    <row r="640" spans="2:76" ht="15.75" customHeight="1">
      <c r="B640" s="46"/>
      <c r="BE640" s="46"/>
      <c r="BF640" s="46"/>
      <c r="BR640" s="46"/>
      <c r="BT640" s="46"/>
      <c r="BV640" s="46"/>
      <c r="BW640" s="46"/>
      <c r="BX640" s="46"/>
    </row>
    <row r="641" spans="2:76" ht="15.75" customHeight="1">
      <c r="B641" s="46"/>
      <c r="BE641" s="46"/>
      <c r="BF641" s="46"/>
      <c r="BR641" s="46"/>
      <c r="BT641" s="46"/>
      <c r="BV641" s="46"/>
      <c r="BW641" s="46"/>
      <c r="BX641" s="46"/>
    </row>
    <row r="642" spans="2:76" ht="15.75" customHeight="1">
      <c r="B642" s="46"/>
      <c r="BE642" s="46"/>
      <c r="BF642" s="46"/>
      <c r="BR642" s="46"/>
      <c r="BT642" s="46"/>
      <c r="BV642" s="46"/>
      <c r="BW642" s="46"/>
      <c r="BX642" s="46"/>
    </row>
    <row r="643" spans="2:76" ht="15.75" customHeight="1">
      <c r="B643" s="46"/>
      <c r="BE643" s="46"/>
      <c r="BF643" s="46"/>
      <c r="BR643" s="46"/>
      <c r="BT643" s="46"/>
      <c r="BV643" s="46"/>
      <c r="BW643" s="46"/>
      <c r="BX643" s="46"/>
    </row>
    <row r="644" spans="2:76" ht="15.75" customHeight="1">
      <c r="B644" s="46"/>
      <c r="BE644" s="46"/>
      <c r="BF644" s="46"/>
      <c r="BR644" s="46"/>
      <c r="BT644" s="46"/>
      <c r="BV644" s="46"/>
      <c r="BW644" s="46"/>
      <c r="BX644" s="46"/>
    </row>
    <row r="645" spans="2:76" ht="15.75" customHeight="1">
      <c r="B645" s="46"/>
      <c r="BE645" s="46"/>
      <c r="BF645" s="46"/>
      <c r="BR645" s="46"/>
      <c r="BT645" s="46"/>
      <c r="BV645" s="46"/>
      <c r="BW645" s="46"/>
      <c r="BX645" s="46"/>
    </row>
    <row r="646" spans="2:76" ht="15.75" customHeight="1">
      <c r="B646" s="46"/>
      <c r="BE646" s="46"/>
      <c r="BF646" s="46"/>
      <c r="BR646" s="46"/>
      <c r="BT646" s="46"/>
      <c r="BV646" s="46"/>
      <c r="BW646" s="46"/>
      <c r="BX646" s="46"/>
    </row>
    <row r="647" spans="2:76" ht="15.75" customHeight="1">
      <c r="B647" s="46"/>
      <c r="BE647" s="46"/>
      <c r="BF647" s="46"/>
      <c r="BR647" s="46"/>
      <c r="BT647" s="46"/>
      <c r="BV647" s="46"/>
      <c r="BW647" s="46"/>
      <c r="BX647" s="46"/>
    </row>
    <row r="648" spans="2:76" ht="15.75" customHeight="1">
      <c r="B648" s="46"/>
      <c r="BE648" s="46"/>
      <c r="BF648" s="46"/>
      <c r="BR648" s="46"/>
      <c r="BT648" s="46"/>
      <c r="BV648" s="46"/>
      <c r="BW648" s="46"/>
      <c r="BX648" s="46"/>
    </row>
    <row r="649" spans="2:76" ht="15.75" customHeight="1">
      <c r="B649" s="46"/>
      <c r="BE649" s="46"/>
      <c r="BF649" s="46"/>
      <c r="BR649" s="46"/>
      <c r="BT649" s="46"/>
      <c r="BV649" s="46"/>
      <c r="BW649" s="46"/>
      <c r="BX649" s="46"/>
    </row>
    <row r="650" spans="2:76" ht="15.75" customHeight="1">
      <c r="B650" s="46"/>
      <c r="BE650" s="46"/>
      <c r="BF650" s="46"/>
      <c r="BR650" s="46"/>
      <c r="BT650" s="46"/>
      <c r="BV650" s="46"/>
      <c r="BW650" s="46"/>
      <c r="BX650" s="46"/>
    </row>
    <row r="651" spans="2:76" ht="15.75" customHeight="1">
      <c r="B651" s="46"/>
      <c r="BE651" s="46"/>
      <c r="BF651" s="46"/>
      <c r="BR651" s="46"/>
      <c r="BT651" s="46"/>
      <c r="BV651" s="46"/>
      <c r="BW651" s="46"/>
      <c r="BX651" s="46"/>
    </row>
    <row r="652" spans="2:76" ht="15.75" customHeight="1">
      <c r="B652" s="46"/>
      <c r="BE652" s="46"/>
      <c r="BF652" s="46"/>
      <c r="BR652" s="46"/>
      <c r="BT652" s="46"/>
      <c r="BV652" s="46"/>
      <c r="BW652" s="46"/>
      <c r="BX652" s="46"/>
    </row>
    <row r="653" spans="2:76" ht="15.75" customHeight="1">
      <c r="B653" s="46"/>
      <c r="BE653" s="46"/>
      <c r="BF653" s="46"/>
      <c r="BR653" s="46"/>
      <c r="BT653" s="46"/>
      <c r="BV653" s="46"/>
      <c r="BW653" s="46"/>
      <c r="BX653" s="46"/>
    </row>
    <row r="654" spans="2:76" ht="15.75" customHeight="1">
      <c r="B654" s="46"/>
      <c r="BE654" s="46"/>
      <c r="BF654" s="46"/>
      <c r="BR654" s="46"/>
      <c r="BT654" s="46"/>
      <c r="BV654" s="46"/>
      <c r="BW654" s="46"/>
      <c r="BX654" s="46"/>
    </row>
    <row r="655" spans="2:76" ht="15.75" customHeight="1">
      <c r="B655" s="46"/>
      <c r="BE655" s="46"/>
      <c r="BF655" s="46"/>
      <c r="BR655" s="46"/>
      <c r="BT655" s="46"/>
      <c r="BV655" s="46"/>
      <c r="BW655" s="46"/>
      <c r="BX655" s="46"/>
    </row>
    <row r="656" spans="2:76" ht="15.75" customHeight="1">
      <c r="B656" s="46"/>
      <c r="BE656" s="46"/>
      <c r="BF656" s="46"/>
      <c r="BR656" s="46"/>
      <c r="BT656" s="46"/>
      <c r="BV656" s="46"/>
      <c r="BW656" s="46"/>
      <c r="BX656" s="46"/>
    </row>
    <row r="657" spans="2:76" ht="15.75" customHeight="1">
      <c r="B657" s="46"/>
      <c r="BE657" s="46"/>
      <c r="BF657" s="46"/>
      <c r="BR657" s="46"/>
      <c r="BT657" s="46"/>
      <c r="BV657" s="46"/>
      <c r="BW657" s="46"/>
      <c r="BX657" s="46"/>
    </row>
    <row r="658" spans="2:76" ht="15.75" customHeight="1">
      <c r="B658" s="46"/>
      <c r="BE658" s="46"/>
      <c r="BF658" s="46"/>
      <c r="BR658" s="46"/>
      <c r="BT658" s="46"/>
      <c r="BV658" s="46"/>
      <c r="BW658" s="46"/>
      <c r="BX658" s="46"/>
    </row>
    <row r="659" spans="2:76" ht="15.75" customHeight="1">
      <c r="B659" s="46"/>
      <c r="BE659" s="46"/>
      <c r="BF659" s="46"/>
      <c r="BR659" s="46"/>
      <c r="BT659" s="46"/>
      <c r="BV659" s="46"/>
      <c r="BW659" s="46"/>
      <c r="BX659" s="46"/>
    </row>
    <row r="660" spans="2:76" ht="15.75" customHeight="1">
      <c r="B660" s="46"/>
      <c r="BE660" s="46"/>
      <c r="BF660" s="46"/>
      <c r="BR660" s="46"/>
      <c r="BT660" s="46"/>
      <c r="BV660" s="46"/>
      <c r="BW660" s="46"/>
      <c r="BX660" s="46"/>
    </row>
    <row r="661" spans="2:76" ht="15.75" customHeight="1">
      <c r="B661" s="46"/>
      <c r="BE661" s="46"/>
      <c r="BF661" s="46"/>
      <c r="BR661" s="46"/>
      <c r="BT661" s="46"/>
      <c r="BV661" s="46"/>
      <c r="BW661" s="46"/>
      <c r="BX661" s="46"/>
    </row>
    <row r="662" spans="2:76" ht="15.75" customHeight="1">
      <c r="B662" s="46"/>
      <c r="BE662" s="46"/>
      <c r="BF662" s="46"/>
      <c r="BR662" s="46"/>
      <c r="BT662" s="46"/>
      <c r="BV662" s="46"/>
      <c r="BW662" s="46"/>
      <c r="BX662" s="46"/>
    </row>
    <row r="663" spans="2:76" ht="15.75" customHeight="1">
      <c r="B663" s="46"/>
      <c r="BE663" s="46"/>
      <c r="BF663" s="46"/>
      <c r="BR663" s="46"/>
      <c r="BT663" s="46"/>
      <c r="BV663" s="46"/>
      <c r="BW663" s="46"/>
      <c r="BX663" s="46"/>
    </row>
    <row r="664" spans="2:76" ht="15.75" customHeight="1">
      <c r="B664" s="46"/>
      <c r="BE664" s="46"/>
      <c r="BF664" s="46"/>
      <c r="BR664" s="46"/>
      <c r="BT664" s="46"/>
      <c r="BV664" s="46"/>
      <c r="BW664" s="46"/>
      <c r="BX664" s="46"/>
    </row>
    <row r="665" spans="2:76" ht="15.75" customHeight="1">
      <c r="B665" s="46"/>
      <c r="BE665" s="46"/>
      <c r="BF665" s="46"/>
      <c r="BR665" s="46"/>
      <c r="BT665" s="46"/>
      <c r="BV665" s="46"/>
      <c r="BW665" s="46"/>
      <c r="BX665" s="46"/>
    </row>
    <row r="666" spans="2:76" ht="15.75" customHeight="1">
      <c r="B666" s="46"/>
      <c r="BE666" s="46"/>
      <c r="BF666" s="46"/>
      <c r="BR666" s="46"/>
      <c r="BT666" s="46"/>
      <c r="BV666" s="46"/>
      <c r="BW666" s="46"/>
      <c r="BX666" s="46"/>
    </row>
    <row r="667" spans="2:76" ht="15.75" customHeight="1">
      <c r="B667" s="46"/>
      <c r="BE667" s="46"/>
      <c r="BF667" s="46"/>
      <c r="BR667" s="46"/>
      <c r="BT667" s="46"/>
      <c r="BV667" s="46"/>
      <c r="BW667" s="46"/>
      <c r="BX667" s="46"/>
    </row>
    <row r="668" spans="2:76" ht="15.75" customHeight="1">
      <c r="B668" s="46"/>
      <c r="BE668" s="46"/>
      <c r="BF668" s="46"/>
      <c r="BR668" s="46"/>
      <c r="BT668" s="46"/>
      <c r="BV668" s="46"/>
      <c r="BW668" s="46"/>
      <c r="BX668" s="46"/>
    </row>
    <row r="669" spans="2:76" ht="15.75" customHeight="1">
      <c r="B669" s="46"/>
      <c r="BE669" s="46"/>
      <c r="BF669" s="46"/>
      <c r="BR669" s="46"/>
      <c r="BT669" s="46"/>
      <c r="BV669" s="46"/>
      <c r="BW669" s="46"/>
      <c r="BX669" s="46"/>
    </row>
    <row r="670" spans="2:76" ht="15.75" customHeight="1">
      <c r="B670" s="46"/>
      <c r="BE670" s="46"/>
      <c r="BF670" s="46"/>
      <c r="BR670" s="46"/>
      <c r="BT670" s="46"/>
      <c r="BV670" s="46"/>
      <c r="BW670" s="46"/>
      <c r="BX670" s="46"/>
    </row>
    <row r="671" spans="2:76" ht="15.75" customHeight="1">
      <c r="B671" s="46"/>
      <c r="BE671" s="46"/>
      <c r="BF671" s="46"/>
      <c r="BR671" s="46"/>
      <c r="BT671" s="46"/>
      <c r="BV671" s="46"/>
      <c r="BW671" s="46"/>
      <c r="BX671" s="46"/>
    </row>
    <row r="672" spans="2:76" ht="15.75" customHeight="1">
      <c r="B672" s="46"/>
      <c r="BE672" s="46"/>
      <c r="BF672" s="46"/>
      <c r="BR672" s="46"/>
      <c r="BT672" s="46"/>
      <c r="BV672" s="46"/>
      <c r="BW672" s="46"/>
      <c r="BX672" s="46"/>
    </row>
    <row r="673" spans="2:76" ht="15.75" customHeight="1">
      <c r="B673" s="46"/>
      <c r="BE673" s="46"/>
      <c r="BF673" s="46"/>
      <c r="BR673" s="46"/>
      <c r="BT673" s="46"/>
      <c r="BV673" s="46"/>
      <c r="BW673" s="46"/>
      <c r="BX673" s="46"/>
    </row>
    <row r="674" spans="2:76" ht="15.75" customHeight="1">
      <c r="B674" s="46"/>
      <c r="BE674" s="46"/>
      <c r="BF674" s="46"/>
      <c r="BR674" s="46"/>
      <c r="BT674" s="46"/>
      <c r="BV674" s="46"/>
      <c r="BW674" s="46"/>
      <c r="BX674" s="46"/>
    </row>
    <row r="675" spans="2:76" ht="15.75" customHeight="1">
      <c r="B675" s="46"/>
      <c r="BE675" s="46"/>
      <c r="BF675" s="46"/>
      <c r="BR675" s="46"/>
      <c r="BT675" s="46"/>
      <c r="BV675" s="46"/>
      <c r="BW675" s="46"/>
      <c r="BX675" s="46"/>
    </row>
    <row r="676" spans="2:76" ht="15.75" customHeight="1">
      <c r="B676" s="46"/>
      <c r="BE676" s="46"/>
      <c r="BF676" s="46"/>
      <c r="BR676" s="46"/>
      <c r="BT676" s="46"/>
      <c r="BV676" s="46"/>
      <c r="BW676" s="46"/>
      <c r="BX676" s="46"/>
    </row>
    <row r="677" spans="2:76" ht="15.75" customHeight="1">
      <c r="B677" s="46"/>
      <c r="BE677" s="46"/>
      <c r="BF677" s="46"/>
      <c r="BR677" s="46"/>
      <c r="BT677" s="46"/>
      <c r="BV677" s="46"/>
      <c r="BW677" s="46"/>
      <c r="BX677" s="46"/>
    </row>
    <row r="678" spans="2:76" ht="15.75" customHeight="1">
      <c r="B678" s="46"/>
      <c r="BE678" s="46"/>
      <c r="BF678" s="46"/>
      <c r="BR678" s="46"/>
      <c r="BT678" s="46"/>
      <c r="BV678" s="46"/>
      <c r="BW678" s="46"/>
      <c r="BX678" s="46"/>
    </row>
    <row r="679" spans="2:76" ht="15.75" customHeight="1">
      <c r="B679" s="46"/>
      <c r="BE679" s="46"/>
      <c r="BF679" s="46"/>
      <c r="BR679" s="46"/>
      <c r="BT679" s="46"/>
      <c r="BV679" s="46"/>
      <c r="BW679" s="46"/>
      <c r="BX679" s="46"/>
    </row>
    <row r="680" spans="2:76" ht="15.75" customHeight="1">
      <c r="B680" s="46"/>
      <c r="BE680" s="46"/>
      <c r="BF680" s="46"/>
      <c r="BR680" s="46"/>
      <c r="BT680" s="46"/>
      <c r="BV680" s="46"/>
      <c r="BW680" s="46"/>
      <c r="BX680" s="46"/>
    </row>
    <row r="681" spans="2:76" ht="15.75" customHeight="1">
      <c r="B681" s="46"/>
      <c r="BE681" s="46"/>
      <c r="BF681" s="46"/>
      <c r="BR681" s="46"/>
      <c r="BT681" s="46"/>
      <c r="BV681" s="46"/>
      <c r="BW681" s="46"/>
      <c r="BX681" s="46"/>
    </row>
    <row r="682" spans="2:76" ht="15.75" customHeight="1">
      <c r="B682" s="46"/>
      <c r="BE682" s="46"/>
      <c r="BF682" s="46"/>
      <c r="BR682" s="46"/>
      <c r="BT682" s="46"/>
      <c r="BV682" s="46"/>
      <c r="BW682" s="46"/>
      <c r="BX682" s="46"/>
    </row>
    <row r="683" spans="2:76" ht="15.75" customHeight="1">
      <c r="B683" s="46"/>
      <c r="BE683" s="46"/>
      <c r="BF683" s="46"/>
      <c r="BR683" s="46"/>
      <c r="BT683" s="46"/>
      <c r="BV683" s="46"/>
      <c r="BW683" s="46"/>
      <c r="BX683" s="46"/>
    </row>
    <row r="684" spans="2:76" ht="15.75" customHeight="1">
      <c r="B684" s="46"/>
      <c r="BE684" s="46"/>
      <c r="BF684" s="46"/>
      <c r="BR684" s="46"/>
      <c r="BT684" s="46"/>
      <c r="BV684" s="46"/>
      <c r="BW684" s="46"/>
      <c r="BX684" s="46"/>
    </row>
    <row r="685" spans="2:76" ht="15.75" customHeight="1">
      <c r="B685" s="46"/>
      <c r="BE685" s="46"/>
      <c r="BF685" s="46"/>
      <c r="BR685" s="46"/>
      <c r="BT685" s="46"/>
      <c r="BV685" s="46"/>
      <c r="BW685" s="46"/>
      <c r="BX685" s="46"/>
    </row>
    <row r="686" spans="2:76" ht="15.75" customHeight="1">
      <c r="B686" s="46"/>
      <c r="BE686" s="46"/>
      <c r="BF686" s="46"/>
      <c r="BR686" s="46"/>
      <c r="BT686" s="46"/>
      <c r="BV686" s="46"/>
      <c r="BW686" s="46"/>
      <c r="BX686" s="46"/>
    </row>
    <row r="687" spans="2:76" ht="15.75" customHeight="1">
      <c r="B687" s="46"/>
      <c r="BE687" s="46"/>
      <c r="BF687" s="46"/>
      <c r="BR687" s="46"/>
      <c r="BT687" s="46"/>
      <c r="BV687" s="46"/>
      <c r="BW687" s="46"/>
      <c r="BX687" s="46"/>
    </row>
    <row r="688" spans="2:76" ht="15.75" customHeight="1">
      <c r="B688" s="46"/>
      <c r="BE688" s="46"/>
      <c r="BF688" s="46"/>
      <c r="BR688" s="46"/>
      <c r="BT688" s="46"/>
      <c r="BV688" s="46"/>
      <c r="BW688" s="46"/>
      <c r="BX688" s="46"/>
    </row>
    <row r="689" spans="2:76" ht="15.75" customHeight="1">
      <c r="B689" s="46"/>
      <c r="BE689" s="46"/>
      <c r="BF689" s="46"/>
      <c r="BR689" s="46"/>
      <c r="BT689" s="46"/>
      <c r="BV689" s="46"/>
      <c r="BW689" s="46"/>
      <c r="BX689" s="46"/>
    </row>
    <row r="690" spans="2:76" ht="15.75" customHeight="1">
      <c r="B690" s="46"/>
      <c r="BE690" s="46"/>
      <c r="BF690" s="46"/>
      <c r="BR690" s="46"/>
      <c r="BT690" s="46"/>
      <c r="BV690" s="46"/>
      <c r="BW690" s="46"/>
      <c r="BX690" s="46"/>
    </row>
    <row r="691" spans="2:76" ht="15.75" customHeight="1">
      <c r="B691" s="46"/>
      <c r="BE691" s="46"/>
      <c r="BF691" s="46"/>
      <c r="BR691" s="46"/>
      <c r="BT691" s="46"/>
      <c r="BV691" s="46"/>
      <c r="BW691" s="46"/>
      <c r="BX691" s="46"/>
    </row>
    <row r="692" spans="2:76" ht="15.75" customHeight="1">
      <c r="B692" s="46"/>
      <c r="BE692" s="46"/>
      <c r="BF692" s="46"/>
      <c r="BR692" s="46"/>
      <c r="BT692" s="46"/>
      <c r="BV692" s="46"/>
      <c r="BW692" s="46"/>
      <c r="BX692" s="46"/>
    </row>
    <row r="693" spans="2:76" ht="15.75" customHeight="1">
      <c r="B693" s="46"/>
      <c r="BE693" s="46"/>
      <c r="BF693" s="46"/>
      <c r="BR693" s="46"/>
      <c r="BT693" s="46"/>
      <c r="BV693" s="46"/>
      <c r="BW693" s="46"/>
      <c r="BX693" s="46"/>
    </row>
    <row r="694" spans="2:76" ht="15.75" customHeight="1">
      <c r="B694" s="46"/>
      <c r="BE694" s="46"/>
      <c r="BF694" s="46"/>
      <c r="BR694" s="46"/>
      <c r="BT694" s="46"/>
      <c r="BV694" s="46"/>
      <c r="BW694" s="46"/>
      <c r="BX694" s="46"/>
    </row>
    <row r="695" spans="2:76" ht="15.75" customHeight="1">
      <c r="B695" s="46"/>
      <c r="BE695" s="46"/>
      <c r="BF695" s="46"/>
      <c r="BR695" s="46"/>
      <c r="BT695" s="46"/>
      <c r="BV695" s="46"/>
      <c r="BW695" s="46"/>
      <c r="BX695" s="46"/>
    </row>
    <row r="696" spans="2:76" ht="15.75" customHeight="1">
      <c r="B696" s="46"/>
      <c r="BE696" s="46"/>
      <c r="BF696" s="46"/>
      <c r="BR696" s="46"/>
      <c r="BT696" s="46"/>
      <c r="BV696" s="46"/>
      <c r="BW696" s="46"/>
      <c r="BX696" s="46"/>
    </row>
    <row r="697" spans="2:76" ht="15.75" customHeight="1">
      <c r="B697" s="46"/>
      <c r="BE697" s="46"/>
      <c r="BF697" s="46"/>
      <c r="BR697" s="46"/>
      <c r="BT697" s="46"/>
      <c r="BV697" s="46"/>
      <c r="BW697" s="46"/>
      <c r="BX697" s="46"/>
    </row>
    <row r="698" spans="2:76" ht="15.75" customHeight="1">
      <c r="B698" s="46"/>
      <c r="BE698" s="46"/>
      <c r="BF698" s="46"/>
      <c r="BR698" s="46"/>
      <c r="BT698" s="46"/>
      <c r="BV698" s="46"/>
      <c r="BW698" s="46"/>
      <c r="BX698" s="46"/>
    </row>
    <row r="699" spans="2:76" ht="15.75" customHeight="1">
      <c r="B699" s="46"/>
      <c r="BE699" s="46"/>
      <c r="BF699" s="46"/>
      <c r="BR699" s="46"/>
      <c r="BT699" s="46"/>
      <c r="BV699" s="46"/>
      <c r="BW699" s="46"/>
      <c r="BX699" s="46"/>
    </row>
    <row r="700" spans="2:76" ht="15.75" customHeight="1">
      <c r="B700" s="46"/>
      <c r="BE700" s="46"/>
      <c r="BF700" s="46"/>
      <c r="BR700" s="46"/>
      <c r="BT700" s="46"/>
      <c r="BV700" s="46"/>
      <c r="BW700" s="46"/>
      <c r="BX700" s="46"/>
    </row>
    <row r="701" spans="2:76" ht="15.75" customHeight="1">
      <c r="B701" s="46"/>
      <c r="BE701" s="46"/>
      <c r="BF701" s="46"/>
      <c r="BR701" s="46"/>
      <c r="BT701" s="46"/>
      <c r="BV701" s="46"/>
      <c r="BW701" s="46"/>
      <c r="BX701" s="46"/>
    </row>
    <row r="702" spans="2:76" ht="15.75" customHeight="1">
      <c r="B702" s="46"/>
      <c r="BE702" s="46"/>
      <c r="BF702" s="46"/>
      <c r="BR702" s="46"/>
      <c r="BT702" s="46"/>
      <c r="BV702" s="46"/>
      <c r="BW702" s="46"/>
      <c r="BX702" s="46"/>
    </row>
    <row r="703" spans="2:76" ht="15.75" customHeight="1">
      <c r="B703" s="46"/>
      <c r="BE703" s="46"/>
      <c r="BF703" s="46"/>
      <c r="BR703" s="46"/>
      <c r="BT703" s="46"/>
      <c r="BV703" s="46"/>
      <c r="BW703" s="46"/>
      <c r="BX703" s="46"/>
    </row>
    <row r="704" spans="2:76" ht="15.75" customHeight="1">
      <c r="B704" s="46"/>
      <c r="BE704" s="46"/>
      <c r="BF704" s="46"/>
      <c r="BR704" s="46"/>
      <c r="BT704" s="46"/>
      <c r="BV704" s="46"/>
      <c r="BW704" s="46"/>
      <c r="BX704" s="46"/>
    </row>
    <row r="705" spans="2:76" ht="15.75" customHeight="1">
      <c r="B705" s="46"/>
      <c r="BE705" s="46"/>
      <c r="BF705" s="46"/>
      <c r="BR705" s="46"/>
      <c r="BT705" s="46"/>
      <c r="BV705" s="46"/>
      <c r="BW705" s="46"/>
      <c r="BX705" s="46"/>
    </row>
    <row r="706" spans="2:76" ht="15.75" customHeight="1">
      <c r="B706" s="46"/>
      <c r="BE706" s="46"/>
      <c r="BF706" s="46"/>
      <c r="BR706" s="46"/>
      <c r="BT706" s="46"/>
      <c r="BV706" s="46"/>
      <c r="BW706" s="46"/>
      <c r="BX706" s="46"/>
    </row>
    <row r="707" spans="2:76" ht="15.75" customHeight="1">
      <c r="B707" s="46"/>
      <c r="BE707" s="46"/>
      <c r="BF707" s="46"/>
      <c r="BR707" s="46"/>
      <c r="BT707" s="46"/>
      <c r="BV707" s="46"/>
      <c r="BW707" s="46"/>
      <c r="BX707" s="46"/>
    </row>
    <row r="708" spans="2:76" ht="15.75" customHeight="1">
      <c r="B708" s="46"/>
      <c r="BE708" s="46"/>
      <c r="BF708" s="46"/>
      <c r="BR708" s="46"/>
      <c r="BT708" s="46"/>
      <c r="BV708" s="46"/>
      <c r="BW708" s="46"/>
      <c r="BX708" s="46"/>
    </row>
    <row r="709" spans="2:76" ht="15.75" customHeight="1">
      <c r="B709" s="46"/>
      <c r="BE709" s="46"/>
      <c r="BF709" s="46"/>
      <c r="BR709" s="46"/>
      <c r="BT709" s="46"/>
      <c r="BV709" s="46"/>
      <c r="BW709" s="46"/>
      <c r="BX709" s="46"/>
    </row>
    <row r="710" spans="2:76" ht="15.75" customHeight="1">
      <c r="B710" s="46"/>
      <c r="BE710" s="46"/>
      <c r="BF710" s="46"/>
      <c r="BR710" s="46"/>
      <c r="BT710" s="46"/>
      <c r="BV710" s="46"/>
      <c r="BW710" s="46"/>
      <c r="BX710" s="46"/>
    </row>
    <row r="711" spans="2:76" ht="15.75" customHeight="1">
      <c r="B711" s="46"/>
      <c r="BE711" s="46"/>
      <c r="BF711" s="46"/>
      <c r="BR711" s="46"/>
      <c r="BT711" s="46"/>
      <c r="BV711" s="46"/>
      <c r="BW711" s="46"/>
      <c r="BX711" s="46"/>
    </row>
    <row r="712" spans="2:76" ht="15.75" customHeight="1">
      <c r="B712" s="46"/>
      <c r="BE712" s="46"/>
      <c r="BF712" s="46"/>
      <c r="BR712" s="46"/>
      <c r="BT712" s="46"/>
      <c r="BV712" s="46"/>
      <c r="BW712" s="46"/>
      <c r="BX712" s="46"/>
    </row>
    <row r="713" spans="2:76" ht="15.75" customHeight="1">
      <c r="B713" s="46"/>
      <c r="BE713" s="46"/>
      <c r="BF713" s="46"/>
      <c r="BR713" s="46"/>
      <c r="BT713" s="46"/>
      <c r="BV713" s="46"/>
      <c r="BW713" s="46"/>
      <c r="BX713" s="46"/>
    </row>
    <row r="714" spans="2:76" ht="15.75" customHeight="1">
      <c r="B714" s="46"/>
      <c r="BE714" s="46"/>
      <c r="BF714" s="46"/>
      <c r="BR714" s="46"/>
      <c r="BT714" s="46"/>
      <c r="BV714" s="46"/>
      <c r="BW714" s="46"/>
      <c r="BX714" s="46"/>
    </row>
    <row r="715" spans="2:76" ht="15.75" customHeight="1">
      <c r="B715" s="46"/>
      <c r="BE715" s="46"/>
      <c r="BF715" s="46"/>
      <c r="BR715" s="46"/>
      <c r="BT715" s="46"/>
      <c r="BV715" s="46"/>
      <c r="BW715" s="46"/>
      <c r="BX715" s="46"/>
    </row>
    <row r="716" spans="2:76" ht="15.75" customHeight="1">
      <c r="B716" s="46"/>
      <c r="BE716" s="46"/>
      <c r="BF716" s="46"/>
      <c r="BR716" s="46"/>
      <c r="BT716" s="46"/>
      <c r="BV716" s="46"/>
      <c r="BW716" s="46"/>
      <c r="BX716" s="46"/>
    </row>
    <row r="717" spans="2:76" ht="15.75" customHeight="1">
      <c r="B717" s="46"/>
      <c r="BE717" s="46"/>
      <c r="BF717" s="46"/>
      <c r="BR717" s="46"/>
      <c r="BT717" s="46"/>
      <c r="BV717" s="46"/>
      <c r="BW717" s="46"/>
      <c r="BX717" s="46"/>
    </row>
    <row r="718" spans="2:76" ht="15.75" customHeight="1">
      <c r="B718" s="46"/>
      <c r="BE718" s="46"/>
      <c r="BF718" s="46"/>
      <c r="BR718" s="46"/>
      <c r="BT718" s="46"/>
      <c r="BV718" s="46"/>
      <c r="BW718" s="46"/>
      <c r="BX718" s="46"/>
    </row>
    <row r="719" spans="2:76" ht="15.75" customHeight="1">
      <c r="B719" s="46"/>
      <c r="BE719" s="46"/>
      <c r="BF719" s="46"/>
      <c r="BR719" s="46"/>
      <c r="BT719" s="46"/>
      <c r="BV719" s="46"/>
      <c r="BW719" s="46"/>
      <c r="BX719" s="46"/>
    </row>
    <row r="720" spans="2:76" ht="15.75" customHeight="1">
      <c r="B720" s="46"/>
      <c r="BE720" s="46"/>
      <c r="BF720" s="46"/>
      <c r="BR720" s="46"/>
      <c r="BT720" s="46"/>
      <c r="BV720" s="46"/>
      <c r="BW720" s="46"/>
      <c r="BX720" s="46"/>
    </row>
    <row r="721" spans="2:76" ht="15.75" customHeight="1">
      <c r="B721" s="46"/>
      <c r="BE721" s="46"/>
      <c r="BF721" s="46"/>
      <c r="BR721" s="46"/>
      <c r="BT721" s="46"/>
      <c r="BV721" s="46"/>
      <c r="BW721" s="46"/>
      <c r="BX721" s="46"/>
    </row>
    <row r="722" spans="2:76" ht="15.75" customHeight="1">
      <c r="B722" s="46"/>
      <c r="BE722" s="46"/>
      <c r="BF722" s="46"/>
      <c r="BR722" s="46"/>
      <c r="BT722" s="46"/>
      <c r="BV722" s="46"/>
      <c r="BW722" s="46"/>
      <c r="BX722" s="46"/>
    </row>
    <row r="723" spans="2:76" ht="15.75" customHeight="1">
      <c r="B723" s="46"/>
      <c r="BE723" s="46"/>
      <c r="BF723" s="46"/>
      <c r="BR723" s="46"/>
      <c r="BT723" s="46"/>
      <c r="BV723" s="46"/>
      <c r="BW723" s="46"/>
      <c r="BX723" s="46"/>
    </row>
    <row r="724" spans="2:76" ht="15.75" customHeight="1">
      <c r="B724" s="46"/>
      <c r="BE724" s="46"/>
      <c r="BF724" s="46"/>
      <c r="BR724" s="46"/>
      <c r="BT724" s="46"/>
      <c r="BV724" s="46"/>
      <c r="BW724" s="46"/>
      <c r="BX724" s="46"/>
    </row>
    <row r="725" spans="2:76" ht="15.75" customHeight="1">
      <c r="B725" s="46"/>
      <c r="BE725" s="46"/>
      <c r="BF725" s="46"/>
      <c r="BR725" s="46"/>
      <c r="BT725" s="46"/>
      <c r="BV725" s="46"/>
      <c r="BW725" s="46"/>
      <c r="BX725" s="46"/>
    </row>
    <row r="726" spans="2:76" ht="15.75" customHeight="1">
      <c r="B726" s="46"/>
      <c r="BE726" s="46"/>
      <c r="BF726" s="46"/>
      <c r="BR726" s="46"/>
      <c r="BT726" s="46"/>
      <c r="BV726" s="46"/>
      <c r="BW726" s="46"/>
      <c r="BX726" s="46"/>
    </row>
    <row r="727" spans="2:76" ht="15.75" customHeight="1">
      <c r="B727" s="46"/>
      <c r="BE727" s="46"/>
      <c r="BF727" s="46"/>
      <c r="BR727" s="46"/>
      <c r="BT727" s="46"/>
      <c r="BV727" s="46"/>
      <c r="BW727" s="46"/>
      <c r="BX727" s="46"/>
    </row>
    <row r="728" spans="2:76" ht="15.75" customHeight="1">
      <c r="B728" s="46"/>
      <c r="BE728" s="46"/>
      <c r="BF728" s="46"/>
      <c r="BR728" s="46"/>
      <c r="BT728" s="46"/>
      <c r="BV728" s="46"/>
      <c r="BW728" s="46"/>
      <c r="BX728" s="46"/>
    </row>
    <row r="729" spans="2:76" ht="15.75" customHeight="1">
      <c r="B729" s="46"/>
      <c r="BE729" s="46"/>
      <c r="BF729" s="46"/>
      <c r="BR729" s="46"/>
      <c r="BT729" s="46"/>
      <c r="BV729" s="46"/>
      <c r="BW729" s="46"/>
      <c r="BX729" s="46"/>
    </row>
    <row r="730" spans="2:76" ht="15.75" customHeight="1">
      <c r="B730" s="46"/>
      <c r="BE730" s="46"/>
      <c r="BF730" s="46"/>
      <c r="BR730" s="46"/>
      <c r="BT730" s="46"/>
      <c r="BV730" s="46"/>
      <c r="BW730" s="46"/>
      <c r="BX730" s="46"/>
    </row>
    <row r="731" spans="2:76" ht="15.75" customHeight="1">
      <c r="B731" s="46"/>
      <c r="BE731" s="46"/>
      <c r="BF731" s="46"/>
      <c r="BR731" s="46"/>
      <c r="BT731" s="46"/>
      <c r="BV731" s="46"/>
      <c r="BW731" s="46"/>
      <c r="BX731" s="46"/>
    </row>
    <row r="732" spans="2:76" ht="15.75" customHeight="1">
      <c r="B732" s="46"/>
      <c r="BE732" s="46"/>
      <c r="BF732" s="46"/>
      <c r="BR732" s="46"/>
      <c r="BT732" s="46"/>
      <c r="BV732" s="46"/>
      <c r="BW732" s="46"/>
      <c r="BX732" s="46"/>
    </row>
    <row r="733" spans="2:76" ht="15.75" customHeight="1">
      <c r="B733" s="46"/>
      <c r="BE733" s="46"/>
      <c r="BF733" s="46"/>
      <c r="BR733" s="46"/>
      <c r="BT733" s="46"/>
      <c r="BV733" s="46"/>
      <c r="BW733" s="46"/>
      <c r="BX733" s="46"/>
    </row>
    <row r="734" spans="2:76" ht="15.75" customHeight="1">
      <c r="B734" s="46"/>
      <c r="BE734" s="46"/>
      <c r="BF734" s="46"/>
      <c r="BR734" s="46"/>
      <c r="BT734" s="46"/>
      <c r="BV734" s="46"/>
      <c r="BW734" s="46"/>
      <c r="BX734" s="46"/>
    </row>
    <row r="735" spans="2:76" ht="15.75" customHeight="1">
      <c r="B735" s="46"/>
      <c r="BE735" s="46"/>
      <c r="BF735" s="46"/>
      <c r="BR735" s="46"/>
      <c r="BT735" s="46"/>
      <c r="BV735" s="46"/>
      <c r="BW735" s="46"/>
      <c r="BX735" s="46"/>
    </row>
    <row r="736" spans="2:76" ht="15.75" customHeight="1">
      <c r="B736" s="46"/>
      <c r="BE736" s="46"/>
      <c r="BF736" s="46"/>
      <c r="BR736" s="46"/>
      <c r="BT736" s="46"/>
      <c r="BV736" s="46"/>
      <c r="BW736" s="46"/>
      <c r="BX736" s="46"/>
    </row>
    <row r="737" spans="2:76" ht="15.75" customHeight="1">
      <c r="B737" s="46"/>
      <c r="BE737" s="46"/>
      <c r="BF737" s="46"/>
      <c r="BR737" s="46"/>
      <c r="BT737" s="46"/>
      <c r="BV737" s="46"/>
      <c r="BW737" s="46"/>
      <c r="BX737" s="46"/>
    </row>
    <row r="738" spans="2:76" ht="15.75" customHeight="1">
      <c r="B738" s="46"/>
      <c r="BE738" s="46"/>
      <c r="BF738" s="46"/>
      <c r="BR738" s="46"/>
      <c r="BT738" s="46"/>
      <c r="BV738" s="46"/>
      <c r="BW738" s="46"/>
      <c r="BX738" s="46"/>
    </row>
    <row r="739" spans="2:76" ht="15.75" customHeight="1">
      <c r="B739" s="46"/>
      <c r="BE739" s="46"/>
      <c r="BF739" s="46"/>
      <c r="BR739" s="46"/>
      <c r="BT739" s="46"/>
      <c r="BV739" s="46"/>
      <c r="BW739" s="46"/>
      <c r="BX739" s="46"/>
    </row>
    <row r="740" spans="2:76" ht="15.75" customHeight="1">
      <c r="B740" s="46"/>
      <c r="BE740" s="46"/>
      <c r="BF740" s="46"/>
      <c r="BR740" s="46"/>
      <c r="BT740" s="46"/>
      <c r="BV740" s="46"/>
      <c r="BW740" s="46"/>
      <c r="BX740" s="46"/>
    </row>
    <row r="741" spans="2:76" ht="15.75" customHeight="1">
      <c r="B741" s="46"/>
      <c r="BE741" s="46"/>
      <c r="BF741" s="46"/>
      <c r="BR741" s="46"/>
      <c r="BT741" s="46"/>
      <c r="BV741" s="46"/>
      <c r="BW741" s="46"/>
      <c r="BX741" s="46"/>
    </row>
    <row r="742" spans="2:76" ht="15.75" customHeight="1">
      <c r="B742" s="46"/>
      <c r="BE742" s="46"/>
      <c r="BF742" s="46"/>
      <c r="BR742" s="46"/>
      <c r="BT742" s="46"/>
      <c r="BV742" s="46"/>
      <c r="BW742" s="46"/>
      <c r="BX742" s="46"/>
    </row>
    <row r="743" spans="2:76" ht="15.75" customHeight="1">
      <c r="B743" s="46"/>
      <c r="BE743" s="46"/>
      <c r="BF743" s="46"/>
      <c r="BR743" s="46"/>
      <c r="BT743" s="46"/>
      <c r="BV743" s="46"/>
      <c r="BW743" s="46"/>
      <c r="BX743" s="46"/>
    </row>
    <row r="744" spans="2:76" ht="15.75" customHeight="1">
      <c r="B744" s="46"/>
      <c r="BE744" s="46"/>
      <c r="BF744" s="46"/>
      <c r="BR744" s="46"/>
      <c r="BT744" s="46"/>
      <c r="BV744" s="46"/>
      <c r="BW744" s="46"/>
      <c r="BX744" s="46"/>
    </row>
    <row r="745" spans="2:76" ht="15.75" customHeight="1">
      <c r="B745" s="46"/>
      <c r="BE745" s="46"/>
      <c r="BF745" s="46"/>
      <c r="BR745" s="46"/>
      <c r="BT745" s="46"/>
      <c r="BV745" s="46"/>
      <c r="BW745" s="46"/>
      <c r="BX745" s="46"/>
    </row>
    <row r="746" spans="2:76" ht="15.75" customHeight="1">
      <c r="B746" s="46"/>
      <c r="BE746" s="46"/>
      <c r="BF746" s="46"/>
      <c r="BR746" s="46"/>
      <c r="BT746" s="46"/>
      <c r="BV746" s="46"/>
      <c r="BW746" s="46"/>
      <c r="BX746" s="46"/>
    </row>
    <row r="747" spans="2:76" ht="15.75" customHeight="1">
      <c r="B747" s="46"/>
      <c r="BE747" s="46"/>
      <c r="BF747" s="46"/>
      <c r="BR747" s="46"/>
      <c r="BT747" s="46"/>
      <c r="BV747" s="46"/>
      <c r="BW747" s="46"/>
      <c r="BX747" s="46"/>
    </row>
    <row r="748" spans="2:76" ht="15.75" customHeight="1">
      <c r="B748" s="46"/>
      <c r="BE748" s="46"/>
      <c r="BF748" s="46"/>
      <c r="BR748" s="46"/>
      <c r="BT748" s="46"/>
      <c r="BV748" s="46"/>
      <c r="BW748" s="46"/>
      <c r="BX748" s="46"/>
    </row>
    <row r="749" spans="2:76" ht="15.75" customHeight="1">
      <c r="B749" s="46"/>
      <c r="BE749" s="46"/>
      <c r="BF749" s="46"/>
      <c r="BR749" s="46"/>
      <c r="BT749" s="46"/>
      <c r="BV749" s="46"/>
      <c r="BW749" s="46"/>
      <c r="BX749" s="46"/>
    </row>
    <row r="750" spans="2:76" ht="15.75" customHeight="1">
      <c r="B750" s="46"/>
      <c r="BE750" s="46"/>
      <c r="BF750" s="46"/>
      <c r="BR750" s="46"/>
      <c r="BT750" s="46"/>
      <c r="BV750" s="46"/>
      <c r="BW750" s="46"/>
      <c r="BX750" s="46"/>
    </row>
    <row r="751" spans="2:76" ht="15.75" customHeight="1">
      <c r="B751" s="46"/>
      <c r="BE751" s="46"/>
      <c r="BF751" s="46"/>
      <c r="BR751" s="46"/>
      <c r="BT751" s="46"/>
      <c r="BV751" s="46"/>
      <c r="BW751" s="46"/>
      <c r="BX751" s="46"/>
    </row>
    <row r="752" spans="2:76" ht="15.75" customHeight="1">
      <c r="B752" s="46"/>
      <c r="BE752" s="46"/>
      <c r="BF752" s="46"/>
      <c r="BR752" s="46"/>
      <c r="BT752" s="46"/>
      <c r="BV752" s="46"/>
      <c r="BW752" s="46"/>
      <c r="BX752" s="46"/>
    </row>
    <row r="753" spans="2:76" ht="15.75" customHeight="1">
      <c r="B753" s="46"/>
      <c r="BE753" s="46"/>
      <c r="BF753" s="46"/>
      <c r="BR753" s="46"/>
      <c r="BT753" s="46"/>
      <c r="BV753" s="46"/>
      <c r="BW753" s="46"/>
      <c r="BX753" s="46"/>
    </row>
    <row r="754" spans="2:76" ht="15.75" customHeight="1">
      <c r="B754" s="46"/>
      <c r="BE754" s="46"/>
      <c r="BF754" s="46"/>
      <c r="BR754" s="46"/>
      <c r="BT754" s="46"/>
      <c r="BV754" s="46"/>
      <c r="BW754" s="46"/>
      <c r="BX754" s="46"/>
    </row>
    <row r="755" spans="2:76" ht="15.75" customHeight="1">
      <c r="B755" s="46"/>
      <c r="BE755" s="46"/>
      <c r="BF755" s="46"/>
      <c r="BR755" s="46"/>
      <c r="BT755" s="46"/>
      <c r="BV755" s="46"/>
      <c r="BW755" s="46"/>
      <c r="BX755" s="46"/>
    </row>
    <row r="756" spans="2:76" ht="15.75" customHeight="1">
      <c r="B756" s="46"/>
      <c r="BE756" s="46"/>
      <c r="BF756" s="46"/>
      <c r="BR756" s="46"/>
      <c r="BT756" s="46"/>
      <c r="BV756" s="46"/>
      <c r="BW756" s="46"/>
      <c r="BX756" s="46"/>
    </row>
    <row r="757" spans="2:76" ht="15.75" customHeight="1">
      <c r="B757" s="46"/>
      <c r="BE757" s="46"/>
      <c r="BF757" s="46"/>
      <c r="BR757" s="46"/>
      <c r="BT757" s="46"/>
      <c r="BV757" s="46"/>
      <c r="BW757" s="46"/>
      <c r="BX757" s="46"/>
    </row>
    <row r="758" spans="2:76" ht="15.75" customHeight="1">
      <c r="B758" s="46"/>
      <c r="BE758" s="46"/>
      <c r="BF758" s="46"/>
      <c r="BR758" s="46"/>
      <c r="BT758" s="46"/>
      <c r="BV758" s="46"/>
      <c r="BW758" s="46"/>
      <c r="BX758" s="46"/>
    </row>
    <row r="759" spans="2:76" ht="15.75" customHeight="1">
      <c r="B759" s="46"/>
      <c r="BE759" s="46"/>
      <c r="BF759" s="46"/>
      <c r="BR759" s="46"/>
      <c r="BT759" s="46"/>
      <c r="BV759" s="46"/>
      <c r="BW759" s="46"/>
      <c r="BX759" s="46"/>
    </row>
    <row r="760" spans="2:76" ht="15.75" customHeight="1">
      <c r="B760" s="46"/>
      <c r="BE760" s="46"/>
      <c r="BF760" s="46"/>
      <c r="BR760" s="46"/>
      <c r="BT760" s="46"/>
      <c r="BV760" s="46"/>
      <c r="BW760" s="46"/>
      <c r="BX760" s="46"/>
    </row>
    <row r="761" spans="2:76" ht="15.75" customHeight="1">
      <c r="B761" s="46"/>
      <c r="BE761" s="46"/>
      <c r="BF761" s="46"/>
      <c r="BR761" s="46"/>
      <c r="BT761" s="46"/>
      <c r="BV761" s="46"/>
      <c r="BW761" s="46"/>
      <c r="BX761" s="46"/>
    </row>
    <row r="762" spans="2:76" ht="15.75" customHeight="1">
      <c r="B762" s="46"/>
      <c r="BE762" s="46"/>
      <c r="BF762" s="46"/>
      <c r="BR762" s="46"/>
      <c r="BT762" s="46"/>
      <c r="BV762" s="46"/>
      <c r="BW762" s="46"/>
      <c r="BX762" s="46"/>
    </row>
    <row r="763" spans="2:76" ht="15.75" customHeight="1">
      <c r="B763" s="46"/>
      <c r="BE763" s="46"/>
      <c r="BF763" s="46"/>
      <c r="BR763" s="46"/>
      <c r="BT763" s="46"/>
      <c r="BV763" s="46"/>
      <c r="BW763" s="46"/>
      <c r="BX763" s="46"/>
    </row>
    <row r="764" spans="2:76" ht="15.75" customHeight="1">
      <c r="B764" s="46"/>
      <c r="BE764" s="46"/>
      <c r="BF764" s="46"/>
      <c r="BR764" s="46"/>
      <c r="BT764" s="46"/>
      <c r="BV764" s="46"/>
      <c r="BW764" s="46"/>
      <c r="BX764" s="46"/>
    </row>
    <row r="765" spans="2:76" ht="15.75" customHeight="1">
      <c r="B765" s="46"/>
      <c r="BE765" s="46"/>
      <c r="BF765" s="46"/>
      <c r="BR765" s="46"/>
      <c r="BT765" s="46"/>
      <c r="BV765" s="46"/>
      <c r="BW765" s="46"/>
      <c r="BX765" s="46"/>
    </row>
    <row r="766" spans="2:76" ht="15.75" customHeight="1">
      <c r="B766" s="46"/>
      <c r="BE766" s="46"/>
      <c r="BF766" s="46"/>
      <c r="BR766" s="46"/>
      <c r="BT766" s="46"/>
      <c r="BV766" s="46"/>
      <c r="BW766" s="46"/>
      <c r="BX766" s="46"/>
    </row>
    <row r="767" spans="2:76" ht="15.75" customHeight="1">
      <c r="B767" s="46"/>
      <c r="BE767" s="46"/>
      <c r="BF767" s="46"/>
      <c r="BR767" s="46"/>
      <c r="BT767" s="46"/>
      <c r="BV767" s="46"/>
      <c r="BW767" s="46"/>
      <c r="BX767" s="46"/>
    </row>
    <row r="768" spans="2:76" ht="15.75" customHeight="1">
      <c r="B768" s="46"/>
      <c r="BE768" s="46"/>
      <c r="BF768" s="46"/>
      <c r="BR768" s="46"/>
      <c r="BT768" s="46"/>
      <c r="BV768" s="46"/>
      <c r="BW768" s="46"/>
      <c r="BX768" s="46"/>
    </row>
    <row r="769" spans="2:76" ht="15.75" customHeight="1">
      <c r="B769" s="46"/>
      <c r="BE769" s="46"/>
      <c r="BF769" s="46"/>
      <c r="BR769" s="46"/>
      <c r="BT769" s="46"/>
      <c r="BV769" s="46"/>
      <c r="BW769" s="46"/>
      <c r="BX769" s="46"/>
    </row>
    <row r="770" spans="2:76" ht="15.75" customHeight="1">
      <c r="B770" s="46"/>
      <c r="BE770" s="46"/>
      <c r="BF770" s="46"/>
      <c r="BR770" s="46"/>
      <c r="BT770" s="46"/>
      <c r="BV770" s="46"/>
      <c r="BW770" s="46"/>
      <c r="BX770" s="46"/>
    </row>
    <row r="771" spans="2:76" ht="15.75" customHeight="1">
      <c r="B771" s="46"/>
      <c r="BE771" s="46"/>
      <c r="BF771" s="46"/>
      <c r="BR771" s="46"/>
      <c r="BT771" s="46"/>
      <c r="BV771" s="46"/>
      <c r="BW771" s="46"/>
      <c r="BX771" s="46"/>
    </row>
    <row r="772" spans="2:76" ht="15.75" customHeight="1">
      <c r="B772" s="46"/>
      <c r="BE772" s="46"/>
      <c r="BF772" s="46"/>
      <c r="BR772" s="46"/>
      <c r="BT772" s="46"/>
      <c r="BV772" s="46"/>
      <c r="BW772" s="46"/>
      <c r="BX772" s="46"/>
    </row>
    <row r="773" spans="2:76" ht="15.75" customHeight="1">
      <c r="B773" s="46"/>
      <c r="BE773" s="46"/>
      <c r="BF773" s="46"/>
      <c r="BR773" s="46"/>
      <c r="BT773" s="46"/>
      <c r="BV773" s="46"/>
      <c r="BW773" s="46"/>
      <c r="BX773" s="46"/>
    </row>
    <row r="774" spans="2:76" ht="15.75" customHeight="1">
      <c r="B774" s="46"/>
      <c r="BE774" s="46"/>
      <c r="BF774" s="46"/>
      <c r="BR774" s="46"/>
      <c r="BT774" s="46"/>
      <c r="BV774" s="46"/>
      <c r="BW774" s="46"/>
      <c r="BX774" s="46"/>
    </row>
    <row r="775" spans="2:76" ht="15.75" customHeight="1">
      <c r="B775" s="46"/>
      <c r="BE775" s="46"/>
      <c r="BF775" s="46"/>
      <c r="BR775" s="46"/>
      <c r="BT775" s="46"/>
      <c r="BV775" s="46"/>
      <c r="BW775" s="46"/>
      <c r="BX775" s="46"/>
    </row>
    <row r="776" spans="2:76" ht="15.75" customHeight="1">
      <c r="B776" s="46"/>
      <c r="BE776" s="46"/>
      <c r="BF776" s="46"/>
      <c r="BR776" s="46"/>
      <c r="BT776" s="46"/>
      <c r="BV776" s="46"/>
      <c r="BW776" s="46"/>
      <c r="BX776" s="46"/>
    </row>
    <row r="777" spans="2:76" ht="15.75" customHeight="1">
      <c r="B777" s="46"/>
      <c r="BE777" s="46"/>
      <c r="BF777" s="46"/>
      <c r="BR777" s="46"/>
      <c r="BT777" s="46"/>
      <c r="BV777" s="46"/>
      <c r="BW777" s="46"/>
      <c r="BX777" s="46"/>
    </row>
    <row r="778" spans="2:76" ht="15.75" customHeight="1">
      <c r="B778" s="46"/>
      <c r="BE778" s="46"/>
      <c r="BF778" s="46"/>
      <c r="BR778" s="46"/>
      <c r="BT778" s="46"/>
      <c r="BV778" s="46"/>
      <c r="BW778" s="46"/>
      <c r="BX778" s="46"/>
    </row>
    <row r="779" spans="2:76" ht="15.75" customHeight="1">
      <c r="B779" s="46"/>
      <c r="BE779" s="46"/>
      <c r="BF779" s="46"/>
      <c r="BR779" s="46"/>
      <c r="BT779" s="46"/>
      <c r="BV779" s="46"/>
      <c r="BW779" s="46"/>
      <c r="BX779" s="46"/>
    </row>
    <row r="780" spans="2:76" ht="15.75" customHeight="1">
      <c r="B780" s="46"/>
      <c r="BE780" s="46"/>
      <c r="BF780" s="46"/>
      <c r="BR780" s="46"/>
      <c r="BT780" s="46"/>
      <c r="BV780" s="46"/>
      <c r="BW780" s="46"/>
      <c r="BX780" s="46"/>
    </row>
    <row r="781" spans="2:76" ht="15.75" customHeight="1">
      <c r="B781" s="46"/>
      <c r="BE781" s="46"/>
      <c r="BF781" s="46"/>
      <c r="BR781" s="46"/>
      <c r="BT781" s="46"/>
      <c r="BV781" s="46"/>
      <c r="BW781" s="46"/>
      <c r="BX781" s="46"/>
    </row>
    <row r="782" spans="2:76" ht="15.75" customHeight="1">
      <c r="B782" s="46"/>
      <c r="BE782" s="46"/>
      <c r="BF782" s="46"/>
      <c r="BR782" s="46"/>
      <c r="BT782" s="46"/>
      <c r="BV782" s="46"/>
      <c r="BW782" s="46"/>
      <c r="BX782" s="46"/>
    </row>
    <row r="783" spans="2:76" ht="15.75" customHeight="1">
      <c r="B783" s="46"/>
      <c r="BE783" s="46"/>
      <c r="BF783" s="46"/>
      <c r="BR783" s="46"/>
      <c r="BT783" s="46"/>
      <c r="BV783" s="46"/>
      <c r="BW783" s="46"/>
      <c r="BX783" s="46"/>
    </row>
    <row r="784" spans="2:76" ht="15.75" customHeight="1">
      <c r="B784" s="46"/>
      <c r="BE784" s="46"/>
      <c r="BF784" s="46"/>
      <c r="BR784" s="46"/>
      <c r="BT784" s="46"/>
      <c r="BV784" s="46"/>
      <c r="BW784" s="46"/>
      <c r="BX784" s="46"/>
    </row>
    <row r="785" spans="2:76" ht="15.75" customHeight="1">
      <c r="B785" s="46"/>
      <c r="BE785" s="46"/>
      <c r="BF785" s="46"/>
      <c r="BR785" s="46"/>
      <c r="BT785" s="46"/>
      <c r="BV785" s="46"/>
      <c r="BW785" s="46"/>
      <c r="BX785" s="46"/>
    </row>
    <row r="786" spans="2:76" ht="15.75" customHeight="1">
      <c r="B786" s="46"/>
      <c r="BE786" s="46"/>
      <c r="BF786" s="46"/>
      <c r="BR786" s="46"/>
      <c r="BT786" s="46"/>
      <c r="BV786" s="46"/>
      <c r="BW786" s="46"/>
      <c r="BX786" s="46"/>
    </row>
    <row r="787" spans="2:76" ht="15.75" customHeight="1">
      <c r="B787" s="46"/>
      <c r="BE787" s="46"/>
      <c r="BF787" s="46"/>
      <c r="BR787" s="46"/>
      <c r="BT787" s="46"/>
      <c r="BV787" s="46"/>
      <c r="BW787" s="46"/>
      <c r="BX787" s="46"/>
    </row>
    <row r="788" spans="2:76" ht="15.75" customHeight="1">
      <c r="B788" s="46"/>
      <c r="BE788" s="46"/>
      <c r="BF788" s="46"/>
      <c r="BR788" s="46"/>
      <c r="BT788" s="46"/>
      <c r="BV788" s="46"/>
      <c r="BW788" s="46"/>
      <c r="BX788" s="46"/>
    </row>
    <row r="789" spans="2:76" ht="15.75" customHeight="1">
      <c r="B789" s="46"/>
      <c r="BE789" s="46"/>
      <c r="BF789" s="46"/>
      <c r="BR789" s="46"/>
      <c r="BT789" s="46"/>
      <c r="BV789" s="46"/>
      <c r="BW789" s="46"/>
      <c r="BX789" s="46"/>
    </row>
    <row r="790" spans="2:76" ht="15.75" customHeight="1">
      <c r="B790" s="46"/>
      <c r="BE790" s="46"/>
      <c r="BF790" s="46"/>
      <c r="BR790" s="46"/>
      <c r="BT790" s="46"/>
      <c r="BV790" s="46"/>
      <c r="BW790" s="46"/>
      <c r="BX790" s="46"/>
    </row>
    <row r="791" spans="2:76" ht="15.75" customHeight="1">
      <c r="B791" s="46"/>
      <c r="BE791" s="46"/>
      <c r="BF791" s="46"/>
      <c r="BR791" s="46"/>
      <c r="BT791" s="46"/>
      <c r="BV791" s="46"/>
      <c r="BW791" s="46"/>
      <c r="BX791" s="46"/>
    </row>
    <row r="792" spans="2:76" ht="15.75" customHeight="1">
      <c r="B792" s="46"/>
      <c r="BE792" s="46"/>
      <c r="BF792" s="46"/>
      <c r="BR792" s="46"/>
      <c r="BT792" s="46"/>
      <c r="BV792" s="46"/>
      <c r="BW792" s="46"/>
      <c r="BX792" s="46"/>
    </row>
    <row r="793" spans="2:76" ht="15.75" customHeight="1">
      <c r="B793" s="46"/>
      <c r="BE793" s="46"/>
      <c r="BF793" s="46"/>
      <c r="BR793" s="46"/>
      <c r="BT793" s="46"/>
      <c r="BV793" s="46"/>
      <c r="BW793" s="46"/>
      <c r="BX793" s="46"/>
    </row>
    <row r="794" spans="2:76" ht="15.75" customHeight="1">
      <c r="B794" s="46"/>
      <c r="BE794" s="46"/>
      <c r="BF794" s="46"/>
      <c r="BR794" s="46"/>
      <c r="BT794" s="46"/>
      <c r="BV794" s="46"/>
      <c r="BW794" s="46"/>
      <c r="BX794" s="46"/>
    </row>
    <row r="795" spans="2:76" ht="15.75" customHeight="1">
      <c r="B795" s="46"/>
      <c r="BE795" s="46"/>
      <c r="BF795" s="46"/>
      <c r="BR795" s="46"/>
      <c r="BT795" s="46"/>
      <c r="BV795" s="46"/>
      <c r="BW795" s="46"/>
      <c r="BX795" s="46"/>
    </row>
    <row r="796" spans="2:76" ht="15.75" customHeight="1">
      <c r="B796" s="46"/>
      <c r="BE796" s="46"/>
      <c r="BF796" s="46"/>
      <c r="BR796" s="46"/>
      <c r="BT796" s="46"/>
      <c r="BV796" s="46"/>
      <c r="BW796" s="46"/>
      <c r="BX796" s="46"/>
    </row>
    <row r="797" spans="2:76" ht="15.75" customHeight="1">
      <c r="B797" s="46"/>
      <c r="BE797" s="46"/>
      <c r="BF797" s="46"/>
      <c r="BR797" s="46"/>
      <c r="BT797" s="46"/>
      <c r="BV797" s="46"/>
      <c r="BW797" s="46"/>
      <c r="BX797" s="46"/>
    </row>
    <row r="798" spans="2:76" ht="15.75" customHeight="1">
      <c r="B798" s="46"/>
      <c r="BE798" s="46"/>
      <c r="BF798" s="46"/>
      <c r="BR798" s="46"/>
      <c r="BT798" s="46"/>
      <c r="BV798" s="46"/>
      <c r="BW798" s="46"/>
      <c r="BX798" s="46"/>
    </row>
    <row r="799" spans="2:76" ht="15.75" customHeight="1">
      <c r="B799" s="46"/>
      <c r="BE799" s="46"/>
      <c r="BF799" s="46"/>
      <c r="BR799" s="46"/>
      <c r="BT799" s="46"/>
      <c r="BV799" s="46"/>
      <c r="BW799" s="46"/>
      <c r="BX799" s="46"/>
    </row>
    <row r="800" spans="2:76" ht="15.75" customHeight="1">
      <c r="B800" s="46"/>
      <c r="BE800" s="46"/>
      <c r="BF800" s="46"/>
      <c r="BR800" s="46"/>
      <c r="BT800" s="46"/>
      <c r="BV800" s="46"/>
      <c r="BW800" s="46"/>
      <c r="BX800" s="46"/>
    </row>
    <row r="801" spans="2:76" ht="15.75" customHeight="1">
      <c r="B801" s="46"/>
      <c r="BE801" s="46"/>
      <c r="BF801" s="46"/>
      <c r="BR801" s="46"/>
      <c r="BT801" s="46"/>
      <c r="BV801" s="46"/>
      <c r="BW801" s="46"/>
      <c r="BX801" s="46"/>
    </row>
    <row r="802" spans="2:76" ht="15.75" customHeight="1">
      <c r="B802" s="46"/>
      <c r="BE802" s="46"/>
      <c r="BF802" s="46"/>
      <c r="BR802" s="46"/>
      <c r="BT802" s="46"/>
      <c r="BV802" s="46"/>
      <c r="BW802" s="46"/>
      <c r="BX802" s="46"/>
    </row>
    <row r="803" spans="2:76" ht="15.75" customHeight="1">
      <c r="B803" s="46"/>
      <c r="BE803" s="46"/>
      <c r="BF803" s="46"/>
      <c r="BR803" s="46"/>
      <c r="BT803" s="46"/>
      <c r="BV803" s="46"/>
      <c r="BW803" s="46"/>
      <c r="BX803" s="46"/>
    </row>
    <row r="804" spans="2:76" ht="15.75" customHeight="1">
      <c r="B804" s="46"/>
      <c r="BE804" s="46"/>
      <c r="BF804" s="46"/>
      <c r="BR804" s="46"/>
      <c r="BT804" s="46"/>
      <c r="BV804" s="46"/>
      <c r="BW804" s="46"/>
      <c r="BX804" s="46"/>
    </row>
    <row r="805" spans="2:76" ht="15.75" customHeight="1">
      <c r="B805" s="46"/>
      <c r="BE805" s="46"/>
      <c r="BF805" s="46"/>
      <c r="BR805" s="46"/>
      <c r="BT805" s="46"/>
      <c r="BV805" s="46"/>
      <c r="BW805" s="46"/>
      <c r="BX805" s="46"/>
    </row>
    <row r="806" spans="2:76" ht="15.75" customHeight="1">
      <c r="B806" s="46"/>
      <c r="BE806" s="46"/>
      <c r="BF806" s="46"/>
      <c r="BR806" s="46"/>
      <c r="BT806" s="46"/>
      <c r="BV806" s="46"/>
      <c r="BW806" s="46"/>
      <c r="BX806" s="46"/>
    </row>
    <row r="807" spans="2:76" ht="15.75" customHeight="1">
      <c r="B807" s="46"/>
      <c r="BE807" s="46"/>
      <c r="BF807" s="46"/>
      <c r="BR807" s="46"/>
      <c r="BT807" s="46"/>
      <c r="BV807" s="46"/>
      <c r="BW807" s="46"/>
      <c r="BX807" s="46"/>
    </row>
    <row r="808" spans="2:76" ht="15.75" customHeight="1">
      <c r="B808" s="46"/>
      <c r="BE808" s="46"/>
      <c r="BF808" s="46"/>
      <c r="BR808" s="46"/>
      <c r="BT808" s="46"/>
      <c r="BV808" s="46"/>
      <c r="BW808" s="46"/>
      <c r="BX808" s="46"/>
    </row>
    <row r="809" spans="2:76" ht="15.75" customHeight="1">
      <c r="B809" s="46"/>
      <c r="BE809" s="46"/>
      <c r="BF809" s="46"/>
      <c r="BR809" s="46"/>
      <c r="BT809" s="46"/>
      <c r="BV809" s="46"/>
      <c r="BW809" s="46"/>
      <c r="BX809" s="46"/>
    </row>
    <row r="810" spans="2:76" ht="15.75" customHeight="1">
      <c r="B810" s="46"/>
      <c r="BE810" s="46"/>
      <c r="BF810" s="46"/>
      <c r="BR810" s="46"/>
      <c r="BT810" s="46"/>
      <c r="BV810" s="46"/>
      <c r="BW810" s="46"/>
      <c r="BX810" s="46"/>
    </row>
    <row r="811" spans="2:76" ht="15.75" customHeight="1">
      <c r="B811" s="46"/>
      <c r="BE811" s="46"/>
      <c r="BF811" s="46"/>
      <c r="BR811" s="46"/>
      <c r="BT811" s="46"/>
      <c r="BV811" s="46"/>
      <c r="BW811" s="46"/>
      <c r="BX811" s="46"/>
    </row>
    <row r="812" spans="2:76" ht="15.75" customHeight="1">
      <c r="B812" s="46"/>
      <c r="BE812" s="46"/>
      <c r="BF812" s="46"/>
      <c r="BR812" s="46"/>
      <c r="BT812" s="46"/>
      <c r="BV812" s="46"/>
      <c r="BW812" s="46"/>
      <c r="BX812" s="46"/>
    </row>
    <row r="813" spans="2:76" ht="15.75" customHeight="1">
      <c r="B813" s="46"/>
      <c r="BE813" s="46"/>
      <c r="BF813" s="46"/>
      <c r="BR813" s="46"/>
      <c r="BT813" s="46"/>
      <c r="BV813" s="46"/>
      <c r="BW813" s="46"/>
      <c r="BX813" s="46"/>
    </row>
    <row r="814" spans="2:76" ht="15.75" customHeight="1">
      <c r="B814" s="46"/>
      <c r="BE814" s="46"/>
      <c r="BF814" s="46"/>
      <c r="BR814" s="46"/>
      <c r="BT814" s="46"/>
      <c r="BV814" s="46"/>
      <c r="BW814" s="46"/>
      <c r="BX814" s="46"/>
    </row>
    <row r="815" spans="2:76" ht="15.75" customHeight="1">
      <c r="B815" s="46"/>
      <c r="BE815" s="46"/>
      <c r="BF815" s="46"/>
      <c r="BR815" s="46"/>
      <c r="BT815" s="46"/>
      <c r="BV815" s="46"/>
      <c r="BW815" s="46"/>
      <c r="BX815" s="46"/>
    </row>
    <row r="816" spans="2:76" ht="15.75" customHeight="1">
      <c r="B816" s="46"/>
      <c r="BE816" s="46"/>
      <c r="BF816" s="46"/>
      <c r="BR816" s="46"/>
      <c r="BT816" s="46"/>
      <c r="BV816" s="46"/>
      <c r="BW816" s="46"/>
      <c r="BX816" s="46"/>
    </row>
    <row r="817" spans="2:76" ht="15.75" customHeight="1">
      <c r="B817" s="46"/>
      <c r="BE817" s="46"/>
      <c r="BF817" s="46"/>
      <c r="BR817" s="46"/>
      <c r="BT817" s="46"/>
      <c r="BV817" s="46"/>
      <c r="BW817" s="46"/>
      <c r="BX817" s="46"/>
    </row>
    <row r="818" spans="2:76" ht="15.75" customHeight="1">
      <c r="B818" s="46"/>
      <c r="BE818" s="46"/>
      <c r="BF818" s="46"/>
      <c r="BR818" s="46"/>
      <c r="BT818" s="46"/>
      <c r="BV818" s="46"/>
      <c r="BW818" s="46"/>
      <c r="BX818" s="46"/>
    </row>
    <row r="819" spans="2:76" ht="15.75" customHeight="1">
      <c r="B819" s="46"/>
      <c r="BE819" s="46"/>
      <c r="BF819" s="46"/>
      <c r="BR819" s="46"/>
      <c r="BT819" s="46"/>
      <c r="BV819" s="46"/>
      <c r="BW819" s="46"/>
      <c r="BX819" s="46"/>
    </row>
    <row r="820" spans="2:76" ht="15.75" customHeight="1">
      <c r="B820" s="46"/>
      <c r="BE820" s="46"/>
      <c r="BF820" s="46"/>
      <c r="BR820" s="46"/>
      <c r="BT820" s="46"/>
      <c r="BV820" s="46"/>
      <c r="BW820" s="46"/>
      <c r="BX820" s="46"/>
    </row>
    <row r="821" spans="2:76" ht="15.75" customHeight="1">
      <c r="B821" s="46"/>
      <c r="BE821" s="46"/>
      <c r="BF821" s="46"/>
      <c r="BR821" s="46"/>
      <c r="BT821" s="46"/>
      <c r="BV821" s="46"/>
      <c r="BW821" s="46"/>
      <c r="BX821" s="46"/>
    </row>
    <row r="822" spans="2:76" ht="15.75" customHeight="1">
      <c r="B822" s="46"/>
      <c r="BE822" s="46"/>
      <c r="BF822" s="46"/>
      <c r="BR822" s="46"/>
      <c r="BT822" s="46"/>
      <c r="BV822" s="46"/>
      <c r="BW822" s="46"/>
      <c r="BX822" s="46"/>
    </row>
    <row r="823" spans="2:76" ht="15.75" customHeight="1">
      <c r="B823" s="46"/>
      <c r="BE823" s="46"/>
      <c r="BF823" s="46"/>
      <c r="BR823" s="46"/>
      <c r="BT823" s="46"/>
      <c r="BV823" s="46"/>
      <c r="BW823" s="46"/>
      <c r="BX823" s="46"/>
    </row>
    <row r="824" spans="2:76" ht="15.75" customHeight="1">
      <c r="B824" s="46"/>
      <c r="BE824" s="46"/>
      <c r="BF824" s="46"/>
      <c r="BR824" s="46"/>
      <c r="BT824" s="46"/>
      <c r="BV824" s="46"/>
      <c r="BW824" s="46"/>
      <c r="BX824" s="46"/>
    </row>
    <row r="825" spans="2:76" ht="15.75" customHeight="1">
      <c r="B825" s="46"/>
      <c r="BE825" s="46"/>
      <c r="BF825" s="46"/>
      <c r="BR825" s="46"/>
      <c r="BT825" s="46"/>
      <c r="BV825" s="46"/>
      <c r="BW825" s="46"/>
      <c r="BX825" s="46"/>
    </row>
    <row r="826" spans="2:76" ht="15.75" customHeight="1">
      <c r="B826" s="46"/>
      <c r="BE826" s="46"/>
      <c r="BF826" s="46"/>
      <c r="BR826" s="46"/>
      <c r="BT826" s="46"/>
      <c r="BV826" s="46"/>
      <c r="BW826" s="46"/>
      <c r="BX826" s="46"/>
    </row>
    <row r="827" spans="2:76" ht="15.75" customHeight="1">
      <c r="B827" s="46"/>
      <c r="BE827" s="46"/>
      <c r="BF827" s="46"/>
      <c r="BR827" s="46"/>
      <c r="BT827" s="46"/>
      <c r="BV827" s="46"/>
      <c r="BW827" s="46"/>
      <c r="BX827" s="46"/>
    </row>
    <row r="828" spans="2:76" ht="15.75" customHeight="1">
      <c r="B828" s="46"/>
      <c r="BE828" s="46"/>
      <c r="BF828" s="46"/>
      <c r="BR828" s="46"/>
      <c r="BT828" s="46"/>
      <c r="BV828" s="46"/>
      <c r="BW828" s="46"/>
      <c r="BX828" s="46"/>
    </row>
    <row r="829" spans="2:76" ht="15.75" customHeight="1">
      <c r="B829" s="46"/>
      <c r="BE829" s="46"/>
      <c r="BF829" s="46"/>
      <c r="BR829" s="46"/>
      <c r="BT829" s="46"/>
      <c r="BV829" s="46"/>
      <c r="BW829" s="46"/>
      <c r="BX829" s="46"/>
    </row>
    <row r="830" spans="2:76" ht="15.75" customHeight="1">
      <c r="B830" s="46"/>
      <c r="BE830" s="46"/>
      <c r="BF830" s="46"/>
      <c r="BR830" s="46"/>
      <c r="BT830" s="46"/>
      <c r="BV830" s="46"/>
      <c r="BW830" s="46"/>
      <c r="BX830" s="46"/>
    </row>
    <row r="831" spans="2:76" ht="15.75" customHeight="1">
      <c r="B831" s="46"/>
      <c r="BE831" s="46"/>
      <c r="BF831" s="46"/>
      <c r="BR831" s="46"/>
      <c r="BT831" s="46"/>
      <c r="BV831" s="46"/>
      <c r="BW831" s="46"/>
      <c r="BX831" s="46"/>
    </row>
    <row r="832" spans="2:76" ht="15.75" customHeight="1">
      <c r="B832" s="46"/>
      <c r="BE832" s="46"/>
      <c r="BF832" s="46"/>
      <c r="BR832" s="46"/>
      <c r="BT832" s="46"/>
      <c r="BV832" s="46"/>
      <c r="BW832" s="46"/>
      <c r="BX832" s="46"/>
    </row>
    <row r="833" spans="2:76" ht="15.75" customHeight="1">
      <c r="B833" s="46"/>
      <c r="BE833" s="46"/>
      <c r="BF833" s="46"/>
      <c r="BR833" s="46"/>
      <c r="BT833" s="46"/>
      <c r="BV833" s="46"/>
      <c r="BW833" s="46"/>
      <c r="BX833" s="46"/>
    </row>
    <row r="834" spans="2:76" ht="15.75" customHeight="1">
      <c r="B834" s="46"/>
      <c r="BE834" s="46"/>
      <c r="BF834" s="46"/>
      <c r="BR834" s="46"/>
      <c r="BT834" s="46"/>
      <c r="BV834" s="46"/>
      <c r="BW834" s="46"/>
      <c r="BX834" s="46"/>
    </row>
    <row r="835" spans="2:76" ht="15.75" customHeight="1">
      <c r="B835" s="46"/>
      <c r="BE835" s="46"/>
      <c r="BF835" s="46"/>
      <c r="BR835" s="46"/>
      <c r="BT835" s="46"/>
      <c r="BV835" s="46"/>
      <c r="BW835" s="46"/>
      <c r="BX835" s="46"/>
    </row>
    <row r="836" spans="2:76" ht="15.75" customHeight="1">
      <c r="B836" s="46"/>
      <c r="BE836" s="46"/>
      <c r="BF836" s="46"/>
      <c r="BR836" s="46"/>
      <c r="BT836" s="46"/>
      <c r="BV836" s="46"/>
      <c r="BW836" s="46"/>
      <c r="BX836" s="46"/>
    </row>
    <row r="837" spans="2:76" ht="15.75" customHeight="1">
      <c r="B837" s="46"/>
      <c r="BE837" s="46"/>
      <c r="BF837" s="46"/>
      <c r="BR837" s="46"/>
      <c r="BT837" s="46"/>
      <c r="BV837" s="46"/>
      <c r="BW837" s="46"/>
      <c r="BX837" s="46"/>
    </row>
    <row r="838" spans="2:76" ht="15.75" customHeight="1">
      <c r="B838" s="46"/>
      <c r="BE838" s="46"/>
      <c r="BF838" s="46"/>
      <c r="BR838" s="46"/>
      <c r="BT838" s="46"/>
      <c r="BV838" s="46"/>
      <c r="BW838" s="46"/>
      <c r="BX838" s="46"/>
    </row>
    <row r="839" spans="2:76" ht="15.75" customHeight="1">
      <c r="B839" s="46"/>
      <c r="BE839" s="46"/>
      <c r="BF839" s="46"/>
      <c r="BR839" s="46"/>
      <c r="BT839" s="46"/>
      <c r="BV839" s="46"/>
      <c r="BW839" s="46"/>
      <c r="BX839" s="46"/>
    </row>
    <row r="840" spans="2:76" ht="15.75" customHeight="1">
      <c r="B840" s="46"/>
      <c r="BE840" s="46"/>
      <c r="BF840" s="46"/>
      <c r="BR840" s="46"/>
      <c r="BT840" s="46"/>
      <c r="BV840" s="46"/>
      <c r="BW840" s="46"/>
      <c r="BX840" s="46"/>
    </row>
    <row r="841" spans="2:76" ht="15.75" customHeight="1">
      <c r="B841" s="46"/>
      <c r="BE841" s="46"/>
      <c r="BF841" s="46"/>
      <c r="BR841" s="46"/>
      <c r="BT841" s="46"/>
      <c r="BV841" s="46"/>
      <c r="BW841" s="46"/>
      <c r="BX841" s="46"/>
    </row>
    <row r="842" spans="2:76" ht="15.75" customHeight="1">
      <c r="B842" s="46"/>
      <c r="BE842" s="46"/>
      <c r="BF842" s="46"/>
      <c r="BR842" s="46"/>
      <c r="BT842" s="46"/>
      <c r="BV842" s="46"/>
      <c r="BW842" s="46"/>
      <c r="BX842" s="46"/>
    </row>
    <row r="843" spans="2:76" ht="15.75" customHeight="1">
      <c r="B843" s="46"/>
      <c r="BE843" s="46"/>
      <c r="BF843" s="46"/>
      <c r="BR843" s="46"/>
      <c r="BT843" s="46"/>
      <c r="BV843" s="46"/>
      <c r="BW843" s="46"/>
      <c r="BX843" s="46"/>
    </row>
    <row r="844" spans="2:76" ht="15.75" customHeight="1">
      <c r="B844" s="46"/>
      <c r="BE844" s="46"/>
      <c r="BF844" s="46"/>
      <c r="BR844" s="46"/>
      <c r="BT844" s="46"/>
      <c r="BV844" s="46"/>
      <c r="BW844" s="46"/>
      <c r="BX844" s="46"/>
    </row>
    <row r="845" spans="2:76" ht="15.75" customHeight="1">
      <c r="B845" s="46"/>
      <c r="BE845" s="46"/>
      <c r="BF845" s="46"/>
      <c r="BR845" s="46"/>
      <c r="BT845" s="46"/>
      <c r="BV845" s="46"/>
      <c r="BW845" s="46"/>
      <c r="BX845" s="46"/>
    </row>
    <row r="846" spans="2:76" ht="15.75" customHeight="1">
      <c r="B846" s="46"/>
      <c r="BE846" s="46"/>
      <c r="BF846" s="46"/>
      <c r="BR846" s="46"/>
      <c r="BT846" s="46"/>
      <c r="BV846" s="46"/>
      <c r="BW846" s="46"/>
      <c r="BX846" s="46"/>
    </row>
    <row r="847" spans="2:76" ht="15.75" customHeight="1">
      <c r="B847" s="46"/>
      <c r="BE847" s="46"/>
      <c r="BF847" s="46"/>
      <c r="BR847" s="46"/>
      <c r="BT847" s="46"/>
      <c r="BV847" s="46"/>
      <c r="BW847" s="46"/>
      <c r="BX847" s="46"/>
    </row>
    <row r="848" spans="2:76" ht="15.75" customHeight="1">
      <c r="B848" s="46"/>
      <c r="BE848" s="46"/>
      <c r="BF848" s="46"/>
      <c r="BR848" s="46"/>
      <c r="BT848" s="46"/>
      <c r="BV848" s="46"/>
      <c r="BW848" s="46"/>
      <c r="BX848" s="46"/>
    </row>
    <row r="849" spans="2:76" ht="15.75" customHeight="1">
      <c r="B849" s="46"/>
      <c r="BE849" s="46"/>
      <c r="BF849" s="46"/>
      <c r="BR849" s="46"/>
      <c r="BT849" s="46"/>
      <c r="BV849" s="46"/>
      <c r="BW849" s="46"/>
      <c r="BX849" s="46"/>
    </row>
    <row r="850" spans="2:76" ht="15.75" customHeight="1">
      <c r="B850" s="46"/>
      <c r="BE850" s="46"/>
      <c r="BF850" s="46"/>
      <c r="BR850" s="46"/>
      <c r="BT850" s="46"/>
      <c r="BV850" s="46"/>
      <c r="BW850" s="46"/>
      <c r="BX850" s="46"/>
    </row>
    <row r="851" spans="2:76" ht="15.75" customHeight="1">
      <c r="B851" s="46"/>
      <c r="BE851" s="46"/>
      <c r="BF851" s="46"/>
      <c r="BR851" s="46"/>
      <c r="BT851" s="46"/>
      <c r="BV851" s="46"/>
      <c r="BW851" s="46"/>
      <c r="BX851" s="46"/>
    </row>
    <row r="852" spans="2:76" ht="15.75" customHeight="1">
      <c r="B852" s="46"/>
      <c r="BE852" s="46"/>
      <c r="BF852" s="46"/>
      <c r="BR852" s="46"/>
      <c r="BT852" s="46"/>
      <c r="BV852" s="46"/>
      <c r="BW852" s="46"/>
      <c r="BX852" s="46"/>
    </row>
    <row r="853" spans="2:76" ht="15.75" customHeight="1">
      <c r="B853" s="46"/>
      <c r="BE853" s="46"/>
      <c r="BF853" s="46"/>
      <c r="BR853" s="46"/>
      <c r="BT853" s="46"/>
      <c r="BV853" s="46"/>
      <c r="BW853" s="46"/>
      <c r="BX853" s="46"/>
    </row>
    <row r="854" spans="2:76" ht="15.75" customHeight="1">
      <c r="B854" s="46"/>
      <c r="BE854" s="46"/>
      <c r="BF854" s="46"/>
      <c r="BR854" s="46"/>
      <c r="BT854" s="46"/>
      <c r="BV854" s="46"/>
      <c r="BW854" s="46"/>
      <c r="BX854" s="46"/>
    </row>
    <row r="855" spans="2:76" ht="15.75" customHeight="1">
      <c r="B855" s="46"/>
      <c r="BE855" s="46"/>
      <c r="BF855" s="46"/>
      <c r="BR855" s="46"/>
      <c r="BT855" s="46"/>
      <c r="BV855" s="46"/>
      <c r="BW855" s="46"/>
      <c r="BX855" s="46"/>
    </row>
    <row r="856" spans="2:76" ht="15.75" customHeight="1">
      <c r="B856" s="46"/>
      <c r="BE856" s="46"/>
      <c r="BF856" s="46"/>
      <c r="BR856" s="46"/>
      <c r="BT856" s="46"/>
      <c r="BV856" s="46"/>
      <c r="BW856" s="46"/>
      <c r="BX856" s="46"/>
    </row>
    <row r="857" spans="2:76" ht="15.75" customHeight="1">
      <c r="B857" s="46"/>
      <c r="BE857" s="46"/>
      <c r="BF857" s="46"/>
      <c r="BR857" s="46"/>
      <c r="BT857" s="46"/>
      <c r="BV857" s="46"/>
      <c r="BW857" s="46"/>
      <c r="BX857" s="46"/>
    </row>
    <row r="858" spans="2:76" ht="15.75" customHeight="1">
      <c r="B858" s="46"/>
      <c r="BE858" s="46"/>
      <c r="BF858" s="46"/>
      <c r="BR858" s="46"/>
      <c r="BT858" s="46"/>
      <c r="BV858" s="46"/>
      <c r="BW858" s="46"/>
      <c r="BX858" s="46"/>
    </row>
    <row r="859" spans="2:76" ht="15.75" customHeight="1">
      <c r="B859" s="46"/>
      <c r="BE859" s="46"/>
      <c r="BF859" s="46"/>
      <c r="BR859" s="46"/>
      <c r="BT859" s="46"/>
      <c r="BV859" s="46"/>
      <c r="BW859" s="46"/>
      <c r="BX859" s="46"/>
    </row>
    <row r="860" spans="2:76" ht="15.75" customHeight="1">
      <c r="B860" s="46"/>
      <c r="BE860" s="46"/>
      <c r="BF860" s="46"/>
      <c r="BR860" s="46"/>
      <c r="BT860" s="46"/>
      <c r="BV860" s="46"/>
      <c r="BW860" s="46"/>
      <c r="BX860" s="46"/>
    </row>
    <row r="861" spans="2:76" ht="15.75" customHeight="1">
      <c r="B861" s="46"/>
      <c r="BE861" s="46"/>
      <c r="BF861" s="46"/>
      <c r="BR861" s="46"/>
      <c r="BT861" s="46"/>
      <c r="BV861" s="46"/>
      <c r="BW861" s="46"/>
      <c r="BX861" s="46"/>
    </row>
    <row r="862" spans="2:76" ht="15.75" customHeight="1">
      <c r="B862" s="46"/>
      <c r="BE862" s="46"/>
      <c r="BF862" s="46"/>
      <c r="BR862" s="46"/>
      <c r="BT862" s="46"/>
      <c r="BV862" s="46"/>
      <c r="BW862" s="46"/>
      <c r="BX862" s="46"/>
    </row>
    <row r="863" spans="2:76" ht="15.75" customHeight="1">
      <c r="B863" s="46"/>
      <c r="BE863" s="46"/>
      <c r="BF863" s="46"/>
      <c r="BR863" s="46"/>
      <c r="BT863" s="46"/>
      <c r="BV863" s="46"/>
      <c r="BW863" s="46"/>
      <c r="BX863" s="46"/>
    </row>
    <row r="864" spans="2:76" ht="15.75" customHeight="1">
      <c r="B864" s="46"/>
      <c r="BE864" s="46"/>
      <c r="BF864" s="46"/>
      <c r="BR864" s="46"/>
      <c r="BT864" s="46"/>
      <c r="BV864" s="46"/>
      <c r="BW864" s="46"/>
      <c r="BX864" s="46"/>
    </row>
    <row r="865" spans="2:76" ht="15.75" customHeight="1">
      <c r="B865" s="46"/>
      <c r="BE865" s="46"/>
      <c r="BF865" s="46"/>
      <c r="BR865" s="46"/>
      <c r="BT865" s="46"/>
      <c r="BV865" s="46"/>
      <c r="BW865" s="46"/>
      <c r="BX865" s="46"/>
    </row>
    <row r="866" spans="2:76" ht="15.75" customHeight="1">
      <c r="B866" s="46"/>
      <c r="BE866" s="46"/>
      <c r="BF866" s="46"/>
      <c r="BR866" s="46"/>
      <c r="BT866" s="46"/>
      <c r="BV866" s="46"/>
      <c r="BW866" s="46"/>
      <c r="BX866" s="46"/>
    </row>
    <row r="867" spans="2:76" ht="15.75" customHeight="1">
      <c r="B867" s="46"/>
      <c r="BE867" s="46"/>
      <c r="BF867" s="46"/>
      <c r="BR867" s="46"/>
      <c r="BT867" s="46"/>
      <c r="BV867" s="46"/>
      <c r="BW867" s="46"/>
      <c r="BX867" s="46"/>
    </row>
    <row r="868" spans="2:76" ht="15.75" customHeight="1">
      <c r="B868" s="46"/>
      <c r="BE868" s="46"/>
      <c r="BF868" s="46"/>
      <c r="BR868" s="46"/>
      <c r="BT868" s="46"/>
      <c r="BV868" s="46"/>
      <c r="BW868" s="46"/>
      <c r="BX868" s="46"/>
    </row>
    <row r="869" spans="2:76" ht="15.75" customHeight="1">
      <c r="B869" s="46"/>
      <c r="BE869" s="46"/>
      <c r="BF869" s="46"/>
      <c r="BR869" s="46"/>
      <c r="BT869" s="46"/>
      <c r="BV869" s="46"/>
      <c r="BW869" s="46"/>
      <c r="BX869" s="46"/>
    </row>
    <row r="870" spans="2:76" ht="15.75" customHeight="1">
      <c r="B870" s="46"/>
      <c r="BE870" s="46"/>
      <c r="BF870" s="46"/>
      <c r="BR870" s="46"/>
      <c r="BT870" s="46"/>
      <c r="BV870" s="46"/>
      <c r="BW870" s="46"/>
      <c r="BX870" s="46"/>
    </row>
    <row r="871" spans="2:76" ht="15.75" customHeight="1">
      <c r="B871" s="46"/>
      <c r="BE871" s="46"/>
      <c r="BF871" s="46"/>
      <c r="BR871" s="46"/>
      <c r="BT871" s="46"/>
      <c r="BV871" s="46"/>
      <c r="BW871" s="46"/>
      <c r="BX871" s="46"/>
    </row>
    <row r="872" spans="2:76" ht="15.75" customHeight="1">
      <c r="B872" s="46"/>
      <c r="BE872" s="46"/>
      <c r="BF872" s="46"/>
      <c r="BR872" s="46"/>
      <c r="BT872" s="46"/>
      <c r="BV872" s="46"/>
      <c r="BW872" s="46"/>
      <c r="BX872" s="46"/>
    </row>
    <row r="873" spans="2:76" ht="15.75" customHeight="1">
      <c r="B873" s="46"/>
      <c r="BE873" s="46"/>
      <c r="BF873" s="46"/>
      <c r="BR873" s="46"/>
      <c r="BT873" s="46"/>
      <c r="BV873" s="46"/>
      <c r="BW873" s="46"/>
      <c r="BX873" s="46"/>
    </row>
    <row r="874" spans="2:76" ht="15.75" customHeight="1">
      <c r="B874" s="46"/>
      <c r="BE874" s="46"/>
      <c r="BF874" s="46"/>
      <c r="BR874" s="46"/>
      <c r="BT874" s="46"/>
      <c r="BV874" s="46"/>
      <c r="BW874" s="46"/>
      <c r="BX874" s="46"/>
    </row>
    <row r="875" spans="2:76" ht="15.75" customHeight="1">
      <c r="B875" s="46"/>
      <c r="BE875" s="46"/>
      <c r="BF875" s="46"/>
      <c r="BR875" s="46"/>
      <c r="BT875" s="46"/>
      <c r="BV875" s="46"/>
      <c r="BW875" s="46"/>
      <c r="BX875" s="46"/>
    </row>
    <row r="876" spans="2:76" ht="15.75" customHeight="1">
      <c r="B876" s="46"/>
      <c r="BE876" s="46"/>
      <c r="BF876" s="46"/>
      <c r="BR876" s="46"/>
      <c r="BT876" s="46"/>
      <c r="BV876" s="46"/>
      <c r="BW876" s="46"/>
      <c r="BX876" s="46"/>
    </row>
    <row r="877" spans="2:76" ht="15.75" customHeight="1">
      <c r="B877" s="46"/>
      <c r="BE877" s="46"/>
      <c r="BF877" s="46"/>
      <c r="BR877" s="46"/>
      <c r="BT877" s="46"/>
      <c r="BV877" s="46"/>
      <c r="BW877" s="46"/>
      <c r="BX877" s="46"/>
    </row>
    <row r="878" spans="2:76" ht="15.75" customHeight="1">
      <c r="B878" s="46"/>
      <c r="BE878" s="46"/>
      <c r="BF878" s="46"/>
      <c r="BR878" s="46"/>
      <c r="BT878" s="46"/>
      <c r="BV878" s="46"/>
      <c r="BW878" s="46"/>
      <c r="BX878" s="46"/>
    </row>
    <row r="879" spans="2:76" ht="15.75" customHeight="1">
      <c r="B879" s="46"/>
      <c r="BE879" s="46"/>
      <c r="BF879" s="46"/>
      <c r="BR879" s="46"/>
      <c r="BT879" s="46"/>
      <c r="BV879" s="46"/>
      <c r="BW879" s="46"/>
      <c r="BX879" s="46"/>
    </row>
    <row r="880" spans="2:76" ht="15.75" customHeight="1">
      <c r="B880" s="46"/>
      <c r="BE880" s="46"/>
      <c r="BF880" s="46"/>
      <c r="BR880" s="46"/>
      <c r="BT880" s="46"/>
      <c r="BV880" s="46"/>
      <c r="BW880" s="46"/>
      <c r="BX880" s="46"/>
    </row>
    <row r="881" spans="2:76" ht="15.75" customHeight="1">
      <c r="B881" s="46"/>
      <c r="BE881" s="46"/>
      <c r="BF881" s="46"/>
      <c r="BR881" s="46"/>
      <c r="BT881" s="46"/>
      <c r="BV881" s="46"/>
      <c r="BW881" s="46"/>
      <c r="BX881" s="46"/>
    </row>
    <row r="882" spans="2:76" ht="15.75" customHeight="1">
      <c r="B882" s="46"/>
      <c r="BE882" s="46"/>
      <c r="BF882" s="46"/>
      <c r="BR882" s="46"/>
      <c r="BT882" s="46"/>
      <c r="BV882" s="46"/>
      <c r="BW882" s="46"/>
      <c r="BX882" s="46"/>
    </row>
    <row r="883" spans="2:76" ht="15.75" customHeight="1">
      <c r="B883" s="46"/>
      <c r="BE883" s="46"/>
      <c r="BF883" s="46"/>
      <c r="BR883" s="46"/>
      <c r="BT883" s="46"/>
      <c r="BV883" s="46"/>
      <c r="BW883" s="46"/>
      <c r="BX883" s="46"/>
    </row>
    <row r="884" spans="2:76" ht="15.75" customHeight="1">
      <c r="B884" s="46"/>
      <c r="BE884" s="46"/>
      <c r="BF884" s="46"/>
      <c r="BR884" s="46"/>
      <c r="BT884" s="46"/>
      <c r="BV884" s="46"/>
      <c r="BW884" s="46"/>
      <c r="BX884" s="46"/>
    </row>
    <row r="885" spans="2:76" ht="15.75" customHeight="1">
      <c r="B885" s="46"/>
      <c r="BE885" s="46"/>
      <c r="BF885" s="46"/>
      <c r="BR885" s="46"/>
      <c r="BT885" s="46"/>
      <c r="BV885" s="46"/>
      <c r="BW885" s="46"/>
      <c r="BX885" s="46"/>
    </row>
    <row r="886" spans="2:76" ht="15.75" customHeight="1">
      <c r="B886" s="46"/>
      <c r="BE886" s="46"/>
      <c r="BF886" s="46"/>
      <c r="BR886" s="46"/>
      <c r="BT886" s="46"/>
      <c r="BV886" s="46"/>
      <c r="BW886" s="46"/>
      <c r="BX886" s="46"/>
    </row>
    <row r="887" spans="2:76" ht="15.75" customHeight="1">
      <c r="B887" s="46"/>
      <c r="BE887" s="46"/>
      <c r="BF887" s="46"/>
      <c r="BR887" s="46"/>
      <c r="BT887" s="46"/>
      <c r="BV887" s="46"/>
      <c r="BW887" s="46"/>
      <c r="BX887" s="46"/>
    </row>
    <row r="888" spans="2:76" ht="15.75" customHeight="1">
      <c r="B888" s="46"/>
      <c r="BE888" s="46"/>
      <c r="BF888" s="46"/>
      <c r="BR888" s="46"/>
      <c r="BT888" s="46"/>
      <c r="BV888" s="46"/>
      <c r="BW888" s="46"/>
      <c r="BX888" s="46"/>
    </row>
    <row r="889" spans="2:76" ht="15.75" customHeight="1">
      <c r="B889" s="46"/>
      <c r="BE889" s="46"/>
      <c r="BF889" s="46"/>
      <c r="BR889" s="46"/>
      <c r="BT889" s="46"/>
      <c r="BV889" s="46"/>
      <c r="BW889" s="46"/>
      <c r="BX889" s="46"/>
    </row>
    <row r="890" spans="2:76" ht="15.75" customHeight="1">
      <c r="B890" s="46"/>
      <c r="BE890" s="46"/>
      <c r="BF890" s="46"/>
      <c r="BR890" s="46"/>
      <c r="BT890" s="46"/>
      <c r="BV890" s="46"/>
      <c r="BW890" s="46"/>
      <c r="BX890" s="46"/>
    </row>
    <row r="891" spans="2:76" ht="15.75" customHeight="1">
      <c r="B891" s="46"/>
      <c r="BE891" s="46"/>
      <c r="BF891" s="46"/>
      <c r="BR891" s="46"/>
      <c r="BT891" s="46"/>
      <c r="BV891" s="46"/>
      <c r="BW891" s="46"/>
      <c r="BX891" s="46"/>
    </row>
    <row r="892" spans="2:76" ht="15.75" customHeight="1">
      <c r="B892" s="46"/>
      <c r="BE892" s="46"/>
      <c r="BF892" s="46"/>
      <c r="BR892" s="46"/>
      <c r="BT892" s="46"/>
      <c r="BV892" s="46"/>
      <c r="BW892" s="46"/>
      <c r="BX892" s="46"/>
    </row>
    <row r="893" spans="2:76" ht="15.75" customHeight="1">
      <c r="B893" s="46"/>
      <c r="BE893" s="46"/>
      <c r="BF893" s="46"/>
      <c r="BR893" s="46"/>
      <c r="BT893" s="46"/>
      <c r="BV893" s="46"/>
      <c r="BW893" s="46"/>
      <c r="BX893" s="46"/>
    </row>
    <row r="894" spans="2:76" ht="15.75" customHeight="1">
      <c r="B894" s="46"/>
      <c r="BE894" s="46"/>
      <c r="BF894" s="46"/>
      <c r="BR894" s="46"/>
      <c r="BT894" s="46"/>
      <c r="BV894" s="46"/>
      <c r="BW894" s="46"/>
      <c r="BX894" s="46"/>
    </row>
    <row r="895" spans="2:76" ht="15.75" customHeight="1">
      <c r="B895" s="46"/>
      <c r="BE895" s="46"/>
      <c r="BF895" s="46"/>
      <c r="BR895" s="46"/>
      <c r="BT895" s="46"/>
      <c r="BV895" s="46"/>
      <c r="BW895" s="46"/>
      <c r="BX895" s="46"/>
    </row>
    <row r="896" spans="2:76" ht="15.75" customHeight="1">
      <c r="B896" s="46"/>
      <c r="BE896" s="46"/>
      <c r="BF896" s="46"/>
      <c r="BR896" s="46"/>
      <c r="BT896" s="46"/>
      <c r="BV896" s="46"/>
      <c r="BW896" s="46"/>
      <c r="BX896" s="46"/>
    </row>
    <row r="897" spans="2:76" ht="15.75" customHeight="1">
      <c r="B897" s="46"/>
      <c r="BE897" s="46"/>
      <c r="BF897" s="46"/>
      <c r="BR897" s="46"/>
      <c r="BT897" s="46"/>
      <c r="BV897" s="46"/>
      <c r="BW897" s="46"/>
      <c r="BX897" s="46"/>
    </row>
    <row r="898" spans="2:76" ht="15.75" customHeight="1">
      <c r="B898" s="46"/>
      <c r="BE898" s="46"/>
      <c r="BF898" s="46"/>
      <c r="BR898" s="46"/>
      <c r="BT898" s="46"/>
      <c r="BV898" s="46"/>
      <c r="BW898" s="46"/>
      <c r="BX898" s="46"/>
    </row>
    <row r="899" spans="2:76" ht="15.75" customHeight="1">
      <c r="B899" s="46"/>
      <c r="BE899" s="46"/>
      <c r="BF899" s="46"/>
      <c r="BR899" s="46"/>
      <c r="BT899" s="46"/>
      <c r="BV899" s="46"/>
      <c r="BW899" s="46"/>
      <c r="BX899" s="46"/>
    </row>
    <row r="900" spans="2:76" ht="15.75" customHeight="1">
      <c r="B900" s="46"/>
      <c r="BE900" s="46"/>
      <c r="BF900" s="46"/>
      <c r="BR900" s="46"/>
      <c r="BT900" s="46"/>
      <c r="BV900" s="46"/>
      <c r="BW900" s="46"/>
      <c r="BX900" s="46"/>
    </row>
    <row r="901" spans="2:76" ht="15.75" customHeight="1">
      <c r="B901" s="46"/>
      <c r="BE901" s="46"/>
      <c r="BF901" s="46"/>
      <c r="BR901" s="46"/>
      <c r="BT901" s="46"/>
      <c r="BV901" s="46"/>
      <c r="BW901" s="46"/>
      <c r="BX901" s="46"/>
    </row>
    <row r="902" spans="2:76" ht="15.75" customHeight="1">
      <c r="B902" s="46"/>
      <c r="BE902" s="46"/>
      <c r="BF902" s="46"/>
      <c r="BR902" s="46"/>
      <c r="BT902" s="46"/>
      <c r="BV902" s="46"/>
      <c r="BW902" s="46"/>
      <c r="BX902" s="46"/>
    </row>
    <row r="903" spans="2:76" ht="15.75" customHeight="1">
      <c r="B903" s="46"/>
      <c r="BE903" s="46"/>
      <c r="BF903" s="46"/>
      <c r="BR903" s="46"/>
      <c r="BT903" s="46"/>
      <c r="BV903" s="46"/>
      <c r="BW903" s="46"/>
      <c r="BX903" s="46"/>
    </row>
    <row r="904" spans="2:76" ht="15.75" customHeight="1">
      <c r="B904" s="46"/>
      <c r="BE904" s="46"/>
      <c r="BF904" s="46"/>
      <c r="BR904" s="46"/>
      <c r="BT904" s="46"/>
      <c r="BV904" s="46"/>
      <c r="BW904" s="46"/>
      <c r="BX904" s="46"/>
    </row>
    <row r="905" spans="2:76" ht="15.75" customHeight="1">
      <c r="B905" s="46"/>
      <c r="BE905" s="46"/>
      <c r="BF905" s="46"/>
      <c r="BR905" s="46"/>
      <c r="BT905" s="46"/>
      <c r="BV905" s="46"/>
      <c r="BW905" s="46"/>
      <c r="BX905" s="46"/>
    </row>
    <row r="906" spans="2:76" ht="15.75" customHeight="1">
      <c r="B906" s="46"/>
      <c r="BE906" s="46"/>
      <c r="BF906" s="46"/>
      <c r="BR906" s="46"/>
      <c r="BT906" s="46"/>
      <c r="BV906" s="46"/>
      <c r="BW906" s="46"/>
      <c r="BX906" s="46"/>
    </row>
    <row r="907" spans="2:76" ht="15.75" customHeight="1">
      <c r="B907" s="46"/>
      <c r="BE907" s="46"/>
      <c r="BF907" s="46"/>
      <c r="BR907" s="46"/>
      <c r="BT907" s="46"/>
      <c r="BV907" s="46"/>
      <c r="BW907" s="46"/>
      <c r="BX907" s="46"/>
    </row>
    <row r="908" spans="2:76" ht="15.75" customHeight="1">
      <c r="B908" s="46"/>
      <c r="BE908" s="46"/>
      <c r="BF908" s="46"/>
      <c r="BR908" s="46"/>
      <c r="BT908" s="46"/>
      <c r="BV908" s="46"/>
      <c r="BW908" s="46"/>
      <c r="BX908" s="46"/>
    </row>
    <row r="909" spans="2:76" ht="15.75" customHeight="1">
      <c r="B909" s="46"/>
      <c r="BE909" s="46"/>
      <c r="BF909" s="46"/>
      <c r="BR909" s="46"/>
      <c r="BT909" s="46"/>
      <c r="BV909" s="46"/>
      <c r="BW909" s="46"/>
      <c r="BX909" s="46"/>
    </row>
    <row r="910" spans="2:76" ht="15.75" customHeight="1">
      <c r="B910" s="46"/>
      <c r="BE910" s="46"/>
      <c r="BF910" s="46"/>
      <c r="BR910" s="46"/>
      <c r="BT910" s="46"/>
      <c r="BV910" s="46"/>
      <c r="BW910" s="46"/>
      <c r="BX910" s="46"/>
    </row>
    <row r="911" spans="2:76" ht="15.75" customHeight="1">
      <c r="B911" s="46"/>
      <c r="BE911" s="46"/>
      <c r="BF911" s="46"/>
      <c r="BR911" s="46"/>
      <c r="BT911" s="46"/>
      <c r="BV911" s="46"/>
      <c r="BW911" s="46"/>
      <c r="BX911" s="46"/>
    </row>
    <row r="912" spans="2:76" ht="15.75" customHeight="1">
      <c r="B912" s="46"/>
      <c r="BE912" s="46"/>
      <c r="BF912" s="46"/>
      <c r="BR912" s="46"/>
      <c r="BT912" s="46"/>
      <c r="BV912" s="46"/>
      <c r="BW912" s="46"/>
      <c r="BX912" s="46"/>
    </row>
    <row r="913" spans="2:76" ht="15.75" customHeight="1">
      <c r="B913" s="46"/>
      <c r="BE913" s="46"/>
      <c r="BF913" s="46"/>
      <c r="BR913" s="46"/>
      <c r="BT913" s="46"/>
      <c r="BV913" s="46"/>
      <c r="BW913" s="46"/>
      <c r="BX913" s="46"/>
    </row>
    <row r="914" spans="2:76" ht="15.75" customHeight="1">
      <c r="B914" s="46"/>
      <c r="BE914" s="46"/>
      <c r="BF914" s="46"/>
      <c r="BR914" s="46"/>
      <c r="BT914" s="46"/>
      <c r="BV914" s="46"/>
      <c r="BW914" s="46"/>
      <c r="BX914" s="46"/>
    </row>
    <row r="915" spans="2:76" ht="15.75" customHeight="1">
      <c r="B915" s="46"/>
      <c r="BE915" s="46"/>
      <c r="BF915" s="46"/>
      <c r="BR915" s="46"/>
      <c r="BT915" s="46"/>
      <c r="BV915" s="46"/>
      <c r="BW915" s="46"/>
      <c r="BX915" s="46"/>
    </row>
    <row r="916" spans="2:76" ht="15.75" customHeight="1">
      <c r="B916" s="46"/>
      <c r="BE916" s="46"/>
      <c r="BF916" s="46"/>
      <c r="BR916" s="46"/>
      <c r="BT916" s="46"/>
      <c r="BV916" s="46"/>
      <c r="BW916" s="46"/>
      <c r="BX916" s="46"/>
    </row>
    <row r="917" spans="2:76" ht="15.75" customHeight="1">
      <c r="B917" s="46"/>
      <c r="BE917" s="46"/>
      <c r="BF917" s="46"/>
      <c r="BR917" s="46"/>
      <c r="BT917" s="46"/>
      <c r="BV917" s="46"/>
      <c r="BW917" s="46"/>
      <c r="BX917" s="46"/>
    </row>
    <row r="918" spans="2:76" ht="15.75" customHeight="1">
      <c r="B918" s="46"/>
      <c r="BE918" s="46"/>
      <c r="BF918" s="46"/>
      <c r="BR918" s="46"/>
      <c r="BT918" s="46"/>
      <c r="BV918" s="46"/>
      <c r="BW918" s="46"/>
      <c r="BX918" s="46"/>
    </row>
    <row r="919" spans="2:76" ht="15.75" customHeight="1">
      <c r="B919" s="46"/>
      <c r="BE919" s="46"/>
      <c r="BF919" s="46"/>
      <c r="BR919" s="46"/>
      <c r="BT919" s="46"/>
      <c r="BV919" s="46"/>
      <c r="BW919" s="46"/>
      <c r="BX919" s="46"/>
    </row>
    <row r="920" spans="2:76" ht="15.75" customHeight="1">
      <c r="B920" s="46"/>
      <c r="BE920" s="46"/>
      <c r="BF920" s="46"/>
      <c r="BR920" s="46"/>
      <c r="BT920" s="46"/>
      <c r="BV920" s="46"/>
      <c r="BW920" s="46"/>
      <c r="BX920" s="46"/>
    </row>
    <row r="921" spans="2:76" ht="15.75" customHeight="1">
      <c r="B921" s="46"/>
      <c r="BE921" s="46"/>
      <c r="BF921" s="46"/>
      <c r="BR921" s="46"/>
      <c r="BT921" s="46"/>
      <c r="BV921" s="46"/>
      <c r="BW921" s="46"/>
      <c r="BX921" s="46"/>
    </row>
    <row r="922" spans="2:76" ht="15.75" customHeight="1">
      <c r="B922" s="46"/>
      <c r="BE922" s="46"/>
      <c r="BF922" s="46"/>
      <c r="BR922" s="46"/>
      <c r="BT922" s="46"/>
      <c r="BV922" s="46"/>
      <c r="BW922" s="46"/>
      <c r="BX922" s="46"/>
    </row>
    <row r="923" spans="2:76" ht="15.75" customHeight="1">
      <c r="B923" s="46"/>
      <c r="BE923" s="46"/>
      <c r="BF923" s="46"/>
      <c r="BR923" s="46"/>
      <c r="BT923" s="46"/>
      <c r="BV923" s="46"/>
      <c r="BW923" s="46"/>
      <c r="BX923" s="46"/>
    </row>
    <row r="924" spans="2:76" ht="15.75" customHeight="1">
      <c r="B924" s="46"/>
      <c r="BE924" s="46"/>
      <c r="BF924" s="46"/>
      <c r="BR924" s="46"/>
      <c r="BT924" s="46"/>
      <c r="BV924" s="46"/>
      <c r="BW924" s="46"/>
      <c r="BX924" s="46"/>
    </row>
    <row r="925" spans="2:76" ht="15.75" customHeight="1">
      <c r="B925" s="46"/>
      <c r="BE925" s="46"/>
      <c r="BF925" s="46"/>
      <c r="BR925" s="46"/>
      <c r="BT925" s="46"/>
      <c r="BV925" s="46"/>
      <c r="BW925" s="46"/>
      <c r="BX925" s="46"/>
    </row>
    <row r="926" spans="2:76" ht="15.75" customHeight="1">
      <c r="B926" s="46"/>
      <c r="BE926" s="46"/>
      <c r="BF926" s="46"/>
      <c r="BR926" s="46"/>
      <c r="BT926" s="46"/>
      <c r="BV926" s="46"/>
      <c r="BW926" s="46"/>
      <c r="BX926" s="46"/>
    </row>
    <row r="927" spans="2:76" ht="15.75" customHeight="1">
      <c r="B927" s="46"/>
      <c r="BE927" s="46"/>
      <c r="BF927" s="46"/>
      <c r="BR927" s="46"/>
      <c r="BT927" s="46"/>
      <c r="BV927" s="46"/>
      <c r="BW927" s="46"/>
      <c r="BX927" s="46"/>
    </row>
    <row r="928" spans="2:76" ht="15.75" customHeight="1">
      <c r="B928" s="46"/>
      <c r="BE928" s="46"/>
      <c r="BF928" s="46"/>
      <c r="BR928" s="46"/>
      <c r="BT928" s="46"/>
      <c r="BV928" s="46"/>
      <c r="BW928" s="46"/>
      <c r="BX928" s="46"/>
    </row>
    <row r="929" spans="2:76" ht="15.75" customHeight="1">
      <c r="B929" s="46"/>
      <c r="BE929" s="46"/>
      <c r="BF929" s="46"/>
      <c r="BR929" s="46"/>
      <c r="BT929" s="46"/>
      <c r="BV929" s="46"/>
      <c r="BW929" s="46"/>
      <c r="BX929" s="46"/>
    </row>
    <row r="930" spans="2:76" ht="15.75" customHeight="1">
      <c r="B930" s="46"/>
      <c r="BE930" s="46"/>
      <c r="BF930" s="46"/>
      <c r="BR930" s="46"/>
      <c r="BT930" s="46"/>
      <c r="BV930" s="46"/>
      <c r="BW930" s="46"/>
      <c r="BX930" s="46"/>
    </row>
    <row r="931" spans="2:76" ht="15.75" customHeight="1">
      <c r="B931" s="46"/>
      <c r="BE931" s="46"/>
      <c r="BF931" s="46"/>
      <c r="BR931" s="46"/>
      <c r="BT931" s="46"/>
      <c r="BV931" s="46"/>
      <c r="BW931" s="46"/>
      <c r="BX931" s="46"/>
    </row>
    <row r="932" spans="2:76" ht="15.75" customHeight="1">
      <c r="B932" s="46"/>
      <c r="BE932" s="46"/>
      <c r="BF932" s="46"/>
      <c r="BR932" s="46"/>
      <c r="BT932" s="46"/>
      <c r="BV932" s="46"/>
      <c r="BW932" s="46"/>
      <c r="BX932" s="46"/>
    </row>
    <row r="933" spans="2:76" ht="15.75" customHeight="1">
      <c r="B933" s="46"/>
      <c r="BE933" s="46"/>
      <c r="BF933" s="46"/>
      <c r="BR933" s="46"/>
      <c r="BT933" s="46"/>
      <c r="BV933" s="46"/>
      <c r="BW933" s="46"/>
      <c r="BX933" s="46"/>
    </row>
    <row r="934" spans="2:76" ht="15.75" customHeight="1">
      <c r="B934" s="46"/>
      <c r="BE934" s="46"/>
      <c r="BF934" s="46"/>
      <c r="BR934" s="46"/>
      <c r="BT934" s="46"/>
      <c r="BV934" s="46"/>
      <c r="BW934" s="46"/>
      <c r="BX934" s="46"/>
    </row>
    <row r="935" spans="2:76" ht="15.75" customHeight="1">
      <c r="B935" s="46"/>
      <c r="BE935" s="46"/>
      <c r="BF935" s="46"/>
      <c r="BR935" s="46"/>
      <c r="BT935" s="46"/>
      <c r="BV935" s="46"/>
      <c r="BW935" s="46"/>
      <c r="BX935" s="46"/>
    </row>
    <row r="936" spans="2:76" ht="15.75" customHeight="1">
      <c r="B936" s="46"/>
      <c r="BE936" s="46"/>
      <c r="BF936" s="46"/>
      <c r="BR936" s="46"/>
      <c r="BT936" s="46"/>
      <c r="BV936" s="46"/>
      <c r="BW936" s="46"/>
      <c r="BX936" s="46"/>
    </row>
    <row r="937" spans="2:76" ht="15.75" customHeight="1">
      <c r="B937" s="46"/>
      <c r="BE937" s="46"/>
      <c r="BF937" s="46"/>
      <c r="BR937" s="46"/>
      <c r="BT937" s="46"/>
      <c r="BV937" s="46"/>
      <c r="BW937" s="46"/>
      <c r="BX937" s="46"/>
    </row>
    <row r="938" spans="2:76" ht="15.75" customHeight="1">
      <c r="B938" s="46"/>
      <c r="BE938" s="46"/>
      <c r="BF938" s="46"/>
      <c r="BR938" s="46"/>
      <c r="BT938" s="46"/>
      <c r="BV938" s="46"/>
      <c r="BW938" s="46"/>
      <c r="BX938" s="46"/>
    </row>
    <row r="939" spans="2:76" ht="15.75" customHeight="1">
      <c r="B939" s="46"/>
      <c r="BE939" s="46"/>
      <c r="BF939" s="46"/>
      <c r="BR939" s="46"/>
      <c r="BT939" s="46"/>
      <c r="BV939" s="46"/>
      <c r="BW939" s="46"/>
      <c r="BX939" s="46"/>
    </row>
    <row r="940" spans="2:76" ht="15.75" customHeight="1">
      <c r="B940" s="46"/>
      <c r="BE940" s="46"/>
      <c r="BF940" s="46"/>
      <c r="BR940" s="46"/>
      <c r="BT940" s="46"/>
      <c r="BV940" s="46"/>
      <c r="BW940" s="46"/>
      <c r="BX940" s="46"/>
    </row>
    <row r="941" spans="2:76" ht="15.75" customHeight="1">
      <c r="B941" s="46"/>
      <c r="BE941" s="46"/>
      <c r="BF941" s="46"/>
      <c r="BR941" s="46"/>
      <c r="BT941" s="46"/>
      <c r="BV941" s="46"/>
      <c r="BW941" s="46"/>
      <c r="BX941" s="46"/>
    </row>
    <row r="942" spans="2:76" ht="15.75" customHeight="1">
      <c r="B942" s="46"/>
      <c r="BE942" s="46"/>
      <c r="BF942" s="46"/>
      <c r="BR942" s="46"/>
      <c r="BT942" s="46"/>
      <c r="BV942" s="46"/>
      <c r="BW942" s="46"/>
      <c r="BX942" s="46"/>
    </row>
    <row r="943" spans="2:76" ht="15.75" customHeight="1">
      <c r="B943" s="46"/>
      <c r="BE943" s="46"/>
      <c r="BF943" s="46"/>
      <c r="BR943" s="46"/>
      <c r="BT943" s="46"/>
      <c r="BV943" s="46"/>
      <c r="BW943" s="46"/>
      <c r="BX943" s="46"/>
    </row>
    <row r="944" spans="2:76" ht="15.75" customHeight="1">
      <c r="B944" s="46"/>
      <c r="BE944" s="46"/>
      <c r="BF944" s="46"/>
      <c r="BR944" s="46"/>
      <c r="BT944" s="46"/>
      <c r="BV944" s="46"/>
      <c r="BW944" s="46"/>
      <c r="BX944" s="46"/>
    </row>
    <row r="945" spans="2:76" ht="15.75" customHeight="1">
      <c r="B945" s="46"/>
      <c r="BE945" s="46"/>
      <c r="BF945" s="46"/>
      <c r="BR945" s="46"/>
      <c r="BT945" s="46"/>
      <c r="BV945" s="46"/>
      <c r="BW945" s="46"/>
      <c r="BX945" s="46"/>
    </row>
    <row r="946" spans="2:76" ht="15.75" customHeight="1">
      <c r="B946" s="46"/>
      <c r="BE946" s="46"/>
      <c r="BF946" s="46"/>
      <c r="BR946" s="46"/>
      <c r="BT946" s="46"/>
      <c r="BV946" s="46"/>
      <c r="BW946" s="46"/>
      <c r="BX946" s="46"/>
    </row>
    <row r="947" spans="2:76" ht="15.75" customHeight="1">
      <c r="B947" s="46"/>
      <c r="BE947" s="46"/>
      <c r="BF947" s="46"/>
      <c r="BR947" s="46"/>
      <c r="BT947" s="46"/>
      <c r="BV947" s="46"/>
      <c r="BW947" s="46"/>
      <c r="BX947" s="46"/>
    </row>
    <row r="948" spans="2:76" ht="15.75" customHeight="1">
      <c r="B948" s="46"/>
      <c r="BE948" s="46"/>
      <c r="BF948" s="46"/>
      <c r="BR948" s="46"/>
      <c r="BT948" s="46"/>
      <c r="BV948" s="46"/>
      <c r="BW948" s="46"/>
      <c r="BX948" s="46"/>
    </row>
    <row r="949" spans="2:76" ht="15.75" customHeight="1">
      <c r="B949" s="46"/>
      <c r="BE949" s="46"/>
      <c r="BF949" s="46"/>
      <c r="BR949" s="46"/>
      <c r="BT949" s="46"/>
      <c r="BV949" s="46"/>
      <c r="BW949" s="46"/>
      <c r="BX949" s="46"/>
    </row>
    <row r="950" spans="2:76" ht="15.75" customHeight="1">
      <c r="B950" s="46"/>
      <c r="BE950" s="46"/>
      <c r="BF950" s="46"/>
      <c r="BR950" s="46"/>
      <c r="BT950" s="46"/>
      <c r="BV950" s="46"/>
      <c r="BW950" s="46"/>
      <c r="BX950" s="46"/>
    </row>
    <row r="951" spans="2:76" ht="15.75" customHeight="1">
      <c r="B951" s="46"/>
      <c r="BE951" s="46"/>
      <c r="BF951" s="46"/>
      <c r="BR951" s="46"/>
      <c r="BT951" s="46"/>
      <c r="BV951" s="46"/>
      <c r="BW951" s="46"/>
      <c r="BX951" s="46"/>
    </row>
    <row r="952" spans="2:76" ht="15.75" customHeight="1">
      <c r="B952" s="46"/>
      <c r="BE952" s="46"/>
      <c r="BF952" s="46"/>
      <c r="BR952" s="46"/>
      <c r="BT952" s="46"/>
      <c r="BV952" s="46"/>
      <c r="BW952" s="46"/>
      <c r="BX952" s="46"/>
    </row>
    <row r="953" spans="2:76" ht="15.75" customHeight="1">
      <c r="B953" s="46"/>
      <c r="BE953" s="46"/>
      <c r="BF953" s="46"/>
      <c r="BR953" s="46"/>
      <c r="BT953" s="46"/>
      <c r="BV953" s="46"/>
      <c r="BW953" s="46"/>
      <c r="BX953" s="46"/>
    </row>
    <row r="954" spans="2:76" ht="15.75" customHeight="1">
      <c r="B954" s="46"/>
      <c r="BE954" s="46"/>
      <c r="BF954" s="46"/>
      <c r="BR954" s="46"/>
      <c r="BT954" s="46"/>
      <c r="BV954" s="46"/>
      <c r="BW954" s="46"/>
      <c r="BX954" s="46"/>
    </row>
    <row r="955" spans="2:76" ht="15.75" customHeight="1">
      <c r="B955" s="46"/>
      <c r="BE955" s="46"/>
      <c r="BF955" s="46"/>
      <c r="BR955" s="46"/>
      <c r="BT955" s="46"/>
      <c r="BV955" s="46"/>
      <c r="BW955" s="46"/>
      <c r="BX955" s="46"/>
    </row>
    <row r="956" spans="2:76" ht="15.75" customHeight="1">
      <c r="B956" s="46"/>
      <c r="BE956" s="46"/>
      <c r="BF956" s="46"/>
      <c r="BR956" s="46"/>
      <c r="BT956" s="46"/>
      <c r="BV956" s="46"/>
      <c r="BW956" s="46"/>
      <c r="BX956" s="46"/>
    </row>
    <row r="957" spans="2:76" ht="15.75" customHeight="1">
      <c r="B957" s="46"/>
      <c r="BE957" s="46"/>
      <c r="BF957" s="46"/>
      <c r="BR957" s="46"/>
      <c r="BT957" s="46"/>
      <c r="BV957" s="46"/>
      <c r="BW957" s="46"/>
      <c r="BX957" s="46"/>
    </row>
    <row r="958" spans="2:76" ht="15.75" customHeight="1">
      <c r="B958" s="46"/>
      <c r="BE958" s="46"/>
      <c r="BF958" s="46"/>
      <c r="BR958" s="46"/>
      <c r="BT958" s="46"/>
      <c r="BV958" s="46"/>
      <c r="BW958" s="46"/>
      <c r="BX958" s="46"/>
    </row>
    <row r="959" spans="2:76" ht="15.75" customHeight="1">
      <c r="B959" s="46"/>
      <c r="BE959" s="46"/>
      <c r="BF959" s="46"/>
      <c r="BR959" s="46"/>
      <c r="BT959" s="46"/>
      <c r="BV959" s="46"/>
      <c r="BW959" s="46"/>
      <c r="BX959" s="46"/>
    </row>
    <row r="960" spans="2:76" ht="15.75" customHeight="1">
      <c r="B960" s="46"/>
      <c r="BE960" s="46"/>
      <c r="BF960" s="46"/>
      <c r="BR960" s="46"/>
      <c r="BT960" s="46"/>
      <c r="BV960" s="46"/>
      <c r="BW960" s="46"/>
      <c r="BX960" s="46"/>
    </row>
    <row r="961" spans="2:76" ht="15.75" customHeight="1">
      <c r="B961" s="46"/>
      <c r="BE961" s="46"/>
      <c r="BF961" s="46"/>
      <c r="BR961" s="46"/>
      <c r="BT961" s="46"/>
      <c r="BV961" s="46"/>
      <c r="BW961" s="46"/>
      <c r="BX961" s="46"/>
    </row>
    <row r="962" spans="2:76" ht="15.75" customHeight="1">
      <c r="B962" s="46"/>
      <c r="BE962" s="46"/>
      <c r="BF962" s="46"/>
      <c r="BR962" s="46"/>
      <c r="BT962" s="46"/>
      <c r="BV962" s="46"/>
      <c r="BW962" s="46"/>
      <c r="BX962" s="46"/>
    </row>
    <row r="963" spans="2:76" ht="15.75" customHeight="1">
      <c r="B963" s="46"/>
      <c r="BE963" s="46"/>
      <c r="BF963" s="46"/>
      <c r="BR963" s="46"/>
      <c r="BT963" s="46"/>
      <c r="BV963" s="46"/>
      <c r="BW963" s="46"/>
      <c r="BX963" s="46"/>
    </row>
    <row r="964" spans="2:76" ht="15.75" customHeight="1">
      <c r="B964" s="46"/>
      <c r="BE964" s="46"/>
      <c r="BF964" s="46"/>
      <c r="BR964" s="46"/>
      <c r="BT964" s="46"/>
      <c r="BV964" s="46"/>
      <c r="BW964" s="46"/>
      <c r="BX964" s="46"/>
    </row>
    <row r="965" spans="2:76" ht="15.75" customHeight="1">
      <c r="B965" s="46"/>
      <c r="BE965" s="46"/>
      <c r="BF965" s="46"/>
      <c r="BR965" s="46"/>
      <c r="BT965" s="46"/>
      <c r="BV965" s="46"/>
      <c r="BW965" s="46"/>
      <c r="BX965" s="46"/>
    </row>
    <row r="966" spans="2:76" ht="15.75" customHeight="1">
      <c r="B966" s="46"/>
      <c r="BE966" s="46"/>
      <c r="BF966" s="46"/>
      <c r="BR966" s="46"/>
      <c r="BT966" s="46"/>
      <c r="BV966" s="46"/>
      <c r="BW966" s="46"/>
      <c r="BX966" s="46"/>
    </row>
    <row r="967" spans="2:76" ht="15.75" customHeight="1">
      <c r="B967" s="46"/>
      <c r="BE967" s="46"/>
      <c r="BF967" s="46"/>
      <c r="BR967" s="46"/>
      <c r="BT967" s="46"/>
      <c r="BV967" s="46"/>
      <c r="BW967" s="46"/>
      <c r="BX967" s="46"/>
    </row>
    <row r="968" spans="2:76" ht="15.75" customHeight="1">
      <c r="B968" s="46"/>
      <c r="BE968" s="46"/>
      <c r="BF968" s="46"/>
      <c r="BR968" s="46"/>
      <c r="BT968" s="46"/>
      <c r="BV968" s="46"/>
      <c r="BW968" s="46"/>
      <c r="BX968" s="46"/>
    </row>
    <row r="969" spans="2:76" ht="15.75" customHeight="1">
      <c r="B969" s="46"/>
      <c r="BE969" s="46"/>
      <c r="BF969" s="46"/>
      <c r="BR969" s="46"/>
      <c r="BT969" s="46"/>
      <c r="BV969" s="46"/>
      <c r="BW969" s="46"/>
      <c r="BX969" s="46"/>
    </row>
    <row r="970" spans="2:76" ht="15.75" customHeight="1">
      <c r="B970" s="46"/>
      <c r="BE970" s="46"/>
      <c r="BF970" s="46"/>
      <c r="BR970" s="46"/>
      <c r="BT970" s="46"/>
      <c r="BV970" s="46"/>
      <c r="BW970" s="46"/>
      <c r="BX970" s="46"/>
    </row>
    <row r="971" spans="2:76" ht="15.75" customHeight="1">
      <c r="B971" s="46"/>
      <c r="BE971" s="46"/>
      <c r="BF971" s="46"/>
      <c r="BR971" s="46"/>
      <c r="BT971" s="46"/>
      <c r="BV971" s="46"/>
      <c r="BW971" s="46"/>
      <c r="BX971" s="46"/>
    </row>
    <row r="972" spans="2:76" ht="15.75" customHeight="1">
      <c r="B972" s="46"/>
      <c r="BE972" s="46"/>
      <c r="BF972" s="46"/>
      <c r="BR972" s="46"/>
      <c r="BT972" s="46"/>
      <c r="BV972" s="46"/>
      <c r="BW972" s="46"/>
      <c r="BX972" s="46"/>
    </row>
    <row r="973" spans="2:76" ht="15.75" customHeight="1">
      <c r="B973" s="46"/>
      <c r="BE973" s="46"/>
      <c r="BF973" s="46"/>
      <c r="BR973" s="46"/>
      <c r="BT973" s="46"/>
      <c r="BV973" s="46"/>
      <c r="BW973" s="46"/>
      <c r="BX973" s="46"/>
    </row>
    <row r="974" spans="2:76" ht="15.75" customHeight="1">
      <c r="B974" s="46"/>
      <c r="BE974" s="46"/>
      <c r="BF974" s="46"/>
      <c r="BR974" s="46"/>
      <c r="BT974" s="46"/>
      <c r="BV974" s="46"/>
      <c r="BW974" s="46"/>
      <c r="BX974" s="46"/>
    </row>
    <row r="975" spans="2:76" ht="15.75" customHeight="1">
      <c r="B975" s="46"/>
      <c r="BE975" s="46"/>
      <c r="BF975" s="46"/>
      <c r="BR975" s="46"/>
      <c r="BT975" s="46"/>
      <c r="BV975" s="46"/>
      <c r="BW975" s="46"/>
      <c r="BX975" s="46"/>
    </row>
    <row r="976" spans="2:76" ht="15.75" customHeight="1">
      <c r="B976" s="46"/>
      <c r="BE976" s="46"/>
      <c r="BF976" s="46"/>
      <c r="BR976" s="46"/>
      <c r="BT976" s="46"/>
      <c r="BV976" s="46"/>
      <c r="BW976" s="46"/>
      <c r="BX976" s="46"/>
    </row>
    <row r="977" spans="2:76" ht="15.75" customHeight="1">
      <c r="B977" s="46"/>
      <c r="BE977" s="46"/>
      <c r="BF977" s="46"/>
      <c r="BR977" s="46"/>
      <c r="BT977" s="46"/>
      <c r="BV977" s="46"/>
      <c r="BW977" s="46"/>
      <c r="BX977" s="46"/>
    </row>
    <row r="978" spans="2:76" ht="15.75" customHeight="1">
      <c r="B978" s="46"/>
      <c r="BE978" s="46"/>
      <c r="BF978" s="46"/>
      <c r="BR978" s="46"/>
      <c r="BT978" s="46"/>
      <c r="BV978" s="46"/>
      <c r="BW978" s="46"/>
      <c r="BX978" s="46"/>
    </row>
    <row r="979" spans="2:76" ht="15.75" customHeight="1">
      <c r="B979" s="46"/>
      <c r="BE979" s="46"/>
      <c r="BF979" s="46"/>
      <c r="BR979" s="46"/>
      <c r="BT979" s="46"/>
      <c r="BV979" s="46"/>
      <c r="BW979" s="46"/>
      <c r="BX979" s="46"/>
    </row>
    <row r="980" spans="2:76" ht="15.75" customHeight="1">
      <c r="B980" s="46"/>
      <c r="BE980" s="46"/>
      <c r="BF980" s="46"/>
      <c r="BR980" s="46"/>
      <c r="BT980" s="46"/>
      <c r="BV980" s="46"/>
      <c r="BW980" s="46"/>
      <c r="BX980" s="46"/>
    </row>
    <row r="981" spans="2:76" ht="15.75" customHeight="1">
      <c r="B981" s="46"/>
      <c r="BE981" s="46"/>
      <c r="BF981" s="46"/>
      <c r="BR981" s="46"/>
      <c r="BT981" s="46"/>
      <c r="BV981" s="46"/>
      <c r="BW981" s="46"/>
      <c r="BX981" s="46"/>
    </row>
    <row r="982" spans="2:76" ht="15.75" customHeight="1">
      <c r="B982" s="46"/>
      <c r="BE982" s="46"/>
      <c r="BF982" s="46"/>
      <c r="BR982" s="46"/>
      <c r="BT982" s="46"/>
      <c r="BV982" s="46"/>
      <c r="BW982" s="46"/>
      <c r="BX982" s="46"/>
    </row>
    <row r="983" spans="2:76" ht="15.75" customHeight="1">
      <c r="B983" s="46"/>
      <c r="BE983" s="46"/>
      <c r="BF983" s="46"/>
      <c r="BR983" s="46"/>
      <c r="BT983" s="46"/>
      <c r="BV983" s="46"/>
      <c r="BW983" s="46"/>
      <c r="BX983" s="46"/>
    </row>
    <row r="984" spans="2:76" ht="15.75" customHeight="1">
      <c r="B984" s="46"/>
      <c r="BE984" s="46"/>
      <c r="BF984" s="46"/>
      <c r="BR984" s="46"/>
      <c r="BT984" s="46"/>
      <c r="BV984" s="46"/>
      <c r="BW984" s="46"/>
      <c r="BX984" s="46"/>
    </row>
    <row r="985" spans="2:76" ht="15.75" customHeight="1">
      <c r="B985" s="46"/>
      <c r="BE985" s="46"/>
      <c r="BF985" s="46"/>
      <c r="BR985" s="46"/>
      <c r="BT985" s="46"/>
      <c r="BV985" s="46"/>
      <c r="BW985" s="46"/>
      <c r="BX985" s="46"/>
    </row>
    <row r="986" spans="2:76" ht="15.75" customHeight="1">
      <c r="B986" s="46"/>
      <c r="BE986" s="46"/>
      <c r="BF986" s="46"/>
      <c r="BR986" s="46"/>
      <c r="BT986" s="46"/>
      <c r="BV986" s="46"/>
      <c r="BW986" s="46"/>
      <c r="BX986" s="46"/>
    </row>
    <row r="987" spans="2:76" ht="15.75" customHeight="1">
      <c r="B987" s="46"/>
      <c r="BE987" s="46"/>
      <c r="BF987" s="46"/>
      <c r="BR987" s="46"/>
      <c r="BT987" s="46"/>
      <c r="BV987" s="46"/>
      <c r="BW987" s="46"/>
      <c r="BX987" s="46"/>
    </row>
    <row r="988" spans="2:76" ht="15.75" customHeight="1">
      <c r="B988" s="46"/>
      <c r="BE988" s="46"/>
      <c r="BF988" s="46"/>
      <c r="BR988" s="46"/>
      <c r="BT988" s="46"/>
      <c r="BV988" s="46"/>
      <c r="BW988" s="46"/>
      <c r="BX988" s="46"/>
    </row>
    <row r="989" spans="2:76" ht="15.75" customHeight="1">
      <c r="B989" s="46"/>
      <c r="BE989" s="46"/>
      <c r="BF989" s="46"/>
      <c r="BR989" s="46"/>
      <c r="BT989" s="46"/>
      <c r="BV989" s="46"/>
      <c r="BW989" s="46"/>
      <c r="BX989" s="46"/>
    </row>
    <row r="990" spans="2:76" ht="15.75" customHeight="1">
      <c r="B990" s="46"/>
      <c r="BE990" s="46"/>
      <c r="BF990" s="46"/>
      <c r="BR990" s="46"/>
      <c r="BT990" s="46"/>
      <c r="BV990" s="46"/>
      <c r="BW990" s="46"/>
      <c r="BX990" s="46"/>
    </row>
    <row r="991" spans="2:76" ht="15.75" customHeight="1">
      <c r="B991" s="46"/>
      <c r="BE991" s="46"/>
      <c r="BF991" s="46"/>
      <c r="BR991" s="46"/>
      <c r="BT991" s="46"/>
      <c r="BV991" s="46"/>
      <c r="BW991" s="46"/>
      <c r="BX991" s="46"/>
    </row>
    <row r="992" spans="2:76" ht="15.75" customHeight="1">
      <c r="B992" s="46"/>
      <c r="BE992" s="46"/>
      <c r="BF992" s="46"/>
      <c r="BR992" s="46"/>
      <c r="BT992" s="46"/>
      <c r="BV992" s="46"/>
      <c r="BW992" s="46"/>
      <c r="BX992" s="46"/>
    </row>
    <row r="993" spans="2:76" ht="15.75" customHeight="1">
      <c r="B993" s="46"/>
      <c r="BE993" s="46"/>
      <c r="BF993" s="46"/>
      <c r="BR993" s="46"/>
      <c r="BT993" s="46"/>
      <c r="BV993" s="46"/>
      <c r="BW993" s="46"/>
      <c r="BX993" s="46"/>
    </row>
    <row r="994" spans="2:76" ht="15.75" customHeight="1">
      <c r="B994" s="46"/>
      <c r="BE994" s="46"/>
      <c r="BF994" s="46"/>
      <c r="BR994" s="46"/>
      <c r="BT994" s="46"/>
      <c r="BV994" s="46"/>
      <c r="BW994" s="46"/>
      <c r="BX994" s="46"/>
    </row>
    <row r="995" spans="2:76" ht="15.75" customHeight="1">
      <c r="B995" s="46"/>
      <c r="BE995" s="46"/>
      <c r="BF995" s="46"/>
      <c r="BR995" s="46"/>
      <c r="BT995" s="46"/>
      <c r="BV995" s="46"/>
      <c r="BW995" s="46"/>
      <c r="BX995" s="46"/>
    </row>
    <row r="996" spans="2:76" ht="15.75" customHeight="1">
      <c r="B996" s="46"/>
      <c r="BE996" s="46"/>
      <c r="BF996" s="46"/>
      <c r="BR996" s="46"/>
      <c r="BT996" s="46"/>
      <c r="BV996" s="46"/>
      <c r="BW996" s="46"/>
      <c r="BX996" s="46"/>
    </row>
    <row r="997" spans="2:76" ht="15.75" customHeight="1">
      <c r="B997" s="46"/>
      <c r="BE997" s="46"/>
      <c r="BF997" s="46"/>
      <c r="BR997" s="46"/>
      <c r="BT997" s="46"/>
      <c r="BV997" s="46"/>
      <c r="BW997" s="46"/>
      <c r="BX997" s="46"/>
    </row>
    <row r="998" spans="2:76" ht="15.75" customHeight="1">
      <c r="B998" s="46"/>
      <c r="BE998" s="46"/>
      <c r="BF998" s="46"/>
      <c r="BR998" s="46"/>
      <c r="BT998" s="46"/>
      <c r="BV998" s="46"/>
      <c r="BW998" s="46"/>
      <c r="BX998" s="46"/>
    </row>
    <row r="999" spans="2:76" ht="15.75" customHeight="1">
      <c r="B999" s="46"/>
      <c r="BE999" s="46"/>
      <c r="BF999" s="46"/>
      <c r="BR999" s="46"/>
      <c r="BT999" s="46"/>
      <c r="BV999" s="46"/>
      <c r="BW999" s="46"/>
      <c r="BX999" s="46"/>
    </row>
    <row r="1000" spans="2:76" ht="15.75" customHeight="1">
      <c r="B1000" s="46"/>
      <c r="BE1000" s="46"/>
      <c r="BF1000" s="46"/>
      <c r="BR1000" s="46"/>
      <c r="BT1000" s="46"/>
      <c r="BV1000" s="46"/>
      <c r="BW1000" s="46"/>
      <c r="BX1000" s="46"/>
    </row>
  </sheetData>
  <mergeCells count="31">
    <mergeCell ref="BZ7:BZ8"/>
    <mergeCell ref="CA7:CA8"/>
    <mergeCell ref="CB7:CB8"/>
    <mergeCell ref="BP7:BP8"/>
    <mergeCell ref="BQ7:BQ8"/>
    <mergeCell ref="BR7:BR8"/>
    <mergeCell ref="BS7:BS8"/>
    <mergeCell ref="BT7:BT8"/>
    <mergeCell ref="BV7:BX7"/>
    <mergeCell ref="BY7:BY8"/>
    <mergeCell ref="BK6:BT6"/>
    <mergeCell ref="BU6:CA6"/>
    <mergeCell ref="A1:BH1"/>
    <mergeCell ref="A2:BH2"/>
    <mergeCell ref="BJ2:BJ53"/>
    <mergeCell ref="A3:C3"/>
    <mergeCell ref="BE3:BE4"/>
    <mergeCell ref="BF3:BF4"/>
    <mergeCell ref="BI3:BI4"/>
    <mergeCell ref="BG3:BG4"/>
    <mergeCell ref="BH3:BH4"/>
    <mergeCell ref="BK7:BK8"/>
    <mergeCell ref="BL7:BL8"/>
    <mergeCell ref="BM7:BM8"/>
    <mergeCell ref="BN7:BN8"/>
    <mergeCell ref="BO7:BO8"/>
    <mergeCell ref="BK2:CA2"/>
    <mergeCell ref="BK3:CA3"/>
    <mergeCell ref="BK4:CA4"/>
    <mergeCell ref="BK5:BT5"/>
    <mergeCell ref="BU5:CA5"/>
  </mergeCells>
  <conditionalFormatting sqref="BP9:BP66">
    <cfRule type="cellIs" dxfId="13" priority="1" operator="lessThan">
      <formula>75</formula>
    </cfRule>
  </conditionalFormatting>
  <conditionalFormatting sqref="CA9:CB66">
    <cfRule type="cellIs" dxfId="12" priority="2" operator="lessThan">
      <formula>16</formula>
    </cfRule>
  </conditionalFormatting>
  <pageMargins left="0.25" right="0.25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X989"/>
  <sheetViews>
    <sheetView workbookViewId="0"/>
  </sheetViews>
  <sheetFormatPr defaultColWidth="14.44140625" defaultRowHeight="15" customHeight="1"/>
  <cols>
    <col min="1" max="1" width="5.33203125" customWidth="1"/>
    <col min="2" max="2" width="17.44140625" customWidth="1"/>
    <col min="3" max="3" width="25" customWidth="1"/>
    <col min="4" max="55" width="4.6640625" hidden="1" customWidth="1"/>
    <col min="56" max="63" width="8.6640625" customWidth="1"/>
    <col min="64" max="64" width="19.33203125" customWidth="1"/>
    <col min="65" max="68" width="8.6640625" customWidth="1"/>
    <col min="69" max="69" width="9.109375" customWidth="1"/>
    <col min="70" max="70" width="13.33203125" customWidth="1"/>
    <col min="71" max="71" width="15.5546875" customWidth="1"/>
    <col min="72" max="74" width="8.6640625" customWidth="1"/>
    <col min="75" max="75" width="17.6640625" customWidth="1"/>
    <col min="76" max="76" width="14.33203125" customWidth="1"/>
  </cols>
  <sheetData>
    <row r="1" spans="1:76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24"/>
      <c r="BI1" s="24"/>
      <c r="BJ1" s="40"/>
      <c r="BK1" s="24"/>
      <c r="BL1" s="24"/>
      <c r="BM1" s="24"/>
      <c r="BN1" s="24"/>
      <c r="BO1" s="24"/>
      <c r="BP1" s="24"/>
      <c r="BQ1" s="40"/>
      <c r="BR1" s="24"/>
      <c r="BS1" s="24"/>
      <c r="BT1" s="139"/>
      <c r="BU1" s="139"/>
      <c r="BV1" s="139"/>
      <c r="BW1" s="24"/>
      <c r="BX1" s="24"/>
    </row>
    <row r="2" spans="1:76" ht="18">
      <c r="A2" s="372" t="s">
        <v>120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24"/>
      <c r="BI2" s="387"/>
      <c r="BJ2" s="384" t="s">
        <v>93</v>
      </c>
      <c r="BK2" s="358"/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BW2" s="358"/>
      <c r="BX2" s="359"/>
    </row>
    <row r="3" spans="1:76" ht="66.75" customHeight="1">
      <c r="A3" s="375" t="s">
        <v>1</v>
      </c>
      <c r="B3" s="358"/>
      <c r="C3" s="359"/>
      <c r="D3" s="92" t="s">
        <v>121</v>
      </c>
      <c r="E3" s="92" t="s">
        <v>122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1"/>
      <c r="AQ3" s="91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1"/>
      <c r="BC3" s="91"/>
      <c r="BD3" s="376" t="s">
        <v>96</v>
      </c>
      <c r="BE3" s="376" t="s">
        <v>97</v>
      </c>
      <c r="BF3" s="376" t="s">
        <v>98</v>
      </c>
      <c r="BG3" s="376" t="s">
        <v>99</v>
      </c>
      <c r="BH3" s="378" t="s">
        <v>100</v>
      </c>
      <c r="BI3" s="348"/>
      <c r="BJ3" s="385" t="s">
        <v>101</v>
      </c>
      <c r="BK3" s="358"/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9"/>
    </row>
    <row r="4" spans="1:76" ht="21" customHeight="1">
      <c r="A4" s="94" t="s">
        <v>12</v>
      </c>
      <c r="B4" s="94" t="s">
        <v>13</v>
      </c>
      <c r="C4" s="95" t="s">
        <v>14</v>
      </c>
      <c r="D4" s="96">
        <v>1</v>
      </c>
      <c r="E4" s="96">
        <v>2</v>
      </c>
      <c r="F4" s="96">
        <v>3</v>
      </c>
      <c r="G4" s="96">
        <v>4</v>
      </c>
      <c r="H4" s="96">
        <v>5</v>
      </c>
      <c r="I4" s="96">
        <v>6</v>
      </c>
      <c r="J4" s="96">
        <v>7</v>
      </c>
      <c r="K4" s="96">
        <v>8</v>
      </c>
      <c r="L4" s="96">
        <v>9</v>
      </c>
      <c r="M4" s="96">
        <v>10</v>
      </c>
      <c r="N4" s="96">
        <v>11</v>
      </c>
      <c r="O4" s="96">
        <v>12</v>
      </c>
      <c r="P4" s="96">
        <v>13</v>
      </c>
      <c r="Q4" s="96">
        <v>14</v>
      </c>
      <c r="R4" s="96">
        <v>15</v>
      </c>
      <c r="S4" s="96">
        <v>16</v>
      </c>
      <c r="T4" s="96">
        <v>17</v>
      </c>
      <c r="U4" s="96">
        <v>18</v>
      </c>
      <c r="V4" s="96">
        <v>19</v>
      </c>
      <c r="W4" s="96">
        <v>20</v>
      </c>
      <c r="X4" s="96">
        <v>21</v>
      </c>
      <c r="Y4" s="96">
        <v>22</v>
      </c>
      <c r="Z4" s="96">
        <v>23</v>
      </c>
      <c r="AA4" s="96">
        <v>24</v>
      </c>
      <c r="AB4" s="96">
        <v>25</v>
      </c>
      <c r="AC4" s="96">
        <v>26</v>
      </c>
      <c r="AD4" s="96">
        <v>27</v>
      </c>
      <c r="AE4" s="96">
        <v>28</v>
      </c>
      <c r="AF4" s="96">
        <v>29</v>
      </c>
      <c r="AG4" s="96">
        <v>30</v>
      </c>
      <c r="AH4" s="96">
        <v>31</v>
      </c>
      <c r="AI4" s="96">
        <v>32</v>
      </c>
      <c r="AJ4" s="96">
        <v>33</v>
      </c>
      <c r="AK4" s="96">
        <v>34</v>
      </c>
      <c r="AL4" s="96">
        <v>35</v>
      </c>
      <c r="AM4" s="96">
        <v>36</v>
      </c>
      <c r="AN4" s="96">
        <v>37</v>
      </c>
      <c r="AO4" s="96">
        <v>38</v>
      </c>
      <c r="AP4" s="96">
        <v>39</v>
      </c>
      <c r="AQ4" s="96">
        <v>40</v>
      </c>
      <c r="AR4" s="96">
        <v>41</v>
      </c>
      <c r="AS4" s="96">
        <v>42</v>
      </c>
      <c r="AT4" s="96">
        <v>43</v>
      </c>
      <c r="AU4" s="96">
        <v>44</v>
      </c>
      <c r="AV4" s="96">
        <v>45</v>
      </c>
      <c r="AW4" s="96">
        <v>46</v>
      </c>
      <c r="AX4" s="96">
        <v>47</v>
      </c>
      <c r="AY4" s="96">
        <v>48</v>
      </c>
      <c r="AZ4" s="96">
        <v>49</v>
      </c>
      <c r="BA4" s="96">
        <v>50</v>
      </c>
      <c r="BB4" s="96">
        <v>51</v>
      </c>
      <c r="BC4" s="96">
        <v>52</v>
      </c>
      <c r="BD4" s="377"/>
      <c r="BE4" s="377"/>
      <c r="BF4" s="377"/>
      <c r="BG4" s="377"/>
      <c r="BH4" s="377"/>
      <c r="BI4" s="348"/>
      <c r="BJ4" s="385" t="s">
        <v>102</v>
      </c>
      <c r="BK4" s="358"/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9"/>
    </row>
    <row r="5" spans="1:76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96" t="s">
        <v>123</v>
      </c>
      <c r="E5" s="96" t="s">
        <v>124</v>
      </c>
      <c r="F5" s="96">
        <v>3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88">
        <v>14</v>
      </c>
      <c r="BE5" s="140">
        <v>5</v>
      </c>
      <c r="BF5" s="88">
        <f t="shared" ref="BF5:BF45" si="0">BD5+BE5</f>
        <v>19</v>
      </c>
      <c r="BG5" s="88">
        <v>41</v>
      </c>
      <c r="BH5" s="101">
        <f t="shared" ref="BH5:BH62" si="1">BF5/BG5</f>
        <v>0.46341463414634149</v>
      </c>
      <c r="BI5" s="348"/>
      <c r="BJ5" s="386" t="s">
        <v>103</v>
      </c>
      <c r="BK5" s="358"/>
      <c r="BL5" s="358"/>
      <c r="BM5" s="358"/>
      <c r="BN5" s="358"/>
      <c r="BO5" s="358"/>
      <c r="BP5" s="358"/>
      <c r="BQ5" s="358"/>
      <c r="BR5" s="359"/>
      <c r="BS5" s="386" t="s">
        <v>104</v>
      </c>
      <c r="BT5" s="358"/>
      <c r="BU5" s="358"/>
      <c r="BV5" s="358"/>
      <c r="BW5" s="358"/>
      <c r="BX5" s="359"/>
    </row>
    <row r="6" spans="1:76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96" t="s">
        <v>124</v>
      </c>
      <c r="E6" s="96" t="s">
        <v>124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88">
        <v>33</v>
      </c>
      <c r="BE6" s="141"/>
      <c r="BF6" s="88">
        <f t="shared" si="0"/>
        <v>33</v>
      </c>
      <c r="BG6" s="88">
        <v>41</v>
      </c>
      <c r="BH6" s="101">
        <f t="shared" si="1"/>
        <v>0.80487804878048785</v>
      </c>
      <c r="BI6" s="348"/>
      <c r="BJ6" s="386" t="s">
        <v>125</v>
      </c>
      <c r="BK6" s="358"/>
      <c r="BL6" s="358"/>
      <c r="BM6" s="358"/>
      <c r="BN6" s="358"/>
      <c r="BO6" s="358"/>
      <c r="BP6" s="358"/>
      <c r="BQ6" s="358"/>
      <c r="BR6" s="359"/>
      <c r="BS6" s="386" t="s">
        <v>126</v>
      </c>
      <c r="BT6" s="358"/>
      <c r="BU6" s="358"/>
      <c r="BV6" s="358"/>
      <c r="BW6" s="358"/>
      <c r="BX6" s="359"/>
    </row>
    <row r="7" spans="1:76" ht="41.25" customHeight="1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96" t="s">
        <v>124</v>
      </c>
      <c r="E7" s="96" t="s">
        <v>124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88">
        <v>33</v>
      </c>
      <c r="BE7" s="142"/>
      <c r="BF7" s="88">
        <f t="shared" si="0"/>
        <v>33</v>
      </c>
      <c r="BG7" s="88">
        <v>41</v>
      </c>
      <c r="BH7" s="101">
        <f t="shared" si="1"/>
        <v>0.80487804878048785</v>
      </c>
      <c r="BI7" s="348"/>
      <c r="BJ7" s="389" t="s">
        <v>12</v>
      </c>
      <c r="BK7" s="389" t="s">
        <v>13</v>
      </c>
      <c r="BL7" s="389" t="s">
        <v>14</v>
      </c>
      <c r="BM7" s="389" t="s">
        <v>107</v>
      </c>
      <c r="BN7" s="389" t="s">
        <v>108</v>
      </c>
      <c r="BO7" s="388" t="s">
        <v>109</v>
      </c>
      <c r="BP7" s="389" t="s">
        <v>110</v>
      </c>
      <c r="BQ7" s="389" t="s">
        <v>111</v>
      </c>
      <c r="BR7" s="389" t="s">
        <v>113</v>
      </c>
      <c r="BS7" s="143" t="s">
        <v>114</v>
      </c>
      <c r="BT7" s="390" t="s">
        <v>115</v>
      </c>
      <c r="BU7" s="358"/>
      <c r="BV7" s="359"/>
      <c r="BW7" s="391" t="s">
        <v>116</v>
      </c>
      <c r="BX7" s="389" t="s">
        <v>118</v>
      </c>
    </row>
    <row r="8" spans="1:76" ht="27.6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96" t="s">
        <v>123</v>
      </c>
      <c r="E8" s="96" t="s">
        <v>123</v>
      </c>
      <c r="F8" s="96" t="s">
        <v>123</v>
      </c>
      <c r="G8" s="96" t="s">
        <v>123</v>
      </c>
      <c r="H8" s="96" t="s">
        <v>123</v>
      </c>
      <c r="I8" s="96" t="s">
        <v>123</v>
      </c>
      <c r="J8" s="96" t="s">
        <v>123</v>
      </c>
      <c r="K8" s="96" t="s">
        <v>123</v>
      </c>
      <c r="L8" s="96" t="s">
        <v>123</v>
      </c>
      <c r="M8" s="96" t="s">
        <v>123</v>
      </c>
      <c r="N8" s="96" t="s">
        <v>123</v>
      </c>
      <c r="O8" s="96" t="s">
        <v>123</v>
      </c>
      <c r="P8" s="96" t="s">
        <v>123</v>
      </c>
      <c r="Q8" s="96" t="s">
        <v>123</v>
      </c>
      <c r="R8" s="96" t="s">
        <v>123</v>
      </c>
      <c r="S8" s="96" t="s">
        <v>123</v>
      </c>
      <c r="T8" s="96" t="s">
        <v>123</v>
      </c>
      <c r="U8" s="96" t="s">
        <v>123</v>
      </c>
      <c r="V8" s="96" t="s">
        <v>123</v>
      </c>
      <c r="W8" s="96" t="s">
        <v>123</v>
      </c>
      <c r="X8" s="96" t="s">
        <v>123</v>
      </c>
      <c r="Y8" s="96" t="s">
        <v>123</v>
      </c>
      <c r="Z8" s="96" t="s">
        <v>123</v>
      </c>
      <c r="AA8" s="96" t="s">
        <v>123</v>
      </c>
      <c r="AB8" s="96" t="s">
        <v>123</v>
      </c>
      <c r="AC8" s="96" t="s">
        <v>123</v>
      </c>
      <c r="AD8" s="96" t="s">
        <v>123</v>
      </c>
      <c r="AE8" s="96" t="s">
        <v>123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144">
        <v>0</v>
      </c>
      <c r="BE8" s="142"/>
      <c r="BF8" s="88">
        <f t="shared" si="0"/>
        <v>0</v>
      </c>
      <c r="BG8" s="88">
        <v>41</v>
      </c>
      <c r="BH8" s="101">
        <f t="shared" si="1"/>
        <v>0</v>
      </c>
      <c r="BI8" s="348"/>
      <c r="BJ8" s="377"/>
      <c r="BK8" s="377"/>
      <c r="BL8" s="377"/>
      <c r="BM8" s="377"/>
      <c r="BN8" s="377"/>
      <c r="BO8" s="377"/>
      <c r="BP8" s="377"/>
      <c r="BQ8" s="377"/>
      <c r="BR8" s="377"/>
      <c r="BS8" s="143" t="s">
        <v>119</v>
      </c>
      <c r="BT8" s="145">
        <v>1</v>
      </c>
      <c r="BU8" s="145">
        <v>2</v>
      </c>
      <c r="BV8" s="145">
        <v>3</v>
      </c>
      <c r="BW8" s="377"/>
      <c r="BX8" s="377"/>
    </row>
    <row r="9" spans="1:76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96" t="s">
        <v>124</v>
      </c>
      <c r="E9" s="96" t="s">
        <v>124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88">
        <v>34</v>
      </c>
      <c r="BE9" s="146">
        <v>5</v>
      </c>
      <c r="BF9" s="88">
        <f t="shared" si="0"/>
        <v>39</v>
      </c>
      <c r="BG9" s="88">
        <v>41</v>
      </c>
      <c r="BH9" s="101">
        <f t="shared" si="1"/>
        <v>0.95121951219512191</v>
      </c>
      <c r="BI9" s="348"/>
      <c r="BJ9" s="105">
        <f>OVERALL!A4</f>
        <v>1</v>
      </c>
      <c r="BK9" s="105">
        <f>OVERALL!B4</f>
        <v>2301236</v>
      </c>
      <c r="BL9" s="106" t="str">
        <f>OVERALL!C4</f>
        <v>Manmohan Singh</v>
      </c>
      <c r="BM9" s="147">
        <f t="shared" ref="BM9:BM66" si="2">BG5</f>
        <v>41</v>
      </c>
      <c r="BN9" s="147">
        <f t="shared" ref="BN9:BN66" si="3">BF5</f>
        <v>19</v>
      </c>
      <c r="BO9" s="148">
        <f t="shared" ref="BO9:BO66" si="4">BN9/BM9%</f>
        <v>46.341463414634148</v>
      </c>
      <c r="BP9" s="147" t="str">
        <f t="shared" ref="BP9:BP66" si="5">IF(BO9&gt;=95.5,"6",IF(BO9&gt;=90.5,"5", IF(BO9&gt;=85.5,"4",IF(BO9&gt;=80.5,"3",IF(BO9&gt;=75.5,"2","0")))))</f>
        <v>0</v>
      </c>
      <c r="BQ9" s="149">
        <v>13</v>
      </c>
      <c r="BR9" s="149">
        <v>8</v>
      </c>
      <c r="BS9" s="147">
        <f t="shared" ref="BS9:BS66" si="6">AVERAGE(BQ9:BR9)</f>
        <v>10.5</v>
      </c>
      <c r="BT9" s="150">
        <v>9</v>
      </c>
      <c r="BU9" s="150">
        <v>0</v>
      </c>
      <c r="BV9" s="150">
        <v>10</v>
      </c>
      <c r="BW9" s="148">
        <f t="shared" ref="BW9:BW66" si="7">AVERAGE(BT9:BV9)</f>
        <v>6.333333333333333</v>
      </c>
      <c r="BX9" s="151">
        <f t="shared" ref="BX9:BX66" si="8">ROUND(BP9+BS9+BW9,0)</f>
        <v>17</v>
      </c>
    </row>
    <row r="10" spans="1:76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96" t="s">
        <v>124</v>
      </c>
      <c r="E10" s="96" t="s">
        <v>124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88">
        <v>38</v>
      </c>
      <c r="BE10" s="142"/>
      <c r="BF10" s="88">
        <f t="shared" si="0"/>
        <v>38</v>
      </c>
      <c r="BG10" s="88">
        <v>41</v>
      </c>
      <c r="BH10" s="101">
        <f t="shared" si="1"/>
        <v>0.92682926829268297</v>
      </c>
      <c r="BI10" s="348"/>
      <c r="BJ10" s="105">
        <f>OVERALL!A5</f>
        <v>2</v>
      </c>
      <c r="BK10" s="105">
        <f>OVERALL!B5</f>
        <v>2301237</v>
      </c>
      <c r="BL10" s="106" t="str">
        <f>OVERALL!C5</f>
        <v>Manpreet Kaur</v>
      </c>
      <c r="BM10" s="147">
        <f t="shared" si="2"/>
        <v>41</v>
      </c>
      <c r="BN10" s="147">
        <f t="shared" si="3"/>
        <v>33</v>
      </c>
      <c r="BO10" s="148">
        <f t="shared" si="4"/>
        <v>80.487804878048792</v>
      </c>
      <c r="BP10" s="147" t="str">
        <f t="shared" si="5"/>
        <v>2</v>
      </c>
      <c r="BQ10" s="149">
        <v>24</v>
      </c>
      <c r="BR10" s="149">
        <v>20</v>
      </c>
      <c r="BS10" s="147">
        <f t="shared" si="6"/>
        <v>22</v>
      </c>
      <c r="BT10" s="150">
        <v>9</v>
      </c>
      <c r="BU10" s="150">
        <v>10</v>
      </c>
      <c r="BV10" s="150">
        <v>9</v>
      </c>
      <c r="BW10" s="148">
        <f t="shared" si="7"/>
        <v>9.3333333333333339</v>
      </c>
      <c r="BX10" s="151">
        <f t="shared" si="8"/>
        <v>33</v>
      </c>
    </row>
    <row r="11" spans="1:76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96" t="s">
        <v>124</v>
      </c>
      <c r="E11" s="96" t="s">
        <v>124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88">
        <v>30</v>
      </c>
      <c r="BE11" s="146">
        <v>5</v>
      </c>
      <c r="BF11" s="88">
        <f t="shared" si="0"/>
        <v>35</v>
      </c>
      <c r="BG11" s="88">
        <v>41</v>
      </c>
      <c r="BH11" s="101">
        <f t="shared" si="1"/>
        <v>0.85365853658536583</v>
      </c>
      <c r="BI11" s="348"/>
      <c r="BJ11" s="105">
        <f>OVERALL!A6</f>
        <v>3</v>
      </c>
      <c r="BK11" s="105">
        <f>OVERALL!B6</f>
        <v>2301238</v>
      </c>
      <c r="BL11" s="106" t="str">
        <f>OVERALL!C6</f>
        <v>Md Warish Chesam</v>
      </c>
      <c r="BM11" s="147">
        <f t="shared" si="2"/>
        <v>41</v>
      </c>
      <c r="BN11" s="147">
        <f t="shared" si="3"/>
        <v>33</v>
      </c>
      <c r="BO11" s="148">
        <f t="shared" si="4"/>
        <v>80.487804878048792</v>
      </c>
      <c r="BP11" s="147" t="str">
        <f t="shared" si="5"/>
        <v>2</v>
      </c>
      <c r="BQ11" s="149">
        <v>14</v>
      </c>
      <c r="BR11" s="149">
        <v>10</v>
      </c>
      <c r="BS11" s="147">
        <f t="shared" si="6"/>
        <v>12</v>
      </c>
      <c r="BT11" s="150">
        <v>8</v>
      </c>
      <c r="BU11" s="150">
        <v>8</v>
      </c>
      <c r="BV11" s="150">
        <v>10</v>
      </c>
      <c r="BW11" s="148">
        <f t="shared" si="7"/>
        <v>8.6666666666666661</v>
      </c>
      <c r="BX11" s="151">
        <f t="shared" si="8"/>
        <v>23</v>
      </c>
    </row>
    <row r="12" spans="1:76" ht="15.6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96" t="s">
        <v>124</v>
      </c>
      <c r="E12" s="96" t="s">
        <v>124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88">
        <v>29</v>
      </c>
      <c r="BE12" s="142"/>
      <c r="BF12" s="88">
        <f t="shared" si="0"/>
        <v>29</v>
      </c>
      <c r="BG12" s="88">
        <v>41</v>
      </c>
      <c r="BH12" s="101">
        <f t="shared" si="1"/>
        <v>0.70731707317073167</v>
      </c>
      <c r="BI12" s="348"/>
      <c r="BJ12" s="105">
        <f>OVERALL!A7</f>
        <v>4</v>
      </c>
      <c r="BK12" s="105">
        <f>OVERALL!B7</f>
        <v>2301239</v>
      </c>
      <c r="BL12" s="106" t="str">
        <f>OVERALL!C7</f>
        <v>Mohd Shahid Afridi</v>
      </c>
      <c r="BM12" s="147">
        <f t="shared" si="2"/>
        <v>41</v>
      </c>
      <c r="BN12" s="147">
        <f t="shared" si="3"/>
        <v>0</v>
      </c>
      <c r="BO12" s="148">
        <f t="shared" si="4"/>
        <v>0</v>
      </c>
      <c r="BP12" s="147" t="str">
        <f t="shared" si="5"/>
        <v>0</v>
      </c>
      <c r="BQ12" s="149">
        <v>0</v>
      </c>
      <c r="BR12" s="149">
        <v>0</v>
      </c>
      <c r="BS12" s="147">
        <f t="shared" si="6"/>
        <v>0</v>
      </c>
      <c r="BT12" s="150">
        <v>0</v>
      </c>
      <c r="BU12" s="150">
        <v>0</v>
      </c>
      <c r="BV12" s="150">
        <v>0</v>
      </c>
      <c r="BW12" s="148">
        <f t="shared" si="7"/>
        <v>0</v>
      </c>
      <c r="BX12" s="151">
        <f t="shared" si="8"/>
        <v>0</v>
      </c>
    </row>
    <row r="13" spans="1:76" ht="14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96" t="s">
        <v>123</v>
      </c>
      <c r="E13" s="96" t="s">
        <v>123</v>
      </c>
      <c r="F13" s="96" t="s">
        <v>123</v>
      </c>
      <c r="G13" s="96" t="s">
        <v>123</v>
      </c>
      <c r="H13" s="96" t="s">
        <v>123</v>
      </c>
      <c r="I13" s="96" t="s">
        <v>123</v>
      </c>
      <c r="J13" s="96" t="s">
        <v>123</v>
      </c>
      <c r="K13" s="96" t="s">
        <v>123</v>
      </c>
      <c r="L13" s="96" t="s">
        <v>123</v>
      </c>
      <c r="M13" s="96" t="s">
        <v>123</v>
      </c>
      <c r="N13" s="96" t="s">
        <v>123</v>
      </c>
      <c r="O13" s="96" t="s">
        <v>123</v>
      </c>
      <c r="P13" s="96" t="s">
        <v>123</v>
      </c>
      <c r="Q13" s="96" t="s">
        <v>123</v>
      </c>
      <c r="R13" s="96" t="s">
        <v>123</v>
      </c>
      <c r="S13" s="96" t="s">
        <v>123</v>
      </c>
      <c r="T13" s="96" t="s">
        <v>123</v>
      </c>
      <c r="U13" s="96" t="s">
        <v>123</v>
      </c>
      <c r="V13" s="96" t="s">
        <v>123</v>
      </c>
      <c r="W13" s="96" t="s">
        <v>123</v>
      </c>
      <c r="X13" s="96" t="s">
        <v>123</v>
      </c>
      <c r="Y13" s="96" t="s">
        <v>123</v>
      </c>
      <c r="Z13" s="96" t="s">
        <v>123</v>
      </c>
      <c r="AA13" s="96" t="s">
        <v>123</v>
      </c>
      <c r="AB13" s="96" t="s">
        <v>123</v>
      </c>
      <c r="AC13" s="96" t="s">
        <v>123</v>
      </c>
      <c r="AD13" s="96" t="s">
        <v>123</v>
      </c>
      <c r="AE13" s="96" t="s">
        <v>123</v>
      </c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88">
        <v>0</v>
      </c>
      <c r="BE13" s="142"/>
      <c r="BF13" s="88">
        <f t="shared" si="0"/>
        <v>0</v>
      </c>
      <c r="BG13" s="88">
        <v>41</v>
      </c>
      <c r="BH13" s="101">
        <f t="shared" si="1"/>
        <v>0</v>
      </c>
      <c r="BI13" s="348"/>
      <c r="BJ13" s="105">
        <f>OVERALL!A8</f>
        <v>5</v>
      </c>
      <c r="BK13" s="105">
        <f>OVERALL!B8</f>
        <v>2301240</v>
      </c>
      <c r="BL13" s="106" t="str">
        <f>OVERALL!C8</f>
        <v>Munisha</v>
      </c>
      <c r="BM13" s="147">
        <f t="shared" si="2"/>
        <v>41</v>
      </c>
      <c r="BN13" s="147">
        <f t="shared" si="3"/>
        <v>39</v>
      </c>
      <c r="BO13" s="148">
        <f t="shared" si="4"/>
        <v>95.121951219512198</v>
      </c>
      <c r="BP13" s="147" t="str">
        <f t="shared" si="5"/>
        <v>5</v>
      </c>
      <c r="BQ13" s="149">
        <v>19</v>
      </c>
      <c r="BR13" s="149">
        <v>12</v>
      </c>
      <c r="BS13" s="147">
        <f t="shared" si="6"/>
        <v>15.5</v>
      </c>
      <c r="BT13" s="150">
        <v>8</v>
      </c>
      <c r="BU13" s="150">
        <v>9</v>
      </c>
      <c r="BV13" s="150">
        <v>8</v>
      </c>
      <c r="BW13" s="148">
        <f t="shared" si="7"/>
        <v>8.3333333333333339</v>
      </c>
      <c r="BX13" s="151">
        <f t="shared" si="8"/>
        <v>29</v>
      </c>
    </row>
    <row r="14" spans="1:76" ht="31.2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96" t="s">
        <v>124</v>
      </c>
      <c r="E14" s="96" t="s">
        <v>124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88">
        <v>38</v>
      </c>
      <c r="BE14" s="146">
        <v>3</v>
      </c>
      <c r="BF14" s="88">
        <f t="shared" si="0"/>
        <v>41</v>
      </c>
      <c r="BG14" s="88">
        <v>41</v>
      </c>
      <c r="BH14" s="101">
        <f t="shared" si="1"/>
        <v>1</v>
      </c>
      <c r="BI14" s="348"/>
      <c r="BJ14" s="105">
        <f>OVERALL!A9</f>
        <v>6</v>
      </c>
      <c r="BK14" s="105">
        <f>OVERALL!B9</f>
        <v>2301241</v>
      </c>
      <c r="BL14" s="106" t="str">
        <f>OVERALL!C9</f>
        <v>Nikhil Kumar Thakur</v>
      </c>
      <c r="BM14" s="147">
        <f t="shared" si="2"/>
        <v>41</v>
      </c>
      <c r="BN14" s="147">
        <f t="shared" si="3"/>
        <v>38</v>
      </c>
      <c r="BO14" s="148">
        <f t="shared" si="4"/>
        <v>92.682926829268297</v>
      </c>
      <c r="BP14" s="147" t="str">
        <f t="shared" si="5"/>
        <v>5</v>
      </c>
      <c r="BQ14" s="149">
        <v>20</v>
      </c>
      <c r="BR14" s="149">
        <v>17</v>
      </c>
      <c r="BS14" s="147">
        <f t="shared" si="6"/>
        <v>18.5</v>
      </c>
      <c r="BT14" s="150">
        <v>8</v>
      </c>
      <c r="BU14" s="150">
        <v>9</v>
      </c>
      <c r="BV14" s="150">
        <v>10</v>
      </c>
      <c r="BW14" s="148">
        <f t="shared" si="7"/>
        <v>9</v>
      </c>
      <c r="BX14" s="151">
        <f t="shared" si="8"/>
        <v>33</v>
      </c>
    </row>
    <row r="15" spans="1:76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96" t="s">
        <v>124</v>
      </c>
      <c r="E15" s="96" t="s">
        <v>124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88">
        <v>27</v>
      </c>
      <c r="BE15" s="146">
        <v>6</v>
      </c>
      <c r="BF15" s="88">
        <f t="shared" si="0"/>
        <v>33</v>
      </c>
      <c r="BG15" s="88">
        <v>41</v>
      </c>
      <c r="BH15" s="101">
        <f t="shared" si="1"/>
        <v>0.80487804878048785</v>
      </c>
      <c r="BI15" s="348"/>
      <c r="BJ15" s="105">
        <f>OVERALL!A10</f>
        <v>7</v>
      </c>
      <c r="BK15" s="105">
        <f>OVERALL!B10</f>
        <v>2301242</v>
      </c>
      <c r="BL15" s="106" t="str">
        <f>OVERALL!C10</f>
        <v>Palak Pathania</v>
      </c>
      <c r="BM15" s="147">
        <f t="shared" si="2"/>
        <v>41</v>
      </c>
      <c r="BN15" s="147">
        <f t="shared" si="3"/>
        <v>35</v>
      </c>
      <c r="BO15" s="148">
        <f t="shared" si="4"/>
        <v>85.365853658536594</v>
      </c>
      <c r="BP15" s="147" t="str">
        <f t="shared" si="5"/>
        <v>3</v>
      </c>
      <c r="BQ15" s="149">
        <v>21</v>
      </c>
      <c r="BR15" s="149">
        <v>19</v>
      </c>
      <c r="BS15" s="147">
        <f t="shared" si="6"/>
        <v>20</v>
      </c>
      <c r="BT15" s="150">
        <v>9</v>
      </c>
      <c r="BU15" s="150">
        <v>8</v>
      </c>
      <c r="BV15" s="150">
        <v>10</v>
      </c>
      <c r="BW15" s="148">
        <f t="shared" si="7"/>
        <v>9</v>
      </c>
      <c r="BX15" s="151">
        <f t="shared" si="8"/>
        <v>32</v>
      </c>
    </row>
    <row r="16" spans="1:76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96" t="s">
        <v>123</v>
      </c>
      <c r="E16" s="96" t="s">
        <v>124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88">
        <v>0</v>
      </c>
      <c r="BE16" s="142"/>
      <c r="BF16" s="88">
        <f t="shared" si="0"/>
        <v>0</v>
      </c>
      <c r="BG16" s="88">
        <v>41</v>
      </c>
      <c r="BH16" s="101">
        <f t="shared" si="1"/>
        <v>0</v>
      </c>
      <c r="BI16" s="348"/>
      <c r="BJ16" s="105">
        <f>OVERALL!A11</f>
        <v>8</v>
      </c>
      <c r="BK16" s="105">
        <f>OVERALL!B11</f>
        <v>2301243</v>
      </c>
      <c r="BL16" s="106" t="str">
        <f>OVERALL!C11</f>
        <v>Pardeep Singh</v>
      </c>
      <c r="BM16" s="147">
        <f t="shared" si="2"/>
        <v>41</v>
      </c>
      <c r="BN16" s="147">
        <f t="shared" si="3"/>
        <v>29</v>
      </c>
      <c r="BO16" s="148">
        <f t="shared" si="4"/>
        <v>70.731707317073173</v>
      </c>
      <c r="BP16" s="147" t="str">
        <f t="shared" si="5"/>
        <v>0</v>
      </c>
      <c r="BQ16" s="149">
        <v>14</v>
      </c>
      <c r="BR16" s="149">
        <v>1</v>
      </c>
      <c r="BS16" s="147">
        <f t="shared" si="6"/>
        <v>7.5</v>
      </c>
      <c r="BT16" s="150">
        <v>8</v>
      </c>
      <c r="BU16" s="150">
        <v>8</v>
      </c>
      <c r="BV16" s="150">
        <v>10</v>
      </c>
      <c r="BW16" s="148">
        <f t="shared" si="7"/>
        <v>8.6666666666666661</v>
      </c>
      <c r="BX16" s="151">
        <f t="shared" si="8"/>
        <v>16</v>
      </c>
    </row>
    <row r="17" spans="1:76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96" t="s">
        <v>123</v>
      </c>
      <c r="E17" s="96" t="s">
        <v>124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88">
        <v>24</v>
      </c>
      <c r="BE17" s="146">
        <v>9</v>
      </c>
      <c r="BF17" s="88">
        <f t="shared" si="0"/>
        <v>33</v>
      </c>
      <c r="BG17" s="88">
        <v>41</v>
      </c>
      <c r="BH17" s="101">
        <f t="shared" si="1"/>
        <v>0.80487804878048785</v>
      </c>
      <c r="BI17" s="348"/>
      <c r="BJ17" s="105">
        <f>OVERALL!A12</f>
        <v>9</v>
      </c>
      <c r="BK17" s="105">
        <f>OVERALL!B12</f>
        <v>2301244</v>
      </c>
      <c r="BL17" s="106" t="str">
        <f>OVERALL!C12</f>
        <v>Parveen Mandal</v>
      </c>
      <c r="BM17" s="147">
        <f t="shared" si="2"/>
        <v>41</v>
      </c>
      <c r="BN17" s="147">
        <f t="shared" si="3"/>
        <v>0</v>
      </c>
      <c r="BO17" s="148">
        <f t="shared" si="4"/>
        <v>0</v>
      </c>
      <c r="BP17" s="147" t="str">
        <f t="shared" si="5"/>
        <v>0</v>
      </c>
      <c r="BQ17" s="149">
        <v>0</v>
      </c>
      <c r="BR17" s="149">
        <v>0</v>
      </c>
      <c r="BS17" s="147">
        <f t="shared" si="6"/>
        <v>0</v>
      </c>
      <c r="BT17" s="150">
        <v>0</v>
      </c>
      <c r="BU17" s="150">
        <v>0</v>
      </c>
      <c r="BV17" s="150">
        <v>0</v>
      </c>
      <c r="BW17" s="148">
        <f t="shared" si="7"/>
        <v>0</v>
      </c>
      <c r="BX17" s="151">
        <f t="shared" si="8"/>
        <v>0</v>
      </c>
    </row>
    <row r="18" spans="1:76" ht="15.6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96" t="s">
        <v>123</v>
      </c>
      <c r="E18" s="96" t="s">
        <v>124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88">
        <v>25</v>
      </c>
      <c r="BE18" s="142"/>
      <c r="BF18" s="88">
        <f t="shared" si="0"/>
        <v>25</v>
      </c>
      <c r="BG18" s="88">
        <v>41</v>
      </c>
      <c r="BH18" s="101">
        <f t="shared" si="1"/>
        <v>0.6097560975609756</v>
      </c>
      <c r="BI18" s="348"/>
      <c r="BJ18" s="105">
        <f>OVERALL!A13</f>
        <v>10</v>
      </c>
      <c r="BK18" s="105">
        <f>OVERALL!B13</f>
        <v>2301245</v>
      </c>
      <c r="BL18" s="106" t="str">
        <f>OVERALL!C13</f>
        <v>Payal</v>
      </c>
      <c r="BM18" s="147">
        <f t="shared" si="2"/>
        <v>41</v>
      </c>
      <c r="BN18" s="147">
        <f t="shared" si="3"/>
        <v>41</v>
      </c>
      <c r="BO18" s="148">
        <f t="shared" si="4"/>
        <v>100</v>
      </c>
      <c r="BP18" s="147" t="str">
        <f t="shared" si="5"/>
        <v>6</v>
      </c>
      <c r="BQ18" s="149">
        <v>24</v>
      </c>
      <c r="BR18" s="149">
        <v>14</v>
      </c>
      <c r="BS18" s="147">
        <f t="shared" si="6"/>
        <v>19</v>
      </c>
      <c r="BT18" s="150">
        <v>10</v>
      </c>
      <c r="BU18" s="150">
        <v>10</v>
      </c>
      <c r="BV18" s="150">
        <v>8</v>
      </c>
      <c r="BW18" s="148">
        <f t="shared" si="7"/>
        <v>9.3333333333333339</v>
      </c>
      <c r="BX18" s="151">
        <f t="shared" si="8"/>
        <v>34</v>
      </c>
    </row>
    <row r="19" spans="1:76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96" t="s">
        <v>124</v>
      </c>
      <c r="E19" s="96" t="s">
        <v>124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88">
        <v>32</v>
      </c>
      <c r="BE19" s="142"/>
      <c r="BF19" s="88">
        <f t="shared" si="0"/>
        <v>32</v>
      </c>
      <c r="BG19" s="88">
        <v>41</v>
      </c>
      <c r="BH19" s="101">
        <f t="shared" si="1"/>
        <v>0.78048780487804881</v>
      </c>
      <c r="BI19" s="348"/>
      <c r="BJ19" s="105">
        <f>OVERALL!A14</f>
        <v>11</v>
      </c>
      <c r="BK19" s="105">
        <f>OVERALL!B14</f>
        <v>2301247</v>
      </c>
      <c r="BL19" s="106" t="str">
        <f>OVERALL!C14</f>
        <v>Priya</v>
      </c>
      <c r="BM19" s="147">
        <f t="shared" si="2"/>
        <v>41</v>
      </c>
      <c r="BN19" s="147">
        <f t="shared" si="3"/>
        <v>33</v>
      </c>
      <c r="BO19" s="148">
        <f t="shared" si="4"/>
        <v>80.487804878048792</v>
      </c>
      <c r="BP19" s="147" t="str">
        <f t="shared" si="5"/>
        <v>2</v>
      </c>
      <c r="BQ19" s="149">
        <v>23</v>
      </c>
      <c r="BR19" s="149">
        <v>11</v>
      </c>
      <c r="BS19" s="147">
        <f t="shared" si="6"/>
        <v>17</v>
      </c>
      <c r="BT19" s="150">
        <v>9</v>
      </c>
      <c r="BU19" s="150">
        <v>10</v>
      </c>
      <c r="BV19" s="150">
        <v>9</v>
      </c>
      <c r="BW19" s="148">
        <f t="shared" si="7"/>
        <v>9.3333333333333339</v>
      </c>
      <c r="BX19" s="151">
        <f t="shared" si="8"/>
        <v>28</v>
      </c>
    </row>
    <row r="20" spans="1:76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96" t="s">
        <v>124</v>
      </c>
      <c r="E20" s="96" t="s">
        <v>124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88">
        <v>32</v>
      </c>
      <c r="BE20" s="142"/>
      <c r="BF20" s="88">
        <f t="shared" si="0"/>
        <v>32</v>
      </c>
      <c r="BG20" s="88">
        <v>41</v>
      </c>
      <c r="BH20" s="101">
        <f t="shared" si="1"/>
        <v>0.78048780487804881</v>
      </c>
      <c r="BI20" s="348"/>
      <c r="BJ20" s="105">
        <f>OVERALL!A15</f>
        <v>12</v>
      </c>
      <c r="BK20" s="105">
        <f>OVERALL!B15</f>
        <v>2301248</v>
      </c>
      <c r="BL20" s="106" t="str">
        <f>OVERALL!C15</f>
        <v>Priyam Puri</v>
      </c>
      <c r="BM20" s="147">
        <f t="shared" si="2"/>
        <v>41</v>
      </c>
      <c r="BN20" s="147">
        <f t="shared" si="3"/>
        <v>0</v>
      </c>
      <c r="BO20" s="148">
        <f t="shared" si="4"/>
        <v>0</v>
      </c>
      <c r="BP20" s="147" t="str">
        <f t="shared" si="5"/>
        <v>0</v>
      </c>
      <c r="BQ20" s="149">
        <v>0</v>
      </c>
      <c r="BR20" s="149">
        <v>0</v>
      </c>
      <c r="BS20" s="147">
        <f t="shared" si="6"/>
        <v>0</v>
      </c>
      <c r="BT20" s="150">
        <v>0</v>
      </c>
      <c r="BU20" s="150">
        <v>0</v>
      </c>
      <c r="BV20" s="150">
        <v>0</v>
      </c>
      <c r="BW20" s="148">
        <f t="shared" si="7"/>
        <v>0</v>
      </c>
      <c r="BX20" s="151">
        <f t="shared" si="8"/>
        <v>0</v>
      </c>
    </row>
    <row r="21" spans="1:76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96" t="s">
        <v>124</v>
      </c>
      <c r="E21" s="96" t="s">
        <v>124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88">
        <v>31</v>
      </c>
      <c r="BE21" s="146">
        <v>5</v>
      </c>
      <c r="BF21" s="88">
        <f t="shared" si="0"/>
        <v>36</v>
      </c>
      <c r="BG21" s="88">
        <v>41</v>
      </c>
      <c r="BH21" s="101">
        <f t="shared" si="1"/>
        <v>0.87804878048780488</v>
      </c>
      <c r="BI21" s="348"/>
      <c r="BJ21" s="105">
        <f>OVERALL!A16</f>
        <v>13</v>
      </c>
      <c r="BK21" s="105">
        <f>OVERALL!B16</f>
        <v>2301249</v>
      </c>
      <c r="BL21" s="106" t="str">
        <f>OVERALL!C16</f>
        <v>Rahul Sharma</v>
      </c>
      <c r="BM21" s="147">
        <f t="shared" si="2"/>
        <v>41</v>
      </c>
      <c r="BN21" s="147">
        <f t="shared" si="3"/>
        <v>33</v>
      </c>
      <c r="BO21" s="148">
        <f t="shared" si="4"/>
        <v>80.487804878048792</v>
      </c>
      <c r="BP21" s="147" t="str">
        <f t="shared" si="5"/>
        <v>2</v>
      </c>
      <c r="BQ21" s="149">
        <v>16</v>
      </c>
      <c r="BR21" s="149">
        <v>0</v>
      </c>
      <c r="BS21" s="147">
        <f t="shared" si="6"/>
        <v>8</v>
      </c>
      <c r="BT21" s="150">
        <v>8</v>
      </c>
      <c r="BU21" s="150">
        <v>10</v>
      </c>
      <c r="BV21" s="150">
        <v>9</v>
      </c>
      <c r="BW21" s="148">
        <f t="shared" si="7"/>
        <v>9</v>
      </c>
      <c r="BX21" s="151">
        <f t="shared" si="8"/>
        <v>19</v>
      </c>
    </row>
    <row r="22" spans="1:76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96" t="s">
        <v>123</v>
      </c>
      <c r="E22" s="96" t="s">
        <v>124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88">
        <v>0</v>
      </c>
      <c r="BE22" s="142"/>
      <c r="BF22" s="88">
        <f t="shared" si="0"/>
        <v>0</v>
      </c>
      <c r="BG22" s="88">
        <v>41</v>
      </c>
      <c r="BH22" s="101">
        <f t="shared" si="1"/>
        <v>0</v>
      </c>
      <c r="BI22" s="348"/>
      <c r="BJ22" s="105">
        <f>OVERALL!A17</f>
        <v>14</v>
      </c>
      <c r="BK22" s="105">
        <f>OVERALL!B17</f>
        <v>2301250</v>
      </c>
      <c r="BL22" s="106" t="str">
        <f>OVERALL!C17</f>
        <v>Rahulpreet Singh Khinda</v>
      </c>
      <c r="BM22" s="147">
        <f t="shared" si="2"/>
        <v>41</v>
      </c>
      <c r="BN22" s="147">
        <f t="shared" si="3"/>
        <v>25</v>
      </c>
      <c r="BO22" s="148">
        <f t="shared" si="4"/>
        <v>60.975609756097562</v>
      </c>
      <c r="BP22" s="147" t="str">
        <f t="shared" si="5"/>
        <v>0</v>
      </c>
      <c r="BQ22" s="149">
        <v>12</v>
      </c>
      <c r="BR22" s="149">
        <v>12</v>
      </c>
      <c r="BS22" s="147">
        <f t="shared" si="6"/>
        <v>12</v>
      </c>
      <c r="BT22" s="150">
        <v>8</v>
      </c>
      <c r="BU22" s="150">
        <v>9</v>
      </c>
      <c r="BV22" s="150">
        <v>10</v>
      </c>
      <c r="BW22" s="148">
        <f t="shared" si="7"/>
        <v>9</v>
      </c>
      <c r="BX22" s="151">
        <f t="shared" si="8"/>
        <v>21</v>
      </c>
    </row>
    <row r="23" spans="1:76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96" t="s">
        <v>124</v>
      </c>
      <c r="E23" s="96" t="s">
        <v>124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88">
        <v>34</v>
      </c>
      <c r="BE23" s="142"/>
      <c r="BF23" s="88">
        <f t="shared" si="0"/>
        <v>34</v>
      </c>
      <c r="BG23" s="88">
        <v>41</v>
      </c>
      <c r="BH23" s="101">
        <f t="shared" si="1"/>
        <v>0.82926829268292679</v>
      </c>
      <c r="BI23" s="348"/>
      <c r="BJ23" s="105">
        <f>OVERALL!A18</f>
        <v>15</v>
      </c>
      <c r="BK23" s="105">
        <f>OVERALL!B18</f>
        <v>2301251</v>
      </c>
      <c r="BL23" s="106" t="str">
        <f>OVERALL!C18</f>
        <v>Raj Kumar</v>
      </c>
      <c r="BM23" s="147">
        <f t="shared" si="2"/>
        <v>41</v>
      </c>
      <c r="BN23" s="147">
        <f t="shared" si="3"/>
        <v>32</v>
      </c>
      <c r="BO23" s="148">
        <f t="shared" si="4"/>
        <v>78.048780487804876</v>
      </c>
      <c r="BP23" s="147" t="str">
        <f t="shared" si="5"/>
        <v>2</v>
      </c>
      <c r="BQ23" s="149">
        <v>18</v>
      </c>
      <c r="BR23" s="149">
        <v>3</v>
      </c>
      <c r="BS23" s="147">
        <f t="shared" si="6"/>
        <v>10.5</v>
      </c>
      <c r="BT23" s="150">
        <v>8</v>
      </c>
      <c r="BU23" s="150">
        <v>8</v>
      </c>
      <c r="BV23" s="150">
        <v>10</v>
      </c>
      <c r="BW23" s="148">
        <f t="shared" si="7"/>
        <v>8.6666666666666661</v>
      </c>
      <c r="BX23" s="151">
        <f t="shared" si="8"/>
        <v>21</v>
      </c>
    </row>
    <row r="24" spans="1:76" ht="17.2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96" t="s">
        <v>124</v>
      </c>
      <c r="E24" s="96" t="s">
        <v>124</v>
      </c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88">
        <v>34</v>
      </c>
      <c r="BE24" s="146">
        <v>5</v>
      </c>
      <c r="BF24" s="88">
        <f t="shared" si="0"/>
        <v>39</v>
      </c>
      <c r="BG24" s="88">
        <v>41</v>
      </c>
      <c r="BH24" s="101">
        <f t="shared" si="1"/>
        <v>0.95121951219512191</v>
      </c>
      <c r="BI24" s="348"/>
      <c r="BJ24" s="105">
        <f>OVERALL!A19</f>
        <v>16</v>
      </c>
      <c r="BK24" s="105">
        <f>OVERALL!B19</f>
        <v>2301252</v>
      </c>
      <c r="BL24" s="106" t="str">
        <f>OVERALL!C19</f>
        <v>Rajan Sharma</v>
      </c>
      <c r="BM24" s="147">
        <f t="shared" si="2"/>
        <v>41</v>
      </c>
      <c r="BN24" s="147">
        <f t="shared" si="3"/>
        <v>32</v>
      </c>
      <c r="BO24" s="148">
        <f t="shared" si="4"/>
        <v>78.048780487804876</v>
      </c>
      <c r="BP24" s="147" t="str">
        <f t="shared" si="5"/>
        <v>2</v>
      </c>
      <c r="BQ24" s="149">
        <v>21</v>
      </c>
      <c r="BR24" s="149">
        <v>7</v>
      </c>
      <c r="BS24" s="147">
        <f t="shared" si="6"/>
        <v>14</v>
      </c>
      <c r="BT24" s="150">
        <v>8</v>
      </c>
      <c r="BU24" s="150">
        <v>8</v>
      </c>
      <c r="BV24" s="150">
        <v>10</v>
      </c>
      <c r="BW24" s="148">
        <f t="shared" si="7"/>
        <v>8.6666666666666661</v>
      </c>
      <c r="BX24" s="151">
        <f t="shared" si="8"/>
        <v>25</v>
      </c>
    </row>
    <row r="25" spans="1:76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96" t="s">
        <v>124</v>
      </c>
      <c r="E25" s="96" t="s">
        <v>124</v>
      </c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88">
        <v>22</v>
      </c>
      <c r="BE25" s="146">
        <v>10</v>
      </c>
      <c r="BF25" s="88">
        <f t="shared" si="0"/>
        <v>32</v>
      </c>
      <c r="BG25" s="88">
        <v>41</v>
      </c>
      <c r="BH25" s="101">
        <f t="shared" si="1"/>
        <v>0.78048780487804881</v>
      </c>
      <c r="BI25" s="348"/>
      <c r="BJ25" s="105">
        <f>OVERALL!A20</f>
        <v>17</v>
      </c>
      <c r="BK25" s="105">
        <f>OVERALL!B20</f>
        <v>2301253</v>
      </c>
      <c r="BL25" s="106" t="str">
        <f>OVERALL!C20</f>
        <v>Rajwinder Kaur</v>
      </c>
      <c r="BM25" s="147">
        <f t="shared" si="2"/>
        <v>41</v>
      </c>
      <c r="BN25" s="147">
        <f t="shared" si="3"/>
        <v>36</v>
      </c>
      <c r="BO25" s="148">
        <f t="shared" si="4"/>
        <v>87.804878048780495</v>
      </c>
      <c r="BP25" s="147" t="str">
        <f t="shared" si="5"/>
        <v>4</v>
      </c>
      <c r="BQ25" s="149">
        <v>0</v>
      </c>
      <c r="BR25" s="149">
        <v>20</v>
      </c>
      <c r="BS25" s="147">
        <f t="shared" si="6"/>
        <v>10</v>
      </c>
      <c r="BT25" s="150">
        <v>9</v>
      </c>
      <c r="BU25" s="150">
        <v>10</v>
      </c>
      <c r="BV25" s="150">
        <v>10</v>
      </c>
      <c r="BW25" s="148">
        <f t="shared" si="7"/>
        <v>9.6666666666666661</v>
      </c>
      <c r="BX25" s="151">
        <f t="shared" si="8"/>
        <v>24</v>
      </c>
    </row>
    <row r="26" spans="1:76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96" t="s">
        <v>124</v>
      </c>
      <c r="E26" s="96" t="s">
        <v>124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88">
        <v>20</v>
      </c>
      <c r="BE26" s="146">
        <v>1</v>
      </c>
      <c r="BF26" s="88">
        <f t="shared" si="0"/>
        <v>21</v>
      </c>
      <c r="BG26" s="88">
        <v>41</v>
      </c>
      <c r="BH26" s="101">
        <f t="shared" si="1"/>
        <v>0.51219512195121952</v>
      </c>
      <c r="BI26" s="348"/>
      <c r="BJ26" s="105">
        <f>OVERALL!A21</f>
        <v>18</v>
      </c>
      <c r="BK26" s="105">
        <f>OVERALL!B21</f>
        <v>2301254</v>
      </c>
      <c r="BL26" s="106" t="str">
        <f>OVERALL!C21</f>
        <v>RANJIT SHAH KANU</v>
      </c>
      <c r="BM26" s="147">
        <f t="shared" si="2"/>
        <v>41</v>
      </c>
      <c r="BN26" s="147">
        <f t="shared" si="3"/>
        <v>0</v>
      </c>
      <c r="BO26" s="148">
        <f t="shared" si="4"/>
        <v>0</v>
      </c>
      <c r="BP26" s="147" t="str">
        <f t="shared" si="5"/>
        <v>0</v>
      </c>
      <c r="BQ26" s="149">
        <v>0</v>
      </c>
      <c r="BR26" s="149">
        <v>0</v>
      </c>
      <c r="BS26" s="147">
        <f t="shared" si="6"/>
        <v>0</v>
      </c>
      <c r="BT26" s="150">
        <v>0</v>
      </c>
      <c r="BU26" s="150">
        <v>0</v>
      </c>
      <c r="BV26" s="150">
        <v>0</v>
      </c>
      <c r="BW26" s="148">
        <f t="shared" si="7"/>
        <v>0</v>
      </c>
      <c r="BX26" s="151">
        <f t="shared" si="8"/>
        <v>0</v>
      </c>
    </row>
    <row r="27" spans="1:76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96" t="s">
        <v>123</v>
      </c>
      <c r="E27" s="96" t="s">
        <v>124</v>
      </c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88">
        <v>27</v>
      </c>
      <c r="BE27" s="142"/>
      <c r="BF27" s="88">
        <f t="shared" si="0"/>
        <v>27</v>
      </c>
      <c r="BG27" s="88">
        <v>41</v>
      </c>
      <c r="BH27" s="101">
        <f t="shared" si="1"/>
        <v>0.65853658536585369</v>
      </c>
      <c r="BI27" s="348"/>
      <c r="BJ27" s="105">
        <f>OVERALL!A22</f>
        <v>19</v>
      </c>
      <c r="BK27" s="105">
        <f>OVERALL!B22</f>
        <v>2301255</v>
      </c>
      <c r="BL27" s="106" t="str">
        <f>OVERALL!C22</f>
        <v>Ravi Bhushan Kumar</v>
      </c>
      <c r="BM27" s="147">
        <f t="shared" si="2"/>
        <v>41</v>
      </c>
      <c r="BN27" s="147">
        <f t="shared" si="3"/>
        <v>34</v>
      </c>
      <c r="BO27" s="148">
        <f t="shared" si="4"/>
        <v>82.926829268292693</v>
      </c>
      <c r="BP27" s="147" t="str">
        <f t="shared" si="5"/>
        <v>3</v>
      </c>
      <c r="BQ27" s="149">
        <v>12</v>
      </c>
      <c r="BR27" s="149">
        <v>0</v>
      </c>
      <c r="BS27" s="147">
        <f t="shared" si="6"/>
        <v>6</v>
      </c>
      <c r="BT27" s="150">
        <v>10</v>
      </c>
      <c r="BU27" s="150">
        <v>10</v>
      </c>
      <c r="BV27" s="150">
        <v>8</v>
      </c>
      <c r="BW27" s="148">
        <f t="shared" si="7"/>
        <v>9.3333333333333339</v>
      </c>
      <c r="BX27" s="151">
        <f t="shared" si="8"/>
        <v>18</v>
      </c>
    </row>
    <row r="28" spans="1:76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96" t="s">
        <v>124</v>
      </c>
      <c r="E28" s="96" t="s">
        <v>124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88">
        <v>32</v>
      </c>
      <c r="BE28" s="146">
        <v>3</v>
      </c>
      <c r="BF28" s="88">
        <f t="shared" si="0"/>
        <v>35</v>
      </c>
      <c r="BG28" s="88">
        <v>41</v>
      </c>
      <c r="BH28" s="101">
        <f t="shared" si="1"/>
        <v>0.85365853658536583</v>
      </c>
      <c r="BI28" s="348"/>
      <c r="BJ28" s="105">
        <f>OVERALL!A23</f>
        <v>20</v>
      </c>
      <c r="BK28" s="105">
        <f>OVERALL!B23</f>
        <v>2301256</v>
      </c>
      <c r="BL28" s="106" t="str">
        <f>OVERALL!C23</f>
        <v>Reshma</v>
      </c>
      <c r="BM28" s="147">
        <f t="shared" si="2"/>
        <v>41</v>
      </c>
      <c r="BN28" s="147">
        <f t="shared" si="3"/>
        <v>39</v>
      </c>
      <c r="BO28" s="148">
        <f t="shared" si="4"/>
        <v>95.121951219512198</v>
      </c>
      <c r="BP28" s="147" t="str">
        <f t="shared" si="5"/>
        <v>5</v>
      </c>
      <c r="BQ28" s="149">
        <v>18</v>
      </c>
      <c r="BR28" s="149">
        <v>8</v>
      </c>
      <c r="BS28" s="147">
        <f t="shared" si="6"/>
        <v>13</v>
      </c>
      <c r="BT28" s="150">
        <v>8</v>
      </c>
      <c r="BU28" s="150">
        <v>7</v>
      </c>
      <c r="BV28" s="150">
        <v>10</v>
      </c>
      <c r="BW28" s="148">
        <f t="shared" si="7"/>
        <v>8.3333333333333339</v>
      </c>
      <c r="BX28" s="151">
        <f t="shared" si="8"/>
        <v>26</v>
      </c>
    </row>
    <row r="29" spans="1:76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96" t="s">
        <v>123</v>
      </c>
      <c r="E29" s="96" t="s">
        <v>124</v>
      </c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88">
        <v>22</v>
      </c>
      <c r="BE29" s="146">
        <v>5</v>
      </c>
      <c r="BF29" s="88">
        <f t="shared" si="0"/>
        <v>27</v>
      </c>
      <c r="BG29" s="88">
        <v>41</v>
      </c>
      <c r="BH29" s="101">
        <f t="shared" si="1"/>
        <v>0.65853658536585369</v>
      </c>
      <c r="BI29" s="348"/>
      <c r="BJ29" s="105">
        <f>OVERALL!A24</f>
        <v>21</v>
      </c>
      <c r="BK29" s="105">
        <f>OVERALL!B24</f>
        <v>2301257</v>
      </c>
      <c r="BL29" s="106" t="str">
        <f>OVERALL!C24</f>
        <v>Ritesh Kumar Choudhary</v>
      </c>
      <c r="BM29" s="147">
        <f t="shared" si="2"/>
        <v>41</v>
      </c>
      <c r="BN29" s="147">
        <f t="shared" si="3"/>
        <v>32</v>
      </c>
      <c r="BO29" s="148">
        <f t="shared" si="4"/>
        <v>78.048780487804876</v>
      </c>
      <c r="BP29" s="147" t="str">
        <f t="shared" si="5"/>
        <v>2</v>
      </c>
      <c r="BQ29" s="149">
        <v>18</v>
      </c>
      <c r="BR29" s="149">
        <v>5</v>
      </c>
      <c r="BS29" s="147">
        <f t="shared" si="6"/>
        <v>11.5</v>
      </c>
      <c r="BT29" s="150">
        <v>8</v>
      </c>
      <c r="BU29" s="150">
        <v>8</v>
      </c>
      <c r="BV29" s="150">
        <v>0</v>
      </c>
      <c r="BW29" s="148">
        <f t="shared" si="7"/>
        <v>5.333333333333333</v>
      </c>
      <c r="BX29" s="151">
        <f t="shared" si="8"/>
        <v>19</v>
      </c>
    </row>
    <row r="30" spans="1:76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96" t="s">
        <v>124</v>
      </c>
      <c r="E30" s="96" t="s">
        <v>124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88">
        <v>33</v>
      </c>
      <c r="BE30" s="142"/>
      <c r="BF30" s="88">
        <f t="shared" si="0"/>
        <v>33</v>
      </c>
      <c r="BG30" s="88">
        <v>41</v>
      </c>
      <c r="BH30" s="101">
        <f t="shared" si="1"/>
        <v>0.80487804878048785</v>
      </c>
      <c r="BI30" s="348"/>
      <c r="BJ30" s="105">
        <f>OVERALL!A25</f>
        <v>22</v>
      </c>
      <c r="BK30" s="105">
        <f>OVERALL!B25</f>
        <v>2301258</v>
      </c>
      <c r="BL30" s="106" t="str">
        <f>OVERALL!C25</f>
        <v>Ritesh Thakur</v>
      </c>
      <c r="BM30" s="147">
        <f t="shared" si="2"/>
        <v>41</v>
      </c>
      <c r="BN30" s="147">
        <f t="shared" si="3"/>
        <v>21</v>
      </c>
      <c r="BO30" s="148">
        <f t="shared" si="4"/>
        <v>51.219512195121958</v>
      </c>
      <c r="BP30" s="147" t="str">
        <f t="shared" si="5"/>
        <v>0</v>
      </c>
      <c r="BQ30" s="149">
        <v>0</v>
      </c>
      <c r="BR30" s="149">
        <v>0</v>
      </c>
      <c r="BS30" s="147">
        <f t="shared" si="6"/>
        <v>0</v>
      </c>
      <c r="BT30" s="150">
        <v>0</v>
      </c>
      <c r="BU30" s="150">
        <v>7</v>
      </c>
      <c r="BV30" s="150">
        <v>0</v>
      </c>
      <c r="BW30" s="148">
        <f t="shared" si="7"/>
        <v>2.3333333333333335</v>
      </c>
      <c r="BX30" s="151">
        <f t="shared" si="8"/>
        <v>2</v>
      </c>
    </row>
    <row r="31" spans="1:76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96" t="s">
        <v>124</v>
      </c>
      <c r="E31" s="96" t="s">
        <v>124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88">
        <v>38</v>
      </c>
      <c r="BE31" s="142"/>
      <c r="BF31" s="88">
        <f t="shared" si="0"/>
        <v>38</v>
      </c>
      <c r="BG31" s="88">
        <v>41</v>
      </c>
      <c r="BH31" s="101">
        <f t="shared" si="1"/>
        <v>0.92682926829268297</v>
      </c>
      <c r="BI31" s="348"/>
      <c r="BJ31" s="105">
        <f>OVERALL!A26</f>
        <v>23</v>
      </c>
      <c r="BK31" s="105">
        <f>OVERALL!B26</f>
        <v>2301259</v>
      </c>
      <c r="BL31" s="106" t="str">
        <f>OVERALL!C26</f>
        <v>Riya Thakur</v>
      </c>
      <c r="BM31" s="147">
        <f t="shared" si="2"/>
        <v>41</v>
      </c>
      <c r="BN31" s="147">
        <f t="shared" si="3"/>
        <v>27</v>
      </c>
      <c r="BO31" s="148">
        <f t="shared" si="4"/>
        <v>65.853658536585371</v>
      </c>
      <c r="BP31" s="147" t="str">
        <f t="shared" si="5"/>
        <v>0</v>
      </c>
      <c r="BQ31" s="149">
        <v>21</v>
      </c>
      <c r="BR31" s="149">
        <v>16</v>
      </c>
      <c r="BS31" s="147">
        <f t="shared" si="6"/>
        <v>18.5</v>
      </c>
      <c r="BT31" s="150">
        <v>8</v>
      </c>
      <c r="BU31" s="150">
        <v>8</v>
      </c>
      <c r="BV31" s="150">
        <v>10</v>
      </c>
      <c r="BW31" s="148">
        <f t="shared" si="7"/>
        <v>8.6666666666666661</v>
      </c>
      <c r="BX31" s="151">
        <f t="shared" si="8"/>
        <v>27</v>
      </c>
    </row>
    <row r="32" spans="1:76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96" t="s">
        <v>123</v>
      </c>
      <c r="E32" s="96" t="s">
        <v>124</v>
      </c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88">
        <v>20</v>
      </c>
      <c r="BE32" s="142"/>
      <c r="BF32" s="88">
        <f t="shared" si="0"/>
        <v>20</v>
      </c>
      <c r="BG32" s="88">
        <v>41</v>
      </c>
      <c r="BH32" s="101">
        <f t="shared" si="1"/>
        <v>0.48780487804878048</v>
      </c>
      <c r="BI32" s="348"/>
      <c r="BJ32" s="105">
        <f>OVERALL!A27</f>
        <v>24</v>
      </c>
      <c r="BK32" s="105">
        <f>OVERALL!B27</f>
        <v>2301260</v>
      </c>
      <c r="BL32" s="106" t="str">
        <f>OVERALL!C27</f>
        <v>Rounit Dhiman</v>
      </c>
      <c r="BM32" s="147">
        <f t="shared" si="2"/>
        <v>41</v>
      </c>
      <c r="BN32" s="147">
        <f t="shared" si="3"/>
        <v>35</v>
      </c>
      <c r="BO32" s="148">
        <f t="shared" si="4"/>
        <v>85.365853658536594</v>
      </c>
      <c r="BP32" s="147" t="str">
        <f t="shared" si="5"/>
        <v>3</v>
      </c>
      <c r="BQ32" s="149">
        <v>10</v>
      </c>
      <c r="BR32" s="149">
        <v>8</v>
      </c>
      <c r="BS32" s="147">
        <f t="shared" si="6"/>
        <v>9</v>
      </c>
      <c r="BT32" s="150">
        <v>8</v>
      </c>
      <c r="BU32" s="150">
        <v>7</v>
      </c>
      <c r="BV32" s="150">
        <v>10</v>
      </c>
      <c r="BW32" s="148">
        <f t="shared" si="7"/>
        <v>8.3333333333333339</v>
      </c>
      <c r="BX32" s="151">
        <f t="shared" si="8"/>
        <v>20</v>
      </c>
    </row>
    <row r="33" spans="1:76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96" t="s">
        <v>124</v>
      </c>
      <c r="E33" s="96" t="s">
        <v>124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88">
        <v>30</v>
      </c>
      <c r="BE33" s="146">
        <v>8</v>
      </c>
      <c r="BF33" s="88">
        <f t="shared" si="0"/>
        <v>38</v>
      </c>
      <c r="BG33" s="88">
        <v>41</v>
      </c>
      <c r="BH33" s="101">
        <f t="shared" si="1"/>
        <v>0.92682926829268297</v>
      </c>
      <c r="BI33" s="348"/>
      <c r="BJ33" s="105">
        <f>OVERALL!A28</f>
        <v>25</v>
      </c>
      <c r="BK33" s="105">
        <f>OVERALL!B28</f>
        <v>2301261</v>
      </c>
      <c r="BL33" s="106" t="str">
        <f>OVERALL!C28</f>
        <v>Rubby Kumari</v>
      </c>
      <c r="BM33" s="147">
        <f t="shared" si="2"/>
        <v>41</v>
      </c>
      <c r="BN33" s="147">
        <f t="shared" si="3"/>
        <v>27</v>
      </c>
      <c r="BO33" s="148">
        <f t="shared" si="4"/>
        <v>65.853658536585371</v>
      </c>
      <c r="BP33" s="147" t="str">
        <f t="shared" si="5"/>
        <v>0</v>
      </c>
      <c r="BQ33" s="149">
        <v>20</v>
      </c>
      <c r="BR33" s="149">
        <v>8</v>
      </c>
      <c r="BS33" s="147">
        <f t="shared" si="6"/>
        <v>14</v>
      </c>
      <c r="BT33" s="150">
        <v>0</v>
      </c>
      <c r="BU33" s="150">
        <v>0</v>
      </c>
      <c r="BV33" s="150">
        <v>0</v>
      </c>
      <c r="BW33" s="148">
        <f t="shared" si="7"/>
        <v>0</v>
      </c>
      <c r="BX33" s="151">
        <f t="shared" si="8"/>
        <v>14</v>
      </c>
    </row>
    <row r="34" spans="1:76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96" t="s">
        <v>124</v>
      </c>
      <c r="E34" s="96" t="s">
        <v>124</v>
      </c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88">
        <v>35</v>
      </c>
      <c r="BE34" s="142"/>
      <c r="BF34" s="88">
        <f t="shared" si="0"/>
        <v>35</v>
      </c>
      <c r="BG34" s="88">
        <v>41</v>
      </c>
      <c r="BH34" s="101">
        <f t="shared" si="1"/>
        <v>0.85365853658536583</v>
      </c>
      <c r="BI34" s="348"/>
      <c r="BJ34" s="105">
        <f>OVERALL!A29</f>
        <v>26</v>
      </c>
      <c r="BK34" s="105">
        <f>OVERALL!B29</f>
        <v>2301262</v>
      </c>
      <c r="BL34" s="106" t="str">
        <f>OVERALL!C29</f>
        <v>Sakshi Devi</v>
      </c>
      <c r="BM34" s="147">
        <f t="shared" si="2"/>
        <v>41</v>
      </c>
      <c r="BN34" s="147">
        <f t="shared" si="3"/>
        <v>33</v>
      </c>
      <c r="BO34" s="148">
        <f t="shared" si="4"/>
        <v>80.487804878048792</v>
      </c>
      <c r="BP34" s="147" t="str">
        <f t="shared" si="5"/>
        <v>2</v>
      </c>
      <c r="BQ34" s="149">
        <v>18</v>
      </c>
      <c r="BR34" s="149">
        <v>15</v>
      </c>
      <c r="BS34" s="147">
        <f t="shared" si="6"/>
        <v>16.5</v>
      </c>
      <c r="BT34" s="150">
        <v>8</v>
      </c>
      <c r="BU34" s="150">
        <v>8</v>
      </c>
      <c r="BV34" s="150">
        <v>10</v>
      </c>
      <c r="BW34" s="148">
        <f t="shared" si="7"/>
        <v>8.6666666666666661</v>
      </c>
      <c r="BX34" s="151">
        <f t="shared" si="8"/>
        <v>27</v>
      </c>
    </row>
    <row r="35" spans="1:76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96" t="s">
        <v>124</v>
      </c>
      <c r="E35" s="96" t="s">
        <v>124</v>
      </c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88">
        <v>26</v>
      </c>
      <c r="BE35" s="142"/>
      <c r="BF35" s="88">
        <f t="shared" si="0"/>
        <v>26</v>
      </c>
      <c r="BG35" s="88">
        <v>41</v>
      </c>
      <c r="BH35" s="101">
        <f t="shared" si="1"/>
        <v>0.63414634146341464</v>
      </c>
      <c r="BI35" s="348"/>
      <c r="BJ35" s="105">
        <f>OVERALL!A30</f>
        <v>27</v>
      </c>
      <c r="BK35" s="105">
        <f>OVERALL!B30</f>
        <v>2301263</v>
      </c>
      <c r="BL35" s="106" t="str">
        <f>OVERALL!C30</f>
        <v>Sanchi Sharma</v>
      </c>
      <c r="BM35" s="147">
        <f t="shared" si="2"/>
        <v>41</v>
      </c>
      <c r="BN35" s="147">
        <f t="shared" si="3"/>
        <v>38</v>
      </c>
      <c r="BO35" s="148">
        <f t="shared" si="4"/>
        <v>92.682926829268297</v>
      </c>
      <c r="BP35" s="147" t="str">
        <f t="shared" si="5"/>
        <v>5</v>
      </c>
      <c r="BQ35" s="149">
        <v>23</v>
      </c>
      <c r="BR35" s="149">
        <v>17</v>
      </c>
      <c r="BS35" s="147">
        <f t="shared" si="6"/>
        <v>20</v>
      </c>
      <c r="BT35" s="150">
        <v>8</v>
      </c>
      <c r="BU35" s="150">
        <v>9</v>
      </c>
      <c r="BV35" s="150">
        <v>10</v>
      </c>
      <c r="BW35" s="148">
        <f t="shared" si="7"/>
        <v>9</v>
      </c>
      <c r="BX35" s="151">
        <f t="shared" si="8"/>
        <v>34</v>
      </c>
    </row>
    <row r="36" spans="1:76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96" t="s">
        <v>124</v>
      </c>
      <c r="E36" s="96" t="s">
        <v>124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88">
        <v>29</v>
      </c>
      <c r="BE36" s="142"/>
      <c r="BF36" s="88">
        <f t="shared" si="0"/>
        <v>29</v>
      </c>
      <c r="BG36" s="88">
        <v>41</v>
      </c>
      <c r="BH36" s="101">
        <f t="shared" si="1"/>
        <v>0.70731707317073167</v>
      </c>
      <c r="BI36" s="348"/>
      <c r="BJ36" s="105">
        <f>OVERALL!A31</f>
        <v>28</v>
      </c>
      <c r="BK36" s="105">
        <f>OVERALL!B31</f>
        <v>2301264</v>
      </c>
      <c r="BL36" s="106" t="str">
        <f>OVERALL!C31</f>
        <v>Sarbjit Singh</v>
      </c>
      <c r="BM36" s="147">
        <f t="shared" si="2"/>
        <v>41</v>
      </c>
      <c r="BN36" s="147">
        <f t="shared" si="3"/>
        <v>20</v>
      </c>
      <c r="BO36" s="148">
        <f t="shared" si="4"/>
        <v>48.780487804878049</v>
      </c>
      <c r="BP36" s="147" t="str">
        <f t="shared" si="5"/>
        <v>0</v>
      </c>
      <c r="BQ36" s="149">
        <v>0</v>
      </c>
      <c r="BR36" s="149">
        <v>0</v>
      </c>
      <c r="BS36" s="147">
        <f t="shared" si="6"/>
        <v>0</v>
      </c>
      <c r="BT36" s="150">
        <v>0</v>
      </c>
      <c r="BU36" s="150">
        <v>0</v>
      </c>
      <c r="BV36" s="150">
        <v>0</v>
      </c>
      <c r="BW36" s="148">
        <f t="shared" si="7"/>
        <v>0</v>
      </c>
      <c r="BX36" s="151">
        <f t="shared" si="8"/>
        <v>0</v>
      </c>
    </row>
    <row r="37" spans="1:76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96" t="s">
        <v>124</v>
      </c>
      <c r="E37" s="96" t="s">
        <v>124</v>
      </c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88">
        <v>28</v>
      </c>
      <c r="BE37" s="146">
        <v>6</v>
      </c>
      <c r="BF37" s="88">
        <f t="shared" si="0"/>
        <v>34</v>
      </c>
      <c r="BG37" s="88">
        <v>41</v>
      </c>
      <c r="BH37" s="101">
        <f t="shared" si="1"/>
        <v>0.82926829268292679</v>
      </c>
      <c r="BI37" s="348"/>
      <c r="BJ37" s="105">
        <f>OVERALL!A32</f>
        <v>29</v>
      </c>
      <c r="BK37" s="105">
        <f>OVERALL!B32</f>
        <v>2301265</v>
      </c>
      <c r="BL37" s="106" t="str">
        <f>OVERALL!C32</f>
        <v>Sarif Mayangmayum</v>
      </c>
      <c r="BM37" s="147">
        <f t="shared" si="2"/>
        <v>41</v>
      </c>
      <c r="BN37" s="147">
        <f t="shared" si="3"/>
        <v>38</v>
      </c>
      <c r="BO37" s="148">
        <f t="shared" si="4"/>
        <v>92.682926829268297</v>
      </c>
      <c r="BP37" s="147" t="str">
        <f t="shared" si="5"/>
        <v>5</v>
      </c>
      <c r="BQ37" s="149">
        <v>23</v>
      </c>
      <c r="BR37" s="149">
        <v>6</v>
      </c>
      <c r="BS37" s="147">
        <f t="shared" si="6"/>
        <v>14.5</v>
      </c>
      <c r="BT37" s="150">
        <v>8</v>
      </c>
      <c r="BU37" s="150">
        <v>8</v>
      </c>
      <c r="BV37" s="150">
        <v>0</v>
      </c>
      <c r="BW37" s="148">
        <f t="shared" si="7"/>
        <v>5.333333333333333</v>
      </c>
      <c r="BX37" s="151">
        <f t="shared" si="8"/>
        <v>25</v>
      </c>
    </row>
    <row r="38" spans="1:76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96" t="s">
        <v>123</v>
      </c>
      <c r="E38" s="96" t="s">
        <v>124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88">
        <v>29</v>
      </c>
      <c r="BE38" s="142"/>
      <c r="BF38" s="88">
        <f t="shared" si="0"/>
        <v>29</v>
      </c>
      <c r="BG38" s="88">
        <v>41</v>
      </c>
      <c r="BH38" s="101">
        <f t="shared" si="1"/>
        <v>0.70731707317073167</v>
      </c>
      <c r="BI38" s="348"/>
      <c r="BJ38" s="105">
        <f>OVERALL!A33</f>
        <v>30</v>
      </c>
      <c r="BK38" s="105">
        <f>OVERALL!B33</f>
        <v>2301267</v>
      </c>
      <c r="BL38" s="106" t="str">
        <f>OVERALL!C33</f>
        <v>Shivam Kumar Chaubey</v>
      </c>
      <c r="BM38" s="147">
        <f t="shared" si="2"/>
        <v>41</v>
      </c>
      <c r="BN38" s="147">
        <f t="shared" si="3"/>
        <v>35</v>
      </c>
      <c r="BO38" s="148">
        <f t="shared" si="4"/>
        <v>85.365853658536594</v>
      </c>
      <c r="BP38" s="147" t="str">
        <f t="shared" si="5"/>
        <v>3</v>
      </c>
      <c r="BQ38" s="149">
        <v>16</v>
      </c>
      <c r="BR38" s="149">
        <v>10</v>
      </c>
      <c r="BS38" s="147">
        <f t="shared" si="6"/>
        <v>13</v>
      </c>
      <c r="BT38" s="150">
        <v>9</v>
      </c>
      <c r="BU38" s="150">
        <v>10</v>
      </c>
      <c r="BV38" s="150">
        <v>9</v>
      </c>
      <c r="BW38" s="148">
        <f t="shared" si="7"/>
        <v>9.3333333333333339</v>
      </c>
      <c r="BX38" s="151">
        <f t="shared" si="8"/>
        <v>25</v>
      </c>
    </row>
    <row r="39" spans="1:76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96" t="s">
        <v>123</v>
      </c>
      <c r="E39" s="96" t="s">
        <v>124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88">
        <v>0</v>
      </c>
      <c r="BE39" s="142"/>
      <c r="BF39" s="88">
        <f t="shared" si="0"/>
        <v>0</v>
      </c>
      <c r="BG39" s="88">
        <v>41</v>
      </c>
      <c r="BH39" s="101">
        <f t="shared" si="1"/>
        <v>0</v>
      </c>
      <c r="BI39" s="348"/>
      <c r="BJ39" s="105">
        <f>OVERALL!A34</f>
        <v>31</v>
      </c>
      <c r="BK39" s="105">
        <f>OVERALL!B34</f>
        <v>2301268</v>
      </c>
      <c r="BL39" s="106" t="str">
        <f>OVERALL!C34</f>
        <v>Simba Godfrey</v>
      </c>
      <c r="BM39" s="147">
        <f t="shared" si="2"/>
        <v>41</v>
      </c>
      <c r="BN39" s="147">
        <f t="shared" si="3"/>
        <v>26</v>
      </c>
      <c r="BO39" s="148">
        <f t="shared" si="4"/>
        <v>63.41463414634147</v>
      </c>
      <c r="BP39" s="147" t="str">
        <f t="shared" si="5"/>
        <v>0</v>
      </c>
      <c r="BQ39" s="149">
        <v>6</v>
      </c>
      <c r="BR39" s="149">
        <v>5</v>
      </c>
      <c r="BS39" s="147">
        <f t="shared" si="6"/>
        <v>5.5</v>
      </c>
      <c r="BT39" s="150">
        <v>8</v>
      </c>
      <c r="BU39" s="150">
        <v>8</v>
      </c>
      <c r="BV39" s="150">
        <v>0</v>
      </c>
      <c r="BW39" s="148">
        <f t="shared" si="7"/>
        <v>5.333333333333333</v>
      </c>
      <c r="BX39" s="151">
        <f t="shared" si="8"/>
        <v>11</v>
      </c>
    </row>
    <row r="40" spans="1:76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96" t="s">
        <v>124</v>
      </c>
      <c r="E40" s="96" t="s">
        <v>124</v>
      </c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88">
        <v>21</v>
      </c>
      <c r="BE40" s="142"/>
      <c r="BF40" s="88">
        <f t="shared" si="0"/>
        <v>21</v>
      </c>
      <c r="BG40" s="88">
        <v>41</v>
      </c>
      <c r="BH40" s="101">
        <f t="shared" si="1"/>
        <v>0.51219512195121952</v>
      </c>
      <c r="BI40" s="348"/>
      <c r="BJ40" s="105">
        <f>OVERALL!A35</f>
        <v>32</v>
      </c>
      <c r="BK40" s="105">
        <f>OVERALL!B35</f>
        <v>2301269</v>
      </c>
      <c r="BL40" s="106" t="str">
        <f>OVERALL!C35</f>
        <v>Simran Kaur</v>
      </c>
      <c r="BM40" s="147">
        <f t="shared" si="2"/>
        <v>41</v>
      </c>
      <c r="BN40" s="147">
        <f t="shared" si="3"/>
        <v>29</v>
      </c>
      <c r="BO40" s="148">
        <f t="shared" si="4"/>
        <v>70.731707317073173</v>
      </c>
      <c r="BP40" s="147" t="str">
        <f t="shared" si="5"/>
        <v>0</v>
      </c>
      <c r="BQ40" s="149">
        <v>24</v>
      </c>
      <c r="BR40" s="149">
        <v>13</v>
      </c>
      <c r="BS40" s="147">
        <f t="shared" si="6"/>
        <v>18.5</v>
      </c>
      <c r="BT40" s="150">
        <v>9</v>
      </c>
      <c r="BU40" s="150">
        <v>9</v>
      </c>
      <c r="BV40" s="150">
        <v>9</v>
      </c>
      <c r="BW40" s="148">
        <f t="shared" si="7"/>
        <v>9</v>
      </c>
      <c r="BX40" s="151">
        <f t="shared" si="8"/>
        <v>28</v>
      </c>
    </row>
    <row r="41" spans="1:76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96" t="s">
        <v>124</v>
      </c>
      <c r="E41" s="96" t="s">
        <v>124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88">
        <v>25</v>
      </c>
      <c r="BE41" s="142"/>
      <c r="BF41" s="88">
        <f t="shared" si="0"/>
        <v>25</v>
      </c>
      <c r="BG41" s="88">
        <v>41</v>
      </c>
      <c r="BH41" s="101">
        <f t="shared" si="1"/>
        <v>0.6097560975609756</v>
      </c>
      <c r="BI41" s="348"/>
      <c r="BJ41" s="105">
        <f>OVERALL!A36</f>
        <v>33</v>
      </c>
      <c r="BK41" s="105">
        <f>OVERALL!B36</f>
        <v>2301270</v>
      </c>
      <c r="BL41" s="106" t="str">
        <f>OVERALL!C36</f>
        <v>Simranjit Singh</v>
      </c>
      <c r="BM41" s="147">
        <f t="shared" si="2"/>
        <v>41</v>
      </c>
      <c r="BN41" s="147">
        <f t="shared" si="3"/>
        <v>34</v>
      </c>
      <c r="BO41" s="148">
        <f t="shared" si="4"/>
        <v>82.926829268292693</v>
      </c>
      <c r="BP41" s="147" t="str">
        <f t="shared" si="5"/>
        <v>3</v>
      </c>
      <c r="BQ41" s="149">
        <v>0</v>
      </c>
      <c r="BR41" s="149">
        <v>4</v>
      </c>
      <c r="BS41" s="147">
        <f t="shared" si="6"/>
        <v>2</v>
      </c>
      <c r="BT41" s="150">
        <v>8</v>
      </c>
      <c r="BU41" s="150">
        <v>8</v>
      </c>
      <c r="BV41" s="150">
        <v>10</v>
      </c>
      <c r="BW41" s="148">
        <f t="shared" si="7"/>
        <v>8.6666666666666661</v>
      </c>
      <c r="BX41" s="151">
        <f t="shared" si="8"/>
        <v>14</v>
      </c>
    </row>
    <row r="42" spans="1:76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96" t="s">
        <v>123</v>
      </c>
      <c r="E42" s="96" t="s">
        <v>124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88">
        <v>30</v>
      </c>
      <c r="BE42" s="146">
        <v>5</v>
      </c>
      <c r="BF42" s="88">
        <f t="shared" si="0"/>
        <v>35</v>
      </c>
      <c r="BG42" s="88">
        <v>41</v>
      </c>
      <c r="BH42" s="101">
        <f t="shared" si="1"/>
        <v>0.85365853658536583</v>
      </c>
      <c r="BI42" s="348"/>
      <c r="BJ42" s="105">
        <f>OVERALL!A37</f>
        <v>34</v>
      </c>
      <c r="BK42" s="105">
        <f>OVERALL!B37</f>
        <v>2301271</v>
      </c>
      <c r="BL42" s="106" t="str">
        <f>OVERALL!C37</f>
        <v>Sudip Sunar</v>
      </c>
      <c r="BM42" s="147">
        <f t="shared" si="2"/>
        <v>41</v>
      </c>
      <c r="BN42" s="147">
        <f t="shared" si="3"/>
        <v>29</v>
      </c>
      <c r="BO42" s="148">
        <f t="shared" si="4"/>
        <v>70.731707317073173</v>
      </c>
      <c r="BP42" s="147" t="str">
        <f t="shared" si="5"/>
        <v>0</v>
      </c>
      <c r="BQ42" s="149">
        <v>18</v>
      </c>
      <c r="BR42" s="149">
        <v>7</v>
      </c>
      <c r="BS42" s="147">
        <f t="shared" si="6"/>
        <v>12.5</v>
      </c>
      <c r="BT42" s="153">
        <v>8</v>
      </c>
      <c r="BU42" s="153">
        <v>8</v>
      </c>
      <c r="BV42" s="153">
        <v>10</v>
      </c>
      <c r="BW42" s="148">
        <f t="shared" si="7"/>
        <v>8.6666666666666661</v>
      </c>
      <c r="BX42" s="151">
        <f t="shared" si="8"/>
        <v>21</v>
      </c>
    </row>
    <row r="43" spans="1:76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96" t="s">
        <v>123</v>
      </c>
      <c r="E43" s="96" t="s">
        <v>124</v>
      </c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88">
        <v>0</v>
      </c>
      <c r="BE43" s="142"/>
      <c r="BF43" s="88">
        <f t="shared" si="0"/>
        <v>0</v>
      </c>
      <c r="BG43" s="88">
        <v>41</v>
      </c>
      <c r="BH43" s="101">
        <f t="shared" si="1"/>
        <v>0</v>
      </c>
      <c r="BI43" s="348"/>
      <c r="BJ43" s="105">
        <f>OVERALL!A38</f>
        <v>35</v>
      </c>
      <c r="BK43" s="105">
        <f>OVERALL!B38</f>
        <v>2301272</v>
      </c>
      <c r="BL43" s="106" t="str">
        <f>OVERALL!C38</f>
        <v>Sujal Sharma</v>
      </c>
      <c r="BM43" s="147">
        <f t="shared" si="2"/>
        <v>41</v>
      </c>
      <c r="BN43" s="147">
        <f t="shared" si="3"/>
        <v>0</v>
      </c>
      <c r="BO43" s="148">
        <f t="shared" si="4"/>
        <v>0</v>
      </c>
      <c r="BP43" s="147" t="str">
        <f t="shared" si="5"/>
        <v>0</v>
      </c>
      <c r="BQ43" s="149">
        <v>0</v>
      </c>
      <c r="BR43" s="149">
        <v>0</v>
      </c>
      <c r="BS43" s="147">
        <f t="shared" si="6"/>
        <v>0</v>
      </c>
      <c r="BT43" s="153">
        <v>0</v>
      </c>
      <c r="BU43" s="153">
        <v>0</v>
      </c>
      <c r="BV43" s="153">
        <v>0</v>
      </c>
      <c r="BW43" s="148">
        <f t="shared" si="7"/>
        <v>0</v>
      </c>
      <c r="BX43" s="151">
        <f t="shared" si="8"/>
        <v>0</v>
      </c>
    </row>
    <row r="44" spans="1:76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96" t="s">
        <v>124</v>
      </c>
      <c r="E44" s="96" t="s">
        <v>124</v>
      </c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88">
        <v>21</v>
      </c>
      <c r="BE44" s="142"/>
      <c r="BF44" s="88">
        <f t="shared" si="0"/>
        <v>21</v>
      </c>
      <c r="BG44" s="88">
        <v>41</v>
      </c>
      <c r="BH44" s="101">
        <f t="shared" si="1"/>
        <v>0.51219512195121952</v>
      </c>
      <c r="BI44" s="348"/>
      <c r="BJ44" s="105">
        <f>OVERALL!A39</f>
        <v>36</v>
      </c>
      <c r="BK44" s="105">
        <f>OVERALL!B39</f>
        <v>2301273</v>
      </c>
      <c r="BL44" s="106" t="str">
        <f>OVERALL!C39</f>
        <v>Sukhraj Singh</v>
      </c>
      <c r="BM44" s="147">
        <f t="shared" si="2"/>
        <v>41</v>
      </c>
      <c r="BN44" s="147">
        <f t="shared" si="3"/>
        <v>21</v>
      </c>
      <c r="BO44" s="148">
        <f t="shared" si="4"/>
        <v>51.219512195121958</v>
      </c>
      <c r="BP44" s="147" t="str">
        <f t="shared" si="5"/>
        <v>0</v>
      </c>
      <c r="BQ44" s="149">
        <v>18</v>
      </c>
      <c r="BR44" s="149">
        <v>8</v>
      </c>
      <c r="BS44" s="147">
        <f t="shared" si="6"/>
        <v>13</v>
      </c>
      <c r="BT44" s="153">
        <v>0</v>
      </c>
      <c r="BU44" s="153">
        <v>0</v>
      </c>
      <c r="BV44" s="153">
        <v>0</v>
      </c>
      <c r="BW44" s="148">
        <f t="shared" si="7"/>
        <v>0</v>
      </c>
      <c r="BX44" s="151">
        <f t="shared" si="8"/>
        <v>13</v>
      </c>
    </row>
    <row r="45" spans="1:76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96" t="s">
        <v>124</v>
      </c>
      <c r="E45" s="96" t="s">
        <v>124</v>
      </c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88">
        <v>13</v>
      </c>
      <c r="BE45" s="146">
        <v>5</v>
      </c>
      <c r="BF45" s="88">
        <f t="shared" si="0"/>
        <v>18</v>
      </c>
      <c r="BG45" s="88">
        <v>41</v>
      </c>
      <c r="BH45" s="101">
        <f t="shared" si="1"/>
        <v>0.43902439024390244</v>
      </c>
      <c r="BI45" s="348"/>
      <c r="BJ45" s="105">
        <f>OVERALL!A40</f>
        <v>37</v>
      </c>
      <c r="BK45" s="105">
        <f>OVERALL!B40</f>
        <v>2301274</v>
      </c>
      <c r="BL45" s="106" t="str">
        <f>OVERALL!C40</f>
        <v>Sukhreet Kaur</v>
      </c>
      <c r="BM45" s="147">
        <f t="shared" si="2"/>
        <v>41</v>
      </c>
      <c r="BN45" s="147">
        <f t="shared" si="3"/>
        <v>25</v>
      </c>
      <c r="BO45" s="148">
        <f t="shared" si="4"/>
        <v>60.975609756097562</v>
      </c>
      <c r="BP45" s="147" t="str">
        <f t="shared" si="5"/>
        <v>0</v>
      </c>
      <c r="BQ45" s="149">
        <v>24</v>
      </c>
      <c r="BR45" s="154">
        <v>24</v>
      </c>
      <c r="BS45" s="147">
        <f t="shared" si="6"/>
        <v>24</v>
      </c>
      <c r="BT45" s="153">
        <v>9</v>
      </c>
      <c r="BU45" s="153">
        <v>10</v>
      </c>
      <c r="BV45" s="153">
        <v>8</v>
      </c>
      <c r="BW45" s="148">
        <f t="shared" si="7"/>
        <v>9</v>
      </c>
      <c r="BX45" s="151">
        <f t="shared" si="8"/>
        <v>33</v>
      </c>
    </row>
    <row r="46" spans="1:76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96" t="s">
        <v>124</v>
      </c>
      <c r="E46" s="96" t="s">
        <v>124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88">
        <v>31</v>
      </c>
      <c r="BE46" s="146">
        <v>5</v>
      </c>
      <c r="BF46" s="88">
        <f>(BE46+BD46)</f>
        <v>36</v>
      </c>
      <c r="BG46" s="88">
        <v>41</v>
      </c>
      <c r="BH46" s="101">
        <f t="shared" si="1"/>
        <v>0.87804878048780488</v>
      </c>
      <c r="BI46" s="348"/>
      <c r="BJ46" s="105">
        <f>OVERALL!A41</f>
        <v>38</v>
      </c>
      <c r="BK46" s="105">
        <f>OVERALL!B41</f>
        <v>2301275</v>
      </c>
      <c r="BL46" s="106" t="str">
        <f>OVERALL!C41</f>
        <v>Suman Krishna</v>
      </c>
      <c r="BM46" s="147">
        <f t="shared" si="2"/>
        <v>41</v>
      </c>
      <c r="BN46" s="147">
        <f t="shared" si="3"/>
        <v>35</v>
      </c>
      <c r="BO46" s="148">
        <f t="shared" si="4"/>
        <v>85.365853658536594</v>
      </c>
      <c r="BP46" s="147" t="str">
        <f t="shared" si="5"/>
        <v>3</v>
      </c>
      <c r="BQ46" s="149">
        <v>7</v>
      </c>
      <c r="BR46" s="149">
        <v>10</v>
      </c>
      <c r="BS46" s="147">
        <f t="shared" si="6"/>
        <v>8.5</v>
      </c>
      <c r="BT46" s="153">
        <v>9</v>
      </c>
      <c r="BU46" s="153">
        <v>8</v>
      </c>
      <c r="BV46" s="153">
        <v>8</v>
      </c>
      <c r="BW46" s="148">
        <f t="shared" si="7"/>
        <v>8.3333333333333339</v>
      </c>
      <c r="BX46" s="151">
        <f t="shared" si="8"/>
        <v>20</v>
      </c>
    </row>
    <row r="47" spans="1:76" ht="15.75" customHeight="1">
      <c r="A47" s="105">
        <f>OVERALL!A46</f>
        <v>43</v>
      </c>
      <c r="B47" s="105">
        <f>OVERALL!B46</f>
        <v>2301280</v>
      </c>
      <c r="C47" s="106" t="str">
        <f>OVERALL!C46</f>
        <v>Taniya</v>
      </c>
      <c r="D47" s="96" t="s">
        <v>124</v>
      </c>
      <c r="E47" s="96" t="s">
        <v>124</v>
      </c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88">
        <v>33</v>
      </c>
      <c r="BE47" s="142"/>
      <c r="BF47" s="88">
        <f t="shared" ref="BF47:BF62" si="9">BD47+BE47</f>
        <v>33</v>
      </c>
      <c r="BG47" s="88">
        <v>41</v>
      </c>
      <c r="BH47" s="101">
        <f t="shared" si="1"/>
        <v>0.80487804878048785</v>
      </c>
      <c r="BI47" s="348"/>
      <c r="BJ47" s="105">
        <f>OVERALL!A42</f>
        <v>39</v>
      </c>
      <c r="BK47" s="105">
        <f>OVERALL!B42</f>
        <v>2301276</v>
      </c>
      <c r="BL47" s="106" t="str">
        <f>OVERALL!C42</f>
        <v>Sumanyu</v>
      </c>
      <c r="BM47" s="147">
        <f t="shared" si="2"/>
        <v>41</v>
      </c>
      <c r="BN47" s="147">
        <f t="shared" si="3"/>
        <v>0</v>
      </c>
      <c r="BO47" s="148">
        <f t="shared" si="4"/>
        <v>0</v>
      </c>
      <c r="BP47" s="147" t="str">
        <f t="shared" si="5"/>
        <v>0</v>
      </c>
      <c r="BQ47" s="149">
        <v>0</v>
      </c>
      <c r="BR47" s="149">
        <v>0</v>
      </c>
      <c r="BS47" s="147">
        <f t="shared" si="6"/>
        <v>0</v>
      </c>
      <c r="BT47" s="153">
        <v>0</v>
      </c>
      <c r="BU47" s="153">
        <v>0</v>
      </c>
      <c r="BV47" s="153">
        <v>0</v>
      </c>
      <c r="BW47" s="148">
        <f t="shared" si="7"/>
        <v>0</v>
      </c>
      <c r="BX47" s="151">
        <f t="shared" si="8"/>
        <v>0</v>
      </c>
    </row>
    <row r="48" spans="1:76" ht="15.75" customHeight="1">
      <c r="A48" s="105">
        <f>OVERALL!A47</f>
        <v>44</v>
      </c>
      <c r="B48" s="105">
        <f>OVERALL!B47</f>
        <v>2301281</v>
      </c>
      <c r="C48" s="106" t="str">
        <f>OVERALL!C47</f>
        <v>Taziko Trakha</v>
      </c>
      <c r="D48" s="96" t="s">
        <v>124</v>
      </c>
      <c r="E48" s="96" t="s">
        <v>124</v>
      </c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88">
        <v>24</v>
      </c>
      <c r="BE48" s="146">
        <v>11</v>
      </c>
      <c r="BF48" s="88">
        <f t="shared" si="9"/>
        <v>35</v>
      </c>
      <c r="BG48" s="88">
        <v>41</v>
      </c>
      <c r="BH48" s="101">
        <f t="shared" si="1"/>
        <v>0.85365853658536583</v>
      </c>
      <c r="BI48" s="348"/>
      <c r="BJ48" s="105">
        <f>OVERALL!A43</f>
        <v>40</v>
      </c>
      <c r="BK48" s="105">
        <f>OVERALL!B43</f>
        <v>2301277</v>
      </c>
      <c r="BL48" s="106" t="str">
        <f>OVERALL!C43</f>
        <v>Tamana</v>
      </c>
      <c r="BM48" s="147">
        <f t="shared" si="2"/>
        <v>41</v>
      </c>
      <c r="BN48" s="147">
        <f t="shared" si="3"/>
        <v>21</v>
      </c>
      <c r="BO48" s="148">
        <f t="shared" si="4"/>
        <v>51.219512195121958</v>
      </c>
      <c r="BP48" s="147" t="str">
        <f t="shared" si="5"/>
        <v>0</v>
      </c>
      <c r="BQ48" s="149">
        <v>22</v>
      </c>
      <c r="BR48" s="149">
        <v>10</v>
      </c>
      <c r="BS48" s="147">
        <f t="shared" si="6"/>
        <v>16</v>
      </c>
      <c r="BT48" s="153">
        <v>9</v>
      </c>
      <c r="BU48" s="153">
        <v>8</v>
      </c>
      <c r="BV48" s="153">
        <v>10</v>
      </c>
      <c r="BW48" s="148">
        <f t="shared" si="7"/>
        <v>9</v>
      </c>
      <c r="BX48" s="151">
        <f t="shared" si="8"/>
        <v>25</v>
      </c>
    </row>
    <row r="49" spans="1:76" ht="15.75" customHeight="1">
      <c r="A49" s="122">
        <v>45</v>
      </c>
      <c r="B49" s="105">
        <f>OVERALL!B48</f>
        <v>2301282</v>
      </c>
      <c r="C49" s="106" t="str">
        <f>OVERALL!C48</f>
        <v>Uday Kumar</v>
      </c>
      <c r="D49" s="96" t="s">
        <v>124</v>
      </c>
      <c r="E49" s="96" t="s">
        <v>124</v>
      </c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88">
        <v>17</v>
      </c>
      <c r="BE49" s="142"/>
      <c r="BF49" s="88">
        <f t="shared" si="9"/>
        <v>17</v>
      </c>
      <c r="BG49" s="88">
        <v>41</v>
      </c>
      <c r="BH49" s="101">
        <f t="shared" si="1"/>
        <v>0.41463414634146339</v>
      </c>
      <c r="BI49" s="348"/>
      <c r="BJ49" s="105">
        <f>OVERALL!A44</f>
        <v>41</v>
      </c>
      <c r="BK49" s="105">
        <f>OVERALL!B44</f>
        <v>2301278</v>
      </c>
      <c r="BL49" s="106" t="str">
        <f>OVERALL!C44</f>
        <v>Tamana Farooq Khanday</v>
      </c>
      <c r="BM49" s="147">
        <f t="shared" si="2"/>
        <v>41</v>
      </c>
      <c r="BN49" s="147">
        <f t="shared" si="3"/>
        <v>18</v>
      </c>
      <c r="BO49" s="148">
        <f t="shared" si="4"/>
        <v>43.902439024390247</v>
      </c>
      <c r="BP49" s="147" t="str">
        <f t="shared" si="5"/>
        <v>0</v>
      </c>
      <c r="BQ49" s="149">
        <v>0</v>
      </c>
      <c r="BR49" s="149">
        <v>14</v>
      </c>
      <c r="BS49" s="147">
        <f t="shared" si="6"/>
        <v>7</v>
      </c>
      <c r="BT49" s="153">
        <v>8</v>
      </c>
      <c r="BU49" s="153">
        <v>8</v>
      </c>
      <c r="BV49" s="153">
        <v>10</v>
      </c>
      <c r="BW49" s="148">
        <f t="shared" si="7"/>
        <v>8.6666666666666661</v>
      </c>
      <c r="BX49" s="151">
        <f t="shared" si="8"/>
        <v>16</v>
      </c>
    </row>
    <row r="50" spans="1:76" ht="15.75" customHeight="1">
      <c r="A50" s="122">
        <v>46</v>
      </c>
      <c r="B50" s="105">
        <f>OVERALL!B49</f>
        <v>2301283</v>
      </c>
      <c r="C50" s="106" t="str">
        <f>OVERALL!C49</f>
        <v>Vaibhav Shahi</v>
      </c>
      <c r="D50" s="96" t="s">
        <v>124</v>
      </c>
      <c r="E50" s="96" t="s">
        <v>124</v>
      </c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88">
        <v>26</v>
      </c>
      <c r="BE50" s="142"/>
      <c r="BF50" s="88">
        <f t="shared" si="9"/>
        <v>26</v>
      </c>
      <c r="BG50" s="88">
        <v>41</v>
      </c>
      <c r="BH50" s="101">
        <f t="shared" si="1"/>
        <v>0.63414634146341464</v>
      </c>
      <c r="BI50" s="348"/>
      <c r="BJ50" s="105">
        <f>OVERALL!A45</f>
        <v>42</v>
      </c>
      <c r="BK50" s="105">
        <f>OVERALL!B45</f>
        <v>2301279</v>
      </c>
      <c r="BL50" s="106" t="str">
        <f>OVERALL!C45</f>
        <v>Tania</v>
      </c>
      <c r="BM50" s="147">
        <f t="shared" si="2"/>
        <v>41</v>
      </c>
      <c r="BN50" s="147">
        <f t="shared" si="3"/>
        <v>36</v>
      </c>
      <c r="BO50" s="148">
        <f t="shared" si="4"/>
        <v>87.804878048780495</v>
      </c>
      <c r="BP50" s="147" t="str">
        <f t="shared" si="5"/>
        <v>4</v>
      </c>
      <c r="BQ50" s="149">
        <v>15</v>
      </c>
      <c r="BR50" s="149">
        <v>16</v>
      </c>
      <c r="BS50" s="147">
        <f t="shared" si="6"/>
        <v>15.5</v>
      </c>
      <c r="BT50" s="153">
        <v>8</v>
      </c>
      <c r="BU50" s="153">
        <v>9</v>
      </c>
      <c r="BV50" s="153">
        <v>10</v>
      </c>
      <c r="BW50" s="148">
        <f t="shared" si="7"/>
        <v>9</v>
      </c>
      <c r="BX50" s="151">
        <f t="shared" si="8"/>
        <v>29</v>
      </c>
    </row>
    <row r="51" spans="1:76" ht="15.75" customHeight="1">
      <c r="A51" s="122">
        <v>47</v>
      </c>
      <c r="B51" s="105">
        <f>OVERALL!B50</f>
        <v>2301284</v>
      </c>
      <c r="C51" s="106" t="str">
        <f>OVERALL!C50</f>
        <v>Vansh Kumar</v>
      </c>
      <c r="D51" s="96" t="s">
        <v>124</v>
      </c>
      <c r="E51" s="96" t="s">
        <v>124</v>
      </c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88">
        <v>0</v>
      </c>
      <c r="BE51" s="142"/>
      <c r="BF51" s="88">
        <f t="shared" si="9"/>
        <v>0</v>
      </c>
      <c r="BG51" s="88">
        <v>41</v>
      </c>
      <c r="BH51" s="101">
        <f t="shared" si="1"/>
        <v>0</v>
      </c>
      <c r="BI51" s="348"/>
      <c r="BJ51" s="105">
        <f>OVERALL!A46</f>
        <v>43</v>
      </c>
      <c r="BK51" s="105">
        <f>OVERALL!B46</f>
        <v>2301280</v>
      </c>
      <c r="BL51" s="106" t="str">
        <f>OVERALL!C46</f>
        <v>Taniya</v>
      </c>
      <c r="BM51" s="147">
        <f t="shared" si="2"/>
        <v>41</v>
      </c>
      <c r="BN51" s="147">
        <f t="shared" si="3"/>
        <v>33</v>
      </c>
      <c r="BO51" s="148">
        <f t="shared" si="4"/>
        <v>80.487804878048792</v>
      </c>
      <c r="BP51" s="147" t="str">
        <f t="shared" si="5"/>
        <v>2</v>
      </c>
      <c r="BQ51" s="149">
        <v>17</v>
      </c>
      <c r="BR51" s="149">
        <v>12</v>
      </c>
      <c r="BS51" s="147">
        <f t="shared" si="6"/>
        <v>14.5</v>
      </c>
      <c r="BT51" s="153">
        <v>9</v>
      </c>
      <c r="BU51" s="153">
        <v>9</v>
      </c>
      <c r="BV51" s="153">
        <v>0</v>
      </c>
      <c r="BW51" s="148">
        <f t="shared" si="7"/>
        <v>6</v>
      </c>
      <c r="BX51" s="151">
        <f t="shared" si="8"/>
        <v>23</v>
      </c>
    </row>
    <row r="52" spans="1:76" ht="15.75" customHeight="1">
      <c r="A52" s="122">
        <v>48</v>
      </c>
      <c r="B52" s="105">
        <f>OVERALL!B51</f>
        <v>2301285</v>
      </c>
      <c r="C52" s="106" t="str">
        <f>OVERALL!C51</f>
        <v>Vansh Sharma</v>
      </c>
      <c r="D52" s="96" t="s">
        <v>124</v>
      </c>
      <c r="E52" s="96" t="s">
        <v>124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88">
        <v>25</v>
      </c>
      <c r="BE52" s="142"/>
      <c r="BF52" s="88">
        <f t="shared" si="9"/>
        <v>25</v>
      </c>
      <c r="BG52" s="88">
        <v>41</v>
      </c>
      <c r="BH52" s="101">
        <f t="shared" si="1"/>
        <v>0.6097560975609756</v>
      </c>
      <c r="BI52" s="348"/>
      <c r="BJ52" s="105">
        <f>OVERALL!A47</f>
        <v>44</v>
      </c>
      <c r="BK52" s="105">
        <f>OVERALL!B47</f>
        <v>2301281</v>
      </c>
      <c r="BL52" s="106" t="str">
        <f>OVERALL!C47</f>
        <v>Taziko Trakha</v>
      </c>
      <c r="BM52" s="147">
        <f t="shared" si="2"/>
        <v>41</v>
      </c>
      <c r="BN52" s="147">
        <f t="shared" si="3"/>
        <v>35</v>
      </c>
      <c r="BO52" s="148">
        <f t="shared" si="4"/>
        <v>85.365853658536594</v>
      </c>
      <c r="BP52" s="147" t="str">
        <f t="shared" si="5"/>
        <v>3</v>
      </c>
      <c r="BQ52" s="149">
        <v>24</v>
      </c>
      <c r="BR52" s="149">
        <v>6</v>
      </c>
      <c r="BS52" s="147">
        <f t="shared" si="6"/>
        <v>15</v>
      </c>
      <c r="BT52" s="153">
        <v>8</v>
      </c>
      <c r="BU52" s="153">
        <v>8</v>
      </c>
      <c r="BV52" s="153">
        <v>10</v>
      </c>
      <c r="BW52" s="148">
        <f t="shared" si="7"/>
        <v>8.6666666666666661</v>
      </c>
      <c r="BX52" s="151">
        <f t="shared" si="8"/>
        <v>27</v>
      </c>
    </row>
    <row r="53" spans="1:76" ht="15.75" customHeight="1">
      <c r="A53" s="122">
        <v>49</v>
      </c>
      <c r="B53" s="105">
        <f>OVERALL!B52</f>
        <v>2301286</v>
      </c>
      <c r="C53" s="106" t="str">
        <f>OVERALL!C52</f>
        <v>Vikramjit Singh</v>
      </c>
      <c r="D53" s="96" t="s">
        <v>124</v>
      </c>
      <c r="E53" s="96" t="s">
        <v>124</v>
      </c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88">
        <v>0</v>
      </c>
      <c r="BE53" s="142"/>
      <c r="BF53" s="88">
        <f t="shared" si="9"/>
        <v>0</v>
      </c>
      <c r="BG53" s="88">
        <v>41</v>
      </c>
      <c r="BH53" s="101">
        <f t="shared" si="1"/>
        <v>0</v>
      </c>
      <c r="BI53" s="348"/>
      <c r="BJ53" s="155">
        <v>45</v>
      </c>
      <c r="BK53" s="105">
        <f>OVERALL!B48</f>
        <v>2301282</v>
      </c>
      <c r="BL53" s="106" t="str">
        <f>OVERALL!C48</f>
        <v>Uday Kumar</v>
      </c>
      <c r="BM53" s="147">
        <f t="shared" si="2"/>
        <v>41</v>
      </c>
      <c r="BN53" s="147">
        <f t="shared" si="3"/>
        <v>17</v>
      </c>
      <c r="BO53" s="148">
        <f t="shared" si="4"/>
        <v>41.463414634146346</v>
      </c>
      <c r="BP53" s="147" t="str">
        <f t="shared" si="5"/>
        <v>0</v>
      </c>
      <c r="BQ53" s="149">
        <v>0</v>
      </c>
      <c r="BR53" s="149">
        <v>0</v>
      </c>
      <c r="BS53" s="147">
        <f t="shared" si="6"/>
        <v>0</v>
      </c>
      <c r="BT53" s="153">
        <v>8</v>
      </c>
      <c r="BU53" s="153">
        <v>10</v>
      </c>
      <c r="BV53" s="153">
        <v>0</v>
      </c>
      <c r="BW53" s="148">
        <f t="shared" si="7"/>
        <v>6</v>
      </c>
      <c r="BX53" s="151">
        <f t="shared" si="8"/>
        <v>6</v>
      </c>
    </row>
    <row r="54" spans="1:76" ht="15.75" customHeight="1">
      <c r="A54" s="122">
        <v>50</v>
      </c>
      <c r="B54" s="105">
        <f>OVERALL!B53</f>
        <v>2301287</v>
      </c>
      <c r="C54" s="106" t="str">
        <f>OVERALL!C53</f>
        <v>Vishavjit Singh</v>
      </c>
      <c r="D54" s="96" t="s">
        <v>124</v>
      </c>
      <c r="E54" s="96" t="s">
        <v>124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88">
        <v>0</v>
      </c>
      <c r="BE54" s="142"/>
      <c r="BF54" s="88">
        <f t="shared" si="9"/>
        <v>0</v>
      </c>
      <c r="BG54" s="88">
        <v>41</v>
      </c>
      <c r="BH54" s="101">
        <f t="shared" si="1"/>
        <v>0</v>
      </c>
      <c r="BI54" s="348"/>
      <c r="BJ54" s="155">
        <v>46</v>
      </c>
      <c r="BK54" s="105">
        <f>OVERALL!B49</f>
        <v>2301283</v>
      </c>
      <c r="BL54" s="106" t="str">
        <f>OVERALL!C49</f>
        <v>Vaibhav Shahi</v>
      </c>
      <c r="BM54" s="147">
        <f t="shared" si="2"/>
        <v>41</v>
      </c>
      <c r="BN54" s="147">
        <f t="shared" si="3"/>
        <v>26</v>
      </c>
      <c r="BO54" s="148">
        <f t="shared" si="4"/>
        <v>63.41463414634147</v>
      </c>
      <c r="BP54" s="147" t="str">
        <f t="shared" si="5"/>
        <v>0</v>
      </c>
      <c r="BQ54" s="149">
        <v>0</v>
      </c>
      <c r="BR54" s="149">
        <v>0</v>
      </c>
      <c r="BS54" s="147">
        <f t="shared" si="6"/>
        <v>0</v>
      </c>
      <c r="BT54" s="153">
        <v>8</v>
      </c>
      <c r="BU54" s="153">
        <v>8</v>
      </c>
      <c r="BV54" s="153">
        <v>0</v>
      </c>
      <c r="BW54" s="148">
        <f t="shared" si="7"/>
        <v>5.333333333333333</v>
      </c>
      <c r="BX54" s="151">
        <f t="shared" si="8"/>
        <v>5</v>
      </c>
    </row>
    <row r="55" spans="1:76" ht="15.75" customHeight="1">
      <c r="A55" s="122">
        <v>51</v>
      </c>
      <c r="B55" s="105">
        <f>OVERALL!B54</f>
        <v>2339508</v>
      </c>
      <c r="C55" s="106" t="str">
        <f>OVERALL!C54</f>
        <v>TANISHA</v>
      </c>
      <c r="D55" s="96" t="s">
        <v>124</v>
      </c>
      <c r="E55" s="96" t="s">
        <v>124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88">
        <v>27</v>
      </c>
      <c r="BE55" s="146">
        <v>5</v>
      </c>
      <c r="BF55" s="88">
        <f t="shared" si="9"/>
        <v>32</v>
      </c>
      <c r="BG55" s="88">
        <v>41</v>
      </c>
      <c r="BH55" s="101">
        <f t="shared" si="1"/>
        <v>0.78048780487804881</v>
      </c>
      <c r="BI55" s="348"/>
      <c r="BJ55" s="155">
        <v>47</v>
      </c>
      <c r="BK55" s="105">
        <f>OVERALL!B50</f>
        <v>2301284</v>
      </c>
      <c r="BL55" s="106" t="str">
        <f>OVERALL!C50</f>
        <v>Vansh Kumar</v>
      </c>
      <c r="BM55" s="147">
        <f t="shared" si="2"/>
        <v>41</v>
      </c>
      <c r="BN55" s="147">
        <f t="shared" si="3"/>
        <v>0</v>
      </c>
      <c r="BO55" s="148">
        <f t="shared" si="4"/>
        <v>0</v>
      </c>
      <c r="BP55" s="147" t="str">
        <f t="shared" si="5"/>
        <v>0</v>
      </c>
      <c r="BQ55" s="149">
        <v>0</v>
      </c>
      <c r="BR55" s="149">
        <v>0</v>
      </c>
      <c r="BS55" s="147">
        <f t="shared" si="6"/>
        <v>0</v>
      </c>
      <c r="BT55" s="153">
        <v>0</v>
      </c>
      <c r="BU55" s="153">
        <v>0</v>
      </c>
      <c r="BV55" s="153">
        <v>0</v>
      </c>
      <c r="BW55" s="148">
        <f t="shared" si="7"/>
        <v>0</v>
      </c>
      <c r="BX55" s="151">
        <f t="shared" si="8"/>
        <v>0</v>
      </c>
    </row>
    <row r="56" spans="1:76" ht="15.75" customHeight="1">
      <c r="A56" s="122">
        <v>52</v>
      </c>
      <c r="B56" s="105">
        <f>OVERALL!B55</f>
        <v>2339509</v>
      </c>
      <c r="C56" s="106" t="str">
        <f>OVERALL!C55</f>
        <v>TOHIED AHMED</v>
      </c>
      <c r="D56" s="96" t="s">
        <v>123</v>
      </c>
      <c r="E56" s="96" t="s">
        <v>124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88">
        <v>0</v>
      </c>
      <c r="BE56" s="142"/>
      <c r="BF56" s="88">
        <f t="shared" si="9"/>
        <v>0</v>
      </c>
      <c r="BG56" s="88">
        <v>41</v>
      </c>
      <c r="BH56" s="101">
        <f t="shared" si="1"/>
        <v>0</v>
      </c>
      <c r="BI56" s="348"/>
      <c r="BJ56" s="155">
        <v>48</v>
      </c>
      <c r="BK56" s="105">
        <f>OVERALL!B51</f>
        <v>2301285</v>
      </c>
      <c r="BL56" s="106" t="str">
        <f>OVERALL!C51</f>
        <v>Vansh Sharma</v>
      </c>
      <c r="BM56" s="147">
        <f t="shared" si="2"/>
        <v>41</v>
      </c>
      <c r="BN56" s="147">
        <f t="shared" si="3"/>
        <v>25</v>
      </c>
      <c r="BO56" s="148">
        <f t="shared" si="4"/>
        <v>60.975609756097562</v>
      </c>
      <c r="BP56" s="147" t="str">
        <f t="shared" si="5"/>
        <v>0</v>
      </c>
      <c r="BQ56" s="149">
        <v>0</v>
      </c>
      <c r="BR56" s="149">
        <v>0</v>
      </c>
      <c r="BS56" s="147">
        <f t="shared" si="6"/>
        <v>0</v>
      </c>
      <c r="BT56" s="153">
        <v>8</v>
      </c>
      <c r="BU56" s="153">
        <v>8</v>
      </c>
      <c r="BV56" s="153">
        <v>0</v>
      </c>
      <c r="BW56" s="148">
        <f t="shared" si="7"/>
        <v>5.333333333333333</v>
      </c>
      <c r="BX56" s="151">
        <f t="shared" si="8"/>
        <v>5</v>
      </c>
    </row>
    <row r="57" spans="1:76" ht="15.75" customHeight="1">
      <c r="A57" s="122">
        <v>53</v>
      </c>
      <c r="B57" s="105">
        <f>OVERALL!B56</f>
        <v>2301207</v>
      </c>
      <c r="C57" s="106" t="str">
        <f>OVERALL!C56</f>
        <v>Harsh thakur</v>
      </c>
      <c r="D57" s="96" t="s">
        <v>124</v>
      </c>
      <c r="E57" s="96" t="s">
        <v>124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88">
        <v>0</v>
      </c>
      <c r="BE57" s="142"/>
      <c r="BF57" s="88">
        <f t="shared" si="9"/>
        <v>0</v>
      </c>
      <c r="BG57" s="88">
        <v>41</v>
      </c>
      <c r="BH57" s="101">
        <f t="shared" si="1"/>
        <v>0</v>
      </c>
      <c r="BI57" s="348"/>
      <c r="BJ57" s="155">
        <v>49</v>
      </c>
      <c r="BK57" s="105">
        <f>OVERALL!B52</f>
        <v>2301286</v>
      </c>
      <c r="BL57" s="106" t="str">
        <f>OVERALL!C52</f>
        <v>Vikramjit Singh</v>
      </c>
      <c r="BM57" s="147">
        <f t="shared" si="2"/>
        <v>41</v>
      </c>
      <c r="BN57" s="147">
        <f t="shared" si="3"/>
        <v>0</v>
      </c>
      <c r="BO57" s="148">
        <f t="shared" si="4"/>
        <v>0</v>
      </c>
      <c r="BP57" s="147" t="str">
        <f t="shared" si="5"/>
        <v>0</v>
      </c>
      <c r="BQ57" s="149">
        <v>0</v>
      </c>
      <c r="BR57" s="149">
        <v>0</v>
      </c>
      <c r="BS57" s="147">
        <f t="shared" si="6"/>
        <v>0</v>
      </c>
      <c r="BT57" s="153">
        <v>0</v>
      </c>
      <c r="BU57" s="153">
        <v>0</v>
      </c>
      <c r="BV57" s="153">
        <v>0</v>
      </c>
      <c r="BW57" s="148">
        <f t="shared" si="7"/>
        <v>0</v>
      </c>
      <c r="BX57" s="151">
        <f t="shared" si="8"/>
        <v>0</v>
      </c>
    </row>
    <row r="58" spans="1:76" ht="15.75" customHeight="1">
      <c r="A58" s="122">
        <v>54</v>
      </c>
      <c r="B58" s="105" t="str">
        <f>OVERALL!B57</f>
        <v>Leet</v>
      </c>
      <c r="C58" s="106" t="str">
        <f>OVERALL!C57</f>
        <v>Gagan</v>
      </c>
      <c r="D58" s="96" t="s">
        <v>124</v>
      </c>
      <c r="E58" s="96" t="s">
        <v>124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88">
        <v>33</v>
      </c>
      <c r="BE58" s="142"/>
      <c r="BF58" s="88">
        <f t="shared" si="9"/>
        <v>33</v>
      </c>
      <c r="BG58" s="88">
        <v>41</v>
      </c>
      <c r="BH58" s="101">
        <f t="shared" si="1"/>
        <v>0.80487804878048785</v>
      </c>
      <c r="BI58" s="348"/>
      <c r="BJ58" s="155">
        <v>50</v>
      </c>
      <c r="BK58" s="105">
        <f>OVERALL!B53</f>
        <v>2301287</v>
      </c>
      <c r="BL58" s="106" t="str">
        <f>OVERALL!C53</f>
        <v>Vishavjit Singh</v>
      </c>
      <c r="BM58" s="147">
        <f t="shared" si="2"/>
        <v>41</v>
      </c>
      <c r="BN58" s="147">
        <f t="shared" si="3"/>
        <v>0</v>
      </c>
      <c r="BO58" s="148">
        <f t="shared" si="4"/>
        <v>0</v>
      </c>
      <c r="BP58" s="147" t="str">
        <f t="shared" si="5"/>
        <v>0</v>
      </c>
      <c r="BQ58" s="149">
        <v>0</v>
      </c>
      <c r="BR58" s="149">
        <v>0</v>
      </c>
      <c r="BS58" s="147">
        <f t="shared" si="6"/>
        <v>0</v>
      </c>
      <c r="BT58" s="153">
        <v>0</v>
      </c>
      <c r="BU58" s="153">
        <v>0</v>
      </c>
      <c r="BV58" s="153">
        <v>0</v>
      </c>
      <c r="BW58" s="148">
        <f t="shared" si="7"/>
        <v>0</v>
      </c>
      <c r="BX58" s="151">
        <f t="shared" si="8"/>
        <v>0</v>
      </c>
    </row>
    <row r="59" spans="1:76" ht="15.75" customHeight="1">
      <c r="A59" s="122">
        <v>55</v>
      </c>
      <c r="B59" s="105" t="str">
        <f>OVERALL!B58</f>
        <v>Leet</v>
      </c>
      <c r="C59" s="106" t="str">
        <f>OVERALL!C58</f>
        <v>Manisha</v>
      </c>
      <c r="D59" s="96" t="s">
        <v>124</v>
      </c>
      <c r="E59" s="96" t="s">
        <v>124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88">
        <v>37</v>
      </c>
      <c r="BE59" s="142"/>
      <c r="BF59" s="88">
        <f t="shared" si="9"/>
        <v>37</v>
      </c>
      <c r="BG59" s="88">
        <v>41</v>
      </c>
      <c r="BH59" s="101">
        <f t="shared" si="1"/>
        <v>0.90243902439024393</v>
      </c>
      <c r="BI59" s="348"/>
      <c r="BJ59" s="155">
        <v>51</v>
      </c>
      <c r="BK59" s="105">
        <f>OVERALL!B54</f>
        <v>2339508</v>
      </c>
      <c r="BL59" s="106" t="str">
        <f>OVERALL!C54</f>
        <v>TANISHA</v>
      </c>
      <c r="BM59" s="147">
        <f t="shared" si="2"/>
        <v>41</v>
      </c>
      <c r="BN59" s="147">
        <f t="shared" si="3"/>
        <v>32</v>
      </c>
      <c r="BO59" s="148">
        <f t="shared" si="4"/>
        <v>78.048780487804876</v>
      </c>
      <c r="BP59" s="147" t="str">
        <f t="shared" si="5"/>
        <v>2</v>
      </c>
      <c r="BQ59" s="149">
        <v>16</v>
      </c>
      <c r="BR59" s="149">
        <v>0</v>
      </c>
      <c r="BS59" s="147">
        <f t="shared" si="6"/>
        <v>8</v>
      </c>
      <c r="BT59" s="153">
        <v>7</v>
      </c>
      <c r="BU59" s="153">
        <v>8</v>
      </c>
      <c r="BV59" s="153">
        <v>10</v>
      </c>
      <c r="BW59" s="148">
        <f t="shared" si="7"/>
        <v>8.3333333333333339</v>
      </c>
      <c r="BX59" s="151">
        <f t="shared" si="8"/>
        <v>18</v>
      </c>
    </row>
    <row r="60" spans="1:76" ht="15.75" customHeight="1">
      <c r="A60" s="122">
        <v>56</v>
      </c>
      <c r="B60" s="105" t="str">
        <f>OVERALL!B59</f>
        <v>Leet</v>
      </c>
      <c r="C60" s="106" t="str">
        <f>OVERALL!C59</f>
        <v>Richa</v>
      </c>
      <c r="D60" s="96" t="s">
        <v>124</v>
      </c>
      <c r="E60" s="96" t="s">
        <v>124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15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88">
        <v>37</v>
      </c>
      <c r="BE60" s="146">
        <v>0</v>
      </c>
      <c r="BF60" s="88">
        <f t="shared" si="9"/>
        <v>37</v>
      </c>
      <c r="BG60" s="88">
        <v>41</v>
      </c>
      <c r="BH60" s="101">
        <f t="shared" si="1"/>
        <v>0.90243902439024393</v>
      </c>
      <c r="BI60" s="348"/>
      <c r="BJ60" s="155">
        <v>52</v>
      </c>
      <c r="BK60" s="105">
        <f>OVERALL!B55</f>
        <v>2339509</v>
      </c>
      <c r="BL60" s="106" t="str">
        <f>OVERALL!C55</f>
        <v>TOHIED AHMED</v>
      </c>
      <c r="BM60" s="147">
        <f t="shared" si="2"/>
        <v>41</v>
      </c>
      <c r="BN60" s="147">
        <f t="shared" si="3"/>
        <v>0</v>
      </c>
      <c r="BO60" s="148">
        <f t="shared" si="4"/>
        <v>0</v>
      </c>
      <c r="BP60" s="147" t="str">
        <f t="shared" si="5"/>
        <v>0</v>
      </c>
      <c r="BQ60" s="149">
        <v>0</v>
      </c>
      <c r="BR60" s="149">
        <v>0</v>
      </c>
      <c r="BS60" s="147">
        <f t="shared" si="6"/>
        <v>0</v>
      </c>
      <c r="BT60" s="153">
        <v>0</v>
      </c>
      <c r="BU60" s="153">
        <v>0</v>
      </c>
      <c r="BV60" s="153">
        <v>0</v>
      </c>
      <c r="BW60" s="148">
        <f t="shared" si="7"/>
        <v>0</v>
      </c>
      <c r="BX60" s="151">
        <f t="shared" si="8"/>
        <v>0</v>
      </c>
    </row>
    <row r="61" spans="1:76" ht="15.75" customHeight="1">
      <c r="A61" s="157">
        <v>57</v>
      </c>
      <c r="B61" s="158" t="s">
        <v>72</v>
      </c>
      <c r="C61" s="106" t="str">
        <f>OVERALL!C60</f>
        <v>Prakriti</v>
      </c>
      <c r="D61" s="103" t="s">
        <v>123</v>
      </c>
      <c r="E61" s="96" t="s">
        <v>124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88">
        <v>26</v>
      </c>
      <c r="BE61" s="142"/>
      <c r="BF61" s="88">
        <f t="shared" si="9"/>
        <v>26</v>
      </c>
      <c r="BG61" s="88">
        <v>27</v>
      </c>
      <c r="BH61" s="101">
        <f t="shared" si="1"/>
        <v>0.96296296296296291</v>
      </c>
      <c r="BI61" s="348"/>
      <c r="BJ61" s="155">
        <v>53</v>
      </c>
      <c r="BK61" s="105">
        <f>OVERALL!B56</f>
        <v>2301207</v>
      </c>
      <c r="BL61" s="106" t="str">
        <f>OVERALL!C56</f>
        <v>Harsh thakur</v>
      </c>
      <c r="BM61" s="147">
        <f t="shared" si="2"/>
        <v>41</v>
      </c>
      <c r="BN61" s="147">
        <f t="shared" si="3"/>
        <v>0</v>
      </c>
      <c r="BO61" s="148">
        <f t="shared" si="4"/>
        <v>0</v>
      </c>
      <c r="BP61" s="147" t="str">
        <f t="shared" si="5"/>
        <v>0</v>
      </c>
      <c r="BQ61" s="149">
        <v>0</v>
      </c>
      <c r="BR61" s="149">
        <v>0</v>
      </c>
      <c r="BS61" s="147">
        <f t="shared" si="6"/>
        <v>0</v>
      </c>
      <c r="BT61" s="153">
        <v>0</v>
      </c>
      <c r="BU61" s="153">
        <v>0</v>
      </c>
      <c r="BV61" s="153">
        <v>0</v>
      </c>
      <c r="BW61" s="148">
        <f t="shared" si="7"/>
        <v>0</v>
      </c>
      <c r="BX61" s="151">
        <f t="shared" si="8"/>
        <v>0</v>
      </c>
    </row>
    <row r="62" spans="1:76" ht="15.75" customHeight="1">
      <c r="A62" s="157">
        <v>58</v>
      </c>
      <c r="B62" s="158" t="s">
        <v>72</v>
      </c>
      <c r="C62" s="106" t="str">
        <f>OVERALL!C61</f>
        <v>Shubham</v>
      </c>
      <c r="D62" s="103" t="s">
        <v>123</v>
      </c>
      <c r="E62" s="96" t="s">
        <v>124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15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88">
        <v>18</v>
      </c>
      <c r="BE62" s="142"/>
      <c r="BF62" s="88">
        <f t="shared" si="9"/>
        <v>18</v>
      </c>
      <c r="BG62" s="88">
        <v>21</v>
      </c>
      <c r="BH62" s="101">
        <f t="shared" si="1"/>
        <v>0.8571428571428571</v>
      </c>
      <c r="BI62" s="348"/>
      <c r="BJ62" s="155">
        <v>54</v>
      </c>
      <c r="BK62" s="105" t="str">
        <f>OVERALL!B57</f>
        <v>Leet</v>
      </c>
      <c r="BL62" s="106" t="str">
        <f>OVERALL!C57</f>
        <v>Gagan</v>
      </c>
      <c r="BM62" s="147">
        <f t="shared" si="2"/>
        <v>41</v>
      </c>
      <c r="BN62" s="147">
        <f t="shared" si="3"/>
        <v>33</v>
      </c>
      <c r="BO62" s="148">
        <f t="shared" si="4"/>
        <v>80.487804878048792</v>
      </c>
      <c r="BP62" s="147" t="str">
        <f t="shared" si="5"/>
        <v>2</v>
      </c>
      <c r="BQ62" s="149">
        <v>18</v>
      </c>
      <c r="BR62" s="149">
        <v>6</v>
      </c>
      <c r="BS62" s="147">
        <f t="shared" si="6"/>
        <v>12</v>
      </c>
      <c r="BT62" s="153">
        <v>8</v>
      </c>
      <c r="BU62" s="153">
        <v>8</v>
      </c>
      <c r="BV62" s="153">
        <v>10</v>
      </c>
      <c r="BW62" s="148">
        <f t="shared" si="7"/>
        <v>8.6666666666666661</v>
      </c>
      <c r="BX62" s="151">
        <f t="shared" si="8"/>
        <v>23</v>
      </c>
    </row>
    <row r="63" spans="1:76" ht="15.75" customHeight="1">
      <c r="A63" s="157"/>
      <c r="B63" s="159"/>
      <c r="C63" s="106"/>
      <c r="D63" s="103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88"/>
      <c r="BE63" s="88"/>
      <c r="BF63" s="88"/>
      <c r="BG63" s="88"/>
      <c r="BH63" s="101"/>
      <c r="BI63" s="348"/>
      <c r="BJ63" s="155">
        <v>55</v>
      </c>
      <c r="BK63" s="105" t="str">
        <f>OVERALL!B58</f>
        <v>Leet</v>
      </c>
      <c r="BL63" s="106" t="str">
        <f>OVERALL!C58</f>
        <v>Manisha</v>
      </c>
      <c r="BM63" s="147">
        <f t="shared" si="2"/>
        <v>41</v>
      </c>
      <c r="BN63" s="147">
        <f t="shared" si="3"/>
        <v>37</v>
      </c>
      <c r="BO63" s="148">
        <f t="shared" si="4"/>
        <v>90.243902439024396</v>
      </c>
      <c r="BP63" s="147" t="str">
        <f t="shared" si="5"/>
        <v>4</v>
      </c>
      <c r="BQ63" s="149">
        <v>24</v>
      </c>
      <c r="BR63" s="149">
        <v>8</v>
      </c>
      <c r="BS63" s="147">
        <f t="shared" si="6"/>
        <v>16</v>
      </c>
      <c r="BT63" s="153">
        <v>8</v>
      </c>
      <c r="BU63" s="153">
        <v>10</v>
      </c>
      <c r="BV63" s="153">
        <v>9</v>
      </c>
      <c r="BW63" s="148">
        <f t="shared" si="7"/>
        <v>9</v>
      </c>
      <c r="BX63" s="151">
        <f t="shared" si="8"/>
        <v>29</v>
      </c>
    </row>
    <row r="64" spans="1:76" ht="15.75" customHeight="1">
      <c r="A64" s="157"/>
      <c r="B64" s="159"/>
      <c r="C64" s="106"/>
      <c r="D64" s="103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15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88"/>
      <c r="BE64" s="88"/>
      <c r="BF64" s="88"/>
      <c r="BG64" s="88"/>
      <c r="BH64" s="101"/>
      <c r="BI64" s="348"/>
      <c r="BJ64" s="155">
        <v>56</v>
      </c>
      <c r="BK64" s="105" t="str">
        <f>OVERALL!B59</f>
        <v>Leet</v>
      </c>
      <c r="BL64" s="106" t="str">
        <f>OVERALL!C59</f>
        <v>Richa</v>
      </c>
      <c r="BM64" s="147">
        <f t="shared" si="2"/>
        <v>41</v>
      </c>
      <c r="BN64" s="147">
        <f t="shared" si="3"/>
        <v>37</v>
      </c>
      <c r="BO64" s="148">
        <f t="shared" si="4"/>
        <v>90.243902439024396</v>
      </c>
      <c r="BP64" s="147" t="str">
        <f t="shared" si="5"/>
        <v>4</v>
      </c>
      <c r="BQ64" s="149">
        <v>24</v>
      </c>
      <c r="BR64" s="149">
        <v>19</v>
      </c>
      <c r="BS64" s="147">
        <f t="shared" si="6"/>
        <v>21.5</v>
      </c>
      <c r="BT64" s="153">
        <v>8</v>
      </c>
      <c r="BU64" s="153">
        <v>10</v>
      </c>
      <c r="BV64" s="153">
        <v>9</v>
      </c>
      <c r="BW64" s="148">
        <f t="shared" si="7"/>
        <v>9</v>
      </c>
      <c r="BX64" s="151">
        <f t="shared" si="8"/>
        <v>35</v>
      </c>
    </row>
    <row r="65" spans="1:76" ht="15.75" customHeight="1">
      <c r="A65" s="157"/>
      <c r="B65" s="159"/>
      <c r="C65" s="106"/>
      <c r="D65" s="103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88"/>
      <c r="BE65" s="88"/>
      <c r="BF65" s="88"/>
      <c r="BG65" s="88"/>
      <c r="BH65" s="101"/>
      <c r="BI65" s="348"/>
      <c r="BJ65" s="160">
        <v>57</v>
      </c>
      <c r="BK65" s="158" t="s">
        <v>72</v>
      </c>
      <c r="BL65" s="106" t="s">
        <v>76</v>
      </c>
      <c r="BM65" s="147">
        <f t="shared" si="2"/>
        <v>27</v>
      </c>
      <c r="BN65" s="147">
        <f t="shared" si="3"/>
        <v>26</v>
      </c>
      <c r="BO65" s="148">
        <f t="shared" si="4"/>
        <v>96.296296296296291</v>
      </c>
      <c r="BP65" s="147" t="str">
        <f t="shared" si="5"/>
        <v>6</v>
      </c>
      <c r="BQ65" s="149">
        <v>24</v>
      </c>
      <c r="BR65" s="149">
        <v>13</v>
      </c>
      <c r="BS65" s="147">
        <f t="shared" si="6"/>
        <v>18.5</v>
      </c>
      <c r="BT65" s="153">
        <v>9</v>
      </c>
      <c r="BU65" s="153">
        <v>10</v>
      </c>
      <c r="BV65" s="153">
        <v>8</v>
      </c>
      <c r="BW65" s="148">
        <f t="shared" si="7"/>
        <v>9</v>
      </c>
      <c r="BX65" s="151">
        <f t="shared" si="8"/>
        <v>34</v>
      </c>
    </row>
    <row r="66" spans="1:76" ht="15.75" customHeight="1">
      <c r="A66" s="161"/>
      <c r="B66" s="159"/>
      <c r="C66" s="162"/>
      <c r="D66" s="103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15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88"/>
      <c r="BE66" s="88"/>
      <c r="BF66" s="88"/>
      <c r="BG66" s="88"/>
      <c r="BH66" s="101"/>
      <c r="BI66" s="348"/>
      <c r="BJ66" s="160">
        <v>58</v>
      </c>
      <c r="BK66" s="158" t="s">
        <v>72</v>
      </c>
      <c r="BL66" s="106" t="s">
        <v>127</v>
      </c>
      <c r="BM66" s="147">
        <f t="shared" si="2"/>
        <v>21</v>
      </c>
      <c r="BN66" s="147">
        <f t="shared" si="3"/>
        <v>18</v>
      </c>
      <c r="BO66" s="148">
        <f t="shared" si="4"/>
        <v>85.714285714285722</v>
      </c>
      <c r="BP66" s="147" t="str">
        <f t="shared" si="5"/>
        <v>4</v>
      </c>
      <c r="BQ66" s="149">
        <v>0</v>
      </c>
      <c r="BR66" s="149">
        <v>7</v>
      </c>
      <c r="BS66" s="147">
        <f t="shared" si="6"/>
        <v>3.5</v>
      </c>
      <c r="BT66" s="153">
        <v>8</v>
      </c>
      <c r="BU66" s="153">
        <v>8</v>
      </c>
      <c r="BV66" s="153">
        <v>10</v>
      </c>
      <c r="BW66" s="148">
        <f t="shared" si="7"/>
        <v>8.6666666666666661</v>
      </c>
      <c r="BX66" s="151">
        <f t="shared" si="8"/>
        <v>16</v>
      </c>
    </row>
    <row r="67" spans="1:76" ht="15.75" customHeight="1">
      <c r="A67" s="52"/>
      <c r="B67" s="52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24"/>
      <c r="BE67" s="24"/>
      <c r="BF67" s="24"/>
      <c r="BG67" s="24"/>
      <c r="BH67" s="24"/>
      <c r="BI67" s="24"/>
      <c r="BJ67" s="40"/>
      <c r="BK67" s="24"/>
      <c r="BL67" s="24"/>
      <c r="BM67" s="24"/>
      <c r="BN67" s="24"/>
      <c r="BO67" s="24"/>
      <c r="BP67" s="24"/>
      <c r="BQ67" s="40"/>
      <c r="BR67" s="24"/>
      <c r="BS67" s="24"/>
      <c r="BT67" s="139"/>
      <c r="BU67" s="139"/>
      <c r="BV67" s="139"/>
      <c r="BW67" s="163"/>
      <c r="BX67" s="24"/>
    </row>
    <row r="68" spans="1:76" ht="15.75" customHeight="1">
      <c r="A68" s="52"/>
      <c r="B68" s="52"/>
      <c r="C68" s="13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24"/>
      <c r="BE68" s="24"/>
      <c r="BF68" s="24"/>
      <c r="BG68" s="24"/>
      <c r="BH68" s="24"/>
      <c r="BI68" s="24"/>
      <c r="BJ68" s="40"/>
      <c r="BK68" s="24"/>
      <c r="BL68" s="24"/>
      <c r="BM68" s="24"/>
      <c r="BN68" s="24"/>
      <c r="BO68" s="24"/>
      <c r="BP68" s="24"/>
      <c r="BQ68" s="40"/>
      <c r="BR68" s="24"/>
      <c r="BS68" s="24"/>
      <c r="BT68" s="139"/>
      <c r="BU68" s="139"/>
      <c r="BV68" s="139"/>
      <c r="BW68" s="24"/>
      <c r="BX68" s="24"/>
    </row>
    <row r="69" spans="1:76" ht="15.75" customHeight="1">
      <c r="A69" s="52"/>
      <c r="B69" s="52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24"/>
      <c r="BE69" s="24"/>
      <c r="BF69" s="24"/>
      <c r="BG69" s="24"/>
      <c r="BH69" s="24"/>
      <c r="BI69" s="24"/>
      <c r="BJ69" s="40"/>
      <c r="BK69" s="24"/>
      <c r="BL69" s="24"/>
      <c r="BM69" s="24"/>
      <c r="BN69" s="24"/>
      <c r="BO69" s="24"/>
      <c r="BP69" s="24"/>
      <c r="BQ69" s="40"/>
      <c r="BR69" s="24"/>
      <c r="BS69" s="24"/>
      <c r="BT69" s="139"/>
      <c r="BU69" s="139"/>
      <c r="BV69" s="139"/>
      <c r="BW69" s="24"/>
      <c r="BX69" s="24"/>
    </row>
    <row r="70" spans="1:76" ht="15.75" customHeight="1">
      <c r="A70" s="52"/>
      <c r="B70" s="52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24"/>
      <c r="BE70" s="24"/>
      <c r="BF70" s="24"/>
      <c r="BG70" s="24"/>
      <c r="BH70" s="24"/>
      <c r="BI70" s="24"/>
      <c r="BJ70" s="40"/>
      <c r="BK70" s="24"/>
      <c r="BL70" s="24"/>
      <c r="BM70" s="24"/>
      <c r="BN70" s="24"/>
      <c r="BO70" s="24"/>
      <c r="BP70" s="24"/>
      <c r="BQ70" s="40"/>
      <c r="BR70" s="24"/>
      <c r="BS70" s="24"/>
      <c r="BT70" s="139"/>
      <c r="BU70" s="139"/>
      <c r="BV70" s="139"/>
      <c r="BW70" s="24"/>
      <c r="BX70" s="24"/>
    </row>
    <row r="71" spans="1:76" ht="15.75" customHeight="1">
      <c r="A71" s="52"/>
      <c r="B71" s="52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24"/>
      <c r="BF71" s="24"/>
      <c r="BG71" s="24"/>
      <c r="BH71" s="24"/>
      <c r="BI71" s="24"/>
      <c r="BJ71" s="40"/>
      <c r="BK71" s="24"/>
      <c r="BL71" s="24"/>
      <c r="BM71" s="24"/>
      <c r="BN71" s="24"/>
      <c r="BO71" s="24"/>
      <c r="BP71" s="24"/>
      <c r="BQ71" s="40"/>
      <c r="BR71" s="24"/>
      <c r="BS71" s="24"/>
      <c r="BT71" s="139"/>
      <c r="BU71" s="139"/>
      <c r="BV71" s="139"/>
      <c r="BW71" s="24"/>
      <c r="BX71" s="24"/>
    </row>
    <row r="72" spans="1:76" ht="15.75" customHeight="1">
      <c r="A72" s="52"/>
      <c r="B72" s="52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24"/>
      <c r="BF72" s="24"/>
      <c r="BG72" s="24"/>
      <c r="BH72" s="24"/>
      <c r="BI72" s="24"/>
      <c r="BJ72" s="40"/>
      <c r="BK72" s="24"/>
      <c r="BL72" s="24"/>
      <c r="BM72" s="24"/>
      <c r="BN72" s="24"/>
      <c r="BO72" s="24"/>
      <c r="BP72" s="24"/>
      <c r="BQ72" s="40"/>
      <c r="BR72" s="24"/>
      <c r="BS72" s="24"/>
      <c r="BT72" s="139"/>
      <c r="BU72" s="139"/>
      <c r="BV72" s="139"/>
      <c r="BW72" s="24"/>
      <c r="BX72" s="24"/>
    </row>
    <row r="73" spans="1:76" ht="15.75" customHeight="1">
      <c r="A73" s="52"/>
      <c r="B73" s="52"/>
      <c r="C73" s="13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4"/>
      <c r="BE73" s="24"/>
      <c r="BF73" s="24"/>
      <c r="BG73" s="24"/>
      <c r="BH73" s="24"/>
      <c r="BI73" s="24"/>
      <c r="BJ73" s="40"/>
      <c r="BK73" s="24"/>
      <c r="BL73" s="24"/>
      <c r="BM73" s="24"/>
      <c r="BN73" s="24"/>
      <c r="BO73" s="24"/>
      <c r="BP73" s="24"/>
      <c r="BQ73" s="40"/>
      <c r="BR73" s="24"/>
      <c r="BS73" s="24"/>
      <c r="BT73" s="139"/>
      <c r="BU73" s="139"/>
      <c r="BV73" s="139"/>
      <c r="BW73" s="24"/>
      <c r="BX73" s="24"/>
    </row>
    <row r="74" spans="1:76" ht="15.75" customHeight="1">
      <c r="A74" s="52"/>
      <c r="B74" s="52"/>
      <c r="C74" s="13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24"/>
      <c r="BE74" s="24"/>
      <c r="BF74" s="24"/>
      <c r="BG74" s="24"/>
      <c r="BH74" s="24"/>
      <c r="BI74" s="24"/>
      <c r="BJ74" s="40"/>
      <c r="BK74" s="24"/>
      <c r="BL74" s="24"/>
      <c r="BM74" s="24"/>
      <c r="BN74" s="24"/>
      <c r="BO74" s="24"/>
      <c r="BP74" s="24"/>
      <c r="BQ74" s="40"/>
      <c r="BR74" s="24"/>
      <c r="BS74" s="24"/>
      <c r="BT74" s="139"/>
      <c r="BU74" s="139"/>
      <c r="BV74" s="139"/>
      <c r="BW74" s="24"/>
      <c r="BX74" s="24"/>
    </row>
    <row r="75" spans="1:76" ht="15.75" customHeight="1">
      <c r="A75" s="52"/>
      <c r="B75" s="52"/>
      <c r="C75" s="13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24"/>
      <c r="BE75" s="24"/>
      <c r="BF75" s="24"/>
      <c r="BG75" s="24"/>
      <c r="BH75" s="24"/>
      <c r="BI75" s="24"/>
      <c r="BJ75" s="40"/>
      <c r="BK75" s="24"/>
      <c r="BL75" s="24"/>
      <c r="BM75" s="24"/>
      <c r="BN75" s="24"/>
      <c r="BO75" s="24"/>
      <c r="BP75" s="24"/>
      <c r="BQ75" s="40"/>
      <c r="BR75" s="24"/>
      <c r="BS75" s="24"/>
      <c r="BT75" s="139"/>
      <c r="BU75" s="139"/>
      <c r="BV75" s="139"/>
      <c r="BW75" s="24"/>
      <c r="BX75" s="24"/>
    </row>
    <row r="76" spans="1:76" ht="15.75" customHeight="1">
      <c r="A76" s="52"/>
      <c r="B76" s="52"/>
      <c r="C76" s="13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24"/>
      <c r="BE76" s="24"/>
      <c r="BF76" s="24"/>
      <c r="BG76" s="24"/>
      <c r="BH76" s="24"/>
      <c r="BI76" s="24"/>
      <c r="BJ76" s="40"/>
      <c r="BK76" s="24"/>
      <c r="BL76" s="24"/>
      <c r="BM76" s="24"/>
      <c r="BN76" s="24"/>
      <c r="BO76" s="24"/>
      <c r="BP76" s="24"/>
      <c r="BQ76" s="40"/>
      <c r="BR76" s="24"/>
      <c r="BS76" s="24"/>
      <c r="BT76" s="139"/>
      <c r="BU76" s="139"/>
      <c r="BV76" s="139"/>
      <c r="BW76" s="24"/>
      <c r="BX76" s="24"/>
    </row>
    <row r="77" spans="1:76" ht="15.75" customHeight="1">
      <c r="A77" s="52"/>
      <c r="B77" s="52"/>
      <c r="C77" s="13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4"/>
      <c r="BE77" s="24"/>
      <c r="BF77" s="24"/>
      <c r="BG77" s="24"/>
      <c r="BH77" s="24"/>
      <c r="BI77" s="24"/>
      <c r="BJ77" s="40"/>
      <c r="BK77" s="24"/>
      <c r="BL77" s="24"/>
      <c r="BM77" s="24"/>
      <c r="BN77" s="24"/>
      <c r="BO77" s="24"/>
      <c r="BP77" s="24"/>
      <c r="BQ77" s="40"/>
      <c r="BR77" s="24"/>
      <c r="BS77" s="24"/>
      <c r="BT77" s="139"/>
      <c r="BU77" s="139"/>
      <c r="BV77" s="139"/>
      <c r="BW77" s="24"/>
      <c r="BX77" s="24"/>
    </row>
    <row r="78" spans="1:76" ht="15.75" customHeight="1">
      <c r="A78" s="52"/>
      <c r="B78" s="52"/>
      <c r="C78" s="13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24"/>
      <c r="BE78" s="24"/>
      <c r="BF78" s="24"/>
      <c r="BG78" s="24"/>
      <c r="BH78" s="24"/>
      <c r="BI78" s="24"/>
      <c r="BJ78" s="40"/>
      <c r="BK78" s="24"/>
      <c r="BL78" s="24"/>
      <c r="BM78" s="24"/>
      <c r="BN78" s="24"/>
      <c r="BO78" s="24"/>
      <c r="BP78" s="24"/>
      <c r="BQ78" s="40"/>
      <c r="BR78" s="24"/>
      <c r="BS78" s="24"/>
      <c r="BT78" s="139"/>
      <c r="BU78" s="139"/>
      <c r="BV78" s="139"/>
      <c r="BW78" s="24"/>
      <c r="BX78" s="24"/>
    </row>
    <row r="79" spans="1:76" ht="15.75" customHeight="1">
      <c r="A79" s="52"/>
      <c r="B79" s="52"/>
      <c r="C79" s="13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24"/>
      <c r="BE79" s="24"/>
      <c r="BF79" s="24"/>
      <c r="BG79" s="24"/>
      <c r="BH79" s="24"/>
      <c r="BI79" s="24"/>
      <c r="BJ79" s="40"/>
      <c r="BK79" s="24"/>
      <c r="BL79" s="24"/>
      <c r="BM79" s="24"/>
      <c r="BN79" s="24"/>
      <c r="BO79" s="24"/>
      <c r="BP79" s="24"/>
      <c r="BQ79" s="40"/>
      <c r="BR79" s="24"/>
      <c r="BS79" s="24"/>
      <c r="BT79" s="139"/>
      <c r="BU79" s="139"/>
      <c r="BV79" s="139"/>
      <c r="BW79" s="24"/>
      <c r="BX79" s="24"/>
    </row>
    <row r="80" spans="1:76" ht="15.75" customHeight="1">
      <c r="A80" s="52"/>
      <c r="B80" s="52"/>
      <c r="C80" s="13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4"/>
      <c r="BE80" s="24"/>
      <c r="BF80" s="24"/>
      <c r="BG80" s="24"/>
      <c r="BH80" s="24"/>
      <c r="BI80" s="24"/>
      <c r="BJ80" s="40"/>
      <c r="BK80" s="24"/>
      <c r="BL80" s="24"/>
      <c r="BM80" s="24"/>
      <c r="BN80" s="24"/>
      <c r="BO80" s="24"/>
      <c r="BP80" s="24"/>
      <c r="BQ80" s="40"/>
      <c r="BR80" s="24"/>
      <c r="BS80" s="24"/>
      <c r="BT80" s="139"/>
      <c r="BU80" s="139"/>
      <c r="BV80" s="139"/>
      <c r="BW80" s="24"/>
      <c r="BX80" s="24"/>
    </row>
    <row r="81" spans="1:76" ht="15.75" customHeight="1">
      <c r="A81" s="52"/>
      <c r="B81" s="52"/>
      <c r="C81" s="13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24"/>
      <c r="BE81" s="24"/>
      <c r="BF81" s="24"/>
      <c r="BG81" s="24"/>
      <c r="BH81" s="24"/>
      <c r="BI81" s="24"/>
      <c r="BJ81" s="40"/>
      <c r="BK81" s="24"/>
      <c r="BL81" s="24"/>
      <c r="BM81" s="24"/>
      <c r="BN81" s="24"/>
      <c r="BO81" s="24"/>
      <c r="BP81" s="24"/>
      <c r="BQ81" s="40"/>
      <c r="BR81" s="24"/>
      <c r="BS81" s="24"/>
      <c r="BT81" s="139"/>
      <c r="BU81" s="139"/>
      <c r="BV81" s="139"/>
      <c r="BW81" s="24"/>
      <c r="BX81" s="24"/>
    </row>
    <row r="82" spans="1:76" ht="15.75" customHeight="1">
      <c r="A82" s="52"/>
      <c r="B82" s="52"/>
      <c r="C82" s="13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24"/>
      <c r="BE82" s="24"/>
      <c r="BF82" s="24"/>
      <c r="BG82" s="24"/>
      <c r="BH82" s="24"/>
      <c r="BI82" s="24"/>
      <c r="BJ82" s="40"/>
      <c r="BK82" s="24"/>
      <c r="BL82" s="24"/>
      <c r="BM82" s="24"/>
      <c r="BN82" s="24"/>
      <c r="BO82" s="24"/>
      <c r="BP82" s="24"/>
      <c r="BQ82" s="40"/>
      <c r="BR82" s="24"/>
      <c r="BS82" s="24"/>
      <c r="BT82" s="139"/>
      <c r="BU82" s="139"/>
      <c r="BV82" s="139"/>
      <c r="BW82" s="24"/>
      <c r="BX82" s="24"/>
    </row>
    <row r="83" spans="1:76" ht="15.75" customHeight="1">
      <c r="A83" s="52"/>
      <c r="B83" s="52"/>
      <c r="C83" s="13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4"/>
      <c r="BE83" s="24"/>
      <c r="BF83" s="24"/>
      <c r="BG83" s="24"/>
      <c r="BH83" s="24"/>
      <c r="BI83" s="24"/>
      <c r="BJ83" s="40"/>
      <c r="BK83" s="24"/>
      <c r="BL83" s="24"/>
      <c r="BM83" s="24"/>
      <c r="BN83" s="24"/>
      <c r="BO83" s="24"/>
      <c r="BP83" s="24"/>
      <c r="BQ83" s="40"/>
      <c r="BR83" s="24"/>
      <c r="BS83" s="24"/>
      <c r="BT83" s="139"/>
      <c r="BU83" s="139"/>
      <c r="BV83" s="139"/>
      <c r="BW83" s="24"/>
      <c r="BX83" s="24"/>
    </row>
    <row r="84" spans="1:76" ht="15.75" customHeight="1">
      <c r="A84" s="52"/>
      <c r="B84" s="52"/>
      <c r="C84" s="13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24"/>
      <c r="BE84" s="24"/>
      <c r="BF84" s="24"/>
      <c r="BG84" s="24"/>
      <c r="BH84" s="24"/>
      <c r="BI84" s="24"/>
      <c r="BJ84" s="40"/>
      <c r="BK84" s="24"/>
      <c r="BL84" s="24"/>
      <c r="BM84" s="24"/>
      <c r="BN84" s="24"/>
      <c r="BO84" s="24"/>
      <c r="BP84" s="24"/>
      <c r="BQ84" s="40"/>
      <c r="BR84" s="24"/>
      <c r="BS84" s="24"/>
      <c r="BT84" s="139"/>
      <c r="BU84" s="139"/>
      <c r="BV84" s="139"/>
      <c r="BW84" s="24"/>
      <c r="BX84" s="24"/>
    </row>
    <row r="85" spans="1:76" ht="15.75" customHeight="1">
      <c r="A85" s="52"/>
      <c r="B85" s="52"/>
      <c r="C85" s="13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24"/>
      <c r="BE85" s="24"/>
      <c r="BF85" s="24"/>
      <c r="BG85" s="24"/>
      <c r="BH85" s="24"/>
      <c r="BI85" s="24"/>
      <c r="BJ85" s="40"/>
      <c r="BK85" s="24"/>
      <c r="BL85" s="24"/>
      <c r="BM85" s="24"/>
      <c r="BN85" s="24"/>
      <c r="BO85" s="24"/>
      <c r="BP85" s="24"/>
      <c r="BQ85" s="40"/>
      <c r="BR85" s="24"/>
      <c r="BS85" s="24"/>
      <c r="BT85" s="139"/>
      <c r="BU85" s="139"/>
      <c r="BV85" s="139"/>
      <c r="BW85" s="24"/>
      <c r="BX85" s="24"/>
    </row>
    <row r="86" spans="1:76" ht="15.75" customHeight="1">
      <c r="A86" s="52"/>
      <c r="B86" s="52"/>
      <c r="C86" s="13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24"/>
      <c r="BE86" s="24"/>
      <c r="BF86" s="24"/>
      <c r="BG86" s="24"/>
      <c r="BH86" s="24"/>
      <c r="BI86" s="24"/>
      <c r="BJ86" s="40"/>
      <c r="BK86" s="24"/>
      <c r="BL86" s="24"/>
      <c r="BM86" s="24"/>
      <c r="BN86" s="24"/>
      <c r="BO86" s="24"/>
      <c r="BP86" s="24"/>
      <c r="BQ86" s="40"/>
      <c r="BR86" s="24"/>
      <c r="BS86" s="24"/>
      <c r="BT86" s="139"/>
      <c r="BU86" s="139"/>
      <c r="BV86" s="139"/>
      <c r="BW86" s="24"/>
      <c r="BX86" s="24"/>
    </row>
    <row r="87" spans="1:76" ht="15.75" customHeight="1">
      <c r="A87" s="52"/>
      <c r="B87" s="52"/>
      <c r="C87" s="13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24"/>
      <c r="BE87" s="24"/>
      <c r="BF87" s="24"/>
      <c r="BG87" s="24"/>
      <c r="BH87" s="24"/>
      <c r="BI87" s="24"/>
      <c r="BJ87" s="40"/>
      <c r="BK87" s="24"/>
      <c r="BL87" s="24"/>
      <c r="BM87" s="24"/>
      <c r="BN87" s="24"/>
      <c r="BO87" s="24"/>
      <c r="BP87" s="24"/>
      <c r="BQ87" s="40"/>
      <c r="BR87" s="24"/>
      <c r="BS87" s="24"/>
      <c r="BT87" s="139"/>
      <c r="BU87" s="139"/>
      <c r="BV87" s="139"/>
      <c r="BW87" s="24"/>
      <c r="BX87" s="24"/>
    </row>
    <row r="88" spans="1:76" ht="15.75" customHeight="1">
      <c r="A88" s="52"/>
      <c r="B88" s="52"/>
      <c r="C88" s="13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4"/>
      <c r="BE88" s="24"/>
      <c r="BF88" s="24"/>
      <c r="BG88" s="24"/>
      <c r="BH88" s="24"/>
      <c r="BI88" s="24"/>
      <c r="BJ88" s="40"/>
      <c r="BK88" s="24"/>
      <c r="BL88" s="24"/>
      <c r="BM88" s="24"/>
      <c r="BN88" s="24"/>
      <c r="BO88" s="24"/>
      <c r="BP88" s="24"/>
      <c r="BQ88" s="40"/>
      <c r="BR88" s="24"/>
      <c r="BS88" s="24"/>
      <c r="BT88" s="139"/>
      <c r="BU88" s="139"/>
      <c r="BV88" s="139"/>
      <c r="BW88" s="24"/>
      <c r="BX88" s="24"/>
    </row>
    <row r="89" spans="1:76" ht="15.75" customHeight="1">
      <c r="A89" s="52"/>
      <c r="B89" s="52"/>
      <c r="C89" s="13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4"/>
      <c r="BE89" s="24"/>
      <c r="BF89" s="24"/>
      <c r="BG89" s="24"/>
      <c r="BH89" s="24"/>
      <c r="BI89" s="24"/>
      <c r="BJ89" s="40"/>
      <c r="BK89" s="24"/>
      <c r="BL89" s="24"/>
      <c r="BM89" s="24"/>
      <c r="BN89" s="24"/>
      <c r="BO89" s="24"/>
      <c r="BP89" s="24"/>
      <c r="BQ89" s="40"/>
      <c r="BR89" s="24"/>
      <c r="BS89" s="24"/>
      <c r="BT89" s="139"/>
      <c r="BU89" s="139"/>
      <c r="BV89" s="139"/>
      <c r="BW89" s="24"/>
      <c r="BX89" s="24"/>
    </row>
    <row r="90" spans="1:76" ht="15.75" customHeight="1">
      <c r="A90" s="52"/>
      <c r="B90" s="52"/>
      <c r="C90" s="13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24"/>
      <c r="BE90" s="24"/>
      <c r="BF90" s="24"/>
      <c r="BG90" s="24"/>
      <c r="BH90" s="24"/>
      <c r="BI90" s="24"/>
      <c r="BJ90" s="40"/>
      <c r="BK90" s="24"/>
      <c r="BL90" s="24"/>
      <c r="BM90" s="24"/>
      <c r="BN90" s="24"/>
      <c r="BO90" s="24"/>
      <c r="BP90" s="24"/>
      <c r="BQ90" s="40"/>
      <c r="BR90" s="24"/>
      <c r="BS90" s="24"/>
      <c r="BT90" s="139"/>
      <c r="BU90" s="139"/>
      <c r="BV90" s="139"/>
      <c r="BW90" s="24"/>
      <c r="BX90" s="24"/>
    </row>
    <row r="91" spans="1:76" ht="15.75" customHeight="1">
      <c r="A91" s="52"/>
      <c r="B91" s="52"/>
      <c r="C91" s="13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24"/>
      <c r="BE91" s="24"/>
      <c r="BF91" s="24"/>
      <c r="BG91" s="24"/>
      <c r="BH91" s="24"/>
      <c r="BI91" s="24"/>
      <c r="BJ91" s="40"/>
      <c r="BK91" s="24"/>
      <c r="BL91" s="24"/>
      <c r="BM91" s="24"/>
      <c r="BN91" s="24"/>
      <c r="BO91" s="24"/>
      <c r="BP91" s="24"/>
      <c r="BQ91" s="40"/>
      <c r="BR91" s="24"/>
      <c r="BS91" s="24"/>
      <c r="BT91" s="139"/>
      <c r="BU91" s="139"/>
      <c r="BV91" s="139"/>
      <c r="BW91" s="24"/>
      <c r="BX91" s="24"/>
    </row>
    <row r="92" spans="1:76" ht="15.75" customHeight="1">
      <c r="A92" s="52"/>
      <c r="B92" s="52"/>
      <c r="C92" s="13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24"/>
      <c r="BE92" s="24"/>
      <c r="BF92" s="24"/>
      <c r="BG92" s="24"/>
      <c r="BH92" s="24"/>
      <c r="BI92" s="24"/>
      <c r="BJ92" s="40"/>
      <c r="BK92" s="24"/>
      <c r="BL92" s="24"/>
      <c r="BM92" s="24"/>
      <c r="BN92" s="24"/>
      <c r="BO92" s="24"/>
      <c r="BP92" s="24"/>
      <c r="BQ92" s="40"/>
      <c r="BR92" s="24"/>
      <c r="BS92" s="24"/>
      <c r="BT92" s="139"/>
      <c r="BU92" s="139"/>
      <c r="BV92" s="139"/>
      <c r="BW92" s="24"/>
      <c r="BX92" s="24"/>
    </row>
    <row r="93" spans="1:76" ht="15.75" customHeight="1">
      <c r="A93" s="52"/>
      <c r="B93" s="52"/>
      <c r="C93" s="13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24"/>
      <c r="BE93" s="24"/>
      <c r="BF93" s="24"/>
      <c r="BG93" s="24"/>
      <c r="BH93" s="24"/>
      <c r="BI93" s="24"/>
      <c r="BJ93" s="40"/>
      <c r="BK93" s="24"/>
      <c r="BL93" s="24"/>
      <c r="BM93" s="24"/>
      <c r="BN93" s="24"/>
      <c r="BO93" s="24"/>
      <c r="BP93" s="24"/>
      <c r="BQ93" s="40"/>
      <c r="BR93" s="24"/>
      <c r="BS93" s="24"/>
      <c r="BT93" s="139"/>
      <c r="BU93" s="139"/>
      <c r="BV93" s="139"/>
      <c r="BW93" s="24"/>
      <c r="BX93" s="24"/>
    </row>
    <row r="94" spans="1:76" ht="15.75" customHeight="1">
      <c r="A94" s="52"/>
      <c r="B94" s="52"/>
      <c r="C94" s="13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24"/>
      <c r="BE94" s="24"/>
      <c r="BF94" s="24"/>
      <c r="BG94" s="24"/>
      <c r="BH94" s="24"/>
      <c r="BI94" s="24"/>
      <c r="BJ94" s="40"/>
      <c r="BK94" s="24"/>
      <c r="BL94" s="24"/>
      <c r="BM94" s="24"/>
      <c r="BN94" s="24"/>
      <c r="BO94" s="24"/>
      <c r="BP94" s="24"/>
      <c r="BQ94" s="40"/>
      <c r="BR94" s="24"/>
      <c r="BS94" s="24"/>
      <c r="BT94" s="139"/>
      <c r="BU94" s="139"/>
      <c r="BV94" s="139"/>
      <c r="BW94" s="24"/>
      <c r="BX94" s="24"/>
    </row>
    <row r="95" spans="1:76" ht="15.75" customHeight="1">
      <c r="A95" s="52"/>
      <c r="B95" s="52"/>
      <c r="C95" s="13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4"/>
      <c r="BE95" s="24"/>
      <c r="BF95" s="24"/>
      <c r="BG95" s="24"/>
      <c r="BH95" s="24"/>
      <c r="BI95" s="24"/>
      <c r="BJ95" s="40"/>
      <c r="BK95" s="24"/>
      <c r="BL95" s="24"/>
      <c r="BM95" s="24"/>
      <c r="BN95" s="24"/>
      <c r="BO95" s="24"/>
      <c r="BP95" s="24"/>
      <c r="BQ95" s="40"/>
      <c r="BR95" s="24"/>
      <c r="BS95" s="24"/>
      <c r="BT95" s="139"/>
      <c r="BU95" s="139"/>
      <c r="BV95" s="139"/>
      <c r="BW95" s="24"/>
      <c r="BX95" s="24"/>
    </row>
    <row r="96" spans="1:76" ht="15.75" customHeight="1">
      <c r="A96" s="52"/>
      <c r="B96" s="52"/>
      <c r="C96" s="13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24"/>
      <c r="BE96" s="24"/>
      <c r="BF96" s="24"/>
      <c r="BG96" s="24"/>
      <c r="BH96" s="24"/>
      <c r="BI96" s="24"/>
      <c r="BJ96" s="40"/>
      <c r="BK96" s="24"/>
      <c r="BL96" s="24"/>
      <c r="BM96" s="24"/>
      <c r="BN96" s="24"/>
      <c r="BO96" s="24"/>
      <c r="BP96" s="24"/>
      <c r="BQ96" s="40"/>
      <c r="BR96" s="24"/>
      <c r="BS96" s="24"/>
      <c r="BT96" s="139"/>
      <c r="BU96" s="139"/>
      <c r="BV96" s="139"/>
      <c r="BW96" s="24"/>
      <c r="BX96" s="24"/>
    </row>
    <row r="97" spans="1:76" ht="15.75" customHeight="1">
      <c r="A97" s="52"/>
      <c r="B97" s="52"/>
      <c r="C97" s="13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24"/>
      <c r="BE97" s="24"/>
      <c r="BF97" s="24"/>
      <c r="BG97" s="24"/>
      <c r="BH97" s="24"/>
      <c r="BI97" s="24"/>
      <c r="BJ97" s="40"/>
      <c r="BK97" s="24"/>
      <c r="BL97" s="24"/>
      <c r="BM97" s="24"/>
      <c r="BN97" s="24"/>
      <c r="BO97" s="24"/>
      <c r="BP97" s="24"/>
      <c r="BQ97" s="40"/>
      <c r="BR97" s="24"/>
      <c r="BS97" s="24"/>
      <c r="BT97" s="139"/>
      <c r="BU97" s="139"/>
      <c r="BV97" s="139"/>
      <c r="BW97" s="24"/>
      <c r="BX97" s="24"/>
    </row>
    <row r="98" spans="1:76" ht="15.75" customHeight="1">
      <c r="A98" s="52"/>
      <c r="B98" s="52"/>
      <c r="C98" s="134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24"/>
      <c r="BE98" s="24"/>
      <c r="BF98" s="24"/>
      <c r="BG98" s="24"/>
      <c r="BH98" s="24"/>
      <c r="BI98" s="24"/>
      <c r="BJ98" s="40"/>
      <c r="BK98" s="24"/>
      <c r="BL98" s="24"/>
      <c r="BM98" s="24"/>
      <c r="BN98" s="24"/>
      <c r="BO98" s="24"/>
      <c r="BP98" s="24"/>
      <c r="BQ98" s="40"/>
      <c r="BR98" s="24"/>
      <c r="BS98" s="24"/>
      <c r="BT98" s="139"/>
      <c r="BU98" s="139"/>
      <c r="BV98" s="139"/>
      <c r="BW98" s="24"/>
      <c r="BX98" s="24"/>
    </row>
    <row r="99" spans="1:76" ht="15.75" customHeight="1">
      <c r="A99" s="52"/>
      <c r="B99" s="52"/>
      <c r="C99" s="134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24"/>
      <c r="BE99" s="24"/>
      <c r="BF99" s="24"/>
      <c r="BG99" s="24"/>
      <c r="BH99" s="24"/>
      <c r="BI99" s="24"/>
      <c r="BJ99" s="40"/>
      <c r="BK99" s="24"/>
      <c r="BL99" s="24"/>
      <c r="BM99" s="24"/>
      <c r="BN99" s="24"/>
      <c r="BO99" s="24"/>
      <c r="BP99" s="24"/>
      <c r="BQ99" s="40"/>
      <c r="BR99" s="24"/>
      <c r="BS99" s="24"/>
      <c r="BT99" s="139"/>
      <c r="BU99" s="139"/>
      <c r="BV99" s="139"/>
      <c r="BW99" s="24"/>
      <c r="BX99" s="24"/>
    </row>
    <row r="100" spans="1:76" ht="15.75" customHeight="1">
      <c r="A100" s="52"/>
      <c r="B100" s="52"/>
      <c r="C100" s="13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24"/>
      <c r="BE100" s="24"/>
      <c r="BF100" s="24"/>
      <c r="BG100" s="24"/>
      <c r="BH100" s="24"/>
      <c r="BI100" s="24"/>
      <c r="BJ100" s="40"/>
      <c r="BK100" s="24"/>
      <c r="BL100" s="24"/>
      <c r="BM100" s="24"/>
      <c r="BN100" s="24"/>
      <c r="BO100" s="24"/>
      <c r="BP100" s="24"/>
      <c r="BQ100" s="40"/>
      <c r="BR100" s="24"/>
      <c r="BS100" s="24"/>
      <c r="BT100" s="139"/>
      <c r="BU100" s="139"/>
      <c r="BV100" s="139"/>
      <c r="BW100" s="24"/>
      <c r="BX100" s="24"/>
    </row>
    <row r="101" spans="1:76" ht="15.75" customHeight="1">
      <c r="A101" s="52"/>
      <c r="B101" s="52"/>
      <c r="C101" s="134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24"/>
      <c r="BE101" s="24"/>
      <c r="BF101" s="24"/>
      <c r="BG101" s="24"/>
      <c r="BH101" s="24"/>
      <c r="BI101" s="24"/>
      <c r="BJ101" s="40"/>
      <c r="BK101" s="24"/>
      <c r="BL101" s="24"/>
      <c r="BM101" s="24"/>
      <c r="BN101" s="24"/>
      <c r="BO101" s="24"/>
      <c r="BP101" s="24"/>
      <c r="BQ101" s="40"/>
      <c r="BR101" s="24"/>
      <c r="BS101" s="24"/>
      <c r="BT101" s="139"/>
      <c r="BU101" s="139"/>
      <c r="BV101" s="139"/>
      <c r="BW101" s="24"/>
      <c r="BX101" s="24"/>
    </row>
    <row r="102" spans="1:76" ht="15.75" customHeight="1">
      <c r="A102" s="52"/>
      <c r="B102" s="52"/>
      <c r="C102" s="13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24"/>
      <c r="BE102" s="24"/>
      <c r="BF102" s="24"/>
      <c r="BG102" s="24"/>
      <c r="BH102" s="24"/>
      <c r="BI102" s="24"/>
      <c r="BJ102" s="40"/>
      <c r="BK102" s="24"/>
      <c r="BL102" s="24"/>
      <c r="BM102" s="24"/>
      <c r="BN102" s="24"/>
      <c r="BO102" s="24"/>
      <c r="BP102" s="24"/>
      <c r="BQ102" s="40"/>
      <c r="BR102" s="24"/>
      <c r="BS102" s="24"/>
      <c r="BT102" s="139"/>
      <c r="BU102" s="139"/>
      <c r="BV102" s="139"/>
      <c r="BW102" s="24"/>
      <c r="BX102" s="24"/>
    </row>
    <row r="103" spans="1:76" ht="15.75" customHeight="1">
      <c r="A103" s="52"/>
      <c r="B103" s="52"/>
      <c r="C103" s="134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24"/>
      <c r="BE103" s="24"/>
      <c r="BF103" s="24"/>
      <c r="BG103" s="24"/>
      <c r="BH103" s="24"/>
      <c r="BI103" s="24"/>
      <c r="BJ103" s="40"/>
      <c r="BK103" s="24"/>
      <c r="BL103" s="24"/>
      <c r="BM103" s="24"/>
      <c r="BN103" s="24"/>
      <c r="BO103" s="24"/>
      <c r="BP103" s="24"/>
      <c r="BQ103" s="40"/>
      <c r="BR103" s="24"/>
      <c r="BS103" s="24"/>
      <c r="BT103" s="139"/>
      <c r="BU103" s="139"/>
      <c r="BV103" s="139"/>
      <c r="BW103" s="24"/>
      <c r="BX103" s="24"/>
    </row>
    <row r="104" spans="1:76" ht="15.75" customHeight="1">
      <c r="A104" s="52"/>
      <c r="B104" s="52"/>
      <c r="C104" s="134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24"/>
      <c r="BE104" s="24"/>
      <c r="BF104" s="24"/>
      <c r="BG104" s="24"/>
      <c r="BH104" s="24"/>
      <c r="BI104" s="24"/>
      <c r="BJ104" s="40"/>
      <c r="BK104" s="24"/>
      <c r="BL104" s="24"/>
      <c r="BM104" s="24"/>
      <c r="BN104" s="24"/>
      <c r="BO104" s="24"/>
      <c r="BP104" s="24"/>
      <c r="BQ104" s="40"/>
      <c r="BR104" s="24"/>
      <c r="BS104" s="24"/>
      <c r="BT104" s="139"/>
      <c r="BU104" s="139"/>
      <c r="BV104" s="139"/>
      <c r="BW104" s="24"/>
      <c r="BX104" s="24"/>
    </row>
    <row r="105" spans="1:76" ht="15.75" customHeight="1">
      <c r="A105" s="52"/>
      <c r="B105" s="52"/>
      <c r="C105" s="134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24"/>
      <c r="BE105" s="24"/>
      <c r="BF105" s="24"/>
      <c r="BG105" s="24"/>
      <c r="BH105" s="24"/>
      <c r="BI105" s="24"/>
      <c r="BJ105" s="40"/>
      <c r="BK105" s="24"/>
      <c r="BL105" s="24"/>
      <c r="BM105" s="24"/>
      <c r="BN105" s="24"/>
      <c r="BO105" s="24"/>
      <c r="BP105" s="24"/>
      <c r="BQ105" s="40"/>
      <c r="BR105" s="24"/>
      <c r="BS105" s="24"/>
      <c r="BT105" s="139"/>
      <c r="BU105" s="139"/>
      <c r="BV105" s="139"/>
      <c r="BW105" s="24"/>
      <c r="BX105" s="24"/>
    </row>
    <row r="106" spans="1:76" ht="15.75" customHeight="1">
      <c r="A106" s="52"/>
      <c r="B106" s="52"/>
      <c r="C106" s="134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24"/>
      <c r="BE106" s="24"/>
      <c r="BF106" s="24"/>
      <c r="BG106" s="24"/>
      <c r="BH106" s="24"/>
      <c r="BI106" s="24"/>
      <c r="BJ106" s="40"/>
      <c r="BK106" s="24"/>
      <c r="BL106" s="24"/>
      <c r="BM106" s="24"/>
      <c r="BN106" s="24"/>
      <c r="BO106" s="24"/>
      <c r="BP106" s="24"/>
      <c r="BQ106" s="40"/>
      <c r="BR106" s="24"/>
      <c r="BS106" s="24"/>
      <c r="BT106" s="139"/>
      <c r="BU106" s="139"/>
      <c r="BV106" s="139"/>
      <c r="BW106" s="24"/>
      <c r="BX106" s="24"/>
    </row>
    <row r="107" spans="1:76" ht="15.75" customHeight="1">
      <c r="A107" s="24"/>
      <c r="B107" s="40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40"/>
      <c r="BK107" s="24"/>
      <c r="BL107" s="24"/>
      <c r="BM107" s="24"/>
      <c r="BN107" s="24"/>
      <c r="BO107" s="24"/>
      <c r="BP107" s="24"/>
      <c r="BQ107" s="40"/>
      <c r="BR107" s="24"/>
      <c r="BS107" s="24"/>
      <c r="BT107" s="139"/>
      <c r="BU107" s="139"/>
      <c r="BV107" s="139"/>
      <c r="BW107" s="24"/>
      <c r="BX107" s="24"/>
    </row>
    <row r="108" spans="1:76" ht="15.75" customHeight="1">
      <c r="A108" s="24"/>
      <c r="B108" s="40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40"/>
      <c r="BK108" s="24"/>
      <c r="BL108" s="24"/>
      <c r="BM108" s="24"/>
      <c r="BN108" s="24"/>
      <c r="BO108" s="24"/>
      <c r="BP108" s="24"/>
      <c r="BQ108" s="40"/>
      <c r="BR108" s="24"/>
      <c r="BS108" s="24"/>
      <c r="BT108" s="139"/>
      <c r="BU108" s="139"/>
      <c r="BV108" s="139"/>
      <c r="BW108" s="24"/>
      <c r="BX108" s="24"/>
    </row>
    <row r="109" spans="1:76" ht="15.75" customHeight="1">
      <c r="A109" s="24"/>
      <c r="B109" s="40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40"/>
      <c r="BK109" s="24"/>
      <c r="BL109" s="24"/>
      <c r="BM109" s="24"/>
      <c r="BN109" s="24"/>
      <c r="BO109" s="24"/>
      <c r="BP109" s="24"/>
      <c r="BQ109" s="40"/>
      <c r="BR109" s="24"/>
      <c r="BS109" s="24"/>
      <c r="BT109" s="139"/>
      <c r="BU109" s="139"/>
      <c r="BV109" s="139"/>
      <c r="BW109" s="24"/>
      <c r="BX109" s="24"/>
    </row>
    <row r="110" spans="1:76" ht="15.75" customHeight="1">
      <c r="A110" s="24"/>
      <c r="B110" s="40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40"/>
      <c r="BK110" s="24"/>
      <c r="BL110" s="24"/>
      <c r="BM110" s="24"/>
      <c r="BN110" s="24"/>
      <c r="BO110" s="24"/>
      <c r="BP110" s="24"/>
      <c r="BQ110" s="40"/>
      <c r="BR110" s="24"/>
      <c r="BS110" s="24"/>
      <c r="BT110" s="139"/>
      <c r="BU110" s="139"/>
      <c r="BV110" s="139"/>
      <c r="BW110" s="24"/>
      <c r="BX110" s="24"/>
    </row>
    <row r="111" spans="1:76" ht="15.75" customHeight="1">
      <c r="A111" s="24"/>
      <c r="B111" s="40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40"/>
      <c r="BK111" s="24"/>
      <c r="BL111" s="24"/>
      <c r="BM111" s="24"/>
      <c r="BN111" s="24"/>
      <c r="BO111" s="24"/>
      <c r="BP111" s="24"/>
      <c r="BQ111" s="40"/>
      <c r="BR111" s="24"/>
      <c r="BS111" s="24"/>
      <c r="BT111" s="139"/>
      <c r="BU111" s="139"/>
      <c r="BV111" s="139"/>
      <c r="BW111" s="24"/>
      <c r="BX111" s="24"/>
    </row>
    <row r="112" spans="1:76" ht="15.75" customHeight="1">
      <c r="A112" s="24"/>
      <c r="B112" s="40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40"/>
      <c r="BK112" s="24"/>
      <c r="BL112" s="24"/>
      <c r="BM112" s="24"/>
      <c r="BN112" s="24"/>
      <c r="BO112" s="24"/>
      <c r="BP112" s="24"/>
      <c r="BQ112" s="40"/>
      <c r="BR112" s="24"/>
      <c r="BS112" s="24"/>
      <c r="BT112" s="139"/>
      <c r="BU112" s="139"/>
      <c r="BV112" s="139"/>
      <c r="BW112" s="24"/>
      <c r="BX112" s="24"/>
    </row>
    <row r="113" spans="1:76" ht="15.75" customHeight="1">
      <c r="A113" s="24"/>
      <c r="B113" s="40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40"/>
      <c r="BK113" s="24"/>
      <c r="BL113" s="24"/>
      <c r="BM113" s="24"/>
      <c r="BN113" s="24"/>
      <c r="BO113" s="24"/>
      <c r="BP113" s="24"/>
      <c r="BQ113" s="40"/>
      <c r="BR113" s="24"/>
      <c r="BS113" s="24"/>
      <c r="BT113" s="139"/>
      <c r="BU113" s="139"/>
      <c r="BV113" s="139"/>
      <c r="BW113" s="24"/>
      <c r="BX113" s="24"/>
    </row>
    <row r="114" spans="1:76" ht="15.75" customHeight="1">
      <c r="A114" s="24"/>
      <c r="B114" s="40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40"/>
      <c r="BK114" s="24"/>
      <c r="BL114" s="24"/>
      <c r="BM114" s="24"/>
      <c r="BN114" s="24"/>
      <c r="BO114" s="24"/>
      <c r="BP114" s="24"/>
      <c r="BQ114" s="40"/>
      <c r="BR114" s="24"/>
      <c r="BS114" s="24"/>
      <c r="BT114" s="139"/>
      <c r="BU114" s="139"/>
      <c r="BV114" s="139"/>
      <c r="BW114" s="24"/>
      <c r="BX114" s="24"/>
    </row>
    <row r="115" spans="1:76" ht="15.75" customHeight="1">
      <c r="A115" s="24"/>
      <c r="B115" s="40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40"/>
      <c r="BK115" s="24"/>
      <c r="BL115" s="24"/>
      <c r="BM115" s="24"/>
      <c r="BN115" s="24"/>
      <c r="BO115" s="24"/>
      <c r="BP115" s="24"/>
      <c r="BQ115" s="40"/>
      <c r="BR115" s="24"/>
      <c r="BS115" s="24"/>
      <c r="BT115" s="139"/>
      <c r="BU115" s="139"/>
      <c r="BV115" s="139"/>
      <c r="BW115" s="24"/>
      <c r="BX115" s="24"/>
    </row>
    <row r="116" spans="1:76" ht="15.75" customHeight="1">
      <c r="A116" s="24"/>
      <c r="B116" s="40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40"/>
      <c r="BK116" s="24"/>
      <c r="BL116" s="24"/>
      <c r="BM116" s="24"/>
      <c r="BN116" s="24"/>
      <c r="BO116" s="24"/>
      <c r="BP116" s="24"/>
      <c r="BQ116" s="40"/>
      <c r="BR116" s="24"/>
      <c r="BS116" s="24"/>
      <c r="BT116" s="139"/>
      <c r="BU116" s="139"/>
      <c r="BV116" s="139"/>
      <c r="BW116" s="24"/>
      <c r="BX116" s="24"/>
    </row>
    <row r="117" spans="1:76" ht="15.75" customHeight="1">
      <c r="A117" s="24"/>
      <c r="B117" s="40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40"/>
      <c r="BK117" s="24"/>
      <c r="BL117" s="24"/>
      <c r="BM117" s="24"/>
      <c r="BN117" s="24"/>
      <c r="BO117" s="24"/>
      <c r="BP117" s="24"/>
      <c r="BQ117" s="40"/>
      <c r="BR117" s="24"/>
      <c r="BS117" s="24"/>
      <c r="BT117" s="139"/>
      <c r="BU117" s="139"/>
      <c r="BV117" s="139"/>
      <c r="BW117" s="24"/>
      <c r="BX117" s="24"/>
    </row>
    <row r="118" spans="1:76" ht="15.75" customHeight="1">
      <c r="A118" s="24"/>
      <c r="B118" s="40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40"/>
      <c r="BK118" s="24"/>
      <c r="BL118" s="24"/>
      <c r="BM118" s="24"/>
      <c r="BN118" s="24"/>
      <c r="BO118" s="24"/>
      <c r="BP118" s="24"/>
      <c r="BQ118" s="40"/>
      <c r="BR118" s="24"/>
      <c r="BS118" s="24"/>
      <c r="BT118" s="139"/>
      <c r="BU118" s="139"/>
      <c r="BV118" s="139"/>
      <c r="BW118" s="24"/>
      <c r="BX118" s="24"/>
    </row>
    <row r="119" spans="1:76" ht="15.75" customHeight="1">
      <c r="A119" s="24"/>
      <c r="B119" s="40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40"/>
      <c r="BK119" s="24"/>
      <c r="BL119" s="24"/>
      <c r="BM119" s="24"/>
      <c r="BN119" s="24"/>
      <c r="BO119" s="24"/>
      <c r="BP119" s="24"/>
      <c r="BQ119" s="40"/>
      <c r="BR119" s="24"/>
      <c r="BS119" s="24"/>
      <c r="BT119" s="139"/>
      <c r="BU119" s="139"/>
      <c r="BV119" s="139"/>
      <c r="BW119" s="24"/>
      <c r="BX119" s="24"/>
    </row>
    <row r="120" spans="1:76" ht="15.75" customHeight="1">
      <c r="A120" s="24"/>
      <c r="B120" s="40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40"/>
      <c r="BK120" s="24"/>
      <c r="BL120" s="24"/>
      <c r="BM120" s="24"/>
      <c r="BN120" s="24"/>
      <c r="BO120" s="24"/>
      <c r="BP120" s="24"/>
      <c r="BQ120" s="40"/>
      <c r="BR120" s="24"/>
      <c r="BS120" s="24"/>
      <c r="BT120" s="139"/>
      <c r="BU120" s="139"/>
      <c r="BV120" s="139"/>
      <c r="BW120" s="24"/>
      <c r="BX120" s="24"/>
    </row>
    <row r="121" spans="1:76" ht="15.75" customHeight="1">
      <c r="A121" s="24"/>
      <c r="B121" s="40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40"/>
      <c r="BK121" s="24"/>
      <c r="BL121" s="24"/>
      <c r="BM121" s="24"/>
      <c r="BN121" s="24"/>
      <c r="BO121" s="24"/>
      <c r="BP121" s="24"/>
      <c r="BQ121" s="40"/>
      <c r="BR121" s="24"/>
      <c r="BS121" s="24"/>
      <c r="BT121" s="139"/>
      <c r="BU121" s="139"/>
      <c r="BV121" s="139"/>
      <c r="BW121" s="24"/>
      <c r="BX121" s="24"/>
    </row>
    <row r="122" spans="1:76" ht="15.75" customHeight="1">
      <c r="A122" s="24"/>
      <c r="B122" s="40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40"/>
      <c r="BK122" s="24"/>
      <c r="BL122" s="24"/>
      <c r="BM122" s="24"/>
      <c r="BN122" s="24"/>
      <c r="BO122" s="24"/>
      <c r="BP122" s="24"/>
      <c r="BQ122" s="40"/>
      <c r="BR122" s="24"/>
      <c r="BS122" s="24"/>
      <c r="BT122" s="139"/>
      <c r="BU122" s="139"/>
      <c r="BV122" s="139"/>
      <c r="BW122" s="24"/>
      <c r="BX122" s="24"/>
    </row>
    <row r="123" spans="1:76" ht="15.75" customHeight="1">
      <c r="A123" s="24"/>
      <c r="B123" s="40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40"/>
      <c r="BK123" s="24"/>
      <c r="BL123" s="24"/>
      <c r="BM123" s="24"/>
      <c r="BN123" s="24"/>
      <c r="BO123" s="24"/>
      <c r="BP123" s="24"/>
      <c r="BQ123" s="40"/>
      <c r="BR123" s="24"/>
      <c r="BS123" s="24"/>
      <c r="BT123" s="139"/>
      <c r="BU123" s="139"/>
      <c r="BV123" s="139"/>
      <c r="BW123" s="24"/>
      <c r="BX123" s="24"/>
    </row>
    <row r="124" spans="1:76" ht="15.75" customHeight="1">
      <c r="A124" s="24"/>
      <c r="B124" s="40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40"/>
      <c r="BK124" s="24"/>
      <c r="BL124" s="24"/>
      <c r="BM124" s="24"/>
      <c r="BN124" s="24"/>
      <c r="BO124" s="24"/>
      <c r="BP124" s="24"/>
      <c r="BQ124" s="40"/>
      <c r="BR124" s="24"/>
      <c r="BS124" s="24"/>
      <c r="BT124" s="139"/>
      <c r="BU124" s="139"/>
      <c r="BV124" s="139"/>
      <c r="BW124" s="24"/>
      <c r="BX124" s="24"/>
    </row>
    <row r="125" spans="1:76" ht="15.75" customHeight="1">
      <c r="A125" s="24"/>
      <c r="B125" s="40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40"/>
      <c r="BK125" s="24"/>
      <c r="BL125" s="24"/>
      <c r="BM125" s="24"/>
      <c r="BN125" s="24"/>
      <c r="BO125" s="24"/>
      <c r="BP125" s="24"/>
      <c r="BQ125" s="40"/>
      <c r="BR125" s="24"/>
      <c r="BS125" s="24"/>
      <c r="BT125" s="139"/>
      <c r="BU125" s="139"/>
      <c r="BV125" s="139"/>
      <c r="BW125" s="24"/>
      <c r="BX125" s="24"/>
    </row>
    <row r="126" spans="1:76" ht="15.75" customHeight="1">
      <c r="A126" s="24"/>
      <c r="B126" s="40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40"/>
      <c r="BK126" s="24"/>
      <c r="BL126" s="24"/>
      <c r="BM126" s="24"/>
      <c r="BN126" s="24"/>
      <c r="BO126" s="24"/>
      <c r="BP126" s="24"/>
      <c r="BQ126" s="40"/>
      <c r="BR126" s="24"/>
      <c r="BS126" s="24"/>
      <c r="BT126" s="139"/>
      <c r="BU126" s="139"/>
      <c r="BV126" s="139"/>
      <c r="BW126" s="24"/>
      <c r="BX126" s="24"/>
    </row>
    <row r="127" spans="1:76" ht="15.75" customHeight="1">
      <c r="A127" s="24"/>
      <c r="B127" s="40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40"/>
      <c r="BK127" s="24"/>
      <c r="BL127" s="24"/>
      <c r="BM127" s="24"/>
      <c r="BN127" s="24"/>
      <c r="BO127" s="24"/>
      <c r="BP127" s="24"/>
      <c r="BQ127" s="40"/>
      <c r="BR127" s="24"/>
      <c r="BS127" s="24"/>
      <c r="BT127" s="139"/>
      <c r="BU127" s="139"/>
      <c r="BV127" s="139"/>
      <c r="BW127" s="24"/>
      <c r="BX127" s="24"/>
    </row>
    <row r="128" spans="1:76" ht="15.75" customHeight="1">
      <c r="A128" s="24"/>
      <c r="B128" s="40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40"/>
      <c r="BK128" s="24"/>
      <c r="BL128" s="24"/>
      <c r="BM128" s="24"/>
      <c r="BN128" s="24"/>
      <c r="BO128" s="24"/>
      <c r="BP128" s="24"/>
      <c r="BQ128" s="40"/>
      <c r="BR128" s="24"/>
      <c r="BS128" s="24"/>
      <c r="BT128" s="139"/>
      <c r="BU128" s="139"/>
      <c r="BV128" s="139"/>
      <c r="BW128" s="24"/>
      <c r="BX128" s="24"/>
    </row>
    <row r="129" spans="1:76" ht="15.75" customHeight="1">
      <c r="A129" s="24"/>
      <c r="B129" s="40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40"/>
      <c r="BK129" s="24"/>
      <c r="BL129" s="24"/>
      <c r="BM129" s="24"/>
      <c r="BN129" s="24"/>
      <c r="BO129" s="24"/>
      <c r="BP129" s="24"/>
      <c r="BQ129" s="40"/>
      <c r="BR129" s="24"/>
      <c r="BS129" s="24"/>
      <c r="BT129" s="139"/>
      <c r="BU129" s="139"/>
      <c r="BV129" s="139"/>
      <c r="BW129" s="24"/>
      <c r="BX129" s="24"/>
    </row>
    <row r="130" spans="1:76" ht="15.75" customHeight="1">
      <c r="A130" s="24"/>
      <c r="B130" s="40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40"/>
      <c r="BK130" s="24"/>
      <c r="BL130" s="24"/>
      <c r="BM130" s="24"/>
      <c r="BN130" s="24"/>
      <c r="BO130" s="24"/>
      <c r="BP130" s="24"/>
      <c r="BQ130" s="40"/>
      <c r="BR130" s="24"/>
      <c r="BS130" s="24"/>
      <c r="BT130" s="139"/>
      <c r="BU130" s="139"/>
      <c r="BV130" s="139"/>
      <c r="BW130" s="24"/>
      <c r="BX130" s="24"/>
    </row>
    <row r="131" spans="1:76" ht="15.75" customHeight="1">
      <c r="A131" s="24"/>
      <c r="B131" s="40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40"/>
      <c r="BK131" s="24"/>
      <c r="BL131" s="24"/>
      <c r="BM131" s="24"/>
      <c r="BN131" s="24"/>
      <c r="BO131" s="24"/>
      <c r="BP131" s="24"/>
      <c r="BQ131" s="40"/>
      <c r="BR131" s="24"/>
      <c r="BS131" s="24"/>
      <c r="BT131" s="139"/>
      <c r="BU131" s="139"/>
      <c r="BV131" s="139"/>
      <c r="BW131" s="24"/>
      <c r="BX131" s="24"/>
    </row>
    <row r="132" spans="1:76" ht="15.75" customHeight="1">
      <c r="A132" s="24"/>
      <c r="B132" s="40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40"/>
      <c r="BK132" s="24"/>
      <c r="BL132" s="24"/>
      <c r="BM132" s="24"/>
      <c r="BN132" s="24"/>
      <c r="BO132" s="24"/>
      <c r="BP132" s="24"/>
      <c r="BQ132" s="40"/>
      <c r="BR132" s="24"/>
      <c r="BS132" s="24"/>
      <c r="BT132" s="139"/>
      <c r="BU132" s="139"/>
      <c r="BV132" s="139"/>
      <c r="BW132" s="24"/>
      <c r="BX132" s="24"/>
    </row>
    <row r="133" spans="1:76" ht="15.75" customHeight="1">
      <c r="A133" s="24"/>
      <c r="B133" s="40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40"/>
      <c r="BK133" s="24"/>
      <c r="BL133" s="24"/>
      <c r="BM133" s="24"/>
      <c r="BN133" s="24"/>
      <c r="BO133" s="24"/>
      <c r="BP133" s="24"/>
      <c r="BQ133" s="40"/>
      <c r="BR133" s="24"/>
      <c r="BS133" s="24"/>
      <c r="BT133" s="139"/>
      <c r="BU133" s="139"/>
      <c r="BV133" s="139"/>
      <c r="BW133" s="24"/>
      <c r="BX133" s="24"/>
    </row>
    <row r="134" spans="1:76" ht="15.75" customHeight="1">
      <c r="A134" s="24"/>
      <c r="B134" s="40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40"/>
      <c r="BK134" s="24"/>
      <c r="BL134" s="24"/>
      <c r="BM134" s="24"/>
      <c r="BN134" s="24"/>
      <c r="BO134" s="24"/>
      <c r="BP134" s="24"/>
      <c r="BQ134" s="40"/>
      <c r="BR134" s="24"/>
      <c r="BS134" s="24"/>
      <c r="BT134" s="139"/>
      <c r="BU134" s="139"/>
      <c r="BV134" s="139"/>
      <c r="BW134" s="24"/>
      <c r="BX134" s="24"/>
    </row>
    <row r="135" spans="1:76" ht="15.75" customHeight="1">
      <c r="A135" s="24"/>
      <c r="B135" s="40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40"/>
      <c r="BK135" s="24"/>
      <c r="BL135" s="24"/>
      <c r="BM135" s="24"/>
      <c r="BN135" s="24"/>
      <c r="BO135" s="24"/>
      <c r="BP135" s="24"/>
      <c r="BQ135" s="40"/>
      <c r="BR135" s="24"/>
      <c r="BS135" s="24"/>
      <c r="BT135" s="139"/>
      <c r="BU135" s="139"/>
      <c r="BV135" s="139"/>
      <c r="BW135" s="24"/>
      <c r="BX135" s="24"/>
    </row>
    <row r="136" spans="1:76" ht="15.75" customHeight="1">
      <c r="A136" s="24"/>
      <c r="B136" s="40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40"/>
      <c r="BK136" s="24"/>
      <c r="BL136" s="24"/>
      <c r="BM136" s="24"/>
      <c r="BN136" s="24"/>
      <c r="BO136" s="24"/>
      <c r="BP136" s="24"/>
      <c r="BQ136" s="40"/>
      <c r="BR136" s="24"/>
      <c r="BS136" s="24"/>
      <c r="BT136" s="139"/>
      <c r="BU136" s="139"/>
      <c r="BV136" s="139"/>
      <c r="BW136" s="24"/>
      <c r="BX136" s="24"/>
    </row>
    <row r="137" spans="1:76" ht="15.75" customHeight="1">
      <c r="A137" s="24"/>
      <c r="B137" s="40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40"/>
      <c r="BK137" s="24"/>
      <c r="BL137" s="24"/>
      <c r="BM137" s="24"/>
      <c r="BN137" s="24"/>
      <c r="BO137" s="24"/>
      <c r="BP137" s="24"/>
      <c r="BQ137" s="40"/>
      <c r="BR137" s="24"/>
      <c r="BS137" s="24"/>
      <c r="BT137" s="139"/>
      <c r="BU137" s="139"/>
      <c r="BV137" s="139"/>
      <c r="BW137" s="24"/>
      <c r="BX137" s="24"/>
    </row>
    <row r="138" spans="1:76" ht="15.75" customHeight="1">
      <c r="A138" s="24"/>
      <c r="B138" s="40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40"/>
      <c r="BK138" s="24"/>
      <c r="BL138" s="24"/>
      <c r="BM138" s="24"/>
      <c r="BN138" s="24"/>
      <c r="BO138" s="24"/>
      <c r="BP138" s="24"/>
      <c r="BQ138" s="40"/>
      <c r="BR138" s="24"/>
      <c r="BS138" s="24"/>
      <c r="BT138" s="139"/>
      <c r="BU138" s="139"/>
      <c r="BV138" s="139"/>
      <c r="BW138" s="24"/>
      <c r="BX138" s="24"/>
    </row>
    <row r="139" spans="1:76" ht="15.75" customHeight="1">
      <c r="A139" s="24"/>
      <c r="B139" s="40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40"/>
      <c r="BK139" s="24"/>
      <c r="BL139" s="24"/>
      <c r="BM139" s="24"/>
      <c r="BN139" s="24"/>
      <c r="BO139" s="24"/>
      <c r="BP139" s="24"/>
      <c r="BQ139" s="40"/>
      <c r="BR139" s="24"/>
      <c r="BS139" s="24"/>
      <c r="BT139" s="139"/>
      <c r="BU139" s="139"/>
      <c r="BV139" s="139"/>
      <c r="BW139" s="24"/>
      <c r="BX139" s="24"/>
    </row>
    <row r="140" spans="1:76" ht="15.75" customHeight="1">
      <c r="A140" s="24"/>
      <c r="B140" s="40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40"/>
      <c r="BK140" s="24"/>
      <c r="BL140" s="24"/>
      <c r="BM140" s="24"/>
      <c r="BN140" s="24"/>
      <c r="BO140" s="24"/>
      <c r="BP140" s="24"/>
      <c r="BQ140" s="40"/>
      <c r="BR140" s="24"/>
      <c r="BS140" s="24"/>
      <c r="BT140" s="139"/>
      <c r="BU140" s="139"/>
      <c r="BV140" s="139"/>
      <c r="BW140" s="24"/>
      <c r="BX140" s="24"/>
    </row>
    <row r="141" spans="1:76" ht="15.75" customHeight="1">
      <c r="A141" s="24"/>
      <c r="B141" s="40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40"/>
      <c r="BK141" s="24"/>
      <c r="BL141" s="24"/>
      <c r="BM141" s="24"/>
      <c r="BN141" s="24"/>
      <c r="BO141" s="24"/>
      <c r="BP141" s="24"/>
      <c r="BQ141" s="40"/>
      <c r="BR141" s="24"/>
      <c r="BS141" s="24"/>
      <c r="BT141" s="139"/>
      <c r="BU141" s="139"/>
      <c r="BV141" s="139"/>
      <c r="BW141" s="24"/>
      <c r="BX141" s="24"/>
    </row>
    <row r="142" spans="1:76" ht="15.75" customHeight="1">
      <c r="A142" s="24"/>
      <c r="B142" s="40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40"/>
      <c r="BK142" s="24"/>
      <c r="BL142" s="24"/>
      <c r="BM142" s="24"/>
      <c r="BN142" s="24"/>
      <c r="BO142" s="24"/>
      <c r="BP142" s="24"/>
      <c r="BQ142" s="40"/>
      <c r="BR142" s="24"/>
      <c r="BS142" s="24"/>
      <c r="BT142" s="139"/>
      <c r="BU142" s="139"/>
      <c r="BV142" s="139"/>
      <c r="BW142" s="24"/>
      <c r="BX142" s="24"/>
    </row>
    <row r="143" spans="1:76" ht="15.75" customHeight="1">
      <c r="A143" s="24"/>
      <c r="B143" s="40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40"/>
      <c r="BK143" s="24"/>
      <c r="BL143" s="24"/>
      <c r="BM143" s="24"/>
      <c r="BN143" s="24"/>
      <c r="BO143" s="24"/>
      <c r="BP143" s="24"/>
      <c r="BQ143" s="40"/>
      <c r="BR143" s="24"/>
      <c r="BS143" s="24"/>
      <c r="BT143" s="139"/>
      <c r="BU143" s="139"/>
      <c r="BV143" s="139"/>
      <c r="BW143" s="24"/>
      <c r="BX143" s="24"/>
    </row>
    <row r="144" spans="1:76" ht="15.75" customHeight="1">
      <c r="A144" s="24"/>
      <c r="B144" s="40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40"/>
      <c r="BK144" s="24"/>
      <c r="BL144" s="24"/>
      <c r="BM144" s="24"/>
      <c r="BN144" s="24"/>
      <c r="BO144" s="24"/>
      <c r="BP144" s="24"/>
      <c r="BQ144" s="40"/>
      <c r="BR144" s="24"/>
      <c r="BS144" s="24"/>
      <c r="BT144" s="139"/>
      <c r="BU144" s="139"/>
      <c r="BV144" s="139"/>
      <c r="BW144" s="24"/>
      <c r="BX144" s="24"/>
    </row>
    <row r="145" spans="1:76" ht="15.75" customHeight="1">
      <c r="A145" s="24"/>
      <c r="B145" s="40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40"/>
      <c r="BK145" s="24"/>
      <c r="BL145" s="24"/>
      <c r="BM145" s="24"/>
      <c r="BN145" s="24"/>
      <c r="BO145" s="24"/>
      <c r="BP145" s="24"/>
      <c r="BQ145" s="40"/>
      <c r="BR145" s="24"/>
      <c r="BS145" s="24"/>
      <c r="BT145" s="139"/>
      <c r="BU145" s="139"/>
      <c r="BV145" s="139"/>
      <c r="BW145" s="24"/>
      <c r="BX145" s="24"/>
    </row>
    <row r="146" spans="1:76" ht="15.75" customHeight="1">
      <c r="A146" s="24"/>
      <c r="B146" s="40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40"/>
      <c r="BK146" s="24"/>
      <c r="BL146" s="24"/>
      <c r="BM146" s="24"/>
      <c r="BN146" s="24"/>
      <c r="BO146" s="24"/>
      <c r="BP146" s="24"/>
      <c r="BQ146" s="40"/>
      <c r="BR146" s="24"/>
      <c r="BS146" s="24"/>
      <c r="BT146" s="139"/>
      <c r="BU146" s="139"/>
      <c r="BV146" s="139"/>
      <c r="BW146" s="24"/>
      <c r="BX146" s="24"/>
    </row>
    <row r="147" spans="1:76" ht="15.75" customHeight="1">
      <c r="A147" s="24"/>
      <c r="B147" s="40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40"/>
      <c r="BK147" s="24"/>
      <c r="BL147" s="24"/>
      <c r="BM147" s="24"/>
      <c r="BN147" s="24"/>
      <c r="BO147" s="24"/>
      <c r="BP147" s="24"/>
      <c r="BQ147" s="40"/>
      <c r="BR147" s="24"/>
      <c r="BS147" s="24"/>
      <c r="BT147" s="139"/>
      <c r="BU147" s="139"/>
      <c r="BV147" s="139"/>
      <c r="BW147" s="24"/>
      <c r="BX147" s="24"/>
    </row>
    <row r="148" spans="1:76" ht="15.75" customHeight="1">
      <c r="A148" s="24"/>
      <c r="B148" s="40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40"/>
      <c r="BK148" s="24"/>
      <c r="BL148" s="24"/>
      <c r="BM148" s="24"/>
      <c r="BN148" s="24"/>
      <c r="BO148" s="24"/>
      <c r="BP148" s="24"/>
      <c r="BQ148" s="40"/>
      <c r="BR148" s="24"/>
      <c r="BS148" s="24"/>
      <c r="BT148" s="139"/>
      <c r="BU148" s="139"/>
      <c r="BV148" s="139"/>
      <c r="BW148" s="24"/>
      <c r="BX148" s="24"/>
    </row>
    <row r="149" spans="1:76" ht="15.75" customHeight="1">
      <c r="A149" s="24"/>
      <c r="B149" s="40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40"/>
      <c r="BK149" s="24"/>
      <c r="BL149" s="24"/>
      <c r="BM149" s="24"/>
      <c r="BN149" s="24"/>
      <c r="BO149" s="24"/>
      <c r="BP149" s="24"/>
      <c r="BQ149" s="40"/>
      <c r="BR149" s="24"/>
      <c r="BS149" s="24"/>
      <c r="BT149" s="139"/>
      <c r="BU149" s="139"/>
      <c r="BV149" s="139"/>
      <c r="BW149" s="24"/>
      <c r="BX149" s="24"/>
    </row>
    <row r="150" spans="1:76" ht="15.75" customHeight="1">
      <c r="A150" s="24"/>
      <c r="B150" s="40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40"/>
      <c r="BK150" s="24"/>
      <c r="BL150" s="24"/>
      <c r="BM150" s="24"/>
      <c r="BN150" s="24"/>
      <c r="BO150" s="24"/>
      <c r="BP150" s="24"/>
      <c r="BQ150" s="40"/>
      <c r="BR150" s="24"/>
      <c r="BS150" s="24"/>
      <c r="BT150" s="139"/>
      <c r="BU150" s="139"/>
      <c r="BV150" s="139"/>
      <c r="BW150" s="24"/>
      <c r="BX150" s="24"/>
    </row>
    <row r="151" spans="1:76" ht="15.75" customHeight="1">
      <c r="A151" s="24"/>
      <c r="B151" s="40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40"/>
      <c r="BK151" s="24"/>
      <c r="BL151" s="24"/>
      <c r="BM151" s="24"/>
      <c r="BN151" s="24"/>
      <c r="BO151" s="24"/>
      <c r="BP151" s="24"/>
      <c r="BQ151" s="40"/>
      <c r="BR151" s="24"/>
      <c r="BS151" s="24"/>
      <c r="BT151" s="139"/>
      <c r="BU151" s="139"/>
      <c r="BV151" s="139"/>
      <c r="BW151" s="24"/>
      <c r="BX151" s="24"/>
    </row>
    <row r="152" spans="1:76" ht="15.75" customHeight="1">
      <c r="A152" s="24"/>
      <c r="B152" s="40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40"/>
      <c r="BK152" s="24"/>
      <c r="BL152" s="24"/>
      <c r="BM152" s="24"/>
      <c r="BN152" s="24"/>
      <c r="BO152" s="24"/>
      <c r="BP152" s="24"/>
      <c r="BQ152" s="40"/>
      <c r="BR152" s="24"/>
      <c r="BS152" s="24"/>
      <c r="BT152" s="139"/>
      <c r="BU152" s="139"/>
      <c r="BV152" s="139"/>
      <c r="BW152" s="24"/>
      <c r="BX152" s="24"/>
    </row>
    <row r="153" spans="1:76" ht="15.75" customHeight="1">
      <c r="A153" s="24"/>
      <c r="B153" s="40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40"/>
      <c r="BK153" s="24"/>
      <c r="BL153" s="24"/>
      <c r="BM153" s="24"/>
      <c r="BN153" s="24"/>
      <c r="BO153" s="24"/>
      <c r="BP153" s="24"/>
      <c r="BQ153" s="40"/>
      <c r="BR153" s="24"/>
      <c r="BS153" s="24"/>
      <c r="BT153" s="139"/>
      <c r="BU153" s="139"/>
      <c r="BV153" s="139"/>
      <c r="BW153" s="24"/>
      <c r="BX153" s="24"/>
    </row>
    <row r="154" spans="1:76" ht="15.75" customHeight="1">
      <c r="A154" s="24"/>
      <c r="B154" s="40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40"/>
      <c r="BK154" s="24"/>
      <c r="BL154" s="24"/>
      <c r="BM154" s="24"/>
      <c r="BN154" s="24"/>
      <c r="BO154" s="24"/>
      <c r="BP154" s="24"/>
      <c r="BQ154" s="40"/>
      <c r="BR154" s="24"/>
      <c r="BS154" s="24"/>
      <c r="BT154" s="139"/>
      <c r="BU154" s="139"/>
      <c r="BV154" s="139"/>
      <c r="BW154" s="24"/>
      <c r="BX154" s="24"/>
    </row>
    <row r="155" spans="1:76" ht="15.75" customHeight="1">
      <c r="A155" s="24"/>
      <c r="B155" s="40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40"/>
      <c r="BK155" s="24"/>
      <c r="BL155" s="24"/>
      <c r="BM155" s="24"/>
      <c r="BN155" s="24"/>
      <c r="BO155" s="24"/>
      <c r="BP155" s="24"/>
      <c r="BQ155" s="40"/>
      <c r="BR155" s="24"/>
      <c r="BS155" s="24"/>
      <c r="BT155" s="139"/>
      <c r="BU155" s="139"/>
      <c r="BV155" s="139"/>
      <c r="BW155" s="24"/>
      <c r="BX155" s="24"/>
    </row>
    <row r="156" spans="1:76" ht="15.75" customHeight="1">
      <c r="A156" s="24"/>
      <c r="B156" s="40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40"/>
      <c r="BK156" s="24"/>
      <c r="BL156" s="24"/>
      <c r="BM156" s="24"/>
      <c r="BN156" s="24"/>
      <c r="BO156" s="24"/>
      <c r="BP156" s="24"/>
      <c r="BQ156" s="40"/>
      <c r="BR156" s="24"/>
      <c r="BS156" s="24"/>
      <c r="BT156" s="139"/>
      <c r="BU156" s="139"/>
      <c r="BV156" s="139"/>
      <c r="BW156" s="24"/>
      <c r="BX156" s="24"/>
    </row>
    <row r="157" spans="1:76" ht="15.75" customHeight="1">
      <c r="A157" s="24"/>
      <c r="B157" s="40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40"/>
      <c r="BK157" s="24"/>
      <c r="BL157" s="24"/>
      <c r="BM157" s="24"/>
      <c r="BN157" s="24"/>
      <c r="BO157" s="24"/>
      <c r="BP157" s="24"/>
      <c r="BQ157" s="40"/>
      <c r="BR157" s="24"/>
      <c r="BS157" s="24"/>
      <c r="BT157" s="139"/>
      <c r="BU157" s="139"/>
      <c r="BV157" s="139"/>
      <c r="BW157" s="24"/>
      <c r="BX157" s="24"/>
    </row>
    <row r="158" spans="1:76" ht="15.75" customHeight="1">
      <c r="A158" s="24"/>
      <c r="B158" s="40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40"/>
      <c r="BK158" s="24"/>
      <c r="BL158" s="24"/>
      <c r="BM158" s="24"/>
      <c r="BN158" s="24"/>
      <c r="BO158" s="24"/>
      <c r="BP158" s="24"/>
      <c r="BQ158" s="40"/>
      <c r="BR158" s="24"/>
      <c r="BS158" s="24"/>
      <c r="BT158" s="139"/>
      <c r="BU158" s="139"/>
      <c r="BV158" s="139"/>
      <c r="BW158" s="24"/>
      <c r="BX158" s="24"/>
    </row>
    <row r="159" spans="1:76" ht="15.75" customHeight="1">
      <c r="A159" s="24"/>
      <c r="B159" s="40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40"/>
      <c r="BK159" s="24"/>
      <c r="BL159" s="24"/>
      <c r="BM159" s="24"/>
      <c r="BN159" s="24"/>
      <c r="BO159" s="24"/>
      <c r="BP159" s="24"/>
      <c r="BQ159" s="40"/>
      <c r="BR159" s="24"/>
      <c r="BS159" s="24"/>
      <c r="BT159" s="139"/>
      <c r="BU159" s="139"/>
      <c r="BV159" s="139"/>
      <c r="BW159" s="24"/>
      <c r="BX159" s="24"/>
    </row>
    <row r="160" spans="1:76" ht="15.75" customHeight="1">
      <c r="A160" s="24"/>
      <c r="B160" s="40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40"/>
      <c r="BK160" s="24"/>
      <c r="BL160" s="24"/>
      <c r="BM160" s="24"/>
      <c r="BN160" s="24"/>
      <c r="BO160" s="24"/>
      <c r="BP160" s="24"/>
      <c r="BQ160" s="40"/>
      <c r="BR160" s="24"/>
      <c r="BS160" s="24"/>
      <c r="BT160" s="139"/>
      <c r="BU160" s="139"/>
      <c r="BV160" s="139"/>
      <c r="BW160" s="24"/>
      <c r="BX160" s="24"/>
    </row>
    <row r="161" spans="1:76" ht="15.75" customHeight="1">
      <c r="A161" s="24"/>
      <c r="B161" s="40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40"/>
      <c r="BK161" s="24"/>
      <c r="BL161" s="24"/>
      <c r="BM161" s="24"/>
      <c r="BN161" s="24"/>
      <c r="BO161" s="24"/>
      <c r="BP161" s="24"/>
      <c r="BQ161" s="40"/>
      <c r="BR161" s="24"/>
      <c r="BS161" s="24"/>
      <c r="BT161" s="139"/>
      <c r="BU161" s="139"/>
      <c r="BV161" s="139"/>
      <c r="BW161" s="24"/>
      <c r="BX161" s="24"/>
    </row>
    <row r="162" spans="1:76" ht="15.75" customHeight="1">
      <c r="A162" s="24"/>
      <c r="B162" s="40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40"/>
      <c r="BK162" s="24"/>
      <c r="BL162" s="24"/>
      <c r="BM162" s="24"/>
      <c r="BN162" s="24"/>
      <c r="BO162" s="24"/>
      <c r="BP162" s="24"/>
      <c r="BQ162" s="40"/>
      <c r="BR162" s="24"/>
      <c r="BS162" s="24"/>
      <c r="BT162" s="139"/>
      <c r="BU162" s="139"/>
      <c r="BV162" s="139"/>
      <c r="BW162" s="24"/>
      <c r="BX162" s="24"/>
    </row>
    <row r="163" spans="1:76" ht="15.75" customHeight="1">
      <c r="A163" s="24"/>
      <c r="B163" s="40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40"/>
      <c r="BK163" s="24"/>
      <c r="BL163" s="24"/>
      <c r="BM163" s="24"/>
      <c r="BN163" s="24"/>
      <c r="BO163" s="24"/>
      <c r="BP163" s="24"/>
      <c r="BQ163" s="40"/>
      <c r="BR163" s="24"/>
      <c r="BS163" s="24"/>
      <c r="BT163" s="139"/>
      <c r="BU163" s="139"/>
      <c r="BV163" s="139"/>
      <c r="BW163" s="24"/>
      <c r="BX163" s="24"/>
    </row>
    <row r="164" spans="1:76" ht="15.75" customHeight="1">
      <c r="A164" s="24"/>
      <c r="B164" s="40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40"/>
      <c r="BK164" s="24"/>
      <c r="BL164" s="24"/>
      <c r="BM164" s="24"/>
      <c r="BN164" s="24"/>
      <c r="BO164" s="24"/>
      <c r="BP164" s="24"/>
      <c r="BQ164" s="40"/>
      <c r="BR164" s="24"/>
      <c r="BS164" s="24"/>
      <c r="BT164" s="139"/>
      <c r="BU164" s="139"/>
      <c r="BV164" s="139"/>
      <c r="BW164" s="24"/>
      <c r="BX164" s="24"/>
    </row>
    <row r="165" spans="1:76" ht="15.75" customHeight="1">
      <c r="A165" s="24"/>
      <c r="B165" s="40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40"/>
      <c r="BK165" s="24"/>
      <c r="BL165" s="24"/>
      <c r="BM165" s="24"/>
      <c r="BN165" s="24"/>
      <c r="BO165" s="24"/>
      <c r="BP165" s="24"/>
      <c r="BQ165" s="40"/>
      <c r="BR165" s="24"/>
      <c r="BS165" s="24"/>
      <c r="BT165" s="139"/>
      <c r="BU165" s="139"/>
      <c r="BV165" s="139"/>
      <c r="BW165" s="24"/>
      <c r="BX165" s="24"/>
    </row>
    <row r="166" spans="1:76" ht="15.75" customHeight="1">
      <c r="A166" s="24"/>
      <c r="B166" s="40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40"/>
      <c r="BK166" s="24"/>
      <c r="BL166" s="24"/>
      <c r="BM166" s="24"/>
      <c r="BN166" s="24"/>
      <c r="BO166" s="24"/>
      <c r="BP166" s="24"/>
      <c r="BQ166" s="40"/>
      <c r="BR166" s="24"/>
      <c r="BS166" s="24"/>
      <c r="BT166" s="139"/>
      <c r="BU166" s="139"/>
      <c r="BV166" s="139"/>
      <c r="BW166" s="24"/>
      <c r="BX166" s="24"/>
    </row>
    <row r="167" spans="1:76" ht="15.75" customHeight="1">
      <c r="A167" s="24"/>
      <c r="B167" s="40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40"/>
      <c r="BK167" s="24"/>
      <c r="BL167" s="24"/>
      <c r="BM167" s="24"/>
      <c r="BN167" s="24"/>
      <c r="BO167" s="24"/>
      <c r="BP167" s="24"/>
      <c r="BQ167" s="40"/>
      <c r="BR167" s="24"/>
      <c r="BS167" s="24"/>
      <c r="BT167" s="139"/>
      <c r="BU167" s="139"/>
      <c r="BV167" s="139"/>
      <c r="BW167" s="24"/>
      <c r="BX167" s="24"/>
    </row>
    <row r="168" spans="1:76" ht="15.75" customHeight="1">
      <c r="A168" s="24"/>
      <c r="B168" s="40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40"/>
      <c r="BK168" s="24"/>
      <c r="BL168" s="24"/>
      <c r="BM168" s="24"/>
      <c r="BN168" s="24"/>
      <c r="BO168" s="24"/>
      <c r="BP168" s="24"/>
      <c r="BQ168" s="40"/>
      <c r="BR168" s="24"/>
      <c r="BS168" s="24"/>
      <c r="BT168" s="139"/>
      <c r="BU168" s="139"/>
      <c r="BV168" s="139"/>
      <c r="BW168" s="24"/>
      <c r="BX168" s="24"/>
    </row>
    <row r="169" spans="1:76" ht="15.75" customHeight="1">
      <c r="A169" s="24"/>
      <c r="B169" s="40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40"/>
      <c r="BK169" s="24"/>
      <c r="BL169" s="24"/>
      <c r="BM169" s="24"/>
      <c r="BN169" s="24"/>
      <c r="BO169" s="24"/>
      <c r="BP169" s="24"/>
      <c r="BQ169" s="40"/>
      <c r="BR169" s="24"/>
      <c r="BS169" s="24"/>
      <c r="BT169" s="139"/>
      <c r="BU169" s="139"/>
      <c r="BV169" s="139"/>
      <c r="BW169" s="24"/>
      <c r="BX169" s="24"/>
    </row>
    <row r="170" spans="1:76" ht="15.75" customHeight="1">
      <c r="A170" s="24"/>
      <c r="B170" s="40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40"/>
      <c r="BK170" s="24"/>
      <c r="BL170" s="24"/>
      <c r="BM170" s="24"/>
      <c r="BN170" s="24"/>
      <c r="BO170" s="24"/>
      <c r="BP170" s="24"/>
      <c r="BQ170" s="40"/>
      <c r="BR170" s="24"/>
      <c r="BS170" s="24"/>
      <c r="BT170" s="139"/>
      <c r="BU170" s="139"/>
      <c r="BV170" s="139"/>
      <c r="BW170" s="24"/>
      <c r="BX170" s="24"/>
    </row>
    <row r="171" spans="1:76" ht="15.75" customHeight="1">
      <c r="A171" s="24"/>
      <c r="B171" s="40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40"/>
      <c r="BK171" s="24"/>
      <c r="BL171" s="24"/>
      <c r="BM171" s="24"/>
      <c r="BN171" s="24"/>
      <c r="BO171" s="24"/>
      <c r="BP171" s="24"/>
      <c r="BQ171" s="40"/>
      <c r="BR171" s="24"/>
      <c r="BS171" s="24"/>
      <c r="BT171" s="139"/>
      <c r="BU171" s="139"/>
      <c r="BV171" s="139"/>
      <c r="BW171" s="24"/>
      <c r="BX171" s="24"/>
    </row>
    <row r="172" spans="1:76" ht="15.75" customHeight="1">
      <c r="A172" s="24"/>
      <c r="B172" s="40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40"/>
      <c r="BK172" s="24"/>
      <c r="BL172" s="24"/>
      <c r="BM172" s="24"/>
      <c r="BN172" s="24"/>
      <c r="BO172" s="24"/>
      <c r="BP172" s="24"/>
      <c r="BQ172" s="40"/>
      <c r="BR172" s="24"/>
      <c r="BS172" s="24"/>
      <c r="BT172" s="139"/>
      <c r="BU172" s="139"/>
      <c r="BV172" s="139"/>
      <c r="BW172" s="24"/>
      <c r="BX172" s="24"/>
    </row>
    <row r="173" spans="1:76" ht="15.75" customHeight="1">
      <c r="A173" s="24"/>
      <c r="B173" s="40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40"/>
      <c r="BK173" s="24"/>
      <c r="BL173" s="24"/>
      <c r="BM173" s="24"/>
      <c r="BN173" s="24"/>
      <c r="BO173" s="24"/>
      <c r="BP173" s="24"/>
      <c r="BQ173" s="40"/>
      <c r="BR173" s="24"/>
      <c r="BS173" s="24"/>
      <c r="BT173" s="139"/>
      <c r="BU173" s="139"/>
      <c r="BV173" s="139"/>
      <c r="BW173" s="24"/>
      <c r="BX173" s="24"/>
    </row>
    <row r="174" spans="1:76" ht="15.75" customHeight="1">
      <c r="A174" s="24"/>
      <c r="B174" s="40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40"/>
      <c r="BK174" s="24"/>
      <c r="BL174" s="24"/>
      <c r="BM174" s="24"/>
      <c r="BN174" s="24"/>
      <c r="BO174" s="24"/>
      <c r="BP174" s="24"/>
      <c r="BQ174" s="40"/>
      <c r="BR174" s="24"/>
      <c r="BS174" s="24"/>
      <c r="BT174" s="139"/>
      <c r="BU174" s="139"/>
      <c r="BV174" s="139"/>
      <c r="BW174" s="24"/>
      <c r="BX174" s="24"/>
    </row>
    <row r="175" spans="1:76" ht="15.75" customHeight="1">
      <c r="A175" s="24"/>
      <c r="B175" s="40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40"/>
      <c r="BK175" s="24"/>
      <c r="BL175" s="24"/>
      <c r="BM175" s="24"/>
      <c r="BN175" s="24"/>
      <c r="BO175" s="24"/>
      <c r="BP175" s="24"/>
      <c r="BQ175" s="40"/>
      <c r="BR175" s="24"/>
      <c r="BS175" s="24"/>
      <c r="BT175" s="139"/>
      <c r="BU175" s="139"/>
      <c r="BV175" s="139"/>
      <c r="BW175" s="24"/>
      <c r="BX175" s="24"/>
    </row>
    <row r="176" spans="1:76" ht="15.75" customHeight="1">
      <c r="A176" s="24"/>
      <c r="B176" s="40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40"/>
      <c r="BK176" s="24"/>
      <c r="BL176" s="24"/>
      <c r="BM176" s="24"/>
      <c r="BN176" s="24"/>
      <c r="BO176" s="24"/>
      <c r="BP176" s="24"/>
      <c r="BQ176" s="40"/>
      <c r="BR176" s="24"/>
      <c r="BS176" s="24"/>
      <c r="BT176" s="139"/>
      <c r="BU176" s="139"/>
      <c r="BV176" s="139"/>
      <c r="BW176" s="24"/>
      <c r="BX176" s="24"/>
    </row>
    <row r="177" spans="1:76" ht="15.75" customHeight="1">
      <c r="A177" s="24"/>
      <c r="B177" s="40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40"/>
      <c r="BK177" s="24"/>
      <c r="BL177" s="24"/>
      <c r="BM177" s="24"/>
      <c r="BN177" s="24"/>
      <c r="BO177" s="24"/>
      <c r="BP177" s="24"/>
      <c r="BQ177" s="40"/>
      <c r="BR177" s="24"/>
      <c r="BS177" s="24"/>
      <c r="BT177" s="139"/>
      <c r="BU177" s="139"/>
      <c r="BV177" s="139"/>
      <c r="BW177" s="24"/>
      <c r="BX177" s="24"/>
    </row>
    <row r="178" spans="1:76" ht="15.75" customHeight="1">
      <c r="A178" s="24"/>
      <c r="B178" s="40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40"/>
      <c r="BK178" s="24"/>
      <c r="BL178" s="24"/>
      <c r="BM178" s="24"/>
      <c r="BN178" s="24"/>
      <c r="BO178" s="24"/>
      <c r="BP178" s="24"/>
      <c r="BQ178" s="40"/>
      <c r="BR178" s="24"/>
      <c r="BS178" s="24"/>
      <c r="BT178" s="139"/>
      <c r="BU178" s="139"/>
      <c r="BV178" s="139"/>
      <c r="BW178" s="24"/>
      <c r="BX178" s="24"/>
    </row>
    <row r="179" spans="1:76" ht="15.75" customHeight="1">
      <c r="A179" s="24"/>
      <c r="B179" s="40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40"/>
      <c r="BK179" s="24"/>
      <c r="BL179" s="24"/>
      <c r="BM179" s="24"/>
      <c r="BN179" s="24"/>
      <c r="BO179" s="24"/>
      <c r="BP179" s="24"/>
      <c r="BQ179" s="40"/>
      <c r="BR179" s="24"/>
      <c r="BS179" s="24"/>
      <c r="BT179" s="139"/>
      <c r="BU179" s="139"/>
      <c r="BV179" s="139"/>
      <c r="BW179" s="24"/>
      <c r="BX179" s="24"/>
    </row>
    <row r="180" spans="1:76" ht="15.75" customHeight="1">
      <c r="A180" s="24"/>
      <c r="B180" s="40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40"/>
      <c r="BK180" s="24"/>
      <c r="BL180" s="24"/>
      <c r="BM180" s="24"/>
      <c r="BN180" s="24"/>
      <c r="BO180" s="24"/>
      <c r="BP180" s="24"/>
      <c r="BQ180" s="40"/>
      <c r="BR180" s="24"/>
      <c r="BS180" s="24"/>
      <c r="BT180" s="139"/>
      <c r="BU180" s="139"/>
      <c r="BV180" s="139"/>
      <c r="BW180" s="24"/>
      <c r="BX180" s="24"/>
    </row>
    <row r="181" spans="1:76" ht="15.75" customHeight="1">
      <c r="A181" s="24"/>
      <c r="B181" s="40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40"/>
      <c r="BK181" s="24"/>
      <c r="BL181" s="24"/>
      <c r="BM181" s="24"/>
      <c r="BN181" s="24"/>
      <c r="BO181" s="24"/>
      <c r="BP181" s="24"/>
      <c r="BQ181" s="40"/>
      <c r="BR181" s="24"/>
      <c r="BS181" s="24"/>
      <c r="BT181" s="139"/>
      <c r="BU181" s="139"/>
      <c r="BV181" s="139"/>
      <c r="BW181" s="24"/>
      <c r="BX181" s="24"/>
    </row>
    <row r="182" spans="1:76" ht="15.75" customHeight="1">
      <c r="A182" s="24"/>
      <c r="B182" s="40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40"/>
      <c r="BK182" s="24"/>
      <c r="BL182" s="24"/>
      <c r="BM182" s="24"/>
      <c r="BN182" s="24"/>
      <c r="BO182" s="24"/>
      <c r="BP182" s="24"/>
      <c r="BQ182" s="40"/>
      <c r="BR182" s="24"/>
      <c r="BS182" s="24"/>
      <c r="BT182" s="139"/>
      <c r="BU182" s="139"/>
      <c r="BV182" s="139"/>
      <c r="BW182" s="24"/>
      <c r="BX182" s="24"/>
    </row>
    <row r="183" spans="1:76" ht="15.75" customHeight="1">
      <c r="A183" s="24"/>
      <c r="B183" s="40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40"/>
      <c r="BK183" s="24"/>
      <c r="BL183" s="24"/>
      <c r="BM183" s="24"/>
      <c r="BN183" s="24"/>
      <c r="BO183" s="24"/>
      <c r="BP183" s="24"/>
      <c r="BQ183" s="40"/>
      <c r="BR183" s="24"/>
      <c r="BS183" s="24"/>
      <c r="BT183" s="139"/>
      <c r="BU183" s="139"/>
      <c r="BV183" s="139"/>
      <c r="BW183" s="24"/>
      <c r="BX183" s="24"/>
    </row>
    <row r="184" spans="1:76" ht="15.75" customHeight="1">
      <c r="A184" s="24"/>
      <c r="B184" s="40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40"/>
      <c r="BK184" s="24"/>
      <c r="BL184" s="24"/>
      <c r="BM184" s="24"/>
      <c r="BN184" s="24"/>
      <c r="BO184" s="24"/>
      <c r="BP184" s="24"/>
      <c r="BQ184" s="40"/>
      <c r="BR184" s="24"/>
      <c r="BS184" s="24"/>
      <c r="BT184" s="139"/>
      <c r="BU184" s="139"/>
      <c r="BV184" s="139"/>
      <c r="BW184" s="24"/>
      <c r="BX184" s="24"/>
    </row>
    <row r="185" spans="1:76" ht="15.75" customHeight="1">
      <c r="A185" s="24"/>
      <c r="B185" s="40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40"/>
      <c r="BK185" s="24"/>
      <c r="BL185" s="24"/>
      <c r="BM185" s="24"/>
      <c r="BN185" s="24"/>
      <c r="BO185" s="24"/>
      <c r="BP185" s="24"/>
      <c r="BQ185" s="40"/>
      <c r="BR185" s="24"/>
      <c r="BS185" s="24"/>
      <c r="BT185" s="139"/>
      <c r="BU185" s="139"/>
      <c r="BV185" s="139"/>
      <c r="BW185" s="24"/>
      <c r="BX185" s="24"/>
    </row>
    <row r="186" spans="1:76" ht="15.75" customHeight="1">
      <c r="A186" s="24"/>
      <c r="B186" s="40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40"/>
      <c r="BK186" s="24"/>
      <c r="BL186" s="24"/>
      <c r="BM186" s="24"/>
      <c r="BN186" s="24"/>
      <c r="BO186" s="24"/>
      <c r="BP186" s="24"/>
      <c r="BQ186" s="40"/>
      <c r="BR186" s="24"/>
      <c r="BS186" s="24"/>
      <c r="BT186" s="139"/>
      <c r="BU186" s="139"/>
      <c r="BV186" s="139"/>
      <c r="BW186" s="24"/>
      <c r="BX186" s="24"/>
    </row>
    <row r="187" spans="1:76" ht="15.75" customHeight="1">
      <c r="A187" s="24"/>
      <c r="B187" s="40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40"/>
      <c r="BK187" s="24"/>
      <c r="BL187" s="24"/>
      <c r="BM187" s="24"/>
      <c r="BN187" s="24"/>
      <c r="BO187" s="24"/>
      <c r="BP187" s="24"/>
      <c r="BQ187" s="40"/>
      <c r="BR187" s="24"/>
      <c r="BS187" s="24"/>
      <c r="BT187" s="139"/>
      <c r="BU187" s="139"/>
      <c r="BV187" s="139"/>
      <c r="BW187" s="24"/>
      <c r="BX187" s="24"/>
    </row>
    <row r="188" spans="1:76" ht="15.75" customHeight="1">
      <c r="A188" s="24"/>
      <c r="B188" s="40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40"/>
      <c r="BK188" s="24"/>
      <c r="BL188" s="24"/>
      <c r="BM188" s="24"/>
      <c r="BN188" s="24"/>
      <c r="BO188" s="24"/>
      <c r="BP188" s="24"/>
      <c r="BQ188" s="40"/>
      <c r="BR188" s="24"/>
      <c r="BS188" s="24"/>
      <c r="BT188" s="139"/>
      <c r="BU188" s="139"/>
      <c r="BV188" s="139"/>
      <c r="BW188" s="24"/>
      <c r="BX188" s="24"/>
    </row>
    <row r="189" spans="1:76" ht="15.75" customHeight="1">
      <c r="A189" s="24"/>
      <c r="B189" s="40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40"/>
      <c r="BK189" s="24"/>
      <c r="BL189" s="24"/>
      <c r="BM189" s="24"/>
      <c r="BN189" s="24"/>
      <c r="BO189" s="24"/>
      <c r="BP189" s="24"/>
      <c r="BQ189" s="40"/>
      <c r="BR189" s="24"/>
      <c r="BS189" s="24"/>
      <c r="BT189" s="139"/>
      <c r="BU189" s="139"/>
      <c r="BV189" s="139"/>
      <c r="BW189" s="24"/>
      <c r="BX189" s="24"/>
    </row>
    <row r="190" spans="1:76" ht="15.75" customHeight="1">
      <c r="A190" s="24"/>
      <c r="B190" s="40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40"/>
      <c r="BK190" s="24"/>
      <c r="BL190" s="24"/>
      <c r="BM190" s="24"/>
      <c r="BN190" s="24"/>
      <c r="BO190" s="24"/>
      <c r="BP190" s="24"/>
      <c r="BQ190" s="40"/>
      <c r="BR190" s="24"/>
      <c r="BS190" s="24"/>
      <c r="BT190" s="139"/>
      <c r="BU190" s="139"/>
      <c r="BV190" s="139"/>
      <c r="BW190" s="24"/>
      <c r="BX190" s="24"/>
    </row>
    <row r="191" spans="1:76" ht="15.75" customHeight="1">
      <c r="A191" s="24"/>
      <c r="B191" s="40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40"/>
      <c r="BK191" s="24"/>
      <c r="BL191" s="24"/>
      <c r="BM191" s="24"/>
      <c r="BN191" s="24"/>
      <c r="BO191" s="24"/>
      <c r="BP191" s="24"/>
      <c r="BQ191" s="40"/>
      <c r="BR191" s="24"/>
      <c r="BS191" s="24"/>
      <c r="BT191" s="139"/>
      <c r="BU191" s="139"/>
      <c r="BV191" s="139"/>
      <c r="BW191" s="24"/>
      <c r="BX191" s="24"/>
    </row>
    <row r="192" spans="1:76" ht="15.75" customHeight="1">
      <c r="A192" s="24"/>
      <c r="B192" s="40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40"/>
      <c r="BK192" s="24"/>
      <c r="BL192" s="24"/>
      <c r="BM192" s="24"/>
      <c r="BN192" s="24"/>
      <c r="BO192" s="24"/>
      <c r="BP192" s="24"/>
      <c r="BQ192" s="40"/>
      <c r="BR192" s="24"/>
      <c r="BS192" s="24"/>
      <c r="BT192" s="139"/>
      <c r="BU192" s="139"/>
      <c r="BV192" s="139"/>
      <c r="BW192" s="24"/>
      <c r="BX192" s="24"/>
    </row>
    <row r="193" spans="1:76" ht="15.75" customHeight="1">
      <c r="A193" s="24"/>
      <c r="B193" s="40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40"/>
      <c r="BK193" s="24"/>
      <c r="BL193" s="24"/>
      <c r="BM193" s="24"/>
      <c r="BN193" s="24"/>
      <c r="BO193" s="24"/>
      <c r="BP193" s="24"/>
      <c r="BQ193" s="40"/>
      <c r="BR193" s="24"/>
      <c r="BS193" s="24"/>
      <c r="BT193" s="139"/>
      <c r="BU193" s="139"/>
      <c r="BV193" s="139"/>
      <c r="BW193" s="24"/>
      <c r="BX193" s="24"/>
    </row>
    <row r="194" spans="1:76" ht="15.75" customHeight="1">
      <c r="A194" s="24"/>
      <c r="B194" s="40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40"/>
      <c r="BK194" s="24"/>
      <c r="BL194" s="24"/>
      <c r="BM194" s="24"/>
      <c r="BN194" s="24"/>
      <c r="BO194" s="24"/>
      <c r="BP194" s="24"/>
      <c r="BQ194" s="40"/>
      <c r="BR194" s="24"/>
      <c r="BS194" s="24"/>
      <c r="BT194" s="139"/>
      <c r="BU194" s="139"/>
      <c r="BV194" s="139"/>
      <c r="BW194" s="24"/>
      <c r="BX194" s="24"/>
    </row>
    <row r="195" spans="1:76" ht="15.75" customHeight="1">
      <c r="A195" s="24"/>
      <c r="B195" s="40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40"/>
      <c r="BK195" s="24"/>
      <c r="BL195" s="24"/>
      <c r="BM195" s="24"/>
      <c r="BN195" s="24"/>
      <c r="BO195" s="24"/>
      <c r="BP195" s="24"/>
      <c r="BQ195" s="40"/>
      <c r="BR195" s="24"/>
      <c r="BS195" s="24"/>
      <c r="BT195" s="139"/>
      <c r="BU195" s="139"/>
      <c r="BV195" s="139"/>
      <c r="BW195" s="24"/>
      <c r="BX195" s="24"/>
    </row>
    <row r="196" spans="1:76" ht="15.75" customHeight="1">
      <c r="A196" s="24"/>
      <c r="B196" s="40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40"/>
      <c r="BK196" s="24"/>
      <c r="BL196" s="24"/>
      <c r="BM196" s="24"/>
      <c r="BN196" s="24"/>
      <c r="BO196" s="24"/>
      <c r="BP196" s="24"/>
      <c r="BQ196" s="40"/>
      <c r="BR196" s="24"/>
      <c r="BS196" s="24"/>
      <c r="BT196" s="139"/>
      <c r="BU196" s="139"/>
      <c r="BV196" s="139"/>
      <c r="BW196" s="24"/>
      <c r="BX196" s="24"/>
    </row>
    <row r="197" spans="1:76" ht="15.75" customHeight="1">
      <c r="A197" s="24"/>
      <c r="B197" s="40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40"/>
      <c r="BK197" s="24"/>
      <c r="BL197" s="24"/>
      <c r="BM197" s="24"/>
      <c r="BN197" s="24"/>
      <c r="BO197" s="24"/>
      <c r="BP197" s="24"/>
      <c r="BQ197" s="40"/>
      <c r="BR197" s="24"/>
      <c r="BS197" s="24"/>
      <c r="BT197" s="139"/>
      <c r="BU197" s="139"/>
      <c r="BV197" s="139"/>
      <c r="BW197" s="24"/>
      <c r="BX197" s="24"/>
    </row>
    <row r="198" spans="1:76" ht="15.75" customHeight="1">
      <c r="A198" s="24"/>
      <c r="B198" s="40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40"/>
      <c r="BK198" s="24"/>
      <c r="BL198" s="24"/>
      <c r="BM198" s="24"/>
      <c r="BN198" s="24"/>
      <c r="BO198" s="24"/>
      <c r="BP198" s="24"/>
      <c r="BQ198" s="40"/>
      <c r="BR198" s="24"/>
      <c r="BS198" s="24"/>
      <c r="BT198" s="139"/>
      <c r="BU198" s="139"/>
      <c r="BV198" s="139"/>
      <c r="BW198" s="24"/>
      <c r="BX198" s="24"/>
    </row>
    <row r="199" spans="1:76" ht="15.75" customHeight="1">
      <c r="A199" s="24"/>
      <c r="B199" s="40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40"/>
      <c r="BK199" s="24"/>
      <c r="BL199" s="24"/>
      <c r="BM199" s="24"/>
      <c r="BN199" s="24"/>
      <c r="BO199" s="24"/>
      <c r="BP199" s="24"/>
      <c r="BQ199" s="40"/>
      <c r="BR199" s="24"/>
      <c r="BS199" s="24"/>
      <c r="BT199" s="139"/>
      <c r="BU199" s="139"/>
      <c r="BV199" s="139"/>
      <c r="BW199" s="24"/>
      <c r="BX199" s="24"/>
    </row>
    <row r="200" spans="1:76" ht="15.75" customHeight="1">
      <c r="A200" s="24"/>
      <c r="B200" s="40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40"/>
      <c r="BK200" s="24"/>
      <c r="BL200" s="24"/>
      <c r="BM200" s="24"/>
      <c r="BN200" s="24"/>
      <c r="BO200" s="24"/>
      <c r="BP200" s="24"/>
      <c r="BQ200" s="40"/>
      <c r="BR200" s="24"/>
      <c r="BS200" s="24"/>
      <c r="BT200" s="139"/>
      <c r="BU200" s="139"/>
      <c r="BV200" s="139"/>
      <c r="BW200" s="24"/>
      <c r="BX200" s="24"/>
    </row>
    <row r="201" spans="1:76" ht="15.75" customHeight="1">
      <c r="A201" s="24"/>
      <c r="B201" s="40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40"/>
      <c r="BK201" s="24"/>
      <c r="BL201" s="24"/>
      <c r="BM201" s="24"/>
      <c r="BN201" s="24"/>
      <c r="BO201" s="24"/>
      <c r="BP201" s="24"/>
      <c r="BQ201" s="40"/>
      <c r="BR201" s="24"/>
      <c r="BS201" s="24"/>
      <c r="BT201" s="139"/>
      <c r="BU201" s="139"/>
      <c r="BV201" s="139"/>
      <c r="BW201" s="24"/>
      <c r="BX201" s="24"/>
    </row>
    <row r="202" spans="1:76" ht="15.75" customHeight="1">
      <c r="A202" s="24"/>
      <c r="B202" s="40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40"/>
      <c r="BK202" s="24"/>
      <c r="BL202" s="24"/>
      <c r="BM202" s="24"/>
      <c r="BN202" s="24"/>
      <c r="BO202" s="24"/>
      <c r="BP202" s="24"/>
      <c r="BQ202" s="40"/>
      <c r="BR202" s="24"/>
      <c r="BS202" s="24"/>
      <c r="BT202" s="139"/>
      <c r="BU202" s="139"/>
      <c r="BV202" s="139"/>
      <c r="BW202" s="24"/>
      <c r="BX202" s="24"/>
    </row>
    <row r="203" spans="1:76" ht="15.75" customHeight="1">
      <c r="A203" s="24"/>
      <c r="B203" s="40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40"/>
      <c r="BK203" s="24"/>
      <c r="BL203" s="24"/>
      <c r="BM203" s="24"/>
      <c r="BN203" s="24"/>
      <c r="BO203" s="24"/>
      <c r="BP203" s="24"/>
      <c r="BQ203" s="40"/>
      <c r="BR203" s="24"/>
      <c r="BS203" s="24"/>
      <c r="BT203" s="139"/>
      <c r="BU203" s="139"/>
      <c r="BV203" s="139"/>
      <c r="BW203" s="24"/>
      <c r="BX203" s="24"/>
    </row>
    <row r="204" spans="1:76" ht="15.75" customHeight="1">
      <c r="A204" s="24"/>
      <c r="B204" s="40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40"/>
      <c r="BK204" s="24"/>
      <c r="BL204" s="24"/>
      <c r="BM204" s="24"/>
      <c r="BN204" s="24"/>
      <c r="BO204" s="24"/>
      <c r="BP204" s="24"/>
      <c r="BQ204" s="40"/>
      <c r="BR204" s="24"/>
      <c r="BS204" s="24"/>
      <c r="BT204" s="139"/>
      <c r="BU204" s="139"/>
      <c r="BV204" s="139"/>
      <c r="BW204" s="24"/>
      <c r="BX204" s="24"/>
    </row>
    <row r="205" spans="1:76" ht="15.75" customHeight="1">
      <c r="A205" s="24"/>
      <c r="B205" s="40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40"/>
      <c r="BK205" s="24"/>
      <c r="BL205" s="24"/>
      <c r="BM205" s="24"/>
      <c r="BN205" s="24"/>
      <c r="BO205" s="24"/>
      <c r="BP205" s="24"/>
      <c r="BQ205" s="40"/>
      <c r="BR205" s="24"/>
      <c r="BS205" s="24"/>
      <c r="BT205" s="139"/>
      <c r="BU205" s="139"/>
      <c r="BV205" s="139"/>
      <c r="BW205" s="24"/>
      <c r="BX205" s="24"/>
    </row>
    <row r="206" spans="1:76" ht="15.75" customHeight="1">
      <c r="A206" s="24"/>
      <c r="B206" s="40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40"/>
      <c r="BK206" s="24"/>
      <c r="BL206" s="24"/>
      <c r="BM206" s="24"/>
      <c r="BN206" s="24"/>
      <c r="BO206" s="24"/>
      <c r="BP206" s="24"/>
      <c r="BQ206" s="40"/>
      <c r="BR206" s="24"/>
      <c r="BS206" s="24"/>
      <c r="BT206" s="139"/>
      <c r="BU206" s="139"/>
      <c r="BV206" s="139"/>
      <c r="BW206" s="24"/>
      <c r="BX206" s="24"/>
    </row>
    <row r="207" spans="1:76" ht="15.75" customHeight="1">
      <c r="A207" s="24"/>
      <c r="B207" s="40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40"/>
      <c r="BK207" s="24"/>
      <c r="BL207" s="24"/>
      <c r="BM207" s="24"/>
      <c r="BN207" s="24"/>
      <c r="BO207" s="24"/>
      <c r="BP207" s="24"/>
      <c r="BQ207" s="40"/>
      <c r="BR207" s="24"/>
      <c r="BS207" s="24"/>
      <c r="BT207" s="139"/>
      <c r="BU207" s="139"/>
      <c r="BV207" s="139"/>
      <c r="BW207" s="24"/>
      <c r="BX207" s="24"/>
    </row>
    <row r="208" spans="1:76" ht="15.75" customHeight="1">
      <c r="A208" s="24"/>
      <c r="B208" s="40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40"/>
      <c r="BK208" s="24"/>
      <c r="BL208" s="24"/>
      <c r="BM208" s="24"/>
      <c r="BN208" s="24"/>
      <c r="BO208" s="24"/>
      <c r="BP208" s="24"/>
      <c r="BQ208" s="40"/>
      <c r="BR208" s="24"/>
      <c r="BS208" s="24"/>
      <c r="BT208" s="139"/>
      <c r="BU208" s="139"/>
      <c r="BV208" s="139"/>
      <c r="BW208" s="24"/>
      <c r="BX208" s="24"/>
    </row>
    <row r="209" spans="1:76" ht="15.75" customHeight="1">
      <c r="A209" s="24"/>
      <c r="B209" s="40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40"/>
      <c r="BK209" s="24"/>
      <c r="BL209" s="24"/>
      <c r="BM209" s="24"/>
      <c r="BN209" s="24"/>
      <c r="BO209" s="24"/>
      <c r="BP209" s="24"/>
      <c r="BQ209" s="40"/>
      <c r="BR209" s="24"/>
      <c r="BS209" s="24"/>
      <c r="BT209" s="139"/>
      <c r="BU209" s="139"/>
      <c r="BV209" s="139"/>
      <c r="BW209" s="24"/>
      <c r="BX209" s="24"/>
    </row>
    <row r="210" spans="1:76" ht="15.75" customHeight="1">
      <c r="A210" s="24"/>
      <c r="B210" s="40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40"/>
      <c r="BK210" s="24"/>
      <c r="BL210" s="24"/>
      <c r="BM210" s="24"/>
      <c r="BN210" s="24"/>
      <c r="BO210" s="24"/>
      <c r="BP210" s="24"/>
      <c r="BQ210" s="40"/>
      <c r="BR210" s="24"/>
      <c r="BS210" s="24"/>
      <c r="BT210" s="139"/>
      <c r="BU210" s="139"/>
      <c r="BV210" s="139"/>
      <c r="BW210" s="24"/>
      <c r="BX210" s="24"/>
    </row>
    <row r="211" spans="1:76" ht="15.75" customHeight="1">
      <c r="A211" s="24"/>
      <c r="B211" s="40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40"/>
      <c r="BK211" s="24"/>
      <c r="BL211" s="24"/>
      <c r="BM211" s="24"/>
      <c r="BN211" s="24"/>
      <c r="BO211" s="24"/>
      <c r="BP211" s="24"/>
      <c r="BQ211" s="40"/>
      <c r="BR211" s="24"/>
      <c r="BS211" s="24"/>
      <c r="BT211" s="139"/>
      <c r="BU211" s="139"/>
      <c r="BV211" s="139"/>
      <c r="BW211" s="24"/>
      <c r="BX211" s="24"/>
    </row>
    <row r="212" spans="1:76" ht="15.75" customHeight="1">
      <c r="A212" s="24"/>
      <c r="B212" s="40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40"/>
      <c r="BK212" s="24"/>
      <c r="BL212" s="24"/>
      <c r="BM212" s="24"/>
      <c r="BN212" s="24"/>
      <c r="BO212" s="24"/>
      <c r="BP212" s="24"/>
      <c r="BQ212" s="40"/>
      <c r="BR212" s="24"/>
      <c r="BS212" s="24"/>
      <c r="BT212" s="139"/>
      <c r="BU212" s="139"/>
      <c r="BV212" s="139"/>
      <c r="BW212" s="24"/>
      <c r="BX212" s="24"/>
    </row>
    <row r="213" spans="1:76" ht="15.75" customHeight="1">
      <c r="A213" s="24"/>
      <c r="B213" s="40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40"/>
      <c r="BK213" s="24"/>
      <c r="BL213" s="24"/>
      <c r="BM213" s="24"/>
      <c r="BN213" s="24"/>
      <c r="BO213" s="24"/>
      <c r="BP213" s="24"/>
      <c r="BQ213" s="40"/>
      <c r="BR213" s="24"/>
      <c r="BS213" s="24"/>
      <c r="BT213" s="139"/>
      <c r="BU213" s="139"/>
      <c r="BV213" s="139"/>
      <c r="BW213" s="24"/>
      <c r="BX213" s="24"/>
    </row>
    <row r="214" spans="1:76" ht="15.75" customHeight="1">
      <c r="A214" s="24"/>
      <c r="B214" s="40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40"/>
      <c r="BK214" s="24"/>
      <c r="BL214" s="24"/>
      <c r="BM214" s="24"/>
      <c r="BN214" s="24"/>
      <c r="BO214" s="24"/>
      <c r="BP214" s="24"/>
      <c r="BQ214" s="40"/>
      <c r="BR214" s="24"/>
      <c r="BS214" s="24"/>
      <c r="BT214" s="139"/>
      <c r="BU214" s="139"/>
      <c r="BV214" s="139"/>
      <c r="BW214" s="24"/>
      <c r="BX214" s="24"/>
    </row>
    <row r="215" spans="1:76" ht="15.75" customHeight="1">
      <c r="A215" s="24"/>
      <c r="B215" s="40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40"/>
      <c r="BK215" s="24"/>
      <c r="BL215" s="24"/>
      <c r="BM215" s="24"/>
      <c r="BN215" s="24"/>
      <c r="BO215" s="24"/>
      <c r="BP215" s="24"/>
      <c r="BQ215" s="40"/>
      <c r="BR215" s="24"/>
      <c r="BS215" s="24"/>
      <c r="BT215" s="139"/>
      <c r="BU215" s="139"/>
      <c r="BV215" s="139"/>
      <c r="BW215" s="24"/>
      <c r="BX215" s="24"/>
    </row>
    <row r="216" spans="1:76" ht="15.75" customHeight="1">
      <c r="A216" s="24"/>
      <c r="B216" s="40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40"/>
      <c r="BK216" s="24"/>
      <c r="BL216" s="24"/>
      <c r="BM216" s="24"/>
      <c r="BN216" s="24"/>
      <c r="BO216" s="24"/>
      <c r="BP216" s="24"/>
      <c r="BQ216" s="40"/>
      <c r="BR216" s="24"/>
      <c r="BS216" s="24"/>
      <c r="BT216" s="139"/>
      <c r="BU216" s="139"/>
      <c r="BV216" s="139"/>
      <c r="BW216" s="24"/>
      <c r="BX216" s="24"/>
    </row>
    <row r="217" spans="1:76" ht="15.75" customHeight="1">
      <c r="A217" s="24"/>
      <c r="B217" s="40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40"/>
      <c r="BK217" s="24"/>
      <c r="BL217" s="24"/>
      <c r="BM217" s="24"/>
      <c r="BN217" s="24"/>
      <c r="BO217" s="24"/>
      <c r="BP217" s="24"/>
      <c r="BQ217" s="40"/>
      <c r="BR217" s="24"/>
      <c r="BS217" s="24"/>
      <c r="BT217" s="139"/>
      <c r="BU217" s="139"/>
      <c r="BV217" s="139"/>
      <c r="BW217" s="24"/>
      <c r="BX217" s="24"/>
    </row>
    <row r="218" spans="1:76" ht="15.75" customHeight="1">
      <c r="A218" s="24"/>
      <c r="B218" s="40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40"/>
      <c r="BK218" s="24"/>
      <c r="BL218" s="24"/>
      <c r="BM218" s="24"/>
      <c r="BN218" s="24"/>
      <c r="BO218" s="24"/>
      <c r="BP218" s="24"/>
      <c r="BQ218" s="40"/>
      <c r="BR218" s="24"/>
      <c r="BS218" s="24"/>
      <c r="BT218" s="139"/>
      <c r="BU218" s="139"/>
      <c r="BV218" s="139"/>
      <c r="BW218" s="24"/>
      <c r="BX218" s="24"/>
    </row>
    <row r="219" spans="1:76" ht="15.75" customHeight="1">
      <c r="A219" s="24"/>
      <c r="B219" s="40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40"/>
      <c r="BK219" s="24"/>
      <c r="BL219" s="24"/>
      <c r="BM219" s="24"/>
      <c r="BN219" s="24"/>
      <c r="BO219" s="24"/>
      <c r="BP219" s="24"/>
      <c r="BQ219" s="40"/>
      <c r="BR219" s="24"/>
      <c r="BS219" s="24"/>
      <c r="BT219" s="139"/>
      <c r="BU219" s="139"/>
      <c r="BV219" s="139"/>
      <c r="BW219" s="24"/>
      <c r="BX219" s="24"/>
    </row>
    <row r="220" spans="1:76" ht="15.75" customHeight="1">
      <c r="A220" s="24"/>
      <c r="B220" s="40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40"/>
      <c r="BK220" s="24"/>
      <c r="BL220" s="24"/>
      <c r="BM220" s="24"/>
      <c r="BN220" s="24"/>
      <c r="BO220" s="24"/>
      <c r="BP220" s="24"/>
      <c r="BQ220" s="40"/>
      <c r="BR220" s="24"/>
      <c r="BS220" s="24"/>
      <c r="BT220" s="139"/>
      <c r="BU220" s="139"/>
      <c r="BV220" s="139"/>
      <c r="BW220" s="24"/>
      <c r="BX220" s="24"/>
    </row>
    <row r="221" spans="1:76" ht="15.75" customHeight="1">
      <c r="A221" s="24"/>
      <c r="B221" s="40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40"/>
      <c r="BK221" s="24"/>
      <c r="BL221" s="24"/>
      <c r="BM221" s="24"/>
      <c r="BN221" s="24"/>
      <c r="BO221" s="24"/>
      <c r="BP221" s="24"/>
      <c r="BQ221" s="40"/>
      <c r="BR221" s="24"/>
      <c r="BS221" s="24"/>
      <c r="BT221" s="139"/>
      <c r="BU221" s="139"/>
      <c r="BV221" s="139"/>
      <c r="BW221" s="24"/>
      <c r="BX221" s="24"/>
    </row>
    <row r="222" spans="1:76" ht="15.75" customHeight="1">
      <c r="A222" s="24"/>
      <c r="B222" s="40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40"/>
      <c r="BK222" s="24"/>
      <c r="BL222" s="24"/>
      <c r="BM222" s="24"/>
      <c r="BN222" s="24"/>
      <c r="BO222" s="24"/>
      <c r="BP222" s="24"/>
      <c r="BQ222" s="40"/>
      <c r="BR222" s="24"/>
      <c r="BS222" s="24"/>
      <c r="BT222" s="139"/>
      <c r="BU222" s="139"/>
      <c r="BV222" s="139"/>
      <c r="BW222" s="24"/>
      <c r="BX222" s="24"/>
    </row>
    <row r="223" spans="1:76" ht="15.75" customHeight="1">
      <c r="A223" s="24"/>
      <c r="B223" s="40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40"/>
      <c r="BK223" s="24"/>
      <c r="BL223" s="24"/>
      <c r="BM223" s="24"/>
      <c r="BN223" s="24"/>
      <c r="BO223" s="24"/>
      <c r="BP223" s="24"/>
      <c r="BQ223" s="40"/>
      <c r="BR223" s="24"/>
      <c r="BS223" s="24"/>
      <c r="BT223" s="139"/>
      <c r="BU223" s="139"/>
      <c r="BV223" s="139"/>
      <c r="BW223" s="24"/>
      <c r="BX223" s="24"/>
    </row>
    <row r="224" spans="1:76" ht="15.75" customHeight="1">
      <c r="A224" s="24"/>
      <c r="B224" s="40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40"/>
      <c r="BK224" s="24"/>
      <c r="BL224" s="24"/>
      <c r="BM224" s="24"/>
      <c r="BN224" s="24"/>
      <c r="BO224" s="24"/>
      <c r="BP224" s="24"/>
      <c r="BQ224" s="40"/>
      <c r="BR224" s="24"/>
      <c r="BS224" s="24"/>
      <c r="BT224" s="139"/>
      <c r="BU224" s="139"/>
      <c r="BV224" s="139"/>
      <c r="BW224" s="24"/>
      <c r="BX224" s="24"/>
    </row>
    <row r="225" spans="1:76" ht="15.75" customHeight="1">
      <c r="A225" s="24"/>
      <c r="B225" s="40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40"/>
      <c r="BK225" s="24"/>
      <c r="BL225" s="24"/>
      <c r="BM225" s="24"/>
      <c r="BN225" s="24"/>
      <c r="BO225" s="24"/>
      <c r="BP225" s="24"/>
      <c r="BQ225" s="40"/>
      <c r="BR225" s="24"/>
      <c r="BS225" s="24"/>
      <c r="BT225" s="139"/>
      <c r="BU225" s="139"/>
      <c r="BV225" s="139"/>
      <c r="BW225" s="24"/>
      <c r="BX225" s="24"/>
    </row>
    <row r="226" spans="1:76" ht="15.75" customHeight="1">
      <c r="A226" s="24"/>
      <c r="B226" s="40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40"/>
      <c r="BK226" s="24"/>
      <c r="BL226" s="24"/>
      <c r="BM226" s="24"/>
      <c r="BN226" s="24"/>
      <c r="BO226" s="24"/>
      <c r="BP226" s="24"/>
      <c r="BQ226" s="40"/>
      <c r="BR226" s="24"/>
      <c r="BS226" s="24"/>
      <c r="BT226" s="139"/>
      <c r="BU226" s="139"/>
      <c r="BV226" s="139"/>
      <c r="BW226" s="24"/>
      <c r="BX226" s="24"/>
    </row>
    <row r="227" spans="1:76" ht="15.75" customHeight="1">
      <c r="A227" s="24"/>
      <c r="B227" s="40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40"/>
      <c r="BK227" s="24"/>
      <c r="BL227" s="24"/>
      <c r="BM227" s="24"/>
      <c r="BN227" s="24"/>
      <c r="BO227" s="24"/>
      <c r="BP227" s="24"/>
      <c r="BQ227" s="40"/>
      <c r="BR227" s="24"/>
      <c r="BS227" s="24"/>
      <c r="BT227" s="139"/>
      <c r="BU227" s="139"/>
      <c r="BV227" s="139"/>
      <c r="BW227" s="24"/>
      <c r="BX227" s="24"/>
    </row>
    <row r="228" spans="1:76" ht="15.75" customHeight="1">
      <c r="A228" s="24"/>
      <c r="B228" s="40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40"/>
      <c r="BK228" s="24"/>
      <c r="BL228" s="24"/>
      <c r="BM228" s="24"/>
      <c r="BN228" s="24"/>
      <c r="BO228" s="24"/>
      <c r="BP228" s="24"/>
      <c r="BQ228" s="40"/>
      <c r="BR228" s="24"/>
      <c r="BS228" s="24"/>
      <c r="BT228" s="139"/>
      <c r="BU228" s="139"/>
      <c r="BV228" s="139"/>
      <c r="BW228" s="24"/>
      <c r="BX228" s="24"/>
    </row>
    <row r="229" spans="1:76" ht="15.75" customHeight="1">
      <c r="A229" s="24"/>
      <c r="B229" s="40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40"/>
      <c r="BK229" s="24"/>
      <c r="BL229" s="24"/>
      <c r="BM229" s="24"/>
      <c r="BN229" s="24"/>
      <c r="BO229" s="24"/>
      <c r="BP229" s="24"/>
      <c r="BQ229" s="40"/>
      <c r="BR229" s="24"/>
      <c r="BS229" s="24"/>
      <c r="BT229" s="139"/>
      <c r="BU229" s="139"/>
      <c r="BV229" s="139"/>
      <c r="BW229" s="24"/>
      <c r="BX229" s="24"/>
    </row>
    <row r="230" spans="1:76" ht="15.75" customHeight="1">
      <c r="A230" s="24"/>
      <c r="B230" s="40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40"/>
      <c r="BK230" s="24"/>
      <c r="BL230" s="24"/>
      <c r="BM230" s="24"/>
      <c r="BN230" s="24"/>
      <c r="BO230" s="24"/>
      <c r="BP230" s="24"/>
      <c r="BQ230" s="40"/>
      <c r="BR230" s="24"/>
      <c r="BS230" s="24"/>
      <c r="BT230" s="139"/>
      <c r="BU230" s="139"/>
      <c r="BV230" s="139"/>
      <c r="BW230" s="24"/>
      <c r="BX230" s="24"/>
    </row>
    <row r="231" spans="1:76" ht="15.75" customHeight="1">
      <c r="A231" s="24"/>
      <c r="B231" s="40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40"/>
      <c r="BK231" s="24"/>
      <c r="BL231" s="24"/>
      <c r="BM231" s="24"/>
      <c r="BN231" s="24"/>
      <c r="BO231" s="24"/>
      <c r="BP231" s="24"/>
      <c r="BQ231" s="40"/>
      <c r="BR231" s="24"/>
      <c r="BS231" s="24"/>
      <c r="BT231" s="139"/>
      <c r="BU231" s="139"/>
      <c r="BV231" s="139"/>
      <c r="BW231" s="24"/>
      <c r="BX231" s="24"/>
    </row>
    <row r="232" spans="1:76" ht="15.75" customHeight="1">
      <c r="A232" s="24"/>
      <c r="B232" s="40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40"/>
      <c r="BK232" s="24"/>
      <c r="BL232" s="24"/>
      <c r="BM232" s="24"/>
      <c r="BN232" s="24"/>
      <c r="BO232" s="24"/>
      <c r="BP232" s="24"/>
      <c r="BQ232" s="40"/>
      <c r="BR232" s="24"/>
      <c r="BS232" s="24"/>
      <c r="BT232" s="139"/>
      <c r="BU232" s="139"/>
      <c r="BV232" s="139"/>
      <c r="BW232" s="24"/>
      <c r="BX232" s="24"/>
    </row>
    <row r="233" spans="1:76" ht="15.75" customHeight="1">
      <c r="A233" s="24"/>
      <c r="B233" s="40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40"/>
      <c r="BK233" s="24"/>
      <c r="BL233" s="24"/>
      <c r="BM233" s="24"/>
      <c r="BN233" s="24"/>
      <c r="BO233" s="24"/>
      <c r="BP233" s="24"/>
      <c r="BQ233" s="40"/>
      <c r="BR233" s="24"/>
      <c r="BS233" s="24"/>
      <c r="BT233" s="139"/>
      <c r="BU233" s="139"/>
      <c r="BV233" s="139"/>
      <c r="BW233" s="24"/>
      <c r="BX233" s="24"/>
    </row>
    <row r="234" spans="1:76" ht="15.75" customHeight="1">
      <c r="A234" s="24"/>
      <c r="B234" s="40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40"/>
      <c r="BK234" s="24"/>
      <c r="BL234" s="24"/>
      <c r="BM234" s="24"/>
      <c r="BN234" s="24"/>
      <c r="BO234" s="24"/>
      <c r="BP234" s="24"/>
      <c r="BQ234" s="40"/>
      <c r="BR234" s="24"/>
      <c r="BS234" s="24"/>
      <c r="BT234" s="139"/>
      <c r="BU234" s="139"/>
      <c r="BV234" s="139"/>
      <c r="BW234" s="24"/>
      <c r="BX234" s="24"/>
    </row>
    <row r="235" spans="1:76" ht="15.75" customHeight="1">
      <c r="A235" s="24"/>
      <c r="B235" s="40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40"/>
      <c r="BK235" s="24"/>
      <c r="BL235" s="24"/>
      <c r="BM235" s="24"/>
      <c r="BN235" s="24"/>
      <c r="BO235" s="24"/>
      <c r="BP235" s="24"/>
      <c r="BQ235" s="40"/>
      <c r="BR235" s="24"/>
      <c r="BS235" s="24"/>
      <c r="BT235" s="139"/>
      <c r="BU235" s="139"/>
      <c r="BV235" s="139"/>
      <c r="BW235" s="24"/>
      <c r="BX235" s="24"/>
    </row>
    <row r="236" spans="1:76" ht="15.75" customHeight="1">
      <c r="A236" s="24"/>
      <c r="B236" s="40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40"/>
      <c r="BK236" s="24"/>
      <c r="BL236" s="24"/>
      <c r="BM236" s="24"/>
      <c r="BN236" s="24"/>
      <c r="BO236" s="24"/>
      <c r="BP236" s="24"/>
      <c r="BQ236" s="40"/>
      <c r="BR236" s="24"/>
      <c r="BS236" s="24"/>
      <c r="BT236" s="139"/>
      <c r="BU236" s="139"/>
      <c r="BV236" s="139"/>
      <c r="BW236" s="24"/>
      <c r="BX236" s="24"/>
    </row>
    <row r="237" spans="1:76" ht="15.75" customHeight="1">
      <c r="A237" s="24"/>
      <c r="B237" s="40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40"/>
      <c r="BK237" s="24"/>
      <c r="BL237" s="24"/>
      <c r="BM237" s="24"/>
      <c r="BN237" s="24"/>
      <c r="BO237" s="24"/>
      <c r="BP237" s="24"/>
      <c r="BQ237" s="40"/>
      <c r="BR237" s="24"/>
      <c r="BS237" s="24"/>
      <c r="BT237" s="139"/>
      <c r="BU237" s="139"/>
      <c r="BV237" s="139"/>
      <c r="BW237" s="24"/>
      <c r="BX237" s="24"/>
    </row>
    <row r="238" spans="1:76" ht="15.75" customHeight="1">
      <c r="B238" s="46"/>
      <c r="BI238" s="24"/>
      <c r="BJ238" s="46"/>
      <c r="BQ238" s="46"/>
      <c r="BT238" s="164"/>
      <c r="BU238" s="164"/>
      <c r="BV238" s="164"/>
    </row>
    <row r="239" spans="1:76" ht="15.75" customHeight="1">
      <c r="B239" s="46"/>
      <c r="BI239" s="24"/>
      <c r="BJ239" s="46"/>
      <c r="BQ239" s="46"/>
      <c r="BT239" s="164"/>
      <c r="BU239" s="164"/>
      <c r="BV239" s="164"/>
    </row>
    <row r="240" spans="1:76" ht="15.75" customHeight="1">
      <c r="B240" s="46"/>
      <c r="BI240" s="24"/>
      <c r="BJ240" s="46"/>
      <c r="BQ240" s="46"/>
      <c r="BT240" s="164"/>
      <c r="BU240" s="164"/>
      <c r="BV240" s="164"/>
    </row>
    <row r="241" spans="2:74" ht="15.75" customHeight="1">
      <c r="B241" s="46"/>
      <c r="BI241" s="24"/>
      <c r="BJ241" s="46"/>
      <c r="BQ241" s="46"/>
      <c r="BT241" s="164"/>
      <c r="BU241" s="164"/>
      <c r="BV241" s="164"/>
    </row>
    <row r="242" spans="2:74" ht="15.75" customHeight="1">
      <c r="B242" s="46"/>
      <c r="BJ242" s="46"/>
      <c r="BQ242" s="46"/>
      <c r="BT242" s="164"/>
      <c r="BU242" s="164"/>
      <c r="BV242" s="164"/>
    </row>
    <row r="243" spans="2:74" ht="15.75" customHeight="1">
      <c r="B243" s="46"/>
      <c r="BJ243" s="46"/>
      <c r="BQ243" s="46"/>
      <c r="BT243" s="164"/>
      <c r="BU243" s="164"/>
      <c r="BV243" s="164"/>
    </row>
    <row r="244" spans="2:74" ht="15.75" customHeight="1">
      <c r="B244" s="46"/>
      <c r="BJ244" s="46"/>
      <c r="BQ244" s="46"/>
      <c r="BT244" s="164"/>
      <c r="BU244" s="164"/>
      <c r="BV244" s="164"/>
    </row>
    <row r="245" spans="2:74" ht="15.75" customHeight="1">
      <c r="B245" s="46"/>
      <c r="BJ245" s="46"/>
      <c r="BQ245" s="46"/>
      <c r="BT245" s="164"/>
      <c r="BU245" s="164"/>
      <c r="BV245" s="164"/>
    </row>
    <row r="246" spans="2:74" ht="15.75" customHeight="1">
      <c r="B246" s="46"/>
      <c r="BJ246" s="46"/>
      <c r="BQ246" s="46"/>
      <c r="BT246" s="164"/>
      <c r="BU246" s="164"/>
      <c r="BV246" s="164"/>
    </row>
    <row r="247" spans="2:74" ht="15.75" customHeight="1">
      <c r="B247" s="46"/>
      <c r="BJ247" s="46"/>
      <c r="BQ247" s="46"/>
      <c r="BT247" s="164"/>
      <c r="BU247" s="164"/>
      <c r="BV247" s="164"/>
    </row>
    <row r="248" spans="2:74" ht="15.75" customHeight="1">
      <c r="B248" s="46"/>
      <c r="BJ248" s="46"/>
      <c r="BQ248" s="46"/>
      <c r="BT248" s="164"/>
      <c r="BU248" s="164"/>
      <c r="BV248" s="164"/>
    </row>
    <row r="249" spans="2:74" ht="15.75" customHeight="1">
      <c r="B249" s="46"/>
      <c r="BJ249" s="46"/>
      <c r="BQ249" s="46"/>
      <c r="BT249" s="164"/>
      <c r="BU249" s="164"/>
      <c r="BV249" s="164"/>
    </row>
    <row r="250" spans="2:74" ht="15.75" customHeight="1">
      <c r="B250" s="46"/>
      <c r="BJ250" s="46"/>
      <c r="BQ250" s="46"/>
      <c r="BT250" s="164"/>
      <c r="BU250" s="164"/>
      <c r="BV250" s="164"/>
    </row>
    <row r="251" spans="2:74" ht="15.75" customHeight="1">
      <c r="B251" s="46"/>
      <c r="BJ251" s="46"/>
      <c r="BQ251" s="46"/>
      <c r="BT251" s="164"/>
      <c r="BU251" s="164"/>
      <c r="BV251" s="164"/>
    </row>
    <row r="252" spans="2:74" ht="15.75" customHeight="1">
      <c r="B252" s="46"/>
      <c r="BJ252" s="46"/>
      <c r="BQ252" s="46"/>
      <c r="BT252" s="164"/>
      <c r="BU252" s="164"/>
      <c r="BV252" s="164"/>
    </row>
    <row r="253" spans="2:74" ht="15.75" customHeight="1">
      <c r="B253" s="46"/>
      <c r="BJ253" s="46"/>
      <c r="BQ253" s="46"/>
      <c r="BT253" s="164"/>
      <c r="BU253" s="164"/>
      <c r="BV253" s="164"/>
    </row>
    <row r="254" spans="2:74" ht="15.75" customHeight="1">
      <c r="B254" s="46"/>
      <c r="BJ254" s="46"/>
      <c r="BQ254" s="46"/>
      <c r="BT254" s="164"/>
      <c r="BU254" s="164"/>
      <c r="BV254" s="164"/>
    </row>
    <row r="255" spans="2:74" ht="15.75" customHeight="1">
      <c r="B255" s="46"/>
      <c r="BJ255" s="46"/>
      <c r="BQ255" s="46"/>
      <c r="BT255" s="164"/>
      <c r="BU255" s="164"/>
      <c r="BV255" s="164"/>
    </row>
    <row r="256" spans="2:74" ht="15.75" customHeight="1">
      <c r="B256" s="46"/>
      <c r="BJ256" s="46"/>
      <c r="BQ256" s="46"/>
      <c r="BT256" s="164"/>
      <c r="BU256" s="164"/>
      <c r="BV256" s="164"/>
    </row>
    <row r="257" spans="2:74" ht="15.75" customHeight="1">
      <c r="B257" s="46"/>
      <c r="BJ257" s="46"/>
      <c r="BQ257" s="46"/>
      <c r="BT257" s="164"/>
      <c r="BU257" s="164"/>
      <c r="BV257" s="164"/>
    </row>
    <row r="258" spans="2:74" ht="15.75" customHeight="1">
      <c r="B258" s="46"/>
      <c r="BJ258" s="46"/>
      <c r="BQ258" s="46"/>
      <c r="BT258" s="164"/>
      <c r="BU258" s="164"/>
      <c r="BV258" s="164"/>
    </row>
    <row r="259" spans="2:74" ht="15.75" customHeight="1">
      <c r="B259" s="46"/>
      <c r="BJ259" s="46"/>
      <c r="BQ259" s="46"/>
      <c r="BT259" s="164"/>
      <c r="BU259" s="164"/>
      <c r="BV259" s="164"/>
    </row>
    <row r="260" spans="2:74" ht="15.75" customHeight="1">
      <c r="B260" s="46"/>
      <c r="BJ260" s="46"/>
      <c r="BQ260" s="46"/>
      <c r="BT260" s="164"/>
      <c r="BU260" s="164"/>
      <c r="BV260" s="164"/>
    </row>
    <row r="261" spans="2:74" ht="15.75" customHeight="1">
      <c r="B261" s="46"/>
      <c r="BJ261" s="46"/>
      <c r="BQ261" s="46"/>
      <c r="BT261" s="164"/>
      <c r="BU261" s="164"/>
      <c r="BV261" s="164"/>
    </row>
    <row r="262" spans="2:74" ht="15.75" customHeight="1">
      <c r="B262" s="46"/>
      <c r="BJ262" s="46"/>
      <c r="BQ262" s="46"/>
      <c r="BT262" s="164"/>
      <c r="BU262" s="164"/>
      <c r="BV262" s="164"/>
    </row>
    <row r="263" spans="2:74" ht="15.75" customHeight="1">
      <c r="B263" s="46"/>
      <c r="BJ263" s="46"/>
      <c r="BQ263" s="46"/>
      <c r="BT263" s="164"/>
      <c r="BU263" s="164"/>
      <c r="BV263" s="164"/>
    </row>
    <row r="264" spans="2:74" ht="15.75" customHeight="1">
      <c r="B264" s="46"/>
      <c r="BJ264" s="46"/>
      <c r="BQ264" s="46"/>
      <c r="BT264" s="164"/>
      <c r="BU264" s="164"/>
      <c r="BV264" s="164"/>
    </row>
    <row r="265" spans="2:74" ht="15.75" customHeight="1">
      <c r="B265" s="46"/>
      <c r="BJ265" s="46"/>
      <c r="BQ265" s="46"/>
      <c r="BT265" s="164"/>
      <c r="BU265" s="164"/>
      <c r="BV265" s="164"/>
    </row>
    <row r="266" spans="2:74" ht="15.75" customHeight="1">
      <c r="B266" s="46"/>
      <c r="BJ266" s="46"/>
      <c r="BQ266" s="46"/>
      <c r="BT266" s="164"/>
      <c r="BU266" s="164"/>
      <c r="BV266" s="164"/>
    </row>
    <row r="267" spans="2:74" ht="15.75" customHeight="1">
      <c r="B267" s="46"/>
      <c r="BJ267" s="46"/>
      <c r="BQ267" s="46"/>
      <c r="BT267" s="164"/>
      <c r="BU267" s="164"/>
      <c r="BV267" s="164"/>
    </row>
    <row r="268" spans="2:74" ht="15.75" customHeight="1">
      <c r="B268" s="46"/>
      <c r="BJ268" s="46"/>
      <c r="BQ268" s="46"/>
      <c r="BT268" s="164"/>
      <c r="BU268" s="164"/>
      <c r="BV268" s="164"/>
    </row>
    <row r="269" spans="2:74" ht="15.75" customHeight="1">
      <c r="B269" s="46"/>
      <c r="BJ269" s="46"/>
      <c r="BQ269" s="46"/>
      <c r="BT269" s="164"/>
      <c r="BU269" s="164"/>
      <c r="BV269" s="164"/>
    </row>
    <row r="270" spans="2:74" ht="15.75" customHeight="1">
      <c r="B270" s="46"/>
      <c r="BJ270" s="46"/>
      <c r="BQ270" s="46"/>
      <c r="BT270" s="164"/>
      <c r="BU270" s="164"/>
      <c r="BV270" s="164"/>
    </row>
    <row r="271" spans="2:74" ht="15.75" customHeight="1">
      <c r="B271" s="46"/>
      <c r="BJ271" s="46"/>
      <c r="BQ271" s="46"/>
      <c r="BT271" s="164"/>
      <c r="BU271" s="164"/>
      <c r="BV271" s="164"/>
    </row>
    <row r="272" spans="2:74" ht="15.75" customHeight="1">
      <c r="B272" s="46"/>
      <c r="BJ272" s="46"/>
      <c r="BQ272" s="46"/>
      <c r="BT272" s="164"/>
      <c r="BU272" s="164"/>
      <c r="BV272" s="164"/>
    </row>
    <row r="273" spans="2:74" ht="15.75" customHeight="1">
      <c r="B273" s="46"/>
      <c r="BJ273" s="46"/>
      <c r="BQ273" s="46"/>
      <c r="BT273" s="164"/>
      <c r="BU273" s="164"/>
      <c r="BV273" s="164"/>
    </row>
    <row r="274" spans="2:74" ht="15.75" customHeight="1">
      <c r="B274" s="46"/>
      <c r="BJ274" s="46"/>
      <c r="BQ274" s="46"/>
      <c r="BT274" s="164"/>
      <c r="BU274" s="164"/>
      <c r="BV274" s="164"/>
    </row>
    <row r="275" spans="2:74" ht="15.75" customHeight="1">
      <c r="B275" s="46"/>
      <c r="BJ275" s="46"/>
      <c r="BQ275" s="46"/>
      <c r="BT275" s="164"/>
      <c r="BU275" s="164"/>
      <c r="BV275" s="164"/>
    </row>
    <row r="276" spans="2:74" ht="15.75" customHeight="1">
      <c r="B276" s="46"/>
      <c r="BJ276" s="46"/>
      <c r="BQ276" s="46"/>
      <c r="BT276" s="164"/>
      <c r="BU276" s="164"/>
      <c r="BV276" s="164"/>
    </row>
    <row r="277" spans="2:74" ht="15.75" customHeight="1">
      <c r="B277" s="46"/>
      <c r="BJ277" s="46"/>
      <c r="BQ277" s="46"/>
      <c r="BT277" s="164"/>
      <c r="BU277" s="164"/>
      <c r="BV277" s="164"/>
    </row>
    <row r="278" spans="2:74" ht="15.75" customHeight="1">
      <c r="B278" s="46"/>
      <c r="BJ278" s="46"/>
      <c r="BQ278" s="46"/>
      <c r="BT278" s="164"/>
      <c r="BU278" s="164"/>
      <c r="BV278" s="164"/>
    </row>
    <row r="279" spans="2:74" ht="15.75" customHeight="1">
      <c r="B279" s="46"/>
      <c r="BJ279" s="46"/>
      <c r="BQ279" s="46"/>
      <c r="BT279" s="164"/>
      <c r="BU279" s="164"/>
      <c r="BV279" s="164"/>
    </row>
    <row r="280" spans="2:74" ht="15.75" customHeight="1">
      <c r="B280" s="46"/>
      <c r="BJ280" s="46"/>
      <c r="BQ280" s="46"/>
      <c r="BT280" s="164"/>
      <c r="BU280" s="164"/>
      <c r="BV280" s="164"/>
    </row>
    <row r="281" spans="2:74" ht="15.75" customHeight="1">
      <c r="B281" s="46"/>
      <c r="BJ281" s="46"/>
      <c r="BQ281" s="46"/>
      <c r="BT281" s="164"/>
      <c r="BU281" s="164"/>
      <c r="BV281" s="164"/>
    </row>
    <row r="282" spans="2:74" ht="15.75" customHeight="1">
      <c r="B282" s="46"/>
      <c r="BJ282" s="46"/>
      <c r="BQ282" s="46"/>
      <c r="BT282" s="164"/>
      <c r="BU282" s="164"/>
      <c r="BV282" s="164"/>
    </row>
    <row r="283" spans="2:74" ht="15.75" customHeight="1">
      <c r="B283" s="46"/>
      <c r="BJ283" s="46"/>
      <c r="BQ283" s="46"/>
      <c r="BT283" s="164"/>
      <c r="BU283" s="164"/>
      <c r="BV283" s="164"/>
    </row>
    <row r="284" spans="2:74" ht="15.75" customHeight="1">
      <c r="B284" s="46"/>
      <c r="BJ284" s="46"/>
      <c r="BQ284" s="46"/>
      <c r="BT284" s="164"/>
      <c r="BU284" s="164"/>
      <c r="BV284" s="164"/>
    </row>
    <row r="285" spans="2:74" ht="15.75" customHeight="1">
      <c r="B285" s="46"/>
      <c r="BJ285" s="46"/>
      <c r="BQ285" s="46"/>
      <c r="BT285" s="164"/>
      <c r="BU285" s="164"/>
      <c r="BV285" s="164"/>
    </row>
    <row r="286" spans="2:74" ht="15.75" customHeight="1">
      <c r="B286" s="46"/>
      <c r="BJ286" s="46"/>
      <c r="BQ286" s="46"/>
      <c r="BT286" s="164"/>
      <c r="BU286" s="164"/>
      <c r="BV286" s="164"/>
    </row>
    <row r="287" spans="2:74" ht="15.75" customHeight="1">
      <c r="B287" s="46"/>
      <c r="BJ287" s="46"/>
      <c r="BQ287" s="46"/>
      <c r="BT287" s="164"/>
      <c r="BU287" s="164"/>
      <c r="BV287" s="164"/>
    </row>
    <row r="288" spans="2:74" ht="15.75" customHeight="1">
      <c r="B288" s="46"/>
      <c r="BJ288" s="46"/>
      <c r="BQ288" s="46"/>
      <c r="BT288" s="164"/>
      <c r="BU288" s="164"/>
      <c r="BV288" s="164"/>
    </row>
    <row r="289" spans="2:74" ht="15.75" customHeight="1">
      <c r="B289" s="46"/>
      <c r="BJ289" s="46"/>
      <c r="BQ289" s="46"/>
      <c r="BT289" s="164"/>
      <c r="BU289" s="164"/>
      <c r="BV289" s="164"/>
    </row>
    <row r="290" spans="2:74" ht="15.75" customHeight="1">
      <c r="B290" s="46"/>
      <c r="BJ290" s="46"/>
      <c r="BQ290" s="46"/>
      <c r="BT290" s="164"/>
      <c r="BU290" s="164"/>
      <c r="BV290" s="164"/>
    </row>
    <row r="291" spans="2:74" ht="15.75" customHeight="1">
      <c r="B291" s="46"/>
      <c r="BJ291" s="46"/>
      <c r="BQ291" s="46"/>
      <c r="BT291" s="164"/>
      <c r="BU291" s="164"/>
      <c r="BV291" s="164"/>
    </row>
    <row r="292" spans="2:74" ht="15.75" customHeight="1">
      <c r="B292" s="46"/>
      <c r="BJ292" s="46"/>
      <c r="BQ292" s="46"/>
      <c r="BT292" s="164"/>
      <c r="BU292" s="164"/>
      <c r="BV292" s="164"/>
    </row>
    <row r="293" spans="2:74" ht="15.75" customHeight="1">
      <c r="B293" s="46"/>
      <c r="BJ293" s="46"/>
      <c r="BQ293" s="46"/>
      <c r="BT293" s="164"/>
      <c r="BU293" s="164"/>
      <c r="BV293" s="164"/>
    </row>
    <row r="294" spans="2:74" ht="15.75" customHeight="1">
      <c r="B294" s="46"/>
      <c r="BJ294" s="46"/>
      <c r="BQ294" s="46"/>
      <c r="BT294" s="164"/>
      <c r="BU294" s="164"/>
      <c r="BV294" s="164"/>
    </row>
    <row r="295" spans="2:74" ht="15.75" customHeight="1">
      <c r="B295" s="46"/>
      <c r="BJ295" s="46"/>
      <c r="BQ295" s="46"/>
      <c r="BT295" s="164"/>
      <c r="BU295" s="164"/>
      <c r="BV295" s="164"/>
    </row>
    <row r="296" spans="2:74" ht="15.75" customHeight="1">
      <c r="B296" s="46"/>
      <c r="BJ296" s="46"/>
      <c r="BQ296" s="46"/>
      <c r="BT296" s="164"/>
      <c r="BU296" s="164"/>
      <c r="BV296" s="164"/>
    </row>
    <row r="297" spans="2:74" ht="15.75" customHeight="1">
      <c r="B297" s="46"/>
      <c r="BJ297" s="46"/>
      <c r="BQ297" s="46"/>
      <c r="BT297" s="164"/>
      <c r="BU297" s="164"/>
      <c r="BV297" s="164"/>
    </row>
    <row r="298" spans="2:74" ht="15.75" customHeight="1">
      <c r="B298" s="46"/>
      <c r="BJ298" s="46"/>
      <c r="BQ298" s="46"/>
      <c r="BT298" s="164"/>
      <c r="BU298" s="164"/>
      <c r="BV298" s="164"/>
    </row>
    <row r="299" spans="2:74" ht="15.75" customHeight="1">
      <c r="B299" s="46"/>
      <c r="BJ299" s="46"/>
      <c r="BQ299" s="46"/>
      <c r="BT299" s="164"/>
      <c r="BU299" s="164"/>
      <c r="BV299" s="164"/>
    </row>
    <row r="300" spans="2:74" ht="15.75" customHeight="1">
      <c r="B300" s="46"/>
      <c r="BJ300" s="46"/>
      <c r="BQ300" s="46"/>
      <c r="BT300" s="164"/>
      <c r="BU300" s="164"/>
      <c r="BV300" s="164"/>
    </row>
    <row r="301" spans="2:74" ht="15.75" customHeight="1">
      <c r="B301" s="46"/>
      <c r="BJ301" s="46"/>
      <c r="BQ301" s="46"/>
      <c r="BT301" s="164"/>
      <c r="BU301" s="164"/>
      <c r="BV301" s="164"/>
    </row>
    <row r="302" spans="2:74" ht="15.75" customHeight="1">
      <c r="B302" s="46"/>
      <c r="BJ302" s="46"/>
      <c r="BQ302" s="46"/>
      <c r="BT302" s="164"/>
      <c r="BU302" s="164"/>
      <c r="BV302" s="164"/>
    </row>
    <row r="303" spans="2:74" ht="15.75" customHeight="1">
      <c r="B303" s="46"/>
      <c r="BJ303" s="46"/>
      <c r="BQ303" s="46"/>
      <c r="BT303" s="164"/>
      <c r="BU303" s="164"/>
      <c r="BV303" s="164"/>
    </row>
    <row r="304" spans="2:74" ht="15.75" customHeight="1">
      <c r="B304" s="46"/>
      <c r="BJ304" s="46"/>
      <c r="BQ304" s="46"/>
      <c r="BT304" s="164"/>
      <c r="BU304" s="164"/>
      <c r="BV304" s="164"/>
    </row>
    <row r="305" spans="2:74" ht="15.75" customHeight="1">
      <c r="B305" s="46"/>
      <c r="BJ305" s="46"/>
      <c r="BQ305" s="46"/>
      <c r="BT305" s="164"/>
      <c r="BU305" s="164"/>
      <c r="BV305" s="164"/>
    </row>
    <row r="306" spans="2:74" ht="15.75" customHeight="1">
      <c r="B306" s="46"/>
      <c r="BJ306" s="46"/>
      <c r="BQ306" s="46"/>
      <c r="BT306" s="164"/>
      <c r="BU306" s="164"/>
      <c r="BV306" s="164"/>
    </row>
    <row r="307" spans="2:74" ht="15.75" customHeight="1">
      <c r="B307" s="46"/>
      <c r="BJ307" s="46"/>
      <c r="BQ307" s="46"/>
      <c r="BT307" s="164"/>
      <c r="BU307" s="164"/>
      <c r="BV307" s="164"/>
    </row>
    <row r="308" spans="2:74" ht="15.75" customHeight="1">
      <c r="B308" s="46"/>
      <c r="BJ308" s="46"/>
      <c r="BQ308" s="46"/>
      <c r="BT308" s="164"/>
      <c r="BU308" s="164"/>
      <c r="BV308" s="164"/>
    </row>
    <row r="309" spans="2:74" ht="15.75" customHeight="1">
      <c r="B309" s="46"/>
      <c r="BJ309" s="46"/>
      <c r="BQ309" s="46"/>
      <c r="BT309" s="164"/>
      <c r="BU309" s="164"/>
      <c r="BV309" s="164"/>
    </row>
    <row r="310" spans="2:74" ht="15.75" customHeight="1">
      <c r="B310" s="46"/>
      <c r="BJ310" s="46"/>
      <c r="BQ310" s="46"/>
      <c r="BT310" s="164"/>
      <c r="BU310" s="164"/>
      <c r="BV310" s="164"/>
    </row>
    <row r="311" spans="2:74" ht="15.75" customHeight="1">
      <c r="B311" s="46"/>
      <c r="BJ311" s="46"/>
      <c r="BQ311" s="46"/>
      <c r="BT311" s="164"/>
      <c r="BU311" s="164"/>
      <c r="BV311" s="164"/>
    </row>
    <row r="312" spans="2:74" ht="15.75" customHeight="1">
      <c r="B312" s="46"/>
      <c r="BJ312" s="46"/>
      <c r="BQ312" s="46"/>
      <c r="BT312" s="164"/>
      <c r="BU312" s="164"/>
      <c r="BV312" s="164"/>
    </row>
    <row r="313" spans="2:74" ht="15.75" customHeight="1">
      <c r="B313" s="46"/>
      <c r="BJ313" s="46"/>
      <c r="BQ313" s="46"/>
      <c r="BT313" s="164"/>
      <c r="BU313" s="164"/>
      <c r="BV313" s="164"/>
    </row>
    <row r="314" spans="2:74" ht="15.75" customHeight="1">
      <c r="B314" s="46"/>
      <c r="BJ314" s="46"/>
      <c r="BQ314" s="46"/>
      <c r="BT314" s="164"/>
      <c r="BU314" s="164"/>
      <c r="BV314" s="164"/>
    </row>
    <row r="315" spans="2:74" ht="15.75" customHeight="1">
      <c r="B315" s="46"/>
      <c r="BJ315" s="46"/>
      <c r="BQ315" s="46"/>
      <c r="BT315" s="164"/>
      <c r="BU315" s="164"/>
      <c r="BV315" s="164"/>
    </row>
    <row r="316" spans="2:74" ht="15.75" customHeight="1">
      <c r="B316" s="46"/>
      <c r="BJ316" s="46"/>
      <c r="BQ316" s="46"/>
      <c r="BT316" s="164"/>
      <c r="BU316" s="164"/>
      <c r="BV316" s="164"/>
    </row>
    <row r="317" spans="2:74" ht="15.75" customHeight="1">
      <c r="B317" s="46"/>
      <c r="BJ317" s="46"/>
      <c r="BQ317" s="46"/>
      <c r="BT317" s="164"/>
      <c r="BU317" s="164"/>
      <c r="BV317" s="164"/>
    </row>
    <row r="318" spans="2:74" ht="15.75" customHeight="1">
      <c r="B318" s="46"/>
      <c r="BJ318" s="46"/>
      <c r="BQ318" s="46"/>
      <c r="BT318" s="164"/>
      <c r="BU318" s="164"/>
      <c r="BV318" s="164"/>
    </row>
    <row r="319" spans="2:74" ht="15.75" customHeight="1">
      <c r="B319" s="46"/>
      <c r="BJ319" s="46"/>
      <c r="BQ319" s="46"/>
      <c r="BT319" s="164"/>
      <c r="BU319" s="164"/>
      <c r="BV319" s="164"/>
    </row>
    <row r="320" spans="2:74" ht="15.75" customHeight="1">
      <c r="B320" s="46"/>
      <c r="BJ320" s="46"/>
      <c r="BQ320" s="46"/>
      <c r="BT320" s="164"/>
      <c r="BU320" s="164"/>
      <c r="BV320" s="164"/>
    </row>
    <row r="321" spans="2:74" ht="15.75" customHeight="1">
      <c r="B321" s="46"/>
      <c r="BJ321" s="46"/>
      <c r="BQ321" s="46"/>
      <c r="BT321" s="164"/>
      <c r="BU321" s="164"/>
      <c r="BV321" s="164"/>
    </row>
    <row r="322" spans="2:74" ht="15.75" customHeight="1">
      <c r="B322" s="46"/>
      <c r="BJ322" s="46"/>
      <c r="BQ322" s="46"/>
      <c r="BT322" s="164"/>
      <c r="BU322" s="164"/>
      <c r="BV322" s="164"/>
    </row>
    <row r="323" spans="2:74" ht="15.75" customHeight="1">
      <c r="B323" s="46"/>
      <c r="BJ323" s="46"/>
      <c r="BQ323" s="46"/>
      <c r="BT323" s="164"/>
      <c r="BU323" s="164"/>
      <c r="BV323" s="164"/>
    </row>
    <row r="324" spans="2:74" ht="15.75" customHeight="1">
      <c r="B324" s="46"/>
      <c r="BJ324" s="46"/>
      <c r="BQ324" s="46"/>
      <c r="BT324" s="164"/>
      <c r="BU324" s="164"/>
      <c r="BV324" s="164"/>
    </row>
    <row r="325" spans="2:74" ht="15.75" customHeight="1">
      <c r="B325" s="46"/>
      <c r="BJ325" s="46"/>
      <c r="BQ325" s="46"/>
      <c r="BT325" s="164"/>
      <c r="BU325" s="164"/>
      <c r="BV325" s="164"/>
    </row>
    <row r="326" spans="2:74" ht="15.75" customHeight="1">
      <c r="B326" s="46"/>
      <c r="BJ326" s="46"/>
      <c r="BQ326" s="46"/>
      <c r="BT326" s="164"/>
      <c r="BU326" s="164"/>
      <c r="BV326" s="164"/>
    </row>
    <row r="327" spans="2:74" ht="15.75" customHeight="1">
      <c r="B327" s="46"/>
      <c r="BJ327" s="46"/>
      <c r="BQ327" s="46"/>
      <c r="BT327" s="164"/>
      <c r="BU327" s="164"/>
      <c r="BV327" s="164"/>
    </row>
    <row r="328" spans="2:74" ht="15.75" customHeight="1">
      <c r="B328" s="46"/>
      <c r="BJ328" s="46"/>
      <c r="BQ328" s="46"/>
      <c r="BT328" s="164"/>
      <c r="BU328" s="164"/>
      <c r="BV328" s="164"/>
    </row>
    <row r="329" spans="2:74" ht="15.75" customHeight="1">
      <c r="B329" s="46"/>
      <c r="BJ329" s="46"/>
      <c r="BQ329" s="46"/>
      <c r="BT329" s="164"/>
      <c r="BU329" s="164"/>
      <c r="BV329" s="164"/>
    </row>
    <row r="330" spans="2:74" ht="15.75" customHeight="1">
      <c r="B330" s="46"/>
      <c r="BJ330" s="46"/>
      <c r="BQ330" s="46"/>
      <c r="BT330" s="164"/>
      <c r="BU330" s="164"/>
      <c r="BV330" s="164"/>
    </row>
    <row r="331" spans="2:74" ht="15.75" customHeight="1">
      <c r="B331" s="46"/>
      <c r="BJ331" s="46"/>
      <c r="BQ331" s="46"/>
      <c r="BT331" s="164"/>
      <c r="BU331" s="164"/>
      <c r="BV331" s="164"/>
    </row>
    <row r="332" spans="2:74" ht="15.75" customHeight="1">
      <c r="B332" s="46"/>
      <c r="BJ332" s="46"/>
      <c r="BQ332" s="46"/>
      <c r="BT332" s="164"/>
      <c r="BU332" s="164"/>
      <c r="BV332" s="164"/>
    </row>
    <row r="333" spans="2:74" ht="15.75" customHeight="1">
      <c r="B333" s="46"/>
      <c r="BJ333" s="46"/>
      <c r="BQ333" s="46"/>
      <c r="BT333" s="164"/>
      <c r="BU333" s="164"/>
      <c r="BV333" s="164"/>
    </row>
    <row r="334" spans="2:74" ht="15.75" customHeight="1">
      <c r="B334" s="46"/>
      <c r="BJ334" s="46"/>
      <c r="BQ334" s="46"/>
      <c r="BT334" s="164"/>
      <c r="BU334" s="164"/>
      <c r="BV334" s="164"/>
    </row>
    <row r="335" spans="2:74" ht="15.75" customHeight="1">
      <c r="B335" s="46"/>
      <c r="BJ335" s="46"/>
      <c r="BQ335" s="46"/>
      <c r="BT335" s="164"/>
      <c r="BU335" s="164"/>
      <c r="BV335" s="164"/>
    </row>
    <row r="336" spans="2:74" ht="15.75" customHeight="1">
      <c r="B336" s="46"/>
      <c r="BJ336" s="46"/>
      <c r="BQ336" s="46"/>
      <c r="BT336" s="164"/>
      <c r="BU336" s="164"/>
      <c r="BV336" s="164"/>
    </row>
    <row r="337" spans="2:74" ht="15.75" customHeight="1">
      <c r="B337" s="46"/>
      <c r="BJ337" s="46"/>
      <c r="BQ337" s="46"/>
      <c r="BT337" s="164"/>
      <c r="BU337" s="164"/>
      <c r="BV337" s="164"/>
    </row>
    <row r="338" spans="2:74" ht="15.75" customHeight="1">
      <c r="B338" s="46"/>
      <c r="BJ338" s="46"/>
      <c r="BQ338" s="46"/>
      <c r="BT338" s="164"/>
      <c r="BU338" s="164"/>
      <c r="BV338" s="164"/>
    </row>
    <row r="339" spans="2:74" ht="15.75" customHeight="1">
      <c r="B339" s="46"/>
      <c r="BJ339" s="46"/>
      <c r="BQ339" s="46"/>
      <c r="BT339" s="164"/>
      <c r="BU339" s="164"/>
      <c r="BV339" s="164"/>
    </row>
    <row r="340" spans="2:74" ht="15.75" customHeight="1">
      <c r="B340" s="46"/>
      <c r="BJ340" s="46"/>
      <c r="BQ340" s="46"/>
      <c r="BT340" s="164"/>
      <c r="BU340" s="164"/>
      <c r="BV340" s="164"/>
    </row>
    <row r="341" spans="2:74" ht="15.75" customHeight="1">
      <c r="B341" s="46"/>
      <c r="BJ341" s="46"/>
      <c r="BQ341" s="46"/>
      <c r="BT341" s="164"/>
      <c r="BU341" s="164"/>
      <c r="BV341" s="164"/>
    </row>
    <row r="342" spans="2:74" ht="15.75" customHeight="1">
      <c r="B342" s="46"/>
      <c r="BJ342" s="46"/>
      <c r="BQ342" s="46"/>
      <c r="BT342" s="164"/>
      <c r="BU342" s="164"/>
      <c r="BV342" s="164"/>
    </row>
    <row r="343" spans="2:74" ht="15.75" customHeight="1">
      <c r="B343" s="46"/>
      <c r="BJ343" s="46"/>
      <c r="BQ343" s="46"/>
      <c r="BT343" s="164"/>
      <c r="BU343" s="164"/>
      <c r="BV343" s="164"/>
    </row>
    <row r="344" spans="2:74" ht="15.75" customHeight="1">
      <c r="B344" s="46"/>
      <c r="BJ344" s="46"/>
      <c r="BQ344" s="46"/>
      <c r="BT344" s="164"/>
      <c r="BU344" s="164"/>
      <c r="BV344" s="164"/>
    </row>
    <row r="345" spans="2:74" ht="15.75" customHeight="1">
      <c r="B345" s="46"/>
      <c r="BJ345" s="46"/>
      <c r="BQ345" s="46"/>
      <c r="BT345" s="164"/>
      <c r="BU345" s="164"/>
      <c r="BV345" s="164"/>
    </row>
    <row r="346" spans="2:74" ht="15.75" customHeight="1">
      <c r="B346" s="46"/>
      <c r="BJ346" s="46"/>
      <c r="BQ346" s="46"/>
      <c r="BT346" s="164"/>
      <c r="BU346" s="164"/>
      <c r="BV346" s="164"/>
    </row>
    <row r="347" spans="2:74" ht="15.75" customHeight="1">
      <c r="B347" s="46"/>
      <c r="BJ347" s="46"/>
      <c r="BQ347" s="46"/>
      <c r="BT347" s="164"/>
      <c r="BU347" s="164"/>
      <c r="BV347" s="164"/>
    </row>
    <row r="348" spans="2:74" ht="15.75" customHeight="1">
      <c r="B348" s="46"/>
      <c r="BJ348" s="46"/>
      <c r="BQ348" s="46"/>
      <c r="BT348" s="164"/>
      <c r="BU348" s="164"/>
      <c r="BV348" s="164"/>
    </row>
    <row r="349" spans="2:74" ht="15.75" customHeight="1">
      <c r="B349" s="46"/>
      <c r="BJ349" s="46"/>
      <c r="BQ349" s="46"/>
      <c r="BT349" s="164"/>
      <c r="BU349" s="164"/>
      <c r="BV349" s="164"/>
    </row>
    <row r="350" spans="2:74" ht="15.75" customHeight="1">
      <c r="B350" s="46"/>
      <c r="BJ350" s="46"/>
      <c r="BQ350" s="46"/>
      <c r="BT350" s="164"/>
      <c r="BU350" s="164"/>
      <c r="BV350" s="164"/>
    </row>
    <row r="351" spans="2:74" ht="15.75" customHeight="1">
      <c r="B351" s="46"/>
      <c r="BJ351" s="46"/>
      <c r="BQ351" s="46"/>
      <c r="BT351" s="164"/>
      <c r="BU351" s="164"/>
      <c r="BV351" s="164"/>
    </row>
    <row r="352" spans="2:74" ht="15.75" customHeight="1">
      <c r="B352" s="46"/>
      <c r="BJ352" s="46"/>
      <c r="BQ352" s="46"/>
      <c r="BT352" s="164"/>
      <c r="BU352" s="164"/>
      <c r="BV352" s="164"/>
    </row>
    <row r="353" spans="2:74" ht="15.75" customHeight="1">
      <c r="B353" s="46"/>
      <c r="BJ353" s="46"/>
      <c r="BQ353" s="46"/>
      <c r="BT353" s="164"/>
      <c r="BU353" s="164"/>
      <c r="BV353" s="164"/>
    </row>
    <row r="354" spans="2:74" ht="15.75" customHeight="1">
      <c r="B354" s="46"/>
      <c r="BJ354" s="46"/>
      <c r="BQ354" s="46"/>
      <c r="BT354" s="164"/>
      <c r="BU354" s="164"/>
      <c r="BV354" s="164"/>
    </row>
    <row r="355" spans="2:74" ht="15.75" customHeight="1">
      <c r="B355" s="46"/>
      <c r="BJ355" s="46"/>
      <c r="BQ355" s="46"/>
      <c r="BT355" s="164"/>
      <c r="BU355" s="164"/>
      <c r="BV355" s="164"/>
    </row>
    <row r="356" spans="2:74" ht="15.75" customHeight="1">
      <c r="B356" s="46"/>
      <c r="BJ356" s="46"/>
      <c r="BQ356" s="46"/>
      <c r="BT356" s="164"/>
      <c r="BU356" s="164"/>
      <c r="BV356" s="164"/>
    </row>
    <row r="357" spans="2:74" ht="15.75" customHeight="1">
      <c r="B357" s="46"/>
      <c r="BJ357" s="46"/>
      <c r="BQ357" s="46"/>
      <c r="BT357" s="164"/>
      <c r="BU357" s="164"/>
      <c r="BV357" s="164"/>
    </row>
    <row r="358" spans="2:74" ht="15.75" customHeight="1">
      <c r="B358" s="46"/>
      <c r="BJ358" s="46"/>
      <c r="BQ358" s="46"/>
      <c r="BT358" s="164"/>
      <c r="BU358" s="164"/>
      <c r="BV358" s="164"/>
    </row>
    <row r="359" spans="2:74" ht="15.75" customHeight="1">
      <c r="B359" s="46"/>
      <c r="BJ359" s="46"/>
      <c r="BQ359" s="46"/>
      <c r="BT359" s="164"/>
      <c r="BU359" s="164"/>
      <c r="BV359" s="164"/>
    </row>
    <row r="360" spans="2:74" ht="15.75" customHeight="1">
      <c r="B360" s="46"/>
      <c r="BJ360" s="46"/>
      <c r="BQ360" s="46"/>
      <c r="BT360" s="164"/>
      <c r="BU360" s="164"/>
      <c r="BV360" s="164"/>
    </row>
    <row r="361" spans="2:74" ht="15.75" customHeight="1">
      <c r="B361" s="46"/>
      <c r="BJ361" s="46"/>
      <c r="BQ361" s="46"/>
      <c r="BT361" s="164"/>
      <c r="BU361" s="164"/>
      <c r="BV361" s="164"/>
    </row>
    <row r="362" spans="2:74" ht="15.75" customHeight="1">
      <c r="B362" s="46"/>
      <c r="BJ362" s="46"/>
      <c r="BQ362" s="46"/>
      <c r="BT362" s="164"/>
      <c r="BU362" s="164"/>
      <c r="BV362" s="164"/>
    </row>
    <row r="363" spans="2:74" ht="15.75" customHeight="1">
      <c r="B363" s="46"/>
      <c r="BJ363" s="46"/>
      <c r="BQ363" s="46"/>
      <c r="BT363" s="164"/>
      <c r="BU363" s="164"/>
      <c r="BV363" s="164"/>
    </row>
    <row r="364" spans="2:74" ht="15.75" customHeight="1">
      <c r="B364" s="46"/>
      <c r="BJ364" s="46"/>
      <c r="BQ364" s="46"/>
      <c r="BT364" s="164"/>
      <c r="BU364" s="164"/>
      <c r="BV364" s="164"/>
    </row>
    <row r="365" spans="2:74" ht="15.75" customHeight="1">
      <c r="B365" s="46"/>
      <c r="BJ365" s="46"/>
      <c r="BQ365" s="46"/>
      <c r="BT365" s="164"/>
      <c r="BU365" s="164"/>
      <c r="BV365" s="164"/>
    </row>
    <row r="366" spans="2:74" ht="15.75" customHeight="1">
      <c r="B366" s="46"/>
      <c r="BJ366" s="46"/>
      <c r="BQ366" s="46"/>
      <c r="BT366" s="164"/>
      <c r="BU366" s="164"/>
      <c r="BV366" s="164"/>
    </row>
    <row r="367" spans="2:74" ht="15.75" customHeight="1">
      <c r="B367" s="46"/>
      <c r="BJ367" s="46"/>
      <c r="BQ367" s="46"/>
      <c r="BT367" s="164"/>
      <c r="BU367" s="164"/>
      <c r="BV367" s="164"/>
    </row>
    <row r="368" spans="2:74" ht="15.75" customHeight="1">
      <c r="B368" s="46"/>
      <c r="BJ368" s="46"/>
      <c r="BQ368" s="46"/>
      <c r="BT368" s="164"/>
      <c r="BU368" s="164"/>
      <c r="BV368" s="164"/>
    </row>
    <row r="369" spans="2:74" ht="15.75" customHeight="1">
      <c r="B369" s="46"/>
      <c r="BJ369" s="46"/>
      <c r="BQ369" s="46"/>
      <c r="BT369" s="164"/>
      <c r="BU369" s="164"/>
      <c r="BV369" s="164"/>
    </row>
    <row r="370" spans="2:74" ht="15.75" customHeight="1">
      <c r="B370" s="46"/>
      <c r="BJ370" s="46"/>
      <c r="BQ370" s="46"/>
      <c r="BT370" s="164"/>
      <c r="BU370" s="164"/>
      <c r="BV370" s="164"/>
    </row>
    <row r="371" spans="2:74" ht="15.75" customHeight="1">
      <c r="B371" s="46"/>
      <c r="BJ371" s="46"/>
      <c r="BQ371" s="46"/>
      <c r="BT371" s="164"/>
      <c r="BU371" s="164"/>
      <c r="BV371" s="164"/>
    </row>
    <row r="372" spans="2:74" ht="15.75" customHeight="1">
      <c r="B372" s="46"/>
      <c r="BJ372" s="46"/>
      <c r="BQ372" s="46"/>
      <c r="BT372" s="164"/>
      <c r="BU372" s="164"/>
      <c r="BV372" s="164"/>
    </row>
    <row r="373" spans="2:74" ht="15.75" customHeight="1">
      <c r="B373" s="46"/>
      <c r="BJ373" s="46"/>
      <c r="BQ373" s="46"/>
      <c r="BT373" s="164"/>
      <c r="BU373" s="164"/>
      <c r="BV373" s="164"/>
    </row>
    <row r="374" spans="2:74" ht="15.75" customHeight="1">
      <c r="B374" s="46"/>
      <c r="BJ374" s="46"/>
      <c r="BQ374" s="46"/>
      <c r="BT374" s="164"/>
      <c r="BU374" s="164"/>
      <c r="BV374" s="164"/>
    </row>
    <row r="375" spans="2:74" ht="15.75" customHeight="1">
      <c r="B375" s="46"/>
      <c r="BJ375" s="46"/>
      <c r="BQ375" s="46"/>
      <c r="BT375" s="164"/>
      <c r="BU375" s="164"/>
      <c r="BV375" s="164"/>
    </row>
    <row r="376" spans="2:74" ht="15.75" customHeight="1">
      <c r="B376" s="46"/>
      <c r="BJ376" s="46"/>
      <c r="BQ376" s="46"/>
      <c r="BT376" s="164"/>
      <c r="BU376" s="164"/>
      <c r="BV376" s="164"/>
    </row>
    <row r="377" spans="2:74" ht="15.75" customHeight="1">
      <c r="B377" s="46"/>
      <c r="BJ377" s="46"/>
      <c r="BQ377" s="46"/>
      <c r="BT377" s="164"/>
      <c r="BU377" s="164"/>
      <c r="BV377" s="164"/>
    </row>
    <row r="378" spans="2:74" ht="15.75" customHeight="1">
      <c r="B378" s="46"/>
      <c r="BJ378" s="46"/>
      <c r="BQ378" s="46"/>
      <c r="BT378" s="164"/>
      <c r="BU378" s="164"/>
      <c r="BV378" s="164"/>
    </row>
    <row r="379" spans="2:74" ht="15.75" customHeight="1">
      <c r="B379" s="46"/>
      <c r="BJ379" s="46"/>
      <c r="BQ379" s="46"/>
      <c r="BT379" s="164"/>
      <c r="BU379" s="164"/>
      <c r="BV379" s="164"/>
    </row>
    <row r="380" spans="2:74" ht="15.75" customHeight="1">
      <c r="B380" s="46"/>
      <c r="BJ380" s="46"/>
      <c r="BQ380" s="46"/>
      <c r="BT380" s="164"/>
      <c r="BU380" s="164"/>
      <c r="BV380" s="164"/>
    </row>
    <row r="381" spans="2:74" ht="15.75" customHeight="1">
      <c r="B381" s="46"/>
      <c r="BJ381" s="46"/>
      <c r="BQ381" s="46"/>
      <c r="BT381" s="164"/>
      <c r="BU381" s="164"/>
      <c r="BV381" s="164"/>
    </row>
    <row r="382" spans="2:74" ht="15.75" customHeight="1">
      <c r="B382" s="46"/>
      <c r="BJ382" s="46"/>
      <c r="BQ382" s="46"/>
      <c r="BT382" s="164"/>
      <c r="BU382" s="164"/>
      <c r="BV382" s="164"/>
    </row>
    <row r="383" spans="2:74" ht="15.75" customHeight="1">
      <c r="B383" s="46"/>
      <c r="BJ383" s="46"/>
      <c r="BQ383" s="46"/>
      <c r="BT383" s="164"/>
      <c r="BU383" s="164"/>
      <c r="BV383" s="164"/>
    </row>
    <row r="384" spans="2:74" ht="15.75" customHeight="1">
      <c r="B384" s="46"/>
      <c r="BJ384" s="46"/>
      <c r="BQ384" s="46"/>
      <c r="BT384" s="164"/>
      <c r="BU384" s="164"/>
      <c r="BV384" s="164"/>
    </row>
    <row r="385" spans="2:74" ht="15.75" customHeight="1">
      <c r="B385" s="46"/>
      <c r="BJ385" s="46"/>
      <c r="BQ385" s="46"/>
      <c r="BT385" s="164"/>
      <c r="BU385" s="164"/>
      <c r="BV385" s="164"/>
    </row>
    <row r="386" spans="2:74" ht="15.75" customHeight="1">
      <c r="B386" s="46"/>
      <c r="BJ386" s="46"/>
      <c r="BQ386" s="46"/>
      <c r="BT386" s="164"/>
      <c r="BU386" s="164"/>
      <c r="BV386" s="164"/>
    </row>
    <row r="387" spans="2:74" ht="15.75" customHeight="1">
      <c r="B387" s="46"/>
      <c r="BJ387" s="46"/>
      <c r="BQ387" s="46"/>
      <c r="BT387" s="164"/>
      <c r="BU387" s="164"/>
      <c r="BV387" s="164"/>
    </row>
    <row r="388" spans="2:74" ht="15.75" customHeight="1">
      <c r="B388" s="46"/>
      <c r="BJ388" s="46"/>
      <c r="BQ388" s="46"/>
      <c r="BT388" s="164"/>
      <c r="BU388" s="164"/>
      <c r="BV388" s="164"/>
    </row>
    <row r="389" spans="2:74" ht="15.75" customHeight="1">
      <c r="B389" s="46"/>
      <c r="BJ389" s="46"/>
      <c r="BQ389" s="46"/>
      <c r="BT389" s="164"/>
      <c r="BU389" s="164"/>
      <c r="BV389" s="164"/>
    </row>
    <row r="390" spans="2:74" ht="15.75" customHeight="1">
      <c r="B390" s="46"/>
      <c r="BJ390" s="46"/>
      <c r="BQ390" s="46"/>
      <c r="BT390" s="164"/>
      <c r="BU390" s="164"/>
      <c r="BV390" s="164"/>
    </row>
    <row r="391" spans="2:74" ht="15.75" customHeight="1">
      <c r="B391" s="46"/>
      <c r="BJ391" s="46"/>
      <c r="BQ391" s="46"/>
      <c r="BT391" s="164"/>
      <c r="BU391" s="164"/>
      <c r="BV391" s="164"/>
    </row>
    <row r="392" spans="2:74" ht="15.75" customHeight="1">
      <c r="B392" s="46"/>
      <c r="BJ392" s="46"/>
      <c r="BQ392" s="46"/>
      <c r="BT392" s="164"/>
      <c r="BU392" s="164"/>
      <c r="BV392" s="164"/>
    </row>
    <row r="393" spans="2:74" ht="15.75" customHeight="1">
      <c r="B393" s="46"/>
      <c r="BJ393" s="46"/>
      <c r="BQ393" s="46"/>
      <c r="BT393" s="164"/>
      <c r="BU393" s="164"/>
      <c r="BV393" s="164"/>
    </row>
    <row r="394" spans="2:74" ht="15.75" customHeight="1">
      <c r="B394" s="46"/>
      <c r="BJ394" s="46"/>
      <c r="BQ394" s="46"/>
      <c r="BT394" s="164"/>
      <c r="BU394" s="164"/>
      <c r="BV394" s="164"/>
    </row>
    <row r="395" spans="2:74" ht="15.75" customHeight="1">
      <c r="B395" s="46"/>
      <c r="BJ395" s="46"/>
      <c r="BQ395" s="46"/>
      <c r="BT395" s="164"/>
      <c r="BU395" s="164"/>
      <c r="BV395" s="164"/>
    </row>
    <row r="396" spans="2:74" ht="15.75" customHeight="1">
      <c r="B396" s="46"/>
      <c r="BJ396" s="46"/>
      <c r="BQ396" s="46"/>
      <c r="BT396" s="164"/>
      <c r="BU396" s="164"/>
      <c r="BV396" s="164"/>
    </row>
    <row r="397" spans="2:74" ht="15.75" customHeight="1">
      <c r="B397" s="46"/>
      <c r="BJ397" s="46"/>
      <c r="BQ397" s="46"/>
      <c r="BT397" s="164"/>
      <c r="BU397" s="164"/>
      <c r="BV397" s="164"/>
    </row>
    <row r="398" spans="2:74" ht="15.75" customHeight="1">
      <c r="B398" s="46"/>
      <c r="BJ398" s="46"/>
      <c r="BQ398" s="46"/>
      <c r="BT398" s="164"/>
      <c r="BU398" s="164"/>
      <c r="BV398" s="164"/>
    </row>
    <row r="399" spans="2:74" ht="15.75" customHeight="1">
      <c r="B399" s="46"/>
      <c r="BJ399" s="46"/>
      <c r="BQ399" s="46"/>
      <c r="BT399" s="164"/>
      <c r="BU399" s="164"/>
      <c r="BV399" s="164"/>
    </row>
    <row r="400" spans="2:74" ht="15.75" customHeight="1">
      <c r="B400" s="46"/>
      <c r="BJ400" s="46"/>
      <c r="BQ400" s="46"/>
      <c r="BT400" s="164"/>
      <c r="BU400" s="164"/>
      <c r="BV400" s="164"/>
    </row>
    <row r="401" spans="2:74" ht="15.75" customHeight="1">
      <c r="B401" s="46"/>
      <c r="BJ401" s="46"/>
      <c r="BQ401" s="46"/>
      <c r="BT401" s="164"/>
      <c r="BU401" s="164"/>
      <c r="BV401" s="164"/>
    </row>
    <row r="402" spans="2:74" ht="15.75" customHeight="1">
      <c r="B402" s="46"/>
      <c r="BJ402" s="46"/>
      <c r="BQ402" s="46"/>
      <c r="BT402" s="164"/>
      <c r="BU402" s="164"/>
      <c r="BV402" s="164"/>
    </row>
    <row r="403" spans="2:74" ht="15.75" customHeight="1">
      <c r="B403" s="46"/>
      <c r="BJ403" s="46"/>
      <c r="BQ403" s="46"/>
      <c r="BT403" s="164"/>
      <c r="BU403" s="164"/>
      <c r="BV403" s="164"/>
    </row>
    <row r="404" spans="2:74" ht="15.75" customHeight="1">
      <c r="B404" s="46"/>
      <c r="BJ404" s="46"/>
      <c r="BQ404" s="46"/>
      <c r="BT404" s="164"/>
      <c r="BU404" s="164"/>
      <c r="BV404" s="164"/>
    </row>
    <row r="405" spans="2:74" ht="15.75" customHeight="1">
      <c r="B405" s="46"/>
      <c r="BJ405" s="46"/>
      <c r="BQ405" s="46"/>
      <c r="BT405" s="164"/>
      <c r="BU405" s="164"/>
      <c r="BV405" s="164"/>
    </row>
    <row r="406" spans="2:74" ht="15.75" customHeight="1">
      <c r="B406" s="46"/>
      <c r="BJ406" s="46"/>
      <c r="BQ406" s="46"/>
      <c r="BT406" s="164"/>
      <c r="BU406" s="164"/>
      <c r="BV406" s="164"/>
    </row>
    <row r="407" spans="2:74" ht="15.75" customHeight="1">
      <c r="B407" s="46"/>
      <c r="BJ407" s="46"/>
      <c r="BQ407" s="46"/>
      <c r="BT407" s="164"/>
      <c r="BU407" s="164"/>
      <c r="BV407" s="164"/>
    </row>
    <row r="408" spans="2:74" ht="15.75" customHeight="1">
      <c r="B408" s="46"/>
      <c r="BJ408" s="46"/>
      <c r="BQ408" s="46"/>
      <c r="BT408" s="164"/>
      <c r="BU408" s="164"/>
      <c r="BV408" s="164"/>
    </row>
    <row r="409" spans="2:74" ht="15.75" customHeight="1">
      <c r="B409" s="46"/>
      <c r="BJ409" s="46"/>
      <c r="BQ409" s="46"/>
      <c r="BT409" s="164"/>
      <c r="BU409" s="164"/>
      <c r="BV409" s="164"/>
    </row>
    <row r="410" spans="2:74" ht="15.75" customHeight="1">
      <c r="B410" s="46"/>
      <c r="BJ410" s="46"/>
      <c r="BQ410" s="46"/>
      <c r="BT410" s="164"/>
      <c r="BU410" s="164"/>
      <c r="BV410" s="164"/>
    </row>
    <row r="411" spans="2:74" ht="15.75" customHeight="1">
      <c r="B411" s="46"/>
      <c r="BJ411" s="46"/>
      <c r="BQ411" s="46"/>
      <c r="BT411" s="164"/>
      <c r="BU411" s="164"/>
      <c r="BV411" s="164"/>
    </row>
    <row r="412" spans="2:74" ht="15.75" customHeight="1">
      <c r="B412" s="46"/>
      <c r="BJ412" s="46"/>
      <c r="BQ412" s="46"/>
      <c r="BT412" s="164"/>
      <c r="BU412" s="164"/>
      <c r="BV412" s="164"/>
    </row>
    <row r="413" spans="2:74" ht="15.75" customHeight="1">
      <c r="B413" s="46"/>
      <c r="BJ413" s="46"/>
      <c r="BQ413" s="46"/>
      <c r="BT413" s="164"/>
      <c r="BU413" s="164"/>
      <c r="BV413" s="164"/>
    </row>
    <row r="414" spans="2:74" ht="15.75" customHeight="1">
      <c r="B414" s="46"/>
      <c r="BJ414" s="46"/>
      <c r="BQ414" s="46"/>
      <c r="BT414" s="164"/>
      <c r="BU414" s="164"/>
      <c r="BV414" s="164"/>
    </row>
    <row r="415" spans="2:74" ht="15.75" customHeight="1">
      <c r="B415" s="46"/>
      <c r="BJ415" s="46"/>
      <c r="BQ415" s="46"/>
      <c r="BT415" s="164"/>
      <c r="BU415" s="164"/>
      <c r="BV415" s="164"/>
    </row>
    <row r="416" spans="2:74" ht="15.75" customHeight="1">
      <c r="B416" s="46"/>
      <c r="BJ416" s="46"/>
      <c r="BQ416" s="46"/>
      <c r="BT416" s="164"/>
      <c r="BU416" s="164"/>
      <c r="BV416" s="164"/>
    </row>
    <row r="417" spans="2:74" ht="15.75" customHeight="1">
      <c r="B417" s="46"/>
      <c r="BJ417" s="46"/>
      <c r="BQ417" s="46"/>
      <c r="BT417" s="164"/>
      <c r="BU417" s="164"/>
      <c r="BV417" s="164"/>
    </row>
    <row r="418" spans="2:74" ht="15.75" customHeight="1">
      <c r="B418" s="46"/>
      <c r="BJ418" s="46"/>
      <c r="BQ418" s="46"/>
      <c r="BT418" s="164"/>
      <c r="BU418" s="164"/>
      <c r="BV418" s="164"/>
    </row>
    <row r="419" spans="2:74" ht="15.75" customHeight="1">
      <c r="B419" s="46"/>
      <c r="BJ419" s="46"/>
      <c r="BQ419" s="46"/>
      <c r="BT419" s="164"/>
      <c r="BU419" s="164"/>
      <c r="BV419" s="164"/>
    </row>
    <row r="420" spans="2:74" ht="15.75" customHeight="1">
      <c r="B420" s="46"/>
      <c r="BJ420" s="46"/>
      <c r="BQ420" s="46"/>
      <c r="BT420" s="164"/>
      <c r="BU420" s="164"/>
      <c r="BV420" s="164"/>
    </row>
    <row r="421" spans="2:74" ht="15.75" customHeight="1">
      <c r="B421" s="46"/>
      <c r="BJ421" s="46"/>
      <c r="BQ421" s="46"/>
      <c r="BT421" s="164"/>
      <c r="BU421" s="164"/>
      <c r="BV421" s="164"/>
    </row>
    <row r="422" spans="2:74" ht="15.75" customHeight="1">
      <c r="B422" s="46"/>
      <c r="BJ422" s="46"/>
      <c r="BQ422" s="46"/>
      <c r="BT422" s="164"/>
      <c r="BU422" s="164"/>
      <c r="BV422" s="164"/>
    </row>
    <row r="423" spans="2:74" ht="15.75" customHeight="1">
      <c r="B423" s="46"/>
      <c r="BJ423" s="46"/>
      <c r="BQ423" s="46"/>
      <c r="BT423" s="164"/>
      <c r="BU423" s="164"/>
      <c r="BV423" s="164"/>
    </row>
    <row r="424" spans="2:74" ht="15.75" customHeight="1">
      <c r="B424" s="46"/>
      <c r="BJ424" s="46"/>
      <c r="BQ424" s="46"/>
      <c r="BT424" s="164"/>
      <c r="BU424" s="164"/>
      <c r="BV424" s="164"/>
    </row>
    <row r="425" spans="2:74" ht="15.75" customHeight="1">
      <c r="B425" s="46"/>
      <c r="BJ425" s="46"/>
      <c r="BQ425" s="46"/>
      <c r="BT425" s="164"/>
      <c r="BU425" s="164"/>
      <c r="BV425" s="164"/>
    </row>
    <row r="426" spans="2:74" ht="15.75" customHeight="1">
      <c r="B426" s="46"/>
      <c r="BJ426" s="46"/>
      <c r="BQ426" s="46"/>
      <c r="BT426" s="164"/>
      <c r="BU426" s="164"/>
      <c r="BV426" s="164"/>
    </row>
    <row r="427" spans="2:74" ht="15.75" customHeight="1">
      <c r="B427" s="46"/>
      <c r="BJ427" s="46"/>
      <c r="BQ427" s="46"/>
      <c r="BT427" s="164"/>
      <c r="BU427" s="164"/>
      <c r="BV427" s="164"/>
    </row>
    <row r="428" spans="2:74" ht="15.75" customHeight="1">
      <c r="B428" s="46"/>
      <c r="BJ428" s="46"/>
      <c r="BQ428" s="46"/>
      <c r="BT428" s="164"/>
      <c r="BU428" s="164"/>
      <c r="BV428" s="164"/>
    </row>
    <row r="429" spans="2:74" ht="15.75" customHeight="1">
      <c r="B429" s="46"/>
      <c r="BJ429" s="46"/>
      <c r="BQ429" s="46"/>
      <c r="BT429" s="164"/>
      <c r="BU429" s="164"/>
      <c r="BV429" s="164"/>
    </row>
    <row r="430" spans="2:74" ht="15.75" customHeight="1">
      <c r="B430" s="46"/>
      <c r="BJ430" s="46"/>
      <c r="BQ430" s="46"/>
      <c r="BT430" s="164"/>
      <c r="BU430" s="164"/>
      <c r="BV430" s="164"/>
    </row>
    <row r="431" spans="2:74" ht="15.75" customHeight="1">
      <c r="B431" s="46"/>
      <c r="BJ431" s="46"/>
      <c r="BQ431" s="46"/>
      <c r="BT431" s="164"/>
      <c r="BU431" s="164"/>
      <c r="BV431" s="164"/>
    </row>
    <row r="432" spans="2:74" ht="15.75" customHeight="1">
      <c r="B432" s="46"/>
      <c r="BJ432" s="46"/>
      <c r="BQ432" s="46"/>
      <c r="BT432" s="164"/>
      <c r="BU432" s="164"/>
      <c r="BV432" s="164"/>
    </row>
    <row r="433" spans="2:74" ht="15.75" customHeight="1">
      <c r="B433" s="46"/>
      <c r="BJ433" s="46"/>
      <c r="BQ433" s="46"/>
      <c r="BT433" s="164"/>
      <c r="BU433" s="164"/>
      <c r="BV433" s="164"/>
    </row>
    <row r="434" spans="2:74" ht="15.75" customHeight="1">
      <c r="B434" s="46"/>
      <c r="BJ434" s="46"/>
      <c r="BQ434" s="46"/>
      <c r="BT434" s="164"/>
      <c r="BU434" s="164"/>
      <c r="BV434" s="164"/>
    </row>
    <row r="435" spans="2:74" ht="15.75" customHeight="1">
      <c r="B435" s="46"/>
      <c r="BJ435" s="46"/>
      <c r="BQ435" s="46"/>
      <c r="BT435" s="164"/>
      <c r="BU435" s="164"/>
      <c r="BV435" s="164"/>
    </row>
    <row r="436" spans="2:74" ht="15.75" customHeight="1">
      <c r="B436" s="46"/>
      <c r="BJ436" s="46"/>
      <c r="BQ436" s="46"/>
      <c r="BT436" s="164"/>
      <c r="BU436" s="164"/>
      <c r="BV436" s="164"/>
    </row>
    <row r="437" spans="2:74" ht="15.75" customHeight="1">
      <c r="B437" s="46"/>
      <c r="BJ437" s="46"/>
      <c r="BQ437" s="46"/>
      <c r="BT437" s="164"/>
      <c r="BU437" s="164"/>
      <c r="BV437" s="164"/>
    </row>
    <row r="438" spans="2:74" ht="15.75" customHeight="1">
      <c r="B438" s="46"/>
      <c r="BJ438" s="46"/>
      <c r="BQ438" s="46"/>
      <c r="BT438" s="164"/>
      <c r="BU438" s="164"/>
      <c r="BV438" s="164"/>
    </row>
    <row r="439" spans="2:74" ht="15.75" customHeight="1">
      <c r="B439" s="46"/>
      <c r="BJ439" s="46"/>
      <c r="BQ439" s="46"/>
      <c r="BT439" s="164"/>
      <c r="BU439" s="164"/>
      <c r="BV439" s="164"/>
    </row>
    <row r="440" spans="2:74" ht="15.75" customHeight="1">
      <c r="B440" s="46"/>
      <c r="BJ440" s="46"/>
      <c r="BQ440" s="46"/>
      <c r="BT440" s="164"/>
      <c r="BU440" s="164"/>
      <c r="BV440" s="164"/>
    </row>
    <row r="441" spans="2:74" ht="15.75" customHeight="1">
      <c r="B441" s="46"/>
      <c r="BJ441" s="46"/>
      <c r="BQ441" s="46"/>
      <c r="BT441" s="164"/>
      <c r="BU441" s="164"/>
      <c r="BV441" s="164"/>
    </row>
    <row r="442" spans="2:74" ht="15.75" customHeight="1">
      <c r="B442" s="46"/>
      <c r="BJ442" s="46"/>
      <c r="BQ442" s="46"/>
      <c r="BT442" s="164"/>
      <c r="BU442" s="164"/>
      <c r="BV442" s="164"/>
    </row>
    <row r="443" spans="2:74" ht="15.75" customHeight="1">
      <c r="B443" s="46"/>
      <c r="BJ443" s="46"/>
      <c r="BQ443" s="46"/>
      <c r="BT443" s="164"/>
      <c r="BU443" s="164"/>
      <c r="BV443" s="164"/>
    </row>
    <row r="444" spans="2:74" ht="15.75" customHeight="1">
      <c r="B444" s="46"/>
      <c r="BJ444" s="46"/>
      <c r="BQ444" s="46"/>
      <c r="BT444" s="164"/>
      <c r="BU444" s="164"/>
      <c r="BV444" s="164"/>
    </row>
    <row r="445" spans="2:74" ht="15.75" customHeight="1">
      <c r="B445" s="46"/>
      <c r="BJ445" s="46"/>
      <c r="BQ445" s="46"/>
      <c r="BT445" s="164"/>
      <c r="BU445" s="164"/>
      <c r="BV445" s="164"/>
    </row>
    <row r="446" spans="2:74" ht="15.75" customHeight="1">
      <c r="B446" s="46"/>
      <c r="BJ446" s="46"/>
      <c r="BQ446" s="46"/>
      <c r="BT446" s="164"/>
      <c r="BU446" s="164"/>
      <c r="BV446" s="164"/>
    </row>
    <row r="447" spans="2:74" ht="15.75" customHeight="1">
      <c r="B447" s="46"/>
      <c r="BJ447" s="46"/>
      <c r="BQ447" s="46"/>
      <c r="BT447" s="164"/>
      <c r="BU447" s="164"/>
      <c r="BV447" s="164"/>
    </row>
    <row r="448" spans="2:74" ht="15.75" customHeight="1">
      <c r="B448" s="46"/>
      <c r="BJ448" s="46"/>
      <c r="BQ448" s="46"/>
      <c r="BT448" s="164"/>
      <c r="BU448" s="164"/>
      <c r="BV448" s="164"/>
    </row>
    <row r="449" spans="2:74" ht="15.75" customHeight="1">
      <c r="B449" s="46"/>
      <c r="BJ449" s="46"/>
      <c r="BQ449" s="46"/>
      <c r="BT449" s="164"/>
      <c r="BU449" s="164"/>
      <c r="BV449" s="164"/>
    </row>
    <row r="450" spans="2:74" ht="15.75" customHeight="1">
      <c r="B450" s="46"/>
      <c r="BJ450" s="46"/>
      <c r="BQ450" s="46"/>
      <c r="BT450" s="164"/>
      <c r="BU450" s="164"/>
      <c r="BV450" s="164"/>
    </row>
    <row r="451" spans="2:74" ht="15.75" customHeight="1">
      <c r="B451" s="46"/>
      <c r="BJ451" s="46"/>
      <c r="BQ451" s="46"/>
      <c r="BT451" s="164"/>
      <c r="BU451" s="164"/>
      <c r="BV451" s="164"/>
    </row>
    <row r="452" spans="2:74" ht="15.75" customHeight="1">
      <c r="B452" s="46"/>
      <c r="BJ452" s="46"/>
      <c r="BQ452" s="46"/>
      <c r="BT452" s="164"/>
      <c r="BU452" s="164"/>
      <c r="BV452" s="164"/>
    </row>
    <row r="453" spans="2:74" ht="15.75" customHeight="1">
      <c r="B453" s="46"/>
      <c r="BJ453" s="46"/>
      <c r="BQ453" s="46"/>
      <c r="BT453" s="164"/>
      <c r="BU453" s="164"/>
      <c r="BV453" s="164"/>
    </row>
    <row r="454" spans="2:74" ht="15.75" customHeight="1">
      <c r="B454" s="46"/>
      <c r="BJ454" s="46"/>
      <c r="BQ454" s="46"/>
      <c r="BT454" s="164"/>
      <c r="BU454" s="164"/>
      <c r="BV454" s="164"/>
    </row>
    <row r="455" spans="2:74" ht="15.75" customHeight="1">
      <c r="B455" s="46"/>
      <c r="BJ455" s="46"/>
      <c r="BQ455" s="46"/>
      <c r="BT455" s="164"/>
      <c r="BU455" s="164"/>
      <c r="BV455" s="164"/>
    </row>
    <row r="456" spans="2:74" ht="15.75" customHeight="1">
      <c r="B456" s="46"/>
      <c r="BJ456" s="46"/>
      <c r="BQ456" s="46"/>
      <c r="BT456" s="164"/>
      <c r="BU456" s="164"/>
      <c r="BV456" s="164"/>
    </row>
    <row r="457" spans="2:74" ht="15.75" customHeight="1">
      <c r="B457" s="46"/>
      <c r="BJ457" s="46"/>
      <c r="BQ457" s="46"/>
      <c r="BT457" s="164"/>
      <c r="BU457" s="164"/>
      <c r="BV457" s="164"/>
    </row>
    <row r="458" spans="2:74" ht="15.75" customHeight="1">
      <c r="B458" s="46"/>
      <c r="BJ458" s="46"/>
      <c r="BQ458" s="46"/>
      <c r="BT458" s="164"/>
      <c r="BU458" s="164"/>
      <c r="BV458" s="164"/>
    </row>
    <row r="459" spans="2:74" ht="15.75" customHeight="1">
      <c r="B459" s="46"/>
      <c r="BJ459" s="46"/>
      <c r="BQ459" s="46"/>
      <c r="BT459" s="164"/>
      <c r="BU459" s="164"/>
      <c r="BV459" s="164"/>
    </row>
    <row r="460" spans="2:74" ht="15.75" customHeight="1">
      <c r="B460" s="46"/>
      <c r="BJ460" s="46"/>
      <c r="BQ460" s="46"/>
      <c r="BT460" s="164"/>
      <c r="BU460" s="164"/>
      <c r="BV460" s="164"/>
    </row>
    <row r="461" spans="2:74" ht="15.75" customHeight="1">
      <c r="B461" s="46"/>
      <c r="BJ461" s="46"/>
      <c r="BQ461" s="46"/>
      <c r="BT461" s="164"/>
      <c r="BU461" s="164"/>
      <c r="BV461" s="164"/>
    </row>
    <row r="462" spans="2:74" ht="15.75" customHeight="1">
      <c r="B462" s="46"/>
      <c r="BJ462" s="46"/>
      <c r="BQ462" s="46"/>
      <c r="BT462" s="164"/>
      <c r="BU462" s="164"/>
      <c r="BV462" s="164"/>
    </row>
    <row r="463" spans="2:74" ht="15.75" customHeight="1">
      <c r="B463" s="46"/>
      <c r="BJ463" s="46"/>
      <c r="BQ463" s="46"/>
      <c r="BT463" s="164"/>
      <c r="BU463" s="164"/>
      <c r="BV463" s="164"/>
    </row>
    <row r="464" spans="2:74" ht="15.75" customHeight="1">
      <c r="B464" s="46"/>
      <c r="BJ464" s="46"/>
      <c r="BQ464" s="46"/>
      <c r="BT464" s="164"/>
      <c r="BU464" s="164"/>
      <c r="BV464" s="164"/>
    </row>
    <row r="465" spans="2:74" ht="15.75" customHeight="1">
      <c r="B465" s="46"/>
      <c r="BJ465" s="46"/>
      <c r="BQ465" s="46"/>
      <c r="BT465" s="164"/>
      <c r="BU465" s="164"/>
      <c r="BV465" s="164"/>
    </row>
    <row r="466" spans="2:74" ht="15.75" customHeight="1">
      <c r="B466" s="46"/>
      <c r="BJ466" s="46"/>
      <c r="BQ466" s="46"/>
      <c r="BT466" s="164"/>
      <c r="BU466" s="164"/>
      <c r="BV466" s="164"/>
    </row>
    <row r="467" spans="2:74" ht="15.75" customHeight="1">
      <c r="B467" s="46"/>
      <c r="BJ467" s="46"/>
      <c r="BQ467" s="46"/>
      <c r="BT467" s="164"/>
      <c r="BU467" s="164"/>
      <c r="BV467" s="164"/>
    </row>
    <row r="468" spans="2:74" ht="15.75" customHeight="1">
      <c r="B468" s="46"/>
      <c r="BJ468" s="46"/>
      <c r="BQ468" s="46"/>
      <c r="BT468" s="164"/>
      <c r="BU468" s="164"/>
      <c r="BV468" s="164"/>
    </row>
    <row r="469" spans="2:74" ht="15.75" customHeight="1">
      <c r="B469" s="46"/>
      <c r="BJ469" s="46"/>
      <c r="BQ469" s="46"/>
      <c r="BT469" s="164"/>
      <c r="BU469" s="164"/>
      <c r="BV469" s="164"/>
    </row>
    <row r="470" spans="2:74" ht="15.75" customHeight="1">
      <c r="B470" s="46"/>
      <c r="BJ470" s="46"/>
      <c r="BQ470" s="46"/>
      <c r="BT470" s="164"/>
      <c r="BU470" s="164"/>
      <c r="BV470" s="164"/>
    </row>
    <row r="471" spans="2:74" ht="15.75" customHeight="1">
      <c r="B471" s="46"/>
      <c r="BJ471" s="46"/>
      <c r="BQ471" s="46"/>
      <c r="BT471" s="164"/>
      <c r="BU471" s="164"/>
      <c r="BV471" s="164"/>
    </row>
    <row r="472" spans="2:74" ht="15.75" customHeight="1">
      <c r="B472" s="46"/>
      <c r="BJ472" s="46"/>
      <c r="BQ472" s="46"/>
      <c r="BT472" s="164"/>
      <c r="BU472" s="164"/>
      <c r="BV472" s="164"/>
    </row>
    <row r="473" spans="2:74" ht="15.75" customHeight="1">
      <c r="B473" s="46"/>
      <c r="BJ473" s="46"/>
      <c r="BQ473" s="46"/>
      <c r="BT473" s="164"/>
      <c r="BU473" s="164"/>
      <c r="BV473" s="164"/>
    </row>
    <row r="474" spans="2:74" ht="15.75" customHeight="1">
      <c r="B474" s="46"/>
      <c r="BJ474" s="46"/>
      <c r="BQ474" s="46"/>
      <c r="BT474" s="164"/>
      <c r="BU474" s="164"/>
      <c r="BV474" s="164"/>
    </row>
    <row r="475" spans="2:74" ht="15.75" customHeight="1">
      <c r="B475" s="46"/>
      <c r="BJ475" s="46"/>
      <c r="BQ475" s="46"/>
      <c r="BT475" s="164"/>
      <c r="BU475" s="164"/>
      <c r="BV475" s="164"/>
    </row>
    <row r="476" spans="2:74" ht="15.75" customHeight="1">
      <c r="B476" s="46"/>
      <c r="BJ476" s="46"/>
      <c r="BQ476" s="46"/>
      <c r="BT476" s="164"/>
      <c r="BU476" s="164"/>
      <c r="BV476" s="164"/>
    </row>
    <row r="477" spans="2:74" ht="15.75" customHeight="1">
      <c r="B477" s="46"/>
      <c r="BJ477" s="46"/>
      <c r="BQ477" s="46"/>
      <c r="BT477" s="164"/>
      <c r="BU477" s="164"/>
      <c r="BV477" s="164"/>
    </row>
    <row r="478" spans="2:74" ht="15.75" customHeight="1">
      <c r="B478" s="46"/>
      <c r="BJ478" s="46"/>
      <c r="BQ478" s="46"/>
      <c r="BT478" s="164"/>
      <c r="BU478" s="164"/>
      <c r="BV478" s="164"/>
    </row>
    <row r="479" spans="2:74" ht="15.75" customHeight="1">
      <c r="B479" s="46"/>
      <c r="BJ479" s="46"/>
      <c r="BQ479" s="46"/>
      <c r="BT479" s="164"/>
      <c r="BU479" s="164"/>
      <c r="BV479" s="164"/>
    </row>
    <row r="480" spans="2:74" ht="15.75" customHeight="1">
      <c r="B480" s="46"/>
      <c r="BJ480" s="46"/>
      <c r="BQ480" s="46"/>
      <c r="BT480" s="164"/>
      <c r="BU480" s="164"/>
      <c r="BV480" s="164"/>
    </row>
    <row r="481" spans="2:74" ht="15.75" customHeight="1">
      <c r="B481" s="46"/>
      <c r="BJ481" s="46"/>
      <c r="BQ481" s="46"/>
      <c r="BT481" s="164"/>
      <c r="BU481" s="164"/>
      <c r="BV481" s="164"/>
    </row>
    <row r="482" spans="2:74" ht="15.75" customHeight="1">
      <c r="B482" s="46"/>
      <c r="BJ482" s="46"/>
      <c r="BQ482" s="46"/>
      <c r="BT482" s="164"/>
      <c r="BU482" s="164"/>
      <c r="BV482" s="164"/>
    </row>
    <row r="483" spans="2:74" ht="15.75" customHeight="1">
      <c r="B483" s="46"/>
      <c r="BJ483" s="46"/>
      <c r="BQ483" s="46"/>
      <c r="BT483" s="164"/>
      <c r="BU483" s="164"/>
      <c r="BV483" s="164"/>
    </row>
    <row r="484" spans="2:74" ht="15.75" customHeight="1">
      <c r="B484" s="46"/>
      <c r="BJ484" s="46"/>
      <c r="BQ484" s="46"/>
      <c r="BT484" s="164"/>
      <c r="BU484" s="164"/>
      <c r="BV484" s="164"/>
    </row>
    <row r="485" spans="2:74" ht="15.75" customHeight="1">
      <c r="B485" s="46"/>
      <c r="BJ485" s="46"/>
      <c r="BQ485" s="46"/>
      <c r="BT485" s="164"/>
      <c r="BU485" s="164"/>
      <c r="BV485" s="164"/>
    </row>
    <row r="486" spans="2:74" ht="15.75" customHeight="1">
      <c r="B486" s="46"/>
      <c r="BJ486" s="46"/>
      <c r="BQ486" s="46"/>
      <c r="BT486" s="164"/>
      <c r="BU486" s="164"/>
      <c r="BV486" s="164"/>
    </row>
    <row r="487" spans="2:74" ht="15.75" customHeight="1">
      <c r="B487" s="46"/>
      <c r="BJ487" s="46"/>
      <c r="BQ487" s="46"/>
      <c r="BT487" s="164"/>
      <c r="BU487" s="164"/>
      <c r="BV487" s="164"/>
    </row>
    <row r="488" spans="2:74" ht="15.75" customHeight="1">
      <c r="B488" s="46"/>
      <c r="BJ488" s="46"/>
      <c r="BQ488" s="46"/>
      <c r="BT488" s="164"/>
      <c r="BU488" s="164"/>
      <c r="BV488" s="164"/>
    </row>
    <row r="489" spans="2:74" ht="15.75" customHeight="1">
      <c r="B489" s="46"/>
      <c r="BJ489" s="46"/>
      <c r="BQ489" s="46"/>
      <c r="BT489" s="164"/>
      <c r="BU489" s="164"/>
      <c r="BV489" s="164"/>
    </row>
    <row r="490" spans="2:74" ht="15.75" customHeight="1">
      <c r="B490" s="46"/>
      <c r="BJ490" s="46"/>
      <c r="BQ490" s="46"/>
      <c r="BT490" s="164"/>
      <c r="BU490" s="164"/>
      <c r="BV490" s="164"/>
    </row>
    <row r="491" spans="2:74" ht="15.75" customHeight="1">
      <c r="B491" s="46"/>
      <c r="BJ491" s="46"/>
      <c r="BQ491" s="46"/>
      <c r="BT491" s="164"/>
      <c r="BU491" s="164"/>
      <c r="BV491" s="164"/>
    </row>
    <row r="492" spans="2:74" ht="15.75" customHeight="1">
      <c r="B492" s="46"/>
      <c r="BJ492" s="46"/>
      <c r="BQ492" s="46"/>
      <c r="BT492" s="164"/>
      <c r="BU492" s="164"/>
      <c r="BV492" s="164"/>
    </row>
    <row r="493" spans="2:74" ht="15.75" customHeight="1">
      <c r="B493" s="46"/>
      <c r="BJ493" s="46"/>
      <c r="BQ493" s="46"/>
      <c r="BT493" s="164"/>
      <c r="BU493" s="164"/>
      <c r="BV493" s="164"/>
    </row>
    <row r="494" spans="2:74" ht="15.75" customHeight="1">
      <c r="B494" s="46"/>
      <c r="BJ494" s="46"/>
      <c r="BQ494" s="46"/>
      <c r="BT494" s="164"/>
      <c r="BU494" s="164"/>
      <c r="BV494" s="164"/>
    </row>
    <row r="495" spans="2:74" ht="15.75" customHeight="1">
      <c r="B495" s="46"/>
      <c r="BJ495" s="46"/>
      <c r="BQ495" s="46"/>
      <c r="BT495" s="164"/>
      <c r="BU495" s="164"/>
      <c r="BV495" s="164"/>
    </row>
    <row r="496" spans="2:74" ht="15.75" customHeight="1">
      <c r="B496" s="46"/>
      <c r="BJ496" s="46"/>
      <c r="BQ496" s="46"/>
      <c r="BT496" s="164"/>
      <c r="BU496" s="164"/>
      <c r="BV496" s="164"/>
    </row>
    <row r="497" spans="2:74" ht="15.75" customHeight="1">
      <c r="B497" s="46"/>
      <c r="BJ497" s="46"/>
      <c r="BQ497" s="46"/>
      <c r="BT497" s="164"/>
      <c r="BU497" s="164"/>
      <c r="BV497" s="164"/>
    </row>
    <row r="498" spans="2:74" ht="15.75" customHeight="1">
      <c r="B498" s="46"/>
      <c r="BJ498" s="46"/>
      <c r="BQ498" s="46"/>
      <c r="BT498" s="164"/>
      <c r="BU498" s="164"/>
      <c r="BV498" s="164"/>
    </row>
    <row r="499" spans="2:74" ht="15.75" customHeight="1">
      <c r="B499" s="46"/>
      <c r="BJ499" s="46"/>
      <c r="BQ499" s="46"/>
      <c r="BT499" s="164"/>
      <c r="BU499" s="164"/>
      <c r="BV499" s="164"/>
    </row>
    <row r="500" spans="2:74" ht="15.75" customHeight="1">
      <c r="B500" s="46"/>
      <c r="BJ500" s="46"/>
      <c r="BQ500" s="46"/>
      <c r="BT500" s="164"/>
      <c r="BU500" s="164"/>
      <c r="BV500" s="164"/>
    </row>
    <row r="501" spans="2:74" ht="15.75" customHeight="1">
      <c r="B501" s="46"/>
      <c r="BJ501" s="46"/>
      <c r="BQ501" s="46"/>
      <c r="BT501" s="164"/>
      <c r="BU501" s="164"/>
      <c r="BV501" s="164"/>
    </row>
    <row r="502" spans="2:74" ht="15.75" customHeight="1">
      <c r="B502" s="46"/>
      <c r="BJ502" s="46"/>
      <c r="BQ502" s="46"/>
      <c r="BT502" s="164"/>
      <c r="BU502" s="164"/>
      <c r="BV502" s="164"/>
    </row>
    <row r="503" spans="2:74" ht="15.75" customHeight="1">
      <c r="B503" s="46"/>
      <c r="BJ503" s="46"/>
      <c r="BQ503" s="46"/>
      <c r="BT503" s="164"/>
      <c r="BU503" s="164"/>
      <c r="BV503" s="164"/>
    </row>
    <row r="504" spans="2:74" ht="15.75" customHeight="1">
      <c r="B504" s="46"/>
      <c r="BJ504" s="46"/>
      <c r="BQ504" s="46"/>
      <c r="BT504" s="164"/>
      <c r="BU504" s="164"/>
      <c r="BV504" s="164"/>
    </row>
    <row r="505" spans="2:74" ht="15.75" customHeight="1">
      <c r="B505" s="46"/>
      <c r="BJ505" s="46"/>
      <c r="BQ505" s="46"/>
      <c r="BT505" s="164"/>
      <c r="BU505" s="164"/>
      <c r="BV505" s="164"/>
    </row>
    <row r="506" spans="2:74" ht="15.75" customHeight="1">
      <c r="B506" s="46"/>
      <c r="BJ506" s="46"/>
      <c r="BQ506" s="46"/>
      <c r="BT506" s="164"/>
      <c r="BU506" s="164"/>
      <c r="BV506" s="164"/>
    </row>
    <row r="507" spans="2:74" ht="15.75" customHeight="1">
      <c r="B507" s="46"/>
      <c r="BJ507" s="46"/>
      <c r="BQ507" s="46"/>
      <c r="BT507" s="164"/>
      <c r="BU507" s="164"/>
      <c r="BV507" s="164"/>
    </row>
    <row r="508" spans="2:74" ht="15.75" customHeight="1">
      <c r="B508" s="46"/>
      <c r="BJ508" s="46"/>
      <c r="BQ508" s="46"/>
      <c r="BT508" s="164"/>
      <c r="BU508" s="164"/>
      <c r="BV508" s="164"/>
    </row>
    <row r="509" spans="2:74" ht="15.75" customHeight="1">
      <c r="B509" s="46"/>
      <c r="BJ509" s="46"/>
      <c r="BQ509" s="46"/>
      <c r="BT509" s="164"/>
      <c r="BU509" s="164"/>
      <c r="BV509" s="164"/>
    </row>
    <row r="510" spans="2:74" ht="15.75" customHeight="1">
      <c r="B510" s="46"/>
      <c r="BJ510" s="46"/>
      <c r="BQ510" s="46"/>
      <c r="BT510" s="164"/>
      <c r="BU510" s="164"/>
      <c r="BV510" s="164"/>
    </row>
    <row r="511" spans="2:74" ht="15.75" customHeight="1">
      <c r="B511" s="46"/>
      <c r="BJ511" s="46"/>
      <c r="BQ511" s="46"/>
      <c r="BT511" s="164"/>
      <c r="BU511" s="164"/>
      <c r="BV511" s="164"/>
    </row>
    <row r="512" spans="2:74" ht="15.75" customHeight="1">
      <c r="B512" s="46"/>
      <c r="BJ512" s="46"/>
      <c r="BQ512" s="46"/>
      <c r="BT512" s="164"/>
      <c r="BU512" s="164"/>
      <c r="BV512" s="164"/>
    </row>
    <row r="513" spans="2:74" ht="15.75" customHeight="1">
      <c r="B513" s="46"/>
      <c r="BJ513" s="46"/>
      <c r="BQ513" s="46"/>
      <c r="BT513" s="164"/>
      <c r="BU513" s="164"/>
      <c r="BV513" s="164"/>
    </row>
    <row r="514" spans="2:74" ht="15.75" customHeight="1">
      <c r="B514" s="46"/>
      <c r="BJ514" s="46"/>
      <c r="BQ514" s="46"/>
      <c r="BT514" s="164"/>
      <c r="BU514" s="164"/>
      <c r="BV514" s="164"/>
    </row>
    <row r="515" spans="2:74" ht="15.75" customHeight="1">
      <c r="B515" s="46"/>
      <c r="BJ515" s="46"/>
      <c r="BQ515" s="46"/>
      <c r="BT515" s="164"/>
      <c r="BU515" s="164"/>
      <c r="BV515" s="164"/>
    </row>
    <row r="516" spans="2:74" ht="15.75" customHeight="1">
      <c r="B516" s="46"/>
      <c r="BJ516" s="46"/>
      <c r="BQ516" s="46"/>
      <c r="BT516" s="164"/>
      <c r="BU516" s="164"/>
      <c r="BV516" s="164"/>
    </row>
    <row r="517" spans="2:74" ht="15.75" customHeight="1">
      <c r="B517" s="46"/>
      <c r="BJ517" s="46"/>
      <c r="BQ517" s="46"/>
      <c r="BT517" s="164"/>
      <c r="BU517" s="164"/>
      <c r="BV517" s="164"/>
    </row>
    <row r="518" spans="2:74" ht="15.75" customHeight="1">
      <c r="B518" s="46"/>
      <c r="BJ518" s="46"/>
      <c r="BQ518" s="46"/>
      <c r="BT518" s="164"/>
      <c r="BU518" s="164"/>
      <c r="BV518" s="164"/>
    </row>
    <row r="519" spans="2:74" ht="15.75" customHeight="1">
      <c r="B519" s="46"/>
      <c r="BJ519" s="46"/>
      <c r="BQ519" s="46"/>
      <c r="BT519" s="164"/>
      <c r="BU519" s="164"/>
      <c r="BV519" s="164"/>
    </row>
    <row r="520" spans="2:74" ht="15.75" customHeight="1">
      <c r="B520" s="46"/>
      <c r="BJ520" s="46"/>
      <c r="BQ520" s="46"/>
      <c r="BT520" s="164"/>
      <c r="BU520" s="164"/>
      <c r="BV520" s="164"/>
    </row>
    <row r="521" spans="2:74" ht="15.75" customHeight="1">
      <c r="B521" s="46"/>
      <c r="BJ521" s="46"/>
      <c r="BQ521" s="46"/>
      <c r="BT521" s="164"/>
      <c r="BU521" s="164"/>
      <c r="BV521" s="164"/>
    </row>
    <row r="522" spans="2:74" ht="15.75" customHeight="1">
      <c r="B522" s="46"/>
      <c r="BJ522" s="46"/>
      <c r="BQ522" s="46"/>
      <c r="BT522" s="164"/>
      <c r="BU522" s="164"/>
      <c r="BV522" s="164"/>
    </row>
    <row r="523" spans="2:74" ht="15.75" customHeight="1">
      <c r="B523" s="46"/>
      <c r="BJ523" s="46"/>
      <c r="BQ523" s="46"/>
      <c r="BT523" s="164"/>
      <c r="BU523" s="164"/>
      <c r="BV523" s="164"/>
    </row>
    <row r="524" spans="2:74" ht="15.75" customHeight="1">
      <c r="B524" s="46"/>
      <c r="BJ524" s="46"/>
      <c r="BQ524" s="46"/>
      <c r="BT524" s="164"/>
      <c r="BU524" s="164"/>
      <c r="BV524" s="164"/>
    </row>
    <row r="525" spans="2:74" ht="15.75" customHeight="1">
      <c r="B525" s="46"/>
      <c r="BJ525" s="46"/>
      <c r="BQ525" s="46"/>
      <c r="BT525" s="164"/>
      <c r="BU525" s="164"/>
      <c r="BV525" s="164"/>
    </row>
    <row r="526" spans="2:74" ht="15.75" customHeight="1">
      <c r="B526" s="46"/>
      <c r="BJ526" s="46"/>
      <c r="BQ526" s="46"/>
      <c r="BT526" s="164"/>
      <c r="BU526" s="164"/>
      <c r="BV526" s="164"/>
    </row>
    <row r="527" spans="2:74" ht="15.75" customHeight="1">
      <c r="B527" s="46"/>
      <c r="BJ527" s="46"/>
      <c r="BQ527" s="46"/>
      <c r="BT527" s="164"/>
      <c r="BU527" s="164"/>
      <c r="BV527" s="164"/>
    </row>
    <row r="528" spans="2:74" ht="15.75" customHeight="1">
      <c r="B528" s="46"/>
      <c r="BJ528" s="46"/>
      <c r="BQ528" s="46"/>
      <c r="BT528" s="164"/>
      <c r="BU528" s="164"/>
      <c r="BV528" s="164"/>
    </row>
    <row r="529" spans="2:74" ht="15.75" customHeight="1">
      <c r="B529" s="46"/>
      <c r="BJ529" s="46"/>
      <c r="BQ529" s="46"/>
      <c r="BT529" s="164"/>
      <c r="BU529" s="164"/>
      <c r="BV529" s="164"/>
    </row>
    <row r="530" spans="2:74" ht="15.75" customHeight="1">
      <c r="B530" s="46"/>
      <c r="BJ530" s="46"/>
      <c r="BQ530" s="46"/>
      <c r="BT530" s="164"/>
      <c r="BU530" s="164"/>
      <c r="BV530" s="164"/>
    </row>
    <row r="531" spans="2:74" ht="15.75" customHeight="1">
      <c r="B531" s="46"/>
      <c r="BJ531" s="46"/>
      <c r="BQ531" s="46"/>
      <c r="BT531" s="164"/>
      <c r="BU531" s="164"/>
      <c r="BV531" s="164"/>
    </row>
    <row r="532" spans="2:74" ht="15.75" customHeight="1">
      <c r="B532" s="46"/>
      <c r="BJ532" s="46"/>
      <c r="BQ532" s="46"/>
      <c r="BT532" s="164"/>
      <c r="BU532" s="164"/>
      <c r="BV532" s="164"/>
    </row>
    <row r="533" spans="2:74" ht="15.75" customHeight="1">
      <c r="B533" s="46"/>
      <c r="BJ533" s="46"/>
      <c r="BQ533" s="46"/>
      <c r="BT533" s="164"/>
      <c r="BU533" s="164"/>
      <c r="BV533" s="164"/>
    </row>
    <row r="534" spans="2:74" ht="15.75" customHeight="1">
      <c r="B534" s="46"/>
      <c r="BJ534" s="46"/>
      <c r="BQ534" s="46"/>
      <c r="BT534" s="164"/>
      <c r="BU534" s="164"/>
      <c r="BV534" s="164"/>
    </row>
    <row r="535" spans="2:74" ht="15.75" customHeight="1">
      <c r="B535" s="46"/>
      <c r="BJ535" s="46"/>
      <c r="BQ535" s="46"/>
      <c r="BT535" s="164"/>
      <c r="BU535" s="164"/>
      <c r="BV535" s="164"/>
    </row>
    <row r="536" spans="2:74" ht="15.75" customHeight="1">
      <c r="B536" s="46"/>
      <c r="BJ536" s="46"/>
      <c r="BQ536" s="46"/>
      <c r="BT536" s="164"/>
      <c r="BU536" s="164"/>
      <c r="BV536" s="164"/>
    </row>
    <row r="537" spans="2:74" ht="15.75" customHeight="1">
      <c r="B537" s="46"/>
      <c r="BJ537" s="46"/>
      <c r="BQ537" s="46"/>
      <c r="BT537" s="164"/>
      <c r="BU537" s="164"/>
      <c r="BV537" s="164"/>
    </row>
    <row r="538" spans="2:74" ht="15.75" customHeight="1">
      <c r="B538" s="46"/>
      <c r="BJ538" s="46"/>
      <c r="BQ538" s="46"/>
      <c r="BT538" s="164"/>
      <c r="BU538" s="164"/>
      <c r="BV538" s="164"/>
    </row>
    <row r="539" spans="2:74" ht="15.75" customHeight="1">
      <c r="B539" s="46"/>
      <c r="BJ539" s="46"/>
      <c r="BQ539" s="46"/>
      <c r="BT539" s="164"/>
      <c r="BU539" s="164"/>
      <c r="BV539" s="164"/>
    </row>
    <row r="540" spans="2:74" ht="15.75" customHeight="1">
      <c r="B540" s="46"/>
      <c r="BJ540" s="46"/>
      <c r="BQ540" s="46"/>
      <c r="BT540" s="164"/>
      <c r="BU540" s="164"/>
      <c r="BV540" s="164"/>
    </row>
    <row r="541" spans="2:74" ht="15.75" customHeight="1">
      <c r="B541" s="46"/>
      <c r="BJ541" s="46"/>
      <c r="BQ541" s="46"/>
      <c r="BT541" s="164"/>
      <c r="BU541" s="164"/>
      <c r="BV541" s="164"/>
    </row>
    <row r="542" spans="2:74" ht="15.75" customHeight="1">
      <c r="B542" s="46"/>
      <c r="BJ542" s="46"/>
      <c r="BQ542" s="46"/>
      <c r="BT542" s="164"/>
      <c r="BU542" s="164"/>
      <c r="BV542" s="164"/>
    </row>
    <row r="543" spans="2:74" ht="15.75" customHeight="1">
      <c r="B543" s="46"/>
      <c r="BJ543" s="46"/>
      <c r="BQ543" s="46"/>
      <c r="BT543" s="164"/>
      <c r="BU543" s="164"/>
      <c r="BV543" s="164"/>
    </row>
    <row r="544" spans="2:74" ht="15.75" customHeight="1">
      <c r="B544" s="46"/>
      <c r="BJ544" s="46"/>
      <c r="BQ544" s="46"/>
      <c r="BT544" s="164"/>
      <c r="BU544" s="164"/>
      <c r="BV544" s="164"/>
    </row>
    <row r="545" spans="2:74" ht="15.75" customHeight="1">
      <c r="B545" s="46"/>
      <c r="BJ545" s="46"/>
      <c r="BQ545" s="46"/>
      <c r="BT545" s="164"/>
      <c r="BU545" s="164"/>
      <c r="BV545" s="164"/>
    </row>
    <row r="546" spans="2:74" ht="15.75" customHeight="1">
      <c r="B546" s="46"/>
      <c r="BJ546" s="46"/>
      <c r="BQ546" s="46"/>
      <c r="BT546" s="164"/>
      <c r="BU546" s="164"/>
      <c r="BV546" s="164"/>
    </row>
    <row r="547" spans="2:74" ht="15.75" customHeight="1">
      <c r="B547" s="46"/>
      <c r="BJ547" s="46"/>
      <c r="BQ547" s="46"/>
      <c r="BT547" s="164"/>
      <c r="BU547" s="164"/>
      <c r="BV547" s="164"/>
    </row>
    <row r="548" spans="2:74" ht="15.75" customHeight="1">
      <c r="B548" s="46"/>
      <c r="BJ548" s="46"/>
      <c r="BQ548" s="46"/>
      <c r="BT548" s="164"/>
      <c r="BU548" s="164"/>
      <c r="BV548" s="164"/>
    </row>
    <row r="549" spans="2:74" ht="15.75" customHeight="1">
      <c r="B549" s="46"/>
      <c r="BJ549" s="46"/>
      <c r="BQ549" s="46"/>
      <c r="BT549" s="164"/>
      <c r="BU549" s="164"/>
      <c r="BV549" s="164"/>
    </row>
    <row r="550" spans="2:74" ht="15.75" customHeight="1">
      <c r="B550" s="46"/>
      <c r="BJ550" s="46"/>
      <c r="BQ550" s="46"/>
      <c r="BT550" s="164"/>
      <c r="BU550" s="164"/>
      <c r="BV550" s="164"/>
    </row>
    <row r="551" spans="2:74" ht="15.75" customHeight="1">
      <c r="B551" s="46"/>
      <c r="BJ551" s="46"/>
      <c r="BQ551" s="46"/>
      <c r="BT551" s="164"/>
      <c r="BU551" s="164"/>
      <c r="BV551" s="164"/>
    </row>
    <row r="552" spans="2:74" ht="15.75" customHeight="1">
      <c r="B552" s="46"/>
      <c r="BJ552" s="46"/>
      <c r="BQ552" s="46"/>
      <c r="BT552" s="164"/>
      <c r="BU552" s="164"/>
      <c r="BV552" s="164"/>
    </row>
    <row r="553" spans="2:74" ht="15.75" customHeight="1">
      <c r="B553" s="46"/>
      <c r="BJ553" s="46"/>
      <c r="BQ553" s="46"/>
      <c r="BT553" s="164"/>
      <c r="BU553" s="164"/>
      <c r="BV553" s="164"/>
    </row>
    <row r="554" spans="2:74" ht="15.75" customHeight="1">
      <c r="B554" s="46"/>
      <c r="BJ554" s="46"/>
      <c r="BQ554" s="46"/>
      <c r="BT554" s="164"/>
      <c r="BU554" s="164"/>
      <c r="BV554" s="164"/>
    </row>
    <row r="555" spans="2:74" ht="15.75" customHeight="1">
      <c r="B555" s="46"/>
      <c r="BJ555" s="46"/>
      <c r="BQ555" s="46"/>
      <c r="BT555" s="164"/>
      <c r="BU555" s="164"/>
      <c r="BV555" s="164"/>
    </row>
    <row r="556" spans="2:74" ht="15.75" customHeight="1">
      <c r="B556" s="46"/>
      <c r="BJ556" s="46"/>
      <c r="BQ556" s="46"/>
      <c r="BT556" s="164"/>
      <c r="BU556" s="164"/>
      <c r="BV556" s="164"/>
    </row>
    <row r="557" spans="2:74" ht="15.75" customHeight="1">
      <c r="B557" s="46"/>
      <c r="BJ557" s="46"/>
      <c r="BQ557" s="46"/>
      <c r="BT557" s="164"/>
      <c r="BU557" s="164"/>
      <c r="BV557" s="164"/>
    </row>
    <row r="558" spans="2:74" ht="15.75" customHeight="1">
      <c r="B558" s="46"/>
      <c r="BJ558" s="46"/>
      <c r="BQ558" s="46"/>
      <c r="BT558" s="164"/>
      <c r="BU558" s="164"/>
      <c r="BV558" s="164"/>
    </row>
    <row r="559" spans="2:74" ht="15.75" customHeight="1">
      <c r="B559" s="46"/>
      <c r="BJ559" s="46"/>
      <c r="BQ559" s="46"/>
      <c r="BT559" s="164"/>
      <c r="BU559" s="164"/>
      <c r="BV559" s="164"/>
    </row>
    <row r="560" spans="2:74" ht="15.75" customHeight="1">
      <c r="B560" s="46"/>
      <c r="BJ560" s="46"/>
      <c r="BQ560" s="46"/>
      <c r="BT560" s="164"/>
      <c r="BU560" s="164"/>
      <c r="BV560" s="164"/>
    </row>
    <row r="561" spans="2:74" ht="15.75" customHeight="1">
      <c r="B561" s="46"/>
      <c r="BJ561" s="46"/>
      <c r="BQ561" s="46"/>
      <c r="BT561" s="164"/>
      <c r="BU561" s="164"/>
      <c r="BV561" s="164"/>
    </row>
    <row r="562" spans="2:74" ht="15.75" customHeight="1">
      <c r="B562" s="46"/>
      <c r="BJ562" s="46"/>
      <c r="BQ562" s="46"/>
      <c r="BT562" s="164"/>
      <c r="BU562" s="164"/>
      <c r="BV562" s="164"/>
    </row>
    <row r="563" spans="2:74" ht="15.75" customHeight="1">
      <c r="B563" s="46"/>
      <c r="BJ563" s="46"/>
      <c r="BQ563" s="46"/>
      <c r="BT563" s="164"/>
      <c r="BU563" s="164"/>
      <c r="BV563" s="164"/>
    </row>
    <row r="564" spans="2:74" ht="15.75" customHeight="1">
      <c r="B564" s="46"/>
      <c r="BJ564" s="46"/>
      <c r="BQ564" s="46"/>
      <c r="BT564" s="164"/>
      <c r="BU564" s="164"/>
      <c r="BV564" s="164"/>
    </row>
    <row r="565" spans="2:74" ht="15.75" customHeight="1">
      <c r="B565" s="46"/>
      <c r="BJ565" s="46"/>
      <c r="BQ565" s="46"/>
      <c r="BT565" s="164"/>
      <c r="BU565" s="164"/>
      <c r="BV565" s="164"/>
    </row>
    <row r="566" spans="2:74" ht="15.75" customHeight="1">
      <c r="B566" s="46"/>
      <c r="BJ566" s="46"/>
      <c r="BQ566" s="46"/>
      <c r="BT566" s="164"/>
      <c r="BU566" s="164"/>
      <c r="BV566" s="164"/>
    </row>
    <row r="567" spans="2:74" ht="15.75" customHeight="1">
      <c r="B567" s="46"/>
      <c r="BJ567" s="46"/>
      <c r="BQ567" s="46"/>
      <c r="BT567" s="164"/>
      <c r="BU567" s="164"/>
      <c r="BV567" s="164"/>
    </row>
    <row r="568" spans="2:74" ht="15.75" customHeight="1">
      <c r="B568" s="46"/>
      <c r="BJ568" s="46"/>
      <c r="BQ568" s="46"/>
      <c r="BT568" s="164"/>
      <c r="BU568" s="164"/>
      <c r="BV568" s="164"/>
    </row>
    <row r="569" spans="2:74" ht="15.75" customHeight="1">
      <c r="B569" s="46"/>
      <c r="BJ569" s="46"/>
      <c r="BQ569" s="46"/>
      <c r="BT569" s="164"/>
      <c r="BU569" s="164"/>
      <c r="BV569" s="164"/>
    </row>
    <row r="570" spans="2:74" ht="15.75" customHeight="1">
      <c r="B570" s="46"/>
      <c r="BJ570" s="46"/>
      <c r="BQ570" s="46"/>
      <c r="BT570" s="164"/>
      <c r="BU570" s="164"/>
      <c r="BV570" s="164"/>
    </row>
    <row r="571" spans="2:74" ht="15.75" customHeight="1">
      <c r="B571" s="46"/>
      <c r="BJ571" s="46"/>
      <c r="BQ571" s="46"/>
      <c r="BT571" s="164"/>
      <c r="BU571" s="164"/>
      <c r="BV571" s="164"/>
    </row>
    <row r="572" spans="2:74" ht="15.75" customHeight="1">
      <c r="B572" s="46"/>
      <c r="BJ572" s="46"/>
      <c r="BQ572" s="46"/>
      <c r="BT572" s="164"/>
      <c r="BU572" s="164"/>
      <c r="BV572" s="164"/>
    </row>
    <row r="573" spans="2:74" ht="15.75" customHeight="1">
      <c r="B573" s="46"/>
      <c r="BJ573" s="46"/>
      <c r="BQ573" s="46"/>
      <c r="BT573" s="164"/>
      <c r="BU573" s="164"/>
      <c r="BV573" s="164"/>
    </row>
    <row r="574" spans="2:74" ht="15.75" customHeight="1">
      <c r="B574" s="46"/>
      <c r="BJ574" s="46"/>
      <c r="BQ574" s="46"/>
      <c r="BT574" s="164"/>
      <c r="BU574" s="164"/>
      <c r="BV574" s="164"/>
    </row>
    <row r="575" spans="2:74" ht="15.75" customHeight="1">
      <c r="B575" s="46"/>
      <c r="BJ575" s="46"/>
      <c r="BQ575" s="46"/>
      <c r="BT575" s="164"/>
      <c r="BU575" s="164"/>
      <c r="BV575" s="164"/>
    </row>
    <row r="576" spans="2:74" ht="15.75" customHeight="1">
      <c r="B576" s="46"/>
      <c r="BJ576" s="46"/>
      <c r="BQ576" s="46"/>
      <c r="BT576" s="164"/>
      <c r="BU576" s="164"/>
      <c r="BV576" s="164"/>
    </row>
    <row r="577" spans="2:74" ht="15.75" customHeight="1">
      <c r="B577" s="46"/>
      <c r="BJ577" s="46"/>
      <c r="BQ577" s="46"/>
      <c r="BT577" s="164"/>
      <c r="BU577" s="164"/>
      <c r="BV577" s="164"/>
    </row>
    <row r="578" spans="2:74" ht="15.75" customHeight="1">
      <c r="B578" s="46"/>
      <c r="BJ578" s="46"/>
      <c r="BQ578" s="46"/>
      <c r="BT578" s="164"/>
      <c r="BU578" s="164"/>
      <c r="BV578" s="164"/>
    </row>
    <row r="579" spans="2:74" ht="15.75" customHeight="1">
      <c r="B579" s="46"/>
      <c r="BJ579" s="46"/>
      <c r="BQ579" s="46"/>
      <c r="BT579" s="164"/>
      <c r="BU579" s="164"/>
      <c r="BV579" s="164"/>
    </row>
    <row r="580" spans="2:74" ht="15.75" customHeight="1">
      <c r="B580" s="46"/>
      <c r="BJ580" s="46"/>
      <c r="BQ580" s="46"/>
      <c r="BT580" s="164"/>
      <c r="BU580" s="164"/>
      <c r="BV580" s="164"/>
    </row>
    <row r="581" spans="2:74" ht="15.75" customHeight="1">
      <c r="B581" s="46"/>
      <c r="BJ581" s="46"/>
      <c r="BQ581" s="46"/>
      <c r="BT581" s="164"/>
      <c r="BU581" s="164"/>
      <c r="BV581" s="164"/>
    </row>
    <row r="582" spans="2:74" ht="15.75" customHeight="1">
      <c r="B582" s="46"/>
      <c r="BJ582" s="46"/>
      <c r="BQ582" s="46"/>
      <c r="BT582" s="164"/>
      <c r="BU582" s="164"/>
      <c r="BV582" s="164"/>
    </row>
    <row r="583" spans="2:74" ht="15.75" customHeight="1">
      <c r="B583" s="46"/>
      <c r="BJ583" s="46"/>
      <c r="BQ583" s="46"/>
      <c r="BT583" s="164"/>
      <c r="BU583" s="164"/>
      <c r="BV583" s="164"/>
    </row>
    <row r="584" spans="2:74" ht="15.75" customHeight="1">
      <c r="B584" s="46"/>
      <c r="BJ584" s="46"/>
      <c r="BQ584" s="46"/>
      <c r="BT584" s="164"/>
      <c r="BU584" s="164"/>
      <c r="BV584" s="164"/>
    </row>
    <row r="585" spans="2:74" ht="15.75" customHeight="1">
      <c r="B585" s="46"/>
      <c r="BJ585" s="46"/>
      <c r="BQ585" s="46"/>
      <c r="BT585" s="164"/>
      <c r="BU585" s="164"/>
      <c r="BV585" s="164"/>
    </row>
    <row r="586" spans="2:74" ht="15.75" customHeight="1">
      <c r="B586" s="46"/>
      <c r="BJ586" s="46"/>
      <c r="BQ586" s="46"/>
      <c r="BT586" s="164"/>
      <c r="BU586" s="164"/>
      <c r="BV586" s="164"/>
    </row>
    <row r="587" spans="2:74" ht="15.75" customHeight="1">
      <c r="B587" s="46"/>
      <c r="BJ587" s="46"/>
      <c r="BQ587" s="46"/>
      <c r="BT587" s="164"/>
      <c r="BU587" s="164"/>
      <c r="BV587" s="164"/>
    </row>
    <row r="588" spans="2:74" ht="15.75" customHeight="1">
      <c r="B588" s="46"/>
      <c r="BJ588" s="46"/>
      <c r="BQ588" s="46"/>
      <c r="BT588" s="164"/>
      <c r="BU588" s="164"/>
      <c r="BV588" s="164"/>
    </row>
    <row r="589" spans="2:74" ht="15.75" customHeight="1">
      <c r="B589" s="46"/>
      <c r="BJ589" s="46"/>
      <c r="BQ589" s="46"/>
      <c r="BT589" s="164"/>
      <c r="BU589" s="164"/>
      <c r="BV589" s="164"/>
    </row>
    <row r="590" spans="2:74" ht="15.75" customHeight="1">
      <c r="B590" s="46"/>
      <c r="BJ590" s="46"/>
      <c r="BQ590" s="46"/>
      <c r="BT590" s="164"/>
      <c r="BU590" s="164"/>
      <c r="BV590" s="164"/>
    </row>
    <row r="591" spans="2:74" ht="15.75" customHeight="1">
      <c r="B591" s="46"/>
      <c r="BJ591" s="46"/>
      <c r="BQ591" s="46"/>
      <c r="BT591" s="164"/>
      <c r="BU591" s="164"/>
      <c r="BV591" s="164"/>
    </row>
    <row r="592" spans="2:74" ht="15.75" customHeight="1">
      <c r="B592" s="46"/>
      <c r="BJ592" s="46"/>
      <c r="BQ592" s="46"/>
      <c r="BT592" s="164"/>
      <c r="BU592" s="164"/>
      <c r="BV592" s="164"/>
    </row>
    <row r="593" spans="2:74" ht="15.75" customHeight="1">
      <c r="B593" s="46"/>
      <c r="BJ593" s="46"/>
      <c r="BQ593" s="46"/>
      <c r="BT593" s="164"/>
      <c r="BU593" s="164"/>
      <c r="BV593" s="164"/>
    </row>
    <row r="594" spans="2:74" ht="15.75" customHeight="1">
      <c r="B594" s="46"/>
      <c r="BJ594" s="46"/>
      <c r="BQ594" s="46"/>
      <c r="BT594" s="164"/>
      <c r="BU594" s="164"/>
      <c r="BV594" s="164"/>
    </row>
    <row r="595" spans="2:74" ht="15.75" customHeight="1">
      <c r="B595" s="46"/>
      <c r="BJ595" s="46"/>
      <c r="BQ595" s="46"/>
      <c r="BT595" s="164"/>
      <c r="BU595" s="164"/>
      <c r="BV595" s="164"/>
    </row>
    <row r="596" spans="2:74" ht="15.75" customHeight="1">
      <c r="B596" s="46"/>
      <c r="BJ596" s="46"/>
      <c r="BQ596" s="46"/>
      <c r="BT596" s="164"/>
      <c r="BU596" s="164"/>
      <c r="BV596" s="164"/>
    </row>
    <row r="597" spans="2:74" ht="15.75" customHeight="1">
      <c r="B597" s="46"/>
      <c r="BJ597" s="46"/>
      <c r="BQ597" s="46"/>
      <c r="BT597" s="164"/>
      <c r="BU597" s="164"/>
      <c r="BV597" s="164"/>
    </row>
    <row r="598" spans="2:74" ht="15.75" customHeight="1">
      <c r="B598" s="46"/>
      <c r="BJ598" s="46"/>
      <c r="BQ598" s="46"/>
      <c r="BT598" s="164"/>
      <c r="BU598" s="164"/>
      <c r="BV598" s="164"/>
    </row>
    <row r="599" spans="2:74" ht="15.75" customHeight="1">
      <c r="B599" s="46"/>
      <c r="BJ599" s="46"/>
      <c r="BQ599" s="46"/>
      <c r="BT599" s="164"/>
      <c r="BU599" s="164"/>
      <c r="BV599" s="164"/>
    </row>
    <row r="600" spans="2:74" ht="15.75" customHeight="1">
      <c r="B600" s="46"/>
      <c r="BJ600" s="46"/>
      <c r="BQ600" s="46"/>
      <c r="BT600" s="164"/>
      <c r="BU600" s="164"/>
      <c r="BV600" s="164"/>
    </row>
    <row r="601" spans="2:74" ht="15.75" customHeight="1">
      <c r="B601" s="46"/>
      <c r="BJ601" s="46"/>
      <c r="BQ601" s="46"/>
      <c r="BT601" s="164"/>
      <c r="BU601" s="164"/>
      <c r="BV601" s="164"/>
    </row>
    <row r="602" spans="2:74" ht="15.75" customHeight="1">
      <c r="B602" s="46"/>
      <c r="BJ602" s="46"/>
      <c r="BQ602" s="46"/>
      <c r="BT602" s="164"/>
      <c r="BU602" s="164"/>
      <c r="BV602" s="164"/>
    </row>
    <row r="603" spans="2:74" ht="15.75" customHeight="1">
      <c r="B603" s="46"/>
      <c r="BJ603" s="46"/>
      <c r="BQ603" s="46"/>
      <c r="BT603" s="164"/>
      <c r="BU603" s="164"/>
      <c r="BV603" s="164"/>
    </row>
    <row r="604" spans="2:74" ht="15.75" customHeight="1">
      <c r="B604" s="46"/>
      <c r="BJ604" s="46"/>
      <c r="BQ604" s="46"/>
      <c r="BT604" s="164"/>
      <c r="BU604" s="164"/>
      <c r="BV604" s="164"/>
    </row>
    <row r="605" spans="2:74" ht="15.75" customHeight="1">
      <c r="B605" s="46"/>
      <c r="BJ605" s="46"/>
      <c r="BQ605" s="46"/>
      <c r="BT605" s="164"/>
      <c r="BU605" s="164"/>
      <c r="BV605" s="164"/>
    </row>
    <row r="606" spans="2:74" ht="15.75" customHeight="1">
      <c r="B606" s="46"/>
      <c r="BJ606" s="46"/>
      <c r="BQ606" s="46"/>
      <c r="BT606" s="164"/>
      <c r="BU606" s="164"/>
      <c r="BV606" s="164"/>
    </row>
    <row r="607" spans="2:74" ht="15.75" customHeight="1">
      <c r="B607" s="46"/>
      <c r="BJ607" s="46"/>
      <c r="BQ607" s="46"/>
      <c r="BT607" s="164"/>
      <c r="BU607" s="164"/>
      <c r="BV607" s="164"/>
    </row>
    <row r="608" spans="2:74" ht="15.75" customHeight="1">
      <c r="B608" s="46"/>
      <c r="BJ608" s="46"/>
      <c r="BQ608" s="46"/>
      <c r="BT608" s="164"/>
      <c r="BU608" s="164"/>
      <c r="BV608" s="164"/>
    </row>
    <row r="609" spans="2:74" ht="15.75" customHeight="1">
      <c r="B609" s="46"/>
      <c r="BJ609" s="46"/>
      <c r="BQ609" s="46"/>
      <c r="BT609" s="164"/>
      <c r="BU609" s="164"/>
      <c r="BV609" s="164"/>
    </row>
    <row r="610" spans="2:74" ht="15.75" customHeight="1">
      <c r="B610" s="46"/>
      <c r="BJ610" s="46"/>
      <c r="BQ610" s="46"/>
      <c r="BT610" s="164"/>
      <c r="BU610" s="164"/>
      <c r="BV610" s="164"/>
    </row>
    <row r="611" spans="2:74" ht="15.75" customHeight="1">
      <c r="B611" s="46"/>
      <c r="BJ611" s="46"/>
      <c r="BQ611" s="46"/>
      <c r="BT611" s="164"/>
      <c r="BU611" s="164"/>
      <c r="BV611" s="164"/>
    </row>
    <row r="612" spans="2:74" ht="15.75" customHeight="1">
      <c r="B612" s="46"/>
      <c r="BJ612" s="46"/>
      <c r="BQ612" s="46"/>
      <c r="BT612" s="164"/>
      <c r="BU612" s="164"/>
      <c r="BV612" s="164"/>
    </row>
    <row r="613" spans="2:74" ht="15.75" customHeight="1">
      <c r="B613" s="46"/>
      <c r="BJ613" s="46"/>
      <c r="BQ613" s="46"/>
      <c r="BT613" s="164"/>
      <c r="BU613" s="164"/>
      <c r="BV613" s="164"/>
    </row>
    <row r="614" spans="2:74" ht="15.75" customHeight="1">
      <c r="B614" s="46"/>
      <c r="BJ614" s="46"/>
      <c r="BQ614" s="46"/>
      <c r="BT614" s="164"/>
      <c r="BU614" s="164"/>
      <c r="BV614" s="164"/>
    </row>
    <row r="615" spans="2:74" ht="15.75" customHeight="1">
      <c r="B615" s="46"/>
      <c r="BJ615" s="46"/>
      <c r="BQ615" s="46"/>
      <c r="BT615" s="164"/>
      <c r="BU615" s="164"/>
      <c r="BV615" s="164"/>
    </row>
    <row r="616" spans="2:74" ht="15.75" customHeight="1">
      <c r="B616" s="46"/>
      <c r="BJ616" s="46"/>
      <c r="BQ616" s="46"/>
      <c r="BT616" s="164"/>
      <c r="BU616" s="164"/>
      <c r="BV616" s="164"/>
    </row>
    <row r="617" spans="2:74" ht="15.75" customHeight="1">
      <c r="B617" s="46"/>
      <c r="BJ617" s="46"/>
      <c r="BQ617" s="46"/>
      <c r="BT617" s="164"/>
      <c r="BU617" s="164"/>
      <c r="BV617" s="164"/>
    </row>
    <row r="618" spans="2:74" ht="15.75" customHeight="1">
      <c r="B618" s="46"/>
      <c r="BJ618" s="46"/>
      <c r="BQ618" s="46"/>
      <c r="BT618" s="164"/>
      <c r="BU618" s="164"/>
      <c r="BV618" s="164"/>
    </row>
    <row r="619" spans="2:74" ht="15.75" customHeight="1">
      <c r="B619" s="46"/>
      <c r="BJ619" s="46"/>
      <c r="BQ619" s="46"/>
      <c r="BT619" s="164"/>
      <c r="BU619" s="164"/>
      <c r="BV619" s="164"/>
    </row>
    <row r="620" spans="2:74" ht="15.75" customHeight="1">
      <c r="B620" s="46"/>
      <c r="BJ620" s="46"/>
      <c r="BQ620" s="46"/>
      <c r="BT620" s="164"/>
      <c r="BU620" s="164"/>
      <c r="BV620" s="164"/>
    </row>
    <row r="621" spans="2:74" ht="15.75" customHeight="1">
      <c r="B621" s="46"/>
      <c r="BJ621" s="46"/>
      <c r="BQ621" s="46"/>
      <c r="BT621" s="164"/>
      <c r="BU621" s="164"/>
      <c r="BV621" s="164"/>
    </row>
    <row r="622" spans="2:74" ht="15.75" customHeight="1">
      <c r="B622" s="46"/>
      <c r="BJ622" s="46"/>
      <c r="BQ622" s="46"/>
      <c r="BT622" s="164"/>
      <c r="BU622" s="164"/>
      <c r="BV622" s="164"/>
    </row>
    <row r="623" spans="2:74" ht="15.75" customHeight="1">
      <c r="B623" s="46"/>
      <c r="BJ623" s="46"/>
      <c r="BQ623" s="46"/>
      <c r="BT623" s="164"/>
      <c r="BU623" s="164"/>
      <c r="BV623" s="164"/>
    </row>
    <row r="624" spans="2:74" ht="15.75" customHeight="1">
      <c r="B624" s="46"/>
      <c r="BJ624" s="46"/>
      <c r="BQ624" s="46"/>
      <c r="BT624" s="164"/>
      <c r="BU624" s="164"/>
      <c r="BV624" s="164"/>
    </row>
    <row r="625" spans="2:74" ht="15.75" customHeight="1">
      <c r="B625" s="46"/>
      <c r="BJ625" s="46"/>
      <c r="BQ625" s="46"/>
      <c r="BT625" s="164"/>
      <c r="BU625" s="164"/>
      <c r="BV625" s="164"/>
    </row>
    <row r="626" spans="2:74" ht="15.75" customHeight="1">
      <c r="B626" s="46"/>
      <c r="BJ626" s="46"/>
      <c r="BQ626" s="46"/>
      <c r="BT626" s="164"/>
      <c r="BU626" s="164"/>
      <c r="BV626" s="164"/>
    </row>
    <row r="627" spans="2:74" ht="15.75" customHeight="1">
      <c r="B627" s="46"/>
      <c r="BJ627" s="46"/>
      <c r="BQ627" s="46"/>
      <c r="BT627" s="164"/>
      <c r="BU627" s="164"/>
      <c r="BV627" s="164"/>
    </row>
    <row r="628" spans="2:74" ht="15.75" customHeight="1">
      <c r="B628" s="46"/>
      <c r="BJ628" s="46"/>
      <c r="BQ628" s="46"/>
      <c r="BT628" s="164"/>
      <c r="BU628" s="164"/>
      <c r="BV628" s="164"/>
    </row>
    <row r="629" spans="2:74" ht="15.75" customHeight="1">
      <c r="B629" s="46"/>
      <c r="BJ629" s="46"/>
      <c r="BQ629" s="46"/>
      <c r="BT629" s="164"/>
      <c r="BU629" s="164"/>
      <c r="BV629" s="164"/>
    </row>
    <row r="630" spans="2:74" ht="15.75" customHeight="1">
      <c r="B630" s="46"/>
      <c r="BJ630" s="46"/>
      <c r="BQ630" s="46"/>
      <c r="BT630" s="164"/>
      <c r="BU630" s="164"/>
      <c r="BV630" s="164"/>
    </row>
    <row r="631" spans="2:74" ht="15.75" customHeight="1">
      <c r="B631" s="46"/>
      <c r="BJ631" s="46"/>
      <c r="BQ631" s="46"/>
      <c r="BT631" s="164"/>
      <c r="BU631" s="164"/>
      <c r="BV631" s="164"/>
    </row>
    <row r="632" spans="2:74" ht="15.75" customHeight="1">
      <c r="B632" s="46"/>
      <c r="BJ632" s="46"/>
      <c r="BQ632" s="46"/>
      <c r="BT632" s="164"/>
      <c r="BU632" s="164"/>
      <c r="BV632" s="164"/>
    </row>
    <row r="633" spans="2:74" ht="15.75" customHeight="1">
      <c r="B633" s="46"/>
      <c r="BJ633" s="46"/>
      <c r="BQ633" s="46"/>
      <c r="BT633" s="164"/>
      <c r="BU633" s="164"/>
      <c r="BV633" s="164"/>
    </row>
    <row r="634" spans="2:74" ht="15.75" customHeight="1">
      <c r="B634" s="46"/>
      <c r="BJ634" s="46"/>
      <c r="BQ634" s="46"/>
      <c r="BT634" s="164"/>
      <c r="BU634" s="164"/>
      <c r="BV634" s="164"/>
    </row>
    <row r="635" spans="2:74" ht="15.75" customHeight="1">
      <c r="B635" s="46"/>
      <c r="BJ635" s="46"/>
      <c r="BQ635" s="46"/>
      <c r="BT635" s="164"/>
      <c r="BU635" s="164"/>
      <c r="BV635" s="164"/>
    </row>
    <row r="636" spans="2:74" ht="15.75" customHeight="1">
      <c r="B636" s="46"/>
      <c r="BJ636" s="46"/>
      <c r="BQ636" s="46"/>
      <c r="BT636" s="164"/>
      <c r="BU636" s="164"/>
      <c r="BV636" s="164"/>
    </row>
    <row r="637" spans="2:74" ht="15.75" customHeight="1">
      <c r="B637" s="46"/>
      <c r="BJ637" s="46"/>
      <c r="BQ637" s="46"/>
      <c r="BT637" s="164"/>
      <c r="BU637" s="164"/>
      <c r="BV637" s="164"/>
    </row>
    <row r="638" spans="2:74" ht="15.75" customHeight="1">
      <c r="B638" s="46"/>
      <c r="BJ638" s="46"/>
      <c r="BQ638" s="46"/>
      <c r="BT638" s="164"/>
      <c r="BU638" s="164"/>
      <c r="BV638" s="164"/>
    </row>
    <row r="639" spans="2:74" ht="15.75" customHeight="1">
      <c r="B639" s="46"/>
      <c r="BJ639" s="46"/>
      <c r="BQ639" s="46"/>
      <c r="BT639" s="164"/>
      <c r="BU639" s="164"/>
      <c r="BV639" s="164"/>
    </row>
    <row r="640" spans="2:74" ht="15.75" customHeight="1">
      <c r="B640" s="46"/>
      <c r="BJ640" s="46"/>
      <c r="BQ640" s="46"/>
      <c r="BT640" s="164"/>
      <c r="BU640" s="164"/>
      <c r="BV640" s="164"/>
    </row>
    <row r="641" spans="2:74" ht="15.75" customHeight="1">
      <c r="B641" s="46"/>
      <c r="BJ641" s="46"/>
      <c r="BQ641" s="46"/>
      <c r="BT641" s="164"/>
      <c r="BU641" s="164"/>
      <c r="BV641" s="164"/>
    </row>
    <row r="642" spans="2:74" ht="15.75" customHeight="1">
      <c r="B642" s="46"/>
      <c r="BJ642" s="46"/>
      <c r="BQ642" s="46"/>
      <c r="BT642" s="164"/>
      <c r="BU642" s="164"/>
      <c r="BV642" s="164"/>
    </row>
    <row r="643" spans="2:74" ht="15.75" customHeight="1">
      <c r="B643" s="46"/>
      <c r="BJ643" s="46"/>
      <c r="BQ643" s="46"/>
      <c r="BT643" s="164"/>
      <c r="BU643" s="164"/>
      <c r="BV643" s="164"/>
    </row>
    <row r="644" spans="2:74" ht="15.75" customHeight="1">
      <c r="B644" s="46"/>
      <c r="BJ644" s="46"/>
      <c r="BQ644" s="46"/>
      <c r="BT644" s="164"/>
      <c r="BU644" s="164"/>
      <c r="BV644" s="164"/>
    </row>
    <row r="645" spans="2:74" ht="15.75" customHeight="1">
      <c r="B645" s="46"/>
      <c r="BJ645" s="46"/>
      <c r="BQ645" s="46"/>
      <c r="BT645" s="164"/>
      <c r="BU645" s="164"/>
      <c r="BV645" s="164"/>
    </row>
    <row r="646" spans="2:74" ht="15.75" customHeight="1">
      <c r="B646" s="46"/>
      <c r="BJ646" s="46"/>
      <c r="BQ646" s="46"/>
      <c r="BT646" s="164"/>
      <c r="BU646" s="164"/>
      <c r="BV646" s="164"/>
    </row>
    <row r="647" spans="2:74" ht="15.75" customHeight="1">
      <c r="B647" s="46"/>
      <c r="BJ647" s="46"/>
      <c r="BQ647" s="46"/>
      <c r="BT647" s="164"/>
      <c r="BU647" s="164"/>
      <c r="BV647" s="164"/>
    </row>
    <row r="648" spans="2:74" ht="15.75" customHeight="1">
      <c r="B648" s="46"/>
      <c r="BJ648" s="46"/>
      <c r="BQ648" s="46"/>
      <c r="BT648" s="164"/>
      <c r="BU648" s="164"/>
      <c r="BV648" s="164"/>
    </row>
    <row r="649" spans="2:74" ht="15.75" customHeight="1">
      <c r="B649" s="46"/>
      <c r="BJ649" s="46"/>
      <c r="BQ649" s="46"/>
      <c r="BT649" s="164"/>
      <c r="BU649" s="164"/>
      <c r="BV649" s="164"/>
    </row>
    <row r="650" spans="2:74" ht="15.75" customHeight="1">
      <c r="B650" s="46"/>
      <c r="BJ650" s="46"/>
      <c r="BQ650" s="46"/>
      <c r="BT650" s="164"/>
      <c r="BU650" s="164"/>
      <c r="BV650" s="164"/>
    </row>
    <row r="651" spans="2:74" ht="15.75" customHeight="1">
      <c r="B651" s="46"/>
      <c r="BJ651" s="46"/>
      <c r="BQ651" s="46"/>
      <c r="BT651" s="164"/>
      <c r="BU651" s="164"/>
      <c r="BV651" s="164"/>
    </row>
    <row r="652" spans="2:74" ht="15.75" customHeight="1">
      <c r="B652" s="46"/>
      <c r="BJ652" s="46"/>
      <c r="BQ652" s="46"/>
      <c r="BT652" s="164"/>
      <c r="BU652" s="164"/>
      <c r="BV652" s="164"/>
    </row>
    <row r="653" spans="2:74" ht="15.75" customHeight="1">
      <c r="B653" s="46"/>
      <c r="BJ653" s="46"/>
      <c r="BQ653" s="46"/>
      <c r="BT653" s="164"/>
      <c r="BU653" s="164"/>
      <c r="BV653" s="164"/>
    </row>
    <row r="654" spans="2:74" ht="15.75" customHeight="1">
      <c r="B654" s="46"/>
      <c r="BJ654" s="46"/>
      <c r="BQ654" s="46"/>
      <c r="BT654" s="164"/>
      <c r="BU654" s="164"/>
      <c r="BV654" s="164"/>
    </row>
    <row r="655" spans="2:74" ht="15.75" customHeight="1">
      <c r="B655" s="46"/>
      <c r="BJ655" s="46"/>
      <c r="BQ655" s="46"/>
      <c r="BT655" s="164"/>
      <c r="BU655" s="164"/>
      <c r="BV655" s="164"/>
    </row>
    <row r="656" spans="2:74" ht="15.75" customHeight="1">
      <c r="B656" s="46"/>
      <c r="BJ656" s="46"/>
      <c r="BQ656" s="46"/>
      <c r="BT656" s="164"/>
      <c r="BU656" s="164"/>
      <c r="BV656" s="164"/>
    </row>
    <row r="657" spans="2:74" ht="15.75" customHeight="1">
      <c r="B657" s="46"/>
      <c r="BJ657" s="46"/>
      <c r="BQ657" s="46"/>
      <c r="BT657" s="164"/>
      <c r="BU657" s="164"/>
      <c r="BV657" s="164"/>
    </row>
    <row r="658" spans="2:74" ht="15.75" customHeight="1">
      <c r="B658" s="46"/>
      <c r="BJ658" s="46"/>
      <c r="BQ658" s="46"/>
      <c r="BT658" s="164"/>
      <c r="BU658" s="164"/>
      <c r="BV658" s="164"/>
    </row>
    <row r="659" spans="2:74" ht="15.75" customHeight="1">
      <c r="B659" s="46"/>
      <c r="BJ659" s="46"/>
      <c r="BQ659" s="46"/>
      <c r="BT659" s="164"/>
      <c r="BU659" s="164"/>
      <c r="BV659" s="164"/>
    </row>
    <row r="660" spans="2:74" ht="15.75" customHeight="1">
      <c r="B660" s="46"/>
      <c r="BJ660" s="46"/>
      <c r="BQ660" s="46"/>
      <c r="BT660" s="164"/>
      <c r="BU660" s="164"/>
      <c r="BV660" s="164"/>
    </row>
    <row r="661" spans="2:74" ht="15.75" customHeight="1">
      <c r="B661" s="46"/>
      <c r="BJ661" s="46"/>
      <c r="BQ661" s="46"/>
      <c r="BT661" s="164"/>
      <c r="BU661" s="164"/>
      <c r="BV661" s="164"/>
    </row>
    <row r="662" spans="2:74" ht="15.75" customHeight="1">
      <c r="B662" s="46"/>
      <c r="BJ662" s="46"/>
      <c r="BQ662" s="46"/>
      <c r="BT662" s="164"/>
      <c r="BU662" s="164"/>
      <c r="BV662" s="164"/>
    </row>
    <row r="663" spans="2:74" ht="15.75" customHeight="1">
      <c r="B663" s="46"/>
      <c r="BJ663" s="46"/>
      <c r="BQ663" s="46"/>
      <c r="BT663" s="164"/>
      <c r="BU663" s="164"/>
      <c r="BV663" s="164"/>
    </row>
    <row r="664" spans="2:74" ht="15.75" customHeight="1">
      <c r="B664" s="46"/>
      <c r="BJ664" s="46"/>
      <c r="BQ664" s="46"/>
      <c r="BT664" s="164"/>
      <c r="BU664" s="164"/>
      <c r="BV664" s="164"/>
    </row>
    <row r="665" spans="2:74" ht="15.75" customHeight="1">
      <c r="B665" s="46"/>
      <c r="BJ665" s="46"/>
      <c r="BQ665" s="46"/>
      <c r="BT665" s="164"/>
      <c r="BU665" s="164"/>
      <c r="BV665" s="164"/>
    </row>
    <row r="666" spans="2:74" ht="15.75" customHeight="1">
      <c r="B666" s="46"/>
      <c r="BJ666" s="46"/>
      <c r="BQ666" s="46"/>
      <c r="BT666" s="164"/>
      <c r="BU666" s="164"/>
      <c r="BV666" s="164"/>
    </row>
    <row r="667" spans="2:74" ht="15.75" customHeight="1">
      <c r="B667" s="46"/>
      <c r="BJ667" s="46"/>
      <c r="BQ667" s="46"/>
      <c r="BT667" s="164"/>
      <c r="BU667" s="164"/>
      <c r="BV667" s="164"/>
    </row>
    <row r="668" spans="2:74" ht="15.75" customHeight="1">
      <c r="B668" s="46"/>
      <c r="BJ668" s="46"/>
      <c r="BQ668" s="46"/>
      <c r="BT668" s="164"/>
      <c r="BU668" s="164"/>
      <c r="BV668" s="164"/>
    </row>
    <row r="669" spans="2:74" ht="15.75" customHeight="1">
      <c r="B669" s="46"/>
      <c r="BJ669" s="46"/>
      <c r="BQ669" s="46"/>
      <c r="BT669" s="164"/>
      <c r="BU669" s="164"/>
      <c r="BV669" s="164"/>
    </row>
    <row r="670" spans="2:74" ht="15.75" customHeight="1">
      <c r="B670" s="46"/>
      <c r="BJ670" s="46"/>
      <c r="BQ670" s="46"/>
      <c r="BT670" s="164"/>
      <c r="BU670" s="164"/>
      <c r="BV670" s="164"/>
    </row>
    <row r="671" spans="2:74" ht="15.75" customHeight="1">
      <c r="B671" s="46"/>
      <c r="BJ671" s="46"/>
      <c r="BQ671" s="46"/>
      <c r="BT671" s="164"/>
      <c r="BU671" s="164"/>
      <c r="BV671" s="164"/>
    </row>
    <row r="672" spans="2:74" ht="15.75" customHeight="1">
      <c r="B672" s="46"/>
      <c r="BJ672" s="46"/>
      <c r="BQ672" s="46"/>
      <c r="BT672" s="164"/>
      <c r="BU672" s="164"/>
      <c r="BV672" s="164"/>
    </row>
    <row r="673" spans="2:74" ht="15.75" customHeight="1">
      <c r="B673" s="46"/>
      <c r="BJ673" s="46"/>
      <c r="BQ673" s="46"/>
      <c r="BT673" s="164"/>
      <c r="BU673" s="164"/>
      <c r="BV673" s="164"/>
    </row>
    <row r="674" spans="2:74" ht="15.75" customHeight="1">
      <c r="B674" s="46"/>
      <c r="BJ674" s="46"/>
      <c r="BQ674" s="46"/>
      <c r="BT674" s="164"/>
      <c r="BU674" s="164"/>
      <c r="BV674" s="164"/>
    </row>
    <row r="675" spans="2:74" ht="15.75" customHeight="1">
      <c r="B675" s="46"/>
      <c r="BJ675" s="46"/>
      <c r="BQ675" s="46"/>
      <c r="BT675" s="164"/>
      <c r="BU675" s="164"/>
      <c r="BV675" s="164"/>
    </row>
    <row r="676" spans="2:74" ht="15.75" customHeight="1">
      <c r="B676" s="46"/>
      <c r="BJ676" s="46"/>
      <c r="BQ676" s="46"/>
      <c r="BT676" s="164"/>
      <c r="BU676" s="164"/>
      <c r="BV676" s="164"/>
    </row>
    <row r="677" spans="2:74" ht="15.75" customHeight="1">
      <c r="B677" s="46"/>
      <c r="BJ677" s="46"/>
      <c r="BQ677" s="46"/>
      <c r="BT677" s="164"/>
      <c r="BU677" s="164"/>
      <c r="BV677" s="164"/>
    </row>
    <row r="678" spans="2:74" ht="15.75" customHeight="1">
      <c r="B678" s="46"/>
      <c r="BJ678" s="46"/>
      <c r="BQ678" s="46"/>
      <c r="BT678" s="164"/>
      <c r="BU678" s="164"/>
      <c r="BV678" s="164"/>
    </row>
    <row r="679" spans="2:74" ht="15.75" customHeight="1">
      <c r="B679" s="46"/>
      <c r="BJ679" s="46"/>
      <c r="BQ679" s="46"/>
      <c r="BT679" s="164"/>
      <c r="BU679" s="164"/>
      <c r="BV679" s="164"/>
    </row>
    <row r="680" spans="2:74" ht="15.75" customHeight="1">
      <c r="B680" s="46"/>
      <c r="BJ680" s="46"/>
      <c r="BQ680" s="46"/>
      <c r="BT680" s="164"/>
      <c r="BU680" s="164"/>
      <c r="BV680" s="164"/>
    </row>
    <row r="681" spans="2:74" ht="15.75" customHeight="1">
      <c r="B681" s="46"/>
      <c r="BJ681" s="46"/>
      <c r="BQ681" s="46"/>
      <c r="BT681" s="164"/>
      <c r="BU681" s="164"/>
      <c r="BV681" s="164"/>
    </row>
    <row r="682" spans="2:74" ht="15.75" customHeight="1">
      <c r="B682" s="46"/>
      <c r="BJ682" s="46"/>
      <c r="BQ682" s="46"/>
      <c r="BT682" s="164"/>
      <c r="BU682" s="164"/>
      <c r="BV682" s="164"/>
    </row>
    <row r="683" spans="2:74" ht="15.75" customHeight="1">
      <c r="B683" s="46"/>
      <c r="BJ683" s="46"/>
      <c r="BQ683" s="46"/>
      <c r="BT683" s="164"/>
      <c r="BU683" s="164"/>
      <c r="BV683" s="164"/>
    </row>
    <row r="684" spans="2:74" ht="15.75" customHeight="1">
      <c r="B684" s="46"/>
      <c r="BJ684" s="46"/>
      <c r="BQ684" s="46"/>
      <c r="BT684" s="164"/>
      <c r="BU684" s="164"/>
      <c r="BV684" s="164"/>
    </row>
    <row r="685" spans="2:74" ht="15.75" customHeight="1">
      <c r="B685" s="46"/>
      <c r="BJ685" s="46"/>
      <c r="BQ685" s="46"/>
      <c r="BT685" s="164"/>
      <c r="BU685" s="164"/>
      <c r="BV685" s="164"/>
    </row>
    <row r="686" spans="2:74" ht="15.75" customHeight="1">
      <c r="B686" s="46"/>
      <c r="BJ686" s="46"/>
      <c r="BQ686" s="46"/>
      <c r="BT686" s="164"/>
      <c r="BU686" s="164"/>
      <c r="BV686" s="164"/>
    </row>
    <row r="687" spans="2:74" ht="15.75" customHeight="1">
      <c r="B687" s="46"/>
      <c r="BJ687" s="46"/>
      <c r="BQ687" s="46"/>
      <c r="BT687" s="164"/>
      <c r="BU687" s="164"/>
      <c r="BV687" s="164"/>
    </row>
    <row r="688" spans="2:74" ht="15.75" customHeight="1">
      <c r="B688" s="46"/>
      <c r="BJ688" s="46"/>
      <c r="BQ688" s="46"/>
      <c r="BT688" s="164"/>
      <c r="BU688" s="164"/>
      <c r="BV688" s="164"/>
    </row>
    <row r="689" spans="2:74" ht="15.75" customHeight="1">
      <c r="B689" s="46"/>
      <c r="BJ689" s="46"/>
      <c r="BQ689" s="46"/>
      <c r="BT689" s="164"/>
      <c r="BU689" s="164"/>
      <c r="BV689" s="164"/>
    </row>
    <row r="690" spans="2:74" ht="15.75" customHeight="1">
      <c r="B690" s="46"/>
      <c r="BJ690" s="46"/>
      <c r="BQ690" s="46"/>
      <c r="BT690" s="164"/>
      <c r="BU690" s="164"/>
      <c r="BV690" s="164"/>
    </row>
    <row r="691" spans="2:74" ht="15.75" customHeight="1">
      <c r="B691" s="46"/>
      <c r="BJ691" s="46"/>
      <c r="BQ691" s="46"/>
      <c r="BT691" s="164"/>
      <c r="BU691" s="164"/>
      <c r="BV691" s="164"/>
    </row>
    <row r="692" spans="2:74" ht="15.75" customHeight="1">
      <c r="B692" s="46"/>
      <c r="BJ692" s="46"/>
      <c r="BQ692" s="46"/>
      <c r="BT692" s="164"/>
      <c r="BU692" s="164"/>
      <c r="BV692" s="164"/>
    </row>
    <row r="693" spans="2:74" ht="15.75" customHeight="1">
      <c r="B693" s="46"/>
      <c r="BJ693" s="46"/>
      <c r="BQ693" s="46"/>
      <c r="BT693" s="164"/>
      <c r="BU693" s="164"/>
      <c r="BV693" s="164"/>
    </row>
    <row r="694" spans="2:74" ht="15.75" customHeight="1">
      <c r="B694" s="46"/>
      <c r="BJ694" s="46"/>
      <c r="BQ694" s="46"/>
      <c r="BT694" s="164"/>
      <c r="BU694" s="164"/>
      <c r="BV694" s="164"/>
    </row>
    <row r="695" spans="2:74" ht="15.75" customHeight="1">
      <c r="B695" s="46"/>
      <c r="BJ695" s="46"/>
      <c r="BQ695" s="46"/>
      <c r="BT695" s="164"/>
      <c r="BU695" s="164"/>
      <c r="BV695" s="164"/>
    </row>
    <row r="696" spans="2:74" ht="15.75" customHeight="1">
      <c r="B696" s="46"/>
      <c r="BJ696" s="46"/>
      <c r="BQ696" s="46"/>
      <c r="BT696" s="164"/>
      <c r="BU696" s="164"/>
      <c r="BV696" s="164"/>
    </row>
    <row r="697" spans="2:74" ht="15.75" customHeight="1">
      <c r="B697" s="46"/>
      <c r="BJ697" s="46"/>
      <c r="BQ697" s="46"/>
      <c r="BT697" s="164"/>
      <c r="BU697" s="164"/>
      <c r="BV697" s="164"/>
    </row>
    <row r="698" spans="2:74" ht="15.75" customHeight="1">
      <c r="B698" s="46"/>
      <c r="BJ698" s="46"/>
      <c r="BQ698" s="46"/>
      <c r="BT698" s="164"/>
      <c r="BU698" s="164"/>
      <c r="BV698" s="164"/>
    </row>
    <row r="699" spans="2:74" ht="15.75" customHeight="1">
      <c r="B699" s="46"/>
      <c r="BJ699" s="46"/>
      <c r="BQ699" s="46"/>
      <c r="BT699" s="164"/>
      <c r="BU699" s="164"/>
      <c r="BV699" s="164"/>
    </row>
    <row r="700" spans="2:74" ht="15.75" customHeight="1">
      <c r="B700" s="46"/>
      <c r="BJ700" s="46"/>
      <c r="BQ700" s="46"/>
      <c r="BT700" s="164"/>
      <c r="BU700" s="164"/>
      <c r="BV700" s="164"/>
    </row>
    <row r="701" spans="2:74" ht="15.75" customHeight="1">
      <c r="B701" s="46"/>
      <c r="BJ701" s="46"/>
      <c r="BQ701" s="46"/>
      <c r="BT701" s="164"/>
      <c r="BU701" s="164"/>
      <c r="BV701" s="164"/>
    </row>
    <row r="702" spans="2:74" ht="15.75" customHeight="1">
      <c r="B702" s="46"/>
      <c r="BJ702" s="46"/>
      <c r="BQ702" s="46"/>
      <c r="BT702" s="164"/>
      <c r="BU702" s="164"/>
      <c r="BV702" s="164"/>
    </row>
    <row r="703" spans="2:74" ht="15.75" customHeight="1">
      <c r="B703" s="46"/>
      <c r="BJ703" s="46"/>
      <c r="BQ703" s="46"/>
      <c r="BT703" s="164"/>
      <c r="BU703" s="164"/>
      <c r="BV703" s="164"/>
    </row>
    <row r="704" spans="2:74" ht="15.75" customHeight="1">
      <c r="B704" s="46"/>
      <c r="BJ704" s="46"/>
      <c r="BQ704" s="46"/>
      <c r="BT704" s="164"/>
      <c r="BU704" s="164"/>
      <c r="BV704" s="164"/>
    </row>
    <row r="705" spans="2:74" ht="15.75" customHeight="1">
      <c r="B705" s="46"/>
      <c r="BJ705" s="46"/>
      <c r="BQ705" s="46"/>
      <c r="BT705" s="164"/>
      <c r="BU705" s="164"/>
      <c r="BV705" s="164"/>
    </row>
    <row r="706" spans="2:74" ht="15.75" customHeight="1">
      <c r="B706" s="46"/>
      <c r="BJ706" s="46"/>
      <c r="BQ706" s="46"/>
      <c r="BT706" s="164"/>
      <c r="BU706" s="164"/>
      <c r="BV706" s="164"/>
    </row>
    <row r="707" spans="2:74" ht="15.75" customHeight="1">
      <c r="B707" s="46"/>
      <c r="BJ707" s="46"/>
      <c r="BQ707" s="46"/>
      <c r="BT707" s="164"/>
      <c r="BU707" s="164"/>
      <c r="BV707" s="164"/>
    </row>
    <row r="708" spans="2:74" ht="15.75" customHeight="1">
      <c r="B708" s="46"/>
      <c r="BJ708" s="46"/>
      <c r="BQ708" s="46"/>
      <c r="BT708" s="164"/>
      <c r="BU708" s="164"/>
      <c r="BV708" s="164"/>
    </row>
    <row r="709" spans="2:74" ht="15.75" customHeight="1">
      <c r="B709" s="46"/>
      <c r="BJ709" s="46"/>
      <c r="BQ709" s="46"/>
      <c r="BT709" s="164"/>
      <c r="BU709" s="164"/>
      <c r="BV709" s="164"/>
    </row>
    <row r="710" spans="2:74" ht="15.75" customHeight="1">
      <c r="B710" s="46"/>
      <c r="BJ710" s="46"/>
      <c r="BQ710" s="46"/>
      <c r="BT710" s="164"/>
      <c r="BU710" s="164"/>
      <c r="BV710" s="164"/>
    </row>
    <row r="711" spans="2:74" ht="15.75" customHeight="1">
      <c r="B711" s="46"/>
      <c r="BJ711" s="46"/>
      <c r="BQ711" s="46"/>
      <c r="BT711" s="164"/>
      <c r="BU711" s="164"/>
      <c r="BV711" s="164"/>
    </row>
    <row r="712" spans="2:74" ht="15.75" customHeight="1">
      <c r="B712" s="46"/>
      <c r="BJ712" s="46"/>
      <c r="BQ712" s="46"/>
      <c r="BT712" s="164"/>
      <c r="BU712" s="164"/>
      <c r="BV712" s="164"/>
    </row>
    <row r="713" spans="2:74" ht="15.75" customHeight="1">
      <c r="B713" s="46"/>
      <c r="BJ713" s="46"/>
      <c r="BQ713" s="46"/>
      <c r="BT713" s="164"/>
      <c r="BU713" s="164"/>
      <c r="BV713" s="164"/>
    </row>
    <row r="714" spans="2:74" ht="15.75" customHeight="1">
      <c r="B714" s="46"/>
      <c r="BJ714" s="46"/>
      <c r="BQ714" s="46"/>
      <c r="BT714" s="164"/>
      <c r="BU714" s="164"/>
      <c r="BV714" s="164"/>
    </row>
    <row r="715" spans="2:74" ht="15.75" customHeight="1">
      <c r="B715" s="46"/>
      <c r="BJ715" s="46"/>
      <c r="BQ715" s="46"/>
      <c r="BT715" s="164"/>
      <c r="BU715" s="164"/>
      <c r="BV715" s="164"/>
    </row>
    <row r="716" spans="2:74" ht="15.75" customHeight="1">
      <c r="B716" s="46"/>
      <c r="BJ716" s="46"/>
      <c r="BQ716" s="46"/>
      <c r="BT716" s="164"/>
      <c r="BU716" s="164"/>
      <c r="BV716" s="164"/>
    </row>
    <row r="717" spans="2:74" ht="15.75" customHeight="1">
      <c r="B717" s="46"/>
      <c r="BJ717" s="46"/>
      <c r="BQ717" s="46"/>
      <c r="BT717" s="164"/>
      <c r="BU717" s="164"/>
      <c r="BV717" s="164"/>
    </row>
    <row r="718" spans="2:74" ht="15.75" customHeight="1">
      <c r="B718" s="46"/>
      <c r="BJ718" s="46"/>
      <c r="BQ718" s="46"/>
      <c r="BT718" s="164"/>
      <c r="BU718" s="164"/>
      <c r="BV718" s="164"/>
    </row>
    <row r="719" spans="2:74" ht="15.75" customHeight="1">
      <c r="B719" s="46"/>
      <c r="BJ719" s="46"/>
      <c r="BQ719" s="46"/>
      <c r="BT719" s="164"/>
      <c r="BU719" s="164"/>
      <c r="BV719" s="164"/>
    </row>
    <row r="720" spans="2:74" ht="15.75" customHeight="1">
      <c r="B720" s="46"/>
      <c r="BJ720" s="46"/>
      <c r="BQ720" s="46"/>
      <c r="BT720" s="164"/>
      <c r="BU720" s="164"/>
      <c r="BV720" s="164"/>
    </row>
    <row r="721" spans="2:74" ht="15.75" customHeight="1">
      <c r="B721" s="46"/>
      <c r="BJ721" s="46"/>
      <c r="BQ721" s="46"/>
      <c r="BT721" s="164"/>
      <c r="BU721" s="164"/>
      <c r="BV721" s="164"/>
    </row>
    <row r="722" spans="2:74" ht="15.75" customHeight="1">
      <c r="B722" s="46"/>
      <c r="BJ722" s="46"/>
      <c r="BQ722" s="46"/>
      <c r="BT722" s="164"/>
      <c r="BU722" s="164"/>
      <c r="BV722" s="164"/>
    </row>
    <row r="723" spans="2:74" ht="15.75" customHeight="1">
      <c r="B723" s="46"/>
      <c r="BJ723" s="46"/>
      <c r="BQ723" s="46"/>
      <c r="BT723" s="164"/>
      <c r="BU723" s="164"/>
      <c r="BV723" s="164"/>
    </row>
    <row r="724" spans="2:74" ht="15.75" customHeight="1">
      <c r="B724" s="46"/>
      <c r="BJ724" s="46"/>
      <c r="BQ724" s="46"/>
      <c r="BT724" s="164"/>
      <c r="BU724" s="164"/>
      <c r="BV724" s="164"/>
    </row>
    <row r="725" spans="2:74" ht="15.75" customHeight="1">
      <c r="B725" s="46"/>
      <c r="BJ725" s="46"/>
      <c r="BQ725" s="46"/>
      <c r="BT725" s="164"/>
      <c r="BU725" s="164"/>
      <c r="BV725" s="164"/>
    </row>
    <row r="726" spans="2:74" ht="15.75" customHeight="1">
      <c r="B726" s="46"/>
      <c r="BJ726" s="46"/>
      <c r="BQ726" s="46"/>
      <c r="BT726" s="164"/>
      <c r="BU726" s="164"/>
      <c r="BV726" s="164"/>
    </row>
    <row r="727" spans="2:74" ht="15.75" customHeight="1">
      <c r="B727" s="46"/>
      <c r="BJ727" s="46"/>
      <c r="BQ727" s="46"/>
      <c r="BT727" s="164"/>
      <c r="BU727" s="164"/>
      <c r="BV727" s="164"/>
    </row>
    <row r="728" spans="2:74" ht="15.75" customHeight="1">
      <c r="B728" s="46"/>
      <c r="BJ728" s="46"/>
      <c r="BQ728" s="46"/>
      <c r="BT728" s="164"/>
      <c r="BU728" s="164"/>
      <c r="BV728" s="164"/>
    </row>
    <row r="729" spans="2:74" ht="15.75" customHeight="1">
      <c r="B729" s="46"/>
      <c r="BJ729" s="46"/>
      <c r="BQ729" s="46"/>
      <c r="BT729" s="164"/>
      <c r="BU729" s="164"/>
      <c r="BV729" s="164"/>
    </row>
    <row r="730" spans="2:74" ht="15.75" customHeight="1">
      <c r="B730" s="46"/>
      <c r="BJ730" s="46"/>
      <c r="BQ730" s="46"/>
      <c r="BT730" s="164"/>
      <c r="BU730" s="164"/>
      <c r="BV730" s="164"/>
    </row>
    <row r="731" spans="2:74" ht="15.75" customHeight="1">
      <c r="B731" s="46"/>
      <c r="BJ731" s="46"/>
      <c r="BQ731" s="46"/>
      <c r="BT731" s="164"/>
      <c r="BU731" s="164"/>
      <c r="BV731" s="164"/>
    </row>
    <row r="732" spans="2:74" ht="15.75" customHeight="1">
      <c r="B732" s="46"/>
      <c r="BJ732" s="46"/>
      <c r="BQ732" s="46"/>
      <c r="BT732" s="164"/>
      <c r="BU732" s="164"/>
      <c r="BV732" s="164"/>
    </row>
    <row r="733" spans="2:74" ht="15.75" customHeight="1">
      <c r="B733" s="46"/>
      <c r="BJ733" s="46"/>
      <c r="BQ733" s="46"/>
      <c r="BT733" s="164"/>
      <c r="BU733" s="164"/>
      <c r="BV733" s="164"/>
    </row>
    <row r="734" spans="2:74" ht="15.75" customHeight="1">
      <c r="B734" s="46"/>
      <c r="BJ734" s="46"/>
      <c r="BQ734" s="46"/>
      <c r="BT734" s="164"/>
      <c r="BU734" s="164"/>
      <c r="BV734" s="164"/>
    </row>
    <row r="735" spans="2:74" ht="15.75" customHeight="1">
      <c r="B735" s="46"/>
      <c r="BJ735" s="46"/>
      <c r="BQ735" s="46"/>
      <c r="BT735" s="164"/>
      <c r="BU735" s="164"/>
      <c r="BV735" s="164"/>
    </row>
    <row r="736" spans="2:74" ht="15.75" customHeight="1">
      <c r="B736" s="46"/>
      <c r="BJ736" s="46"/>
      <c r="BQ736" s="46"/>
      <c r="BT736" s="164"/>
      <c r="BU736" s="164"/>
      <c r="BV736" s="164"/>
    </row>
    <row r="737" spans="2:74" ht="15.75" customHeight="1">
      <c r="B737" s="46"/>
      <c r="BJ737" s="46"/>
      <c r="BQ737" s="46"/>
      <c r="BT737" s="164"/>
      <c r="BU737" s="164"/>
      <c r="BV737" s="164"/>
    </row>
    <row r="738" spans="2:74" ht="15.75" customHeight="1">
      <c r="B738" s="46"/>
      <c r="BJ738" s="46"/>
      <c r="BQ738" s="46"/>
      <c r="BT738" s="164"/>
      <c r="BU738" s="164"/>
      <c r="BV738" s="164"/>
    </row>
    <row r="739" spans="2:74" ht="15.75" customHeight="1">
      <c r="B739" s="46"/>
      <c r="BJ739" s="46"/>
      <c r="BQ739" s="46"/>
      <c r="BT739" s="164"/>
      <c r="BU739" s="164"/>
      <c r="BV739" s="164"/>
    </row>
    <row r="740" spans="2:74" ht="15.75" customHeight="1">
      <c r="B740" s="46"/>
      <c r="BJ740" s="46"/>
      <c r="BQ740" s="46"/>
      <c r="BT740" s="164"/>
      <c r="BU740" s="164"/>
      <c r="BV740" s="164"/>
    </row>
    <row r="741" spans="2:74" ht="15.75" customHeight="1">
      <c r="B741" s="46"/>
      <c r="BJ741" s="46"/>
      <c r="BQ741" s="46"/>
      <c r="BT741" s="164"/>
      <c r="BU741" s="164"/>
      <c r="BV741" s="164"/>
    </row>
    <row r="742" spans="2:74" ht="15.75" customHeight="1">
      <c r="B742" s="46"/>
      <c r="BJ742" s="46"/>
      <c r="BQ742" s="46"/>
      <c r="BT742" s="164"/>
      <c r="BU742" s="164"/>
      <c r="BV742" s="164"/>
    </row>
    <row r="743" spans="2:74" ht="15.75" customHeight="1">
      <c r="B743" s="46"/>
      <c r="BJ743" s="46"/>
      <c r="BQ743" s="46"/>
      <c r="BT743" s="164"/>
      <c r="BU743" s="164"/>
      <c r="BV743" s="164"/>
    </row>
    <row r="744" spans="2:74" ht="15.75" customHeight="1">
      <c r="B744" s="46"/>
      <c r="BJ744" s="46"/>
      <c r="BQ744" s="46"/>
      <c r="BT744" s="164"/>
      <c r="BU744" s="164"/>
      <c r="BV744" s="164"/>
    </row>
    <row r="745" spans="2:74" ht="15.75" customHeight="1">
      <c r="B745" s="46"/>
      <c r="BJ745" s="46"/>
      <c r="BQ745" s="46"/>
      <c r="BT745" s="164"/>
      <c r="BU745" s="164"/>
      <c r="BV745" s="164"/>
    </row>
    <row r="746" spans="2:74" ht="15.75" customHeight="1">
      <c r="B746" s="46"/>
      <c r="BJ746" s="46"/>
      <c r="BQ746" s="46"/>
      <c r="BT746" s="164"/>
      <c r="BU746" s="164"/>
      <c r="BV746" s="164"/>
    </row>
    <row r="747" spans="2:74" ht="15.75" customHeight="1">
      <c r="B747" s="46"/>
      <c r="BJ747" s="46"/>
      <c r="BQ747" s="46"/>
      <c r="BT747" s="164"/>
      <c r="BU747" s="164"/>
      <c r="BV747" s="164"/>
    </row>
    <row r="748" spans="2:74" ht="15.75" customHeight="1">
      <c r="B748" s="46"/>
      <c r="BJ748" s="46"/>
      <c r="BQ748" s="46"/>
      <c r="BT748" s="164"/>
      <c r="BU748" s="164"/>
      <c r="BV748" s="164"/>
    </row>
    <row r="749" spans="2:74" ht="15.75" customHeight="1">
      <c r="B749" s="46"/>
      <c r="BJ749" s="46"/>
      <c r="BQ749" s="46"/>
      <c r="BT749" s="164"/>
      <c r="BU749" s="164"/>
      <c r="BV749" s="164"/>
    </row>
    <row r="750" spans="2:74" ht="15.75" customHeight="1">
      <c r="B750" s="46"/>
      <c r="BJ750" s="46"/>
      <c r="BQ750" s="46"/>
      <c r="BT750" s="164"/>
      <c r="BU750" s="164"/>
      <c r="BV750" s="164"/>
    </row>
    <row r="751" spans="2:74" ht="15.75" customHeight="1">
      <c r="B751" s="46"/>
      <c r="BJ751" s="46"/>
      <c r="BQ751" s="46"/>
      <c r="BT751" s="164"/>
      <c r="BU751" s="164"/>
      <c r="BV751" s="164"/>
    </row>
    <row r="752" spans="2:74" ht="15.75" customHeight="1">
      <c r="B752" s="46"/>
      <c r="BJ752" s="46"/>
      <c r="BQ752" s="46"/>
      <c r="BT752" s="164"/>
      <c r="BU752" s="164"/>
      <c r="BV752" s="164"/>
    </row>
    <row r="753" spans="2:74" ht="15.75" customHeight="1">
      <c r="B753" s="46"/>
      <c r="BJ753" s="46"/>
      <c r="BQ753" s="46"/>
      <c r="BT753" s="164"/>
      <c r="BU753" s="164"/>
      <c r="BV753" s="164"/>
    </row>
    <row r="754" spans="2:74" ht="15.75" customHeight="1">
      <c r="B754" s="46"/>
      <c r="BJ754" s="46"/>
      <c r="BQ754" s="46"/>
      <c r="BT754" s="164"/>
      <c r="BU754" s="164"/>
      <c r="BV754" s="164"/>
    </row>
    <row r="755" spans="2:74" ht="15.75" customHeight="1">
      <c r="B755" s="46"/>
      <c r="BJ755" s="46"/>
      <c r="BQ755" s="46"/>
      <c r="BT755" s="164"/>
      <c r="BU755" s="164"/>
      <c r="BV755" s="164"/>
    </row>
    <row r="756" spans="2:74" ht="15.75" customHeight="1">
      <c r="B756" s="46"/>
      <c r="BJ756" s="46"/>
      <c r="BQ756" s="46"/>
      <c r="BT756" s="164"/>
      <c r="BU756" s="164"/>
      <c r="BV756" s="164"/>
    </row>
    <row r="757" spans="2:74" ht="15.75" customHeight="1">
      <c r="B757" s="46"/>
      <c r="BJ757" s="46"/>
      <c r="BQ757" s="46"/>
      <c r="BT757" s="164"/>
      <c r="BU757" s="164"/>
      <c r="BV757" s="164"/>
    </row>
    <row r="758" spans="2:74" ht="15.75" customHeight="1">
      <c r="B758" s="46"/>
      <c r="BJ758" s="46"/>
      <c r="BQ758" s="46"/>
      <c r="BT758" s="164"/>
      <c r="BU758" s="164"/>
      <c r="BV758" s="164"/>
    </row>
    <row r="759" spans="2:74" ht="15.75" customHeight="1">
      <c r="B759" s="46"/>
      <c r="BJ759" s="46"/>
      <c r="BQ759" s="46"/>
      <c r="BT759" s="164"/>
      <c r="BU759" s="164"/>
      <c r="BV759" s="164"/>
    </row>
    <row r="760" spans="2:74" ht="15.75" customHeight="1">
      <c r="B760" s="46"/>
      <c r="BJ760" s="46"/>
      <c r="BQ760" s="46"/>
      <c r="BT760" s="164"/>
      <c r="BU760" s="164"/>
      <c r="BV760" s="164"/>
    </row>
    <row r="761" spans="2:74" ht="15.75" customHeight="1">
      <c r="B761" s="46"/>
      <c r="BJ761" s="46"/>
      <c r="BQ761" s="46"/>
      <c r="BT761" s="164"/>
      <c r="BU761" s="164"/>
      <c r="BV761" s="164"/>
    </row>
    <row r="762" spans="2:74" ht="15.75" customHeight="1">
      <c r="B762" s="46"/>
      <c r="BJ762" s="46"/>
      <c r="BQ762" s="46"/>
      <c r="BT762" s="164"/>
      <c r="BU762" s="164"/>
      <c r="BV762" s="164"/>
    </row>
    <row r="763" spans="2:74" ht="15.75" customHeight="1">
      <c r="B763" s="46"/>
      <c r="BJ763" s="46"/>
      <c r="BQ763" s="46"/>
      <c r="BT763" s="164"/>
      <c r="BU763" s="164"/>
      <c r="BV763" s="164"/>
    </row>
    <row r="764" spans="2:74" ht="15.75" customHeight="1">
      <c r="B764" s="46"/>
      <c r="BJ764" s="46"/>
      <c r="BQ764" s="46"/>
      <c r="BT764" s="164"/>
      <c r="BU764" s="164"/>
      <c r="BV764" s="164"/>
    </row>
    <row r="765" spans="2:74" ht="15.75" customHeight="1">
      <c r="B765" s="46"/>
      <c r="BJ765" s="46"/>
      <c r="BQ765" s="46"/>
      <c r="BT765" s="164"/>
      <c r="BU765" s="164"/>
      <c r="BV765" s="164"/>
    </row>
    <row r="766" spans="2:74" ht="15.75" customHeight="1">
      <c r="B766" s="46"/>
      <c r="BJ766" s="46"/>
      <c r="BQ766" s="46"/>
      <c r="BT766" s="164"/>
      <c r="BU766" s="164"/>
      <c r="BV766" s="164"/>
    </row>
    <row r="767" spans="2:74" ht="15.75" customHeight="1">
      <c r="B767" s="46"/>
      <c r="BJ767" s="46"/>
      <c r="BQ767" s="46"/>
      <c r="BT767" s="164"/>
      <c r="BU767" s="164"/>
      <c r="BV767" s="164"/>
    </row>
    <row r="768" spans="2:74" ht="15.75" customHeight="1">
      <c r="B768" s="46"/>
      <c r="BJ768" s="46"/>
      <c r="BQ768" s="46"/>
      <c r="BT768" s="164"/>
      <c r="BU768" s="164"/>
      <c r="BV768" s="164"/>
    </row>
    <row r="769" spans="2:74" ht="15.75" customHeight="1">
      <c r="B769" s="46"/>
      <c r="BJ769" s="46"/>
      <c r="BQ769" s="46"/>
      <c r="BT769" s="164"/>
      <c r="BU769" s="164"/>
      <c r="BV769" s="164"/>
    </row>
    <row r="770" spans="2:74" ht="15.75" customHeight="1">
      <c r="B770" s="46"/>
      <c r="BJ770" s="46"/>
      <c r="BQ770" s="46"/>
      <c r="BT770" s="164"/>
      <c r="BU770" s="164"/>
      <c r="BV770" s="164"/>
    </row>
    <row r="771" spans="2:74" ht="15.75" customHeight="1">
      <c r="B771" s="46"/>
      <c r="BJ771" s="46"/>
      <c r="BQ771" s="46"/>
      <c r="BT771" s="164"/>
      <c r="BU771" s="164"/>
      <c r="BV771" s="164"/>
    </row>
    <row r="772" spans="2:74" ht="15.75" customHeight="1">
      <c r="B772" s="46"/>
      <c r="BJ772" s="46"/>
      <c r="BQ772" s="46"/>
      <c r="BT772" s="164"/>
      <c r="BU772" s="164"/>
      <c r="BV772" s="164"/>
    </row>
    <row r="773" spans="2:74" ht="15.75" customHeight="1">
      <c r="B773" s="46"/>
      <c r="BJ773" s="46"/>
      <c r="BQ773" s="46"/>
      <c r="BT773" s="164"/>
      <c r="BU773" s="164"/>
      <c r="BV773" s="164"/>
    </row>
    <row r="774" spans="2:74" ht="15.75" customHeight="1">
      <c r="B774" s="46"/>
      <c r="BJ774" s="46"/>
      <c r="BQ774" s="46"/>
      <c r="BT774" s="164"/>
      <c r="BU774" s="164"/>
      <c r="BV774" s="164"/>
    </row>
    <row r="775" spans="2:74" ht="15.75" customHeight="1">
      <c r="B775" s="46"/>
      <c r="BJ775" s="46"/>
      <c r="BQ775" s="46"/>
      <c r="BT775" s="164"/>
      <c r="BU775" s="164"/>
      <c r="BV775" s="164"/>
    </row>
    <row r="776" spans="2:74" ht="15.75" customHeight="1">
      <c r="B776" s="46"/>
      <c r="BJ776" s="46"/>
      <c r="BQ776" s="46"/>
      <c r="BT776" s="164"/>
      <c r="BU776" s="164"/>
      <c r="BV776" s="164"/>
    </row>
    <row r="777" spans="2:74" ht="15.75" customHeight="1">
      <c r="B777" s="46"/>
      <c r="BJ777" s="46"/>
      <c r="BQ777" s="46"/>
      <c r="BT777" s="164"/>
      <c r="BU777" s="164"/>
      <c r="BV777" s="164"/>
    </row>
    <row r="778" spans="2:74" ht="15.75" customHeight="1">
      <c r="B778" s="46"/>
      <c r="BJ778" s="46"/>
      <c r="BQ778" s="46"/>
      <c r="BT778" s="164"/>
      <c r="BU778" s="164"/>
      <c r="BV778" s="164"/>
    </row>
    <row r="779" spans="2:74" ht="15.75" customHeight="1">
      <c r="B779" s="46"/>
      <c r="BJ779" s="46"/>
      <c r="BQ779" s="46"/>
      <c r="BT779" s="164"/>
      <c r="BU779" s="164"/>
      <c r="BV779" s="164"/>
    </row>
    <row r="780" spans="2:74" ht="15.75" customHeight="1">
      <c r="B780" s="46"/>
      <c r="BJ780" s="46"/>
      <c r="BQ780" s="46"/>
      <c r="BT780" s="164"/>
      <c r="BU780" s="164"/>
      <c r="BV780" s="164"/>
    </row>
    <row r="781" spans="2:74" ht="15.75" customHeight="1">
      <c r="B781" s="46"/>
      <c r="BJ781" s="46"/>
      <c r="BQ781" s="46"/>
      <c r="BT781" s="164"/>
      <c r="BU781" s="164"/>
      <c r="BV781" s="164"/>
    </row>
    <row r="782" spans="2:74" ht="15.75" customHeight="1">
      <c r="B782" s="46"/>
      <c r="BJ782" s="46"/>
      <c r="BQ782" s="46"/>
      <c r="BT782" s="164"/>
      <c r="BU782" s="164"/>
      <c r="BV782" s="164"/>
    </row>
    <row r="783" spans="2:74" ht="15.75" customHeight="1">
      <c r="B783" s="46"/>
      <c r="BJ783" s="46"/>
      <c r="BQ783" s="46"/>
      <c r="BT783" s="164"/>
      <c r="BU783" s="164"/>
      <c r="BV783" s="164"/>
    </row>
    <row r="784" spans="2:74" ht="15.75" customHeight="1">
      <c r="B784" s="46"/>
      <c r="BJ784" s="46"/>
      <c r="BQ784" s="46"/>
      <c r="BT784" s="164"/>
      <c r="BU784" s="164"/>
      <c r="BV784" s="164"/>
    </row>
    <row r="785" spans="2:74" ht="15.75" customHeight="1">
      <c r="B785" s="46"/>
      <c r="BJ785" s="46"/>
      <c r="BQ785" s="46"/>
      <c r="BT785" s="164"/>
      <c r="BU785" s="164"/>
      <c r="BV785" s="164"/>
    </row>
    <row r="786" spans="2:74" ht="15.75" customHeight="1">
      <c r="B786" s="46"/>
      <c r="BJ786" s="46"/>
      <c r="BQ786" s="46"/>
      <c r="BT786" s="164"/>
      <c r="BU786" s="164"/>
      <c r="BV786" s="164"/>
    </row>
    <row r="787" spans="2:74" ht="15.75" customHeight="1">
      <c r="B787" s="46"/>
      <c r="BJ787" s="46"/>
      <c r="BQ787" s="46"/>
      <c r="BT787" s="164"/>
      <c r="BU787" s="164"/>
      <c r="BV787" s="164"/>
    </row>
    <row r="788" spans="2:74" ht="15.75" customHeight="1">
      <c r="B788" s="46"/>
      <c r="BJ788" s="46"/>
      <c r="BQ788" s="46"/>
      <c r="BT788" s="164"/>
      <c r="BU788" s="164"/>
      <c r="BV788" s="164"/>
    </row>
    <row r="789" spans="2:74" ht="15.75" customHeight="1">
      <c r="B789" s="46"/>
      <c r="BJ789" s="46"/>
      <c r="BQ789" s="46"/>
      <c r="BT789" s="164"/>
      <c r="BU789" s="164"/>
      <c r="BV789" s="164"/>
    </row>
    <row r="790" spans="2:74" ht="15.75" customHeight="1">
      <c r="B790" s="46"/>
      <c r="BJ790" s="46"/>
      <c r="BQ790" s="46"/>
      <c r="BT790" s="164"/>
      <c r="BU790" s="164"/>
      <c r="BV790" s="164"/>
    </row>
    <row r="791" spans="2:74" ht="15.75" customHeight="1">
      <c r="B791" s="46"/>
      <c r="BJ791" s="46"/>
      <c r="BQ791" s="46"/>
      <c r="BT791" s="164"/>
      <c r="BU791" s="164"/>
      <c r="BV791" s="164"/>
    </row>
    <row r="792" spans="2:74" ht="15.75" customHeight="1">
      <c r="B792" s="46"/>
      <c r="BJ792" s="46"/>
      <c r="BQ792" s="46"/>
      <c r="BT792" s="164"/>
      <c r="BU792" s="164"/>
      <c r="BV792" s="164"/>
    </row>
    <row r="793" spans="2:74" ht="15.75" customHeight="1">
      <c r="B793" s="46"/>
      <c r="BJ793" s="46"/>
      <c r="BQ793" s="46"/>
      <c r="BT793" s="164"/>
      <c r="BU793" s="164"/>
      <c r="BV793" s="164"/>
    </row>
    <row r="794" spans="2:74" ht="15.75" customHeight="1">
      <c r="B794" s="46"/>
      <c r="BJ794" s="46"/>
      <c r="BQ794" s="46"/>
      <c r="BT794" s="164"/>
      <c r="BU794" s="164"/>
      <c r="BV794" s="164"/>
    </row>
    <row r="795" spans="2:74" ht="15.75" customHeight="1">
      <c r="B795" s="46"/>
      <c r="BJ795" s="46"/>
      <c r="BQ795" s="46"/>
      <c r="BT795" s="164"/>
      <c r="BU795" s="164"/>
      <c r="BV795" s="164"/>
    </row>
    <row r="796" spans="2:74" ht="15.75" customHeight="1">
      <c r="B796" s="46"/>
      <c r="BJ796" s="46"/>
      <c r="BQ796" s="46"/>
      <c r="BT796" s="164"/>
      <c r="BU796" s="164"/>
      <c r="BV796" s="164"/>
    </row>
    <row r="797" spans="2:74" ht="15.75" customHeight="1">
      <c r="B797" s="46"/>
      <c r="BJ797" s="46"/>
      <c r="BQ797" s="46"/>
      <c r="BT797" s="164"/>
      <c r="BU797" s="164"/>
      <c r="BV797" s="164"/>
    </row>
    <row r="798" spans="2:74" ht="15.75" customHeight="1">
      <c r="B798" s="46"/>
      <c r="BJ798" s="46"/>
      <c r="BQ798" s="46"/>
      <c r="BT798" s="164"/>
      <c r="BU798" s="164"/>
      <c r="BV798" s="164"/>
    </row>
    <row r="799" spans="2:74" ht="15.75" customHeight="1">
      <c r="B799" s="46"/>
      <c r="BJ799" s="46"/>
      <c r="BQ799" s="46"/>
      <c r="BT799" s="164"/>
      <c r="BU799" s="164"/>
      <c r="BV799" s="164"/>
    </row>
    <row r="800" spans="2:74" ht="15.75" customHeight="1">
      <c r="B800" s="46"/>
      <c r="BJ800" s="46"/>
      <c r="BQ800" s="46"/>
      <c r="BT800" s="164"/>
      <c r="BU800" s="164"/>
      <c r="BV800" s="164"/>
    </row>
    <row r="801" spans="2:74" ht="15.75" customHeight="1">
      <c r="B801" s="46"/>
      <c r="BJ801" s="46"/>
      <c r="BQ801" s="46"/>
      <c r="BT801" s="164"/>
      <c r="BU801" s="164"/>
      <c r="BV801" s="164"/>
    </row>
    <row r="802" spans="2:74" ht="15.75" customHeight="1">
      <c r="B802" s="46"/>
      <c r="BJ802" s="46"/>
      <c r="BQ802" s="46"/>
      <c r="BT802" s="164"/>
      <c r="BU802" s="164"/>
      <c r="BV802" s="164"/>
    </row>
    <row r="803" spans="2:74" ht="15.75" customHeight="1">
      <c r="B803" s="46"/>
      <c r="BJ803" s="46"/>
      <c r="BQ803" s="46"/>
      <c r="BT803" s="164"/>
      <c r="BU803" s="164"/>
      <c r="BV803" s="164"/>
    </row>
    <row r="804" spans="2:74" ht="15.75" customHeight="1">
      <c r="B804" s="46"/>
      <c r="BJ804" s="46"/>
      <c r="BQ804" s="46"/>
      <c r="BT804" s="164"/>
      <c r="BU804" s="164"/>
      <c r="BV804" s="164"/>
    </row>
    <row r="805" spans="2:74" ht="15.75" customHeight="1">
      <c r="B805" s="46"/>
      <c r="BJ805" s="46"/>
      <c r="BQ805" s="46"/>
      <c r="BT805" s="164"/>
      <c r="BU805" s="164"/>
      <c r="BV805" s="164"/>
    </row>
    <row r="806" spans="2:74" ht="15.75" customHeight="1">
      <c r="B806" s="46"/>
      <c r="BJ806" s="46"/>
      <c r="BQ806" s="46"/>
      <c r="BT806" s="164"/>
      <c r="BU806" s="164"/>
      <c r="BV806" s="164"/>
    </row>
    <row r="807" spans="2:74" ht="15.75" customHeight="1">
      <c r="B807" s="46"/>
      <c r="BJ807" s="46"/>
      <c r="BQ807" s="46"/>
      <c r="BT807" s="164"/>
      <c r="BU807" s="164"/>
      <c r="BV807" s="164"/>
    </row>
    <row r="808" spans="2:74" ht="15.75" customHeight="1">
      <c r="B808" s="46"/>
      <c r="BJ808" s="46"/>
      <c r="BQ808" s="46"/>
      <c r="BT808" s="164"/>
      <c r="BU808" s="164"/>
      <c r="BV808" s="164"/>
    </row>
    <row r="809" spans="2:74" ht="15.75" customHeight="1">
      <c r="B809" s="46"/>
      <c r="BJ809" s="46"/>
      <c r="BQ809" s="46"/>
      <c r="BT809" s="164"/>
      <c r="BU809" s="164"/>
      <c r="BV809" s="164"/>
    </row>
    <row r="810" spans="2:74" ht="15.75" customHeight="1">
      <c r="B810" s="46"/>
      <c r="BJ810" s="46"/>
      <c r="BQ810" s="46"/>
      <c r="BT810" s="164"/>
      <c r="BU810" s="164"/>
      <c r="BV810" s="164"/>
    </row>
    <row r="811" spans="2:74" ht="15.75" customHeight="1">
      <c r="B811" s="46"/>
      <c r="BJ811" s="46"/>
      <c r="BQ811" s="46"/>
      <c r="BT811" s="164"/>
      <c r="BU811" s="164"/>
      <c r="BV811" s="164"/>
    </row>
    <row r="812" spans="2:74" ht="15.75" customHeight="1">
      <c r="B812" s="46"/>
      <c r="BJ812" s="46"/>
      <c r="BQ812" s="46"/>
      <c r="BT812" s="164"/>
      <c r="BU812" s="164"/>
      <c r="BV812" s="164"/>
    </row>
    <row r="813" spans="2:74" ht="15.75" customHeight="1">
      <c r="B813" s="46"/>
      <c r="BJ813" s="46"/>
      <c r="BQ813" s="46"/>
      <c r="BT813" s="164"/>
      <c r="BU813" s="164"/>
      <c r="BV813" s="164"/>
    </row>
    <row r="814" spans="2:74" ht="15.75" customHeight="1">
      <c r="B814" s="46"/>
      <c r="BJ814" s="46"/>
      <c r="BQ814" s="46"/>
      <c r="BT814" s="164"/>
      <c r="BU814" s="164"/>
      <c r="BV814" s="164"/>
    </row>
    <row r="815" spans="2:74" ht="15.75" customHeight="1">
      <c r="B815" s="46"/>
      <c r="BJ815" s="46"/>
      <c r="BQ815" s="46"/>
      <c r="BT815" s="164"/>
      <c r="BU815" s="164"/>
      <c r="BV815" s="164"/>
    </row>
    <row r="816" spans="2:74" ht="15.75" customHeight="1">
      <c r="B816" s="46"/>
      <c r="BJ816" s="46"/>
      <c r="BQ816" s="46"/>
      <c r="BT816" s="164"/>
      <c r="BU816" s="164"/>
      <c r="BV816" s="164"/>
    </row>
    <row r="817" spans="2:74" ht="15.75" customHeight="1">
      <c r="B817" s="46"/>
      <c r="BJ817" s="46"/>
      <c r="BQ817" s="46"/>
      <c r="BT817" s="164"/>
      <c r="BU817" s="164"/>
      <c r="BV817" s="164"/>
    </row>
    <row r="818" spans="2:74" ht="15.75" customHeight="1">
      <c r="B818" s="46"/>
      <c r="BJ818" s="46"/>
      <c r="BQ818" s="46"/>
      <c r="BT818" s="164"/>
      <c r="BU818" s="164"/>
      <c r="BV818" s="164"/>
    </row>
    <row r="819" spans="2:74" ht="15.75" customHeight="1">
      <c r="B819" s="46"/>
      <c r="BJ819" s="46"/>
      <c r="BQ819" s="46"/>
      <c r="BT819" s="164"/>
      <c r="BU819" s="164"/>
      <c r="BV819" s="164"/>
    </row>
    <row r="820" spans="2:74" ht="15.75" customHeight="1">
      <c r="B820" s="46"/>
      <c r="BJ820" s="46"/>
      <c r="BQ820" s="46"/>
      <c r="BT820" s="164"/>
      <c r="BU820" s="164"/>
      <c r="BV820" s="164"/>
    </row>
    <row r="821" spans="2:74" ht="15.75" customHeight="1">
      <c r="B821" s="46"/>
      <c r="BJ821" s="46"/>
      <c r="BQ821" s="46"/>
      <c r="BT821" s="164"/>
      <c r="BU821" s="164"/>
      <c r="BV821" s="164"/>
    </row>
    <row r="822" spans="2:74" ht="15.75" customHeight="1">
      <c r="B822" s="46"/>
      <c r="BJ822" s="46"/>
      <c r="BQ822" s="46"/>
      <c r="BT822" s="164"/>
      <c r="BU822" s="164"/>
      <c r="BV822" s="164"/>
    </row>
    <row r="823" spans="2:74" ht="15.75" customHeight="1">
      <c r="B823" s="46"/>
      <c r="BJ823" s="46"/>
      <c r="BQ823" s="46"/>
      <c r="BT823" s="164"/>
      <c r="BU823" s="164"/>
      <c r="BV823" s="164"/>
    </row>
    <row r="824" spans="2:74" ht="15.75" customHeight="1">
      <c r="B824" s="46"/>
      <c r="BJ824" s="46"/>
      <c r="BQ824" s="46"/>
      <c r="BT824" s="164"/>
      <c r="BU824" s="164"/>
      <c r="BV824" s="164"/>
    </row>
    <row r="825" spans="2:74" ht="15.75" customHeight="1">
      <c r="B825" s="46"/>
      <c r="BJ825" s="46"/>
      <c r="BQ825" s="46"/>
      <c r="BT825" s="164"/>
      <c r="BU825" s="164"/>
      <c r="BV825" s="164"/>
    </row>
    <row r="826" spans="2:74" ht="15.75" customHeight="1">
      <c r="B826" s="46"/>
      <c r="BJ826" s="46"/>
      <c r="BQ826" s="46"/>
      <c r="BT826" s="164"/>
      <c r="BU826" s="164"/>
      <c r="BV826" s="164"/>
    </row>
    <row r="827" spans="2:74" ht="15.75" customHeight="1">
      <c r="B827" s="46"/>
      <c r="BJ827" s="46"/>
      <c r="BQ827" s="46"/>
      <c r="BT827" s="164"/>
      <c r="BU827" s="164"/>
      <c r="BV827" s="164"/>
    </row>
    <row r="828" spans="2:74" ht="15.75" customHeight="1">
      <c r="B828" s="46"/>
      <c r="BJ828" s="46"/>
      <c r="BQ828" s="46"/>
      <c r="BT828" s="164"/>
      <c r="BU828" s="164"/>
      <c r="BV828" s="164"/>
    </row>
    <row r="829" spans="2:74" ht="15.75" customHeight="1">
      <c r="B829" s="46"/>
      <c r="BJ829" s="46"/>
      <c r="BQ829" s="46"/>
      <c r="BT829" s="164"/>
      <c r="BU829" s="164"/>
      <c r="BV829" s="164"/>
    </row>
    <row r="830" spans="2:74" ht="15.75" customHeight="1">
      <c r="B830" s="46"/>
      <c r="BJ830" s="46"/>
      <c r="BQ830" s="46"/>
      <c r="BT830" s="164"/>
      <c r="BU830" s="164"/>
      <c r="BV830" s="164"/>
    </row>
    <row r="831" spans="2:74" ht="15.75" customHeight="1">
      <c r="B831" s="46"/>
      <c r="BJ831" s="46"/>
      <c r="BQ831" s="46"/>
      <c r="BT831" s="164"/>
      <c r="BU831" s="164"/>
      <c r="BV831" s="164"/>
    </row>
    <row r="832" spans="2:74" ht="15.75" customHeight="1">
      <c r="B832" s="46"/>
      <c r="BJ832" s="46"/>
      <c r="BQ832" s="46"/>
      <c r="BT832" s="164"/>
      <c r="BU832" s="164"/>
      <c r="BV832" s="164"/>
    </row>
    <row r="833" spans="2:74" ht="15.75" customHeight="1">
      <c r="B833" s="46"/>
      <c r="BJ833" s="46"/>
      <c r="BQ833" s="46"/>
      <c r="BT833" s="164"/>
      <c r="BU833" s="164"/>
      <c r="BV833" s="164"/>
    </row>
    <row r="834" spans="2:74" ht="15.75" customHeight="1">
      <c r="B834" s="46"/>
      <c r="BJ834" s="46"/>
      <c r="BQ834" s="46"/>
      <c r="BT834" s="164"/>
      <c r="BU834" s="164"/>
      <c r="BV834" s="164"/>
    </row>
    <row r="835" spans="2:74" ht="15.75" customHeight="1">
      <c r="B835" s="46"/>
      <c r="BJ835" s="46"/>
      <c r="BQ835" s="46"/>
      <c r="BT835" s="164"/>
      <c r="BU835" s="164"/>
      <c r="BV835" s="164"/>
    </row>
    <row r="836" spans="2:74" ht="15.75" customHeight="1">
      <c r="B836" s="46"/>
      <c r="BJ836" s="46"/>
      <c r="BQ836" s="46"/>
      <c r="BT836" s="164"/>
      <c r="BU836" s="164"/>
      <c r="BV836" s="164"/>
    </row>
    <row r="837" spans="2:74" ht="15.75" customHeight="1">
      <c r="B837" s="46"/>
      <c r="BJ837" s="46"/>
      <c r="BQ837" s="46"/>
      <c r="BT837" s="164"/>
      <c r="BU837" s="164"/>
      <c r="BV837" s="164"/>
    </row>
    <row r="838" spans="2:74" ht="15.75" customHeight="1">
      <c r="B838" s="46"/>
      <c r="BJ838" s="46"/>
      <c r="BQ838" s="46"/>
      <c r="BT838" s="164"/>
      <c r="BU838" s="164"/>
      <c r="BV838" s="164"/>
    </row>
    <row r="839" spans="2:74" ht="15.75" customHeight="1">
      <c r="B839" s="46"/>
      <c r="BJ839" s="46"/>
      <c r="BQ839" s="46"/>
      <c r="BT839" s="164"/>
      <c r="BU839" s="164"/>
      <c r="BV839" s="164"/>
    </row>
    <row r="840" spans="2:74" ht="15.75" customHeight="1">
      <c r="B840" s="46"/>
      <c r="BJ840" s="46"/>
      <c r="BQ840" s="46"/>
      <c r="BT840" s="164"/>
      <c r="BU840" s="164"/>
      <c r="BV840" s="164"/>
    </row>
    <row r="841" spans="2:74" ht="15.75" customHeight="1">
      <c r="B841" s="46"/>
      <c r="BJ841" s="46"/>
      <c r="BQ841" s="46"/>
      <c r="BT841" s="164"/>
      <c r="BU841" s="164"/>
      <c r="BV841" s="164"/>
    </row>
    <row r="842" spans="2:74" ht="15.75" customHeight="1">
      <c r="B842" s="46"/>
      <c r="BJ842" s="46"/>
      <c r="BQ842" s="46"/>
      <c r="BT842" s="164"/>
      <c r="BU842" s="164"/>
      <c r="BV842" s="164"/>
    </row>
    <row r="843" spans="2:74" ht="15.75" customHeight="1">
      <c r="B843" s="46"/>
      <c r="BJ843" s="46"/>
      <c r="BQ843" s="46"/>
      <c r="BT843" s="164"/>
      <c r="BU843" s="164"/>
      <c r="BV843" s="164"/>
    </row>
    <row r="844" spans="2:74" ht="15.75" customHeight="1">
      <c r="B844" s="46"/>
      <c r="BJ844" s="46"/>
      <c r="BQ844" s="46"/>
      <c r="BT844" s="164"/>
      <c r="BU844" s="164"/>
      <c r="BV844" s="164"/>
    </row>
    <row r="845" spans="2:74" ht="15.75" customHeight="1">
      <c r="B845" s="46"/>
      <c r="BJ845" s="46"/>
      <c r="BQ845" s="46"/>
      <c r="BT845" s="164"/>
      <c r="BU845" s="164"/>
      <c r="BV845" s="164"/>
    </row>
    <row r="846" spans="2:74" ht="15.75" customHeight="1">
      <c r="B846" s="46"/>
      <c r="BJ846" s="46"/>
      <c r="BQ846" s="46"/>
      <c r="BT846" s="164"/>
      <c r="BU846" s="164"/>
      <c r="BV846" s="164"/>
    </row>
    <row r="847" spans="2:74" ht="15.75" customHeight="1">
      <c r="B847" s="46"/>
      <c r="BJ847" s="46"/>
      <c r="BQ847" s="46"/>
      <c r="BT847" s="164"/>
      <c r="BU847" s="164"/>
      <c r="BV847" s="164"/>
    </row>
    <row r="848" spans="2:74" ht="15.75" customHeight="1">
      <c r="B848" s="46"/>
      <c r="BJ848" s="46"/>
      <c r="BQ848" s="46"/>
      <c r="BT848" s="164"/>
      <c r="BU848" s="164"/>
      <c r="BV848" s="164"/>
    </row>
    <row r="849" spans="2:74" ht="15.75" customHeight="1">
      <c r="B849" s="46"/>
      <c r="BJ849" s="46"/>
      <c r="BQ849" s="46"/>
      <c r="BT849" s="164"/>
      <c r="BU849" s="164"/>
      <c r="BV849" s="164"/>
    </row>
    <row r="850" spans="2:74" ht="15.75" customHeight="1">
      <c r="B850" s="46"/>
      <c r="BJ850" s="46"/>
      <c r="BQ850" s="46"/>
      <c r="BT850" s="164"/>
      <c r="BU850" s="164"/>
      <c r="BV850" s="164"/>
    </row>
    <row r="851" spans="2:74" ht="15.75" customHeight="1">
      <c r="B851" s="46"/>
      <c r="BJ851" s="46"/>
      <c r="BQ851" s="46"/>
      <c r="BT851" s="164"/>
      <c r="BU851" s="164"/>
      <c r="BV851" s="164"/>
    </row>
    <row r="852" spans="2:74" ht="15.75" customHeight="1">
      <c r="B852" s="46"/>
      <c r="BJ852" s="46"/>
      <c r="BQ852" s="46"/>
      <c r="BT852" s="164"/>
      <c r="BU852" s="164"/>
      <c r="BV852" s="164"/>
    </row>
    <row r="853" spans="2:74" ht="15.75" customHeight="1">
      <c r="B853" s="46"/>
      <c r="BJ853" s="46"/>
      <c r="BQ853" s="46"/>
      <c r="BT853" s="164"/>
      <c r="BU853" s="164"/>
      <c r="BV853" s="164"/>
    </row>
    <row r="854" spans="2:74" ht="15.75" customHeight="1">
      <c r="B854" s="46"/>
      <c r="BJ854" s="46"/>
      <c r="BQ854" s="46"/>
      <c r="BT854" s="164"/>
      <c r="BU854" s="164"/>
      <c r="BV854" s="164"/>
    </row>
    <row r="855" spans="2:74" ht="15.75" customHeight="1">
      <c r="B855" s="46"/>
      <c r="BJ855" s="46"/>
      <c r="BQ855" s="46"/>
      <c r="BT855" s="164"/>
      <c r="BU855" s="164"/>
      <c r="BV855" s="164"/>
    </row>
    <row r="856" spans="2:74" ht="15.75" customHeight="1">
      <c r="B856" s="46"/>
      <c r="BJ856" s="46"/>
      <c r="BQ856" s="46"/>
      <c r="BT856" s="164"/>
      <c r="BU856" s="164"/>
      <c r="BV856" s="164"/>
    </row>
    <row r="857" spans="2:74" ht="15.75" customHeight="1">
      <c r="B857" s="46"/>
      <c r="BJ857" s="46"/>
      <c r="BQ857" s="46"/>
      <c r="BT857" s="164"/>
      <c r="BU857" s="164"/>
      <c r="BV857" s="164"/>
    </row>
    <row r="858" spans="2:74" ht="15.75" customHeight="1">
      <c r="B858" s="46"/>
      <c r="BJ858" s="46"/>
      <c r="BQ858" s="46"/>
      <c r="BT858" s="164"/>
      <c r="BU858" s="164"/>
      <c r="BV858" s="164"/>
    </row>
    <row r="859" spans="2:74" ht="15.75" customHeight="1">
      <c r="B859" s="46"/>
      <c r="BJ859" s="46"/>
      <c r="BQ859" s="46"/>
      <c r="BT859" s="164"/>
      <c r="BU859" s="164"/>
      <c r="BV859" s="164"/>
    </row>
    <row r="860" spans="2:74" ht="15.75" customHeight="1">
      <c r="B860" s="46"/>
      <c r="BJ860" s="46"/>
      <c r="BQ860" s="46"/>
      <c r="BT860" s="164"/>
      <c r="BU860" s="164"/>
      <c r="BV860" s="164"/>
    </row>
    <row r="861" spans="2:74" ht="15.75" customHeight="1">
      <c r="B861" s="46"/>
      <c r="BJ861" s="46"/>
      <c r="BQ861" s="46"/>
      <c r="BT861" s="164"/>
      <c r="BU861" s="164"/>
      <c r="BV861" s="164"/>
    </row>
    <row r="862" spans="2:74" ht="15.75" customHeight="1">
      <c r="B862" s="46"/>
      <c r="BJ862" s="46"/>
      <c r="BQ862" s="46"/>
      <c r="BT862" s="164"/>
      <c r="BU862" s="164"/>
      <c r="BV862" s="164"/>
    </row>
    <row r="863" spans="2:74" ht="15.75" customHeight="1">
      <c r="B863" s="46"/>
      <c r="BJ863" s="46"/>
      <c r="BQ863" s="46"/>
      <c r="BT863" s="164"/>
      <c r="BU863" s="164"/>
      <c r="BV863" s="164"/>
    </row>
    <row r="864" spans="2:74" ht="15.75" customHeight="1">
      <c r="B864" s="46"/>
      <c r="BJ864" s="46"/>
      <c r="BQ864" s="46"/>
      <c r="BT864" s="164"/>
      <c r="BU864" s="164"/>
      <c r="BV864" s="164"/>
    </row>
    <row r="865" spans="2:74" ht="15.75" customHeight="1">
      <c r="B865" s="46"/>
      <c r="BJ865" s="46"/>
      <c r="BQ865" s="46"/>
      <c r="BT865" s="164"/>
      <c r="BU865" s="164"/>
      <c r="BV865" s="164"/>
    </row>
    <row r="866" spans="2:74" ht="15.75" customHeight="1">
      <c r="B866" s="46"/>
      <c r="BJ866" s="46"/>
      <c r="BQ866" s="46"/>
      <c r="BT866" s="164"/>
      <c r="BU866" s="164"/>
      <c r="BV866" s="164"/>
    </row>
    <row r="867" spans="2:74" ht="15.75" customHeight="1">
      <c r="B867" s="46"/>
      <c r="BJ867" s="46"/>
      <c r="BQ867" s="46"/>
      <c r="BT867" s="164"/>
      <c r="BU867" s="164"/>
      <c r="BV867" s="164"/>
    </row>
    <row r="868" spans="2:74" ht="15.75" customHeight="1">
      <c r="B868" s="46"/>
      <c r="BJ868" s="46"/>
      <c r="BQ868" s="46"/>
      <c r="BT868" s="164"/>
      <c r="BU868" s="164"/>
      <c r="BV868" s="164"/>
    </row>
    <row r="869" spans="2:74" ht="15.75" customHeight="1">
      <c r="B869" s="46"/>
      <c r="BJ869" s="46"/>
      <c r="BQ869" s="46"/>
      <c r="BT869" s="164"/>
      <c r="BU869" s="164"/>
      <c r="BV869" s="164"/>
    </row>
    <row r="870" spans="2:74" ht="15.75" customHeight="1">
      <c r="B870" s="46"/>
      <c r="BJ870" s="46"/>
      <c r="BQ870" s="46"/>
      <c r="BT870" s="164"/>
      <c r="BU870" s="164"/>
      <c r="BV870" s="164"/>
    </row>
    <row r="871" spans="2:74" ht="15.75" customHeight="1">
      <c r="B871" s="46"/>
      <c r="BJ871" s="46"/>
      <c r="BQ871" s="46"/>
      <c r="BT871" s="164"/>
      <c r="BU871" s="164"/>
      <c r="BV871" s="164"/>
    </row>
    <row r="872" spans="2:74" ht="15.75" customHeight="1">
      <c r="B872" s="46"/>
      <c r="BJ872" s="46"/>
      <c r="BQ872" s="46"/>
      <c r="BT872" s="164"/>
      <c r="BU872" s="164"/>
      <c r="BV872" s="164"/>
    </row>
    <row r="873" spans="2:74" ht="15.75" customHeight="1">
      <c r="B873" s="46"/>
      <c r="BJ873" s="46"/>
      <c r="BQ873" s="46"/>
      <c r="BT873" s="164"/>
      <c r="BU873" s="164"/>
      <c r="BV873" s="164"/>
    </row>
    <row r="874" spans="2:74" ht="15.75" customHeight="1">
      <c r="B874" s="46"/>
      <c r="BJ874" s="46"/>
      <c r="BQ874" s="46"/>
      <c r="BT874" s="164"/>
      <c r="BU874" s="164"/>
      <c r="BV874" s="164"/>
    </row>
    <row r="875" spans="2:74" ht="15.75" customHeight="1">
      <c r="B875" s="46"/>
      <c r="BJ875" s="46"/>
      <c r="BQ875" s="46"/>
      <c r="BT875" s="164"/>
      <c r="BU875" s="164"/>
      <c r="BV875" s="164"/>
    </row>
    <row r="876" spans="2:74" ht="15.75" customHeight="1">
      <c r="B876" s="46"/>
      <c r="BJ876" s="46"/>
      <c r="BQ876" s="46"/>
      <c r="BT876" s="164"/>
      <c r="BU876" s="164"/>
      <c r="BV876" s="164"/>
    </row>
    <row r="877" spans="2:74" ht="15.75" customHeight="1">
      <c r="B877" s="46"/>
      <c r="BJ877" s="46"/>
      <c r="BQ877" s="46"/>
      <c r="BT877" s="164"/>
      <c r="BU877" s="164"/>
      <c r="BV877" s="164"/>
    </row>
    <row r="878" spans="2:74" ht="15.75" customHeight="1">
      <c r="B878" s="46"/>
      <c r="BJ878" s="46"/>
      <c r="BQ878" s="46"/>
      <c r="BT878" s="164"/>
      <c r="BU878" s="164"/>
      <c r="BV878" s="164"/>
    </row>
    <row r="879" spans="2:74" ht="15.75" customHeight="1">
      <c r="B879" s="46"/>
      <c r="BJ879" s="46"/>
      <c r="BQ879" s="46"/>
      <c r="BT879" s="164"/>
      <c r="BU879" s="164"/>
      <c r="BV879" s="164"/>
    </row>
    <row r="880" spans="2:74" ht="15.75" customHeight="1">
      <c r="B880" s="46"/>
      <c r="BJ880" s="46"/>
      <c r="BQ880" s="46"/>
      <c r="BT880" s="164"/>
      <c r="BU880" s="164"/>
      <c r="BV880" s="164"/>
    </row>
    <row r="881" spans="2:74" ht="15.75" customHeight="1">
      <c r="B881" s="46"/>
      <c r="BJ881" s="46"/>
      <c r="BQ881" s="46"/>
      <c r="BT881" s="164"/>
      <c r="BU881" s="164"/>
      <c r="BV881" s="164"/>
    </row>
    <row r="882" spans="2:74" ht="15.75" customHeight="1">
      <c r="B882" s="46"/>
      <c r="BJ882" s="46"/>
      <c r="BQ882" s="46"/>
      <c r="BT882" s="164"/>
      <c r="BU882" s="164"/>
      <c r="BV882" s="164"/>
    </row>
    <row r="883" spans="2:74" ht="15.75" customHeight="1">
      <c r="B883" s="46"/>
      <c r="BJ883" s="46"/>
      <c r="BQ883" s="46"/>
      <c r="BT883" s="164"/>
      <c r="BU883" s="164"/>
      <c r="BV883" s="164"/>
    </row>
    <row r="884" spans="2:74" ht="15.75" customHeight="1">
      <c r="B884" s="46"/>
      <c r="BJ884" s="46"/>
      <c r="BQ884" s="46"/>
      <c r="BT884" s="164"/>
      <c r="BU884" s="164"/>
      <c r="BV884" s="164"/>
    </row>
    <row r="885" spans="2:74" ht="15.75" customHeight="1">
      <c r="B885" s="46"/>
      <c r="BJ885" s="46"/>
      <c r="BQ885" s="46"/>
      <c r="BT885" s="164"/>
      <c r="BU885" s="164"/>
      <c r="BV885" s="164"/>
    </row>
    <row r="886" spans="2:74" ht="15.75" customHeight="1">
      <c r="B886" s="46"/>
      <c r="BJ886" s="46"/>
      <c r="BQ886" s="46"/>
      <c r="BT886" s="164"/>
      <c r="BU886" s="164"/>
      <c r="BV886" s="164"/>
    </row>
    <row r="887" spans="2:74" ht="15.75" customHeight="1">
      <c r="B887" s="46"/>
      <c r="BJ887" s="46"/>
      <c r="BQ887" s="46"/>
      <c r="BT887" s="164"/>
      <c r="BU887" s="164"/>
      <c r="BV887" s="164"/>
    </row>
    <row r="888" spans="2:74" ht="15.75" customHeight="1">
      <c r="B888" s="46"/>
      <c r="BJ888" s="46"/>
      <c r="BQ888" s="46"/>
      <c r="BT888" s="164"/>
      <c r="BU888" s="164"/>
      <c r="BV888" s="164"/>
    </row>
    <row r="889" spans="2:74" ht="15.75" customHeight="1">
      <c r="B889" s="46"/>
      <c r="BJ889" s="46"/>
      <c r="BQ889" s="46"/>
      <c r="BT889" s="164"/>
      <c r="BU889" s="164"/>
      <c r="BV889" s="164"/>
    </row>
    <row r="890" spans="2:74" ht="15.75" customHeight="1">
      <c r="B890" s="46"/>
      <c r="BJ890" s="46"/>
      <c r="BQ890" s="46"/>
      <c r="BT890" s="164"/>
      <c r="BU890" s="164"/>
      <c r="BV890" s="164"/>
    </row>
    <row r="891" spans="2:74" ht="15.75" customHeight="1">
      <c r="B891" s="46"/>
      <c r="BJ891" s="46"/>
      <c r="BQ891" s="46"/>
      <c r="BT891" s="164"/>
      <c r="BU891" s="164"/>
      <c r="BV891" s="164"/>
    </row>
    <row r="892" spans="2:74" ht="15.75" customHeight="1">
      <c r="B892" s="46"/>
      <c r="BJ892" s="46"/>
      <c r="BQ892" s="46"/>
      <c r="BT892" s="164"/>
      <c r="BU892" s="164"/>
      <c r="BV892" s="164"/>
    </row>
    <row r="893" spans="2:74" ht="15.75" customHeight="1">
      <c r="B893" s="46"/>
      <c r="BJ893" s="46"/>
      <c r="BQ893" s="46"/>
      <c r="BT893" s="164"/>
      <c r="BU893" s="164"/>
      <c r="BV893" s="164"/>
    </row>
    <row r="894" spans="2:74" ht="15.75" customHeight="1">
      <c r="B894" s="46"/>
      <c r="BJ894" s="46"/>
      <c r="BQ894" s="46"/>
      <c r="BT894" s="164"/>
      <c r="BU894" s="164"/>
      <c r="BV894" s="164"/>
    </row>
    <row r="895" spans="2:74" ht="15.75" customHeight="1">
      <c r="B895" s="46"/>
      <c r="BJ895" s="46"/>
      <c r="BQ895" s="46"/>
      <c r="BT895" s="164"/>
      <c r="BU895" s="164"/>
      <c r="BV895" s="164"/>
    </row>
    <row r="896" spans="2:74" ht="15.75" customHeight="1">
      <c r="B896" s="46"/>
      <c r="BJ896" s="46"/>
      <c r="BQ896" s="46"/>
      <c r="BT896" s="164"/>
      <c r="BU896" s="164"/>
      <c r="BV896" s="164"/>
    </row>
    <row r="897" spans="2:74" ht="15.75" customHeight="1">
      <c r="B897" s="46"/>
      <c r="BJ897" s="46"/>
      <c r="BQ897" s="46"/>
      <c r="BT897" s="164"/>
      <c r="BU897" s="164"/>
      <c r="BV897" s="164"/>
    </row>
    <row r="898" spans="2:74" ht="15.75" customHeight="1">
      <c r="B898" s="46"/>
      <c r="BJ898" s="46"/>
      <c r="BQ898" s="46"/>
      <c r="BT898" s="164"/>
      <c r="BU898" s="164"/>
      <c r="BV898" s="164"/>
    </row>
    <row r="899" spans="2:74" ht="15.75" customHeight="1">
      <c r="B899" s="46"/>
      <c r="BJ899" s="46"/>
      <c r="BQ899" s="46"/>
      <c r="BT899" s="164"/>
      <c r="BU899" s="164"/>
      <c r="BV899" s="164"/>
    </row>
    <row r="900" spans="2:74" ht="15.75" customHeight="1">
      <c r="B900" s="46"/>
      <c r="BJ900" s="46"/>
      <c r="BQ900" s="46"/>
      <c r="BT900" s="164"/>
      <c r="BU900" s="164"/>
      <c r="BV900" s="164"/>
    </row>
    <row r="901" spans="2:74" ht="15.75" customHeight="1">
      <c r="B901" s="46"/>
      <c r="BJ901" s="46"/>
      <c r="BQ901" s="46"/>
      <c r="BT901" s="164"/>
      <c r="BU901" s="164"/>
      <c r="BV901" s="164"/>
    </row>
    <row r="902" spans="2:74" ht="15.75" customHeight="1">
      <c r="B902" s="46"/>
      <c r="BJ902" s="46"/>
      <c r="BQ902" s="46"/>
      <c r="BT902" s="164"/>
      <c r="BU902" s="164"/>
      <c r="BV902" s="164"/>
    </row>
    <row r="903" spans="2:74" ht="15.75" customHeight="1">
      <c r="B903" s="46"/>
      <c r="BJ903" s="46"/>
      <c r="BQ903" s="46"/>
      <c r="BT903" s="164"/>
      <c r="BU903" s="164"/>
      <c r="BV903" s="164"/>
    </row>
    <row r="904" spans="2:74" ht="15.75" customHeight="1">
      <c r="B904" s="46"/>
      <c r="BJ904" s="46"/>
      <c r="BQ904" s="46"/>
      <c r="BT904" s="164"/>
      <c r="BU904" s="164"/>
      <c r="BV904" s="164"/>
    </row>
    <row r="905" spans="2:74" ht="15.75" customHeight="1">
      <c r="B905" s="46"/>
      <c r="BJ905" s="46"/>
      <c r="BQ905" s="46"/>
      <c r="BT905" s="164"/>
      <c r="BU905" s="164"/>
      <c r="BV905" s="164"/>
    </row>
    <row r="906" spans="2:74" ht="15.75" customHeight="1">
      <c r="B906" s="46"/>
      <c r="BJ906" s="46"/>
      <c r="BQ906" s="46"/>
      <c r="BT906" s="164"/>
      <c r="BU906" s="164"/>
      <c r="BV906" s="164"/>
    </row>
    <row r="907" spans="2:74" ht="15.75" customHeight="1">
      <c r="B907" s="46"/>
      <c r="BJ907" s="46"/>
      <c r="BQ907" s="46"/>
      <c r="BT907" s="164"/>
      <c r="BU907" s="164"/>
      <c r="BV907" s="164"/>
    </row>
    <row r="908" spans="2:74" ht="15.75" customHeight="1">
      <c r="B908" s="46"/>
      <c r="BJ908" s="46"/>
      <c r="BQ908" s="46"/>
      <c r="BT908" s="164"/>
      <c r="BU908" s="164"/>
      <c r="BV908" s="164"/>
    </row>
    <row r="909" spans="2:74" ht="15.75" customHeight="1">
      <c r="B909" s="46"/>
      <c r="BJ909" s="46"/>
      <c r="BQ909" s="46"/>
      <c r="BT909" s="164"/>
      <c r="BU909" s="164"/>
      <c r="BV909" s="164"/>
    </row>
    <row r="910" spans="2:74" ht="15.75" customHeight="1">
      <c r="B910" s="46"/>
      <c r="BJ910" s="46"/>
      <c r="BQ910" s="46"/>
      <c r="BT910" s="164"/>
      <c r="BU910" s="164"/>
      <c r="BV910" s="164"/>
    </row>
    <row r="911" spans="2:74" ht="15.75" customHeight="1">
      <c r="B911" s="46"/>
      <c r="BJ911" s="46"/>
      <c r="BQ911" s="46"/>
      <c r="BT911" s="164"/>
      <c r="BU911" s="164"/>
      <c r="BV911" s="164"/>
    </row>
    <row r="912" spans="2:74" ht="15.75" customHeight="1">
      <c r="B912" s="46"/>
      <c r="BJ912" s="46"/>
      <c r="BQ912" s="46"/>
      <c r="BT912" s="164"/>
      <c r="BU912" s="164"/>
      <c r="BV912" s="164"/>
    </row>
    <row r="913" spans="2:74" ht="15.75" customHeight="1">
      <c r="B913" s="46"/>
      <c r="BJ913" s="46"/>
      <c r="BQ913" s="46"/>
      <c r="BT913" s="164"/>
      <c r="BU913" s="164"/>
      <c r="BV913" s="164"/>
    </row>
    <row r="914" spans="2:74" ht="15.75" customHeight="1">
      <c r="B914" s="46"/>
      <c r="BJ914" s="46"/>
      <c r="BQ914" s="46"/>
      <c r="BT914" s="164"/>
      <c r="BU914" s="164"/>
      <c r="BV914" s="164"/>
    </row>
    <row r="915" spans="2:74" ht="15.75" customHeight="1">
      <c r="B915" s="46"/>
      <c r="BJ915" s="46"/>
      <c r="BQ915" s="46"/>
      <c r="BT915" s="164"/>
      <c r="BU915" s="164"/>
      <c r="BV915" s="164"/>
    </row>
    <row r="916" spans="2:74" ht="15.75" customHeight="1">
      <c r="B916" s="46"/>
      <c r="BJ916" s="46"/>
      <c r="BQ916" s="46"/>
      <c r="BT916" s="164"/>
      <c r="BU916" s="164"/>
      <c r="BV916" s="164"/>
    </row>
    <row r="917" spans="2:74" ht="15.75" customHeight="1">
      <c r="B917" s="46"/>
      <c r="BJ917" s="46"/>
      <c r="BQ917" s="46"/>
      <c r="BT917" s="164"/>
      <c r="BU917" s="164"/>
      <c r="BV917" s="164"/>
    </row>
    <row r="918" spans="2:74" ht="15.75" customHeight="1">
      <c r="B918" s="46"/>
      <c r="BJ918" s="46"/>
      <c r="BQ918" s="46"/>
      <c r="BT918" s="164"/>
      <c r="BU918" s="164"/>
      <c r="BV918" s="164"/>
    </row>
    <row r="919" spans="2:74" ht="15.75" customHeight="1">
      <c r="B919" s="46"/>
      <c r="BJ919" s="46"/>
      <c r="BQ919" s="46"/>
      <c r="BT919" s="164"/>
      <c r="BU919" s="164"/>
      <c r="BV919" s="164"/>
    </row>
    <row r="920" spans="2:74" ht="15.75" customHeight="1">
      <c r="B920" s="46"/>
      <c r="BJ920" s="46"/>
      <c r="BQ920" s="46"/>
      <c r="BT920" s="164"/>
      <c r="BU920" s="164"/>
      <c r="BV920" s="164"/>
    </row>
    <row r="921" spans="2:74" ht="15.75" customHeight="1">
      <c r="B921" s="46"/>
      <c r="BJ921" s="46"/>
      <c r="BQ921" s="46"/>
      <c r="BT921" s="164"/>
      <c r="BU921" s="164"/>
      <c r="BV921" s="164"/>
    </row>
    <row r="922" spans="2:74" ht="15.75" customHeight="1">
      <c r="B922" s="46"/>
      <c r="BJ922" s="46"/>
      <c r="BQ922" s="46"/>
      <c r="BT922" s="164"/>
      <c r="BU922" s="164"/>
      <c r="BV922" s="164"/>
    </row>
    <row r="923" spans="2:74" ht="15.75" customHeight="1">
      <c r="B923" s="46"/>
      <c r="BJ923" s="46"/>
      <c r="BQ923" s="46"/>
      <c r="BT923" s="164"/>
      <c r="BU923" s="164"/>
      <c r="BV923" s="164"/>
    </row>
    <row r="924" spans="2:74" ht="15.75" customHeight="1">
      <c r="B924" s="46"/>
      <c r="BJ924" s="46"/>
      <c r="BQ924" s="46"/>
      <c r="BT924" s="164"/>
      <c r="BU924" s="164"/>
      <c r="BV924" s="164"/>
    </row>
    <row r="925" spans="2:74" ht="15.75" customHeight="1">
      <c r="B925" s="46"/>
      <c r="BJ925" s="46"/>
      <c r="BQ925" s="46"/>
      <c r="BT925" s="164"/>
      <c r="BU925" s="164"/>
      <c r="BV925" s="164"/>
    </row>
    <row r="926" spans="2:74" ht="15.75" customHeight="1">
      <c r="B926" s="46"/>
      <c r="BJ926" s="46"/>
      <c r="BQ926" s="46"/>
      <c r="BT926" s="164"/>
      <c r="BU926" s="164"/>
      <c r="BV926" s="164"/>
    </row>
    <row r="927" spans="2:74" ht="15.75" customHeight="1">
      <c r="B927" s="46"/>
      <c r="BJ927" s="46"/>
      <c r="BQ927" s="46"/>
      <c r="BT927" s="164"/>
      <c r="BU927" s="164"/>
      <c r="BV927" s="164"/>
    </row>
    <row r="928" spans="2:74" ht="15.75" customHeight="1">
      <c r="B928" s="46"/>
      <c r="BJ928" s="46"/>
      <c r="BQ928" s="46"/>
      <c r="BT928" s="164"/>
      <c r="BU928" s="164"/>
      <c r="BV928" s="164"/>
    </row>
    <row r="929" spans="2:74" ht="15.75" customHeight="1">
      <c r="B929" s="46"/>
      <c r="BJ929" s="46"/>
      <c r="BQ929" s="46"/>
      <c r="BT929" s="164"/>
      <c r="BU929" s="164"/>
      <c r="BV929" s="164"/>
    </row>
    <row r="930" spans="2:74" ht="15.75" customHeight="1">
      <c r="B930" s="46"/>
      <c r="BJ930" s="46"/>
      <c r="BQ930" s="46"/>
      <c r="BT930" s="164"/>
      <c r="BU930" s="164"/>
      <c r="BV930" s="164"/>
    </row>
    <row r="931" spans="2:74" ht="15.75" customHeight="1">
      <c r="B931" s="46"/>
      <c r="BJ931" s="46"/>
      <c r="BQ931" s="46"/>
      <c r="BT931" s="164"/>
      <c r="BU931" s="164"/>
      <c r="BV931" s="164"/>
    </row>
    <row r="932" spans="2:74" ht="15.75" customHeight="1">
      <c r="B932" s="46"/>
      <c r="BJ932" s="46"/>
      <c r="BQ932" s="46"/>
      <c r="BT932" s="164"/>
      <c r="BU932" s="164"/>
      <c r="BV932" s="164"/>
    </row>
    <row r="933" spans="2:74" ht="15.75" customHeight="1">
      <c r="B933" s="46"/>
      <c r="BJ933" s="46"/>
      <c r="BQ933" s="46"/>
      <c r="BT933" s="164"/>
      <c r="BU933" s="164"/>
      <c r="BV933" s="164"/>
    </row>
    <row r="934" spans="2:74" ht="15.75" customHeight="1">
      <c r="B934" s="46"/>
      <c r="BJ934" s="46"/>
      <c r="BQ934" s="46"/>
      <c r="BT934" s="164"/>
      <c r="BU934" s="164"/>
      <c r="BV934" s="164"/>
    </row>
    <row r="935" spans="2:74" ht="15.75" customHeight="1">
      <c r="B935" s="46"/>
      <c r="BJ935" s="46"/>
      <c r="BQ935" s="46"/>
      <c r="BT935" s="164"/>
      <c r="BU935" s="164"/>
      <c r="BV935" s="164"/>
    </row>
    <row r="936" spans="2:74" ht="15.75" customHeight="1">
      <c r="B936" s="46"/>
      <c r="BJ936" s="46"/>
      <c r="BQ936" s="46"/>
      <c r="BT936" s="164"/>
      <c r="BU936" s="164"/>
      <c r="BV936" s="164"/>
    </row>
    <row r="937" spans="2:74" ht="15.75" customHeight="1">
      <c r="B937" s="46"/>
      <c r="BJ937" s="46"/>
      <c r="BQ937" s="46"/>
      <c r="BT937" s="164"/>
      <c r="BU937" s="164"/>
      <c r="BV937" s="164"/>
    </row>
    <row r="938" spans="2:74" ht="15.75" customHeight="1">
      <c r="B938" s="46"/>
      <c r="BJ938" s="46"/>
      <c r="BQ938" s="46"/>
      <c r="BT938" s="164"/>
      <c r="BU938" s="164"/>
      <c r="BV938" s="164"/>
    </row>
    <row r="939" spans="2:74" ht="15.75" customHeight="1">
      <c r="B939" s="46"/>
      <c r="BJ939" s="46"/>
      <c r="BQ939" s="46"/>
      <c r="BT939" s="164"/>
      <c r="BU939" s="164"/>
      <c r="BV939" s="164"/>
    </row>
    <row r="940" spans="2:74" ht="15.75" customHeight="1">
      <c r="B940" s="46"/>
      <c r="BJ940" s="46"/>
      <c r="BQ940" s="46"/>
      <c r="BT940" s="164"/>
      <c r="BU940" s="164"/>
      <c r="BV940" s="164"/>
    </row>
    <row r="941" spans="2:74" ht="15.75" customHeight="1">
      <c r="B941" s="46"/>
      <c r="BJ941" s="46"/>
      <c r="BQ941" s="46"/>
      <c r="BT941" s="164"/>
      <c r="BU941" s="164"/>
      <c r="BV941" s="164"/>
    </row>
    <row r="942" spans="2:74" ht="15.75" customHeight="1">
      <c r="B942" s="46"/>
      <c r="BJ942" s="46"/>
      <c r="BQ942" s="46"/>
      <c r="BT942" s="164"/>
      <c r="BU942" s="164"/>
      <c r="BV942" s="164"/>
    </row>
    <row r="943" spans="2:74" ht="15.75" customHeight="1">
      <c r="B943" s="46"/>
      <c r="BJ943" s="46"/>
      <c r="BQ943" s="46"/>
      <c r="BT943" s="164"/>
      <c r="BU943" s="164"/>
      <c r="BV943" s="164"/>
    </row>
    <row r="944" spans="2:74" ht="15.75" customHeight="1">
      <c r="B944" s="46"/>
      <c r="BJ944" s="46"/>
      <c r="BQ944" s="46"/>
      <c r="BT944" s="164"/>
      <c r="BU944" s="164"/>
      <c r="BV944" s="164"/>
    </row>
    <row r="945" spans="2:74" ht="15.75" customHeight="1">
      <c r="B945" s="46"/>
      <c r="BJ945" s="46"/>
      <c r="BQ945" s="46"/>
      <c r="BT945" s="164"/>
      <c r="BU945" s="164"/>
      <c r="BV945" s="164"/>
    </row>
    <row r="946" spans="2:74" ht="15.75" customHeight="1">
      <c r="B946" s="46"/>
      <c r="BJ946" s="46"/>
      <c r="BQ946" s="46"/>
      <c r="BT946" s="164"/>
      <c r="BU946" s="164"/>
      <c r="BV946" s="164"/>
    </row>
    <row r="947" spans="2:74" ht="15.75" customHeight="1">
      <c r="B947" s="46"/>
      <c r="BJ947" s="46"/>
      <c r="BQ947" s="46"/>
      <c r="BT947" s="164"/>
      <c r="BU947" s="164"/>
      <c r="BV947" s="164"/>
    </row>
    <row r="948" spans="2:74" ht="15.75" customHeight="1">
      <c r="B948" s="46"/>
      <c r="BJ948" s="46"/>
      <c r="BQ948" s="46"/>
      <c r="BT948" s="164"/>
      <c r="BU948" s="164"/>
      <c r="BV948" s="164"/>
    </row>
    <row r="949" spans="2:74" ht="15.75" customHeight="1">
      <c r="B949" s="46"/>
      <c r="BJ949" s="46"/>
      <c r="BQ949" s="46"/>
      <c r="BT949" s="164"/>
      <c r="BU949" s="164"/>
      <c r="BV949" s="164"/>
    </row>
    <row r="950" spans="2:74" ht="15.75" customHeight="1">
      <c r="B950" s="46"/>
      <c r="BJ950" s="46"/>
      <c r="BQ950" s="46"/>
      <c r="BT950" s="164"/>
      <c r="BU950" s="164"/>
      <c r="BV950" s="164"/>
    </row>
    <row r="951" spans="2:74" ht="15.75" customHeight="1">
      <c r="B951" s="46"/>
      <c r="BJ951" s="46"/>
      <c r="BQ951" s="46"/>
      <c r="BT951" s="164"/>
      <c r="BU951" s="164"/>
      <c r="BV951" s="164"/>
    </row>
    <row r="952" spans="2:74" ht="15.75" customHeight="1">
      <c r="B952" s="46"/>
      <c r="BJ952" s="46"/>
      <c r="BQ952" s="46"/>
      <c r="BT952" s="164"/>
      <c r="BU952" s="164"/>
      <c r="BV952" s="164"/>
    </row>
    <row r="953" spans="2:74" ht="15.75" customHeight="1">
      <c r="B953" s="46"/>
      <c r="BJ953" s="46"/>
      <c r="BQ953" s="46"/>
      <c r="BT953" s="164"/>
      <c r="BU953" s="164"/>
      <c r="BV953" s="164"/>
    </row>
    <row r="954" spans="2:74" ht="15.75" customHeight="1">
      <c r="B954" s="46"/>
      <c r="BJ954" s="46"/>
      <c r="BQ954" s="46"/>
      <c r="BT954" s="164"/>
      <c r="BU954" s="164"/>
      <c r="BV954" s="164"/>
    </row>
    <row r="955" spans="2:74" ht="15.75" customHeight="1">
      <c r="B955" s="46"/>
      <c r="BJ955" s="46"/>
      <c r="BQ955" s="46"/>
      <c r="BT955" s="164"/>
      <c r="BU955" s="164"/>
      <c r="BV955" s="164"/>
    </row>
    <row r="956" spans="2:74" ht="15.75" customHeight="1">
      <c r="B956" s="46"/>
      <c r="BJ956" s="46"/>
      <c r="BQ956" s="46"/>
      <c r="BT956" s="164"/>
      <c r="BU956" s="164"/>
      <c r="BV956" s="164"/>
    </row>
    <row r="957" spans="2:74" ht="15.75" customHeight="1">
      <c r="B957" s="46"/>
      <c r="BJ957" s="46"/>
      <c r="BQ957" s="46"/>
      <c r="BT957" s="164"/>
      <c r="BU957" s="164"/>
      <c r="BV957" s="164"/>
    </row>
    <row r="958" spans="2:74" ht="15.75" customHeight="1">
      <c r="B958" s="46"/>
      <c r="BJ958" s="46"/>
      <c r="BQ958" s="46"/>
      <c r="BT958" s="164"/>
      <c r="BU958" s="164"/>
      <c r="BV958" s="164"/>
    </row>
    <row r="959" spans="2:74" ht="15.75" customHeight="1">
      <c r="B959" s="46"/>
      <c r="BJ959" s="46"/>
      <c r="BQ959" s="46"/>
      <c r="BT959" s="164"/>
      <c r="BU959" s="164"/>
      <c r="BV959" s="164"/>
    </row>
    <row r="960" spans="2:74" ht="15.75" customHeight="1">
      <c r="B960" s="46"/>
      <c r="BJ960" s="46"/>
      <c r="BQ960" s="46"/>
      <c r="BT960" s="164"/>
      <c r="BU960" s="164"/>
      <c r="BV960" s="164"/>
    </row>
    <row r="961" spans="2:74" ht="15.75" customHeight="1">
      <c r="B961" s="46"/>
      <c r="BJ961" s="46"/>
      <c r="BQ961" s="46"/>
      <c r="BT961" s="164"/>
      <c r="BU961" s="164"/>
      <c r="BV961" s="164"/>
    </row>
    <row r="962" spans="2:74" ht="15.75" customHeight="1">
      <c r="B962" s="46"/>
      <c r="BJ962" s="46"/>
      <c r="BQ962" s="46"/>
      <c r="BT962" s="164"/>
      <c r="BU962" s="164"/>
      <c r="BV962" s="164"/>
    </row>
    <row r="963" spans="2:74" ht="15.75" customHeight="1">
      <c r="B963" s="46"/>
      <c r="BJ963" s="46"/>
      <c r="BQ963" s="46"/>
      <c r="BT963" s="164"/>
      <c r="BU963" s="164"/>
      <c r="BV963" s="164"/>
    </row>
    <row r="964" spans="2:74" ht="15.75" customHeight="1">
      <c r="B964" s="46"/>
      <c r="BJ964" s="46"/>
      <c r="BQ964" s="46"/>
      <c r="BT964" s="164"/>
      <c r="BU964" s="164"/>
      <c r="BV964" s="164"/>
    </row>
    <row r="965" spans="2:74" ht="15.75" customHeight="1">
      <c r="B965" s="46"/>
      <c r="BJ965" s="46"/>
      <c r="BQ965" s="46"/>
      <c r="BT965" s="164"/>
      <c r="BU965" s="164"/>
      <c r="BV965" s="164"/>
    </row>
    <row r="966" spans="2:74" ht="15.75" customHeight="1">
      <c r="B966" s="46"/>
      <c r="BJ966" s="46"/>
      <c r="BQ966" s="46"/>
      <c r="BT966" s="164"/>
      <c r="BU966" s="164"/>
      <c r="BV966" s="164"/>
    </row>
    <row r="967" spans="2:74" ht="15.75" customHeight="1">
      <c r="B967" s="46"/>
      <c r="BJ967" s="46"/>
      <c r="BQ967" s="46"/>
      <c r="BT967" s="164"/>
      <c r="BU967" s="164"/>
      <c r="BV967" s="164"/>
    </row>
    <row r="968" spans="2:74" ht="15.75" customHeight="1">
      <c r="B968" s="46"/>
      <c r="BJ968" s="46"/>
      <c r="BQ968" s="46"/>
      <c r="BT968" s="164"/>
      <c r="BU968" s="164"/>
      <c r="BV968" s="164"/>
    </row>
    <row r="969" spans="2:74" ht="15.75" customHeight="1">
      <c r="B969" s="46"/>
      <c r="BJ969" s="46"/>
      <c r="BQ969" s="46"/>
      <c r="BT969" s="164"/>
      <c r="BU969" s="164"/>
      <c r="BV969" s="164"/>
    </row>
    <row r="970" spans="2:74" ht="15.75" customHeight="1">
      <c r="B970" s="46"/>
      <c r="BJ970" s="46"/>
      <c r="BQ970" s="46"/>
      <c r="BT970" s="164"/>
      <c r="BU970" s="164"/>
      <c r="BV970" s="164"/>
    </row>
    <row r="971" spans="2:74" ht="15.75" customHeight="1">
      <c r="B971" s="46"/>
      <c r="BJ971" s="46"/>
      <c r="BQ971" s="46"/>
      <c r="BT971" s="164"/>
      <c r="BU971" s="164"/>
      <c r="BV971" s="164"/>
    </row>
    <row r="972" spans="2:74" ht="15.75" customHeight="1">
      <c r="B972" s="46"/>
      <c r="BJ972" s="46"/>
      <c r="BQ972" s="46"/>
      <c r="BT972" s="164"/>
      <c r="BU972" s="164"/>
      <c r="BV972" s="164"/>
    </row>
    <row r="973" spans="2:74" ht="15.75" customHeight="1">
      <c r="B973" s="46"/>
      <c r="BJ973" s="46"/>
      <c r="BQ973" s="46"/>
      <c r="BT973" s="164"/>
      <c r="BU973" s="164"/>
      <c r="BV973" s="164"/>
    </row>
    <row r="974" spans="2:74" ht="15.75" customHeight="1">
      <c r="B974" s="46"/>
      <c r="BJ974" s="46"/>
      <c r="BQ974" s="46"/>
      <c r="BT974" s="164"/>
      <c r="BU974" s="164"/>
      <c r="BV974" s="164"/>
    </row>
    <row r="975" spans="2:74" ht="15.75" customHeight="1">
      <c r="B975" s="46"/>
      <c r="BJ975" s="46"/>
      <c r="BQ975" s="46"/>
      <c r="BT975" s="164"/>
      <c r="BU975" s="164"/>
      <c r="BV975" s="164"/>
    </row>
    <row r="976" spans="2:74" ht="15.75" customHeight="1">
      <c r="B976" s="46"/>
      <c r="BJ976" s="46"/>
      <c r="BQ976" s="46"/>
      <c r="BT976" s="164"/>
      <c r="BU976" s="164"/>
      <c r="BV976" s="164"/>
    </row>
    <row r="977" spans="2:74" ht="15.75" customHeight="1">
      <c r="B977" s="46"/>
      <c r="BJ977" s="46"/>
      <c r="BQ977" s="46"/>
      <c r="BT977" s="164"/>
      <c r="BU977" s="164"/>
      <c r="BV977" s="164"/>
    </row>
    <row r="978" spans="2:74" ht="15.75" customHeight="1">
      <c r="B978" s="46"/>
      <c r="BJ978" s="46"/>
      <c r="BQ978" s="46"/>
      <c r="BT978" s="164"/>
      <c r="BU978" s="164"/>
      <c r="BV978" s="164"/>
    </row>
    <row r="979" spans="2:74" ht="15.75" customHeight="1">
      <c r="B979" s="46"/>
      <c r="BJ979" s="46"/>
      <c r="BQ979" s="46"/>
      <c r="BT979" s="164"/>
      <c r="BU979" s="164"/>
      <c r="BV979" s="164"/>
    </row>
    <row r="980" spans="2:74" ht="15.75" customHeight="1">
      <c r="B980" s="46"/>
      <c r="BJ980" s="46"/>
      <c r="BQ980" s="46"/>
      <c r="BT980" s="164"/>
      <c r="BU980" s="164"/>
      <c r="BV980" s="164"/>
    </row>
    <row r="981" spans="2:74" ht="15.75" customHeight="1">
      <c r="B981" s="46"/>
      <c r="BJ981" s="46"/>
      <c r="BQ981" s="46"/>
      <c r="BT981" s="164"/>
      <c r="BU981" s="164"/>
      <c r="BV981" s="164"/>
    </row>
    <row r="982" spans="2:74" ht="15.75" customHeight="1">
      <c r="B982" s="46"/>
      <c r="BJ982" s="46"/>
      <c r="BQ982" s="46"/>
      <c r="BT982" s="164"/>
      <c r="BU982" s="164"/>
      <c r="BV982" s="164"/>
    </row>
    <row r="983" spans="2:74" ht="15.75" customHeight="1">
      <c r="B983" s="46"/>
      <c r="BJ983" s="46"/>
      <c r="BQ983" s="46"/>
      <c r="BT983" s="164"/>
      <c r="BU983" s="164"/>
      <c r="BV983" s="164"/>
    </row>
    <row r="984" spans="2:74" ht="15.75" customHeight="1">
      <c r="B984" s="46"/>
      <c r="BJ984" s="46"/>
      <c r="BQ984" s="46"/>
      <c r="BT984" s="164"/>
      <c r="BU984" s="164"/>
      <c r="BV984" s="164"/>
    </row>
    <row r="985" spans="2:74" ht="15.75" customHeight="1">
      <c r="B985" s="46"/>
      <c r="BJ985" s="46"/>
      <c r="BQ985" s="46"/>
      <c r="BT985" s="164"/>
      <c r="BU985" s="164"/>
      <c r="BV985" s="164"/>
    </row>
    <row r="986" spans="2:74" ht="15.75" customHeight="1">
      <c r="B986" s="46"/>
      <c r="BJ986" s="46"/>
      <c r="BQ986" s="46"/>
      <c r="BT986" s="164"/>
      <c r="BU986" s="164"/>
      <c r="BV986" s="164"/>
    </row>
    <row r="987" spans="2:74" ht="15.75" customHeight="1">
      <c r="B987" s="46"/>
      <c r="BJ987" s="46"/>
      <c r="BQ987" s="46"/>
      <c r="BT987" s="164"/>
      <c r="BU987" s="164"/>
      <c r="BV987" s="164"/>
    </row>
    <row r="988" spans="2:74" ht="15.75" customHeight="1">
      <c r="B988" s="46"/>
      <c r="BJ988" s="46"/>
      <c r="BQ988" s="46"/>
      <c r="BT988" s="164"/>
      <c r="BU988" s="164"/>
      <c r="BV988" s="164"/>
    </row>
    <row r="989" spans="2:74" ht="15.75" customHeight="1">
      <c r="B989" s="46"/>
      <c r="BJ989" s="46"/>
      <c r="BQ989" s="46"/>
      <c r="BT989" s="164"/>
      <c r="BU989" s="164"/>
      <c r="BV989" s="164"/>
    </row>
  </sheetData>
  <mergeCells count="28">
    <mergeCell ref="BM7:BM8"/>
    <mergeCell ref="BN7:BN8"/>
    <mergeCell ref="BF3:BF4"/>
    <mergeCell ref="BG3:BG4"/>
    <mergeCell ref="BJ7:BJ8"/>
    <mergeCell ref="BK7:BK8"/>
    <mergeCell ref="BL7:BL8"/>
    <mergeCell ref="BJ6:BR6"/>
    <mergeCell ref="BS6:BX6"/>
    <mergeCell ref="A1:BG1"/>
    <mergeCell ref="A2:BG2"/>
    <mergeCell ref="BI2:BI66"/>
    <mergeCell ref="A3:C3"/>
    <mergeCell ref="BD3:BD4"/>
    <mergeCell ref="BE3:BE4"/>
    <mergeCell ref="BH3:BH4"/>
    <mergeCell ref="BO7:BO8"/>
    <mergeCell ref="BP7:BP8"/>
    <mergeCell ref="BQ7:BQ8"/>
    <mergeCell ref="BR7:BR8"/>
    <mergeCell ref="BT7:BV7"/>
    <mergeCell ref="BW7:BW8"/>
    <mergeCell ref="BX7:BX8"/>
    <mergeCell ref="BJ2:BX2"/>
    <mergeCell ref="BJ3:BX3"/>
    <mergeCell ref="BJ4:BX4"/>
    <mergeCell ref="BJ5:BR5"/>
    <mergeCell ref="BS5:BX5"/>
  </mergeCells>
  <conditionalFormatting sqref="BO9:BO66">
    <cfRule type="cellIs" dxfId="11" priority="1" operator="lessThan">
      <formula>75</formula>
    </cfRule>
  </conditionalFormatting>
  <conditionalFormatting sqref="BX9:BX66">
    <cfRule type="cellIs" dxfId="10" priority="2" operator="lessThan">
      <formula>16</formula>
    </cfRule>
  </conditionalFormatting>
  <pageMargins left="0.35155164427975921" right="0.36683649837887916" top="0.25984251968503941" bottom="0.45854562297359897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Z1000"/>
  <sheetViews>
    <sheetView tabSelected="1" workbookViewId="0">
      <selection sqref="A1:BG1"/>
    </sheetView>
  </sheetViews>
  <sheetFormatPr defaultColWidth="14.44140625" defaultRowHeight="15" customHeight="1"/>
  <cols>
    <col min="1" max="1" width="5.33203125" customWidth="1"/>
    <col min="2" max="2" width="17.44140625" customWidth="1"/>
    <col min="3" max="3" width="25" customWidth="1"/>
    <col min="4" max="55" width="4.6640625" hidden="1" customWidth="1"/>
    <col min="56" max="62" width="8.6640625" customWidth="1"/>
    <col min="63" max="63" width="19.33203125" customWidth="1"/>
    <col min="64" max="67" width="8.6640625" customWidth="1"/>
    <col min="68" max="68" width="9.109375" customWidth="1"/>
    <col min="69" max="69" width="13.33203125" customWidth="1"/>
    <col min="70" max="70" width="15.5546875" customWidth="1"/>
    <col min="71" max="73" width="8.6640625" customWidth="1"/>
    <col min="74" max="74" width="17.6640625" customWidth="1"/>
    <col min="75" max="75" width="17.6640625" hidden="1" customWidth="1"/>
    <col min="76" max="76" width="14.33203125" customWidth="1"/>
  </cols>
  <sheetData>
    <row r="1" spans="1:78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</row>
    <row r="2" spans="1:78" ht="18">
      <c r="A2" s="372" t="s">
        <v>90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24"/>
      <c r="BI2" s="369" t="s">
        <v>93</v>
      </c>
      <c r="BJ2" s="358"/>
      <c r="BK2" s="358"/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BW2" s="358"/>
      <c r="BX2" s="358"/>
      <c r="BY2" s="165"/>
      <c r="BZ2" s="166"/>
    </row>
    <row r="3" spans="1:78" ht="66.75" customHeight="1">
      <c r="A3" s="375" t="s">
        <v>1</v>
      </c>
      <c r="B3" s="358"/>
      <c r="C3" s="359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1"/>
      <c r="AQ3" s="91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1"/>
      <c r="BC3" s="91"/>
      <c r="BD3" s="376" t="s">
        <v>96</v>
      </c>
      <c r="BE3" s="376" t="s">
        <v>97</v>
      </c>
      <c r="BF3" s="376" t="s">
        <v>98</v>
      </c>
      <c r="BG3" s="376" t="s">
        <v>99</v>
      </c>
      <c r="BH3" s="378" t="s">
        <v>100</v>
      </c>
      <c r="BI3" s="370" t="s">
        <v>101</v>
      </c>
      <c r="BJ3" s="358"/>
      <c r="BK3" s="358"/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8"/>
      <c r="BY3" s="165"/>
      <c r="BZ3" s="166"/>
    </row>
    <row r="4" spans="1:78" ht="21" customHeight="1">
      <c r="A4" s="94" t="s">
        <v>12</v>
      </c>
      <c r="B4" s="95" t="s">
        <v>13</v>
      </c>
      <c r="C4" s="95" t="s">
        <v>14</v>
      </c>
      <c r="D4" s="96">
        <v>1</v>
      </c>
      <c r="E4" s="96">
        <v>2</v>
      </c>
      <c r="F4" s="96">
        <v>3</v>
      </c>
      <c r="G4" s="96">
        <v>4</v>
      </c>
      <c r="H4" s="96">
        <v>5</v>
      </c>
      <c r="I4" s="96">
        <v>6</v>
      </c>
      <c r="J4" s="96">
        <v>7</v>
      </c>
      <c r="K4" s="96">
        <v>8</v>
      </c>
      <c r="L4" s="96">
        <v>9</v>
      </c>
      <c r="M4" s="96">
        <v>10</v>
      </c>
      <c r="N4" s="96">
        <v>11</v>
      </c>
      <c r="O4" s="96">
        <v>12</v>
      </c>
      <c r="P4" s="96">
        <v>13</v>
      </c>
      <c r="Q4" s="96">
        <v>14</v>
      </c>
      <c r="R4" s="96">
        <v>15</v>
      </c>
      <c r="S4" s="96">
        <v>16</v>
      </c>
      <c r="T4" s="96">
        <v>17</v>
      </c>
      <c r="U4" s="96">
        <v>18</v>
      </c>
      <c r="V4" s="96">
        <v>19</v>
      </c>
      <c r="W4" s="96">
        <v>20</v>
      </c>
      <c r="X4" s="96">
        <v>21</v>
      </c>
      <c r="Y4" s="96">
        <v>22</v>
      </c>
      <c r="Z4" s="96">
        <v>23</v>
      </c>
      <c r="AA4" s="96">
        <v>24</v>
      </c>
      <c r="AB4" s="96">
        <v>25</v>
      </c>
      <c r="AC4" s="96">
        <v>26</v>
      </c>
      <c r="AD4" s="96">
        <v>27</v>
      </c>
      <c r="AE4" s="96">
        <v>28</v>
      </c>
      <c r="AF4" s="96">
        <v>29</v>
      </c>
      <c r="AG4" s="96">
        <v>30</v>
      </c>
      <c r="AH4" s="96">
        <v>31</v>
      </c>
      <c r="AI4" s="96">
        <v>32</v>
      </c>
      <c r="AJ4" s="96">
        <v>33</v>
      </c>
      <c r="AK4" s="96">
        <v>34</v>
      </c>
      <c r="AL4" s="96">
        <v>35</v>
      </c>
      <c r="AM4" s="96">
        <v>36</v>
      </c>
      <c r="AN4" s="96">
        <v>37</v>
      </c>
      <c r="AO4" s="96">
        <v>38</v>
      </c>
      <c r="AP4" s="96">
        <v>39</v>
      </c>
      <c r="AQ4" s="96">
        <v>40</v>
      </c>
      <c r="AR4" s="96">
        <v>41</v>
      </c>
      <c r="AS4" s="96">
        <v>42</v>
      </c>
      <c r="AT4" s="96">
        <v>43</v>
      </c>
      <c r="AU4" s="96">
        <v>44</v>
      </c>
      <c r="AV4" s="96">
        <v>45</v>
      </c>
      <c r="AW4" s="96">
        <v>46</v>
      </c>
      <c r="AX4" s="96">
        <v>47</v>
      </c>
      <c r="AY4" s="96">
        <v>48</v>
      </c>
      <c r="AZ4" s="96">
        <v>49</v>
      </c>
      <c r="BA4" s="96">
        <v>50</v>
      </c>
      <c r="BB4" s="96">
        <v>51</v>
      </c>
      <c r="BC4" s="96">
        <v>52</v>
      </c>
      <c r="BD4" s="377"/>
      <c r="BE4" s="377"/>
      <c r="BF4" s="377"/>
      <c r="BG4" s="377"/>
      <c r="BH4" s="377"/>
      <c r="BI4" s="370" t="s">
        <v>102</v>
      </c>
      <c r="BJ4" s="358"/>
      <c r="BK4" s="358"/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8"/>
      <c r="BY4" s="165"/>
      <c r="BZ4" s="166"/>
    </row>
    <row r="5" spans="1:78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147">
        <v>10</v>
      </c>
      <c r="BE5" s="24">
        <v>4</v>
      </c>
      <c r="BF5" s="147">
        <f t="shared" ref="BF5:BF60" si="0">BD5+BE5</f>
        <v>14</v>
      </c>
      <c r="BG5" s="147">
        <v>48</v>
      </c>
      <c r="BH5" s="101">
        <f t="shared" ref="BH5:BH62" si="1">BF5/BG5</f>
        <v>0.29166666666666669</v>
      </c>
      <c r="BI5" s="392" t="s">
        <v>103</v>
      </c>
      <c r="BJ5" s="358"/>
      <c r="BK5" s="358"/>
      <c r="BL5" s="358"/>
      <c r="BM5" s="358"/>
      <c r="BN5" s="358"/>
      <c r="BO5" s="358"/>
      <c r="BP5" s="358"/>
      <c r="BQ5" s="358"/>
      <c r="BR5" s="393" t="s">
        <v>104</v>
      </c>
      <c r="BS5" s="358"/>
      <c r="BT5" s="358"/>
      <c r="BU5" s="358"/>
      <c r="BV5" s="358"/>
      <c r="BW5" s="358"/>
      <c r="BX5" s="358"/>
      <c r="BY5" s="165"/>
      <c r="BZ5" s="166"/>
    </row>
    <row r="6" spans="1:78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147">
        <v>39</v>
      </c>
      <c r="BE6" s="88"/>
      <c r="BF6" s="147">
        <f t="shared" si="0"/>
        <v>39</v>
      </c>
      <c r="BG6" s="147">
        <v>48</v>
      </c>
      <c r="BH6" s="101">
        <f t="shared" si="1"/>
        <v>0.8125</v>
      </c>
      <c r="BI6" s="394" t="s">
        <v>128</v>
      </c>
      <c r="BJ6" s="358"/>
      <c r="BK6" s="358"/>
      <c r="BL6" s="358"/>
      <c r="BM6" s="358"/>
      <c r="BN6" s="358"/>
      <c r="BO6" s="358"/>
      <c r="BP6" s="358"/>
      <c r="BQ6" s="359"/>
      <c r="BR6" s="386" t="s">
        <v>129</v>
      </c>
      <c r="BS6" s="358"/>
      <c r="BT6" s="358"/>
      <c r="BU6" s="358"/>
      <c r="BV6" s="358"/>
      <c r="BW6" s="358"/>
      <c r="BX6" s="359"/>
    </row>
    <row r="7" spans="1:78" ht="41.25" customHeight="1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147">
        <v>37</v>
      </c>
      <c r="BE7" s="88"/>
      <c r="BF7" s="147">
        <f t="shared" si="0"/>
        <v>37</v>
      </c>
      <c r="BG7" s="147">
        <v>48</v>
      </c>
      <c r="BH7" s="101">
        <f t="shared" si="1"/>
        <v>0.77083333333333337</v>
      </c>
      <c r="BI7" s="389" t="s">
        <v>12</v>
      </c>
      <c r="BJ7" s="389" t="s">
        <v>13</v>
      </c>
      <c r="BK7" s="389" t="s">
        <v>14</v>
      </c>
      <c r="BL7" s="389" t="s">
        <v>107</v>
      </c>
      <c r="BM7" s="389" t="s">
        <v>108</v>
      </c>
      <c r="BN7" s="388" t="s">
        <v>109</v>
      </c>
      <c r="BO7" s="389" t="s">
        <v>110</v>
      </c>
      <c r="BP7" s="389" t="s">
        <v>111</v>
      </c>
      <c r="BQ7" s="389" t="s">
        <v>113</v>
      </c>
      <c r="BR7" s="143" t="s">
        <v>114</v>
      </c>
      <c r="BS7" s="395" t="s">
        <v>115</v>
      </c>
      <c r="BT7" s="358"/>
      <c r="BU7" s="359"/>
      <c r="BV7" s="391" t="s">
        <v>116</v>
      </c>
      <c r="BW7" s="391" t="s">
        <v>117</v>
      </c>
      <c r="BX7" s="389" t="s">
        <v>118</v>
      </c>
    </row>
    <row r="8" spans="1:78" ht="27.6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147">
        <v>0</v>
      </c>
      <c r="BE8" s="88"/>
      <c r="BF8" s="147">
        <f t="shared" si="0"/>
        <v>0</v>
      </c>
      <c r="BG8" s="147">
        <v>48</v>
      </c>
      <c r="BH8" s="101">
        <f t="shared" si="1"/>
        <v>0</v>
      </c>
      <c r="BI8" s="377"/>
      <c r="BJ8" s="377"/>
      <c r="BK8" s="377"/>
      <c r="BL8" s="377"/>
      <c r="BM8" s="377"/>
      <c r="BN8" s="377"/>
      <c r="BO8" s="377"/>
      <c r="BP8" s="377"/>
      <c r="BQ8" s="377"/>
      <c r="BR8" s="143" t="s">
        <v>119</v>
      </c>
      <c r="BS8" s="143">
        <v>1</v>
      </c>
      <c r="BT8" s="143">
        <v>2</v>
      </c>
      <c r="BU8" s="143">
        <v>3</v>
      </c>
      <c r="BV8" s="377"/>
      <c r="BW8" s="377"/>
      <c r="BX8" s="377"/>
    </row>
    <row r="9" spans="1:78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147">
        <v>37</v>
      </c>
      <c r="BE9" s="88"/>
      <c r="BF9" s="147">
        <f t="shared" si="0"/>
        <v>37</v>
      </c>
      <c r="BG9" s="147">
        <v>48</v>
      </c>
      <c r="BH9" s="101">
        <f t="shared" si="1"/>
        <v>0.77083333333333337</v>
      </c>
      <c r="BI9" s="105">
        <f>OVERALL!A4</f>
        <v>1</v>
      </c>
      <c r="BJ9" s="105">
        <f>OVERALL!B4</f>
        <v>2301236</v>
      </c>
      <c r="BK9" s="106" t="str">
        <f>OVERALL!C4</f>
        <v>Manmohan Singh</v>
      </c>
      <c r="BL9" s="167">
        <f t="shared" ref="BL9:BL65" si="2">BG5</f>
        <v>48</v>
      </c>
      <c r="BM9" s="167">
        <f t="shared" ref="BM9:BM66" si="3">BF5</f>
        <v>14</v>
      </c>
      <c r="BN9" s="168">
        <f t="shared" ref="BN9:BN66" si="4">BM9/BL9%</f>
        <v>29.166666666666668</v>
      </c>
      <c r="BO9" s="147" t="str">
        <f t="shared" ref="BO9:BO66" si="5">IF(BN9&gt;=95.5,"6",IF(BN9&gt;=90.5,"5", IF(BN9&gt;=85.5,"4",IF(BN9&gt;=80.5,"3",IF(BN9&gt;=75.5,"2","0")))))</f>
        <v>0</v>
      </c>
      <c r="BP9" s="169">
        <v>10</v>
      </c>
      <c r="BQ9" s="170">
        <v>10</v>
      </c>
      <c r="BR9" s="147">
        <f t="shared" ref="BR9:BR66" si="6">AVERAGE(BP9:BQ9)</f>
        <v>10</v>
      </c>
      <c r="BS9" s="147">
        <v>0</v>
      </c>
      <c r="BT9" s="147">
        <v>0</v>
      </c>
      <c r="BU9" s="147">
        <v>0</v>
      </c>
      <c r="BV9" s="148">
        <f t="shared" ref="BV9:BV66" si="7">AVERAGE(BS9:BU9)</f>
        <v>0</v>
      </c>
      <c r="BW9" s="148"/>
      <c r="BX9" s="151">
        <f t="shared" ref="BX9:BX66" si="8">ROUND(BO9+BR9+BV9+BW9,0)</f>
        <v>10</v>
      </c>
    </row>
    <row r="10" spans="1:78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147">
        <v>44</v>
      </c>
      <c r="BE10" s="88"/>
      <c r="BF10" s="147">
        <f t="shared" si="0"/>
        <v>44</v>
      </c>
      <c r="BG10" s="147">
        <v>48</v>
      </c>
      <c r="BH10" s="101">
        <f t="shared" si="1"/>
        <v>0.91666666666666663</v>
      </c>
      <c r="BI10" s="105">
        <f>OVERALL!A5</f>
        <v>2</v>
      </c>
      <c r="BJ10" s="105">
        <f>OVERALL!B5</f>
        <v>2301237</v>
      </c>
      <c r="BK10" s="106" t="str">
        <f>OVERALL!C5</f>
        <v>Manpreet Kaur</v>
      </c>
      <c r="BL10" s="167">
        <f t="shared" si="2"/>
        <v>48</v>
      </c>
      <c r="BM10" s="167">
        <f t="shared" si="3"/>
        <v>39</v>
      </c>
      <c r="BN10" s="168">
        <f t="shared" si="4"/>
        <v>81.25</v>
      </c>
      <c r="BO10" s="147" t="str">
        <f t="shared" si="5"/>
        <v>3</v>
      </c>
      <c r="BP10" s="171">
        <v>21</v>
      </c>
      <c r="BQ10" s="172">
        <v>20</v>
      </c>
      <c r="BR10" s="147">
        <f t="shared" si="6"/>
        <v>20.5</v>
      </c>
      <c r="BS10" s="147">
        <v>9</v>
      </c>
      <c r="BT10" s="147">
        <v>8</v>
      </c>
      <c r="BU10" s="147">
        <v>8</v>
      </c>
      <c r="BV10" s="148">
        <f t="shared" si="7"/>
        <v>8.3333333333333339</v>
      </c>
      <c r="BW10" s="148"/>
      <c r="BX10" s="151">
        <f t="shared" si="8"/>
        <v>32</v>
      </c>
    </row>
    <row r="11" spans="1:78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147">
        <v>32</v>
      </c>
      <c r="BE11" s="88"/>
      <c r="BF11" s="147">
        <f t="shared" si="0"/>
        <v>32</v>
      </c>
      <c r="BG11" s="147">
        <v>48</v>
      </c>
      <c r="BH11" s="101">
        <f t="shared" si="1"/>
        <v>0.66666666666666663</v>
      </c>
      <c r="BI11" s="105">
        <f>OVERALL!A6</f>
        <v>3</v>
      </c>
      <c r="BJ11" s="105">
        <f>OVERALL!B6</f>
        <v>2301238</v>
      </c>
      <c r="BK11" s="106" t="str">
        <f>OVERALL!C6</f>
        <v>Md Warish Chesam</v>
      </c>
      <c r="BL11" s="167">
        <f t="shared" si="2"/>
        <v>48</v>
      </c>
      <c r="BM11" s="167">
        <f t="shared" si="3"/>
        <v>37</v>
      </c>
      <c r="BN11" s="168">
        <f t="shared" si="4"/>
        <v>77.083333333333343</v>
      </c>
      <c r="BO11" s="147" t="str">
        <f t="shared" si="5"/>
        <v>2</v>
      </c>
      <c r="BP11" s="171">
        <v>5</v>
      </c>
      <c r="BQ11" s="172">
        <v>9</v>
      </c>
      <c r="BR11" s="147">
        <f t="shared" si="6"/>
        <v>7</v>
      </c>
      <c r="BS11" s="147">
        <v>8</v>
      </c>
      <c r="BT11" s="147">
        <v>8</v>
      </c>
      <c r="BU11" s="147">
        <v>7</v>
      </c>
      <c r="BV11" s="148">
        <f t="shared" si="7"/>
        <v>7.666666666666667</v>
      </c>
      <c r="BW11" s="148"/>
      <c r="BX11" s="151">
        <f t="shared" si="8"/>
        <v>17</v>
      </c>
    </row>
    <row r="12" spans="1:78" ht="15.6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147">
        <v>27</v>
      </c>
      <c r="BE12" s="88"/>
      <c r="BF12" s="147">
        <f t="shared" si="0"/>
        <v>27</v>
      </c>
      <c r="BG12" s="147">
        <v>48</v>
      </c>
      <c r="BH12" s="101">
        <f t="shared" si="1"/>
        <v>0.5625</v>
      </c>
      <c r="BI12" s="105">
        <f>OVERALL!A7</f>
        <v>4</v>
      </c>
      <c r="BJ12" s="105">
        <f>OVERALL!B7</f>
        <v>2301239</v>
      </c>
      <c r="BK12" s="106" t="str">
        <f>OVERALL!C7</f>
        <v>Mohd Shahid Afridi</v>
      </c>
      <c r="BL12" s="167">
        <f t="shared" si="2"/>
        <v>48</v>
      </c>
      <c r="BM12" s="167">
        <f t="shared" si="3"/>
        <v>0</v>
      </c>
      <c r="BN12" s="168">
        <f t="shared" si="4"/>
        <v>0</v>
      </c>
      <c r="BO12" s="147" t="str">
        <f t="shared" si="5"/>
        <v>0</v>
      </c>
      <c r="BP12" s="173">
        <v>0</v>
      </c>
      <c r="BQ12" s="174">
        <v>0</v>
      </c>
      <c r="BR12" s="147">
        <f t="shared" si="6"/>
        <v>0</v>
      </c>
      <c r="BS12" s="147">
        <v>0</v>
      </c>
      <c r="BT12" s="147">
        <v>0</v>
      </c>
      <c r="BU12" s="147">
        <v>0</v>
      </c>
      <c r="BV12" s="148">
        <f t="shared" si="7"/>
        <v>0</v>
      </c>
      <c r="BW12" s="148"/>
      <c r="BX12" s="151">
        <f t="shared" si="8"/>
        <v>0</v>
      </c>
    </row>
    <row r="13" spans="1:78" ht="14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147">
        <v>0</v>
      </c>
      <c r="BE13" s="88"/>
      <c r="BF13" s="147">
        <f t="shared" si="0"/>
        <v>0</v>
      </c>
      <c r="BG13" s="147">
        <v>48</v>
      </c>
      <c r="BH13" s="101">
        <f t="shared" si="1"/>
        <v>0</v>
      </c>
      <c r="BI13" s="105">
        <f>OVERALL!A8</f>
        <v>5</v>
      </c>
      <c r="BJ13" s="105">
        <f>OVERALL!B8</f>
        <v>2301240</v>
      </c>
      <c r="BK13" s="106" t="str">
        <f>OVERALL!C8</f>
        <v>Munisha</v>
      </c>
      <c r="BL13" s="167">
        <f t="shared" si="2"/>
        <v>48</v>
      </c>
      <c r="BM13" s="167">
        <f t="shared" si="3"/>
        <v>37</v>
      </c>
      <c r="BN13" s="168">
        <f t="shared" si="4"/>
        <v>77.083333333333343</v>
      </c>
      <c r="BO13" s="147" t="str">
        <f t="shared" si="5"/>
        <v>2</v>
      </c>
      <c r="BP13" s="171">
        <v>13</v>
      </c>
      <c r="BQ13" s="172">
        <v>13</v>
      </c>
      <c r="BR13" s="147">
        <f t="shared" si="6"/>
        <v>13</v>
      </c>
      <c r="BS13" s="147">
        <v>6</v>
      </c>
      <c r="BT13" s="147">
        <v>7</v>
      </c>
      <c r="BU13" s="147">
        <v>6</v>
      </c>
      <c r="BV13" s="148">
        <f t="shared" si="7"/>
        <v>6.333333333333333</v>
      </c>
      <c r="BW13" s="148"/>
      <c r="BX13" s="151">
        <f t="shared" si="8"/>
        <v>21</v>
      </c>
    </row>
    <row r="14" spans="1:78" ht="31.2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147">
        <v>43</v>
      </c>
      <c r="BE14" s="88">
        <v>3</v>
      </c>
      <c r="BF14" s="147">
        <f t="shared" si="0"/>
        <v>46</v>
      </c>
      <c r="BG14" s="147">
        <v>48</v>
      </c>
      <c r="BH14" s="101">
        <f t="shared" si="1"/>
        <v>0.95833333333333337</v>
      </c>
      <c r="BI14" s="105">
        <f>OVERALL!A9</f>
        <v>6</v>
      </c>
      <c r="BJ14" s="105">
        <f>OVERALL!B9</f>
        <v>2301241</v>
      </c>
      <c r="BK14" s="106" t="str">
        <f>OVERALL!C9</f>
        <v>Nikhil Kumar Thakur</v>
      </c>
      <c r="BL14" s="167">
        <f t="shared" si="2"/>
        <v>48</v>
      </c>
      <c r="BM14" s="167">
        <f t="shared" si="3"/>
        <v>44</v>
      </c>
      <c r="BN14" s="168">
        <f t="shared" si="4"/>
        <v>91.666666666666671</v>
      </c>
      <c r="BO14" s="147" t="str">
        <f t="shared" si="5"/>
        <v>5</v>
      </c>
      <c r="BP14" s="171">
        <v>15</v>
      </c>
      <c r="BQ14" s="172">
        <v>15</v>
      </c>
      <c r="BR14" s="147">
        <f t="shared" si="6"/>
        <v>15</v>
      </c>
      <c r="BS14" s="147">
        <v>6</v>
      </c>
      <c r="BT14" s="147">
        <v>7</v>
      </c>
      <c r="BU14" s="147">
        <v>7</v>
      </c>
      <c r="BV14" s="148">
        <f t="shared" si="7"/>
        <v>6.666666666666667</v>
      </c>
      <c r="BW14" s="148"/>
      <c r="BX14" s="151">
        <f t="shared" si="8"/>
        <v>27</v>
      </c>
    </row>
    <row r="15" spans="1:78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147">
        <v>25</v>
      </c>
      <c r="BE15" s="88"/>
      <c r="BF15" s="147">
        <f t="shared" si="0"/>
        <v>25</v>
      </c>
      <c r="BG15" s="147">
        <v>48</v>
      </c>
      <c r="BH15" s="101">
        <f t="shared" si="1"/>
        <v>0.52083333333333337</v>
      </c>
      <c r="BI15" s="105">
        <f>OVERALL!A10</f>
        <v>7</v>
      </c>
      <c r="BJ15" s="105">
        <f>OVERALL!B10</f>
        <v>2301242</v>
      </c>
      <c r="BK15" s="106" t="str">
        <f>OVERALL!C10</f>
        <v>Palak Pathania</v>
      </c>
      <c r="BL15" s="167">
        <f t="shared" si="2"/>
        <v>48</v>
      </c>
      <c r="BM15" s="167">
        <f t="shared" si="3"/>
        <v>32</v>
      </c>
      <c r="BN15" s="168">
        <f t="shared" si="4"/>
        <v>66.666666666666671</v>
      </c>
      <c r="BO15" s="147" t="str">
        <f t="shared" si="5"/>
        <v>0</v>
      </c>
      <c r="BP15" s="171">
        <v>16</v>
      </c>
      <c r="BQ15" s="172">
        <v>14</v>
      </c>
      <c r="BR15" s="147">
        <f t="shared" si="6"/>
        <v>15</v>
      </c>
      <c r="BS15" s="147">
        <v>6</v>
      </c>
      <c r="BT15" s="147">
        <v>7</v>
      </c>
      <c r="BU15" s="147">
        <v>7</v>
      </c>
      <c r="BV15" s="148">
        <f t="shared" si="7"/>
        <v>6.666666666666667</v>
      </c>
      <c r="BW15" s="148"/>
      <c r="BX15" s="151">
        <f t="shared" si="8"/>
        <v>22</v>
      </c>
    </row>
    <row r="16" spans="1:78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46">
        <v>0</v>
      </c>
      <c r="BE16" s="88"/>
      <c r="BF16" s="147">
        <f t="shared" si="0"/>
        <v>0</v>
      </c>
      <c r="BG16" s="147">
        <v>48</v>
      </c>
      <c r="BH16" s="101">
        <f t="shared" si="1"/>
        <v>0</v>
      </c>
      <c r="BI16" s="105">
        <f>OVERALL!A11</f>
        <v>8</v>
      </c>
      <c r="BJ16" s="105">
        <f>OVERALL!B11</f>
        <v>2301243</v>
      </c>
      <c r="BK16" s="106" t="str">
        <f>OVERALL!C11</f>
        <v>Pardeep Singh</v>
      </c>
      <c r="BL16" s="167">
        <f t="shared" si="2"/>
        <v>48</v>
      </c>
      <c r="BM16" s="167">
        <f t="shared" si="3"/>
        <v>27</v>
      </c>
      <c r="BN16" s="168">
        <f t="shared" si="4"/>
        <v>56.25</v>
      </c>
      <c r="BO16" s="147" t="str">
        <f t="shared" si="5"/>
        <v>0</v>
      </c>
      <c r="BP16" s="171">
        <v>9</v>
      </c>
      <c r="BQ16" s="172">
        <v>13</v>
      </c>
      <c r="BR16" s="147">
        <f t="shared" si="6"/>
        <v>11</v>
      </c>
      <c r="BS16" s="147">
        <v>6</v>
      </c>
      <c r="BT16" s="147">
        <v>5</v>
      </c>
      <c r="BU16" s="147">
        <v>6</v>
      </c>
      <c r="BV16" s="148">
        <f t="shared" si="7"/>
        <v>5.666666666666667</v>
      </c>
      <c r="BW16" s="148"/>
      <c r="BX16" s="151">
        <f t="shared" si="8"/>
        <v>17</v>
      </c>
    </row>
    <row r="17" spans="1:76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147">
        <v>21</v>
      </c>
      <c r="BE17" s="88">
        <v>3</v>
      </c>
      <c r="BF17" s="147">
        <f t="shared" si="0"/>
        <v>24</v>
      </c>
      <c r="BG17" s="147">
        <v>48</v>
      </c>
      <c r="BH17" s="101">
        <f t="shared" si="1"/>
        <v>0.5</v>
      </c>
      <c r="BI17" s="105">
        <f>OVERALL!A12</f>
        <v>9</v>
      </c>
      <c r="BJ17" s="105">
        <f>OVERALL!B12</f>
        <v>2301244</v>
      </c>
      <c r="BK17" s="106" t="str">
        <f>OVERALL!C12</f>
        <v>Parveen Mandal</v>
      </c>
      <c r="BL17" s="167">
        <f t="shared" si="2"/>
        <v>48</v>
      </c>
      <c r="BM17" s="167">
        <f t="shared" si="3"/>
        <v>0</v>
      </c>
      <c r="BN17" s="168">
        <f t="shared" si="4"/>
        <v>0</v>
      </c>
      <c r="BO17" s="147" t="str">
        <f t="shared" si="5"/>
        <v>0</v>
      </c>
      <c r="BP17" s="173">
        <v>0</v>
      </c>
      <c r="BQ17" s="174">
        <v>0</v>
      </c>
      <c r="BR17" s="147">
        <f t="shared" si="6"/>
        <v>0</v>
      </c>
      <c r="BS17" s="147">
        <v>0</v>
      </c>
      <c r="BT17" s="147">
        <v>0</v>
      </c>
      <c r="BU17" s="147">
        <v>0</v>
      </c>
      <c r="BV17" s="148">
        <f t="shared" si="7"/>
        <v>0</v>
      </c>
      <c r="BW17" s="148"/>
      <c r="BX17" s="151">
        <f t="shared" si="8"/>
        <v>0</v>
      </c>
    </row>
    <row r="18" spans="1:76" ht="15.6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147">
        <v>29</v>
      </c>
      <c r="BE18" s="88"/>
      <c r="BF18" s="147">
        <f t="shared" si="0"/>
        <v>29</v>
      </c>
      <c r="BG18" s="147">
        <v>48</v>
      </c>
      <c r="BH18" s="101">
        <f t="shared" si="1"/>
        <v>0.60416666666666663</v>
      </c>
      <c r="BI18" s="105">
        <f>OVERALL!A13</f>
        <v>10</v>
      </c>
      <c r="BJ18" s="105">
        <f>OVERALL!B13</f>
        <v>2301245</v>
      </c>
      <c r="BK18" s="106" t="str">
        <f>OVERALL!C13</f>
        <v>Payal</v>
      </c>
      <c r="BL18" s="167">
        <f t="shared" si="2"/>
        <v>48</v>
      </c>
      <c r="BM18" s="167">
        <f t="shared" si="3"/>
        <v>46</v>
      </c>
      <c r="BN18" s="168">
        <f t="shared" si="4"/>
        <v>95.833333333333343</v>
      </c>
      <c r="BO18" s="147" t="str">
        <f t="shared" si="5"/>
        <v>6</v>
      </c>
      <c r="BP18" s="171">
        <v>22</v>
      </c>
      <c r="BQ18" s="174">
        <v>22</v>
      </c>
      <c r="BR18" s="147">
        <f t="shared" si="6"/>
        <v>22</v>
      </c>
      <c r="BS18" s="147">
        <v>8</v>
      </c>
      <c r="BT18" s="147">
        <v>7</v>
      </c>
      <c r="BU18" s="147">
        <v>8</v>
      </c>
      <c r="BV18" s="148">
        <f t="shared" si="7"/>
        <v>7.666666666666667</v>
      </c>
      <c r="BW18" s="148"/>
      <c r="BX18" s="151">
        <f t="shared" si="8"/>
        <v>36</v>
      </c>
    </row>
    <row r="19" spans="1:76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147">
        <v>20</v>
      </c>
      <c r="BE19" s="88"/>
      <c r="BF19" s="147">
        <f t="shared" si="0"/>
        <v>20</v>
      </c>
      <c r="BG19" s="147">
        <v>48</v>
      </c>
      <c r="BH19" s="101">
        <f t="shared" si="1"/>
        <v>0.41666666666666669</v>
      </c>
      <c r="BI19" s="105">
        <f>OVERALL!A14</f>
        <v>11</v>
      </c>
      <c r="BJ19" s="105">
        <f>OVERALL!B14</f>
        <v>2301247</v>
      </c>
      <c r="BK19" s="106" t="str">
        <f>OVERALL!C14</f>
        <v>Priya</v>
      </c>
      <c r="BL19" s="167">
        <f t="shared" si="2"/>
        <v>48</v>
      </c>
      <c r="BM19" s="167">
        <f t="shared" si="3"/>
        <v>25</v>
      </c>
      <c r="BN19" s="168">
        <f t="shared" si="4"/>
        <v>52.083333333333336</v>
      </c>
      <c r="BO19" s="147" t="str">
        <f t="shared" si="5"/>
        <v>0</v>
      </c>
      <c r="BP19" s="171">
        <v>13</v>
      </c>
      <c r="BQ19" s="172">
        <v>13</v>
      </c>
      <c r="BR19" s="147">
        <f t="shared" si="6"/>
        <v>13</v>
      </c>
      <c r="BS19" s="147">
        <v>7</v>
      </c>
      <c r="BT19" s="147">
        <v>5</v>
      </c>
      <c r="BU19" s="147">
        <v>6</v>
      </c>
      <c r="BV19" s="148">
        <f t="shared" si="7"/>
        <v>6</v>
      </c>
      <c r="BW19" s="148"/>
      <c r="BX19" s="151">
        <f t="shared" si="8"/>
        <v>19</v>
      </c>
    </row>
    <row r="20" spans="1:76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147">
        <v>34</v>
      </c>
      <c r="BE20" s="88"/>
      <c r="BF20" s="147">
        <f t="shared" si="0"/>
        <v>34</v>
      </c>
      <c r="BG20" s="147">
        <v>48</v>
      </c>
      <c r="BH20" s="101">
        <f t="shared" si="1"/>
        <v>0.70833333333333337</v>
      </c>
      <c r="BI20" s="105">
        <f>OVERALL!A15</f>
        <v>12</v>
      </c>
      <c r="BJ20" s="105">
        <f>OVERALL!B15</f>
        <v>2301248</v>
      </c>
      <c r="BK20" s="106" t="str">
        <f>OVERALL!C15</f>
        <v>Priyam Puri</v>
      </c>
      <c r="BL20" s="167">
        <f t="shared" si="2"/>
        <v>48</v>
      </c>
      <c r="BM20" s="167">
        <f t="shared" si="3"/>
        <v>0</v>
      </c>
      <c r="BN20" s="168">
        <f t="shared" si="4"/>
        <v>0</v>
      </c>
      <c r="BO20" s="147" t="str">
        <f t="shared" si="5"/>
        <v>0</v>
      </c>
      <c r="BP20" s="173">
        <v>0</v>
      </c>
      <c r="BQ20" s="174">
        <v>0</v>
      </c>
      <c r="BR20" s="147">
        <f t="shared" si="6"/>
        <v>0</v>
      </c>
      <c r="BS20" s="147">
        <v>0</v>
      </c>
      <c r="BT20" s="147">
        <v>0</v>
      </c>
      <c r="BU20" s="147">
        <v>0</v>
      </c>
      <c r="BV20" s="148">
        <f t="shared" si="7"/>
        <v>0</v>
      </c>
      <c r="BW20" s="148"/>
      <c r="BX20" s="151">
        <f t="shared" si="8"/>
        <v>0</v>
      </c>
    </row>
    <row r="21" spans="1:76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147">
        <v>37</v>
      </c>
      <c r="BE21" s="88"/>
      <c r="BF21" s="147">
        <f t="shared" si="0"/>
        <v>37</v>
      </c>
      <c r="BG21" s="147">
        <v>48</v>
      </c>
      <c r="BH21" s="101">
        <f t="shared" si="1"/>
        <v>0.77083333333333337</v>
      </c>
      <c r="BI21" s="105">
        <f>OVERALL!A16</f>
        <v>13</v>
      </c>
      <c r="BJ21" s="105">
        <f>OVERALL!B16</f>
        <v>2301249</v>
      </c>
      <c r="BK21" s="106" t="str">
        <f>OVERALL!C16</f>
        <v>Rahul Sharma</v>
      </c>
      <c r="BL21" s="167">
        <f t="shared" si="2"/>
        <v>48</v>
      </c>
      <c r="BM21" s="167">
        <f t="shared" si="3"/>
        <v>24</v>
      </c>
      <c r="BN21" s="168">
        <f t="shared" si="4"/>
        <v>50</v>
      </c>
      <c r="BO21" s="147" t="str">
        <f t="shared" si="5"/>
        <v>0</v>
      </c>
      <c r="BP21" s="171">
        <v>12</v>
      </c>
      <c r="BQ21" s="174">
        <v>15</v>
      </c>
      <c r="BR21" s="147">
        <f t="shared" si="6"/>
        <v>13.5</v>
      </c>
      <c r="BS21" s="147">
        <v>5</v>
      </c>
      <c r="BT21" s="147">
        <v>7</v>
      </c>
      <c r="BU21" s="147">
        <v>5</v>
      </c>
      <c r="BV21" s="148">
        <f t="shared" si="7"/>
        <v>5.666666666666667</v>
      </c>
      <c r="BW21" s="148"/>
      <c r="BX21" s="151">
        <f t="shared" si="8"/>
        <v>19</v>
      </c>
    </row>
    <row r="22" spans="1:76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147">
        <v>0</v>
      </c>
      <c r="BE22" s="88"/>
      <c r="BF22" s="147">
        <f t="shared" si="0"/>
        <v>0</v>
      </c>
      <c r="BG22" s="147">
        <v>48</v>
      </c>
      <c r="BH22" s="101">
        <f t="shared" si="1"/>
        <v>0</v>
      </c>
      <c r="BI22" s="105">
        <f>OVERALL!A17</f>
        <v>14</v>
      </c>
      <c r="BJ22" s="105">
        <f>OVERALL!B17</f>
        <v>2301250</v>
      </c>
      <c r="BK22" s="106" t="str">
        <f>OVERALL!C17</f>
        <v>Rahulpreet Singh Khinda</v>
      </c>
      <c r="BL22" s="167">
        <f t="shared" si="2"/>
        <v>48</v>
      </c>
      <c r="BM22" s="167">
        <f t="shared" si="3"/>
        <v>29</v>
      </c>
      <c r="BN22" s="168">
        <f t="shared" si="4"/>
        <v>60.416666666666671</v>
      </c>
      <c r="BO22" s="147" t="str">
        <f t="shared" si="5"/>
        <v>0</v>
      </c>
      <c r="BP22" s="171">
        <v>10</v>
      </c>
      <c r="BQ22" s="172">
        <v>7</v>
      </c>
      <c r="BR22" s="147">
        <f t="shared" si="6"/>
        <v>8.5</v>
      </c>
      <c r="BS22" s="147">
        <v>6</v>
      </c>
      <c r="BT22" s="147">
        <v>6</v>
      </c>
      <c r="BU22" s="147">
        <v>8</v>
      </c>
      <c r="BV22" s="148">
        <f t="shared" si="7"/>
        <v>6.666666666666667</v>
      </c>
      <c r="BW22" s="148"/>
      <c r="BX22" s="151">
        <f t="shared" si="8"/>
        <v>15</v>
      </c>
    </row>
    <row r="23" spans="1:76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147">
        <v>38</v>
      </c>
      <c r="BE23" s="88"/>
      <c r="BF23" s="147">
        <f t="shared" si="0"/>
        <v>38</v>
      </c>
      <c r="BG23" s="147">
        <v>48</v>
      </c>
      <c r="BH23" s="101">
        <f t="shared" si="1"/>
        <v>0.79166666666666663</v>
      </c>
      <c r="BI23" s="105">
        <f>OVERALL!A18</f>
        <v>15</v>
      </c>
      <c r="BJ23" s="105">
        <f>OVERALL!B18</f>
        <v>2301251</v>
      </c>
      <c r="BK23" s="106" t="str">
        <f>OVERALL!C18</f>
        <v>Raj Kumar</v>
      </c>
      <c r="BL23" s="167">
        <f t="shared" si="2"/>
        <v>48</v>
      </c>
      <c r="BM23" s="167">
        <f t="shared" si="3"/>
        <v>20</v>
      </c>
      <c r="BN23" s="168">
        <f t="shared" si="4"/>
        <v>41.666666666666671</v>
      </c>
      <c r="BO23" s="147" t="str">
        <f t="shared" si="5"/>
        <v>0</v>
      </c>
      <c r="BP23" s="171">
        <v>7</v>
      </c>
      <c r="BQ23" s="172">
        <v>10</v>
      </c>
      <c r="BR23" s="147">
        <f t="shared" si="6"/>
        <v>8.5</v>
      </c>
      <c r="BS23" s="147">
        <v>5</v>
      </c>
      <c r="BT23" s="147">
        <v>6</v>
      </c>
      <c r="BU23" s="147">
        <v>7</v>
      </c>
      <c r="BV23" s="148">
        <f t="shared" si="7"/>
        <v>6</v>
      </c>
      <c r="BW23" s="148"/>
      <c r="BX23" s="151">
        <f t="shared" si="8"/>
        <v>15</v>
      </c>
    </row>
    <row r="24" spans="1:76" ht="17.2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147">
        <v>36</v>
      </c>
      <c r="BE24" s="88"/>
      <c r="BF24" s="147">
        <f t="shared" si="0"/>
        <v>36</v>
      </c>
      <c r="BG24" s="147">
        <v>48</v>
      </c>
      <c r="BH24" s="101">
        <f t="shared" si="1"/>
        <v>0.75</v>
      </c>
      <c r="BI24" s="105">
        <f>OVERALL!A19</f>
        <v>16</v>
      </c>
      <c r="BJ24" s="105">
        <f>OVERALL!B19</f>
        <v>2301252</v>
      </c>
      <c r="BK24" s="106" t="str">
        <f>OVERALL!C19</f>
        <v>Rajan Sharma</v>
      </c>
      <c r="BL24" s="167">
        <f t="shared" si="2"/>
        <v>48</v>
      </c>
      <c r="BM24" s="167">
        <f t="shared" si="3"/>
        <v>34</v>
      </c>
      <c r="BN24" s="168">
        <f t="shared" si="4"/>
        <v>70.833333333333343</v>
      </c>
      <c r="BO24" s="147" t="str">
        <f t="shared" si="5"/>
        <v>0</v>
      </c>
      <c r="BP24" s="171">
        <v>9</v>
      </c>
      <c r="BQ24" s="172">
        <v>13</v>
      </c>
      <c r="BR24" s="147">
        <f t="shared" si="6"/>
        <v>11</v>
      </c>
      <c r="BS24" s="147">
        <v>4</v>
      </c>
      <c r="BT24" s="147">
        <v>6</v>
      </c>
      <c r="BU24" s="147">
        <v>5</v>
      </c>
      <c r="BV24" s="148">
        <f t="shared" si="7"/>
        <v>5</v>
      </c>
      <c r="BW24" s="148"/>
      <c r="BX24" s="151">
        <f t="shared" si="8"/>
        <v>16</v>
      </c>
    </row>
    <row r="25" spans="1:76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147">
        <v>22</v>
      </c>
      <c r="BE25" s="88">
        <v>8</v>
      </c>
      <c r="BF25" s="147">
        <f t="shared" si="0"/>
        <v>30</v>
      </c>
      <c r="BG25" s="147">
        <v>48</v>
      </c>
      <c r="BH25" s="101">
        <f t="shared" si="1"/>
        <v>0.625</v>
      </c>
      <c r="BI25" s="105">
        <f>OVERALL!A20</f>
        <v>17</v>
      </c>
      <c r="BJ25" s="105">
        <f>OVERALL!B20</f>
        <v>2301253</v>
      </c>
      <c r="BK25" s="106" t="str">
        <f>OVERALL!C20</f>
        <v>Rajwinder Kaur</v>
      </c>
      <c r="BL25" s="167">
        <f t="shared" si="2"/>
        <v>48</v>
      </c>
      <c r="BM25" s="167">
        <f t="shared" si="3"/>
        <v>37</v>
      </c>
      <c r="BN25" s="168">
        <f t="shared" si="4"/>
        <v>77.083333333333343</v>
      </c>
      <c r="BO25" s="147" t="str">
        <f t="shared" si="5"/>
        <v>2</v>
      </c>
      <c r="BP25" s="171">
        <v>22</v>
      </c>
      <c r="BQ25" s="172">
        <v>18</v>
      </c>
      <c r="BR25" s="147">
        <f t="shared" si="6"/>
        <v>20</v>
      </c>
      <c r="BS25" s="147">
        <v>7</v>
      </c>
      <c r="BT25" s="147">
        <v>7</v>
      </c>
      <c r="BU25" s="147">
        <v>7</v>
      </c>
      <c r="BV25" s="148">
        <f t="shared" si="7"/>
        <v>7</v>
      </c>
      <c r="BW25" s="148"/>
      <c r="BX25" s="151">
        <f t="shared" si="8"/>
        <v>29</v>
      </c>
    </row>
    <row r="26" spans="1:76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147">
        <v>9</v>
      </c>
      <c r="BE26" s="88"/>
      <c r="BF26" s="147">
        <f t="shared" si="0"/>
        <v>9</v>
      </c>
      <c r="BG26" s="147">
        <v>48</v>
      </c>
      <c r="BH26" s="101">
        <f t="shared" si="1"/>
        <v>0.1875</v>
      </c>
      <c r="BI26" s="105">
        <f>OVERALL!A21</f>
        <v>18</v>
      </c>
      <c r="BJ26" s="105">
        <f>OVERALL!B21</f>
        <v>2301254</v>
      </c>
      <c r="BK26" s="106" t="str">
        <f>OVERALL!C21</f>
        <v>RANJIT SHAH KANU</v>
      </c>
      <c r="BL26" s="167">
        <f t="shared" si="2"/>
        <v>48</v>
      </c>
      <c r="BM26" s="167">
        <f t="shared" si="3"/>
        <v>0</v>
      </c>
      <c r="BN26" s="168">
        <f t="shared" si="4"/>
        <v>0</v>
      </c>
      <c r="BO26" s="147" t="str">
        <f t="shared" si="5"/>
        <v>0</v>
      </c>
      <c r="BP26" s="173">
        <v>0</v>
      </c>
      <c r="BQ26" s="174">
        <v>0</v>
      </c>
      <c r="BR26" s="147">
        <f t="shared" si="6"/>
        <v>0</v>
      </c>
      <c r="BS26" s="147">
        <v>0</v>
      </c>
      <c r="BT26" s="147">
        <v>0</v>
      </c>
      <c r="BU26" s="147">
        <v>0</v>
      </c>
      <c r="BV26" s="148">
        <f t="shared" si="7"/>
        <v>0</v>
      </c>
      <c r="BW26" s="148"/>
      <c r="BX26" s="151">
        <f t="shared" si="8"/>
        <v>0</v>
      </c>
    </row>
    <row r="27" spans="1:76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147">
        <v>29</v>
      </c>
      <c r="BE27" s="88"/>
      <c r="BF27" s="147">
        <f t="shared" si="0"/>
        <v>29</v>
      </c>
      <c r="BG27" s="147">
        <v>48</v>
      </c>
      <c r="BH27" s="101">
        <f t="shared" si="1"/>
        <v>0.60416666666666663</v>
      </c>
      <c r="BI27" s="105">
        <f>OVERALL!A22</f>
        <v>19</v>
      </c>
      <c r="BJ27" s="105">
        <f>OVERALL!B22</f>
        <v>2301255</v>
      </c>
      <c r="BK27" s="106" t="str">
        <f>OVERALL!C22</f>
        <v>Ravi Bhushan Kumar</v>
      </c>
      <c r="BL27" s="167">
        <f t="shared" si="2"/>
        <v>48</v>
      </c>
      <c r="BM27" s="167">
        <f t="shared" si="3"/>
        <v>38</v>
      </c>
      <c r="BN27" s="168">
        <f t="shared" si="4"/>
        <v>79.166666666666671</v>
      </c>
      <c r="BO27" s="147" t="str">
        <f t="shared" si="5"/>
        <v>2</v>
      </c>
      <c r="BP27" s="171">
        <v>13</v>
      </c>
      <c r="BQ27" s="172">
        <v>13</v>
      </c>
      <c r="BR27" s="147">
        <f t="shared" si="6"/>
        <v>13</v>
      </c>
      <c r="BS27" s="147">
        <v>5</v>
      </c>
      <c r="BT27" s="147">
        <v>8</v>
      </c>
      <c r="BU27" s="147">
        <v>6</v>
      </c>
      <c r="BV27" s="148">
        <f t="shared" si="7"/>
        <v>6.333333333333333</v>
      </c>
      <c r="BW27" s="148"/>
      <c r="BX27" s="151">
        <f t="shared" si="8"/>
        <v>21</v>
      </c>
    </row>
    <row r="28" spans="1:76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147">
        <v>29</v>
      </c>
      <c r="BE28" s="88">
        <v>3</v>
      </c>
      <c r="BF28" s="147">
        <f t="shared" si="0"/>
        <v>32</v>
      </c>
      <c r="BG28" s="147">
        <v>48</v>
      </c>
      <c r="BH28" s="101">
        <f t="shared" si="1"/>
        <v>0.66666666666666663</v>
      </c>
      <c r="BI28" s="105">
        <f>OVERALL!A23</f>
        <v>20</v>
      </c>
      <c r="BJ28" s="105">
        <f>OVERALL!B23</f>
        <v>2301256</v>
      </c>
      <c r="BK28" s="106" t="str">
        <f>OVERALL!C23</f>
        <v>Reshma</v>
      </c>
      <c r="BL28" s="167">
        <f t="shared" si="2"/>
        <v>48</v>
      </c>
      <c r="BM28" s="167">
        <f t="shared" si="3"/>
        <v>36</v>
      </c>
      <c r="BN28" s="168">
        <f t="shared" si="4"/>
        <v>75</v>
      </c>
      <c r="BO28" s="147" t="str">
        <f t="shared" si="5"/>
        <v>0</v>
      </c>
      <c r="BP28" s="171">
        <v>14</v>
      </c>
      <c r="BQ28" s="172">
        <v>15</v>
      </c>
      <c r="BR28" s="147">
        <f t="shared" si="6"/>
        <v>14.5</v>
      </c>
      <c r="BS28" s="147">
        <v>5</v>
      </c>
      <c r="BT28" s="147">
        <v>7</v>
      </c>
      <c r="BU28" s="147">
        <v>6</v>
      </c>
      <c r="BV28" s="148">
        <f t="shared" si="7"/>
        <v>6</v>
      </c>
      <c r="BW28" s="148"/>
      <c r="BX28" s="151">
        <f t="shared" si="8"/>
        <v>21</v>
      </c>
    </row>
    <row r="29" spans="1:76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147">
        <v>13</v>
      </c>
      <c r="BE29" s="88">
        <v>7</v>
      </c>
      <c r="BF29" s="147">
        <f t="shared" si="0"/>
        <v>20</v>
      </c>
      <c r="BG29" s="147">
        <v>48</v>
      </c>
      <c r="BH29" s="101">
        <f t="shared" si="1"/>
        <v>0.41666666666666669</v>
      </c>
      <c r="BI29" s="105">
        <f>OVERALL!A24</f>
        <v>21</v>
      </c>
      <c r="BJ29" s="105">
        <f>OVERALL!B24</f>
        <v>2301257</v>
      </c>
      <c r="BK29" s="106" t="str">
        <f>OVERALL!C24</f>
        <v>Ritesh Kumar Choudhary</v>
      </c>
      <c r="BL29" s="167">
        <f t="shared" si="2"/>
        <v>48</v>
      </c>
      <c r="BM29" s="167">
        <f t="shared" si="3"/>
        <v>30</v>
      </c>
      <c r="BN29" s="168">
        <f t="shared" si="4"/>
        <v>62.5</v>
      </c>
      <c r="BO29" s="147" t="str">
        <f t="shared" si="5"/>
        <v>0</v>
      </c>
      <c r="BP29" s="171">
        <v>20</v>
      </c>
      <c r="BQ29" s="172">
        <v>13</v>
      </c>
      <c r="BR29" s="147">
        <f t="shared" si="6"/>
        <v>16.5</v>
      </c>
      <c r="BS29" s="147">
        <v>0</v>
      </c>
      <c r="BT29" s="147">
        <v>0</v>
      </c>
      <c r="BU29" s="147">
        <v>0</v>
      </c>
      <c r="BV29" s="148">
        <f t="shared" si="7"/>
        <v>0</v>
      </c>
      <c r="BW29" s="148"/>
      <c r="BX29" s="151">
        <f t="shared" si="8"/>
        <v>17</v>
      </c>
    </row>
    <row r="30" spans="1:76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147">
        <v>30</v>
      </c>
      <c r="BE30" s="88"/>
      <c r="BF30" s="147">
        <f t="shared" si="0"/>
        <v>30</v>
      </c>
      <c r="BG30" s="147">
        <v>48</v>
      </c>
      <c r="BH30" s="101">
        <f t="shared" si="1"/>
        <v>0.625</v>
      </c>
      <c r="BI30" s="105">
        <f>OVERALL!A25</f>
        <v>22</v>
      </c>
      <c r="BJ30" s="105">
        <f>OVERALL!B25</f>
        <v>2301258</v>
      </c>
      <c r="BK30" s="106" t="str">
        <f>OVERALL!C25</f>
        <v>Ritesh Thakur</v>
      </c>
      <c r="BL30" s="167">
        <f t="shared" si="2"/>
        <v>48</v>
      </c>
      <c r="BM30" s="167">
        <f t="shared" si="3"/>
        <v>9</v>
      </c>
      <c r="BN30" s="168">
        <f t="shared" si="4"/>
        <v>18.75</v>
      </c>
      <c r="BO30" s="147" t="str">
        <f t="shared" si="5"/>
        <v>0</v>
      </c>
      <c r="BP30" s="171">
        <v>0</v>
      </c>
      <c r="BQ30" s="172">
        <v>11</v>
      </c>
      <c r="BR30" s="147">
        <f t="shared" si="6"/>
        <v>5.5</v>
      </c>
      <c r="BS30" s="147">
        <v>0</v>
      </c>
      <c r="BT30" s="147">
        <v>0</v>
      </c>
      <c r="BU30" s="147">
        <v>0</v>
      </c>
      <c r="BV30" s="148">
        <f t="shared" si="7"/>
        <v>0</v>
      </c>
      <c r="BW30" s="148"/>
      <c r="BX30" s="151">
        <f t="shared" si="8"/>
        <v>6</v>
      </c>
    </row>
    <row r="31" spans="1:76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147">
        <v>47</v>
      </c>
      <c r="BE31" s="88"/>
      <c r="BF31" s="147">
        <f t="shared" si="0"/>
        <v>47</v>
      </c>
      <c r="BG31" s="147">
        <v>48</v>
      </c>
      <c r="BH31" s="101">
        <f t="shared" si="1"/>
        <v>0.97916666666666663</v>
      </c>
      <c r="BI31" s="105">
        <f>OVERALL!A26</f>
        <v>23</v>
      </c>
      <c r="BJ31" s="105">
        <f>OVERALL!B26</f>
        <v>2301259</v>
      </c>
      <c r="BK31" s="106" t="str">
        <f>OVERALL!C26</f>
        <v>Riya Thakur</v>
      </c>
      <c r="BL31" s="167">
        <f t="shared" si="2"/>
        <v>48</v>
      </c>
      <c r="BM31" s="167">
        <f t="shared" si="3"/>
        <v>29</v>
      </c>
      <c r="BN31" s="168">
        <f t="shared" si="4"/>
        <v>60.416666666666671</v>
      </c>
      <c r="BO31" s="147" t="str">
        <f t="shared" si="5"/>
        <v>0</v>
      </c>
      <c r="BP31" s="171">
        <v>16</v>
      </c>
      <c r="BQ31" s="172">
        <v>15</v>
      </c>
      <c r="BR31" s="147">
        <f t="shared" si="6"/>
        <v>15.5</v>
      </c>
      <c r="BS31" s="147">
        <v>6</v>
      </c>
      <c r="BT31" s="147">
        <v>8</v>
      </c>
      <c r="BU31" s="147">
        <v>7</v>
      </c>
      <c r="BV31" s="148">
        <f t="shared" si="7"/>
        <v>7</v>
      </c>
      <c r="BW31" s="148"/>
      <c r="BX31" s="151">
        <f t="shared" si="8"/>
        <v>23</v>
      </c>
    </row>
    <row r="32" spans="1:76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147">
        <v>8</v>
      </c>
      <c r="BE32" s="88"/>
      <c r="BF32" s="147">
        <f t="shared" si="0"/>
        <v>8</v>
      </c>
      <c r="BG32" s="147">
        <v>48</v>
      </c>
      <c r="BH32" s="101">
        <f t="shared" si="1"/>
        <v>0.16666666666666666</v>
      </c>
      <c r="BI32" s="105">
        <f>OVERALL!A27</f>
        <v>24</v>
      </c>
      <c r="BJ32" s="105">
        <f>OVERALL!B27</f>
        <v>2301260</v>
      </c>
      <c r="BK32" s="106" t="str">
        <f>OVERALL!C27</f>
        <v>Rounit Dhiman</v>
      </c>
      <c r="BL32" s="167">
        <f t="shared" si="2"/>
        <v>48</v>
      </c>
      <c r="BM32" s="167">
        <f t="shared" si="3"/>
        <v>32</v>
      </c>
      <c r="BN32" s="168">
        <f t="shared" si="4"/>
        <v>66.666666666666671</v>
      </c>
      <c r="BO32" s="147" t="str">
        <f t="shared" si="5"/>
        <v>0</v>
      </c>
      <c r="BP32" s="171">
        <v>11</v>
      </c>
      <c r="BQ32" s="172">
        <v>14</v>
      </c>
      <c r="BR32" s="147">
        <f t="shared" si="6"/>
        <v>12.5</v>
      </c>
      <c r="BS32" s="147">
        <v>5</v>
      </c>
      <c r="BT32" s="147">
        <v>6</v>
      </c>
      <c r="BU32" s="147">
        <v>6</v>
      </c>
      <c r="BV32" s="148">
        <f t="shared" si="7"/>
        <v>5.666666666666667</v>
      </c>
      <c r="BW32" s="148"/>
      <c r="BX32" s="151">
        <f t="shared" si="8"/>
        <v>18</v>
      </c>
    </row>
    <row r="33" spans="1:76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147">
        <v>30</v>
      </c>
      <c r="BE33" s="88">
        <v>7</v>
      </c>
      <c r="BF33" s="147">
        <f t="shared" si="0"/>
        <v>37</v>
      </c>
      <c r="BG33" s="147">
        <v>48</v>
      </c>
      <c r="BH33" s="101">
        <f t="shared" si="1"/>
        <v>0.77083333333333337</v>
      </c>
      <c r="BI33" s="105">
        <f>OVERALL!A28</f>
        <v>25</v>
      </c>
      <c r="BJ33" s="105">
        <f>OVERALL!B28</f>
        <v>2301261</v>
      </c>
      <c r="BK33" s="106" t="str">
        <f>OVERALL!C28</f>
        <v>Rubby Kumari</v>
      </c>
      <c r="BL33" s="167">
        <f t="shared" si="2"/>
        <v>48</v>
      </c>
      <c r="BM33" s="167">
        <f t="shared" si="3"/>
        <v>20</v>
      </c>
      <c r="BN33" s="168">
        <f t="shared" si="4"/>
        <v>41.666666666666671</v>
      </c>
      <c r="BO33" s="147" t="str">
        <f t="shared" si="5"/>
        <v>0</v>
      </c>
      <c r="BP33" s="171">
        <v>13</v>
      </c>
      <c r="BQ33" s="172">
        <v>16</v>
      </c>
      <c r="BR33" s="147">
        <f t="shared" si="6"/>
        <v>14.5</v>
      </c>
      <c r="BS33" s="147">
        <v>0</v>
      </c>
      <c r="BT33" s="147">
        <v>0</v>
      </c>
      <c r="BU33" s="147">
        <v>0</v>
      </c>
      <c r="BV33" s="148">
        <f t="shared" si="7"/>
        <v>0</v>
      </c>
      <c r="BW33" s="148"/>
      <c r="BX33" s="151">
        <f t="shared" si="8"/>
        <v>15</v>
      </c>
    </row>
    <row r="34" spans="1:76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147">
        <v>37</v>
      </c>
      <c r="BE34" s="88"/>
      <c r="BF34" s="147">
        <f t="shared" si="0"/>
        <v>37</v>
      </c>
      <c r="BG34" s="147">
        <v>48</v>
      </c>
      <c r="BH34" s="101">
        <f t="shared" si="1"/>
        <v>0.77083333333333337</v>
      </c>
      <c r="BI34" s="105">
        <f>OVERALL!A29</f>
        <v>26</v>
      </c>
      <c r="BJ34" s="105">
        <f>OVERALL!B29</f>
        <v>2301262</v>
      </c>
      <c r="BK34" s="106" t="str">
        <f>OVERALL!C29</f>
        <v>Sakshi Devi</v>
      </c>
      <c r="BL34" s="167">
        <f t="shared" si="2"/>
        <v>48</v>
      </c>
      <c r="BM34" s="167">
        <f t="shared" si="3"/>
        <v>30</v>
      </c>
      <c r="BN34" s="168">
        <f t="shared" si="4"/>
        <v>62.5</v>
      </c>
      <c r="BO34" s="147" t="str">
        <f t="shared" si="5"/>
        <v>0</v>
      </c>
      <c r="BP34" s="171">
        <v>11</v>
      </c>
      <c r="BQ34" s="172">
        <v>13</v>
      </c>
      <c r="BR34" s="147">
        <f t="shared" si="6"/>
        <v>12</v>
      </c>
      <c r="BS34" s="147">
        <v>6</v>
      </c>
      <c r="BT34" s="147">
        <v>6</v>
      </c>
      <c r="BU34" s="147">
        <v>6</v>
      </c>
      <c r="BV34" s="148">
        <f t="shared" si="7"/>
        <v>6</v>
      </c>
      <c r="BW34" s="148"/>
      <c r="BX34" s="151">
        <f t="shared" si="8"/>
        <v>18</v>
      </c>
    </row>
    <row r="35" spans="1:76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147">
        <v>29</v>
      </c>
      <c r="BE35" s="88"/>
      <c r="BF35" s="147">
        <f t="shared" si="0"/>
        <v>29</v>
      </c>
      <c r="BG35" s="147">
        <v>48</v>
      </c>
      <c r="BH35" s="101">
        <f t="shared" si="1"/>
        <v>0.60416666666666663</v>
      </c>
      <c r="BI35" s="105">
        <f>OVERALL!A30</f>
        <v>27</v>
      </c>
      <c r="BJ35" s="105">
        <f>OVERALL!B30</f>
        <v>2301263</v>
      </c>
      <c r="BK35" s="106" t="str">
        <f>OVERALL!C30</f>
        <v>Sanchi Sharma</v>
      </c>
      <c r="BL35" s="167">
        <f t="shared" si="2"/>
        <v>48</v>
      </c>
      <c r="BM35" s="167">
        <f t="shared" si="3"/>
        <v>47</v>
      </c>
      <c r="BN35" s="168">
        <f t="shared" si="4"/>
        <v>97.916666666666671</v>
      </c>
      <c r="BO35" s="147" t="str">
        <f t="shared" si="5"/>
        <v>6</v>
      </c>
      <c r="BP35" s="171">
        <v>19</v>
      </c>
      <c r="BQ35" s="172">
        <v>12</v>
      </c>
      <c r="BR35" s="147">
        <f t="shared" si="6"/>
        <v>15.5</v>
      </c>
      <c r="BS35" s="147">
        <v>7</v>
      </c>
      <c r="BT35" s="147">
        <v>7</v>
      </c>
      <c r="BU35" s="147">
        <v>8</v>
      </c>
      <c r="BV35" s="148">
        <f t="shared" si="7"/>
        <v>7.333333333333333</v>
      </c>
      <c r="BW35" s="148"/>
      <c r="BX35" s="151">
        <f t="shared" si="8"/>
        <v>29</v>
      </c>
    </row>
    <row r="36" spans="1:76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147">
        <v>41</v>
      </c>
      <c r="BE36" s="88"/>
      <c r="BF36" s="147">
        <f t="shared" si="0"/>
        <v>41</v>
      </c>
      <c r="BG36" s="147">
        <v>48</v>
      </c>
      <c r="BH36" s="101">
        <f t="shared" si="1"/>
        <v>0.85416666666666663</v>
      </c>
      <c r="BI36" s="105">
        <f>OVERALL!A31</f>
        <v>28</v>
      </c>
      <c r="BJ36" s="105">
        <f>OVERALL!B31</f>
        <v>2301264</v>
      </c>
      <c r="BK36" s="106" t="str">
        <f>OVERALL!C31</f>
        <v>Sarbjit Singh</v>
      </c>
      <c r="BL36" s="167">
        <f t="shared" si="2"/>
        <v>48</v>
      </c>
      <c r="BM36" s="167">
        <f t="shared" si="3"/>
        <v>8</v>
      </c>
      <c r="BN36" s="168">
        <f t="shared" si="4"/>
        <v>16.666666666666668</v>
      </c>
      <c r="BO36" s="147" t="str">
        <f t="shared" si="5"/>
        <v>0</v>
      </c>
      <c r="BP36" s="171">
        <v>5</v>
      </c>
      <c r="BQ36" s="172">
        <v>4</v>
      </c>
      <c r="BR36" s="147">
        <f t="shared" si="6"/>
        <v>4.5</v>
      </c>
      <c r="BS36" s="147">
        <v>0</v>
      </c>
      <c r="BT36" s="147">
        <v>0</v>
      </c>
      <c r="BU36" s="147">
        <v>0</v>
      </c>
      <c r="BV36" s="148">
        <f t="shared" si="7"/>
        <v>0</v>
      </c>
      <c r="BW36" s="148"/>
      <c r="BX36" s="151">
        <f t="shared" si="8"/>
        <v>5</v>
      </c>
    </row>
    <row r="37" spans="1:76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147">
        <v>22</v>
      </c>
      <c r="BE37" s="88">
        <v>3</v>
      </c>
      <c r="BF37" s="147">
        <f t="shared" si="0"/>
        <v>25</v>
      </c>
      <c r="BG37" s="147">
        <v>48</v>
      </c>
      <c r="BH37" s="101">
        <f t="shared" si="1"/>
        <v>0.52083333333333337</v>
      </c>
      <c r="BI37" s="105">
        <f>OVERALL!A32</f>
        <v>29</v>
      </c>
      <c r="BJ37" s="105">
        <f>OVERALL!B32</f>
        <v>2301265</v>
      </c>
      <c r="BK37" s="106" t="str">
        <f>OVERALL!C32</f>
        <v>Sarif Mayangmayum</v>
      </c>
      <c r="BL37" s="167">
        <f t="shared" si="2"/>
        <v>48</v>
      </c>
      <c r="BM37" s="167">
        <f t="shared" si="3"/>
        <v>37</v>
      </c>
      <c r="BN37" s="168">
        <f t="shared" si="4"/>
        <v>77.083333333333343</v>
      </c>
      <c r="BO37" s="147" t="str">
        <f t="shared" si="5"/>
        <v>2</v>
      </c>
      <c r="BP37" s="171">
        <v>10</v>
      </c>
      <c r="BQ37" s="172">
        <v>10</v>
      </c>
      <c r="BR37" s="147">
        <f t="shared" si="6"/>
        <v>10</v>
      </c>
      <c r="BS37" s="147">
        <v>8</v>
      </c>
      <c r="BT37" s="147">
        <v>8</v>
      </c>
      <c r="BU37" s="147">
        <v>8</v>
      </c>
      <c r="BV37" s="148">
        <f t="shared" si="7"/>
        <v>8</v>
      </c>
      <c r="BW37" s="148"/>
      <c r="BX37" s="151">
        <f t="shared" si="8"/>
        <v>20</v>
      </c>
    </row>
    <row r="38" spans="1:76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147">
        <v>35</v>
      </c>
      <c r="BE38" s="88"/>
      <c r="BF38" s="147">
        <f t="shared" si="0"/>
        <v>35</v>
      </c>
      <c r="BG38" s="147">
        <v>48</v>
      </c>
      <c r="BH38" s="101">
        <f t="shared" si="1"/>
        <v>0.72916666666666663</v>
      </c>
      <c r="BI38" s="105">
        <f>OVERALL!A33</f>
        <v>30</v>
      </c>
      <c r="BJ38" s="105">
        <f>OVERALL!B33</f>
        <v>2301267</v>
      </c>
      <c r="BK38" s="106" t="str">
        <f>OVERALL!C33</f>
        <v>Shivam Kumar Chaubey</v>
      </c>
      <c r="BL38" s="167">
        <f t="shared" si="2"/>
        <v>48</v>
      </c>
      <c r="BM38" s="167">
        <f t="shared" si="3"/>
        <v>37</v>
      </c>
      <c r="BN38" s="168">
        <f t="shared" si="4"/>
        <v>77.083333333333343</v>
      </c>
      <c r="BO38" s="147" t="str">
        <f t="shared" si="5"/>
        <v>2</v>
      </c>
      <c r="BP38" s="171">
        <v>11</v>
      </c>
      <c r="BQ38" s="172">
        <v>14</v>
      </c>
      <c r="BR38" s="147">
        <f t="shared" si="6"/>
        <v>12.5</v>
      </c>
      <c r="BS38" s="147">
        <v>6</v>
      </c>
      <c r="BT38" s="147">
        <v>8</v>
      </c>
      <c r="BU38" s="147">
        <v>7</v>
      </c>
      <c r="BV38" s="148">
        <f t="shared" si="7"/>
        <v>7</v>
      </c>
      <c r="BW38" s="148"/>
      <c r="BX38" s="151">
        <f t="shared" si="8"/>
        <v>22</v>
      </c>
    </row>
    <row r="39" spans="1:76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147">
        <v>0</v>
      </c>
      <c r="BE39" s="88"/>
      <c r="BF39" s="147">
        <f t="shared" si="0"/>
        <v>0</v>
      </c>
      <c r="BG39" s="147">
        <v>48</v>
      </c>
      <c r="BH39" s="101">
        <f t="shared" si="1"/>
        <v>0</v>
      </c>
      <c r="BI39" s="105">
        <f>OVERALL!A34</f>
        <v>31</v>
      </c>
      <c r="BJ39" s="105">
        <f>OVERALL!B34</f>
        <v>2301268</v>
      </c>
      <c r="BK39" s="106" t="str">
        <f>OVERALL!C34</f>
        <v>Simba Godfrey</v>
      </c>
      <c r="BL39" s="167">
        <f t="shared" si="2"/>
        <v>48</v>
      </c>
      <c r="BM39" s="167">
        <f t="shared" si="3"/>
        <v>29</v>
      </c>
      <c r="BN39" s="168">
        <f t="shared" si="4"/>
        <v>60.416666666666671</v>
      </c>
      <c r="BO39" s="147" t="str">
        <f t="shared" si="5"/>
        <v>0</v>
      </c>
      <c r="BP39" s="171">
        <v>7</v>
      </c>
      <c r="BQ39" s="172">
        <v>8</v>
      </c>
      <c r="BR39" s="147">
        <f t="shared" si="6"/>
        <v>7.5</v>
      </c>
      <c r="BS39" s="147">
        <v>6</v>
      </c>
      <c r="BT39" s="147">
        <v>6</v>
      </c>
      <c r="BU39" s="147">
        <v>5</v>
      </c>
      <c r="BV39" s="148">
        <f t="shared" si="7"/>
        <v>5.666666666666667</v>
      </c>
      <c r="BW39" s="148"/>
      <c r="BX39" s="151">
        <f t="shared" si="8"/>
        <v>13</v>
      </c>
    </row>
    <row r="40" spans="1:76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147">
        <v>11</v>
      </c>
      <c r="BE40" s="88"/>
      <c r="BF40" s="147">
        <f t="shared" si="0"/>
        <v>11</v>
      </c>
      <c r="BG40" s="147">
        <v>48</v>
      </c>
      <c r="BH40" s="101">
        <f t="shared" si="1"/>
        <v>0.22916666666666666</v>
      </c>
      <c r="BI40" s="105">
        <f>OVERALL!A35</f>
        <v>32</v>
      </c>
      <c r="BJ40" s="105">
        <f>OVERALL!B35</f>
        <v>2301269</v>
      </c>
      <c r="BK40" s="106" t="str">
        <f>OVERALL!C35</f>
        <v>Simran Kaur</v>
      </c>
      <c r="BL40" s="167">
        <f t="shared" si="2"/>
        <v>48</v>
      </c>
      <c r="BM40" s="167">
        <f t="shared" si="3"/>
        <v>41</v>
      </c>
      <c r="BN40" s="168">
        <f t="shared" si="4"/>
        <v>85.416666666666671</v>
      </c>
      <c r="BO40" s="147" t="str">
        <f t="shared" si="5"/>
        <v>3</v>
      </c>
      <c r="BP40" s="171">
        <v>19</v>
      </c>
      <c r="BQ40" s="172">
        <v>15</v>
      </c>
      <c r="BR40" s="147">
        <f t="shared" si="6"/>
        <v>17</v>
      </c>
      <c r="BS40" s="147">
        <v>8</v>
      </c>
      <c r="BT40" s="147">
        <v>9</v>
      </c>
      <c r="BU40" s="147">
        <v>8</v>
      </c>
      <c r="BV40" s="148">
        <f t="shared" si="7"/>
        <v>8.3333333333333339</v>
      </c>
      <c r="BW40" s="148"/>
      <c r="BX40" s="151">
        <f t="shared" si="8"/>
        <v>28</v>
      </c>
    </row>
    <row r="41" spans="1:76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147">
        <v>28</v>
      </c>
      <c r="BE41" s="88"/>
      <c r="BF41" s="147">
        <f t="shared" si="0"/>
        <v>28</v>
      </c>
      <c r="BG41" s="147">
        <v>48</v>
      </c>
      <c r="BH41" s="101">
        <f t="shared" si="1"/>
        <v>0.58333333333333337</v>
      </c>
      <c r="BI41" s="105">
        <f>OVERALL!A36</f>
        <v>33</v>
      </c>
      <c r="BJ41" s="105">
        <f>OVERALL!B36</f>
        <v>2301270</v>
      </c>
      <c r="BK41" s="106" t="str">
        <f>OVERALL!C36</f>
        <v>Simranjit Singh</v>
      </c>
      <c r="BL41" s="167">
        <f t="shared" si="2"/>
        <v>48</v>
      </c>
      <c r="BM41" s="167">
        <f t="shared" si="3"/>
        <v>25</v>
      </c>
      <c r="BN41" s="168">
        <f t="shared" si="4"/>
        <v>52.083333333333336</v>
      </c>
      <c r="BO41" s="147" t="str">
        <f t="shared" si="5"/>
        <v>0</v>
      </c>
      <c r="BP41" s="171">
        <v>0</v>
      </c>
      <c r="BQ41" s="172">
        <v>1</v>
      </c>
      <c r="BR41" s="147">
        <f t="shared" si="6"/>
        <v>0.5</v>
      </c>
      <c r="BS41" s="147">
        <v>6</v>
      </c>
      <c r="BT41" s="147">
        <v>5</v>
      </c>
      <c r="BU41" s="147">
        <v>6</v>
      </c>
      <c r="BV41" s="148">
        <f t="shared" si="7"/>
        <v>5.666666666666667</v>
      </c>
      <c r="BW41" s="148"/>
      <c r="BX41" s="151">
        <f t="shared" si="8"/>
        <v>6</v>
      </c>
    </row>
    <row r="42" spans="1:76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147">
        <v>31</v>
      </c>
      <c r="BE42" s="88"/>
      <c r="BF42" s="147">
        <f t="shared" si="0"/>
        <v>31</v>
      </c>
      <c r="BG42" s="147">
        <v>48</v>
      </c>
      <c r="BH42" s="101">
        <f t="shared" si="1"/>
        <v>0.64583333333333337</v>
      </c>
      <c r="BI42" s="105">
        <f>OVERALL!A37</f>
        <v>34</v>
      </c>
      <c r="BJ42" s="105">
        <f>OVERALL!B37</f>
        <v>2301271</v>
      </c>
      <c r="BK42" s="106" t="str">
        <f>OVERALL!C37</f>
        <v>Sudip Sunar</v>
      </c>
      <c r="BL42" s="167">
        <f t="shared" si="2"/>
        <v>48</v>
      </c>
      <c r="BM42" s="167">
        <f t="shared" si="3"/>
        <v>35</v>
      </c>
      <c r="BN42" s="168">
        <f t="shared" si="4"/>
        <v>72.916666666666671</v>
      </c>
      <c r="BO42" s="147" t="str">
        <f t="shared" si="5"/>
        <v>0</v>
      </c>
      <c r="BP42" s="171">
        <v>12</v>
      </c>
      <c r="BQ42" s="172">
        <v>9</v>
      </c>
      <c r="BR42" s="147">
        <f t="shared" si="6"/>
        <v>10.5</v>
      </c>
      <c r="BS42" s="147">
        <v>5</v>
      </c>
      <c r="BT42" s="147">
        <v>5</v>
      </c>
      <c r="BU42" s="147">
        <v>5</v>
      </c>
      <c r="BV42" s="148">
        <f t="shared" si="7"/>
        <v>5</v>
      </c>
      <c r="BW42" s="148"/>
      <c r="BX42" s="151">
        <f t="shared" si="8"/>
        <v>16</v>
      </c>
    </row>
    <row r="43" spans="1:76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147">
        <v>0</v>
      </c>
      <c r="BE43" s="88"/>
      <c r="BF43" s="147">
        <f t="shared" si="0"/>
        <v>0</v>
      </c>
      <c r="BG43" s="147">
        <v>48</v>
      </c>
      <c r="BH43" s="101">
        <f t="shared" si="1"/>
        <v>0</v>
      </c>
      <c r="BI43" s="105">
        <f>OVERALL!A38</f>
        <v>35</v>
      </c>
      <c r="BJ43" s="105">
        <f>OVERALL!B38</f>
        <v>2301272</v>
      </c>
      <c r="BK43" s="106" t="str">
        <f>OVERALL!C38</f>
        <v>Sujal Sharma</v>
      </c>
      <c r="BL43" s="167">
        <f t="shared" si="2"/>
        <v>48</v>
      </c>
      <c r="BM43" s="167">
        <f t="shared" si="3"/>
        <v>0</v>
      </c>
      <c r="BN43" s="168">
        <f t="shared" si="4"/>
        <v>0</v>
      </c>
      <c r="BO43" s="147" t="str">
        <f t="shared" si="5"/>
        <v>0</v>
      </c>
      <c r="BP43" s="173">
        <v>0</v>
      </c>
      <c r="BQ43" s="174">
        <v>0</v>
      </c>
      <c r="BR43" s="147">
        <f t="shared" si="6"/>
        <v>0</v>
      </c>
      <c r="BS43" s="147">
        <v>0</v>
      </c>
      <c r="BT43" s="147">
        <v>0</v>
      </c>
      <c r="BU43" s="147">
        <v>0</v>
      </c>
      <c r="BV43" s="148">
        <f t="shared" si="7"/>
        <v>0</v>
      </c>
      <c r="BW43" s="148"/>
      <c r="BX43" s="151">
        <f t="shared" si="8"/>
        <v>0</v>
      </c>
    </row>
    <row r="44" spans="1:76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147">
        <v>20</v>
      </c>
      <c r="BE44" s="88"/>
      <c r="BF44" s="147">
        <f t="shared" si="0"/>
        <v>20</v>
      </c>
      <c r="BG44" s="147">
        <v>48</v>
      </c>
      <c r="BH44" s="101">
        <f t="shared" si="1"/>
        <v>0.41666666666666669</v>
      </c>
      <c r="BI44" s="105">
        <f>OVERALL!A39</f>
        <v>36</v>
      </c>
      <c r="BJ44" s="105">
        <f>OVERALL!B39</f>
        <v>2301273</v>
      </c>
      <c r="BK44" s="106" t="str">
        <f>OVERALL!C39</f>
        <v>Sukhraj Singh</v>
      </c>
      <c r="BL44" s="167">
        <f t="shared" si="2"/>
        <v>48</v>
      </c>
      <c r="BM44" s="167">
        <f t="shared" si="3"/>
        <v>11</v>
      </c>
      <c r="BN44" s="168">
        <f t="shared" si="4"/>
        <v>22.916666666666668</v>
      </c>
      <c r="BO44" s="147" t="str">
        <f t="shared" si="5"/>
        <v>0</v>
      </c>
      <c r="BP44" s="171">
        <v>16</v>
      </c>
      <c r="BQ44" s="172">
        <v>15</v>
      </c>
      <c r="BR44" s="147">
        <f t="shared" si="6"/>
        <v>15.5</v>
      </c>
      <c r="BS44" s="147">
        <v>6</v>
      </c>
      <c r="BT44" s="147">
        <v>6</v>
      </c>
      <c r="BU44" s="147">
        <v>5</v>
      </c>
      <c r="BV44" s="148">
        <f t="shared" si="7"/>
        <v>5.666666666666667</v>
      </c>
      <c r="BW44" s="148"/>
      <c r="BX44" s="151">
        <f t="shared" si="8"/>
        <v>21</v>
      </c>
    </row>
    <row r="45" spans="1:76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147">
        <v>19</v>
      </c>
      <c r="BE45" s="88"/>
      <c r="BF45" s="147">
        <f t="shared" si="0"/>
        <v>19</v>
      </c>
      <c r="BG45" s="147">
        <v>48</v>
      </c>
      <c r="BH45" s="101">
        <f t="shared" si="1"/>
        <v>0.39583333333333331</v>
      </c>
      <c r="BI45" s="105">
        <f>OVERALL!A40</f>
        <v>37</v>
      </c>
      <c r="BJ45" s="105">
        <f>OVERALL!B40</f>
        <v>2301274</v>
      </c>
      <c r="BK45" s="106" t="str">
        <f>OVERALL!C40</f>
        <v>Sukhreet Kaur</v>
      </c>
      <c r="BL45" s="167">
        <f t="shared" si="2"/>
        <v>48</v>
      </c>
      <c r="BM45" s="167">
        <f t="shared" si="3"/>
        <v>28</v>
      </c>
      <c r="BN45" s="168">
        <f t="shared" si="4"/>
        <v>58.333333333333336</v>
      </c>
      <c r="BO45" s="147" t="str">
        <f t="shared" si="5"/>
        <v>0</v>
      </c>
      <c r="BP45" s="171">
        <v>14</v>
      </c>
      <c r="BQ45" s="175">
        <v>14</v>
      </c>
      <c r="BR45" s="147">
        <f t="shared" si="6"/>
        <v>14</v>
      </c>
      <c r="BS45" s="147">
        <v>6</v>
      </c>
      <c r="BT45" s="147">
        <v>8</v>
      </c>
      <c r="BU45" s="147">
        <v>7</v>
      </c>
      <c r="BV45" s="148">
        <f t="shared" si="7"/>
        <v>7</v>
      </c>
      <c r="BW45" s="148"/>
      <c r="BX45" s="151">
        <f t="shared" si="8"/>
        <v>21</v>
      </c>
    </row>
    <row r="46" spans="1:76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03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147">
        <v>37</v>
      </c>
      <c r="BE46" s="88"/>
      <c r="BF46" s="147">
        <f t="shared" si="0"/>
        <v>37</v>
      </c>
      <c r="BG46" s="147">
        <v>48</v>
      </c>
      <c r="BH46" s="101">
        <f t="shared" si="1"/>
        <v>0.77083333333333337</v>
      </c>
      <c r="BI46" s="105">
        <f>OVERALL!A41</f>
        <v>38</v>
      </c>
      <c r="BJ46" s="105">
        <f>OVERALL!B41</f>
        <v>2301275</v>
      </c>
      <c r="BK46" s="106" t="str">
        <f>OVERALL!C41</f>
        <v>Suman Krishna</v>
      </c>
      <c r="BL46" s="167">
        <f t="shared" si="2"/>
        <v>48</v>
      </c>
      <c r="BM46" s="167">
        <f t="shared" si="3"/>
        <v>31</v>
      </c>
      <c r="BN46" s="168">
        <f t="shared" si="4"/>
        <v>64.583333333333343</v>
      </c>
      <c r="BO46" s="147" t="str">
        <f t="shared" si="5"/>
        <v>0</v>
      </c>
      <c r="BP46" s="171">
        <v>8</v>
      </c>
      <c r="BQ46" s="172">
        <v>6</v>
      </c>
      <c r="BR46" s="147">
        <f t="shared" si="6"/>
        <v>7</v>
      </c>
      <c r="BS46" s="147">
        <v>6</v>
      </c>
      <c r="BT46" s="147">
        <v>7</v>
      </c>
      <c r="BU46" s="147">
        <v>7</v>
      </c>
      <c r="BV46" s="148">
        <f t="shared" si="7"/>
        <v>6.666666666666667</v>
      </c>
      <c r="BW46" s="148"/>
      <c r="BX46" s="151">
        <f t="shared" si="8"/>
        <v>14</v>
      </c>
    </row>
    <row r="47" spans="1:76" ht="15.75" customHeight="1">
      <c r="A47" s="105">
        <f>OVERALL!A46</f>
        <v>43</v>
      </c>
      <c r="B47" s="105">
        <f>OVERALL!B46</f>
        <v>2301280</v>
      </c>
      <c r="C47" s="106" t="str">
        <f>OVERALL!C46</f>
        <v>Taniya</v>
      </c>
      <c r="D47" s="103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147">
        <v>23</v>
      </c>
      <c r="BE47" s="88"/>
      <c r="BF47" s="147">
        <f t="shared" si="0"/>
        <v>23</v>
      </c>
      <c r="BG47" s="147">
        <v>48</v>
      </c>
      <c r="BH47" s="101">
        <f t="shared" si="1"/>
        <v>0.47916666666666669</v>
      </c>
      <c r="BI47" s="105">
        <f>OVERALL!A42</f>
        <v>39</v>
      </c>
      <c r="BJ47" s="105">
        <f>OVERALL!B42</f>
        <v>2301276</v>
      </c>
      <c r="BK47" s="106" t="str">
        <f>OVERALL!C42</f>
        <v>Sumanyu</v>
      </c>
      <c r="BL47" s="167">
        <f t="shared" si="2"/>
        <v>48</v>
      </c>
      <c r="BM47" s="167">
        <f t="shared" si="3"/>
        <v>0</v>
      </c>
      <c r="BN47" s="168">
        <f t="shared" si="4"/>
        <v>0</v>
      </c>
      <c r="BO47" s="147" t="str">
        <f t="shared" si="5"/>
        <v>0</v>
      </c>
      <c r="BP47" s="173">
        <v>0</v>
      </c>
      <c r="BQ47" s="174">
        <v>0</v>
      </c>
      <c r="BR47" s="147">
        <f t="shared" si="6"/>
        <v>0</v>
      </c>
      <c r="BS47" s="147">
        <v>0</v>
      </c>
      <c r="BT47" s="147">
        <v>0</v>
      </c>
      <c r="BU47" s="147">
        <v>0</v>
      </c>
      <c r="BV47" s="148">
        <f t="shared" si="7"/>
        <v>0</v>
      </c>
      <c r="BW47" s="148"/>
      <c r="BX47" s="151">
        <f t="shared" si="8"/>
        <v>0</v>
      </c>
    </row>
    <row r="48" spans="1:76" ht="15.75" customHeight="1">
      <c r="A48" s="105">
        <f>OVERALL!A47</f>
        <v>44</v>
      </c>
      <c r="B48" s="105">
        <f>OVERALL!B47</f>
        <v>2301281</v>
      </c>
      <c r="C48" s="106" t="str">
        <f>OVERALL!C47</f>
        <v>Taziko Trakha</v>
      </c>
      <c r="D48" s="103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147">
        <v>29</v>
      </c>
      <c r="BE48" s="88">
        <v>7</v>
      </c>
      <c r="BF48" s="147">
        <f t="shared" si="0"/>
        <v>36</v>
      </c>
      <c r="BG48" s="147">
        <v>48</v>
      </c>
      <c r="BH48" s="101">
        <f t="shared" si="1"/>
        <v>0.75</v>
      </c>
      <c r="BI48" s="105">
        <f>OVERALL!A43</f>
        <v>40</v>
      </c>
      <c r="BJ48" s="105">
        <f>OVERALL!B43</f>
        <v>2301277</v>
      </c>
      <c r="BK48" s="106" t="str">
        <f>OVERALL!C43</f>
        <v>Tamana</v>
      </c>
      <c r="BL48" s="167">
        <f t="shared" si="2"/>
        <v>48</v>
      </c>
      <c r="BM48" s="167">
        <f t="shared" si="3"/>
        <v>20</v>
      </c>
      <c r="BN48" s="168">
        <f t="shared" si="4"/>
        <v>41.666666666666671</v>
      </c>
      <c r="BO48" s="147" t="str">
        <f t="shared" si="5"/>
        <v>0</v>
      </c>
      <c r="BP48" s="171">
        <v>10</v>
      </c>
      <c r="BQ48" s="172">
        <v>11</v>
      </c>
      <c r="BR48" s="147">
        <f t="shared" si="6"/>
        <v>10.5</v>
      </c>
      <c r="BS48" s="147">
        <v>8</v>
      </c>
      <c r="BT48" s="147">
        <v>7</v>
      </c>
      <c r="BU48" s="147">
        <v>6</v>
      </c>
      <c r="BV48" s="148">
        <f t="shared" si="7"/>
        <v>7</v>
      </c>
      <c r="BW48" s="148"/>
      <c r="BX48" s="151">
        <f t="shared" si="8"/>
        <v>18</v>
      </c>
    </row>
    <row r="49" spans="1:76" ht="15.75" customHeight="1">
      <c r="A49" s="122">
        <v>45</v>
      </c>
      <c r="B49" s="105">
        <f>OVERALL!B48</f>
        <v>2301282</v>
      </c>
      <c r="C49" s="106" t="str">
        <f>OVERALL!C48</f>
        <v>Uday Kumar</v>
      </c>
      <c r="D49" s="103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147">
        <v>9</v>
      </c>
      <c r="BE49" s="88"/>
      <c r="BF49" s="147">
        <f t="shared" si="0"/>
        <v>9</v>
      </c>
      <c r="BG49" s="147">
        <v>48</v>
      </c>
      <c r="BH49" s="101">
        <f t="shared" si="1"/>
        <v>0.1875</v>
      </c>
      <c r="BI49" s="105">
        <f>OVERALL!A44</f>
        <v>41</v>
      </c>
      <c r="BJ49" s="105">
        <f>OVERALL!B44</f>
        <v>2301278</v>
      </c>
      <c r="BK49" s="106" t="str">
        <f>OVERALL!C44</f>
        <v>Tamana Farooq Khanday</v>
      </c>
      <c r="BL49" s="167">
        <f t="shared" si="2"/>
        <v>48</v>
      </c>
      <c r="BM49" s="167">
        <f t="shared" si="3"/>
        <v>19</v>
      </c>
      <c r="BN49" s="168">
        <f t="shared" si="4"/>
        <v>39.583333333333336</v>
      </c>
      <c r="BO49" s="147" t="str">
        <f t="shared" si="5"/>
        <v>0</v>
      </c>
      <c r="BP49" s="171">
        <v>20</v>
      </c>
      <c r="BQ49" s="172">
        <v>12</v>
      </c>
      <c r="BR49" s="147">
        <f t="shared" si="6"/>
        <v>16</v>
      </c>
      <c r="BS49" s="147">
        <v>2</v>
      </c>
      <c r="BT49" s="147">
        <v>0</v>
      </c>
      <c r="BU49" s="147">
        <v>0</v>
      </c>
      <c r="BV49" s="148">
        <f t="shared" si="7"/>
        <v>0.66666666666666663</v>
      </c>
      <c r="BW49" s="148"/>
      <c r="BX49" s="151">
        <f t="shared" si="8"/>
        <v>17</v>
      </c>
    </row>
    <row r="50" spans="1:76" ht="15.75" customHeight="1">
      <c r="A50" s="122">
        <v>46</v>
      </c>
      <c r="B50" s="105">
        <f>OVERALL!B49</f>
        <v>2301283</v>
      </c>
      <c r="C50" s="106" t="str">
        <f>OVERALL!C49</f>
        <v>Vaibhav Shahi</v>
      </c>
      <c r="D50" s="103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147">
        <v>21</v>
      </c>
      <c r="BE50" s="88"/>
      <c r="BF50" s="147">
        <f t="shared" si="0"/>
        <v>21</v>
      </c>
      <c r="BG50" s="147">
        <v>48</v>
      </c>
      <c r="BH50" s="101">
        <f t="shared" si="1"/>
        <v>0.4375</v>
      </c>
      <c r="BI50" s="105">
        <f>OVERALL!A45</f>
        <v>42</v>
      </c>
      <c r="BJ50" s="105">
        <f>OVERALL!B45</f>
        <v>2301279</v>
      </c>
      <c r="BK50" s="106" t="str">
        <f>OVERALL!C45</f>
        <v>Tania</v>
      </c>
      <c r="BL50" s="167">
        <f t="shared" si="2"/>
        <v>48</v>
      </c>
      <c r="BM50" s="167">
        <f t="shared" si="3"/>
        <v>37</v>
      </c>
      <c r="BN50" s="168">
        <f t="shared" si="4"/>
        <v>77.083333333333343</v>
      </c>
      <c r="BO50" s="147" t="str">
        <f t="shared" si="5"/>
        <v>2</v>
      </c>
      <c r="BP50" s="171">
        <v>14</v>
      </c>
      <c r="BQ50" s="172">
        <v>11</v>
      </c>
      <c r="BR50" s="147">
        <f t="shared" si="6"/>
        <v>12.5</v>
      </c>
      <c r="BS50" s="147">
        <v>5</v>
      </c>
      <c r="BT50" s="147">
        <v>7</v>
      </c>
      <c r="BU50" s="147">
        <v>5</v>
      </c>
      <c r="BV50" s="148">
        <f t="shared" si="7"/>
        <v>5.666666666666667</v>
      </c>
      <c r="BW50" s="148"/>
      <c r="BX50" s="151">
        <f t="shared" si="8"/>
        <v>20</v>
      </c>
    </row>
    <row r="51" spans="1:76" ht="15.75" customHeight="1">
      <c r="A51" s="122">
        <v>47</v>
      </c>
      <c r="B51" s="105">
        <f>OVERALL!B50</f>
        <v>2301284</v>
      </c>
      <c r="C51" s="106" t="str">
        <f>OVERALL!C50</f>
        <v>Vansh Kumar</v>
      </c>
      <c r="D51" s="103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147">
        <v>0</v>
      </c>
      <c r="BE51" s="88"/>
      <c r="BF51" s="147">
        <f t="shared" si="0"/>
        <v>0</v>
      </c>
      <c r="BG51" s="147">
        <v>48</v>
      </c>
      <c r="BH51" s="101">
        <f t="shared" si="1"/>
        <v>0</v>
      </c>
      <c r="BI51" s="105">
        <f>OVERALL!A46</f>
        <v>43</v>
      </c>
      <c r="BJ51" s="105">
        <f>OVERALL!B46</f>
        <v>2301280</v>
      </c>
      <c r="BK51" s="106" t="str">
        <f>OVERALL!C46</f>
        <v>Taniya</v>
      </c>
      <c r="BL51" s="167">
        <f t="shared" si="2"/>
        <v>48</v>
      </c>
      <c r="BM51" s="167">
        <f t="shared" si="3"/>
        <v>23</v>
      </c>
      <c r="BN51" s="168">
        <f t="shared" si="4"/>
        <v>47.916666666666671</v>
      </c>
      <c r="BO51" s="147" t="str">
        <f t="shared" si="5"/>
        <v>0</v>
      </c>
      <c r="BP51" s="171">
        <v>17</v>
      </c>
      <c r="BQ51" s="172">
        <v>15</v>
      </c>
      <c r="BR51" s="147">
        <f t="shared" si="6"/>
        <v>16</v>
      </c>
      <c r="BS51" s="147">
        <v>7</v>
      </c>
      <c r="BT51" s="147">
        <v>8</v>
      </c>
      <c r="BU51" s="147">
        <v>6</v>
      </c>
      <c r="BV51" s="148">
        <f t="shared" si="7"/>
        <v>7</v>
      </c>
      <c r="BW51" s="148"/>
      <c r="BX51" s="151">
        <f t="shared" si="8"/>
        <v>23</v>
      </c>
    </row>
    <row r="52" spans="1:76" ht="15.75" customHeight="1">
      <c r="A52" s="122">
        <v>48</v>
      </c>
      <c r="B52" s="105">
        <f>OVERALL!B51</f>
        <v>2301285</v>
      </c>
      <c r="C52" s="106" t="str">
        <f>OVERALL!C51</f>
        <v>Vansh Sharma</v>
      </c>
      <c r="D52" s="125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47">
        <v>25</v>
      </c>
      <c r="BE52" s="176"/>
      <c r="BF52" s="147">
        <f t="shared" si="0"/>
        <v>25</v>
      </c>
      <c r="BG52" s="147">
        <v>48</v>
      </c>
      <c r="BH52" s="101">
        <f t="shared" si="1"/>
        <v>0.52083333333333337</v>
      </c>
      <c r="BI52" s="105">
        <f>OVERALL!A47</f>
        <v>44</v>
      </c>
      <c r="BJ52" s="105">
        <f>OVERALL!B47</f>
        <v>2301281</v>
      </c>
      <c r="BK52" s="106" t="str">
        <f>OVERALL!C47</f>
        <v>Taziko Trakha</v>
      </c>
      <c r="BL52" s="167">
        <f t="shared" si="2"/>
        <v>48</v>
      </c>
      <c r="BM52" s="167">
        <f t="shared" si="3"/>
        <v>36</v>
      </c>
      <c r="BN52" s="168">
        <f t="shared" si="4"/>
        <v>75</v>
      </c>
      <c r="BO52" s="147" t="str">
        <f t="shared" si="5"/>
        <v>0</v>
      </c>
      <c r="BP52" s="171">
        <v>16</v>
      </c>
      <c r="BQ52" s="172">
        <v>15</v>
      </c>
      <c r="BR52" s="177">
        <f t="shared" si="6"/>
        <v>15.5</v>
      </c>
      <c r="BS52" s="177">
        <v>5</v>
      </c>
      <c r="BT52" s="177">
        <v>6</v>
      </c>
      <c r="BU52" s="177">
        <v>7</v>
      </c>
      <c r="BV52" s="178">
        <f t="shared" si="7"/>
        <v>6</v>
      </c>
      <c r="BW52" s="178"/>
      <c r="BX52" s="151">
        <f t="shared" si="8"/>
        <v>22</v>
      </c>
    </row>
    <row r="53" spans="1:76" ht="15.75" customHeight="1">
      <c r="A53" s="122">
        <v>49</v>
      </c>
      <c r="B53" s="105">
        <f>OVERALL!B52</f>
        <v>2301286</v>
      </c>
      <c r="C53" s="179" t="str">
        <f>OVERALL!C52</f>
        <v>Vikramjit Singh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147">
        <v>2</v>
      </c>
      <c r="BE53" s="88"/>
      <c r="BF53" s="147">
        <f t="shared" si="0"/>
        <v>2</v>
      </c>
      <c r="BG53" s="147">
        <v>48</v>
      </c>
      <c r="BH53" s="101">
        <f t="shared" si="1"/>
        <v>4.1666666666666664E-2</v>
      </c>
      <c r="BI53" s="105">
        <f>OVERALL!A48</f>
        <v>45</v>
      </c>
      <c r="BJ53" s="105">
        <f>OVERALL!B48</f>
        <v>2301282</v>
      </c>
      <c r="BK53" s="106" t="str">
        <f>OVERALL!C48</f>
        <v>Uday Kumar</v>
      </c>
      <c r="BL53" s="167">
        <f t="shared" si="2"/>
        <v>48</v>
      </c>
      <c r="BM53" s="167">
        <f t="shared" si="3"/>
        <v>9</v>
      </c>
      <c r="BN53" s="168">
        <f t="shared" si="4"/>
        <v>18.75</v>
      </c>
      <c r="BO53" s="180" t="str">
        <f t="shared" si="5"/>
        <v>0</v>
      </c>
      <c r="BP53" s="181">
        <v>5</v>
      </c>
      <c r="BQ53" s="182">
        <v>0</v>
      </c>
      <c r="BR53" s="147">
        <f t="shared" si="6"/>
        <v>2.5</v>
      </c>
      <c r="BS53" s="96">
        <v>6</v>
      </c>
      <c r="BT53" s="96">
        <v>0</v>
      </c>
      <c r="BU53" s="96">
        <v>0</v>
      </c>
      <c r="BV53" s="148">
        <f t="shared" si="7"/>
        <v>2</v>
      </c>
      <c r="BW53" s="88"/>
      <c r="BX53" s="183">
        <f t="shared" si="8"/>
        <v>5</v>
      </c>
    </row>
    <row r="54" spans="1:76" ht="15.75" customHeight="1">
      <c r="A54" s="122">
        <v>50</v>
      </c>
      <c r="B54" s="105">
        <f>OVERALL!B53</f>
        <v>2301287</v>
      </c>
      <c r="C54" s="179" t="str">
        <f>OVERALL!C53</f>
        <v>Vishavjit Singh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147">
        <v>1</v>
      </c>
      <c r="BE54" s="88"/>
      <c r="BF54" s="147">
        <f t="shared" si="0"/>
        <v>1</v>
      </c>
      <c r="BG54" s="147">
        <v>48</v>
      </c>
      <c r="BH54" s="101">
        <f t="shared" si="1"/>
        <v>2.0833333333333332E-2</v>
      </c>
      <c r="BI54" s="105">
        <f>OVERALL!A49</f>
        <v>46</v>
      </c>
      <c r="BJ54" s="105">
        <f>OVERALL!B49</f>
        <v>2301283</v>
      </c>
      <c r="BK54" s="106" t="str">
        <f>OVERALL!C49</f>
        <v>Vaibhav Shahi</v>
      </c>
      <c r="BL54" s="167">
        <f t="shared" si="2"/>
        <v>48</v>
      </c>
      <c r="BM54" s="167">
        <f t="shared" si="3"/>
        <v>21</v>
      </c>
      <c r="BN54" s="168">
        <f t="shared" si="4"/>
        <v>43.75</v>
      </c>
      <c r="BO54" s="180" t="str">
        <f t="shared" si="5"/>
        <v>0</v>
      </c>
      <c r="BP54" s="181">
        <v>3</v>
      </c>
      <c r="BQ54" s="182">
        <v>3</v>
      </c>
      <c r="BR54" s="147">
        <f t="shared" si="6"/>
        <v>3</v>
      </c>
      <c r="BS54" s="96">
        <v>6</v>
      </c>
      <c r="BT54" s="96">
        <v>5</v>
      </c>
      <c r="BU54" s="96">
        <v>5</v>
      </c>
      <c r="BV54" s="148">
        <f t="shared" si="7"/>
        <v>5.333333333333333</v>
      </c>
      <c r="BW54" s="88"/>
      <c r="BX54" s="183">
        <f t="shared" si="8"/>
        <v>8</v>
      </c>
    </row>
    <row r="55" spans="1:76" ht="15.75" customHeight="1">
      <c r="A55" s="122">
        <v>51</v>
      </c>
      <c r="B55" s="105">
        <f>OVERALL!B54</f>
        <v>2339508</v>
      </c>
      <c r="C55" s="179" t="str">
        <f>OVERALL!C54</f>
        <v>TANISHA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147">
        <v>33</v>
      </c>
      <c r="BE55" s="88"/>
      <c r="BF55" s="147">
        <f t="shared" si="0"/>
        <v>33</v>
      </c>
      <c r="BG55" s="147">
        <v>48</v>
      </c>
      <c r="BH55" s="101">
        <f t="shared" si="1"/>
        <v>0.6875</v>
      </c>
      <c r="BI55" s="105">
        <f>OVERALL!A50</f>
        <v>47</v>
      </c>
      <c r="BJ55" s="105">
        <f>OVERALL!B50</f>
        <v>2301284</v>
      </c>
      <c r="BK55" s="106" t="str">
        <f>OVERALL!C50</f>
        <v>Vansh Kumar</v>
      </c>
      <c r="BL55" s="167">
        <f t="shared" si="2"/>
        <v>48</v>
      </c>
      <c r="BM55" s="167">
        <f t="shared" si="3"/>
        <v>0</v>
      </c>
      <c r="BN55" s="168">
        <f t="shared" si="4"/>
        <v>0</v>
      </c>
      <c r="BO55" s="180" t="str">
        <f t="shared" si="5"/>
        <v>0</v>
      </c>
      <c r="BP55" s="173">
        <v>0</v>
      </c>
      <c r="BQ55" s="174">
        <v>0</v>
      </c>
      <c r="BR55" s="147">
        <f t="shared" si="6"/>
        <v>0</v>
      </c>
      <c r="BS55" s="96">
        <v>0</v>
      </c>
      <c r="BT55" s="96">
        <v>0</v>
      </c>
      <c r="BU55" s="96">
        <v>0</v>
      </c>
      <c r="BV55" s="148">
        <f t="shared" si="7"/>
        <v>0</v>
      </c>
      <c r="BW55" s="88"/>
      <c r="BX55" s="183">
        <f t="shared" si="8"/>
        <v>0</v>
      </c>
    </row>
    <row r="56" spans="1:76" ht="15.75" customHeight="1">
      <c r="A56" s="122">
        <v>52</v>
      </c>
      <c r="B56" s="105">
        <f>OVERALL!B55</f>
        <v>2339509</v>
      </c>
      <c r="C56" s="179" t="str">
        <f>OVERALL!C55</f>
        <v>TOHIED AHMED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147">
        <v>0</v>
      </c>
      <c r="BE56" s="88"/>
      <c r="BF56" s="147">
        <f t="shared" si="0"/>
        <v>0</v>
      </c>
      <c r="BG56" s="147">
        <v>48</v>
      </c>
      <c r="BH56" s="101">
        <f t="shared" si="1"/>
        <v>0</v>
      </c>
      <c r="BI56" s="105">
        <f>OVERALL!A51</f>
        <v>48</v>
      </c>
      <c r="BJ56" s="105">
        <f>OVERALL!B51</f>
        <v>2301285</v>
      </c>
      <c r="BK56" s="106" t="str">
        <f>OVERALL!C51</f>
        <v>Vansh Sharma</v>
      </c>
      <c r="BL56" s="167">
        <f t="shared" si="2"/>
        <v>48</v>
      </c>
      <c r="BM56" s="167">
        <f t="shared" si="3"/>
        <v>25</v>
      </c>
      <c r="BN56" s="168">
        <f t="shared" si="4"/>
        <v>52.083333333333336</v>
      </c>
      <c r="BO56" s="180" t="str">
        <f t="shared" si="5"/>
        <v>0</v>
      </c>
      <c r="BP56" s="173">
        <v>0</v>
      </c>
      <c r="BQ56" s="182">
        <v>10</v>
      </c>
      <c r="BR56" s="147">
        <f t="shared" si="6"/>
        <v>5</v>
      </c>
      <c r="BS56" s="96">
        <v>4</v>
      </c>
      <c r="BT56" s="96">
        <v>7</v>
      </c>
      <c r="BU56" s="96">
        <v>0</v>
      </c>
      <c r="BV56" s="148">
        <f t="shared" si="7"/>
        <v>3.6666666666666665</v>
      </c>
      <c r="BW56" s="88"/>
      <c r="BX56" s="183">
        <f t="shared" si="8"/>
        <v>9</v>
      </c>
    </row>
    <row r="57" spans="1:76" ht="15.75" customHeight="1">
      <c r="A57" s="122">
        <v>53</v>
      </c>
      <c r="B57" s="105">
        <f>OVERALL!B56</f>
        <v>2301207</v>
      </c>
      <c r="C57" s="179" t="str">
        <f>OVERALL!C56</f>
        <v>Harsh thakur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147">
        <v>0</v>
      </c>
      <c r="BE57" s="88"/>
      <c r="BF57" s="147">
        <f t="shared" si="0"/>
        <v>0</v>
      </c>
      <c r="BG57" s="147">
        <v>48</v>
      </c>
      <c r="BH57" s="101">
        <f t="shared" si="1"/>
        <v>0</v>
      </c>
      <c r="BI57" s="105">
        <f>OVERALL!A52</f>
        <v>49</v>
      </c>
      <c r="BJ57" s="105">
        <f>OVERALL!B52</f>
        <v>2301286</v>
      </c>
      <c r="BK57" s="106" t="str">
        <f>OVERALL!C52</f>
        <v>Vikramjit Singh</v>
      </c>
      <c r="BL57" s="167">
        <f t="shared" si="2"/>
        <v>48</v>
      </c>
      <c r="BM57" s="167">
        <f t="shared" si="3"/>
        <v>2</v>
      </c>
      <c r="BN57" s="168">
        <f t="shared" si="4"/>
        <v>4.166666666666667</v>
      </c>
      <c r="BO57" s="180" t="str">
        <f t="shared" si="5"/>
        <v>0</v>
      </c>
      <c r="BP57" s="173">
        <v>0</v>
      </c>
      <c r="BQ57" s="174">
        <v>0</v>
      </c>
      <c r="BR57" s="147">
        <f t="shared" si="6"/>
        <v>0</v>
      </c>
      <c r="BS57" s="96">
        <v>0</v>
      </c>
      <c r="BT57" s="96">
        <v>0</v>
      </c>
      <c r="BU57" s="96">
        <v>0</v>
      </c>
      <c r="BV57" s="148">
        <f t="shared" si="7"/>
        <v>0</v>
      </c>
      <c r="BW57" s="88"/>
      <c r="BX57" s="183">
        <f t="shared" si="8"/>
        <v>0</v>
      </c>
    </row>
    <row r="58" spans="1:76" ht="15.75" customHeight="1">
      <c r="A58" s="122">
        <v>54</v>
      </c>
      <c r="B58" s="105" t="str">
        <f>OVERALL!B57</f>
        <v>Leet</v>
      </c>
      <c r="C58" s="179" t="str">
        <f>OVERALL!C57</f>
        <v>Gagan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147">
        <v>33</v>
      </c>
      <c r="BE58" s="88"/>
      <c r="BF58" s="147">
        <f t="shared" si="0"/>
        <v>33</v>
      </c>
      <c r="BG58" s="147">
        <v>48</v>
      </c>
      <c r="BH58" s="101">
        <f t="shared" si="1"/>
        <v>0.6875</v>
      </c>
      <c r="BI58" s="105">
        <f>OVERALL!A53</f>
        <v>50</v>
      </c>
      <c r="BJ58" s="105">
        <f>OVERALL!B53</f>
        <v>2301287</v>
      </c>
      <c r="BK58" s="106" t="str">
        <f>OVERALL!C53</f>
        <v>Vishavjit Singh</v>
      </c>
      <c r="BL58" s="167">
        <f t="shared" si="2"/>
        <v>48</v>
      </c>
      <c r="BM58" s="167">
        <f t="shared" si="3"/>
        <v>1</v>
      </c>
      <c r="BN58" s="168">
        <f t="shared" si="4"/>
        <v>2.0833333333333335</v>
      </c>
      <c r="BO58" s="180" t="str">
        <f t="shared" si="5"/>
        <v>0</v>
      </c>
      <c r="BP58" s="173">
        <v>0</v>
      </c>
      <c r="BQ58" s="174">
        <v>0</v>
      </c>
      <c r="BR58" s="147">
        <f t="shared" si="6"/>
        <v>0</v>
      </c>
      <c r="BS58" s="96">
        <v>0</v>
      </c>
      <c r="BT58" s="96">
        <v>0</v>
      </c>
      <c r="BU58" s="96">
        <v>0</v>
      </c>
      <c r="BV58" s="148">
        <f t="shared" si="7"/>
        <v>0</v>
      </c>
      <c r="BW58" s="88"/>
      <c r="BX58" s="183">
        <f t="shared" si="8"/>
        <v>0</v>
      </c>
    </row>
    <row r="59" spans="1:76" ht="15.75" customHeight="1">
      <c r="A59" s="122">
        <v>55</v>
      </c>
      <c r="B59" s="105" t="str">
        <f>OVERALL!B58</f>
        <v>Leet</v>
      </c>
      <c r="C59" s="179" t="str">
        <f>OVERALL!C58</f>
        <v>Manisha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147">
        <v>35</v>
      </c>
      <c r="BE59" s="88"/>
      <c r="BF59" s="147">
        <f t="shared" si="0"/>
        <v>35</v>
      </c>
      <c r="BG59" s="147">
        <v>48</v>
      </c>
      <c r="BH59" s="101">
        <f t="shared" si="1"/>
        <v>0.72916666666666663</v>
      </c>
      <c r="BI59" s="105">
        <f>OVERALL!A54</f>
        <v>51</v>
      </c>
      <c r="BJ59" s="105">
        <f>OVERALL!B54</f>
        <v>2339508</v>
      </c>
      <c r="BK59" s="106" t="str">
        <f>OVERALL!C54</f>
        <v>TANISHA</v>
      </c>
      <c r="BL59" s="167">
        <f t="shared" si="2"/>
        <v>48</v>
      </c>
      <c r="BM59" s="167">
        <f t="shared" si="3"/>
        <v>33</v>
      </c>
      <c r="BN59" s="168">
        <f t="shared" si="4"/>
        <v>68.75</v>
      </c>
      <c r="BO59" s="180" t="str">
        <f t="shared" si="5"/>
        <v>0</v>
      </c>
      <c r="BP59" s="173">
        <v>0</v>
      </c>
      <c r="BQ59" s="182">
        <v>14</v>
      </c>
      <c r="BR59" s="147">
        <f t="shared" si="6"/>
        <v>7</v>
      </c>
      <c r="BS59" s="96">
        <v>6</v>
      </c>
      <c r="BT59" s="96">
        <v>8</v>
      </c>
      <c r="BU59" s="96">
        <v>6</v>
      </c>
      <c r="BV59" s="148">
        <f t="shared" si="7"/>
        <v>6.666666666666667</v>
      </c>
      <c r="BW59" s="88"/>
      <c r="BX59" s="183">
        <f t="shared" si="8"/>
        <v>14</v>
      </c>
    </row>
    <row r="60" spans="1:76" ht="15.75" customHeight="1">
      <c r="A60" s="122">
        <v>56</v>
      </c>
      <c r="B60" s="105" t="str">
        <f>OVERALL!B59</f>
        <v>Leet</v>
      </c>
      <c r="C60" s="179" t="str">
        <f>OVERALL!C59</f>
        <v>Richa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147">
        <v>36</v>
      </c>
      <c r="BE60" s="88"/>
      <c r="BF60" s="147">
        <f t="shared" si="0"/>
        <v>36</v>
      </c>
      <c r="BG60" s="147">
        <v>48</v>
      </c>
      <c r="BH60" s="101">
        <f t="shared" si="1"/>
        <v>0.75</v>
      </c>
      <c r="BI60" s="105">
        <f>OVERALL!A55</f>
        <v>52</v>
      </c>
      <c r="BJ60" s="105">
        <f>OVERALL!B55</f>
        <v>2339509</v>
      </c>
      <c r="BK60" s="106" t="str">
        <f>OVERALL!C55</f>
        <v>TOHIED AHMED</v>
      </c>
      <c r="BL60" s="167">
        <f t="shared" si="2"/>
        <v>48</v>
      </c>
      <c r="BM60" s="167">
        <f t="shared" si="3"/>
        <v>0</v>
      </c>
      <c r="BN60" s="168">
        <f t="shared" si="4"/>
        <v>0</v>
      </c>
      <c r="BO60" s="180" t="str">
        <f t="shared" si="5"/>
        <v>0</v>
      </c>
      <c r="BP60" s="173">
        <v>0</v>
      </c>
      <c r="BQ60" s="174">
        <v>0</v>
      </c>
      <c r="BR60" s="147">
        <f t="shared" si="6"/>
        <v>0</v>
      </c>
      <c r="BS60" s="96">
        <v>0</v>
      </c>
      <c r="BT60" s="96">
        <v>0</v>
      </c>
      <c r="BU60" s="96">
        <v>0</v>
      </c>
      <c r="BV60" s="148">
        <f t="shared" si="7"/>
        <v>0</v>
      </c>
      <c r="BW60" s="88"/>
      <c r="BX60" s="183">
        <f t="shared" si="8"/>
        <v>0</v>
      </c>
    </row>
    <row r="61" spans="1:76" ht="15.75" customHeight="1">
      <c r="A61" s="122">
        <v>57</v>
      </c>
      <c r="B61" s="105" t="str">
        <f>OVERALL!B60</f>
        <v>Leet</v>
      </c>
      <c r="C61" s="179" t="str">
        <f>OVERALL!C60</f>
        <v>Prakriti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147">
        <v>30</v>
      </c>
      <c r="BE61" s="88"/>
      <c r="BF61" s="147">
        <v>30</v>
      </c>
      <c r="BG61" s="147">
        <v>32</v>
      </c>
      <c r="BH61" s="101">
        <f t="shared" si="1"/>
        <v>0.9375</v>
      </c>
      <c r="BI61" s="105">
        <f>OVERALL!A56</f>
        <v>53</v>
      </c>
      <c r="BJ61" s="105">
        <f>OVERALL!B56</f>
        <v>2301207</v>
      </c>
      <c r="BK61" s="106" t="str">
        <f>OVERALL!C56</f>
        <v>Harsh thakur</v>
      </c>
      <c r="BL61" s="167">
        <f t="shared" si="2"/>
        <v>48</v>
      </c>
      <c r="BM61" s="167">
        <f t="shared" si="3"/>
        <v>0</v>
      </c>
      <c r="BN61" s="168">
        <f t="shared" si="4"/>
        <v>0</v>
      </c>
      <c r="BO61" s="180" t="str">
        <f t="shared" si="5"/>
        <v>0</v>
      </c>
      <c r="BP61" s="173">
        <v>0</v>
      </c>
      <c r="BQ61" s="174">
        <v>0</v>
      </c>
      <c r="BR61" s="147">
        <f t="shared" si="6"/>
        <v>0</v>
      </c>
      <c r="BS61" s="96">
        <v>0</v>
      </c>
      <c r="BT61" s="96">
        <v>0</v>
      </c>
      <c r="BU61" s="96">
        <v>0</v>
      </c>
      <c r="BV61" s="148">
        <f t="shared" si="7"/>
        <v>0</v>
      </c>
      <c r="BW61" s="88"/>
      <c r="BX61" s="183">
        <f t="shared" si="8"/>
        <v>0</v>
      </c>
    </row>
    <row r="62" spans="1:76" ht="15.75" customHeight="1">
      <c r="A62" s="122">
        <v>58</v>
      </c>
      <c r="B62" s="105" t="str">
        <f>OVERALL!B61</f>
        <v>leet</v>
      </c>
      <c r="C62" s="179" t="str">
        <f>OVERALL!C61</f>
        <v>Shubham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147">
        <v>17</v>
      </c>
      <c r="BE62" s="88"/>
      <c r="BF62" s="147">
        <v>17</v>
      </c>
      <c r="BG62" s="147">
        <v>23</v>
      </c>
      <c r="BH62" s="101">
        <f t="shared" si="1"/>
        <v>0.73913043478260865</v>
      </c>
      <c r="BI62" s="105">
        <f>OVERALL!A57</f>
        <v>54</v>
      </c>
      <c r="BJ62" s="105" t="str">
        <f>OVERALL!B57</f>
        <v>Leet</v>
      </c>
      <c r="BK62" s="106" t="str">
        <f>OVERALL!C57</f>
        <v>Gagan</v>
      </c>
      <c r="BL62" s="167">
        <f t="shared" si="2"/>
        <v>48</v>
      </c>
      <c r="BM62" s="167">
        <f t="shared" si="3"/>
        <v>33</v>
      </c>
      <c r="BN62" s="168">
        <f t="shared" si="4"/>
        <v>68.75</v>
      </c>
      <c r="BO62" s="180" t="str">
        <f t="shared" si="5"/>
        <v>0</v>
      </c>
      <c r="BP62" s="181">
        <v>9</v>
      </c>
      <c r="BQ62" s="182">
        <v>6</v>
      </c>
      <c r="BR62" s="147">
        <f t="shared" si="6"/>
        <v>7.5</v>
      </c>
      <c r="BS62" s="96">
        <v>7</v>
      </c>
      <c r="BT62" s="96">
        <v>7</v>
      </c>
      <c r="BU62" s="96">
        <v>8</v>
      </c>
      <c r="BV62" s="148">
        <f t="shared" si="7"/>
        <v>7.333333333333333</v>
      </c>
      <c r="BW62" s="88"/>
      <c r="BX62" s="183">
        <f t="shared" si="8"/>
        <v>15</v>
      </c>
    </row>
    <row r="63" spans="1:76" ht="15.75" customHeight="1">
      <c r="A63" s="52"/>
      <c r="B63" s="184"/>
      <c r="C63" s="134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24"/>
      <c r="BE63" s="24"/>
      <c r="BF63" s="24"/>
      <c r="BG63" s="40"/>
      <c r="BH63" s="24"/>
      <c r="BI63" s="105">
        <f>OVERALL!A58</f>
        <v>55</v>
      </c>
      <c r="BJ63" s="105" t="str">
        <f>OVERALL!B58</f>
        <v>Leet</v>
      </c>
      <c r="BK63" s="106" t="str">
        <f>OVERALL!C58</f>
        <v>Manisha</v>
      </c>
      <c r="BL63" s="167">
        <f t="shared" si="2"/>
        <v>48</v>
      </c>
      <c r="BM63" s="167">
        <f t="shared" si="3"/>
        <v>35</v>
      </c>
      <c r="BN63" s="168">
        <f t="shared" si="4"/>
        <v>72.916666666666671</v>
      </c>
      <c r="BO63" s="180" t="str">
        <f t="shared" si="5"/>
        <v>0</v>
      </c>
      <c r="BP63" s="181">
        <v>21</v>
      </c>
      <c r="BQ63" s="182">
        <v>19</v>
      </c>
      <c r="BR63" s="147">
        <f t="shared" si="6"/>
        <v>20</v>
      </c>
      <c r="BS63" s="96">
        <v>8</v>
      </c>
      <c r="BT63" s="96">
        <v>9</v>
      </c>
      <c r="BU63" s="96">
        <v>8</v>
      </c>
      <c r="BV63" s="148">
        <f t="shared" si="7"/>
        <v>8.3333333333333339</v>
      </c>
      <c r="BW63" s="88"/>
      <c r="BX63" s="183">
        <f t="shared" si="8"/>
        <v>28</v>
      </c>
    </row>
    <row r="64" spans="1:76" ht="15.75" customHeight="1">
      <c r="A64" s="52"/>
      <c r="B64" s="184"/>
      <c r="C64" s="134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24"/>
      <c r="BE64" s="24"/>
      <c r="BF64" s="24"/>
      <c r="BG64" s="24"/>
      <c r="BH64" s="24"/>
      <c r="BI64" s="105">
        <f>OVERALL!A59</f>
        <v>56</v>
      </c>
      <c r="BJ64" s="105" t="str">
        <f>OVERALL!B59</f>
        <v>Leet</v>
      </c>
      <c r="BK64" s="106" t="str">
        <f>OVERALL!C59</f>
        <v>Richa</v>
      </c>
      <c r="BL64" s="167">
        <f t="shared" si="2"/>
        <v>48</v>
      </c>
      <c r="BM64" s="167">
        <f t="shared" si="3"/>
        <v>36</v>
      </c>
      <c r="BN64" s="168">
        <f t="shared" si="4"/>
        <v>75</v>
      </c>
      <c r="BO64" s="180" t="str">
        <f t="shared" si="5"/>
        <v>0</v>
      </c>
      <c r="BP64" s="181">
        <v>22</v>
      </c>
      <c r="BQ64" s="182">
        <v>19</v>
      </c>
      <c r="BR64" s="147">
        <f t="shared" si="6"/>
        <v>20.5</v>
      </c>
      <c r="BS64" s="96">
        <v>8</v>
      </c>
      <c r="BT64" s="96">
        <v>9</v>
      </c>
      <c r="BU64" s="96">
        <v>9</v>
      </c>
      <c r="BV64" s="148">
        <f t="shared" si="7"/>
        <v>8.6666666666666661</v>
      </c>
      <c r="BW64" s="88"/>
      <c r="BX64" s="183">
        <f t="shared" si="8"/>
        <v>29</v>
      </c>
    </row>
    <row r="65" spans="1:76" ht="15.75" customHeight="1">
      <c r="A65" s="52"/>
      <c r="B65" s="184"/>
      <c r="C65" s="134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24"/>
      <c r="BE65" s="24"/>
      <c r="BF65" s="24"/>
      <c r="BG65" s="24"/>
      <c r="BH65" s="24"/>
      <c r="BI65" s="105">
        <f>OVERALL!A60</f>
        <v>57</v>
      </c>
      <c r="BJ65" s="105" t="str">
        <f>OVERALL!B60</f>
        <v>Leet</v>
      </c>
      <c r="BK65" s="106" t="str">
        <f>OVERALL!C60</f>
        <v>Prakriti</v>
      </c>
      <c r="BL65" s="167">
        <f t="shared" si="2"/>
        <v>32</v>
      </c>
      <c r="BM65" s="167">
        <f t="shared" si="3"/>
        <v>30</v>
      </c>
      <c r="BN65" s="168">
        <f t="shared" si="4"/>
        <v>93.75</v>
      </c>
      <c r="BO65" s="180" t="str">
        <f t="shared" si="5"/>
        <v>5</v>
      </c>
      <c r="BP65" s="96">
        <v>16</v>
      </c>
      <c r="BQ65" s="96">
        <v>18</v>
      </c>
      <c r="BR65" s="147">
        <f t="shared" si="6"/>
        <v>17</v>
      </c>
      <c r="BS65" s="96">
        <v>7</v>
      </c>
      <c r="BT65" s="96">
        <v>9</v>
      </c>
      <c r="BU65" s="96">
        <v>9</v>
      </c>
      <c r="BV65" s="148">
        <f t="shared" si="7"/>
        <v>8.3333333333333339</v>
      </c>
      <c r="BW65" s="88"/>
      <c r="BX65" s="183">
        <f t="shared" si="8"/>
        <v>30</v>
      </c>
    </row>
    <row r="66" spans="1:76" ht="15.75" customHeight="1">
      <c r="A66" s="52"/>
      <c r="B66" s="184"/>
      <c r="C66" s="13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4"/>
      <c r="BE66" s="24"/>
      <c r="BF66" s="24"/>
      <c r="BG66" s="24"/>
      <c r="BH66" s="24"/>
      <c r="BI66" s="105">
        <f>OVERALL!A61</f>
        <v>58</v>
      </c>
      <c r="BJ66" s="105" t="str">
        <f>OVERALL!B61</f>
        <v>leet</v>
      </c>
      <c r="BK66" s="106" t="str">
        <f>OVERALL!C61</f>
        <v>Shubham</v>
      </c>
      <c r="BL66" s="167">
        <v>23</v>
      </c>
      <c r="BM66" s="167">
        <f t="shared" si="3"/>
        <v>17</v>
      </c>
      <c r="BN66" s="168">
        <f t="shared" si="4"/>
        <v>73.91304347826086</v>
      </c>
      <c r="BO66" s="180" t="str">
        <f t="shared" si="5"/>
        <v>0</v>
      </c>
      <c r="BP66" s="96">
        <v>0</v>
      </c>
      <c r="BQ66" s="96">
        <v>13</v>
      </c>
      <c r="BR66" s="147">
        <f t="shared" si="6"/>
        <v>6.5</v>
      </c>
      <c r="BS66" s="96">
        <v>6</v>
      </c>
      <c r="BT66" s="96">
        <v>8</v>
      </c>
      <c r="BU66" s="96">
        <v>6</v>
      </c>
      <c r="BV66" s="148">
        <f t="shared" si="7"/>
        <v>6.666666666666667</v>
      </c>
      <c r="BW66" s="88"/>
      <c r="BX66" s="183">
        <f t="shared" si="8"/>
        <v>13</v>
      </c>
    </row>
    <row r="67" spans="1:76" ht="15.75" customHeight="1">
      <c r="A67" s="52"/>
      <c r="B67" s="184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</row>
    <row r="68" spans="1:76" ht="15.75" customHeight="1">
      <c r="A68" s="52"/>
      <c r="B68" s="184"/>
      <c r="C68" s="13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</row>
    <row r="69" spans="1:76" ht="15.75" customHeight="1">
      <c r="A69" s="52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</row>
    <row r="70" spans="1:76" ht="15.75" customHeight="1">
      <c r="A70" s="52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</row>
    <row r="71" spans="1:76" ht="15.75" customHeight="1">
      <c r="A71" s="52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</row>
    <row r="72" spans="1:76" ht="15.75" customHeight="1">
      <c r="A72" s="52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</row>
    <row r="73" spans="1:76" ht="15.75" customHeight="1">
      <c r="A73" s="52"/>
      <c r="B73" s="184"/>
      <c r="C73" s="13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</row>
    <row r="74" spans="1:76" ht="15.75" customHeight="1">
      <c r="A74" s="52"/>
      <c r="B74" s="184"/>
      <c r="C74" s="13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</row>
    <row r="75" spans="1:76" ht="15.75" customHeight="1">
      <c r="A75" s="52"/>
      <c r="B75" s="184"/>
      <c r="C75" s="13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</row>
    <row r="76" spans="1:76" ht="15.75" customHeight="1">
      <c r="A76" s="52"/>
      <c r="B76" s="184"/>
      <c r="C76" s="13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</row>
    <row r="77" spans="1:76" ht="15.75" customHeight="1">
      <c r="A77" s="52"/>
      <c r="B77" s="184"/>
      <c r="C77" s="13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</row>
    <row r="78" spans="1:76" ht="15.75" customHeight="1">
      <c r="A78" s="52"/>
      <c r="B78" s="184"/>
      <c r="C78" s="13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</row>
    <row r="79" spans="1:76" ht="15.75" customHeight="1">
      <c r="A79" s="52"/>
      <c r="B79" s="184"/>
      <c r="C79" s="13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</row>
    <row r="80" spans="1:76" ht="15.75" customHeight="1">
      <c r="A80" s="52"/>
      <c r="B80" s="184"/>
      <c r="C80" s="13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</row>
    <row r="81" spans="1:76" ht="15.75" customHeight="1">
      <c r="A81" s="52"/>
      <c r="B81" s="184"/>
      <c r="C81" s="13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</row>
    <row r="82" spans="1:76" ht="15.75" customHeight="1">
      <c r="A82" s="52"/>
      <c r="B82" s="184"/>
      <c r="C82" s="13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</row>
    <row r="83" spans="1:76" ht="15.75" customHeight="1">
      <c r="A83" s="52"/>
      <c r="B83" s="184"/>
      <c r="C83" s="13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</row>
    <row r="84" spans="1:76" ht="15.75" customHeight="1">
      <c r="A84" s="52"/>
      <c r="B84" s="184"/>
      <c r="C84" s="13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</row>
    <row r="85" spans="1:76" ht="15.75" customHeight="1">
      <c r="A85" s="52"/>
      <c r="B85" s="184"/>
      <c r="C85" s="13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</row>
    <row r="86" spans="1:76" ht="15.75" customHeight="1">
      <c r="A86" s="52"/>
      <c r="B86" s="184"/>
      <c r="C86" s="13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</row>
    <row r="87" spans="1:76" ht="15.75" customHeight="1">
      <c r="A87" s="52"/>
      <c r="B87" s="184"/>
      <c r="C87" s="13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</row>
    <row r="88" spans="1:76" ht="15.75" customHeight="1">
      <c r="A88" s="52"/>
      <c r="B88" s="184"/>
      <c r="C88" s="13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</row>
    <row r="89" spans="1:76" ht="15.75" customHeight="1">
      <c r="A89" s="52"/>
      <c r="B89" s="184"/>
      <c r="C89" s="13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</row>
    <row r="90" spans="1:76" ht="15.75" customHeight="1">
      <c r="A90" s="52"/>
      <c r="B90" s="184"/>
      <c r="C90" s="13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</row>
    <row r="91" spans="1:76" ht="15.75" customHeight="1">
      <c r="A91" s="52"/>
      <c r="B91" s="184"/>
      <c r="C91" s="13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</row>
    <row r="92" spans="1:76" ht="15.75" customHeight="1">
      <c r="A92" s="52"/>
      <c r="B92" s="184"/>
      <c r="C92" s="13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</row>
    <row r="93" spans="1:76" ht="15.75" customHeight="1">
      <c r="A93" s="52"/>
      <c r="B93" s="184"/>
      <c r="C93" s="13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</row>
    <row r="94" spans="1:76" ht="15.75" customHeight="1">
      <c r="A94" s="24"/>
      <c r="B94" s="24"/>
      <c r="C94" s="2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</row>
    <row r="95" spans="1:76" ht="15.75" customHeight="1">
      <c r="A95" s="24"/>
      <c r="B95" s="24"/>
      <c r="C95" s="2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</row>
    <row r="96" spans="1:76" ht="15.75" customHeight="1">
      <c r="A96" s="24"/>
      <c r="B96" s="24"/>
      <c r="C96" s="2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</row>
    <row r="97" spans="1:76" ht="15.75" customHeight="1">
      <c r="A97" s="24"/>
      <c r="B97" s="24"/>
      <c r="C97" s="2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</row>
    <row r="98" spans="1:76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</row>
    <row r="99" spans="1:76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</row>
    <row r="100" spans="1:76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</row>
    <row r="101" spans="1:76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</row>
    <row r="102" spans="1:76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</row>
    <row r="103" spans="1:76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</row>
    <row r="104" spans="1:76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</row>
    <row r="105" spans="1:76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</row>
    <row r="106" spans="1:7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</row>
    <row r="107" spans="1:76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</row>
    <row r="108" spans="1:76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</row>
    <row r="109" spans="1:76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</row>
    <row r="110" spans="1:76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</row>
    <row r="111" spans="1:76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</row>
    <row r="112" spans="1:76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</row>
    <row r="113" spans="1:76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</row>
    <row r="114" spans="1:76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</row>
    <row r="115" spans="1:76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</row>
    <row r="116" spans="1:7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</row>
    <row r="117" spans="1:76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</row>
    <row r="118" spans="1:76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</row>
    <row r="119" spans="1:76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</row>
    <row r="120" spans="1:76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</row>
    <row r="121" spans="1:76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</row>
    <row r="122" spans="1:76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</row>
    <row r="123" spans="1:76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</row>
    <row r="124" spans="1:76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</row>
    <row r="125" spans="1:76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</row>
    <row r="126" spans="1:7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</row>
    <row r="127" spans="1:76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</row>
    <row r="128" spans="1:76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</row>
    <row r="129" spans="1:76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</row>
    <row r="130" spans="1:76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</row>
    <row r="131" spans="1:76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</row>
    <row r="132" spans="1:76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</row>
    <row r="133" spans="1:76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</row>
    <row r="134" spans="1:76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</row>
    <row r="135" spans="1:76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</row>
    <row r="136" spans="1:7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</row>
    <row r="137" spans="1:76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</row>
    <row r="138" spans="1:76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</row>
    <row r="139" spans="1:76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</row>
    <row r="140" spans="1:76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</row>
    <row r="141" spans="1:76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</row>
    <row r="142" spans="1:76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</row>
    <row r="143" spans="1:76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</row>
    <row r="144" spans="1:76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</row>
    <row r="145" spans="1:76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</row>
    <row r="146" spans="1:7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</row>
    <row r="147" spans="1:76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</row>
    <row r="148" spans="1:76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</row>
    <row r="149" spans="1:76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</row>
    <row r="150" spans="1:76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</row>
    <row r="151" spans="1:76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</row>
    <row r="152" spans="1:76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</row>
    <row r="153" spans="1:76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</row>
    <row r="154" spans="1:76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</row>
    <row r="155" spans="1:76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</row>
    <row r="156" spans="1:7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</row>
    <row r="157" spans="1:76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</row>
    <row r="158" spans="1:76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</row>
    <row r="159" spans="1:76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</row>
    <row r="160" spans="1:76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</row>
    <row r="161" spans="1:76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</row>
    <row r="162" spans="1:76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</row>
    <row r="163" spans="1:76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</row>
    <row r="164" spans="1:76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</row>
    <row r="165" spans="1:76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</row>
    <row r="166" spans="1:7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</row>
    <row r="167" spans="1:76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</row>
    <row r="168" spans="1:76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</row>
    <row r="169" spans="1:76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</row>
    <row r="170" spans="1:76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</row>
    <row r="171" spans="1:76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</row>
    <row r="172" spans="1:76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</row>
    <row r="173" spans="1:76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</row>
    <row r="174" spans="1:76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</row>
    <row r="175" spans="1:76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</row>
    <row r="176" spans="1: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</row>
    <row r="177" spans="1:76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</row>
    <row r="178" spans="1:76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</row>
    <row r="179" spans="1:76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</row>
    <row r="180" spans="1:76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</row>
    <row r="181" spans="1:76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</row>
    <row r="182" spans="1:76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</row>
    <row r="183" spans="1:76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</row>
    <row r="184" spans="1:76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76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</row>
    <row r="186" spans="1:7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</row>
    <row r="187" spans="1:76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</row>
    <row r="188" spans="1:76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</row>
    <row r="189" spans="1:76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</row>
    <row r="190" spans="1:76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</row>
    <row r="191" spans="1:76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</row>
    <row r="192" spans="1:76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</row>
    <row r="193" spans="1:76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</row>
    <row r="194" spans="1:76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</row>
    <row r="195" spans="1:76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</row>
    <row r="196" spans="1:7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</row>
    <row r="197" spans="1:76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</row>
    <row r="198" spans="1:76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</row>
    <row r="199" spans="1:76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</row>
    <row r="200" spans="1:76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</row>
    <row r="201" spans="1:76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</row>
    <row r="202" spans="1:76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</row>
    <row r="203" spans="1:76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</row>
    <row r="204" spans="1:76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</row>
    <row r="205" spans="1:76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</row>
    <row r="206" spans="1:7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</row>
    <row r="207" spans="1:76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</row>
    <row r="208" spans="1:76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</row>
    <row r="209" spans="1:76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</row>
    <row r="210" spans="1:76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</row>
    <row r="211" spans="1:76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</row>
    <row r="212" spans="1:76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</row>
    <row r="213" spans="1:76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</row>
    <row r="214" spans="1:76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</row>
    <row r="215" spans="1:76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</row>
    <row r="216" spans="1:7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</row>
    <row r="217" spans="1:76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</row>
    <row r="218" spans="1:76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</row>
    <row r="219" spans="1:76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</row>
    <row r="220" spans="1:76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</row>
    <row r="221" spans="1:76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</row>
    <row r="222" spans="1:76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</row>
    <row r="223" spans="1:76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</row>
    <row r="224" spans="1:76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</row>
    <row r="225" spans="4:55" ht="15.75" customHeight="1"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</row>
    <row r="226" spans="4:55" ht="15.75" customHeight="1"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</row>
    <row r="227" spans="4:55" ht="15.75" customHeight="1"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</row>
    <row r="228" spans="4:55" ht="15.75" customHeight="1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</row>
    <row r="229" spans="4:55" ht="15.75" customHeight="1"/>
    <row r="230" spans="4:55" ht="15.75" customHeight="1"/>
    <row r="231" spans="4:55" ht="15.75" customHeight="1"/>
    <row r="232" spans="4:55" ht="15.75" customHeight="1"/>
    <row r="233" spans="4:55" ht="15.75" customHeight="1"/>
    <row r="234" spans="4:55" ht="15.75" customHeight="1"/>
    <row r="235" spans="4:55" ht="15.75" customHeight="1"/>
    <row r="236" spans="4:55" ht="15.75" customHeight="1"/>
    <row r="237" spans="4:55" ht="15.75" customHeight="1"/>
    <row r="238" spans="4:55" ht="15.75" customHeight="1"/>
    <row r="239" spans="4:55" ht="15.75" customHeight="1"/>
    <row r="240" spans="4:5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V7:BV8"/>
    <mergeCell ref="BW7:BW8"/>
    <mergeCell ref="BX7:BX8"/>
    <mergeCell ref="BG3:BG4"/>
    <mergeCell ref="BH3:BH4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S7:BU7"/>
    <mergeCell ref="A1:BG1"/>
    <mergeCell ref="A2:BG2"/>
    <mergeCell ref="BI2:BX2"/>
    <mergeCell ref="A3:C3"/>
    <mergeCell ref="BD3:BD4"/>
    <mergeCell ref="BE3:BE4"/>
    <mergeCell ref="BF3:BF4"/>
    <mergeCell ref="BI3:BX3"/>
    <mergeCell ref="BI4:BX4"/>
    <mergeCell ref="BI5:BQ5"/>
    <mergeCell ref="BR5:BX5"/>
    <mergeCell ref="BI6:BQ6"/>
    <mergeCell ref="BR6:BX6"/>
  </mergeCells>
  <conditionalFormatting sqref="BN9:BN66">
    <cfRule type="cellIs" dxfId="9" priority="1" operator="lessThan">
      <formula>75</formula>
    </cfRule>
  </conditionalFormatting>
  <conditionalFormatting sqref="BX9:BX66">
    <cfRule type="cellIs" dxfId="8" priority="2" operator="lessThan">
      <formula>16</formula>
    </cfRule>
  </conditionalFormatting>
  <pageMargins left="0.25" right="0.25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Z1000"/>
  <sheetViews>
    <sheetView workbookViewId="0"/>
  </sheetViews>
  <sheetFormatPr defaultColWidth="14.44140625" defaultRowHeight="15" customHeight="1"/>
  <cols>
    <col min="1" max="1" width="5.33203125" customWidth="1"/>
    <col min="2" max="2" width="9.6640625" customWidth="1"/>
    <col min="3" max="3" width="29.88671875" customWidth="1"/>
    <col min="4" max="54" width="4.6640625" hidden="1" customWidth="1"/>
    <col min="55" max="55" width="4.6640625" customWidth="1"/>
    <col min="56" max="58" width="8.6640625" customWidth="1"/>
    <col min="59" max="59" width="3.5546875" customWidth="1"/>
    <col min="60" max="63" width="8.6640625" customWidth="1"/>
    <col min="64" max="64" width="21.5546875" customWidth="1"/>
    <col min="65" max="68" width="8.6640625" customWidth="1"/>
    <col min="69" max="69" width="9.109375" customWidth="1"/>
    <col min="70" max="70" width="13.33203125" hidden="1" customWidth="1"/>
    <col min="71" max="71" width="13.33203125" customWidth="1"/>
    <col min="72" max="72" width="15.5546875" customWidth="1"/>
    <col min="73" max="75" width="8.6640625" customWidth="1"/>
    <col min="76" max="76" width="17.6640625" customWidth="1"/>
    <col min="77" max="77" width="17.6640625" hidden="1" customWidth="1"/>
    <col min="78" max="78" width="14.33203125" customWidth="1"/>
  </cols>
  <sheetData>
    <row r="1" spans="1:78" ht="21.6">
      <c r="A1" s="396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8">
      <c r="A2" s="372" t="s">
        <v>87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24"/>
      <c r="BI2" s="373"/>
      <c r="BJ2" s="369" t="s">
        <v>130</v>
      </c>
      <c r="BK2" s="358"/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BW2" s="358"/>
      <c r="BX2" s="358"/>
      <c r="BY2" s="358"/>
      <c r="BZ2" s="359"/>
    </row>
    <row r="3" spans="1:78" ht="66.75" customHeight="1">
      <c r="A3" s="375" t="s">
        <v>1</v>
      </c>
      <c r="B3" s="358"/>
      <c r="C3" s="359"/>
      <c r="D3" s="92" t="s">
        <v>131</v>
      </c>
      <c r="E3" s="92" t="s">
        <v>132</v>
      </c>
      <c r="F3" s="91">
        <v>45299</v>
      </c>
      <c r="G3" s="91">
        <v>45330</v>
      </c>
      <c r="H3" s="91">
        <v>45420</v>
      </c>
      <c r="I3" s="91">
        <v>45451</v>
      </c>
      <c r="J3" s="91">
        <v>45481</v>
      </c>
      <c r="K3" s="91">
        <v>45512</v>
      </c>
      <c r="L3" s="91">
        <v>45543</v>
      </c>
      <c r="M3" s="91">
        <v>45634</v>
      </c>
      <c r="N3" s="92" t="s">
        <v>133</v>
      </c>
      <c r="O3" s="92" t="s">
        <v>134</v>
      </c>
      <c r="P3" s="92" t="s">
        <v>135</v>
      </c>
      <c r="Q3" s="92" t="s">
        <v>136</v>
      </c>
      <c r="R3" s="92" t="s">
        <v>137</v>
      </c>
      <c r="S3" s="92" t="s">
        <v>138</v>
      </c>
      <c r="T3" s="92" t="s">
        <v>139</v>
      </c>
      <c r="U3" s="92" t="s">
        <v>140</v>
      </c>
      <c r="V3" s="92" t="s">
        <v>141</v>
      </c>
      <c r="W3" s="92" t="s">
        <v>142</v>
      </c>
      <c r="X3" s="92" t="s">
        <v>143</v>
      </c>
      <c r="Y3" s="91">
        <v>45421</v>
      </c>
      <c r="Z3" s="91">
        <v>45452</v>
      </c>
      <c r="AA3" s="185">
        <v>45544</v>
      </c>
      <c r="AB3" s="91">
        <v>45574</v>
      </c>
      <c r="AC3" s="91">
        <v>45605</v>
      </c>
      <c r="AD3" s="91">
        <v>45635</v>
      </c>
      <c r="AE3" s="92" t="s">
        <v>144</v>
      </c>
      <c r="AF3" s="92" t="s">
        <v>145</v>
      </c>
      <c r="AG3" s="92" t="s">
        <v>146</v>
      </c>
      <c r="AH3" s="92" t="s">
        <v>147</v>
      </c>
      <c r="AI3" s="92" t="s">
        <v>148</v>
      </c>
      <c r="AJ3" s="92" t="s">
        <v>148</v>
      </c>
      <c r="AK3" s="92" t="s">
        <v>149</v>
      </c>
      <c r="AL3" s="92" t="s">
        <v>150</v>
      </c>
      <c r="AM3" s="92" t="s">
        <v>151</v>
      </c>
      <c r="AN3" s="92" t="s">
        <v>152</v>
      </c>
      <c r="AO3" s="92" t="s">
        <v>152</v>
      </c>
      <c r="AP3" s="92" t="s">
        <v>153</v>
      </c>
      <c r="AQ3" s="91">
        <v>45361</v>
      </c>
      <c r="AR3" s="91">
        <v>45392</v>
      </c>
      <c r="AS3" s="91">
        <v>45392</v>
      </c>
      <c r="AT3" s="91">
        <v>45483</v>
      </c>
      <c r="AU3" s="91">
        <v>45545</v>
      </c>
      <c r="AV3" s="91">
        <v>45575</v>
      </c>
      <c r="AW3" s="91">
        <v>45606</v>
      </c>
      <c r="AX3" s="91">
        <v>45606</v>
      </c>
      <c r="AY3" s="92" t="s">
        <v>154</v>
      </c>
      <c r="AZ3" s="92" t="s">
        <v>155</v>
      </c>
      <c r="BA3" s="92" t="s">
        <v>155</v>
      </c>
      <c r="BB3" s="92" t="s">
        <v>156</v>
      </c>
      <c r="BC3" s="91"/>
      <c r="BD3" s="376" t="s">
        <v>96</v>
      </c>
      <c r="BE3" s="376" t="s">
        <v>97</v>
      </c>
      <c r="BF3" s="376" t="s">
        <v>98</v>
      </c>
      <c r="BG3" s="376" t="s">
        <v>99</v>
      </c>
      <c r="BH3" s="378" t="s">
        <v>100</v>
      </c>
      <c r="BI3" s="374"/>
      <c r="BJ3" s="370" t="s">
        <v>101</v>
      </c>
      <c r="BK3" s="358"/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8"/>
      <c r="BY3" s="358"/>
      <c r="BZ3" s="359"/>
    </row>
    <row r="4" spans="1:78" ht="21" customHeight="1">
      <c r="A4" s="94" t="s">
        <v>12</v>
      </c>
      <c r="B4" s="95" t="s">
        <v>13</v>
      </c>
      <c r="C4" s="95" t="s">
        <v>14</v>
      </c>
      <c r="D4" s="96">
        <v>1</v>
      </c>
      <c r="E4" s="96">
        <v>2</v>
      </c>
      <c r="F4" s="96">
        <v>3</v>
      </c>
      <c r="G4" s="96">
        <v>4</v>
      </c>
      <c r="H4" s="96">
        <v>5</v>
      </c>
      <c r="I4" s="96">
        <v>6</v>
      </c>
      <c r="J4" s="96">
        <v>7</v>
      </c>
      <c r="K4" s="96">
        <v>8</v>
      </c>
      <c r="L4" s="96">
        <v>9</v>
      </c>
      <c r="M4" s="96">
        <v>10</v>
      </c>
      <c r="N4" s="96">
        <v>11</v>
      </c>
      <c r="O4" s="96">
        <v>12</v>
      </c>
      <c r="P4" s="96">
        <v>13</v>
      </c>
      <c r="Q4" s="96">
        <v>14</v>
      </c>
      <c r="R4" s="96">
        <v>15</v>
      </c>
      <c r="S4" s="96">
        <v>16</v>
      </c>
      <c r="T4" s="96">
        <v>17</v>
      </c>
      <c r="U4" s="96">
        <v>18</v>
      </c>
      <c r="V4" s="96">
        <v>19</v>
      </c>
      <c r="W4" s="96">
        <v>20</v>
      </c>
      <c r="X4" s="96">
        <v>21</v>
      </c>
      <c r="Y4" s="96">
        <v>22</v>
      </c>
      <c r="Z4" s="96">
        <v>23</v>
      </c>
      <c r="AA4" s="96">
        <v>24</v>
      </c>
      <c r="AB4" s="96">
        <v>25</v>
      </c>
      <c r="AC4" s="96">
        <v>26</v>
      </c>
      <c r="AD4" s="96">
        <v>27</v>
      </c>
      <c r="AE4" s="96">
        <v>28</v>
      </c>
      <c r="AF4" s="96">
        <v>29</v>
      </c>
      <c r="AG4" s="96">
        <v>30</v>
      </c>
      <c r="AH4" s="96">
        <v>31</v>
      </c>
      <c r="AI4" s="96">
        <v>32</v>
      </c>
      <c r="AJ4" s="96">
        <v>33</v>
      </c>
      <c r="AK4" s="96">
        <v>34</v>
      </c>
      <c r="AL4" s="96">
        <v>35</v>
      </c>
      <c r="AM4" s="96">
        <v>36</v>
      </c>
      <c r="AN4" s="96">
        <v>37</v>
      </c>
      <c r="AO4" s="96">
        <v>38</v>
      </c>
      <c r="AP4" s="96">
        <v>39</v>
      </c>
      <c r="AQ4" s="96">
        <v>40</v>
      </c>
      <c r="AR4" s="96">
        <v>41</v>
      </c>
      <c r="AS4" s="96">
        <v>42</v>
      </c>
      <c r="AT4" s="96">
        <v>43</v>
      </c>
      <c r="AU4" s="96">
        <v>44</v>
      </c>
      <c r="AV4" s="96">
        <v>45</v>
      </c>
      <c r="AW4" s="96">
        <v>46</v>
      </c>
      <c r="AX4" s="96">
        <v>47</v>
      </c>
      <c r="AY4" s="96">
        <v>48</v>
      </c>
      <c r="AZ4" s="96">
        <v>49</v>
      </c>
      <c r="BA4" s="96">
        <v>50</v>
      </c>
      <c r="BB4" s="96">
        <v>51</v>
      </c>
      <c r="BC4" s="96">
        <v>52</v>
      </c>
      <c r="BD4" s="377"/>
      <c r="BE4" s="377"/>
      <c r="BF4" s="377"/>
      <c r="BG4" s="377"/>
      <c r="BH4" s="377"/>
      <c r="BI4" s="374"/>
      <c r="BJ4" s="370" t="s">
        <v>102</v>
      </c>
      <c r="BK4" s="358"/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8"/>
      <c r="BY4" s="358"/>
      <c r="BZ4" s="359"/>
    </row>
    <row r="5" spans="1:78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113" t="s">
        <v>123</v>
      </c>
      <c r="E5" s="113" t="s">
        <v>123</v>
      </c>
      <c r="F5" s="113" t="s">
        <v>124</v>
      </c>
      <c r="G5" s="113" t="s">
        <v>123</v>
      </c>
      <c r="H5" s="113" t="s">
        <v>124</v>
      </c>
      <c r="I5" s="113" t="s">
        <v>123</v>
      </c>
      <c r="J5" s="113" t="s">
        <v>123</v>
      </c>
      <c r="K5" s="113" t="s">
        <v>123</v>
      </c>
      <c r="L5" s="113" t="s">
        <v>123</v>
      </c>
      <c r="M5" s="113" t="s">
        <v>123</v>
      </c>
      <c r="N5" s="113" t="s">
        <v>124</v>
      </c>
      <c r="O5" s="113" t="s">
        <v>123</v>
      </c>
      <c r="P5" s="113" t="s">
        <v>123</v>
      </c>
      <c r="Q5" s="113" t="s">
        <v>123</v>
      </c>
      <c r="R5" s="113" t="s">
        <v>123</v>
      </c>
      <c r="S5" s="123" t="s">
        <v>124</v>
      </c>
      <c r="T5" s="113" t="s">
        <v>123</v>
      </c>
      <c r="U5" s="113" t="s">
        <v>123</v>
      </c>
      <c r="V5" s="113" t="s">
        <v>123</v>
      </c>
      <c r="W5" s="113" t="s">
        <v>123</v>
      </c>
      <c r="X5" s="113" t="s">
        <v>124</v>
      </c>
      <c r="Y5" s="113" t="s">
        <v>123</v>
      </c>
      <c r="Z5" s="113" t="s">
        <v>124</v>
      </c>
      <c r="AA5" s="113" t="s">
        <v>124</v>
      </c>
      <c r="AB5" s="113" t="s">
        <v>124</v>
      </c>
      <c r="AC5" s="113" t="s">
        <v>124</v>
      </c>
      <c r="AD5" s="113" t="s">
        <v>123</v>
      </c>
      <c r="AE5" s="113" t="s">
        <v>124</v>
      </c>
      <c r="AF5" s="113" t="s">
        <v>124</v>
      </c>
      <c r="AG5" s="113" t="s">
        <v>123</v>
      </c>
      <c r="AH5" s="113" t="s">
        <v>123</v>
      </c>
      <c r="AI5" s="113" t="s">
        <v>123</v>
      </c>
      <c r="AJ5" s="113" t="s">
        <v>123</v>
      </c>
      <c r="AK5" s="113" t="s">
        <v>123</v>
      </c>
      <c r="AL5" s="113" t="s">
        <v>124</v>
      </c>
      <c r="AM5" s="96" t="s">
        <v>123</v>
      </c>
      <c r="AN5" s="96" t="s">
        <v>123</v>
      </c>
      <c r="AO5" s="96" t="s">
        <v>123</v>
      </c>
      <c r="AP5" s="96" t="s">
        <v>123</v>
      </c>
      <c r="AQ5" s="96" t="s">
        <v>123</v>
      </c>
      <c r="AR5" s="96" t="s">
        <v>123</v>
      </c>
      <c r="AS5" s="96" t="s">
        <v>123</v>
      </c>
      <c r="AT5" s="96" t="s">
        <v>124</v>
      </c>
      <c r="AU5" s="96" t="s">
        <v>123</v>
      </c>
      <c r="AV5" s="96" t="s">
        <v>123</v>
      </c>
      <c r="AW5" s="96" t="s">
        <v>123</v>
      </c>
      <c r="AX5" s="96" t="s">
        <v>123</v>
      </c>
      <c r="AY5" s="96" t="s">
        <v>123</v>
      </c>
      <c r="AZ5" s="96" t="s">
        <v>123</v>
      </c>
      <c r="BA5" s="96" t="s">
        <v>123</v>
      </c>
      <c r="BB5" s="96" t="s">
        <v>123</v>
      </c>
      <c r="BC5" s="96"/>
      <c r="BD5" s="88">
        <v>17</v>
      </c>
      <c r="BE5" s="24">
        <v>2</v>
      </c>
      <c r="BF5" s="88">
        <f t="shared" ref="BF5:BF18" si="0">BD5+BE5</f>
        <v>19</v>
      </c>
      <c r="BG5" s="88">
        <v>65</v>
      </c>
      <c r="BH5" s="101">
        <f t="shared" ref="BH5:BH62" si="1">BF5/BG5</f>
        <v>0.29230769230769232</v>
      </c>
      <c r="BI5" s="374"/>
      <c r="BJ5" s="371" t="s">
        <v>103</v>
      </c>
      <c r="BK5" s="358"/>
      <c r="BL5" s="358"/>
      <c r="BM5" s="358"/>
      <c r="BN5" s="358"/>
      <c r="BO5" s="358"/>
      <c r="BP5" s="358"/>
      <c r="BQ5" s="358"/>
      <c r="BR5" s="358"/>
      <c r="BS5" s="359"/>
      <c r="BT5" s="371" t="s">
        <v>157</v>
      </c>
      <c r="BU5" s="358"/>
      <c r="BV5" s="358"/>
      <c r="BW5" s="358"/>
      <c r="BX5" s="358"/>
      <c r="BY5" s="358"/>
      <c r="BZ5" s="359"/>
    </row>
    <row r="6" spans="1:78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113" t="s">
        <v>124</v>
      </c>
      <c r="E6" s="113" t="s">
        <v>124</v>
      </c>
      <c r="F6" s="113" t="s">
        <v>124</v>
      </c>
      <c r="G6" s="113" t="s">
        <v>123</v>
      </c>
      <c r="H6" s="113" t="s">
        <v>124</v>
      </c>
      <c r="I6" s="113" t="s">
        <v>124</v>
      </c>
      <c r="J6" s="113" t="s">
        <v>124</v>
      </c>
      <c r="K6" s="113" t="s">
        <v>123</v>
      </c>
      <c r="L6" s="113" t="s">
        <v>124</v>
      </c>
      <c r="M6" s="113" t="s">
        <v>124</v>
      </c>
      <c r="N6" s="113" t="s">
        <v>124</v>
      </c>
      <c r="O6" s="113" t="s">
        <v>124</v>
      </c>
      <c r="P6" s="113" t="s">
        <v>124</v>
      </c>
      <c r="Q6" s="113" t="s">
        <v>124</v>
      </c>
      <c r="R6" s="186" t="s">
        <v>124</v>
      </c>
      <c r="S6" s="156" t="s">
        <v>124</v>
      </c>
      <c r="T6" s="113" t="s">
        <v>124</v>
      </c>
      <c r="U6" s="113" t="s">
        <v>124</v>
      </c>
      <c r="V6" s="113" t="s">
        <v>124</v>
      </c>
      <c r="W6" s="113" t="s">
        <v>124</v>
      </c>
      <c r="X6" s="113" t="s">
        <v>123</v>
      </c>
      <c r="Y6" s="113" t="s">
        <v>123</v>
      </c>
      <c r="Z6" s="186" t="s">
        <v>123</v>
      </c>
      <c r="AA6" s="186" t="s">
        <v>124</v>
      </c>
      <c r="AB6" s="186" t="s">
        <v>124</v>
      </c>
      <c r="AC6" s="186" t="s">
        <v>124</v>
      </c>
      <c r="AD6" s="186" t="s">
        <v>124</v>
      </c>
      <c r="AE6" s="186" t="s">
        <v>123</v>
      </c>
      <c r="AF6" s="186" t="s">
        <v>124</v>
      </c>
      <c r="AG6" s="186" t="s">
        <v>124</v>
      </c>
      <c r="AH6" s="186" t="s">
        <v>124</v>
      </c>
      <c r="AI6" s="186" t="s">
        <v>123</v>
      </c>
      <c r="AJ6" s="186" t="s">
        <v>123</v>
      </c>
      <c r="AK6" s="186" t="s">
        <v>124</v>
      </c>
      <c r="AL6" s="186" t="s">
        <v>123</v>
      </c>
      <c r="AM6" s="96" t="s">
        <v>124</v>
      </c>
      <c r="AN6" s="96" t="s">
        <v>124</v>
      </c>
      <c r="AO6" s="96" t="s">
        <v>124</v>
      </c>
      <c r="AP6" s="96" t="s">
        <v>124</v>
      </c>
      <c r="AQ6" s="96" t="s">
        <v>124</v>
      </c>
      <c r="AR6" s="96" t="s">
        <v>124</v>
      </c>
      <c r="AS6" s="96" t="s">
        <v>124</v>
      </c>
      <c r="AT6" s="96" t="s">
        <v>124</v>
      </c>
      <c r="AU6" s="96" t="s">
        <v>124</v>
      </c>
      <c r="AV6" s="96" t="s">
        <v>124</v>
      </c>
      <c r="AW6" s="96" t="s">
        <v>123</v>
      </c>
      <c r="AX6" s="96" t="s">
        <v>123</v>
      </c>
      <c r="AY6" s="96" t="s">
        <v>124</v>
      </c>
      <c r="AZ6" s="96" t="s">
        <v>124</v>
      </c>
      <c r="BA6" s="96" t="s">
        <v>123</v>
      </c>
      <c r="BB6" s="96" t="s">
        <v>123</v>
      </c>
      <c r="BC6" s="96"/>
      <c r="BD6" s="88">
        <v>45</v>
      </c>
      <c r="BE6" s="88"/>
      <c r="BF6" s="88">
        <f t="shared" si="0"/>
        <v>45</v>
      </c>
      <c r="BG6" s="88">
        <v>65</v>
      </c>
      <c r="BH6" s="101">
        <f t="shared" si="1"/>
        <v>0.69230769230769229</v>
      </c>
      <c r="BI6" s="374"/>
      <c r="BJ6" s="371" t="s">
        <v>158</v>
      </c>
      <c r="BK6" s="358"/>
      <c r="BL6" s="358"/>
      <c r="BM6" s="358"/>
      <c r="BN6" s="358"/>
      <c r="BO6" s="358"/>
      <c r="BP6" s="358"/>
      <c r="BQ6" s="358"/>
      <c r="BR6" s="358"/>
      <c r="BS6" s="359"/>
      <c r="BT6" s="371" t="s">
        <v>159</v>
      </c>
      <c r="BU6" s="358"/>
      <c r="BV6" s="358"/>
      <c r="BW6" s="358"/>
      <c r="BX6" s="358"/>
      <c r="BY6" s="358"/>
      <c r="BZ6" s="359"/>
    </row>
    <row r="7" spans="1:78" ht="15.6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113" t="s">
        <v>123</v>
      </c>
      <c r="E7" s="113" t="s">
        <v>124</v>
      </c>
      <c r="F7" s="113" t="s">
        <v>124</v>
      </c>
      <c r="G7" s="113" t="s">
        <v>124</v>
      </c>
      <c r="H7" s="113" t="s">
        <v>124</v>
      </c>
      <c r="I7" s="113" t="s">
        <v>124</v>
      </c>
      <c r="J7" s="113" t="s">
        <v>124</v>
      </c>
      <c r="K7" s="113" t="s">
        <v>124</v>
      </c>
      <c r="L7" s="113" t="s">
        <v>124</v>
      </c>
      <c r="M7" s="113" t="s">
        <v>124</v>
      </c>
      <c r="N7" s="113" t="s">
        <v>124</v>
      </c>
      <c r="O7" s="113" t="s">
        <v>124</v>
      </c>
      <c r="P7" s="113" t="s">
        <v>124</v>
      </c>
      <c r="Q7" s="113" t="s">
        <v>123</v>
      </c>
      <c r="R7" s="186" t="s">
        <v>124</v>
      </c>
      <c r="S7" s="156" t="s">
        <v>124</v>
      </c>
      <c r="T7" s="113" t="s">
        <v>124</v>
      </c>
      <c r="U7" s="113" t="s">
        <v>124</v>
      </c>
      <c r="V7" s="113" t="s">
        <v>124</v>
      </c>
      <c r="W7" s="113" t="s">
        <v>124</v>
      </c>
      <c r="X7" s="113" t="s">
        <v>124</v>
      </c>
      <c r="Y7" s="113" t="s">
        <v>124</v>
      </c>
      <c r="Z7" s="186" t="s">
        <v>124</v>
      </c>
      <c r="AA7" s="186" t="s">
        <v>124</v>
      </c>
      <c r="AB7" s="186" t="s">
        <v>123</v>
      </c>
      <c r="AC7" s="186" t="s">
        <v>123</v>
      </c>
      <c r="AD7" s="186" t="s">
        <v>124</v>
      </c>
      <c r="AE7" s="186" t="s">
        <v>123</v>
      </c>
      <c r="AF7" s="186" t="s">
        <v>124</v>
      </c>
      <c r="AG7" s="186" t="s">
        <v>124</v>
      </c>
      <c r="AH7" s="186" t="s">
        <v>124</v>
      </c>
      <c r="AI7" s="186" t="s">
        <v>124</v>
      </c>
      <c r="AJ7" s="186" t="s">
        <v>124</v>
      </c>
      <c r="AK7" s="186" t="s">
        <v>124</v>
      </c>
      <c r="AL7" s="186" t="s">
        <v>124</v>
      </c>
      <c r="AM7" s="186" t="s">
        <v>124</v>
      </c>
      <c r="AN7" s="186" t="s">
        <v>124</v>
      </c>
      <c r="AO7" s="186" t="s">
        <v>124</v>
      </c>
      <c r="AP7" s="186" t="s">
        <v>124</v>
      </c>
      <c r="AQ7" s="186" t="s">
        <v>124</v>
      </c>
      <c r="AR7" s="186" t="s">
        <v>124</v>
      </c>
      <c r="AS7" s="186" t="s">
        <v>124</v>
      </c>
      <c r="AT7" s="96" t="s">
        <v>124</v>
      </c>
      <c r="AU7" s="96" t="s">
        <v>124</v>
      </c>
      <c r="AV7" s="96" t="s">
        <v>124</v>
      </c>
      <c r="AW7" s="96" t="s">
        <v>124</v>
      </c>
      <c r="AX7" s="96" t="s">
        <v>124</v>
      </c>
      <c r="AY7" s="96" t="s">
        <v>124</v>
      </c>
      <c r="AZ7" s="96" t="s">
        <v>124</v>
      </c>
      <c r="BA7" s="96" t="s">
        <v>124</v>
      </c>
      <c r="BB7" s="96" t="s">
        <v>124</v>
      </c>
      <c r="BC7" s="96"/>
      <c r="BD7" s="88">
        <v>56</v>
      </c>
      <c r="BE7" s="88"/>
      <c r="BF7" s="88">
        <f t="shared" si="0"/>
        <v>56</v>
      </c>
      <c r="BG7" s="88">
        <v>65</v>
      </c>
      <c r="BH7" s="101">
        <f t="shared" si="1"/>
        <v>0.86153846153846159</v>
      </c>
      <c r="BI7" s="374"/>
      <c r="BJ7" s="379" t="s">
        <v>12</v>
      </c>
      <c r="BK7" s="379" t="s">
        <v>13</v>
      </c>
      <c r="BL7" s="379" t="s">
        <v>14</v>
      </c>
      <c r="BM7" s="379" t="s">
        <v>107</v>
      </c>
      <c r="BN7" s="379" t="s">
        <v>108</v>
      </c>
      <c r="BO7" s="382" t="s">
        <v>109</v>
      </c>
      <c r="BP7" s="379" t="s">
        <v>110</v>
      </c>
      <c r="BQ7" s="379" t="s">
        <v>111</v>
      </c>
      <c r="BR7" s="379" t="s">
        <v>112</v>
      </c>
      <c r="BS7" s="379" t="s">
        <v>113</v>
      </c>
      <c r="BT7" s="104" t="s">
        <v>114</v>
      </c>
      <c r="BU7" s="383" t="s">
        <v>115</v>
      </c>
      <c r="BV7" s="358"/>
      <c r="BW7" s="359"/>
      <c r="BX7" s="380" t="s">
        <v>116</v>
      </c>
      <c r="BY7" s="187" t="s">
        <v>160</v>
      </c>
      <c r="BZ7" s="379" t="s">
        <v>118</v>
      </c>
    </row>
    <row r="8" spans="1:78" ht="42" customHeight="1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113" t="s">
        <v>123</v>
      </c>
      <c r="E8" s="113" t="s">
        <v>123</v>
      </c>
      <c r="F8" s="113" t="s">
        <v>123</v>
      </c>
      <c r="G8" s="113" t="s">
        <v>123</v>
      </c>
      <c r="H8" s="113" t="s">
        <v>123</v>
      </c>
      <c r="I8" s="113" t="s">
        <v>123</v>
      </c>
      <c r="J8" s="113" t="s">
        <v>123</v>
      </c>
      <c r="K8" s="113" t="s">
        <v>123</v>
      </c>
      <c r="L8" s="113" t="s">
        <v>123</v>
      </c>
      <c r="M8" s="113" t="s">
        <v>123</v>
      </c>
      <c r="N8" s="113" t="s">
        <v>123</v>
      </c>
      <c r="O8" s="113" t="s">
        <v>123</v>
      </c>
      <c r="P8" s="113" t="s">
        <v>123</v>
      </c>
      <c r="Q8" s="113" t="s">
        <v>123</v>
      </c>
      <c r="R8" s="113" t="s">
        <v>123</v>
      </c>
      <c r="S8" s="113" t="s">
        <v>123</v>
      </c>
      <c r="T8" s="113" t="s">
        <v>123</v>
      </c>
      <c r="U8" s="113" t="s">
        <v>123</v>
      </c>
      <c r="V8" s="113" t="s">
        <v>123</v>
      </c>
      <c r="W8" s="113" t="s">
        <v>123</v>
      </c>
      <c r="X8" s="113" t="s">
        <v>123</v>
      </c>
      <c r="Y8" s="113" t="s">
        <v>123</v>
      </c>
      <c r="Z8" s="113" t="s">
        <v>123</v>
      </c>
      <c r="AA8" s="113" t="s">
        <v>123</v>
      </c>
      <c r="AB8" s="113" t="s">
        <v>123</v>
      </c>
      <c r="AC8" s="113" t="s">
        <v>123</v>
      </c>
      <c r="AD8" s="113" t="s">
        <v>123</v>
      </c>
      <c r="AE8" s="113" t="s">
        <v>123</v>
      </c>
      <c r="AF8" s="113" t="s">
        <v>123</v>
      </c>
      <c r="AG8" s="113" t="s">
        <v>123</v>
      </c>
      <c r="AH8" s="113" t="s">
        <v>123</v>
      </c>
      <c r="AI8" s="113" t="s">
        <v>123</v>
      </c>
      <c r="AJ8" s="113" t="s">
        <v>123</v>
      </c>
      <c r="AK8" s="113" t="s">
        <v>123</v>
      </c>
      <c r="AL8" s="113" t="s">
        <v>123</v>
      </c>
      <c r="AM8" s="113" t="s">
        <v>123</v>
      </c>
      <c r="AN8" s="113" t="s">
        <v>123</v>
      </c>
      <c r="AO8" s="113" t="s">
        <v>123</v>
      </c>
      <c r="AP8" s="113" t="s">
        <v>123</v>
      </c>
      <c r="AQ8" s="113" t="s">
        <v>123</v>
      </c>
      <c r="AR8" s="113" t="s">
        <v>123</v>
      </c>
      <c r="AS8" s="113" t="s">
        <v>123</v>
      </c>
      <c r="AT8" s="96" t="s">
        <v>123</v>
      </c>
      <c r="AU8" s="96" t="s">
        <v>123</v>
      </c>
      <c r="AV8" s="96" t="s">
        <v>123</v>
      </c>
      <c r="AW8" s="96" t="s">
        <v>123</v>
      </c>
      <c r="AX8" s="96" t="s">
        <v>123</v>
      </c>
      <c r="AY8" s="96" t="s">
        <v>123</v>
      </c>
      <c r="AZ8" s="96" t="s">
        <v>123</v>
      </c>
      <c r="BA8" s="96" t="s">
        <v>123</v>
      </c>
      <c r="BB8" s="96" t="s">
        <v>123</v>
      </c>
      <c r="BC8" s="96"/>
      <c r="BD8" s="88">
        <f>COUNTIF(D8:BC8,"P")</f>
        <v>0</v>
      </c>
      <c r="BE8" s="88"/>
      <c r="BF8" s="88">
        <f t="shared" si="0"/>
        <v>0</v>
      </c>
      <c r="BG8" s="88">
        <v>65</v>
      </c>
      <c r="BH8" s="101">
        <f t="shared" si="1"/>
        <v>0</v>
      </c>
      <c r="BI8" s="374"/>
      <c r="BJ8" s="377"/>
      <c r="BK8" s="377"/>
      <c r="BL8" s="377"/>
      <c r="BM8" s="377"/>
      <c r="BN8" s="377"/>
      <c r="BO8" s="377"/>
      <c r="BP8" s="377"/>
      <c r="BQ8" s="377"/>
      <c r="BR8" s="377"/>
      <c r="BS8" s="377"/>
      <c r="BT8" s="104" t="s">
        <v>119</v>
      </c>
      <c r="BU8" s="104">
        <v>1</v>
      </c>
      <c r="BV8" s="104">
        <v>2</v>
      </c>
      <c r="BW8" s="104">
        <v>3</v>
      </c>
      <c r="BX8" s="377"/>
      <c r="BY8" s="187"/>
      <c r="BZ8" s="377"/>
    </row>
    <row r="9" spans="1:78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113" t="s">
        <v>123</v>
      </c>
      <c r="E9" s="113" t="s">
        <v>124</v>
      </c>
      <c r="F9" s="113" t="s">
        <v>124</v>
      </c>
      <c r="G9" s="113" t="s">
        <v>124</v>
      </c>
      <c r="H9" s="113" t="s">
        <v>124</v>
      </c>
      <c r="I9" s="113" t="s">
        <v>124</v>
      </c>
      <c r="J9" s="113" t="s">
        <v>124</v>
      </c>
      <c r="K9" s="113" t="s">
        <v>124</v>
      </c>
      <c r="L9" s="113" t="s">
        <v>124</v>
      </c>
      <c r="M9" s="113" t="s">
        <v>124</v>
      </c>
      <c r="N9" s="113" t="s">
        <v>124</v>
      </c>
      <c r="O9" s="113" t="s">
        <v>124</v>
      </c>
      <c r="P9" s="113" t="s">
        <v>124</v>
      </c>
      <c r="Q9" s="113" t="s">
        <v>123</v>
      </c>
      <c r="R9" s="186" t="s">
        <v>124</v>
      </c>
      <c r="S9" s="156" t="s">
        <v>124</v>
      </c>
      <c r="T9" s="113" t="s">
        <v>123</v>
      </c>
      <c r="U9" s="113" t="s">
        <v>123</v>
      </c>
      <c r="V9" s="113" t="s">
        <v>124</v>
      </c>
      <c r="W9" s="113" t="s">
        <v>124</v>
      </c>
      <c r="X9" s="113" t="s">
        <v>124</v>
      </c>
      <c r="Y9" s="113" t="s">
        <v>123</v>
      </c>
      <c r="Z9" s="186" t="s">
        <v>124</v>
      </c>
      <c r="AA9" s="186" t="s">
        <v>124</v>
      </c>
      <c r="AB9" s="186" t="s">
        <v>124</v>
      </c>
      <c r="AC9" s="113" t="s">
        <v>124</v>
      </c>
      <c r="AD9" s="186" t="s">
        <v>123</v>
      </c>
      <c r="AE9" s="186" t="s">
        <v>124</v>
      </c>
      <c r="AF9" s="186" t="s">
        <v>124</v>
      </c>
      <c r="AG9" s="186" t="s">
        <v>124</v>
      </c>
      <c r="AH9" s="186" t="s">
        <v>124</v>
      </c>
      <c r="AI9" s="186" t="s">
        <v>124</v>
      </c>
      <c r="AJ9" s="186" t="s">
        <v>124</v>
      </c>
      <c r="AK9" s="186" t="s">
        <v>123</v>
      </c>
      <c r="AL9" s="186" t="s">
        <v>123</v>
      </c>
      <c r="AM9" s="96" t="s">
        <v>124</v>
      </c>
      <c r="AN9" s="96" t="s">
        <v>124</v>
      </c>
      <c r="AO9" s="96" t="s">
        <v>123</v>
      </c>
      <c r="AP9" s="96" t="s">
        <v>124</v>
      </c>
      <c r="AQ9" s="96" t="s">
        <v>124</v>
      </c>
      <c r="AR9" s="96" t="s">
        <v>124</v>
      </c>
      <c r="AS9" s="96" t="s">
        <v>124</v>
      </c>
      <c r="AT9" s="96" t="s">
        <v>124</v>
      </c>
      <c r="AU9" s="96" t="s">
        <v>124</v>
      </c>
      <c r="AV9" s="96" t="s">
        <v>124</v>
      </c>
      <c r="AW9" s="96" t="s">
        <v>124</v>
      </c>
      <c r="AX9" s="96" t="s">
        <v>123</v>
      </c>
      <c r="AY9" s="96" t="s">
        <v>124</v>
      </c>
      <c r="AZ9" s="96" t="s">
        <v>123</v>
      </c>
      <c r="BA9" s="96" t="s">
        <v>123</v>
      </c>
      <c r="BB9" s="96" t="s">
        <v>124</v>
      </c>
      <c r="BC9" s="96"/>
      <c r="BD9" s="88">
        <v>50</v>
      </c>
      <c r="BE9" s="88">
        <v>3</v>
      </c>
      <c r="BF9" s="88">
        <f t="shared" si="0"/>
        <v>53</v>
      </c>
      <c r="BG9" s="88">
        <v>65</v>
      </c>
      <c r="BH9" s="101">
        <f t="shared" si="1"/>
        <v>0.81538461538461537</v>
      </c>
      <c r="BI9" s="374"/>
      <c r="BJ9" s="188">
        <f>OVERALL!A4</f>
        <v>1</v>
      </c>
      <c r="BK9" s="189">
        <f>OVERALL!B4</f>
        <v>2301236</v>
      </c>
      <c r="BL9" s="190" t="str">
        <f>OVERALL!C4</f>
        <v>Manmohan Singh</v>
      </c>
      <c r="BM9" s="107">
        <f t="shared" ref="BM9:BM24" si="2">BG5</f>
        <v>65</v>
      </c>
      <c r="BN9" s="107">
        <f t="shared" ref="BN9:BN21" si="3">BF5</f>
        <v>19</v>
      </c>
      <c r="BO9" s="108">
        <f t="shared" ref="BO9:BO66" si="4">BN9/BM9%</f>
        <v>29.23076923076923</v>
      </c>
      <c r="BP9" s="107" t="str">
        <f t="shared" ref="BP9:BP23" si="5">IF(BO9&gt;=95.5,"6",IF(BO9&gt;=90.5,"5", IF(BO9&gt;=85.5,"4",IF(BO9&gt;=80.5,"3",IF(BO9&gt;=75.5,"2","0")))))</f>
        <v>0</v>
      </c>
      <c r="BQ9" s="113">
        <v>2</v>
      </c>
      <c r="BR9" s="107"/>
      <c r="BS9" s="191">
        <v>6</v>
      </c>
      <c r="BT9" s="107">
        <f t="shared" ref="BT9:BT66" si="6">(BQ9 +BS9)/2</f>
        <v>4</v>
      </c>
      <c r="BU9" s="107">
        <v>9</v>
      </c>
      <c r="BV9" s="107">
        <v>8</v>
      </c>
      <c r="BW9" s="107">
        <v>9</v>
      </c>
      <c r="BX9" s="108">
        <f t="shared" ref="BX9:BX66" si="7">AVERAGE(BU9:BW9)</f>
        <v>8.6666666666666661</v>
      </c>
      <c r="BY9" s="108"/>
      <c r="BZ9" s="111">
        <f t="shared" ref="BZ9:BZ66" si="8">ROUND(BP9+BT9+BX9+BY9,0)</f>
        <v>13</v>
      </c>
    </row>
    <row r="10" spans="1:78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113" t="s">
        <v>124</v>
      </c>
      <c r="E10" s="113" t="s">
        <v>124</v>
      </c>
      <c r="F10" s="113" t="s">
        <v>124</v>
      </c>
      <c r="G10" s="113" t="s">
        <v>124</v>
      </c>
      <c r="H10" s="113" t="s">
        <v>124</v>
      </c>
      <c r="I10" s="113" t="s">
        <v>124</v>
      </c>
      <c r="J10" s="113" t="s">
        <v>124</v>
      </c>
      <c r="K10" s="113" t="s">
        <v>124</v>
      </c>
      <c r="L10" s="113" t="s">
        <v>124</v>
      </c>
      <c r="M10" s="113" t="s">
        <v>124</v>
      </c>
      <c r="N10" s="113" t="s">
        <v>124</v>
      </c>
      <c r="O10" s="113" t="s">
        <v>124</v>
      </c>
      <c r="P10" s="113" t="s">
        <v>124</v>
      </c>
      <c r="Q10" s="113" t="s">
        <v>124</v>
      </c>
      <c r="R10" s="113" t="s">
        <v>123</v>
      </c>
      <c r="S10" s="113" t="s">
        <v>124</v>
      </c>
      <c r="T10" s="113" t="s">
        <v>124</v>
      </c>
      <c r="U10" s="113" t="s">
        <v>124</v>
      </c>
      <c r="V10" s="113" t="s">
        <v>124</v>
      </c>
      <c r="W10" s="113" t="s">
        <v>124</v>
      </c>
      <c r="X10" s="113" t="s">
        <v>124</v>
      </c>
      <c r="Y10" s="113" t="s">
        <v>124</v>
      </c>
      <c r="Z10" s="113" t="s">
        <v>124</v>
      </c>
      <c r="AA10" s="186" t="s">
        <v>124</v>
      </c>
      <c r="AB10" s="186" t="s">
        <v>124</v>
      </c>
      <c r="AC10" s="186" t="s">
        <v>124</v>
      </c>
      <c r="AD10" s="186" t="s">
        <v>124</v>
      </c>
      <c r="AE10" s="186" t="s">
        <v>124</v>
      </c>
      <c r="AF10" s="186" t="s">
        <v>124</v>
      </c>
      <c r="AG10" s="186" t="s">
        <v>124</v>
      </c>
      <c r="AH10" s="186" t="s">
        <v>124</v>
      </c>
      <c r="AI10" s="186" t="s">
        <v>124</v>
      </c>
      <c r="AJ10" s="186" t="s">
        <v>124</v>
      </c>
      <c r="AK10" s="186" t="s">
        <v>124</v>
      </c>
      <c r="AL10" s="186" t="s">
        <v>123</v>
      </c>
      <c r="AM10" s="96" t="s">
        <v>124</v>
      </c>
      <c r="AN10" s="96" t="s">
        <v>124</v>
      </c>
      <c r="AO10" s="96" t="s">
        <v>124</v>
      </c>
      <c r="AP10" s="96" t="s">
        <v>124</v>
      </c>
      <c r="AQ10" s="96" t="s">
        <v>123</v>
      </c>
      <c r="AR10" s="96" t="s">
        <v>124</v>
      </c>
      <c r="AS10" s="96" t="s">
        <v>124</v>
      </c>
      <c r="AT10" s="96" t="s">
        <v>124</v>
      </c>
      <c r="AU10" s="96" t="s">
        <v>124</v>
      </c>
      <c r="AV10" s="96" t="s">
        <v>124</v>
      </c>
      <c r="AW10" s="96" t="s">
        <v>124</v>
      </c>
      <c r="AX10" s="96" t="s">
        <v>124</v>
      </c>
      <c r="AY10" s="96" t="s">
        <v>124</v>
      </c>
      <c r="AZ10" s="96" t="s">
        <v>124</v>
      </c>
      <c r="BA10" s="96" t="s">
        <v>124</v>
      </c>
      <c r="BB10" s="96" t="s">
        <v>124</v>
      </c>
      <c r="BC10" s="96"/>
      <c r="BD10" s="88">
        <v>59</v>
      </c>
      <c r="BE10" s="88"/>
      <c r="BF10" s="88">
        <f t="shared" si="0"/>
        <v>59</v>
      </c>
      <c r="BG10" s="88">
        <v>65</v>
      </c>
      <c r="BH10" s="101">
        <f t="shared" si="1"/>
        <v>0.90769230769230769</v>
      </c>
      <c r="BI10" s="374"/>
      <c r="BJ10" s="188">
        <f>OVERALL!A5</f>
        <v>2</v>
      </c>
      <c r="BK10" s="189">
        <f>OVERALL!B5</f>
        <v>2301237</v>
      </c>
      <c r="BL10" s="190" t="str">
        <f>OVERALL!C5</f>
        <v>Manpreet Kaur</v>
      </c>
      <c r="BM10" s="107">
        <f t="shared" si="2"/>
        <v>65</v>
      </c>
      <c r="BN10" s="107">
        <f t="shared" si="3"/>
        <v>45</v>
      </c>
      <c r="BO10" s="108">
        <f t="shared" si="4"/>
        <v>69.230769230769226</v>
      </c>
      <c r="BP10" s="107" t="str">
        <f t="shared" si="5"/>
        <v>0</v>
      </c>
      <c r="BQ10" s="186">
        <v>20</v>
      </c>
      <c r="BR10" s="107"/>
      <c r="BS10" s="192">
        <v>20</v>
      </c>
      <c r="BT10" s="107">
        <f t="shared" si="6"/>
        <v>20</v>
      </c>
      <c r="BU10" s="107">
        <v>8</v>
      </c>
      <c r="BV10" s="107">
        <v>9</v>
      </c>
      <c r="BW10" s="107">
        <v>9</v>
      </c>
      <c r="BX10" s="108">
        <f t="shared" si="7"/>
        <v>8.6666666666666661</v>
      </c>
      <c r="BY10" s="108"/>
      <c r="BZ10" s="111">
        <f t="shared" si="8"/>
        <v>29</v>
      </c>
    </row>
    <row r="11" spans="1:78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113" t="s">
        <v>123</v>
      </c>
      <c r="E11" s="113" t="s">
        <v>124</v>
      </c>
      <c r="F11" s="113" t="s">
        <v>124</v>
      </c>
      <c r="G11" s="113" t="s">
        <v>124</v>
      </c>
      <c r="H11" s="113" t="s">
        <v>124</v>
      </c>
      <c r="I11" s="113" t="s">
        <v>124</v>
      </c>
      <c r="J11" s="113" t="s">
        <v>124</v>
      </c>
      <c r="K11" s="113" t="s">
        <v>124</v>
      </c>
      <c r="L11" s="113" t="s">
        <v>123</v>
      </c>
      <c r="M11" s="113" t="s">
        <v>124</v>
      </c>
      <c r="N11" s="113" t="s">
        <v>123</v>
      </c>
      <c r="O11" s="113" t="s">
        <v>124</v>
      </c>
      <c r="P11" s="113" t="s">
        <v>124</v>
      </c>
      <c r="Q11" s="113" t="s">
        <v>123</v>
      </c>
      <c r="R11" s="186" t="s">
        <v>124</v>
      </c>
      <c r="S11" s="156" t="s">
        <v>124</v>
      </c>
      <c r="T11" s="113" t="s">
        <v>124</v>
      </c>
      <c r="U11" s="113" t="s">
        <v>123</v>
      </c>
      <c r="V11" s="113" t="s">
        <v>124</v>
      </c>
      <c r="W11" s="113" t="s">
        <v>123</v>
      </c>
      <c r="X11" s="113" t="s">
        <v>124</v>
      </c>
      <c r="Y11" s="113" t="s">
        <v>123</v>
      </c>
      <c r="Z11" s="186" t="s">
        <v>124</v>
      </c>
      <c r="AA11" s="186" t="s">
        <v>124</v>
      </c>
      <c r="AB11" s="186" t="s">
        <v>123</v>
      </c>
      <c r="AC11" s="186" t="s">
        <v>124</v>
      </c>
      <c r="AD11" s="113" t="s">
        <v>123</v>
      </c>
      <c r="AE11" s="113" t="s">
        <v>124</v>
      </c>
      <c r="AF11" s="113" t="s">
        <v>123</v>
      </c>
      <c r="AG11" s="113" t="s">
        <v>123</v>
      </c>
      <c r="AH11" s="113" t="s">
        <v>123</v>
      </c>
      <c r="AI11" s="113" t="s">
        <v>123</v>
      </c>
      <c r="AJ11" s="113" t="s">
        <v>123</v>
      </c>
      <c r="AK11" s="113" t="s">
        <v>124</v>
      </c>
      <c r="AL11" s="113" t="s">
        <v>124</v>
      </c>
      <c r="AM11" s="96" t="s">
        <v>124</v>
      </c>
      <c r="AN11" s="96" t="s">
        <v>124</v>
      </c>
      <c r="AO11" s="96" t="s">
        <v>124</v>
      </c>
      <c r="AP11" s="96" t="s">
        <v>124</v>
      </c>
      <c r="AQ11" s="96" t="s">
        <v>124</v>
      </c>
      <c r="AR11" s="96" t="s">
        <v>124</v>
      </c>
      <c r="AS11" s="96" t="s">
        <v>124</v>
      </c>
      <c r="AT11" s="96" t="s">
        <v>124</v>
      </c>
      <c r="AU11" s="96" t="s">
        <v>124</v>
      </c>
      <c r="AV11" s="96" t="s">
        <v>124</v>
      </c>
      <c r="AW11" s="96" t="s">
        <v>124</v>
      </c>
      <c r="AX11" s="96" t="s">
        <v>124</v>
      </c>
      <c r="AY11" s="96" t="s">
        <v>124</v>
      </c>
      <c r="AZ11" s="96" t="s">
        <v>123</v>
      </c>
      <c r="BA11" s="96" t="s">
        <v>123</v>
      </c>
      <c r="BB11" s="96" t="s">
        <v>123</v>
      </c>
      <c r="BC11" s="96"/>
      <c r="BD11" s="88">
        <v>45</v>
      </c>
      <c r="BE11" s="88"/>
      <c r="BF11" s="88">
        <f t="shared" si="0"/>
        <v>45</v>
      </c>
      <c r="BG11" s="88">
        <v>65</v>
      </c>
      <c r="BH11" s="101">
        <f t="shared" si="1"/>
        <v>0.69230769230769229</v>
      </c>
      <c r="BI11" s="374"/>
      <c r="BJ11" s="188">
        <f>OVERALL!A6</f>
        <v>3</v>
      </c>
      <c r="BK11" s="189">
        <f>OVERALL!B6</f>
        <v>2301238</v>
      </c>
      <c r="BL11" s="190" t="str">
        <f>OVERALL!C6</f>
        <v>Md Warish Chesam</v>
      </c>
      <c r="BM11" s="107">
        <f t="shared" si="2"/>
        <v>65</v>
      </c>
      <c r="BN11" s="107">
        <f t="shared" si="3"/>
        <v>56</v>
      </c>
      <c r="BO11" s="108">
        <f t="shared" si="4"/>
        <v>86.153846153846146</v>
      </c>
      <c r="BP11" s="107" t="str">
        <f t="shared" si="5"/>
        <v>4</v>
      </c>
      <c r="BQ11" s="186">
        <v>10</v>
      </c>
      <c r="BR11" s="107"/>
      <c r="BS11" s="192">
        <v>12</v>
      </c>
      <c r="BT11" s="107">
        <f t="shared" si="6"/>
        <v>11</v>
      </c>
      <c r="BU11" s="107">
        <v>9</v>
      </c>
      <c r="BV11" s="107">
        <v>8</v>
      </c>
      <c r="BW11" s="107">
        <v>9</v>
      </c>
      <c r="BX11" s="108">
        <f t="shared" si="7"/>
        <v>8.6666666666666661</v>
      </c>
      <c r="BY11" s="108"/>
      <c r="BZ11" s="111">
        <f t="shared" si="8"/>
        <v>24</v>
      </c>
    </row>
    <row r="12" spans="1:78" ht="15.6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113" t="s">
        <v>124</v>
      </c>
      <c r="E12" s="113" t="s">
        <v>124</v>
      </c>
      <c r="F12" s="113" t="s">
        <v>124</v>
      </c>
      <c r="G12" s="113" t="s">
        <v>124</v>
      </c>
      <c r="H12" s="113" t="s">
        <v>124</v>
      </c>
      <c r="I12" s="113" t="s">
        <v>123</v>
      </c>
      <c r="J12" s="113" t="s">
        <v>123</v>
      </c>
      <c r="K12" s="113" t="s">
        <v>124</v>
      </c>
      <c r="L12" s="113" t="s">
        <v>124</v>
      </c>
      <c r="M12" s="113" t="s">
        <v>124</v>
      </c>
      <c r="N12" s="113" t="s">
        <v>124</v>
      </c>
      <c r="O12" s="113" t="s">
        <v>124</v>
      </c>
      <c r="P12" s="113" t="s">
        <v>124</v>
      </c>
      <c r="Q12" s="113" t="s">
        <v>124</v>
      </c>
      <c r="R12" s="186" t="s">
        <v>124</v>
      </c>
      <c r="S12" s="156" t="s">
        <v>124</v>
      </c>
      <c r="T12" s="113" t="s">
        <v>123</v>
      </c>
      <c r="U12" s="113" t="s">
        <v>123</v>
      </c>
      <c r="V12" s="113" t="s">
        <v>124</v>
      </c>
      <c r="W12" s="113" t="s">
        <v>123</v>
      </c>
      <c r="X12" s="113" t="s">
        <v>124</v>
      </c>
      <c r="Y12" s="113" t="s">
        <v>124</v>
      </c>
      <c r="Z12" s="186" t="s">
        <v>123</v>
      </c>
      <c r="AA12" s="186" t="s">
        <v>124</v>
      </c>
      <c r="AB12" s="186" t="s">
        <v>124</v>
      </c>
      <c r="AC12" s="186" t="s">
        <v>124</v>
      </c>
      <c r="AD12" s="113" t="s">
        <v>124</v>
      </c>
      <c r="AE12" s="113" t="s">
        <v>123</v>
      </c>
      <c r="AF12" s="113" t="s">
        <v>124</v>
      </c>
      <c r="AG12" s="113" t="s">
        <v>124</v>
      </c>
      <c r="AH12" s="113" t="s">
        <v>123</v>
      </c>
      <c r="AI12" s="113" t="s">
        <v>124</v>
      </c>
      <c r="AJ12" s="113" t="s">
        <v>124</v>
      </c>
      <c r="AK12" s="113" t="s">
        <v>124</v>
      </c>
      <c r="AL12" s="113" t="s">
        <v>124</v>
      </c>
      <c r="AM12" s="96" t="s">
        <v>123</v>
      </c>
      <c r="AN12" s="96" t="s">
        <v>124</v>
      </c>
      <c r="AO12" s="96" t="s">
        <v>124</v>
      </c>
      <c r="AP12" s="96" t="s">
        <v>124</v>
      </c>
      <c r="AQ12" s="96" t="s">
        <v>123</v>
      </c>
      <c r="AR12" s="96" t="s">
        <v>124</v>
      </c>
      <c r="AS12" s="96" t="s">
        <v>124</v>
      </c>
      <c r="AT12" s="96" t="s">
        <v>124</v>
      </c>
      <c r="AU12" s="96" t="s">
        <v>124</v>
      </c>
      <c r="AV12" s="96" t="s">
        <v>124</v>
      </c>
      <c r="AW12" s="96" t="s">
        <v>124</v>
      </c>
      <c r="AX12" s="96" t="s">
        <v>124</v>
      </c>
      <c r="AY12" s="96" t="s">
        <v>124</v>
      </c>
      <c r="AZ12" s="96" t="s">
        <v>124</v>
      </c>
      <c r="BA12" s="96" t="s">
        <v>124</v>
      </c>
      <c r="BB12" s="96" t="s">
        <v>123</v>
      </c>
      <c r="BC12" s="96"/>
      <c r="BD12" s="88">
        <v>46</v>
      </c>
      <c r="BE12" s="88"/>
      <c r="BF12" s="88">
        <f t="shared" si="0"/>
        <v>46</v>
      </c>
      <c r="BG12" s="88">
        <v>65</v>
      </c>
      <c r="BH12" s="101">
        <f t="shared" si="1"/>
        <v>0.70769230769230773</v>
      </c>
      <c r="BI12" s="374"/>
      <c r="BJ12" s="188">
        <f>OVERALL!A7</f>
        <v>4</v>
      </c>
      <c r="BK12" s="189">
        <f>OVERALL!B7</f>
        <v>2301239</v>
      </c>
      <c r="BL12" s="190" t="str">
        <f>OVERALL!C7</f>
        <v>Mohd Shahid Afridi</v>
      </c>
      <c r="BM12" s="193">
        <f t="shared" si="2"/>
        <v>65</v>
      </c>
      <c r="BN12" s="193">
        <f t="shared" si="3"/>
        <v>0</v>
      </c>
      <c r="BO12" s="108">
        <f t="shared" si="4"/>
        <v>0</v>
      </c>
      <c r="BP12" s="193" t="str">
        <f t="shared" si="5"/>
        <v>0</v>
      </c>
      <c r="BQ12" s="194">
        <v>0</v>
      </c>
      <c r="BR12" s="193"/>
      <c r="BS12" s="186">
        <v>0</v>
      </c>
      <c r="BT12" s="107">
        <f t="shared" si="6"/>
        <v>0</v>
      </c>
      <c r="BU12" s="193">
        <v>0</v>
      </c>
      <c r="BV12" s="193">
        <v>0</v>
      </c>
      <c r="BW12" s="193">
        <v>0</v>
      </c>
      <c r="BX12" s="108">
        <f t="shared" si="7"/>
        <v>0</v>
      </c>
      <c r="BY12" s="195"/>
      <c r="BZ12" s="111">
        <f t="shared" si="8"/>
        <v>0</v>
      </c>
    </row>
    <row r="13" spans="1:78" ht="14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113" t="s">
        <v>123</v>
      </c>
      <c r="E13" s="113" t="s">
        <v>123</v>
      </c>
      <c r="F13" s="113" t="s">
        <v>123</v>
      </c>
      <c r="G13" s="113" t="s">
        <v>123</v>
      </c>
      <c r="H13" s="113" t="s">
        <v>123</v>
      </c>
      <c r="I13" s="113" t="s">
        <v>123</v>
      </c>
      <c r="J13" s="113" t="s">
        <v>123</v>
      </c>
      <c r="K13" s="113" t="s">
        <v>123</v>
      </c>
      <c r="L13" s="113" t="s">
        <v>123</v>
      </c>
      <c r="M13" s="113" t="s">
        <v>123</v>
      </c>
      <c r="N13" s="113" t="s">
        <v>123</v>
      </c>
      <c r="O13" s="113" t="s">
        <v>123</v>
      </c>
      <c r="P13" s="113" t="s">
        <v>123</v>
      </c>
      <c r="Q13" s="113" t="s">
        <v>123</v>
      </c>
      <c r="R13" s="113" t="s">
        <v>123</v>
      </c>
      <c r="S13" s="113" t="s">
        <v>123</v>
      </c>
      <c r="T13" s="113" t="s">
        <v>123</v>
      </c>
      <c r="U13" s="113" t="s">
        <v>123</v>
      </c>
      <c r="V13" s="113" t="s">
        <v>123</v>
      </c>
      <c r="W13" s="113" t="s">
        <v>123</v>
      </c>
      <c r="X13" s="113" t="s">
        <v>123</v>
      </c>
      <c r="Y13" s="113" t="s">
        <v>123</v>
      </c>
      <c r="Z13" s="113" t="s">
        <v>123</v>
      </c>
      <c r="AA13" s="113" t="s">
        <v>123</v>
      </c>
      <c r="AB13" s="113" t="s">
        <v>123</v>
      </c>
      <c r="AC13" s="113" t="s">
        <v>123</v>
      </c>
      <c r="AD13" s="113" t="s">
        <v>123</v>
      </c>
      <c r="AE13" s="113" t="s">
        <v>123</v>
      </c>
      <c r="AF13" s="113" t="s">
        <v>123</v>
      </c>
      <c r="AG13" s="113" t="s">
        <v>123</v>
      </c>
      <c r="AH13" s="113" t="s">
        <v>123</v>
      </c>
      <c r="AI13" s="113" t="s">
        <v>123</v>
      </c>
      <c r="AJ13" s="113" t="s">
        <v>123</v>
      </c>
      <c r="AK13" s="113" t="s">
        <v>123</v>
      </c>
      <c r="AL13" s="113" t="s">
        <v>123</v>
      </c>
      <c r="AM13" s="113" t="s">
        <v>123</v>
      </c>
      <c r="AN13" s="113" t="s">
        <v>123</v>
      </c>
      <c r="AO13" s="113" t="s">
        <v>123</v>
      </c>
      <c r="AP13" s="113" t="s">
        <v>123</v>
      </c>
      <c r="AQ13" s="113" t="s">
        <v>123</v>
      </c>
      <c r="AR13" s="113" t="s">
        <v>123</v>
      </c>
      <c r="AS13" s="113" t="s">
        <v>123</v>
      </c>
      <c r="AT13" s="113" t="s">
        <v>123</v>
      </c>
      <c r="AU13" s="96" t="s">
        <v>123</v>
      </c>
      <c r="AV13" s="96" t="s">
        <v>123</v>
      </c>
      <c r="AW13" s="96" t="s">
        <v>123</v>
      </c>
      <c r="AX13" s="96" t="s">
        <v>123</v>
      </c>
      <c r="AY13" s="96" t="s">
        <v>123</v>
      </c>
      <c r="AZ13" s="96" t="s">
        <v>123</v>
      </c>
      <c r="BA13" s="96" t="s">
        <v>123</v>
      </c>
      <c r="BB13" s="96" t="s">
        <v>123</v>
      </c>
      <c r="BC13" s="96"/>
      <c r="BD13" s="88">
        <f>COUNTIF(D13:BC13,"P")</f>
        <v>0</v>
      </c>
      <c r="BE13" s="88"/>
      <c r="BF13" s="88">
        <f t="shared" si="0"/>
        <v>0</v>
      </c>
      <c r="BG13" s="88">
        <v>65</v>
      </c>
      <c r="BH13" s="101">
        <f t="shared" si="1"/>
        <v>0</v>
      </c>
      <c r="BI13" s="374"/>
      <c r="BJ13" s="188">
        <f>OVERALL!A8</f>
        <v>5</v>
      </c>
      <c r="BK13" s="189">
        <f>OVERALL!B8</f>
        <v>2301240</v>
      </c>
      <c r="BL13" s="190" t="str">
        <f>OVERALL!C8</f>
        <v>Munisha</v>
      </c>
      <c r="BM13" s="193">
        <f t="shared" si="2"/>
        <v>65</v>
      </c>
      <c r="BN13" s="193">
        <f t="shared" si="3"/>
        <v>53</v>
      </c>
      <c r="BO13" s="108">
        <f t="shared" si="4"/>
        <v>81.538461538461533</v>
      </c>
      <c r="BP13" s="193" t="str">
        <f t="shared" si="5"/>
        <v>3</v>
      </c>
      <c r="BQ13" s="194">
        <v>12</v>
      </c>
      <c r="BR13" s="193"/>
      <c r="BS13" s="192">
        <v>8</v>
      </c>
      <c r="BT13" s="107">
        <f t="shared" si="6"/>
        <v>10</v>
      </c>
      <c r="BU13" s="193">
        <v>8</v>
      </c>
      <c r="BV13" s="193">
        <v>9</v>
      </c>
      <c r="BW13" s="193">
        <v>9</v>
      </c>
      <c r="BX13" s="108">
        <f t="shared" si="7"/>
        <v>8.6666666666666661</v>
      </c>
      <c r="BY13" s="195"/>
      <c r="BZ13" s="111">
        <f t="shared" si="8"/>
        <v>22</v>
      </c>
    </row>
    <row r="14" spans="1:78" ht="15.6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113" t="s">
        <v>124</v>
      </c>
      <c r="E14" s="113" t="s">
        <v>124</v>
      </c>
      <c r="F14" s="113" t="s">
        <v>124</v>
      </c>
      <c r="G14" s="113" t="s">
        <v>124</v>
      </c>
      <c r="H14" s="113" t="s">
        <v>124</v>
      </c>
      <c r="I14" s="113" t="s">
        <v>124</v>
      </c>
      <c r="J14" s="113" t="s">
        <v>124</v>
      </c>
      <c r="K14" s="113" t="s">
        <v>124</v>
      </c>
      <c r="L14" s="113" t="s">
        <v>124</v>
      </c>
      <c r="M14" s="113" t="s">
        <v>124</v>
      </c>
      <c r="N14" s="113" t="s">
        <v>124</v>
      </c>
      <c r="O14" s="113" t="s">
        <v>124</v>
      </c>
      <c r="P14" s="113" t="s">
        <v>124</v>
      </c>
      <c r="Q14" s="113" t="s">
        <v>124</v>
      </c>
      <c r="R14" s="113" t="s">
        <v>124</v>
      </c>
      <c r="S14" s="113" t="s">
        <v>124</v>
      </c>
      <c r="T14" s="113" t="s">
        <v>124</v>
      </c>
      <c r="U14" s="113" t="s">
        <v>124</v>
      </c>
      <c r="V14" s="113" t="s">
        <v>124</v>
      </c>
      <c r="W14" s="113" t="s">
        <v>124</v>
      </c>
      <c r="X14" s="113" t="s">
        <v>124</v>
      </c>
      <c r="Y14" s="113" t="s">
        <v>124</v>
      </c>
      <c r="Z14" s="113" t="s">
        <v>124</v>
      </c>
      <c r="AA14" s="113" t="s">
        <v>124</v>
      </c>
      <c r="AB14" s="186" t="s">
        <v>124</v>
      </c>
      <c r="AC14" s="113" t="s">
        <v>124</v>
      </c>
      <c r="AD14" s="113" t="s">
        <v>124</v>
      </c>
      <c r="AE14" s="113" t="s">
        <v>124</v>
      </c>
      <c r="AF14" s="113" t="s">
        <v>124</v>
      </c>
      <c r="AG14" s="113" t="s">
        <v>124</v>
      </c>
      <c r="AH14" s="113" t="s">
        <v>123</v>
      </c>
      <c r="AI14" s="113" t="s">
        <v>124</v>
      </c>
      <c r="AJ14" s="113" t="s">
        <v>124</v>
      </c>
      <c r="AK14" s="113" t="s">
        <v>124</v>
      </c>
      <c r="AL14" s="113" t="s">
        <v>124</v>
      </c>
      <c r="AM14" s="96" t="s">
        <v>123</v>
      </c>
      <c r="AN14" s="96" t="s">
        <v>124</v>
      </c>
      <c r="AO14" s="96" t="s">
        <v>124</v>
      </c>
      <c r="AP14" s="96" t="s">
        <v>124</v>
      </c>
      <c r="AQ14" s="96" t="s">
        <v>124</v>
      </c>
      <c r="AR14" s="96" t="s">
        <v>124</v>
      </c>
      <c r="AS14" s="96" t="s">
        <v>124</v>
      </c>
      <c r="AT14" s="96" t="s">
        <v>124</v>
      </c>
      <c r="AU14" s="96" t="s">
        <v>124</v>
      </c>
      <c r="AV14" s="96" t="s">
        <v>124</v>
      </c>
      <c r="AW14" s="96" t="s">
        <v>124</v>
      </c>
      <c r="AX14" s="96" t="s">
        <v>124</v>
      </c>
      <c r="AY14" s="96" t="s">
        <v>124</v>
      </c>
      <c r="AZ14" s="96" t="s">
        <v>124</v>
      </c>
      <c r="BA14" s="96" t="s">
        <v>123</v>
      </c>
      <c r="BB14" s="96" t="s">
        <v>123</v>
      </c>
      <c r="BC14" s="96"/>
      <c r="BD14" s="88">
        <v>58</v>
      </c>
      <c r="BE14" s="88">
        <v>4</v>
      </c>
      <c r="BF14" s="88">
        <f t="shared" si="0"/>
        <v>62</v>
      </c>
      <c r="BG14" s="88">
        <v>65</v>
      </c>
      <c r="BH14" s="101">
        <f t="shared" si="1"/>
        <v>0.9538461538461539</v>
      </c>
      <c r="BI14" s="374"/>
      <c r="BJ14" s="188">
        <f>OVERALL!A9</f>
        <v>6</v>
      </c>
      <c r="BK14" s="189">
        <f>OVERALL!B9</f>
        <v>2301241</v>
      </c>
      <c r="BL14" s="190" t="str">
        <f>OVERALL!C9</f>
        <v>Nikhil Kumar Thakur</v>
      </c>
      <c r="BM14" s="107">
        <f t="shared" si="2"/>
        <v>65</v>
      </c>
      <c r="BN14" s="107">
        <f t="shared" si="3"/>
        <v>59</v>
      </c>
      <c r="BO14" s="108">
        <f t="shared" si="4"/>
        <v>90.769230769230759</v>
      </c>
      <c r="BP14" s="107" t="str">
        <f t="shared" si="5"/>
        <v>5</v>
      </c>
      <c r="BQ14" s="186">
        <v>14</v>
      </c>
      <c r="BR14" s="107"/>
      <c r="BS14" s="186">
        <v>14</v>
      </c>
      <c r="BT14" s="107">
        <f t="shared" si="6"/>
        <v>14</v>
      </c>
      <c r="BU14" s="107">
        <v>9</v>
      </c>
      <c r="BV14" s="107">
        <v>8</v>
      </c>
      <c r="BW14" s="107">
        <v>9</v>
      </c>
      <c r="BX14" s="108">
        <f t="shared" si="7"/>
        <v>8.6666666666666661</v>
      </c>
      <c r="BY14" s="108"/>
      <c r="BZ14" s="111">
        <f t="shared" si="8"/>
        <v>28</v>
      </c>
    </row>
    <row r="15" spans="1:78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113" t="s">
        <v>124</v>
      </c>
      <c r="E15" s="113" t="s">
        <v>124</v>
      </c>
      <c r="F15" s="113" t="s">
        <v>123</v>
      </c>
      <c r="G15" s="113" t="s">
        <v>124</v>
      </c>
      <c r="H15" s="113" t="s">
        <v>123</v>
      </c>
      <c r="I15" s="113" t="s">
        <v>124</v>
      </c>
      <c r="J15" s="113" t="s">
        <v>124</v>
      </c>
      <c r="K15" s="113" t="s">
        <v>124</v>
      </c>
      <c r="L15" s="113" t="s">
        <v>124</v>
      </c>
      <c r="M15" s="113" t="s">
        <v>123</v>
      </c>
      <c r="N15" s="113" t="s">
        <v>124</v>
      </c>
      <c r="O15" s="113" t="s">
        <v>124</v>
      </c>
      <c r="P15" s="113" t="s">
        <v>124</v>
      </c>
      <c r="Q15" s="113" t="s">
        <v>124</v>
      </c>
      <c r="R15" s="113" t="s">
        <v>124</v>
      </c>
      <c r="S15" s="113" t="s">
        <v>124</v>
      </c>
      <c r="T15" s="113" t="s">
        <v>124</v>
      </c>
      <c r="U15" s="113" t="s">
        <v>124</v>
      </c>
      <c r="V15" s="113" t="s">
        <v>124</v>
      </c>
      <c r="W15" s="113" t="s">
        <v>123</v>
      </c>
      <c r="X15" s="113" t="s">
        <v>124</v>
      </c>
      <c r="Y15" s="113" t="s">
        <v>123</v>
      </c>
      <c r="Z15" s="113" t="s">
        <v>123</v>
      </c>
      <c r="AA15" s="186" t="s">
        <v>124</v>
      </c>
      <c r="AB15" s="186" t="s">
        <v>124</v>
      </c>
      <c r="AC15" s="186" t="s">
        <v>124</v>
      </c>
      <c r="AD15" s="186" t="s">
        <v>123</v>
      </c>
      <c r="AE15" s="186" t="s">
        <v>123</v>
      </c>
      <c r="AF15" s="186" t="s">
        <v>123</v>
      </c>
      <c r="AG15" s="186" t="s">
        <v>124</v>
      </c>
      <c r="AH15" s="186" t="s">
        <v>123</v>
      </c>
      <c r="AI15" s="186" t="s">
        <v>124</v>
      </c>
      <c r="AJ15" s="186" t="s">
        <v>124</v>
      </c>
      <c r="AK15" s="186" t="s">
        <v>124</v>
      </c>
      <c r="AL15" s="186" t="s">
        <v>123</v>
      </c>
      <c r="AM15" s="96" t="s">
        <v>124</v>
      </c>
      <c r="AN15" s="96" t="s">
        <v>123</v>
      </c>
      <c r="AO15" s="96" t="s">
        <v>123</v>
      </c>
      <c r="AP15" s="96" t="s">
        <v>124</v>
      </c>
      <c r="AQ15" s="96" t="s">
        <v>123</v>
      </c>
      <c r="AR15" s="96" t="s">
        <v>123</v>
      </c>
      <c r="AS15" s="96" t="s">
        <v>123</v>
      </c>
      <c r="AT15" s="96" t="s">
        <v>124</v>
      </c>
      <c r="AU15" s="96" t="s">
        <v>123</v>
      </c>
      <c r="AV15" s="96" t="s">
        <v>123</v>
      </c>
      <c r="AW15" s="96" t="s">
        <v>123</v>
      </c>
      <c r="AX15" s="96" t="s">
        <v>123</v>
      </c>
      <c r="AY15" s="96" t="s">
        <v>123</v>
      </c>
      <c r="AZ15" s="96" t="s">
        <v>123</v>
      </c>
      <c r="BA15" s="96" t="s">
        <v>123</v>
      </c>
      <c r="BB15" s="96" t="s">
        <v>123</v>
      </c>
      <c r="BC15" s="96"/>
      <c r="BD15" s="88">
        <v>30</v>
      </c>
      <c r="BE15" s="88">
        <v>6</v>
      </c>
      <c r="BF15" s="88">
        <f t="shared" si="0"/>
        <v>36</v>
      </c>
      <c r="BG15" s="88">
        <v>65</v>
      </c>
      <c r="BH15" s="101">
        <f t="shared" si="1"/>
        <v>0.55384615384615388</v>
      </c>
      <c r="BI15" s="374"/>
      <c r="BJ15" s="188">
        <f>OVERALL!A10</f>
        <v>7</v>
      </c>
      <c r="BK15" s="189">
        <f>OVERALL!B10</f>
        <v>2301242</v>
      </c>
      <c r="BL15" s="190" t="str">
        <f>OVERALL!C10</f>
        <v>Palak Pathania</v>
      </c>
      <c r="BM15" s="107">
        <f t="shared" si="2"/>
        <v>65</v>
      </c>
      <c r="BN15" s="107">
        <f t="shared" si="3"/>
        <v>45</v>
      </c>
      <c r="BO15" s="108">
        <f t="shared" si="4"/>
        <v>69.230769230769226</v>
      </c>
      <c r="BP15" s="107" t="str">
        <f t="shared" si="5"/>
        <v>0</v>
      </c>
      <c r="BQ15" s="186">
        <v>23</v>
      </c>
      <c r="BR15" s="107"/>
      <c r="BS15" s="192">
        <v>13</v>
      </c>
      <c r="BT15" s="107">
        <f t="shared" si="6"/>
        <v>18</v>
      </c>
      <c r="BU15" s="107">
        <v>9</v>
      </c>
      <c r="BV15" s="107">
        <v>8</v>
      </c>
      <c r="BW15" s="107">
        <v>10</v>
      </c>
      <c r="BX15" s="108">
        <f t="shared" si="7"/>
        <v>9</v>
      </c>
      <c r="BY15" s="108"/>
      <c r="BZ15" s="111">
        <f t="shared" si="8"/>
        <v>27</v>
      </c>
    </row>
    <row r="16" spans="1:78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113" t="s">
        <v>123</v>
      </c>
      <c r="E16" s="113" t="s">
        <v>123</v>
      </c>
      <c r="F16" s="113" t="s">
        <v>123</v>
      </c>
      <c r="G16" s="113" t="s">
        <v>123</v>
      </c>
      <c r="H16" s="113" t="s">
        <v>123</v>
      </c>
      <c r="I16" s="113" t="s">
        <v>123</v>
      </c>
      <c r="J16" s="113" t="s">
        <v>123</v>
      </c>
      <c r="K16" s="113" t="s">
        <v>123</v>
      </c>
      <c r="L16" s="113" t="s">
        <v>123</v>
      </c>
      <c r="M16" s="113" t="s">
        <v>123</v>
      </c>
      <c r="N16" s="113" t="s">
        <v>123</v>
      </c>
      <c r="O16" s="113" t="s">
        <v>123</v>
      </c>
      <c r="P16" s="113" t="s">
        <v>123</v>
      </c>
      <c r="Q16" s="113" t="s">
        <v>123</v>
      </c>
      <c r="R16" s="113" t="s">
        <v>123</v>
      </c>
      <c r="S16" s="113" t="s">
        <v>123</v>
      </c>
      <c r="T16" s="113" t="s">
        <v>123</v>
      </c>
      <c r="U16" s="113" t="s">
        <v>123</v>
      </c>
      <c r="V16" s="113" t="s">
        <v>123</v>
      </c>
      <c r="W16" s="113" t="s">
        <v>123</v>
      </c>
      <c r="X16" s="113" t="s">
        <v>123</v>
      </c>
      <c r="Y16" s="113" t="s">
        <v>123</v>
      </c>
      <c r="Z16" s="113" t="s">
        <v>123</v>
      </c>
      <c r="AA16" s="113" t="s">
        <v>123</v>
      </c>
      <c r="AB16" s="113" t="s">
        <v>123</v>
      </c>
      <c r="AC16" s="113" t="s">
        <v>123</v>
      </c>
      <c r="AD16" s="113" t="s">
        <v>123</v>
      </c>
      <c r="AE16" s="113" t="s">
        <v>123</v>
      </c>
      <c r="AF16" s="113" t="s">
        <v>123</v>
      </c>
      <c r="AG16" s="113" t="s">
        <v>123</v>
      </c>
      <c r="AH16" s="113" t="s">
        <v>123</v>
      </c>
      <c r="AI16" s="113" t="s">
        <v>123</v>
      </c>
      <c r="AJ16" s="113" t="s">
        <v>123</v>
      </c>
      <c r="AK16" s="113" t="s">
        <v>123</v>
      </c>
      <c r="AL16" s="113" t="s">
        <v>123</v>
      </c>
      <c r="AM16" s="113" t="s">
        <v>123</v>
      </c>
      <c r="AN16" s="113" t="s">
        <v>123</v>
      </c>
      <c r="AO16" s="113" t="s">
        <v>123</v>
      </c>
      <c r="AP16" s="113" t="s">
        <v>123</v>
      </c>
      <c r="AQ16" s="113" t="s">
        <v>123</v>
      </c>
      <c r="AR16" s="113" t="s">
        <v>123</v>
      </c>
      <c r="AS16" s="113" t="s">
        <v>123</v>
      </c>
      <c r="AT16" s="96" t="s">
        <v>123</v>
      </c>
      <c r="AU16" s="96" t="s">
        <v>123</v>
      </c>
      <c r="AV16" s="96" t="s">
        <v>123</v>
      </c>
      <c r="AW16" s="96" t="s">
        <v>123</v>
      </c>
      <c r="AX16" s="96" t="s">
        <v>123</v>
      </c>
      <c r="AY16" s="96" t="s">
        <v>123</v>
      </c>
      <c r="AZ16" s="96" t="s">
        <v>123</v>
      </c>
      <c r="BA16" s="96" t="s">
        <v>123</v>
      </c>
      <c r="BB16" s="96" t="s">
        <v>123</v>
      </c>
      <c r="BC16" s="96"/>
      <c r="BD16" s="88">
        <f>COUNTIF(D16:BC16,"P")</f>
        <v>0</v>
      </c>
      <c r="BE16" s="88"/>
      <c r="BF16" s="88">
        <f t="shared" si="0"/>
        <v>0</v>
      </c>
      <c r="BG16" s="88">
        <v>65</v>
      </c>
      <c r="BH16" s="101">
        <f t="shared" si="1"/>
        <v>0</v>
      </c>
      <c r="BI16" s="374"/>
      <c r="BJ16" s="188">
        <f>OVERALL!A11</f>
        <v>8</v>
      </c>
      <c r="BK16" s="189">
        <f>OVERALL!B11</f>
        <v>2301243</v>
      </c>
      <c r="BL16" s="190" t="str">
        <f>OVERALL!C11</f>
        <v>Pardeep Singh</v>
      </c>
      <c r="BM16" s="107">
        <f t="shared" si="2"/>
        <v>65</v>
      </c>
      <c r="BN16" s="107">
        <f t="shared" si="3"/>
        <v>46</v>
      </c>
      <c r="BO16" s="108">
        <f t="shared" si="4"/>
        <v>70.769230769230774</v>
      </c>
      <c r="BP16" s="107" t="str">
        <f t="shared" si="5"/>
        <v>0</v>
      </c>
      <c r="BQ16" s="186">
        <v>10</v>
      </c>
      <c r="BR16" s="107"/>
      <c r="BS16" s="192">
        <v>10</v>
      </c>
      <c r="BT16" s="107">
        <f t="shared" si="6"/>
        <v>10</v>
      </c>
      <c r="BU16" s="107">
        <v>8</v>
      </c>
      <c r="BV16" s="107">
        <v>8</v>
      </c>
      <c r="BW16" s="107">
        <v>10</v>
      </c>
      <c r="BX16" s="108">
        <f t="shared" si="7"/>
        <v>8.6666666666666661</v>
      </c>
      <c r="BY16" s="108"/>
      <c r="BZ16" s="111">
        <f t="shared" si="8"/>
        <v>19</v>
      </c>
    </row>
    <row r="17" spans="1:78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113" t="s">
        <v>123</v>
      </c>
      <c r="E17" s="113" t="s">
        <v>123</v>
      </c>
      <c r="F17" s="113" t="s">
        <v>124</v>
      </c>
      <c r="G17" s="113" t="s">
        <v>123</v>
      </c>
      <c r="H17" s="113" t="s">
        <v>124</v>
      </c>
      <c r="I17" s="113" t="s">
        <v>123</v>
      </c>
      <c r="J17" s="113" t="s">
        <v>123</v>
      </c>
      <c r="K17" s="113" t="s">
        <v>124</v>
      </c>
      <c r="L17" s="113" t="s">
        <v>124</v>
      </c>
      <c r="M17" s="113" t="s">
        <v>123</v>
      </c>
      <c r="N17" s="113" t="s">
        <v>124</v>
      </c>
      <c r="O17" s="113" t="s">
        <v>124</v>
      </c>
      <c r="P17" s="113" t="s">
        <v>124</v>
      </c>
      <c r="Q17" s="113" t="s">
        <v>123</v>
      </c>
      <c r="R17" s="186" t="s">
        <v>123</v>
      </c>
      <c r="S17" s="156" t="s">
        <v>124</v>
      </c>
      <c r="T17" s="113" t="s">
        <v>123</v>
      </c>
      <c r="U17" s="113" t="s">
        <v>123</v>
      </c>
      <c r="V17" s="113" t="s">
        <v>124</v>
      </c>
      <c r="W17" s="113" t="s">
        <v>123</v>
      </c>
      <c r="X17" s="113" t="s">
        <v>124</v>
      </c>
      <c r="Y17" s="113" t="s">
        <v>124</v>
      </c>
      <c r="Z17" s="186" t="s">
        <v>124</v>
      </c>
      <c r="AA17" s="186" t="s">
        <v>124</v>
      </c>
      <c r="AB17" s="186" t="s">
        <v>124</v>
      </c>
      <c r="AC17" s="186" t="s">
        <v>124</v>
      </c>
      <c r="AD17" s="113" t="s">
        <v>124</v>
      </c>
      <c r="AE17" s="113" t="s">
        <v>123</v>
      </c>
      <c r="AF17" s="113" t="s">
        <v>124</v>
      </c>
      <c r="AG17" s="113" t="s">
        <v>124</v>
      </c>
      <c r="AH17" s="113" t="s">
        <v>124</v>
      </c>
      <c r="AI17" s="113" t="s">
        <v>124</v>
      </c>
      <c r="AJ17" s="113" t="s">
        <v>124</v>
      </c>
      <c r="AK17" s="113" t="s">
        <v>124</v>
      </c>
      <c r="AL17" s="113" t="s">
        <v>124</v>
      </c>
      <c r="AM17" s="96" t="s">
        <v>124</v>
      </c>
      <c r="AN17" s="96" t="s">
        <v>123</v>
      </c>
      <c r="AO17" s="96" t="s">
        <v>123</v>
      </c>
      <c r="AP17" s="96" t="s">
        <v>123</v>
      </c>
      <c r="AQ17" s="96" t="s">
        <v>124</v>
      </c>
      <c r="AR17" s="96" t="s">
        <v>123</v>
      </c>
      <c r="AS17" s="96" t="s">
        <v>123</v>
      </c>
      <c r="AT17" s="96" t="s">
        <v>124</v>
      </c>
      <c r="AU17" s="96" t="s">
        <v>123</v>
      </c>
      <c r="AV17" s="96" t="s">
        <v>123</v>
      </c>
      <c r="AW17" s="96" t="s">
        <v>123</v>
      </c>
      <c r="AX17" s="96" t="s">
        <v>123</v>
      </c>
      <c r="AY17" s="96" t="s">
        <v>123</v>
      </c>
      <c r="AZ17" s="96" t="s">
        <v>123</v>
      </c>
      <c r="BA17" s="96" t="s">
        <v>123</v>
      </c>
      <c r="BB17" s="96" t="s">
        <v>123</v>
      </c>
      <c r="BC17" s="96"/>
      <c r="BD17" s="88">
        <v>28</v>
      </c>
      <c r="BE17" s="88">
        <v>6</v>
      </c>
      <c r="BF17" s="88">
        <f t="shared" si="0"/>
        <v>34</v>
      </c>
      <c r="BG17" s="88">
        <v>65</v>
      </c>
      <c r="BH17" s="101">
        <f t="shared" si="1"/>
        <v>0.52307692307692311</v>
      </c>
      <c r="BI17" s="374"/>
      <c r="BJ17" s="188">
        <f>OVERALL!A12</f>
        <v>9</v>
      </c>
      <c r="BK17" s="189">
        <f>OVERALL!B12</f>
        <v>2301244</v>
      </c>
      <c r="BL17" s="190" t="str">
        <f>OVERALL!C12</f>
        <v>Parveen Mandal</v>
      </c>
      <c r="BM17" s="107">
        <f t="shared" si="2"/>
        <v>65</v>
      </c>
      <c r="BN17" s="107">
        <f t="shared" si="3"/>
        <v>0</v>
      </c>
      <c r="BO17" s="108">
        <f t="shared" si="4"/>
        <v>0</v>
      </c>
      <c r="BP17" s="107" t="str">
        <f t="shared" si="5"/>
        <v>0</v>
      </c>
      <c r="BQ17" s="196">
        <v>0</v>
      </c>
      <c r="BR17" s="107"/>
      <c r="BS17" s="186">
        <v>0</v>
      </c>
      <c r="BT17" s="107">
        <f t="shared" si="6"/>
        <v>0</v>
      </c>
      <c r="BU17" s="107">
        <v>0</v>
      </c>
      <c r="BV17" s="107">
        <v>0</v>
      </c>
      <c r="BW17" s="107">
        <v>0</v>
      </c>
      <c r="BX17" s="108">
        <f t="shared" si="7"/>
        <v>0</v>
      </c>
      <c r="BY17" s="108"/>
      <c r="BZ17" s="111">
        <f t="shared" si="8"/>
        <v>0</v>
      </c>
    </row>
    <row r="18" spans="1:78" ht="15.6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113" t="s">
        <v>123</v>
      </c>
      <c r="E18" s="113" t="s">
        <v>123</v>
      </c>
      <c r="F18" s="113" t="s">
        <v>123</v>
      </c>
      <c r="G18" s="113" t="s">
        <v>123</v>
      </c>
      <c r="H18" s="113" t="s">
        <v>123</v>
      </c>
      <c r="I18" s="113" t="s">
        <v>124</v>
      </c>
      <c r="J18" s="113" t="s">
        <v>123</v>
      </c>
      <c r="K18" s="113" t="s">
        <v>124</v>
      </c>
      <c r="L18" s="113" t="s">
        <v>124</v>
      </c>
      <c r="M18" s="113" t="s">
        <v>124</v>
      </c>
      <c r="N18" s="113" t="s">
        <v>124</v>
      </c>
      <c r="O18" s="113" t="s">
        <v>124</v>
      </c>
      <c r="P18" s="113" t="s">
        <v>124</v>
      </c>
      <c r="Q18" s="113" t="s">
        <v>123</v>
      </c>
      <c r="R18" s="186" t="s">
        <v>124</v>
      </c>
      <c r="S18" s="156" t="s">
        <v>124</v>
      </c>
      <c r="T18" s="113" t="s">
        <v>124</v>
      </c>
      <c r="U18" s="113" t="s">
        <v>123</v>
      </c>
      <c r="V18" s="113" t="s">
        <v>124</v>
      </c>
      <c r="W18" s="113" t="s">
        <v>123</v>
      </c>
      <c r="X18" s="113" t="s">
        <v>124</v>
      </c>
      <c r="Y18" s="113" t="s">
        <v>123</v>
      </c>
      <c r="Z18" s="186" t="s">
        <v>124</v>
      </c>
      <c r="AA18" s="186" t="s">
        <v>123</v>
      </c>
      <c r="AB18" s="186" t="s">
        <v>124</v>
      </c>
      <c r="AC18" s="113" t="s">
        <v>124</v>
      </c>
      <c r="AD18" s="186" t="s">
        <v>124</v>
      </c>
      <c r="AE18" s="186" t="s">
        <v>124</v>
      </c>
      <c r="AF18" s="186" t="s">
        <v>124</v>
      </c>
      <c r="AG18" s="186" t="s">
        <v>124</v>
      </c>
      <c r="AH18" s="186" t="s">
        <v>123</v>
      </c>
      <c r="AI18" s="186" t="s">
        <v>124</v>
      </c>
      <c r="AJ18" s="186" t="s">
        <v>124</v>
      </c>
      <c r="AK18" s="186" t="s">
        <v>124</v>
      </c>
      <c r="AL18" s="186" t="s">
        <v>123</v>
      </c>
      <c r="AM18" s="96" t="s">
        <v>123</v>
      </c>
      <c r="AN18" s="96" t="s">
        <v>124</v>
      </c>
      <c r="AO18" s="96" t="s">
        <v>124</v>
      </c>
      <c r="AP18" s="96" t="s">
        <v>124</v>
      </c>
      <c r="AQ18" s="96" t="s">
        <v>124</v>
      </c>
      <c r="AR18" s="96" t="s">
        <v>124</v>
      </c>
      <c r="AS18" s="96" t="s">
        <v>124</v>
      </c>
      <c r="AT18" s="96" t="s">
        <v>124</v>
      </c>
      <c r="AU18" s="96" t="s">
        <v>124</v>
      </c>
      <c r="AV18" s="96" t="s">
        <v>124</v>
      </c>
      <c r="AW18" s="96" t="s">
        <v>124</v>
      </c>
      <c r="AX18" s="96" t="s">
        <v>124</v>
      </c>
      <c r="AY18" s="96" t="s">
        <v>124</v>
      </c>
      <c r="AZ18" s="96" t="s">
        <v>124</v>
      </c>
      <c r="BA18" s="96" t="s">
        <v>123</v>
      </c>
      <c r="BB18" s="96" t="s">
        <v>123</v>
      </c>
      <c r="BC18" s="96"/>
      <c r="BD18" s="88">
        <v>42</v>
      </c>
      <c r="BE18" s="88"/>
      <c r="BF18" s="88">
        <f t="shared" si="0"/>
        <v>42</v>
      </c>
      <c r="BG18" s="88">
        <v>65</v>
      </c>
      <c r="BH18" s="101">
        <f t="shared" si="1"/>
        <v>0.64615384615384619</v>
      </c>
      <c r="BI18" s="374"/>
      <c r="BJ18" s="188">
        <f>OVERALL!A13</f>
        <v>10</v>
      </c>
      <c r="BK18" s="189">
        <f>OVERALL!B13</f>
        <v>2301245</v>
      </c>
      <c r="BL18" s="190" t="str">
        <f>OVERALL!C13</f>
        <v>Payal</v>
      </c>
      <c r="BM18" s="107">
        <f t="shared" si="2"/>
        <v>65</v>
      </c>
      <c r="BN18" s="107">
        <f t="shared" si="3"/>
        <v>62</v>
      </c>
      <c r="BO18" s="108">
        <f t="shared" si="4"/>
        <v>95.384615384615387</v>
      </c>
      <c r="BP18" s="107" t="str">
        <f t="shared" si="5"/>
        <v>5</v>
      </c>
      <c r="BQ18" s="197">
        <v>16</v>
      </c>
      <c r="BR18" s="107"/>
      <c r="BS18" s="198">
        <v>23</v>
      </c>
      <c r="BT18" s="107">
        <f t="shared" si="6"/>
        <v>19.5</v>
      </c>
      <c r="BU18" s="107">
        <v>10</v>
      </c>
      <c r="BV18" s="107">
        <v>10</v>
      </c>
      <c r="BW18" s="107">
        <v>8</v>
      </c>
      <c r="BX18" s="108">
        <f t="shared" si="7"/>
        <v>9.3333333333333339</v>
      </c>
      <c r="BY18" s="108"/>
      <c r="BZ18" s="111">
        <f t="shared" si="8"/>
        <v>34</v>
      </c>
    </row>
    <row r="19" spans="1:78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113" t="s">
        <v>123</v>
      </c>
      <c r="E19" s="113" t="s">
        <v>123</v>
      </c>
      <c r="F19" s="113" t="s">
        <v>123</v>
      </c>
      <c r="G19" s="113" t="s">
        <v>123</v>
      </c>
      <c r="H19" s="113" t="s">
        <v>123</v>
      </c>
      <c r="I19" s="113" t="s">
        <v>124</v>
      </c>
      <c r="J19" s="113" t="s">
        <v>124</v>
      </c>
      <c r="K19" s="113" t="s">
        <v>124</v>
      </c>
      <c r="L19" s="113" t="s">
        <v>124</v>
      </c>
      <c r="M19" s="113" t="s">
        <v>124</v>
      </c>
      <c r="N19" s="113" t="s">
        <v>124</v>
      </c>
      <c r="O19" s="113" t="s">
        <v>124</v>
      </c>
      <c r="P19" s="113" t="s">
        <v>124</v>
      </c>
      <c r="Q19" s="113" t="s">
        <v>123</v>
      </c>
      <c r="R19" s="186" t="s">
        <v>123</v>
      </c>
      <c r="S19" s="156" t="s">
        <v>124</v>
      </c>
      <c r="T19" s="113" t="s">
        <v>123</v>
      </c>
      <c r="U19" s="113" t="s">
        <v>124</v>
      </c>
      <c r="V19" s="113" t="s">
        <v>124</v>
      </c>
      <c r="W19" s="113" t="s">
        <v>123</v>
      </c>
      <c r="X19" s="113" t="s">
        <v>124</v>
      </c>
      <c r="Y19" s="113" t="s">
        <v>123</v>
      </c>
      <c r="Z19" s="186" t="s">
        <v>123</v>
      </c>
      <c r="AA19" s="186" t="s">
        <v>124</v>
      </c>
      <c r="AB19" s="186" t="s">
        <v>123</v>
      </c>
      <c r="AC19" s="113" t="s">
        <v>124</v>
      </c>
      <c r="AD19" s="186" t="s">
        <v>123</v>
      </c>
      <c r="AE19" s="186" t="s">
        <v>124</v>
      </c>
      <c r="AF19" s="186" t="s">
        <v>123</v>
      </c>
      <c r="AG19" s="186" t="s">
        <v>123</v>
      </c>
      <c r="AH19" s="186" t="s">
        <v>123</v>
      </c>
      <c r="AI19" s="186" t="s">
        <v>124</v>
      </c>
      <c r="AJ19" s="186" t="s">
        <v>124</v>
      </c>
      <c r="AK19" s="186" t="s">
        <v>124</v>
      </c>
      <c r="AL19" s="186" t="s">
        <v>124</v>
      </c>
      <c r="AM19" s="96" t="s">
        <v>124</v>
      </c>
      <c r="AN19" s="96" t="s">
        <v>124</v>
      </c>
      <c r="AO19" s="96" t="s">
        <v>124</v>
      </c>
      <c r="AP19" s="96" t="s">
        <v>124</v>
      </c>
      <c r="AQ19" s="96" t="s">
        <v>124</v>
      </c>
      <c r="AR19" s="96" t="s">
        <v>123</v>
      </c>
      <c r="AS19" s="96" t="s">
        <v>123</v>
      </c>
      <c r="AT19" s="96" t="s">
        <v>124</v>
      </c>
      <c r="AU19" s="96" t="s">
        <v>124</v>
      </c>
      <c r="AV19" s="96" t="s">
        <v>124</v>
      </c>
      <c r="AW19" s="96" t="s">
        <v>124</v>
      </c>
      <c r="AX19" s="96" t="s">
        <v>124</v>
      </c>
      <c r="AY19" s="96" t="s">
        <v>124</v>
      </c>
      <c r="AZ19" s="96" t="s">
        <v>124</v>
      </c>
      <c r="BA19" s="96" t="s">
        <v>124</v>
      </c>
      <c r="BB19" s="96" t="s">
        <v>124</v>
      </c>
      <c r="BC19" s="96"/>
      <c r="BD19" s="88">
        <v>43</v>
      </c>
      <c r="BE19" s="88"/>
      <c r="BF19" s="88">
        <v>46</v>
      </c>
      <c r="BG19" s="88">
        <v>65</v>
      </c>
      <c r="BH19" s="101">
        <f t="shared" si="1"/>
        <v>0.70769230769230773</v>
      </c>
      <c r="BI19" s="374"/>
      <c r="BJ19" s="188">
        <f>OVERALL!A14</f>
        <v>11</v>
      </c>
      <c r="BK19" s="189">
        <f>OVERALL!B14</f>
        <v>2301247</v>
      </c>
      <c r="BL19" s="190" t="str">
        <f>OVERALL!C14</f>
        <v>Priya</v>
      </c>
      <c r="BM19" s="107">
        <f t="shared" si="2"/>
        <v>65</v>
      </c>
      <c r="BN19" s="107">
        <f t="shared" si="3"/>
        <v>36</v>
      </c>
      <c r="BO19" s="108">
        <f t="shared" si="4"/>
        <v>55.38461538461538</v>
      </c>
      <c r="BP19" s="107" t="str">
        <f t="shared" si="5"/>
        <v>0</v>
      </c>
      <c r="BQ19" s="186">
        <v>15</v>
      </c>
      <c r="BR19" s="107"/>
      <c r="BS19" s="192">
        <v>10</v>
      </c>
      <c r="BT19" s="107">
        <f t="shared" si="6"/>
        <v>12.5</v>
      </c>
      <c r="BU19" s="107">
        <v>9</v>
      </c>
      <c r="BV19" s="107">
        <v>10</v>
      </c>
      <c r="BW19" s="107">
        <v>9</v>
      </c>
      <c r="BX19" s="108">
        <f t="shared" si="7"/>
        <v>9.3333333333333339</v>
      </c>
      <c r="BY19" s="108"/>
      <c r="BZ19" s="111">
        <f t="shared" si="8"/>
        <v>22</v>
      </c>
    </row>
    <row r="20" spans="1:78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113" t="s">
        <v>124</v>
      </c>
      <c r="E20" s="113" t="s">
        <v>124</v>
      </c>
      <c r="F20" s="113" t="s">
        <v>124</v>
      </c>
      <c r="G20" s="113" t="s">
        <v>123</v>
      </c>
      <c r="H20" s="113" t="s">
        <v>124</v>
      </c>
      <c r="I20" s="113" t="s">
        <v>123</v>
      </c>
      <c r="J20" s="113" t="s">
        <v>124</v>
      </c>
      <c r="K20" s="113" t="s">
        <v>124</v>
      </c>
      <c r="L20" s="113" t="s">
        <v>124</v>
      </c>
      <c r="M20" s="113" t="s">
        <v>123</v>
      </c>
      <c r="N20" s="113" t="s">
        <v>123</v>
      </c>
      <c r="O20" s="113" t="s">
        <v>124</v>
      </c>
      <c r="P20" s="113" t="s">
        <v>124</v>
      </c>
      <c r="Q20" s="113" t="s">
        <v>124</v>
      </c>
      <c r="R20" s="113" t="s">
        <v>124</v>
      </c>
      <c r="S20" s="113" t="s">
        <v>124</v>
      </c>
      <c r="T20" s="113" t="s">
        <v>124</v>
      </c>
      <c r="U20" s="113" t="s">
        <v>124</v>
      </c>
      <c r="V20" s="113" t="s">
        <v>124</v>
      </c>
      <c r="W20" s="113" t="s">
        <v>124</v>
      </c>
      <c r="X20" s="113" t="s">
        <v>123</v>
      </c>
      <c r="Y20" s="113" t="s">
        <v>123</v>
      </c>
      <c r="Z20" s="113" t="s">
        <v>124</v>
      </c>
      <c r="AA20" s="113" t="s">
        <v>124</v>
      </c>
      <c r="AB20" s="113" t="s">
        <v>124</v>
      </c>
      <c r="AC20" s="113" t="s">
        <v>124</v>
      </c>
      <c r="AD20" s="113" t="s">
        <v>124</v>
      </c>
      <c r="AE20" s="113" t="s">
        <v>124</v>
      </c>
      <c r="AF20" s="113" t="s">
        <v>124</v>
      </c>
      <c r="AG20" s="113" t="s">
        <v>124</v>
      </c>
      <c r="AH20" s="113" t="s">
        <v>124</v>
      </c>
      <c r="AI20" s="113" t="s">
        <v>123</v>
      </c>
      <c r="AJ20" s="113" t="s">
        <v>123</v>
      </c>
      <c r="AK20" s="113" t="s">
        <v>124</v>
      </c>
      <c r="AL20" s="113" t="s">
        <v>124</v>
      </c>
      <c r="AM20" s="96" t="s">
        <v>124</v>
      </c>
      <c r="AN20" s="96" t="s">
        <v>124</v>
      </c>
      <c r="AO20" s="96" t="s">
        <v>124</v>
      </c>
      <c r="AP20" s="96" t="s">
        <v>123</v>
      </c>
      <c r="AQ20" s="96" t="s">
        <v>124</v>
      </c>
      <c r="AR20" s="96" t="s">
        <v>124</v>
      </c>
      <c r="AS20" s="96" t="s">
        <v>124</v>
      </c>
      <c r="AT20" s="96" t="s">
        <v>124</v>
      </c>
      <c r="AU20" s="96" t="s">
        <v>124</v>
      </c>
      <c r="AV20" s="96" t="s">
        <v>124</v>
      </c>
      <c r="AW20" s="96" t="s">
        <v>124</v>
      </c>
      <c r="AX20" s="96" t="s">
        <v>123</v>
      </c>
      <c r="AY20" s="96" t="s">
        <v>123</v>
      </c>
      <c r="AZ20" s="96" t="s">
        <v>124</v>
      </c>
      <c r="BA20" s="96" t="s">
        <v>124</v>
      </c>
      <c r="BB20" s="96" t="s">
        <v>124</v>
      </c>
      <c r="BC20" s="96"/>
      <c r="BD20" s="88">
        <v>48</v>
      </c>
      <c r="BE20" s="199"/>
      <c r="BF20" s="88">
        <f t="shared" ref="BF20:BF62" si="9">BD20+BE20</f>
        <v>48</v>
      </c>
      <c r="BG20" s="88">
        <v>65</v>
      </c>
      <c r="BH20" s="101">
        <f t="shared" si="1"/>
        <v>0.7384615384615385</v>
      </c>
      <c r="BI20" s="374"/>
      <c r="BJ20" s="188">
        <f>OVERALL!A15</f>
        <v>12</v>
      </c>
      <c r="BK20" s="189">
        <f>OVERALL!B15</f>
        <v>2301248</v>
      </c>
      <c r="BL20" s="190" t="str">
        <f>OVERALL!C15</f>
        <v>Priyam Puri</v>
      </c>
      <c r="BM20" s="107">
        <f t="shared" si="2"/>
        <v>65</v>
      </c>
      <c r="BN20" s="107">
        <f t="shared" si="3"/>
        <v>0</v>
      </c>
      <c r="BO20" s="108">
        <f t="shared" si="4"/>
        <v>0</v>
      </c>
      <c r="BP20" s="107" t="str">
        <f t="shared" si="5"/>
        <v>0</v>
      </c>
      <c r="BQ20" s="186">
        <v>0</v>
      </c>
      <c r="BR20" s="107"/>
      <c r="BS20" s="192">
        <v>0</v>
      </c>
      <c r="BT20" s="107">
        <f t="shared" si="6"/>
        <v>0</v>
      </c>
      <c r="BU20" s="107">
        <v>0</v>
      </c>
      <c r="BV20" s="107">
        <v>0</v>
      </c>
      <c r="BW20" s="107">
        <v>0</v>
      </c>
      <c r="BX20" s="108">
        <f t="shared" si="7"/>
        <v>0</v>
      </c>
      <c r="BY20" s="108"/>
      <c r="BZ20" s="111">
        <f t="shared" si="8"/>
        <v>0</v>
      </c>
    </row>
    <row r="21" spans="1:78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113" t="s">
        <v>123</v>
      </c>
      <c r="E21" s="113" t="s">
        <v>124</v>
      </c>
      <c r="F21" s="113" t="s">
        <v>124</v>
      </c>
      <c r="G21" s="113" t="s">
        <v>124</v>
      </c>
      <c r="H21" s="113" t="s">
        <v>124</v>
      </c>
      <c r="I21" s="113" t="s">
        <v>123</v>
      </c>
      <c r="J21" s="113" t="s">
        <v>124</v>
      </c>
      <c r="K21" s="113" t="s">
        <v>124</v>
      </c>
      <c r="L21" s="113" t="s">
        <v>124</v>
      </c>
      <c r="M21" s="113" t="s">
        <v>124</v>
      </c>
      <c r="N21" s="113" t="s">
        <v>123</v>
      </c>
      <c r="O21" s="113" t="s">
        <v>124</v>
      </c>
      <c r="P21" s="113" t="s">
        <v>124</v>
      </c>
      <c r="Q21" s="113" t="s">
        <v>123</v>
      </c>
      <c r="R21" s="186" t="s">
        <v>124</v>
      </c>
      <c r="S21" s="156" t="s">
        <v>124</v>
      </c>
      <c r="T21" s="113" t="s">
        <v>124</v>
      </c>
      <c r="U21" s="113" t="s">
        <v>123</v>
      </c>
      <c r="V21" s="113" t="s">
        <v>124</v>
      </c>
      <c r="W21" s="113" t="s">
        <v>124</v>
      </c>
      <c r="X21" s="113" t="s">
        <v>123</v>
      </c>
      <c r="Y21" s="113" t="s">
        <v>123</v>
      </c>
      <c r="Z21" s="186" t="s">
        <v>124</v>
      </c>
      <c r="AA21" s="186" t="s">
        <v>124</v>
      </c>
      <c r="AB21" s="186" t="s">
        <v>123</v>
      </c>
      <c r="AC21" s="186" t="s">
        <v>124</v>
      </c>
      <c r="AD21" s="186" t="s">
        <v>124</v>
      </c>
      <c r="AE21" s="186" t="s">
        <v>124</v>
      </c>
      <c r="AF21" s="186" t="s">
        <v>124</v>
      </c>
      <c r="AG21" s="186" t="s">
        <v>124</v>
      </c>
      <c r="AH21" s="186" t="s">
        <v>123</v>
      </c>
      <c r="AI21" s="186" t="s">
        <v>124</v>
      </c>
      <c r="AJ21" s="186" t="s">
        <v>124</v>
      </c>
      <c r="AK21" s="186" t="s">
        <v>123</v>
      </c>
      <c r="AL21" s="186" t="s">
        <v>124</v>
      </c>
      <c r="AM21" s="96" t="s">
        <v>124</v>
      </c>
      <c r="AN21" s="96" t="s">
        <v>123</v>
      </c>
      <c r="AO21" s="96" t="s">
        <v>123</v>
      </c>
      <c r="AP21" s="96" t="s">
        <v>124</v>
      </c>
      <c r="AQ21" s="96" t="s">
        <v>124</v>
      </c>
      <c r="AR21" s="96" t="s">
        <v>124</v>
      </c>
      <c r="AS21" s="96" t="s">
        <v>124</v>
      </c>
      <c r="AT21" s="96" t="s">
        <v>123</v>
      </c>
      <c r="AU21" s="96" t="s">
        <v>124</v>
      </c>
      <c r="AV21" s="96" t="s">
        <v>124</v>
      </c>
      <c r="AW21" s="96" t="s">
        <v>124</v>
      </c>
      <c r="AX21" s="96" t="s">
        <v>124</v>
      </c>
      <c r="AY21" s="96" t="s">
        <v>124</v>
      </c>
      <c r="AZ21" s="96" t="s">
        <v>124</v>
      </c>
      <c r="BA21" s="96" t="s">
        <v>124</v>
      </c>
      <c r="BB21" s="96" t="s">
        <v>123</v>
      </c>
      <c r="BC21" s="96"/>
      <c r="BD21" s="88">
        <v>49</v>
      </c>
      <c r="BE21" s="88">
        <v>1</v>
      </c>
      <c r="BF21" s="88">
        <f t="shared" si="9"/>
        <v>50</v>
      </c>
      <c r="BG21" s="88">
        <v>65</v>
      </c>
      <c r="BH21" s="101">
        <f t="shared" si="1"/>
        <v>0.76923076923076927</v>
      </c>
      <c r="BI21" s="374"/>
      <c r="BJ21" s="188">
        <f>OVERALL!A16</f>
        <v>13</v>
      </c>
      <c r="BK21" s="189">
        <f>OVERALL!B16</f>
        <v>2301249</v>
      </c>
      <c r="BL21" s="190" t="str">
        <f>OVERALL!C16</f>
        <v>Rahul Sharma</v>
      </c>
      <c r="BM21" s="107">
        <f t="shared" si="2"/>
        <v>65</v>
      </c>
      <c r="BN21" s="107">
        <f t="shared" si="3"/>
        <v>34</v>
      </c>
      <c r="BO21" s="108">
        <f t="shared" si="4"/>
        <v>52.307692307692307</v>
      </c>
      <c r="BP21" s="107" t="str">
        <f t="shared" si="5"/>
        <v>0</v>
      </c>
      <c r="BQ21" s="186">
        <v>10</v>
      </c>
      <c r="BR21" s="107"/>
      <c r="BS21" s="198">
        <v>13</v>
      </c>
      <c r="BT21" s="107">
        <f t="shared" si="6"/>
        <v>11.5</v>
      </c>
      <c r="BU21" s="107">
        <v>8</v>
      </c>
      <c r="BV21" s="107">
        <v>10</v>
      </c>
      <c r="BW21" s="107">
        <v>9</v>
      </c>
      <c r="BX21" s="108">
        <f t="shared" si="7"/>
        <v>9</v>
      </c>
      <c r="BY21" s="108"/>
      <c r="BZ21" s="111">
        <f t="shared" si="8"/>
        <v>21</v>
      </c>
    </row>
    <row r="22" spans="1:78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113" t="s">
        <v>123</v>
      </c>
      <c r="E22" s="113" t="s">
        <v>123</v>
      </c>
      <c r="F22" s="113" t="s">
        <v>123</v>
      </c>
      <c r="G22" s="113" t="s">
        <v>123</v>
      </c>
      <c r="H22" s="113" t="s">
        <v>123</v>
      </c>
      <c r="I22" s="113" t="s">
        <v>123</v>
      </c>
      <c r="J22" s="113" t="s">
        <v>123</v>
      </c>
      <c r="K22" s="113" t="s">
        <v>123</v>
      </c>
      <c r="L22" s="113" t="s">
        <v>123</v>
      </c>
      <c r="M22" s="113" t="s">
        <v>123</v>
      </c>
      <c r="N22" s="113" t="s">
        <v>123</v>
      </c>
      <c r="O22" s="113" t="s">
        <v>123</v>
      </c>
      <c r="P22" s="113" t="s">
        <v>123</v>
      </c>
      <c r="Q22" s="113" t="s">
        <v>123</v>
      </c>
      <c r="R22" s="113" t="s">
        <v>123</v>
      </c>
      <c r="S22" s="113" t="s">
        <v>123</v>
      </c>
      <c r="T22" s="113" t="s">
        <v>123</v>
      </c>
      <c r="U22" s="113" t="s">
        <v>123</v>
      </c>
      <c r="V22" s="113" t="s">
        <v>123</v>
      </c>
      <c r="W22" s="113" t="s">
        <v>123</v>
      </c>
      <c r="X22" s="113" t="s">
        <v>123</v>
      </c>
      <c r="Y22" s="113" t="s">
        <v>123</v>
      </c>
      <c r="Z22" s="113" t="s">
        <v>123</v>
      </c>
      <c r="AA22" s="113" t="s">
        <v>123</v>
      </c>
      <c r="AB22" s="113" t="s">
        <v>123</v>
      </c>
      <c r="AC22" s="113" t="s">
        <v>123</v>
      </c>
      <c r="AD22" s="113" t="s">
        <v>123</v>
      </c>
      <c r="AE22" s="113" t="s">
        <v>123</v>
      </c>
      <c r="AF22" s="113" t="s">
        <v>123</v>
      </c>
      <c r="AG22" s="113" t="s">
        <v>123</v>
      </c>
      <c r="AH22" s="113" t="s">
        <v>123</v>
      </c>
      <c r="AI22" s="113" t="s">
        <v>123</v>
      </c>
      <c r="AJ22" s="113" t="s">
        <v>123</v>
      </c>
      <c r="AK22" s="113" t="s">
        <v>123</v>
      </c>
      <c r="AL22" s="113" t="s">
        <v>123</v>
      </c>
      <c r="AM22" s="113" t="s">
        <v>123</v>
      </c>
      <c r="AN22" s="113" t="s">
        <v>123</v>
      </c>
      <c r="AO22" s="113" t="s">
        <v>123</v>
      </c>
      <c r="AP22" s="113" t="s">
        <v>123</v>
      </c>
      <c r="AQ22" s="113" t="s">
        <v>123</v>
      </c>
      <c r="AR22" s="113" t="s">
        <v>123</v>
      </c>
      <c r="AS22" s="113" t="s">
        <v>123</v>
      </c>
      <c r="AT22" s="96" t="s">
        <v>123</v>
      </c>
      <c r="AU22" s="96" t="s">
        <v>123</v>
      </c>
      <c r="AV22" s="96" t="s">
        <v>123</v>
      </c>
      <c r="AW22" s="96" t="s">
        <v>123</v>
      </c>
      <c r="AX22" s="96" t="s">
        <v>123</v>
      </c>
      <c r="AY22" s="96" t="s">
        <v>123</v>
      </c>
      <c r="AZ22" s="96" t="s">
        <v>123</v>
      </c>
      <c r="BA22" s="96" t="s">
        <v>123</v>
      </c>
      <c r="BB22" s="96" t="s">
        <v>123</v>
      </c>
      <c r="BC22" s="96"/>
      <c r="BD22" s="88">
        <v>0</v>
      </c>
      <c r="BE22" s="88"/>
      <c r="BF22" s="88">
        <f t="shared" si="9"/>
        <v>0</v>
      </c>
      <c r="BG22" s="88">
        <v>65</v>
      </c>
      <c r="BH22" s="101">
        <f t="shared" si="1"/>
        <v>0</v>
      </c>
      <c r="BI22" s="374"/>
      <c r="BJ22" s="188">
        <f>OVERALL!A17</f>
        <v>14</v>
      </c>
      <c r="BK22" s="189">
        <f>OVERALL!B17</f>
        <v>2301250</v>
      </c>
      <c r="BL22" s="190" t="str">
        <f>OVERALL!C17</f>
        <v>Rahulpreet Singh Khinda</v>
      </c>
      <c r="BM22" s="107">
        <f t="shared" si="2"/>
        <v>65</v>
      </c>
      <c r="BN22" s="107">
        <v>41</v>
      </c>
      <c r="BO22" s="108">
        <f t="shared" si="4"/>
        <v>63.076923076923073</v>
      </c>
      <c r="BP22" s="107" t="str">
        <f t="shared" si="5"/>
        <v>0</v>
      </c>
      <c r="BQ22" s="186">
        <v>13</v>
      </c>
      <c r="BR22" s="107"/>
      <c r="BS22" s="192">
        <v>5</v>
      </c>
      <c r="BT22" s="107">
        <f t="shared" si="6"/>
        <v>9</v>
      </c>
      <c r="BU22" s="107">
        <v>8</v>
      </c>
      <c r="BV22" s="107">
        <v>9</v>
      </c>
      <c r="BW22" s="107">
        <v>10</v>
      </c>
      <c r="BX22" s="108">
        <f t="shared" si="7"/>
        <v>9</v>
      </c>
      <c r="BY22" s="108"/>
      <c r="BZ22" s="111">
        <f t="shared" si="8"/>
        <v>18</v>
      </c>
    </row>
    <row r="23" spans="1:78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113" t="s">
        <v>124</v>
      </c>
      <c r="E23" s="113" t="s">
        <v>124</v>
      </c>
      <c r="F23" s="113" t="s">
        <v>124</v>
      </c>
      <c r="G23" s="113" t="s">
        <v>124</v>
      </c>
      <c r="H23" s="113" t="s">
        <v>124</v>
      </c>
      <c r="I23" s="113" t="s">
        <v>124</v>
      </c>
      <c r="J23" s="113" t="s">
        <v>124</v>
      </c>
      <c r="K23" s="113" t="s">
        <v>124</v>
      </c>
      <c r="L23" s="113" t="s">
        <v>124</v>
      </c>
      <c r="M23" s="113" t="s">
        <v>124</v>
      </c>
      <c r="N23" s="113" t="s">
        <v>124</v>
      </c>
      <c r="O23" s="113" t="s">
        <v>124</v>
      </c>
      <c r="P23" s="113" t="s">
        <v>124</v>
      </c>
      <c r="Q23" s="113" t="s">
        <v>124</v>
      </c>
      <c r="R23" s="113" t="s">
        <v>124</v>
      </c>
      <c r="S23" s="113" t="s">
        <v>124</v>
      </c>
      <c r="T23" s="113" t="s">
        <v>124</v>
      </c>
      <c r="U23" s="113" t="s">
        <v>124</v>
      </c>
      <c r="V23" s="113" t="s">
        <v>124</v>
      </c>
      <c r="W23" s="113" t="s">
        <v>124</v>
      </c>
      <c r="X23" s="113" t="s">
        <v>124</v>
      </c>
      <c r="Y23" s="113" t="s">
        <v>124</v>
      </c>
      <c r="Z23" s="113" t="s">
        <v>124</v>
      </c>
      <c r="AA23" s="113" t="s">
        <v>124</v>
      </c>
      <c r="AB23" s="186" t="s">
        <v>124</v>
      </c>
      <c r="AC23" s="113" t="s">
        <v>124</v>
      </c>
      <c r="AD23" s="113" t="s">
        <v>124</v>
      </c>
      <c r="AE23" s="113" t="s">
        <v>123</v>
      </c>
      <c r="AF23" s="113" t="s">
        <v>124</v>
      </c>
      <c r="AG23" s="113" t="s">
        <v>124</v>
      </c>
      <c r="AH23" s="113" t="s">
        <v>124</v>
      </c>
      <c r="AI23" s="113" t="s">
        <v>124</v>
      </c>
      <c r="AJ23" s="113" t="s">
        <v>124</v>
      </c>
      <c r="AK23" s="113" t="s">
        <v>124</v>
      </c>
      <c r="AL23" s="113" t="s">
        <v>123</v>
      </c>
      <c r="AM23" s="96" t="s">
        <v>124</v>
      </c>
      <c r="AN23" s="96" t="s">
        <v>124</v>
      </c>
      <c r="AO23" s="96" t="s">
        <v>124</v>
      </c>
      <c r="AP23" s="96" t="s">
        <v>124</v>
      </c>
      <c r="AQ23" s="96" t="s">
        <v>124</v>
      </c>
      <c r="AR23" s="96" t="s">
        <v>124</v>
      </c>
      <c r="AS23" s="96" t="s">
        <v>123</v>
      </c>
      <c r="AT23" s="96" t="s">
        <v>124</v>
      </c>
      <c r="AU23" s="96" t="s">
        <v>124</v>
      </c>
      <c r="AV23" s="96" t="s">
        <v>124</v>
      </c>
      <c r="AW23" s="96" t="s">
        <v>124</v>
      </c>
      <c r="AX23" s="96" t="s">
        <v>124</v>
      </c>
      <c r="AY23" s="96" t="s">
        <v>124</v>
      </c>
      <c r="AZ23" s="96" t="s">
        <v>124</v>
      </c>
      <c r="BA23" s="96" t="s">
        <v>124</v>
      </c>
      <c r="BB23" s="96" t="s">
        <v>123</v>
      </c>
      <c r="BC23" s="96"/>
      <c r="BD23" s="88">
        <v>55</v>
      </c>
      <c r="BE23" s="88"/>
      <c r="BF23" s="88">
        <f t="shared" si="9"/>
        <v>55</v>
      </c>
      <c r="BG23" s="88">
        <v>65</v>
      </c>
      <c r="BH23" s="101">
        <f t="shared" si="1"/>
        <v>0.84615384615384615</v>
      </c>
      <c r="BI23" s="374"/>
      <c r="BJ23" s="188">
        <f>OVERALL!A18</f>
        <v>15</v>
      </c>
      <c r="BK23" s="189">
        <f>OVERALL!B18</f>
        <v>2301251</v>
      </c>
      <c r="BL23" s="190" t="str">
        <f>OVERALL!C18</f>
        <v>Raj Kumar</v>
      </c>
      <c r="BM23" s="107">
        <f t="shared" si="2"/>
        <v>65</v>
      </c>
      <c r="BN23" s="107">
        <f t="shared" ref="BN23:BN28" si="10">BF19</f>
        <v>46</v>
      </c>
      <c r="BO23" s="108">
        <f t="shared" si="4"/>
        <v>70.769230769230774</v>
      </c>
      <c r="BP23" s="107" t="str">
        <f t="shared" si="5"/>
        <v>0</v>
      </c>
      <c r="BQ23" s="186">
        <v>15</v>
      </c>
      <c r="BR23" s="107"/>
      <c r="BS23" s="192">
        <v>4</v>
      </c>
      <c r="BT23" s="107">
        <f t="shared" si="6"/>
        <v>9.5</v>
      </c>
      <c r="BU23" s="107">
        <v>8</v>
      </c>
      <c r="BV23" s="107">
        <v>8</v>
      </c>
      <c r="BW23" s="107">
        <v>10</v>
      </c>
      <c r="BX23" s="108">
        <f t="shared" si="7"/>
        <v>8.6666666666666661</v>
      </c>
      <c r="BY23" s="108"/>
      <c r="BZ23" s="111">
        <f t="shared" si="8"/>
        <v>18</v>
      </c>
    </row>
    <row r="24" spans="1:78" ht="15.7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13" t="s">
        <v>123</v>
      </c>
      <c r="E24" s="113" t="s">
        <v>124</v>
      </c>
      <c r="F24" s="113" t="s">
        <v>124</v>
      </c>
      <c r="G24" s="113" t="s">
        <v>124</v>
      </c>
      <c r="H24" s="113" t="s">
        <v>124</v>
      </c>
      <c r="I24" s="113" t="s">
        <v>124</v>
      </c>
      <c r="J24" s="113" t="s">
        <v>124</v>
      </c>
      <c r="K24" s="113" t="s">
        <v>124</v>
      </c>
      <c r="L24" s="113" t="s">
        <v>124</v>
      </c>
      <c r="M24" s="113" t="s">
        <v>124</v>
      </c>
      <c r="N24" s="113" t="s">
        <v>124</v>
      </c>
      <c r="O24" s="113" t="s">
        <v>124</v>
      </c>
      <c r="P24" s="113" t="s">
        <v>124</v>
      </c>
      <c r="Q24" s="113" t="s">
        <v>123</v>
      </c>
      <c r="R24" s="113" t="s">
        <v>123</v>
      </c>
      <c r="S24" s="113" t="s">
        <v>124</v>
      </c>
      <c r="T24" s="113" t="s">
        <v>123</v>
      </c>
      <c r="U24" s="113" t="s">
        <v>124</v>
      </c>
      <c r="V24" s="113" t="s">
        <v>124</v>
      </c>
      <c r="W24" s="113" t="s">
        <v>124</v>
      </c>
      <c r="X24" s="113" t="s">
        <v>124</v>
      </c>
      <c r="Y24" s="113" t="s">
        <v>123</v>
      </c>
      <c r="Z24" s="113" t="s">
        <v>124</v>
      </c>
      <c r="AA24" s="113" t="s">
        <v>124</v>
      </c>
      <c r="AB24" s="113" t="s">
        <v>124</v>
      </c>
      <c r="AC24" s="113" t="s">
        <v>124</v>
      </c>
      <c r="AD24" s="113" t="s">
        <v>123</v>
      </c>
      <c r="AE24" s="113" t="s">
        <v>124</v>
      </c>
      <c r="AF24" s="113" t="s">
        <v>124</v>
      </c>
      <c r="AG24" s="113" t="s">
        <v>124</v>
      </c>
      <c r="AH24" s="113" t="s">
        <v>124</v>
      </c>
      <c r="AI24" s="113" t="s">
        <v>124</v>
      </c>
      <c r="AJ24" s="113" t="s">
        <v>123</v>
      </c>
      <c r="AK24" s="113" t="s">
        <v>123</v>
      </c>
      <c r="AL24" s="113" t="s">
        <v>123</v>
      </c>
      <c r="AM24" s="96" t="s">
        <v>124</v>
      </c>
      <c r="AN24" s="96" t="s">
        <v>124</v>
      </c>
      <c r="AO24" s="96" t="s">
        <v>124</v>
      </c>
      <c r="AP24" s="96" t="s">
        <v>124</v>
      </c>
      <c r="AQ24" s="96" t="s">
        <v>123</v>
      </c>
      <c r="AR24" s="96" t="s">
        <v>124</v>
      </c>
      <c r="AS24" s="96" t="s">
        <v>123</v>
      </c>
      <c r="AT24" s="96" t="s">
        <v>124</v>
      </c>
      <c r="AU24" s="96" t="s">
        <v>124</v>
      </c>
      <c r="AV24" s="96" t="s">
        <v>124</v>
      </c>
      <c r="AW24" s="96" t="s">
        <v>124</v>
      </c>
      <c r="AX24" s="96" t="s">
        <v>124</v>
      </c>
      <c r="AY24" s="96" t="s">
        <v>124</v>
      </c>
      <c r="AZ24" s="96" t="s">
        <v>123</v>
      </c>
      <c r="BA24" s="96" t="s">
        <v>123</v>
      </c>
      <c r="BB24" s="96" t="s">
        <v>124</v>
      </c>
      <c r="BC24" s="96"/>
      <c r="BD24" s="88">
        <v>50</v>
      </c>
      <c r="BE24" s="88">
        <v>2</v>
      </c>
      <c r="BF24" s="88">
        <f t="shared" si="9"/>
        <v>52</v>
      </c>
      <c r="BG24" s="88">
        <v>65</v>
      </c>
      <c r="BH24" s="101">
        <f t="shared" si="1"/>
        <v>0.8</v>
      </c>
      <c r="BI24" s="374"/>
      <c r="BJ24" s="188">
        <f>OVERALL!A19</f>
        <v>16</v>
      </c>
      <c r="BK24" s="189">
        <f>OVERALL!B19</f>
        <v>2301252</v>
      </c>
      <c r="BL24" s="190" t="str">
        <f>OVERALL!C19</f>
        <v>Rajan Sharma</v>
      </c>
      <c r="BM24" s="107">
        <f t="shared" si="2"/>
        <v>65</v>
      </c>
      <c r="BN24" s="107">
        <f t="shared" si="10"/>
        <v>48</v>
      </c>
      <c r="BO24" s="108">
        <f t="shared" si="4"/>
        <v>73.84615384615384</v>
      </c>
      <c r="BP24" s="107">
        <v>0</v>
      </c>
      <c r="BQ24" s="186">
        <v>17</v>
      </c>
      <c r="BR24" s="107"/>
      <c r="BS24" s="186">
        <v>10</v>
      </c>
      <c r="BT24" s="107">
        <f t="shared" si="6"/>
        <v>13.5</v>
      </c>
      <c r="BU24" s="107">
        <v>8</v>
      </c>
      <c r="BV24" s="107">
        <v>8</v>
      </c>
      <c r="BW24" s="107">
        <v>10</v>
      </c>
      <c r="BX24" s="108">
        <f t="shared" si="7"/>
        <v>8.6666666666666661</v>
      </c>
      <c r="BY24" s="108"/>
      <c r="BZ24" s="111">
        <f t="shared" si="8"/>
        <v>22</v>
      </c>
    </row>
    <row r="25" spans="1:78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113" t="s">
        <v>123</v>
      </c>
      <c r="E25" s="113" t="s">
        <v>123</v>
      </c>
      <c r="F25" s="113" t="s">
        <v>123</v>
      </c>
      <c r="G25" s="113" t="s">
        <v>123</v>
      </c>
      <c r="H25" s="113" t="s">
        <v>123</v>
      </c>
      <c r="I25" s="113" t="s">
        <v>124</v>
      </c>
      <c r="J25" s="113" t="s">
        <v>124</v>
      </c>
      <c r="K25" s="113" t="s">
        <v>124</v>
      </c>
      <c r="L25" s="113" t="s">
        <v>124</v>
      </c>
      <c r="M25" s="113" t="s">
        <v>123</v>
      </c>
      <c r="N25" s="113" t="s">
        <v>123</v>
      </c>
      <c r="O25" s="113" t="s">
        <v>123</v>
      </c>
      <c r="P25" s="113" t="s">
        <v>124</v>
      </c>
      <c r="Q25" s="113" t="s">
        <v>123</v>
      </c>
      <c r="R25" s="113" t="s">
        <v>123</v>
      </c>
      <c r="S25" s="113" t="s">
        <v>124</v>
      </c>
      <c r="T25" s="113" t="s">
        <v>124</v>
      </c>
      <c r="U25" s="113" t="s">
        <v>123</v>
      </c>
      <c r="V25" s="113" t="s">
        <v>124</v>
      </c>
      <c r="W25" s="113" t="s">
        <v>124</v>
      </c>
      <c r="X25" s="113" t="s">
        <v>124</v>
      </c>
      <c r="Y25" s="113" t="s">
        <v>123</v>
      </c>
      <c r="Z25" s="113" t="s">
        <v>124</v>
      </c>
      <c r="AA25" s="113" t="s">
        <v>124</v>
      </c>
      <c r="AB25" s="113" t="s">
        <v>124</v>
      </c>
      <c r="AC25" s="113" t="s">
        <v>124</v>
      </c>
      <c r="AD25" s="113" t="s">
        <v>123</v>
      </c>
      <c r="AE25" s="113" t="s">
        <v>123</v>
      </c>
      <c r="AF25" s="113" t="s">
        <v>124</v>
      </c>
      <c r="AG25" s="113" t="s">
        <v>124</v>
      </c>
      <c r="AH25" s="113" t="s">
        <v>124</v>
      </c>
      <c r="AI25" s="113" t="s">
        <v>124</v>
      </c>
      <c r="AJ25" s="113" t="s">
        <v>124</v>
      </c>
      <c r="AK25" s="113" t="s">
        <v>124</v>
      </c>
      <c r="AL25" s="113" t="s">
        <v>123</v>
      </c>
      <c r="AM25" s="96" t="s">
        <v>123</v>
      </c>
      <c r="AN25" s="96" t="s">
        <v>123</v>
      </c>
      <c r="AO25" s="96" t="s">
        <v>123</v>
      </c>
      <c r="AP25" s="96" t="s">
        <v>123</v>
      </c>
      <c r="AQ25" s="96" t="s">
        <v>123</v>
      </c>
      <c r="AR25" s="96" t="s">
        <v>123</v>
      </c>
      <c r="AS25" s="96" t="s">
        <v>123</v>
      </c>
      <c r="AT25" s="96" t="s">
        <v>123</v>
      </c>
      <c r="AU25" s="96" t="s">
        <v>124</v>
      </c>
      <c r="AV25" s="96" t="s">
        <v>123</v>
      </c>
      <c r="AW25" s="96" t="s">
        <v>123</v>
      </c>
      <c r="AX25" s="96" t="s">
        <v>123</v>
      </c>
      <c r="AY25" s="96" t="s">
        <v>123</v>
      </c>
      <c r="AZ25" s="96" t="s">
        <v>123</v>
      </c>
      <c r="BA25" s="96" t="s">
        <v>123</v>
      </c>
      <c r="BB25" s="96" t="s">
        <v>123</v>
      </c>
      <c r="BC25" s="96"/>
      <c r="BD25" s="88">
        <v>28</v>
      </c>
      <c r="BE25" s="88">
        <v>15</v>
      </c>
      <c r="BF25" s="88">
        <f t="shared" si="9"/>
        <v>43</v>
      </c>
      <c r="BG25" s="88">
        <v>65</v>
      </c>
      <c r="BH25" s="101">
        <f t="shared" si="1"/>
        <v>0.66153846153846152</v>
      </c>
      <c r="BI25" s="374"/>
      <c r="BJ25" s="188">
        <f>OVERALL!A20</f>
        <v>17</v>
      </c>
      <c r="BK25" s="189">
        <f>OVERALL!B20</f>
        <v>2301253</v>
      </c>
      <c r="BL25" s="190" t="str">
        <f>OVERALL!C20</f>
        <v>Rajwinder Kaur</v>
      </c>
      <c r="BM25" s="200">
        <f t="shared" ref="BM25:BM32" si="11">BG22</f>
        <v>65</v>
      </c>
      <c r="BN25" s="107">
        <f t="shared" si="10"/>
        <v>50</v>
      </c>
      <c r="BO25" s="108">
        <f t="shared" si="4"/>
        <v>76.92307692307692</v>
      </c>
      <c r="BP25" s="200" t="str">
        <f t="shared" ref="BP25:BP28" si="12">IF(BO25&gt;=95.5,"6",IF(BO25&gt;=90.5,"5", IF(BO25&gt;=85.5,"4",IF(BO25&gt;=80.5,"3",IF(BO25&gt;=75.5,"2","0")))))</f>
        <v>2</v>
      </c>
      <c r="BQ25" s="201">
        <v>20</v>
      </c>
      <c r="BR25" s="200"/>
      <c r="BS25" s="192">
        <v>20</v>
      </c>
      <c r="BT25" s="107">
        <f t="shared" si="6"/>
        <v>20</v>
      </c>
      <c r="BU25" s="200">
        <v>9</v>
      </c>
      <c r="BV25" s="200">
        <v>10</v>
      </c>
      <c r="BW25" s="200">
        <v>10</v>
      </c>
      <c r="BX25" s="108">
        <f t="shared" si="7"/>
        <v>9.6666666666666661</v>
      </c>
      <c r="BY25" s="202"/>
      <c r="BZ25" s="111">
        <f t="shared" si="8"/>
        <v>32</v>
      </c>
    </row>
    <row r="26" spans="1:78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113" t="s">
        <v>123</v>
      </c>
      <c r="E26" s="113" t="s">
        <v>124</v>
      </c>
      <c r="F26" s="113" t="s">
        <v>123</v>
      </c>
      <c r="G26" s="113" t="s">
        <v>123</v>
      </c>
      <c r="H26" s="113" t="s">
        <v>123</v>
      </c>
      <c r="I26" s="113" t="s">
        <v>123</v>
      </c>
      <c r="J26" s="113" t="s">
        <v>124</v>
      </c>
      <c r="K26" s="113" t="s">
        <v>124</v>
      </c>
      <c r="L26" s="113" t="s">
        <v>124</v>
      </c>
      <c r="M26" s="113" t="s">
        <v>124</v>
      </c>
      <c r="N26" s="113" t="s">
        <v>123</v>
      </c>
      <c r="O26" s="113" t="s">
        <v>123</v>
      </c>
      <c r="P26" s="113" t="s">
        <v>124</v>
      </c>
      <c r="Q26" s="113" t="s">
        <v>123</v>
      </c>
      <c r="R26" s="186" t="s">
        <v>123</v>
      </c>
      <c r="S26" s="156" t="s">
        <v>123</v>
      </c>
      <c r="T26" s="113" t="s">
        <v>123</v>
      </c>
      <c r="U26" s="113" t="s">
        <v>123</v>
      </c>
      <c r="V26" s="113" t="s">
        <v>124</v>
      </c>
      <c r="W26" s="113" t="s">
        <v>123</v>
      </c>
      <c r="X26" s="113" t="s">
        <v>123</v>
      </c>
      <c r="Y26" s="113" t="s">
        <v>123</v>
      </c>
      <c r="Z26" s="186" t="s">
        <v>124</v>
      </c>
      <c r="AA26" s="186" t="s">
        <v>124</v>
      </c>
      <c r="AB26" s="186" t="s">
        <v>123</v>
      </c>
      <c r="AC26" s="186" t="s">
        <v>123</v>
      </c>
      <c r="AD26" s="186" t="s">
        <v>123</v>
      </c>
      <c r="AE26" s="186" t="s">
        <v>123</v>
      </c>
      <c r="AF26" s="186" t="s">
        <v>124</v>
      </c>
      <c r="AG26" s="186" t="s">
        <v>124</v>
      </c>
      <c r="AH26" s="186" t="s">
        <v>124</v>
      </c>
      <c r="AI26" s="186" t="s">
        <v>124</v>
      </c>
      <c r="AJ26" s="186" t="s">
        <v>124</v>
      </c>
      <c r="AK26" s="186" t="s">
        <v>124</v>
      </c>
      <c r="AL26" s="186" t="s">
        <v>124</v>
      </c>
      <c r="AM26" s="96" t="s">
        <v>123</v>
      </c>
      <c r="AN26" s="96" t="s">
        <v>123</v>
      </c>
      <c r="AO26" s="96" t="s">
        <v>123</v>
      </c>
      <c r="AP26" s="96" t="s">
        <v>124</v>
      </c>
      <c r="AQ26" s="96" t="s">
        <v>124</v>
      </c>
      <c r="AR26" s="96" t="s">
        <v>124</v>
      </c>
      <c r="AS26" s="96" t="s">
        <v>124</v>
      </c>
      <c r="AT26" s="96" t="s">
        <v>123</v>
      </c>
      <c r="AU26" s="96" t="s">
        <v>124</v>
      </c>
      <c r="AV26" s="96" t="s">
        <v>123</v>
      </c>
      <c r="AW26" s="96" t="s">
        <v>123</v>
      </c>
      <c r="AX26" s="96" t="s">
        <v>123</v>
      </c>
      <c r="AY26" s="96" t="s">
        <v>123</v>
      </c>
      <c r="AZ26" s="96" t="s">
        <v>123</v>
      </c>
      <c r="BA26" s="96" t="s">
        <v>123</v>
      </c>
      <c r="BB26" s="96" t="s">
        <v>123</v>
      </c>
      <c r="BC26" s="96"/>
      <c r="BD26" s="88">
        <v>21</v>
      </c>
      <c r="BE26" s="88"/>
      <c r="BF26" s="88">
        <f t="shared" si="9"/>
        <v>21</v>
      </c>
      <c r="BG26" s="88">
        <v>65</v>
      </c>
      <c r="BH26" s="101">
        <f t="shared" si="1"/>
        <v>0.32307692307692309</v>
      </c>
      <c r="BI26" s="374"/>
      <c r="BJ26" s="188">
        <f>OVERALL!A21</f>
        <v>18</v>
      </c>
      <c r="BK26" s="189">
        <f>OVERALL!B21</f>
        <v>2301254</v>
      </c>
      <c r="BL26" s="190" t="str">
        <f>OVERALL!C21</f>
        <v>RANJIT SHAH KANU</v>
      </c>
      <c r="BM26" s="203">
        <f t="shared" si="11"/>
        <v>65</v>
      </c>
      <c r="BN26" s="107">
        <f t="shared" si="10"/>
        <v>0</v>
      </c>
      <c r="BO26" s="108">
        <f t="shared" si="4"/>
        <v>0</v>
      </c>
      <c r="BP26" s="203" t="str">
        <f t="shared" si="12"/>
        <v>0</v>
      </c>
      <c r="BQ26" s="204">
        <v>0</v>
      </c>
      <c r="BR26" s="203"/>
      <c r="BS26" s="192">
        <v>0</v>
      </c>
      <c r="BT26" s="107">
        <f t="shared" si="6"/>
        <v>0</v>
      </c>
      <c r="BU26" s="203">
        <v>0</v>
      </c>
      <c r="BV26" s="203">
        <v>0</v>
      </c>
      <c r="BW26" s="203">
        <v>0</v>
      </c>
      <c r="BX26" s="108">
        <f t="shared" si="7"/>
        <v>0</v>
      </c>
      <c r="BY26" s="205"/>
      <c r="BZ26" s="111">
        <f t="shared" si="8"/>
        <v>0</v>
      </c>
    </row>
    <row r="27" spans="1:78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113" t="s">
        <v>124</v>
      </c>
      <c r="E27" s="113" t="s">
        <v>124</v>
      </c>
      <c r="F27" s="113" t="s">
        <v>124</v>
      </c>
      <c r="G27" s="113" t="s">
        <v>123</v>
      </c>
      <c r="H27" s="113" t="s">
        <v>124</v>
      </c>
      <c r="I27" s="113" t="s">
        <v>124</v>
      </c>
      <c r="J27" s="113" t="s">
        <v>124</v>
      </c>
      <c r="K27" s="113" t="s">
        <v>124</v>
      </c>
      <c r="L27" s="113" t="s">
        <v>124</v>
      </c>
      <c r="M27" s="113" t="s">
        <v>124</v>
      </c>
      <c r="N27" s="113" t="s">
        <v>124</v>
      </c>
      <c r="O27" s="113" t="s">
        <v>124</v>
      </c>
      <c r="P27" s="113" t="s">
        <v>124</v>
      </c>
      <c r="Q27" s="113" t="s">
        <v>123</v>
      </c>
      <c r="R27" s="186" t="s">
        <v>124</v>
      </c>
      <c r="S27" s="156" t="s">
        <v>124</v>
      </c>
      <c r="T27" s="113" t="s">
        <v>124</v>
      </c>
      <c r="U27" s="113" t="s">
        <v>123</v>
      </c>
      <c r="V27" s="113" t="s">
        <v>124</v>
      </c>
      <c r="W27" s="113" t="s">
        <v>124</v>
      </c>
      <c r="X27" s="113" t="s">
        <v>124</v>
      </c>
      <c r="Y27" s="113" t="s">
        <v>123</v>
      </c>
      <c r="Z27" s="186" t="s">
        <v>123</v>
      </c>
      <c r="AA27" s="186" t="s">
        <v>124</v>
      </c>
      <c r="AB27" s="186" t="s">
        <v>124</v>
      </c>
      <c r="AC27" s="186" t="s">
        <v>124</v>
      </c>
      <c r="AD27" s="113" t="s">
        <v>124</v>
      </c>
      <c r="AE27" s="113" t="s">
        <v>124</v>
      </c>
      <c r="AF27" s="113" t="s">
        <v>124</v>
      </c>
      <c r="AG27" s="113" t="s">
        <v>124</v>
      </c>
      <c r="AH27" s="113" t="s">
        <v>124</v>
      </c>
      <c r="AI27" s="113" t="s">
        <v>124</v>
      </c>
      <c r="AJ27" s="113" t="s">
        <v>124</v>
      </c>
      <c r="AK27" s="113" t="s">
        <v>124</v>
      </c>
      <c r="AL27" s="113" t="s">
        <v>124</v>
      </c>
      <c r="AM27" s="96" t="s">
        <v>124</v>
      </c>
      <c r="AN27" s="96" t="s">
        <v>124</v>
      </c>
      <c r="AO27" s="96" t="s">
        <v>124</v>
      </c>
      <c r="AP27" s="96" t="s">
        <v>124</v>
      </c>
      <c r="AQ27" s="96" t="s">
        <v>123</v>
      </c>
      <c r="AR27" s="96" t="s">
        <v>123</v>
      </c>
      <c r="AS27" s="96" t="s">
        <v>123</v>
      </c>
      <c r="AT27" s="96" t="s">
        <v>123</v>
      </c>
      <c r="AU27" s="96" t="s">
        <v>123</v>
      </c>
      <c r="AV27" s="96" t="s">
        <v>123</v>
      </c>
      <c r="AW27" s="96" t="s">
        <v>123</v>
      </c>
      <c r="AX27" s="96" t="s">
        <v>123</v>
      </c>
      <c r="AY27" s="96" t="s">
        <v>124</v>
      </c>
      <c r="AZ27" s="96" t="s">
        <v>124</v>
      </c>
      <c r="BA27" s="96" t="s">
        <v>124</v>
      </c>
      <c r="BB27" s="96" t="s">
        <v>124</v>
      </c>
      <c r="BC27" s="96"/>
      <c r="BD27" s="88">
        <v>43</v>
      </c>
      <c r="BE27" s="88"/>
      <c r="BF27" s="88">
        <f t="shared" si="9"/>
        <v>43</v>
      </c>
      <c r="BG27" s="88">
        <v>65</v>
      </c>
      <c r="BH27" s="101">
        <f t="shared" si="1"/>
        <v>0.66153846153846152</v>
      </c>
      <c r="BI27" s="374"/>
      <c r="BJ27" s="188">
        <f>OVERALL!A22</f>
        <v>19</v>
      </c>
      <c r="BK27" s="189">
        <f>OVERALL!B22</f>
        <v>2301255</v>
      </c>
      <c r="BL27" s="190" t="str">
        <f>OVERALL!C22</f>
        <v>Ravi Bhushan Kumar</v>
      </c>
      <c r="BM27" s="203">
        <f t="shared" si="11"/>
        <v>65</v>
      </c>
      <c r="BN27" s="107">
        <f t="shared" si="10"/>
        <v>55</v>
      </c>
      <c r="BO27" s="108">
        <f t="shared" si="4"/>
        <v>84.615384615384613</v>
      </c>
      <c r="BP27" s="203" t="str">
        <f t="shared" si="12"/>
        <v>3</v>
      </c>
      <c r="BQ27" s="204">
        <v>16</v>
      </c>
      <c r="BR27" s="203"/>
      <c r="BS27" s="192">
        <v>3</v>
      </c>
      <c r="BT27" s="107">
        <f t="shared" si="6"/>
        <v>9.5</v>
      </c>
      <c r="BU27" s="203">
        <v>10</v>
      </c>
      <c r="BV27" s="203">
        <v>10</v>
      </c>
      <c r="BW27" s="203">
        <v>8</v>
      </c>
      <c r="BX27" s="108">
        <f t="shared" si="7"/>
        <v>9.3333333333333339</v>
      </c>
      <c r="BY27" s="205"/>
      <c r="BZ27" s="111">
        <f t="shared" si="8"/>
        <v>22</v>
      </c>
    </row>
    <row r="28" spans="1:78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113" t="s">
        <v>123</v>
      </c>
      <c r="E28" s="113" t="s">
        <v>123</v>
      </c>
      <c r="F28" s="113" t="s">
        <v>123</v>
      </c>
      <c r="G28" s="113" t="s">
        <v>123</v>
      </c>
      <c r="H28" s="113" t="s">
        <v>123</v>
      </c>
      <c r="I28" s="113" t="s">
        <v>124</v>
      </c>
      <c r="J28" s="113" t="s">
        <v>124</v>
      </c>
      <c r="K28" s="113" t="s">
        <v>124</v>
      </c>
      <c r="L28" s="113" t="s">
        <v>124</v>
      </c>
      <c r="M28" s="113" t="s">
        <v>124</v>
      </c>
      <c r="N28" s="113" t="s">
        <v>124</v>
      </c>
      <c r="O28" s="113" t="s">
        <v>124</v>
      </c>
      <c r="P28" s="113" t="s">
        <v>124</v>
      </c>
      <c r="Q28" s="113" t="s">
        <v>123</v>
      </c>
      <c r="R28" s="186" t="s">
        <v>124</v>
      </c>
      <c r="S28" s="156" t="s">
        <v>124</v>
      </c>
      <c r="T28" s="113" t="s">
        <v>124</v>
      </c>
      <c r="U28" s="113" t="s">
        <v>124</v>
      </c>
      <c r="V28" s="113" t="s">
        <v>124</v>
      </c>
      <c r="W28" s="113" t="s">
        <v>124</v>
      </c>
      <c r="X28" s="113" t="s">
        <v>124</v>
      </c>
      <c r="Y28" s="113" t="s">
        <v>124</v>
      </c>
      <c r="Z28" s="186" t="s">
        <v>124</v>
      </c>
      <c r="AA28" s="186" t="s">
        <v>124</v>
      </c>
      <c r="AB28" s="186" t="s">
        <v>124</v>
      </c>
      <c r="AC28" s="113" t="s">
        <v>124</v>
      </c>
      <c r="AD28" s="186" t="s">
        <v>124</v>
      </c>
      <c r="AE28" s="186" t="s">
        <v>124</v>
      </c>
      <c r="AF28" s="186" t="s">
        <v>124</v>
      </c>
      <c r="AG28" s="186" t="s">
        <v>124</v>
      </c>
      <c r="AH28" s="186" t="s">
        <v>124</v>
      </c>
      <c r="AI28" s="186" t="s">
        <v>124</v>
      </c>
      <c r="AJ28" s="186" t="s">
        <v>124</v>
      </c>
      <c r="AK28" s="186" t="s">
        <v>124</v>
      </c>
      <c r="AL28" s="186" t="s">
        <v>124</v>
      </c>
      <c r="AM28" s="96" t="s">
        <v>124</v>
      </c>
      <c r="AN28" s="96" t="s">
        <v>124</v>
      </c>
      <c r="AO28" s="96" t="s">
        <v>124</v>
      </c>
      <c r="AP28" s="96" t="s">
        <v>124</v>
      </c>
      <c r="AQ28" s="96" t="s">
        <v>124</v>
      </c>
      <c r="AR28" s="96" t="s">
        <v>124</v>
      </c>
      <c r="AS28" s="96" t="s">
        <v>124</v>
      </c>
      <c r="AT28" s="96" t="s">
        <v>124</v>
      </c>
      <c r="AU28" s="96" t="s">
        <v>124</v>
      </c>
      <c r="AV28" s="96" t="s">
        <v>124</v>
      </c>
      <c r="AW28" s="96" t="s">
        <v>124</v>
      </c>
      <c r="AX28" s="96" t="s">
        <v>124</v>
      </c>
      <c r="AY28" s="96" t="s">
        <v>124</v>
      </c>
      <c r="AZ28" s="96" t="s">
        <v>124</v>
      </c>
      <c r="BA28" s="96" t="s">
        <v>124</v>
      </c>
      <c r="BB28" s="96" t="s">
        <v>124</v>
      </c>
      <c r="BC28" s="96"/>
      <c r="BD28" s="88">
        <v>52</v>
      </c>
      <c r="BE28" s="88"/>
      <c r="BF28" s="88">
        <f t="shared" si="9"/>
        <v>52</v>
      </c>
      <c r="BG28" s="88">
        <v>65</v>
      </c>
      <c r="BH28" s="101">
        <f t="shared" si="1"/>
        <v>0.8</v>
      </c>
      <c r="BI28" s="374"/>
      <c r="BJ28" s="188">
        <f>OVERALL!A23</f>
        <v>20</v>
      </c>
      <c r="BK28" s="189">
        <f>OVERALL!B23</f>
        <v>2301256</v>
      </c>
      <c r="BL28" s="190" t="str">
        <f>OVERALL!C23</f>
        <v>Reshma</v>
      </c>
      <c r="BM28" s="203">
        <f t="shared" si="11"/>
        <v>65</v>
      </c>
      <c r="BN28" s="107">
        <f t="shared" si="10"/>
        <v>52</v>
      </c>
      <c r="BO28" s="108">
        <f t="shared" si="4"/>
        <v>80</v>
      </c>
      <c r="BP28" s="203" t="str">
        <f t="shared" si="12"/>
        <v>2</v>
      </c>
      <c r="BQ28" s="204">
        <v>16</v>
      </c>
      <c r="BR28" s="203"/>
      <c r="BS28" s="186">
        <v>12</v>
      </c>
      <c r="BT28" s="107">
        <f t="shared" si="6"/>
        <v>14</v>
      </c>
      <c r="BU28" s="203">
        <v>8</v>
      </c>
      <c r="BV28" s="203">
        <v>7</v>
      </c>
      <c r="BW28" s="203">
        <v>10</v>
      </c>
      <c r="BX28" s="108">
        <f t="shared" si="7"/>
        <v>8.3333333333333339</v>
      </c>
      <c r="BY28" s="205"/>
      <c r="BZ28" s="111">
        <f t="shared" si="8"/>
        <v>24</v>
      </c>
    </row>
    <row r="29" spans="1:78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113" t="s">
        <v>123</v>
      </c>
      <c r="E29" s="113" t="s">
        <v>123</v>
      </c>
      <c r="F29" s="113" t="s">
        <v>123</v>
      </c>
      <c r="G29" s="113" t="s">
        <v>123</v>
      </c>
      <c r="H29" s="113" t="s">
        <v>123</v>
      </c>
      <c r="I29" s="113" t="s">
        <v>123</v>
      </c>
      <c r="J29" s="113" t="s">
        <v>123</v>
      </c>
      <c r="K29" s="113" t="s">
        <v>123</v>
      </c>
      <c r="L29" s="113" t="s">
        <v>123</v>
      </c>
      <c r="M29" s="113" t="s">
        <v>123</v>
      </c>
      <c r="N29" s="113" t="s">
        <v>124</v>
      </c>
      <c r="O29" s="113" t="s">
        <v>123</v>
      </c>
      <c r="P29" s="113" t="s">
        <v>123</v>
      </c>
      <c r="Q29" s="113" t="s">
        <v>123</v>
      </c>
      <c r="R29" s="113" t="s">
        <v>124</v>
      </c>
      <c r="S29" s="113" t="s">
        <v>123</v>
      </c>
      <c r="T29" s="113" t="s">
        <v>124</v>
      </c>
      <c r="U29" s="113" t="s">
        <v>123</v>
      </c>
      <c r="V29" s="113" t="s">
        <v>124</v>
      </c>
      <c r="W29" s="113" t="s">
        <v>123</v>
      </c>
      <c r="X29" s="113" t="s">
        <v>124</v>
      </c>
      <c r="Y29" s="113" t="s">
        <v>123</v>
      </c>
      <c r="Z29" s="113" t="s">
        <v>124</v>
      </c>
      <c r="AA29" s="186" t="s">
        <v>124</v>
      </c>
      <c r="AB29" s="186" t="s">
        <v>124</v>
      </c>
      <c r="AC29" s="186" t="s">
        <v>124</v>
      </c>
      <c r="AD29" s="186" t="s">
        <v>124</v>
      </c>
      <c r="AE29" s="186" t="s">
        <v>124</v>
      </c>
      <c r="AF29" s="186" t="s">
        <v>124</v>
      </c>
      <c r="AG29" s="186" t="s">
        <v>124</v>
      </c>
      <c r="AH29" s="186" t="s">
        <v>124</v>
      </c>
      <c r="AI29" s="186" t="s">
        <v>124</v>
      </c>
      <c r="AJ29" s="186" t="s">
        <v>124</v>
      </c>
      <c r="AK29" s="186" t="s">
        <v>124</v>
      </c>
      <c r="AL29" s="186" t="s">
        <v>123</v>
      </c>
      <c r="AM29" s="96" t="s">
        <v>123</v>
      </c>
      <c r="AN29" s="96" t="s">
        <v>124</v>
      </c>
      <c r="AO29" s="96" t="s">
        <v>124</v>
      </c>
      <c r="AP29" s="96" t="s">
        <v>123</v>
      </c>
      <c r="AQ29" s="96" t="s">
        <v>124</v>
      </c>
      <c r="AR29" s="96" t="s">
        <v>124</v>
      </c>
      <c r="AS29" s="96" t="s">
        <v>124</v>
      </c>
      <c r="AT29" s="96" t="s">
        <v>124</v>
      </c>
      <c r="AU29" s="96" t="s">
        <v>124</v>
      </c>
      <c r="AV29" s="96" t="s">
        <v>124</v>
      </c>
      <c r="AW29" s="96" t="s">
        <v>124</v>
      </c>
      <c r="AX29" s="96" t="s">
        <v>124</v>
      </c>
      <c r="AY29" s="96" t="s">
        <v>124</v>
      </c>
      <c r="AZ29" s="96" t="s">
        <v>124</v>
      </c>
      <c r="BA29" s="96" t="s">
        <v>123</v>
      </c>
      <c r="BB29" s="96" t="s">
        <v>123</v>
      </c>
      <c r="BC29" s="96"/>
      <c r="BD29" s="88">
        <v>31</v>
      </c>
      <c r="BE29" s="88">
        <v>2</v>
      </c>
      <c r="BF29" s="88">
        <f t="shared" si="9"/>
        <v>33</v>
      </c>
      <c r="BG29" s="88">
        <v>65</v>
      </c>
      <c r="BH29" s="101">
        <f t="shared" si="1"/>
        <v>0.50769230769230766</v>
      </c>
      <c r="BI29" s="374"/>
      <c r="BJ29" s="188">
        <f>OVERALL!A24</f>
        <v>21</v>
      </c>
      <c r="BK29" s="189">
        <f>OVERALL!B24</f>
        <v>2301257</v>
      </c>
      <c r="BL29" s="190" t="str">
        <f>OVERALL!C24</f>
        <v>Ritesh Kumar Choudhary</v>
      </c>
      <c r="BM29" s="203">
        <f t="shared" si="11"/>
        <v>65</v>
      </c>
      <c r="BN29" s="107">
        <v>43</v>
      </c>
      <c r="BO29" s="108">
        <f t="shared" si="4"/>
        <v>66.153846153846146</v>
      </c>
      <c r="BP29" s="203">
        <v>0</v>
      </c>
      <c r="BQ29" s="204">
        <v>14</v>
      </c>
      <c r="BR29" s="203"/>
      <c r="BS29" s="192">
        <v>6</v>
      </c>
      <c r="BT29" s="107">
        <f t="shared" si="6"/>
        <v>10</v>
      </c>
      <c r="BU29" s="203">
        <v>8</v>
      </c>
      <c r="BV29" s="203">
        <v>8</v>
      </c>
      <c r="BW29" s="203">
        <v>0</v>
      </c>
      <c r="BX29" s="108">
        <f t="shared" si="7"/>
        <v>5.333333333333333</v>
      </c>
      <c r="BY29" s="205"/>
      <c r="BZ29" s="111">
        <f t="shared" si="8"/>
        <v>15</v>
      </c>
    </row>
    <row r="30" spans="1:78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113" t="s">
        <v>124</v>
      </c>
      <c r="E30" s="113" t="s">
        <v>124</v>
      </c>
      <c r="F30" s="113" t="s">
        <v>124</v>
      </c>
      <c r="G30" s="113" t="s">
        <v>124</v>
      </c>
      <c r="H30" s="113" t="s">
        <v>124</v>
      </c>
      <c r="I30" s="113" t="s">
        <v>124</v>
      </c>
      <c r="J30" s="113" t="s">
        <v>124</v>
      </c>
      <c r="K30" s="113" t="s">
        <v>124</v>
      </c>
      <c r="L30" s="113" t="s">
        <v>124</v>
      </c>
      <c r="M30" s="113" t="s">
        <v>124</v>
      </c>
      <c r="N30" s="113" t="s">
        <v>124</v>
      </c>
      <c r="O30" s="113" t="s">
        <v>124</v>
      </c>
      <c r="P30" s="113" t="s">
        <v>124</v>
      </c>
      <c r="Q30" s="113" t="s">
        <v>123</v>
      </c>
      <c r="R30" s="113" t="s">
        <v>124</v>
      </c>
      <c r="S30" s="113" t="s">
        <v>124</v>
      </c>
      <c r="T30" s="113" t="s">
        <v>124</v>
      </c>
      <c r="U30" s="113" t="s">
        <v>124</v>
      </c>
      <c r="V30" s="113" t="s">
        <v>124</v>
      </c>
      <c r="W30" s="113" t="s">
        <v>124</v>
      </c>
      <c r="X30" s="113" t="s">
        <v>124</v>
      </c>
      <c r="Y30" s="113" t="s">
        <v>124</v>
      </c>
      <c r="Z30" s="113" t="s">
        <v>124</v>
      </c>
      <c r="AA30" s="186" t="s">
        <v>124</v>
      </c>
      <c r="AB30" s="186" t="s">
        <v>124</v>
      </c>
      <c r="AC30" s="186" t="s">
        <v>124</v>
      </c>
      <c r="AD30" s="113" t="s">
        <v>124</v>
      </c>
      <c r="AE30" s="113" t="s">
        <v>124</v>
      </c>
      <c r="AF30" s="113" t="s">
        <v>124</v>
      </c>
      <c r="AG30" s="113" t="s">
        <v>124</v>
      </c>
      <c r="AH30" s="113" t="s">
        <v>124</v>
      </c>
      <c r="AI30" s="113" t="s">
        <v>124</v>
      </c>
      <c r="AJ30" s="113" t="s">
        <v>124</v>
      </c>
      <c r="AK30" s="113" t="s">
        <v>124</v>
      </c>
      <c r="AL30" s="113" t="s">
        <v>124</v>
      </c>
      <c r="AM30" s="96" t="s">
        <v>124</v>
      </c>
      <c r="AN30" s="96" t="s">
        <v>124</v>
      </c>
      <c r="AO30" s="96" t="s">
        <v>124</v>
      </c>
      <c r="AP30" s="96" t="s">
        <v>124</v>
      </c>
      <c r="AQ30" s="96" t="s">
        <v>124</v>
      </c>
      <c r="AR30" s="96" t="s">
        <v>124</v>
      </c>
      <c r="AS30" s="96" t="s">
        <v>124</v>
      </c>
      <c r="AT30" s="96" t="s">
        <v>124</v>
      </c>
      <c r="AU30" s="96" t="s">
        <v>123</v>
      </c>
      <c r="AV30" s="96" t="s">
        <v>123</v>
      </c>
      <c r="AW30" s="96" t="s">
        <v>123</v>
      </c>
      <c r="AX30" s="96" t="s">
        <v>123</v>
      </c>
      <c r="AY30" s="96" t="s">
        <v>123</v>
      </c>
      <c r="AZ30" s="96" t="s">
        <v>124</v>
      </c>
      <c r="BA30" s="96" t="s">
        <v>123</v>
      </c>
      <c r="BB30" s="96" t="s">
        <v>124</v>
      </c>
      <c r="BC30" s="96"/>
      <c r="BD30" s="88">
        <v>46</v>
      </c>
      <c r="BE30" s="88"/>
      <c r="BF30" s="88">
        <f t="shared" si="9"/>
        <v>46</v>
      </c>
      <c r="BG30" s="88">
        <v>65</v>
      </c>
      <c r="BH30" s="101">
        <f t="shared" si="1"/>
        <v>0.70769230769230773</v>
      </c>
      <c r="BI30" s="374"/>
      <c r="BJ30" s="188">
        <f>OVERALL!A25</f>
        <v>22</v>
      </c>
      <c r="BK30" s="189">
        <f>OVERALL!B25</f>
        <v>2301258</v>
      </c>
      <c r="BL30" s="190" t="str">
        <f>OVERALL!C25</f>
        <v>Ritesh Thakur</v>
      </c>
      <c r="BM30" s="203">
        <f t="shared" si="11"/>
        <v>65</v>
      </c>
      <c r="BN30" s="107">
        <f t="shared" ref="BN30:BN38" si="13">BF26</f>
        <v>21</v>
      </c>
      <c r="BO30" s="108">
        <f t="shared" si="4"/>
        <v>32.307692307692307</v>
      </c>
      <c r="BP30" s="203" t="str">
        <f t="shared" ref="BP30:BP66" si="14">IF(BO30&gt;=95.5,"6",IF(BO30&gt;=90.5,"5", IF(BO30&gt;=85.5,"4",IF(BO30&gt;=80.5,"3",IF(BO30&gt;=75.5,"2","0")))))</f>
        <v>0</v>
      </c>
      <c r="BQ30" s="204">
        <v>10</v>
      </c>
      <c r="BR30" s="203"/>
      <c r="BS30" s="192">
        <v>0</v>
      </c>
      <c r="BT30" s="107">
        <f t="shared" si="6"/>
        <v>5</v>
      </c>
      <c r="BU30" s="203">
        <v>0</v>
      </c>
      <c r="BV30" s="203">
        <v>7</v>
      </c>
      <c r="BW30" s="203">
        <v>0</v>
      </c>
      <c r="BX30" s="108">
        <f t="shared" si="7"/>
        <v>2.3333333333333335</v>
      </c>
      <c r="BY30" s="205"/>
      <c r="BZ30" s="111">
        <f t="shared" si="8"/>
        <v>7</v>
      </c>
    </row>
    <row r="31" spans="1:78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113" t="s">
        <v>124</v>
      </c>
      <c r="E31" s="113" t="s">
        <v>124</v>
      </c>
      <c r="F31" s="113" t="s">
        <v>124</v>
      </c>
      <c r="G31" s="113" t="s">
        <v>124</v>
      </c>
      <c r="H31" s="113" t="s">
        <v>124</v>
      </c>
      <c r="I31" s="113" t="s">
        <v>123</v>
      </c>
      <c r="J31" s="113" t="s">
        <v>124</v>
      </c>
      <c r="K31" s="113" t="s">
        <v>124</v>
      </c>
      <c r="L31" s="113" t="s">
        <v>124</v>
      </c>
      <c r="M31" s="113" t="s">
        <v>124</v>
      </c>
      <c r="N31" s="113" t="s">
        <v>124</v>
      </c>
      <c r="O31" s="113" t="s">
        <v>124</v>
      </c>
      <c r="P31" s="113" t="s">
        <v>124</v>
      </c>
      <c r="Q31" s="113" t="s">
        <v>123</v>
      </c>
      <c r="R31" s="113" t="s">
        <v>124</v>
      </c>
      <c r="S31" s="113" t="s">
        <v>124</v>
      </c>
      <c r="T31" s="113" t="s">
        <v>124</v>
      </c>
      <c r="U31" s="113" t="s">
        <v>123</v>
      </c>
      <c r="V31" s="113" t="s">
        <v>124</v>
      </c>
      <c r="W31" s="113" t="s">
        <v>124</v>
      </c>
      <c r="X31" s="113" t="s">
        <v>124</v>
      </c>
      <c r="Y31" s="113" t="s">
        <v>124</v>
      </c>
      <c r="Z31" s="113" t="s">
        <v>124</v>
      </c>
      <c r="AA31" s="156" t="s">
        <v>124</v>
      </c>
      <c r="AB31" s="186" t="s">
        <v>124</v>
      </c>
      <c r="AC31" s="186" t="s">
        <v>124</v>
      </c>
      <c r="AD31" s="186" t="s">
        <v>124</v>
      </c>
      <c r="AE31" s="186" t="s">
        <v>124</v>
      </c>
      <c r="AF31" s="186" t="s">
        <v>124</v>
      </c>
      <c r="AG31" s="186" t="s">
        <v>124</v>
      </c>
      <c r="AH31" s="186" t="s">
        <v>124</v>
      </c>
      <c r="AI31" s="186" t="s">
        <v>124</v>
      </c>
      <c r="AJ31" s="186" t="s">
        <v>124</v>
      </c>
      <c r="AK31" s="186" t="s">
        <v>124</v>
      </c>
      <c r="AL31" s="186" t="s">
        <v>124</v>
      </c>
      <c r="AM31" s="96" t="s">
        <v>124</v>
      </c>
      <c r="AN31" s="96" t="s">
        <v>124</v>
      </c>
      <c r="AO31" s="96" t="s">
        <v>124</v>
      </c>
      <c r="AP31" s="96" t="s">
        <v>123</v>
      </c>
      <c r="AQ31" s="96" t="s">
        <v>124</v>
      </c>
      <c r="AR31" s="96" t="s">
        <v>124</v>
      </c>
      <c r="AS31" s="96" t="s">
        <v>124</v>
      </c>
      <c r="AT31" s="96" t="s">
        <v>124</v>
      </c>
      <c r="AU31" s="96" t="s">
        <v>124</v>
      </c>
      <c r="AV31" s="96" t="s">
        <v>124</v>
      </c>
      <c r="AW31" s="96" t="s">
        <v>124</v>
      </c>
      <c r="AX31" s="96" t="s">
        <v>124</v>
      </c>
      <c r="AY31" s="96" t="s">
        <v>124</v>
      </c>
      <c r="AZ31" s="96" t="s">
        <v>124</v>
      </c>
      <c r="BA31" s="96" t="s">
        <v>124</v>
      </c>
      <c r="BB31" s="96" t="s">
        <v>123</v>
      </c>
      <c r="BC31" s="96"/>
      <c r="BD31" s="88">
        <v>57</v>
      </c>
      <c r="BE31" s="88"/>
      <c r="BF31" s="88">
        <f t="shared" si="9"/>
        <v>57</v>
      </c>
      <c r="BG31" s="88">
        <v>65</v>
      </c>
      <c r="BH31" s="101">
        <f t="shared" si="1"/>
        <v>0.87692307692307692</v>
      </c>
      <c r="BI31" s="374"/>
      <c r="BJ31" s="188">
        <f>OVERALL!A26</f>
        <v>23</v>
      </c>
      <c r="BK31" s="189">
        <f>OVERALL!B26</f>
        <v>2301259</v>
      </c>
      <c r="BL31" s="190" t="str">
        <f>OVERALL!C26</f>
        <v>Riya Thakur</v>
      </c>
      <c r="BM31" s="203">
        <f t="shared" si="11"/>
        <v>65</v>
      </c>
      <c r="BN31" s="107">
        <f t="shared" si="13"/>
        <v>43</v>
      </c>
      <c r="BO31" s="108">
        <f t="shared" si="4"/>
        <v>66.153846153846146</v>
      </c>
      <c r="BP31" s="203" t="str">
        <f t="shared" si="14"/>
        <v>0</v>
      </c>
      <c r="BQ31" s="204">
        <v>11</v>
      </c>
      <c r="BR31" s="203"/>
      <c r="BS31" s="192">
        <v>4</v>
      </c>
      <c r="BT31" s="107">
        <f t="shared" si="6"/>
        <v>7.5</v>
      </c>
      <c r="BU31" s="203">
        <v>8</v>
      </c>
      <c r="BV31" s="203">
        <v>8</v>
      </c>
      <c r="BW31" s="203">
        <v>10</v>
      </c>
      <c r="BX31" s="108">
        <f t="shared" si="7"/>
        <v>8.6666666666666661</v>
      </c>
      <c r="BY31" s="205"/>
      <c r="BZ31" s="111">
        <f t="shared" si="8"/>
        <v>16</v>
      </c>
    </row>
    <row r="32" spans="1:78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113" t="s">
        <v>123</v>
      </c>
      <c r="E32" s="113" t="s">
        <v>123</v>
      </c>
      <c r="F32" s="113" t="s">
        <v>123</v>
      </c>
      <c r="G32" s="113" t="s">
        <v>123</v>
      </c>
      <c r="H32" s="113" t="s">
        <v>123</v>
      </c>
      <c r="I32" s="113" t="s">
        <v>123</v>
      </c>
      <c r="J32" s="113" t="s">
        <v>123</v>
      </c>
      <c r="K32" s="113" t="s">
        <v>124</v>
      </c>
      <c r="L32" s="113" t="s">
        <v>124</v>
      </c>
      <c r="M32" s="113" t="s">
        <v>124</v>
      </c>
      <c r="N32" s="113" t="s">
        <v>123</v>
      </c>
      <c r="O32" s="113" t="s">
        <v>123</v>
      </c>
      <c r="P32" s="113" t="s">
        <v>123</v>
      </c>
      <c r="Q32" s="113" t="s">
        <v>123</v>
      </c>
      <c r="R32" s="113" t="s">
        <v>123</v>
      </c>
      <c r="S32" s="113" t="s">
        <v>123</v>
      </c>
      <c r="T32" s="113" t="s">
        <v>123</v>
      </c>
      <c r="U32" s="113" t="s">
        <v>123</v>
      </c>
      <c r="V32" s="113" t="s">
        <v>123</v>
      </c>
      <c r="W32" s="113" t="s">
        <v>124</v>
      </c>
      <c r="X32" s="113" t="s">
        <v>123</v>
      </c>
      <c r="Y32" s="113" t="s">
        <v>123</v>
      </c>
      <c r="Z32" s="113" t="s">
        <v>123</v>
      </c>
      <c r="AA32" s="156" t="s">
        <v>124</v>
      </c>
      <c r="AB32" s="186" t="s">
        <v>124</v>
      </c>
      <c r="AC32" s="113" t="s">
        <v>124</v>
      </c>
      <c r="AD32" s="186" t="s">
        <v>124</v>
      </c>
      <c r="AE32" s="186" t="s">
        <v>123</v>
      </c>
      <c r="AF32" s="186" t="s">
        <v>124</v>
      </c>
      <c r="AG32" s="186" t="s">
        <v>123</v>
      </c>
      <c r="AH32" s="186" t="s">
        <v>123</v>
      </c>
      <c r="AI32" s="186" t="s">
        <v>123</v>
      </c>
      <c r="AJ32" s="186" t="s">
        <v>123</v>
      </c>
      <c r="AK32" s="186" t="s">
        <v>124</v>
      </c>
      <c r="AL32" s="186" t="s">
        <v>123</v>
      </c>
      <c r="AM32" s="96" t="s">
        <v>123</v>
      </c>
      <c r="AN32" s="96" t="s">
        <v>123</v>
      </c>
      <c r="AO32" s="96" t="s">
        <v>123</v>
      </c>
      <c r="AP32" s="96" t="s">
        <v>123</v>
      </c>
      <c r="AQ32" s="96" t="s">
        <v>124</v>
      </c>
      <c r="AR32" s="96" t="s">
        <v>123</v>
      </c>
      <c r="AS32" s="96" t="s">
        <v>123</v>
      </c>
      <c r="AT32" s="96" t="s">
        <v>124</v>
      </c>
      <c r="AU32" s="96" t="s">
        <v>123</v>
      </c>
      <c r="AV32" s="96" t="s">
        <v>123</v>
      </c>
      <c r="AW32" s="96" t="s">
        <v>123</v>
      </c>
      <c r="AX32" s="96" t="s">
        <v>123</v>
      </c>
      <c r="AY32" s="96" t="s">
        <v>124</v>
      </c>
      <c r="AZ32" s="96" t="s">
        <v>123</v>
      </c>
      <c r="BA32" s="96" t="s">
        <v>123</v>
      </c>
      <c r="BB32" s="96" t="s">
        <v>123</v>
      </c>
      <c r="BC32" s="96"/>
      <c r="BD32" s="88">
        <v>13</v>
      </c>
      <c r="BE32" s="88"/>
      <c r="BF32" s="88">
        <f t="shared" si="9"/>
        <v>13</v>
      </c>
      <c r="BG32" s="88">
        <v>65</v>
      </c>
      <c r="BH32" s="101">
        <f t="shared" si="1"/>
        <v>0.2</v>
      </c>
      <c r="BI32" s="374"/>
      <c r="BJ32" s="188">
        <f>OVERALL!A27</f>
        <v>24</v>
      </c>
      <c r="BK32" s="189">
        <f>OVERALL!B27</f>
        <v>2301260</v>
      </c>
      <c r="BL32" s="190" t="str">
        <f>OVERALL!C27</f>
        <v>Rounit Dhiman</v>
      </c>
      <c r="BM32" s="203">
        <f t="shared" si="11"/>
        <v>65</v>
      </c>
      <c r="BN32" s="107">
        <f t="shared" si="13"/>
        <v>52</v>
      </c>
      <c r="BO32" s="108">
        <f t="shared" si="4"/>
        <v>80</v>
      </c>
      <c r="BP32" s="206" t="str">
        <f t="shared" si="14"/>
        <v>2</v>
      </c>
      <c r="BQ32" s="207">
        <v>6</v>
      </c>
      <c r="BR32" s="206"/>
      <c r="BS32" s="192">
        <v>13</v>
      </c>
      <c r="BT32" s="107">
        <f t="shared" si="6"/>
        <v>9.5</v>
      </c>
      <c r="BU32" s="206">
        <v>8</v>
      </c>
      <c r="BV32" s="206">
        <v>7</v>
      </c>
      <c r="BW32" s="206">
        <v>10</v>
      </c>
      <c r="BX32" s="108">
        <f t="shared" si="7"/>
        <v>8.3333333333333339</v>
      </c>
      <c r="BY32" s="208"/>
      <c r="BZ32" s="111">
        <f t="shared" si="8"/>
        <v>20</v>
      </c>
    </row>
    <row r="33" spans="1:78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113" t="s">
        <v>123</v>
      </c>
      <c r="E33" s="113" t="s">
        <v>124</v>
      </c>
      <c r="F33" s="113" t="s">
        <v>124</v>
      </c>
      <c r="G33" s="113" t="s">
        <v>124</v>
      </c>
      <c r="H33" s="113" t="s">
        <v>124</v>
      </c>
      <c r="I33" s="113" t="s">
        <v>124</v>
      </c>
      <c r="J33" s="113" t="s">
        <v>124</v>
      </c>
      <c r="K33" s="113" t="s">
        <v>124</v>
      </c>
      <c r="L33" s="113" t="s">
        <v>124</v>
      </c>
      <c r="M33" s="113" t="s">
        <v>124</v>
      </c>
      <c r="N33" s="113" t="s">
        <v>124</v>
      </c>
      <c r="O33" s="113" t="s">
        <v>124</v>
      </c>
      <c r="P33" s="113" t="s">
        <v>124</v>
      </c>
      <c r="Q33" s="113" t="s">
        <v>123</v>
      </c>
      <c r="R33" s="113" t="s">
        <v>124</v>
      </c>
      <c r="S33" s="113" t="s">
        <v>124</v>
      </c>
      <c r="T33" s="113" t="s">
        <v>124</v>
      </c>
      <c r="U33" s="113" t="s">
        <v>124</v>
      </c>
      <c r="V33" s="113" t="s">
        <v>124</v>
      </c>
      <c r="W33" s="113" t="s">
        <v>124</v>
      </c>
      <c r="X33" s="113" t="s">
        <v>124</v>
      </c>
      <c r="Y33" s="113" t="s">
        <v>124</v>
      </c>
      <c r="Z33" s="113" t="s">
        <v>124</v>
      </c>
      <c r="AA33" s="113" t="s">
        <v>124</v>
      </c>
      <c r="AB33" s="186" t="s">
        <v>123</v>
      </c>
      <c r="AC33" s="113" t="s">
        <v>123</v>
      </c>
      <c r="AD33" s="113" t="s">
        <v>124</v>
      </c>
      <c r="AE33" s="113" t="s">
        <v>124</v>
      </c>
      <c r="AF33" s="113" t="s">
        <v>124</v>
      </c>
      <c r="AG33" s="113" t="s">
        <v>124</v>
      </c>
      <c r="AH33" s="113" t="s">
        <v>124</v>
      </c>
      <c r="AI33" s="113" t="s">
        <v>124</v>
      </c>
      <c r="AJ33" s="113" t="s">
        <v>123</v>
      </c>
      <c r="AK33" s="113" t="s">
        <v>123</v>
      </c>
      <c r="AL33" s="113" t="s">
        <v>124</v>
      </c>
      <c r="AM33" s="96" t="s">
        <v>123</v>
      </c>
      <c r="AN33" s="96" t="s">
        <v>123</v>
      </c>
      <c r="AO33" s="96" t="s">
        <v>123</v>
      </c>
      <c r="AP33" s="96" t="s">
        <v>123</v>
      </c>
      <c r="AQ33" s="96" t="s">
        <v>123</v>
      </c>
      <c r="AR33" s="96" t="s">
        <v>123</v>
      </c>
      <c r="AS33" s="96" t="s">
        <v>123</v>
      </c>
      <c r="AT33" s="96" t="s">
        <v>123</v>
      </c>
      <c r="AU33" s="96" t="s">
        <v>123</v>
      </c>
      <c r="AV33" s="96" t="s">
        <v>123</v>
      </c>
      <c r="AW33" s="96" t="s">
        <v>124</v>
      </c>
      <c r="AX33" s="96" t="s">
        <v>124</v>
      </c>
      <c r="AY33" s="96" t="s">
        <v>124</v>
      </c>
      <c r="AZ33" s="96" t="s">
        <v>124</v>
      </c>
      <c r="BA33" s="96" t="s">
        <v>124</v>
      </c>
      <c r="BB33" s="96" t="s">
        <v>124</v>
      </c>
      <c r="BC33" s="96"/>
      <c r="BD33" s="88">
        <v>44</v>
      </c>
      <c r="BE33" s="88">
        <v>8</v>
      </c>
      <c r="BF33" s="88">
        <f t="shared" si="9"/>
        <v>52</v>
      </c>
      <c r="BG33" s="88">
        <v>65</v>
      </c>
      <c r="BH33" s="101">
        <f t="shared" si="1"/>
        <v>0.8</v>
      </c>
      <c r="BI33" s="374"/>
      <c r="BJ33" s="188">
        <f>OVERALL!A28</f>
        <v>25</v>
      </c>
      <c r="BK33" s="189">
        <f>OVERALL!B28</f>
        <v>2301261</v>
      </c>
      <c r="BL33" s="190" t="str">
        <f>OVERALL!C28</f>
        <v>Rubby Kumari</v>
      </c>
      <c r="BM33" s="203">
        <f t="shared" ref="BM33:BM64" si="15">BG29</f>
        <v>65</v>
      </c>
      <c r="BN33" s="107">
        <f t="shared" si="13"/>
        <v>33</v>
      </c>
      <c r="BO33" s="108">
        <f t="shared" si="4"/>
        <v>50.769230769230766</v>
      </c>
      <c r="BP33" s="203" t="str">
        <f t="shared" si="14"/>
        <v>0</v>
      </c>
      <c r="BQ33" s="204">
        <v>13</v>
      </c>
      <c r="BR33" s="203"/>
      <c r="BS33" s="192">
        <v>12</v>
      </c>
      <c r="BT33" s="107">
        <f t="shared" si="6"/>
        <v>12.5</v>
      </c>
      <c r="BU33" s="203">
        <v>0</v>
      </c>
      <c r="BV33" s="203">
        <v>0</v>
      </c>
      <c r="BW33" s="203">
        <v>0</v>
      </c>
      <c r="BX33" s="108">
        <f t="shared" si="7"/>
        <v>0</v>
      </c>
      <c r="BY33" s="205"/>
      <c r="BZ33" s="111">
        <f t="shared" si="8"/>
        <v>13</v>
      </c>
    </row>
    <row r="34" spans="1:78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113" t="s">
        <v>123</v>
      </c>
      <c r="E34" s="113" t="s">
        <v>124</v>
      </c>
      <c r="F34" s="113" t="s">
        <v>124</v>
      </c>
      <c r="G34" s="113" t="s">
        <v>124</v>
      </c>
      <c r="H34" s="113" t="s">
        <v>124</v>
      </c>
      <c r="I34" s="113" t="s">
        <v>124</v>
      </c>
      <c r="J34" s="113" t="s">
        <v>124</v>
      </c>
      <c r="K34" s="113" t="s">
        <v>124</v>
      </c>
      <c r="L34" s="113" t="s">
        <v>123</v>
      </c>
      <c r="M34" s="113" t="s">
        <v>124</v>
      </c>
      <c r="N34" s="113" t="s">
        <v>124</v>
      </c>
      <c r="O34" s="113" t="s">
        <v>123</v>
      </c>
      <c r="P34" s="113" t="s">
        <v>123</v>
      </c>
      <c r="Q34" s="113" t="s">
        <v>123</v>
      </c>
      <c r="R34" s="186" t="s">
        <v>124</v>
      </c>
      <c r="S34" s="156" t="s">
        <v>123</v>
      </c>
      <c r="T34" s="113" t="s">
        <v>124</v>
      </c>
      <c r="U34" s="113" t="s">
        <v>124</v>
      </c>
      <c r="V34" s="113" t="s">
        <v>124</v>
      </c>
      <c r="W34" s="113" t="s">
        <v>124</v>
      </c>
      <c r="X34" s="113" t="s">
        <v>124</v>
      </c>
      <c r="Y34" s="113" t="s">
        <v>124</v>
      </c>
      <c r="Z34" s="186" t="s">
        <v>124</v>
      </c>
      <c r="AA34" s="186" t="s">
        <v>124</v>
      </c>
      <c r="AB34" s="186" t="s">
        <v>124</v>
      </c>
      <c r="AC34" s="186" t="s">
        <v>124</v>
      </c>
      <c r="AD34" s="186" t="s">
        <v>124</v>
      </c>
      <c r="AE34" s="186" t="s">
        <v>124</v>
      </c>
      <c r="AF34" s="186" t="s">
        <v>124</v>
      </c>
      <c r="AG34" s="186" t="s">
        <v>124</v>
      </c>
      <c r="AH34" s="186" t="s">
        <v>124</v>
      </c>
      <c r="AI34" s="186" t="s">
        <v>124</v>
      </c>
      <c r="AJ34" s="186" t="s">
        <v>124</v>
      </c>
      <c r="AK34" s="186" t="s">
        <v>124</v>
      </c>
      <c r="AL34" s="186" t="s">
        <v>124</v>
      </c>
      <c r="AM34" s="96" t="s">
        <v>124</v>
      </c>
      <c r="AN34" s="96" t="s">
        <v>124</v>
      </c>
      <c r="AO34" s="96" t="s">
        <v>124</v>
      </c>
      <c r="AP34" s="96" t="s">
        <v>124</v>
      </c>
      <c r="AQ34" s="96" t="s">
        <v>124</v>
      </c>
      <c r="AR34" s="96" t="s">
        <v>124</v>
      </c>
      <c r="AS34" s="96" t="s">
        <v>124</v>
      </c>
      <c r="AT34" s="96" t="s">
        <v>124</v>
      </c>
      <c r="AU34" s="96" t="s">
        <v>124</v>
      </c>
      <c r="AV34" s="96" t="s">
        <v>124</v>
      </c>
      <c r="AW34" s="96" t="s">
        <v>124</v>
      </c>
      <c r="AX34" s="96" t="s">
        <v>124</v>
      </c>
      <c r="AY34" s="96" t="s">
        <v>124</v>
      </c>
      <c r="AZ34" s="96" t="s">
        <v>124</v>
      </c>
      <c r="BA34" s="96" t="s">
        <v>124</v>
      </c>
      <c r="BB34" s="96" t="s">
        <v>124</v>
      </c>
      <c r="BC34" s="96"/>
      <c r="BD34" s="88">
        <v>54</v>
      </c>
      <c r="BE34" s="88"/>
      <c r="BF34" s="88">
        <f t="shared" si="9"/>
        <v>54</v>
      </c>
      <c r="BG34" s="88">
        <v>65</v>
      </c>
      <c r="BH34" s="101">
        <f t="shared" si="1"/>
        <v>0.83076923076923082</v>
      </c>
      <c r="BI34" s="374"/>
      <c r="BJ34" s="188">
        <f>OVERALL!A29</f>
        <v>26</v>
      </c>
      <c r="BK34" s="189">
        <f>OVERALL!B29</f>
        <v>2301262</v>
      </c>
      <c r="BL34" s="190" t="str">
        <f>OVERALL!C29</f>
        <v>Sakshi Devi</v>
      </c>
      <c r="BM34" s="203">
        <f t="shared" si="15"/>
        <v>65</v>
      </c>
      <c r="BN34" s="107">
        <f t="shared" si="13"/>
        <v>46</v>
      </c>
      <c r="BO34" s="108">
        <f t="shared" si="4"/>
        <v>70.769230769230774</v>
      </c>
      <c r="BP34" s="203" t="str">
        <f t="shared" si="14"/>
        <v>0</v>
      </c>
      <c r="BQ34" s="204">
        <v>1</v>
      </c>
      <c r="BR34" s="203"/>
      <c r="BS34" s="192">
        <v>4</v>
      </c>
      <c r="BT34" s="107">
        <f t="shared" si="6"/>
        <v>2.5</v>
      </c>
      <c r="BU34" s="203">
        <v>8</v>
      </c>
      <c r="BV34" s="203">
        <v>8</v>
      </c>
      <c r="BW34" s="203">
        <v>10</v>
      </c>
      <c r="BX34" s="108">
        <f t="shared" si="7"/>
        <v>8.6666666666666661</v>
      </c>
      <c r="BY34" s="205"/>
      <c r="BZ34" s="111">
        <f t="shared" si="8"/>
        <v>11</v>
      </c>
    </row>
    <row r="35" spans="1:78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113" t="s">
        <v>123</v>
      </c>
      <c r="E35" s="113" t="s">
        <v>124</v>
      </c>
      <c r="F35" s="113" t="s">
        <v>123</v>
      </c>
      <c r="G35" s="113" t="s">
        <v>123</v>
      </c>
      <c r="H35" s="113" t="s">
        <v>123</v>
      </c>
      <c r="I35" s="113" t="s">
        <v>123</v>
      </c>
      <c r="J35" s="113" t="s">
        <v>124</v>
      </c>
      <c r="K35" s="113" t="s">
        <v>124</v>
      </c>
      <c r="L35" s="113" t="s">
        <v>124</v>
      </c>
      <c r="M35" s="113" t="s">
        <v>124</v>
      </c>
      <c r="N35" s="113" t="s">
        <v>124</v>
      </c>
      <c r="O35" s="113" t="s">
        <v>124</v>
      </c>
      <c r="P35" s="113" t="s">
        <v>124</v>
      </c>
      <c r="Q35" s="113" t="s">
        <v>123</v>
      </c>
      <c r="R35" s="186" t="s">
        <v>124</v>
      </c>
      <c r="S35" s="156" t="s">
        <v>124</v>
      </c>
      <c r="T35" s="113" t="s">
        <v>123</v>
      </c>
      <c r="U35" s="113" t="s">
        <v>123</v>
      </c>
      <c r="V35" s="113" t="s">
        <v>124</v>
      </c>
      <c r="W35" s="113" t="s">
        <v>124</v>
      </c>
      <c r="X35" s="113" t="s">
        <v>123</v>
      </c>
      <c r="Y35" s="113" t="s">
        <v>123</v>
      </c>
      <c r="Z35" s="186" t="s">
        <v>123</v>
      </c>
      <c r="AA35" s="186" t="s">
        <v>123</v>
      </c>
      <c r="AB35" s="186" t="s">
        <v>123</v>
      </c>
      <c r="AC35" s="186" t="s">
        <v>124</v>
      </c>
      <c r="AD35" s="186" t="s">
        <v>124</v>
      </c>
      <c r="AE35" s="186" t="s">
        <v>123</v>
      </c>
      <c r="AF35" s="186" t="s">
        <v>124</v>
      </c>
      <c r="AG35" s="186" t="s">
        <v>124</v>
      </c>
      <c r="AH35" s="186" t="s">
        <v>124</v>
      </c>
      <c r="AI35" s="186" t="s">
        <v>124</v>
      </c>
      <c r="AJ35" s="186" t="s">
        <v>123</v>
      </c>
      <c r="AK35" s="186" t="s">
        <v>123</v>
      </c>
      <c r="AL35" s="186" t="s">
        <v>124</v>
      </c>
      <c r="AM35" s="96" t="s">
        <v>124</v>
      </c>
      <c r="AN35" s="96" t="s">
        <v>124</v>
      </c>
      <c r="AO35" s="96" t="s">
        <v>124</v>
      </c>
      <c r="AP35" s="96" t="s">
        <v>124</v>
      </c>
      <c r="AQ35" s="96" t="s">
        <v>123</v>
      </c>
      <c r="AR35" s="96" t="s">
        <v>124</v>
      </c>
      <c r="AS35" s="96" t="s">
        <v>123</v>
      </c>
      <c r="AT35" s="96" t="s">
        <v>124</v>
      </c>
      <c r="AU35" s="96" t="s">
        <v>124</v>
      </c>
      <c r="AV35" s="96" t="s">
        <v>124</v>
      </c>
      <c r="AW35" s="96" t="s">
        <v>124</v>
      </c>
      <c r="AX35" s="96" t="s">
        <v>124</v>
      </c>
      <c r="AY35" s="96" t="s">
        <v>123</v>
      </c>
      <c r="AZ35" s="96" t="s">
        <v>124</v>
      </c>
      <c r="BA35" s="96" t="s">
        <v>124</v>
      </c>
      <c r="BB35" s="96" t="s">
        <v>124</v>
      </c>
      <c r="BC35" s="96"/>
      <c r="BD35" s="88">
        <v>35</v>
      </c>
      <c r="BE35" s="88"/>
      <c r="BF35" s="88">
        <f t="shared" si="9"/>
        <v>35</v>
      </c>
      <c r="BG35" s="88">
        <v>65</v>
      </c>
      <c r="BH35" s="101">
        <f t="shared" si="1"/>
        <v>0.53846153846153844</v>
      </c>
      <c r="BI35" s="374"/>
      <c r="BJ35" s="188">
        <f>OVERALL!A30</f>
        <v>27</v>
      </c>
      <c r="BK35" s="189">
        <f>OVERALL!B30</f>
        <v>2301263</v>
      </c>
      <c r="BL35" s="190" t="str">
        <f>OVERALL!C30</f>
        <v>Sanchi Sharma</v>
      </c>
      <c r="BM35" s="203">
        <f t="shared" si="15"/>
        <v>65</v>
      </c>
      <c r="BN35" s="107">
        <f t="shared" si="13"/>
        <v>57</v>
      </c>
      <c r="BO35" s="108">
        <f t="shared" si="4"/>
        <v>87.692307692307693</v>
      </c>
      <c r="BP35" s="203" t="str">
        <f t="shared" si="14"/>
        <v>4</v>
      </c>
      <c r="BQ35" s="204">
        <v>8</v>
      </c>
      <c r="BR35" s="203"/>
      <c r="BS35" s="192">
        <v>12</v>
      </c>
      <c r="BT35" s="107">
        <f t="shared" si="6"/>
        <v>10</v>
      </c>
      <c r="BU35" s="203">
        <v>8</v>
      </c>
      <c r="BV35" s="203">
        <v>9</v>
      </c>
      <c r="BW35" s="203">
        <v>9</v>
      </c>
      <c r="BX35" s="108">
        <f t="shared" si="7"/>
        <v>8.6666666666666661</v>
      </c>
      <c r="BY35" s="205"/>
      <c r="BZ35" s="111">
        <f t="shared" si="8"/>
        <v>23</v>
      </c>
    </row>
    <row r="36" spans="1:78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113" t="s">
        <v>124</v>
      </c>
      <c r="E36" s="113" t="s">
        <v>123</v>
      </c>
      <c r="F36" s="113" t="s">
        <v>124</v>
      </c>
      <c r="G36" s="113" t="s">
        <v>124</v>
      </c>
      <c r="H36" s="113" t="s">
        <v>124</v>
      </c>
      <c r="I36" s="113" t="s">
        <v>124</v>
      </c>
      <c r="J36" s="113" t="s">
        <v>124</v>
      </c>
      <c r="K36" s="113" t="s">
        <v>124</v>
      </c>
      <c r="L36" s="113" t="s">
        <v>124</v>
      </c>
      <c r="M36" s="113" t="s">
        <v>124</v>
      </c>
      <c r="N36" s="113" t="s">
        <v>124</v>
      </c>
      <c r="O36" s="113" t="s">
        <v>124</v>
      </c>
      <c r="P36" s="113" t="s">
        <v>124</v>
      </c>
      <c r="Q36" s="113" t="s">
        <v>124</v>
      </c>
      <c r="R36" s="113" t="s">
        <v>124</v>
      </c>
      <c r="S36" s="113" t="s">
        <v>124</v>
      </c>
      <c r="T36" s="113" t="s">
        <v>124</v>
      </c>
      <c r="U36" s="113" t="s">
        <v>124</v>
      </c>
      <c r="V36" s="113" t="s">
        <v>124</v>
      </c>
      <c r="W36" s="113" t="s">
        <v>124</v>
      </c>
      <c r="X36" s="113" t="s">
        <v>124</v>
      </c>
      <c r="Y36" s="113" t="s">
        <v>124</v>
      </c>
      <c r="Z36" s="113" t="s">
        <v>124</v>
      </c>
      <c r="AA36" s="186" t="s">
        <v>124</v>
      </c>
      <c r="AB36" s="186" t="s">
        <v>124</v>
      </c>
      <c r="AC36" s="186" t="s">
        <v>124</v>
      </c>
      <c r="AD36" s="113" t="s">
        <v>124</v>
      </c>
      <c r="AE36" s="113" t="s">
        <v>124</v>
      </c>
      <c r="AF36" s="113" t="s">
        <v>124</v>
      </c>
      <c r="AG36" s="113" t="s">
        <v>123</v>
      </c>
      <c r="AH36" s="113" t="s">
        <v>123</v>
      </c>
      <c r="AI36" s="113" t="s">
        <v>123</v>
      </c>
      <c r="AJ36" s="113" t="s">
        <v>123</v>
      </c>
      <c r="AK36" s="113" t="s">
        <v>123</v>
      </c>
      <c r="AL36" s="113" t="s">
        <v>124</v>
      </c>
      <c r="AM36" s="96" t="s">
        <v>123</v>
      </c>
      <c r="AN36" s="96" t="s">
        <v>124</v>
      </c>
      <c r="AO36" s="96" t="s">
        <v>124</v>
      </c>
      <c r="AP36" s="96" t="s">
        <v>123</v>
      </c>
      <c r="AQ36" s="96" t="s">
        <v>124</v>
      </c>
      <c r="AR36" s="96" t="s">
        <v>124</v>
      </c>
      <c r="AS36" s="96" t="s">
        <v>124</v>
      </c>
      <c r="AT36" s="96" t="s">
        <v>124</v>
      </c>
      <c r="AU36" s="96" t="s">
        <v>124</v>
      </c>
      <c r="AV36" s="96" t="s">
        <v>124</v>
      </c>
      <c r="AW36" s="96" t="s">
        <v>124</v>
      </c>
      <c r="AX36" s="96" t="s">
        <v>124</v>
      </c>
      <c r="AY36" s="96" t="s">
        <v>124</v>
      </c>
      <c r="AZ36" s="96" t="s">
        <v>124</v>
      </c>
      <c r="BA36" s="96" t="s">
        <v>124</v>
      </c>
      <c r="BB36" s="96" t="s">
        <v>124</v>
      </c>
      <c r="BC36" s="96"/>
      <c r="BD36" s="88">
        <v>47</v>
      </c>
      <c r="BE36" s="88"/>
      <c r="BF36" s="88">
        <f t="shared" si="9"/>
        <v>47</v>
      </c>
      <c r="BG36" s="88">
        <v>65</v>
      </c>
      <c r="BH36" s="101">
        <f t="shared" si="1"/>
        <v>0.72307692307692306</v>
      </c>
      <c r="BI36" s="374"/>
      <c r="BJ36" s="188">
        <f>OVERALL!A31</f>
        <v>28</v>
      </c>
      <c r="BK36" s="189">
        <f>OVERALL!B31</f>
        <v>2301264</v>
      </c>
      <c r="BL36" s="190" t="str">
        <f>OVERALL!C31</f>
        <v>Sarbjit Singh</v>
      </c>
      <c r="BM36" s="203">
        <f t="shared" si="15"/>
        <v>65</v>
      </c>
      <c r="BN36" s="107">
        <f t="shared" si="13"/>
        <v>13</v>
      </c>
      <c r="BO36" s="108">
        <f t="shared" si="4"/>
        <v>20</v>
      </c>
      <c r="BP36" s="203" t="str">
        <f t="shared" si="14"/>
        <v>0</v>
      </c>
      <c r="BQ36" s="204">
        <v>10</v>
      </c>
      <c r="BR36" s="203"/>
      <c r="BS36" s="192">
        <v>0</v>
      </c>
      <c r="BT36" s="107">
        <f t="shared" si="6"/>
        <v>5</v>
      </c>
      <c r="BU36" s="203">
        <v>0</v>
      </c>
      <c r="BV36" s="203">
        <v>0</v>
      </c>
      <c r="BW36" s="203">
        <v>0</v>
      </c>
      <c r="BX36" s="108">
        <f t="shared" si="7"/>
        <v>0</v>
      </c>
      <c r="BY36" s="205"/>
      <c r="BZ36" s="111">
        <f t="shared" si="8"/>
        <v>5</v>
      </c>
    </row>
    <row r="37" spans="1:78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113" t="s">
        <v>124</v>
      </c>
      <c r="E37" s="113" t="s">
        <v>124</v>
      </c>
      <c r="F37" s="113" t="s">
        <v>124</v>
      </c>
      <c r="G37" s="113" t="s">
        <v>124</v>
      </c>
      <c r="H37" s="113" t="s">
        <v>124</v>
      </c>
      <c r="I37" s="113" t="s">
        <v>124</v>
      </c>
      <c r="J37" s="113" t="s">
        <v>124</v>
      </c>
      <c r="K37" s="113" t="s">
        <v>124</v>
      </c>
      <c r="L37" s="113" t="s">
        <v>124</v>
      </c>
      <c r="M37" s="113" t="s">
        <v>124</v>
      </c>
      <c r="N37" s="113" t="s">
        <v>123</v>
      </c>
      <c r="O37" s="113" t="s">
        <v>124</v>
      </c>
      <c r="P37" s="113" t="s">
        <v>124</v>
      </c>
      <c r="Q37" s="113" t="s">
        <v>124</v>
      </c>
      <c r="R37" s="113" t="s">
        <v>124</v>
      </c>
      <c r="S37" s="113" t="s">
        <v>124</v>
      </c>
      <c r="T37" s="113" t="s">
        <v>124</v>
      </c>
      <c r="U37" s="113" t="s">
        <v>124</v>
      </c>
      <c r="V37" s="113" t="s">
        <v>124</v>
      </c>
      <c r="W37" s="113" t="s">
        <v>123</v>
      </c>
      <c r="X37" s="113" t="s">
        <v>124</v>
      </c>
      <c r="Y37" s="113" t="s">
        <v>123</v>
      </c>
      <c r="Z37" s="113" t="s">
        <v>123</v>
      </c>
      <c r="AA37" s="186" t="s">
        <v>124</v>
      </c>
      <c r="AB37" s="186" t="s">
        <v>124</v>
      </c>
      <c r="AC37" s="113" t="s">
        <v>124</v>
      </c>
      <c r="AD37" s="186" t="s">
        <v>123</v>
      </c>
      <c r="AE37" s="186" t="s">
        <v>123</v>
      </c>
      <c r="AF37" s="186" t="s">
        <v>124</v>
      </c>
      <c r="AG37" s="186" t="s">
        <v>124</v>
      </c>
      <c r="AH37" s="186" t="s">
        <v>123</v>
      </c>
      <c r="AI37" s="186" t="s">
        <v>124</v>
      </c>
      <c r="AJ37" s="186" t="s">
        <v>124</v>
      </c>
      <c r="AK37" s="186" t="s">
        <v>124</v>
      </c>
      <c r="AL37" s="186" t="s">
        <v>124</v>
      </c>
      <c r="AM37" s="96" t="s">
        <v>124</v>
      </c>
      <c r="AN37" s="96" t="s">
        <v>123</v>
      </c>
      <c r="AO37" s="96" t="s">
        <v>123</v>
      </c>
      <c r="AP37" s="96" t="s">
        <v>123</v>
      </c>
      <c r="AQ37" s="96" t="s">
        <v>123</v>
      </c>
      <c r="AR37" s="96" t="s">
        <v>123</v>
      </c>
      <c r="AS37" s="96" t="s">
        <v>123</v>
      </c>
      <c r="AT37" s="96" t="s">
        <v>124</v>
      </c>
      <c r="AU37" s="96" t="s">
        <v>124</v>
      </c>
      <c r="AV37" s="96" t="s">
        <v>123</v>
      </c>
      <c r="AW37" s="96" t="s">
        <v>123</v>
      </c>
      <c r="AX37" s="96" t="s">
        <v>123</v>
      </c>
      <c r="AY37" s="96" t="s">
        <v>123</v>
      </c>
      <c r="AZ37" s="96" t="s">
        <v>123</v>
      </c>
      <c r="BA37" s="96" t="s">
        <v>123</v>
      </c>
      <c r="BB37" s="96" t="s">
        <v>123</v>
      </c>
      <c r="BC37" s="96"/>
      <c r="BD37" s="88">
        <v>41</v>
      </c>
      <c r="BE37" s="88">
        <v>3</v>
      </c>
      <c r="BF37" s="88">
        <f t="shared" si="9"/>
        <v>44</v>
      </c>
      <c r="BG37" s="88">
        <v>65</v>
      </c>
      <c r="BH37" s="101">
        <f t="shared" si="1"/>
        <v>0.67692307692307696</v>
      </c>
      <c r="BI37" s="374"/>
      <c r="BJ37" s="188">
        <f>OVERALL!A32</f>
        <v>29</v>
      </c>
      <c r="BK37" s="189">
        <f>OVERALL!B32</f>
        <v>2301265</v>
      </c>
      <c r="BL37" s="190" t="str">
        <f>OVERALL!C32</f>
        <v>Sarif Mayangmayum</v>
      </c>
      <c r="BM37" s="203">
        <f t="shared" si="15"/>
        <v>65</v>
      </c>
      <c r="BN37" s="107">
        <f t="shared" si="13"/>
        <v>52</v>
      </c>
      <c r="BO37" s="108">
        <f t="shared" si="4"/>
        <v>80</v>
      </c>
      <c r="BP37" s="203" t="str">
        <f t="shared" si="14"/>
        <v>2</v>
      </c>
      <c r="BQ37" s="186">
        <v>14</v>
      </c>
      <c r="BR37" s="203"/>
      <c r="BS37" s="192">
        <v>15</v>
      </c>
      <c r="BT37" s="107">
        <f t="shared" si="6"/>
        <v>14.5</v>
      </c>
      <c r="BU37" s="203">
        <v>8</v>
      </c>
      <c r="BV37" s="203">
        <v>8</v>
      </c>
      <c r="BW37" s="203">
        <v>0</v>
      </c>
      <c r="BX37" s="108">
        <f t="shared" si="7"/>
        <v>5.333333333333333</v>
      </c>
      <c r="BY37" s="205"/>
      <c r="BZ37" s="111">
        <f t="shared" si="8"/>
        <v>22</v>
      </c>
    </row>
    <row r="38" spans="1:78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113" t="s">
        <v>123</v>
      </c>
      <c r="E38" s="113" t="s">
        <v>124</v>
      </c>
      <c r="F38" s="113" t="s">
        <v>124</v>
      </c>
      <c r="G38" s="113" t="s">
        <v>124</v>
      </c>
      <c r="H38" s="113" t="s">
        <v>124</v>
      </c>
      <c r="I38" s="113" t="s">
        <v>124</v>
      </c>
      <c r="J38" s="113" t="s">
        <v>124</v>
      </c>
      <c r="K38" s="113" t="s">
        <v>123</v>
      </c>
      <c r="L38" s="113" t="s">
        <v>124</v>
      </c>
      <c r="M38" s="113" t="s">
        <v>124</v>
      </c>
      <c r="N38" s="113" t="s">
        <v>124</v>
      </c>
      <c r="O38" s="113" t="s">
        <v>124</v>
      </c>
      <c r="P38" s="113" t="s">
        <v>124</v>
      </c>
      <c r="Q38" s="113" t="s">
        <v>123</v>
      </c>
      <c r="R38" s="113" t="s">
        <v>124</v>
      </c>
      <c r="S38" s="113" t="s">
        <v>124</v>
      </c>
      <c r="T38" s="113" t="s">
        <v>123</v>
      </c>
      <c r="U38" s="113" t="s">
        <v>123</v>
      </c>
      <c r="V38" s="113" t="s">
        <v>124</v>
      </c>
      <c r="W38" s="113" t="s">
        <v>124</v>
      </c>
      <c r="X38" s="113" t="s">
        <v>124</v>
      </c>
      <c r="Y38" s="113" t="s">
        <v>123</v>
      </c>
      <c r="Z38" s="113" t="s">
        <v>124</v>
      </c>
      <c r="AA38" s="186" t="s">
        <v>124</v>
      </c>
      <c r="AB38" s="186" t="s">
        <v>123</v>
      </c>
      <c r="AC38" s="186" t="s">
        <v>123</v>
      </c>
      <c r="AD38" s="186" t="s">
        <v>124</v>
      </c>
      <c r="AE38" s="186" t="s">
        <v>124</v>
      </c>
      <c r="AF38" s="186" t="s">
        <v>124</v>
      </c>
      <c r="AG38" s="186" t="s">
        <v>124</v>
      </c>
      <c r="AH38" s="186" t="s">
        <v>124</v>
      </c>
      <c r="AI38" s="186" t="s">
        <v>124</v>
      </c>
      <c r="AJ38" s="186" t="s">
        <v>124</v>
      </c>
      <c r="AK38" s="186" t="s">
        <v>124</v>
      </c>
      <c r="AL38" s="186" t="s">
        <v>124</v>
      </c>
      <c r="AM38" s="96" t="s">
        <v>124</v>
      </c>
      <c r="AN38" s="96" t="s">
        <v>124</v>
      </c>
      <c r="AO38" s="96" t="s">
        <v>124</v>
      </c>
      <c r="AP38" s="96" t="s">
        <v>124</v>
      </c>
      <c r="AQ38" s="96" t="s">
        <v>124</v>
      </c>
      <c r="AR38" s="96" t="s">
        <v>124</v>
      </c>
      <c r="AS38" s="96" t="s">
        <v>123</v>
      </c>
      <c r="AT38" s="96" t="s">
        <v>124</v>
      </c>
      <c r="AU38" s="96" t="s">
        <v>124</v>
      </c>
      <c r="AV38" s="96" t="s">
        <v>124</v>
      </c>
      <c r="AW38" s="96" t="s">
        <v>124</v>
      </c>
      <c r="AX38" s="96" t="s">
        <v>124</v>
      </c>
      <c r="AY38" s="96" t="s">
        <v>124</v>
      </c>
      <c r="AZ38" s="96" t="s">
        <v>124</v>
      </c>
      <c r="BA38" s="96" t="s">
        <v>124</v>
      </c>
      <c r="BB38" s="96" t="s">
        <v>124</v>
      </c>
      <c r="BC38" s="96"/>
      <c r="BD38" s="88">
        <v>53</v>
      </c>
      <c r="BE38" s="88"/>
      <c r="BF38" s="88">
        <f t="shared" si="9"/>
        <v>53</v>
      </c>
      <c r="BG38" s="88">
        <v>65</v>
      </c>
      <c r="BH38" s="101">
        <f t="shared" si="1"/>
        <v>0.81538461538461537</v>
      </c>
      <c r="BI38" s="374"/>
      <c r="BJ38" s="188">
        <f>OVERALL!A33</f>
        <v>30</v>
      </c>
      <c r="BK38" s="189">
        <f>OVERALL!B33</f>
        <v>2301267</v>
      </c>
      <c r="BL38" s="190" t="str">
        <f>OVERALL!C33</f>
        <v>Shivam Kumar Chaubey</v>
      </c>
      <c r="BM38" s="203">
        <f t="shared" si="15"/>
        <v>65</v>
      </c>
      <c r="BN38" s="107">
        <f t="shared" si="13"/>
        <v>54</v>
      </c>
      <c r="BO38" s="108">
        <f t="shared" si="4"/>
        <v>83.07692307692308</v>
      </c>
      <c r="BP38" s="203" t="str">
        <f t="shared" si="14"/>
        <v>3</v>
      </c>
      <c r="BQ38" s="192">
        <v>12</v>
      </c>
      <c r="BR38" s="203"/>
      <c r="BS38" s="192">
        <v>12</v>
      </c>
      <c r="BT38" s="107">
        <f t="shared" si="6"/>
        <v>12</v>
      </c>
      <c r="BU38" s="203">
        <v>9</v>
      </c>
      <c r="BV38" s="203">
        <v>10</v>
      </c>
      <c r="BW38" s="203">
        <v>9</v>
      </c>
      <c r="BX38" s="108">
        <f t="shared" si="7"/>
        <v>9.3333333333333339</v>
      </c>
      <c r="BY38" s="205"/>
      <c r="BZ38" s="111">
        <f t="shared" si="8"/>
        <v>24</v>
      </c>
    </row>
    <row r="39" spans="1:78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113" t="s">
        <v>123</v>
      </c>
      <c r="E39" s="113" t="s">
        <v>123</v>
      </c>
      <c r="F39" s="113" t="s">
        <v>123</v>
      </c>
      <c r="G39" s="113" t="s">
        <v>123</v>
      </c>
      <c r="H39" s="113" t="s">
        <v>124</v>
      </c>
      <c r="I39" s="113" t="s">
        <v>123</v>
      </c>
      <c r="J39" s="113" t="s">
        <v>123</v>
      </c>
      <c r="K39" s="113" t="s">
        <v>123</v>
      </c>
      <c r="L39" s="113" t="s">
        <v>123</v>
      </c>
      <c r="M39" s="113" t="s">
        <v>123</v>
      </c>
      <c r="N39" s="113" t="s">
        <v>123</v>
      </c>
      <c r="O39" s="113" t="s">
        <v>123</v>
      </c>
      <c r="P39" s="113" t="s">
        <v>123</v>
      </c>
      <c r="Q39" s="113" t="s">
        <v>124</v>
      </c>
      <c r="R39" s="113" t="s">
        <v>124</v>
      </c>
      <c r="S39" s="113" t="s">
        <v>123</v>
      </c>
      <c r="T39" s="113" t="s">
        <v>123</v>
      </c>
      <c r="U39" s="113" t="s">
        <v>123</v>
      </c>
      <c r="V39" s="113" t="s">
        <v>123</v>
      </c>
      <c r="W39" s="113" t="s">
        <v>123</v>
      </c>
      <c r="X39" s="113" t="s">
        <v>123</v>
      </c>
      <c r="Y39" s="113" t="s">
        <v>123</v>
      </c>
      <c r="Z39" s="186" t="s">
        <v>123</v>
      </c>
      <c r="AA39" s="186" t="s">
        <v>123</v>
      </c>
      <c r="AB39" s="186" t="s">
        <v>123</v>
      </c>
      <c r="AC39" s="186" t="s">
        <v>123</v>
      </c>
      <c r="AD39" s="186" t="s">
        <v>123</v>
      </c>
      <c r="AE39" s="186" t="s">
        <v>123</v>
      </c>
      <c r="AF39" s="186" t="s">
        <v>123</v>
      </c>
      <c r="AG39" s="186" t="s">
        <v>123</v>
      </c>
      <c r="AH39" s="186" t="s">
        <v>123</v>
      </c>
      <c r="AI39" s="186" t="s">
        <v>123</v>
      </c>
      <c r="AJ39" s="186" t="s">
        <v>123</v>
      </c>
      <c r="AK39" s="186" t="s">
        <v>124</v>
      </c>
      <c r="AL39" s="186" t="s">
        <v>123</v>
      </c>
      <c r="AM39" s="186" t="s">
        <v>123</v>
      </c>
      <c r="AN39" s="186" t="s">
        <v>123</v>
      </c>
      <c r="AO39" s="186" t="s">
        <v>123</v>
      </c>
      <c r="AP39" s="186" t="s">
        <v>123</v>
      </c>
      <c r="AQ39" s="186" t="s">
        <v>123</v>
      </c>
      <c r="AR39" s="186" t="s">
        <v>123</v>
      </c>
      <c r="AS39" s="186" t="s">
        <v>123</v>
      </c>
      <c r="AT39" s="96" t="s">
        <v>123</v>
      </c>
      <c r="AU39" s="96" t="s">
        <v>123</v>
      </c>
      <c r="AV39" s="96" t="s">
        <v>123</v>
      </c>
      <c r="AW39" s="96" t="s">
        <v>123</v>
      </c>
      <c r="AX39" s="96" t="s">
        <v>123</v>
      </c>
      <c r="AY39" s="96" t="s">
        <v>123</v>
      </c>
      <c r="AZ39" s="96" t="s">
        <v>123</v>
      </c>
      <c r="BA39" s="96" t="s">
        <v>123</v>
      </c>
      <c r="BB39" s="96" t="s">
        <v>123</v>
      </c>
      <c r="BC39" s="96"/>
      <c r="BD39" s="88">
        <v>4</v>
      </c>
      <c r="BE39" s="88"/>
      <c r="BF39" s="88">
        <f t="shared" si="9"/>
        <v>4</v>
      </c>
      <c r="BG39" s="88">
        <v>65</v>
      </c>
      <c r="BH39" s="101">
        <f t="shared" si="1"/>
        <v>6.1538461538461542E-2</v>
      </c>
      <c r="BI39" s="374"/>
      <c r="BJ39" s="188">
        <f>OVERALL!A34</f>
        <v>31</v>
      </c>
      <c r="BK39" s="189">
        <f>OVERALL!B34</f>
        <v>2301268</v>
      </c>
      <c r="BL39" s="190" t="str">
        <f>OVERALL!C34</f>
        <v>Simba Godfrey</v>
      </c>
      <c r="BM39" s="203">
        <f t="shared" si="15"/>
        <v>65</v>
      </c>
      <c r="BN39" s="107">
        <v>35</v>
      </c>
      <c r="BO39" s="108">
        <f t="shared" si="4"/>
        <v>53.846153846153847</v>
      </c>
      <c r="BP39" s="203" t="str">
        <f t="shared" si="14"/>
        <v>0</v>
      </c>
      <c r="BQ39" s="204">
        <v>2</v>
      </c>
      <c r="BR39" s="203"/>
      <c r="BS39" s="192">
        <v>0</v>
      </c>
      <c r="BT39" s="107">
        <f t="shared" si="6"/>
        <v>1</v>
      </c>
      <c r="BU39" s="203">
        <v>8</v>
      </c>
      <c r="BV39" s="203">
        <v>8</v>
      </c>
      <c r="BW39" s="203">
        <v>0</v>
      </c>
      <c r="BX39" s="108">
        <f t="shared" si="7"/>
        <v>5.333333333333333</v>
      </c>
      <c r="BY39" s="205"/>
      <c r="BZ39" s="111">
        <f t="shared" si="8"/>
        <v>6</v>
      </c>
    </row>
    <row r="40" spans="1:78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113" t="s">
        <v>123</v>
      </c>
      <c r="E40" s="113" t="s">
        <v>123</v>
      </c>
      <c r="F40" s="113" t="s">
        <v>123</v>
      </c>
      <c r="G40" s="113" t="s">
        <v>124</v>
      </c>
      <c r="H40" s="113" t="s">
        <v>123</v>
      </c>
      <c r="I40" s="113" t="s">
        <v>123</v>
      </c>
      <c r="J40" s="113" t="s">
        <v>123</v>
      </c>
      <c r="K40" s="113" t="s">
        <v>124</v>
      </c>
      <c r="L40" s="113" t="s">
        <v>124</v>
      </c>
      <c r="M40" s="113" t="s">
        <v>123</v>
      </c>
      <c r="N40" s="113" t="s">
        <v>123</v>
      </c>
      <c r="O40" s="113" t="s">
        <v>123</v>
      </c>
      <c r="P40" s="113" t="s">
        <v>123</v>
      </c>
      <c r="Q40" s="113" t="s">
        <v>123</v>
      </c>
      <c r="R40" s="113" t="s">
        <v>123</v>
      </c>
      <c r="S40" s="113" t="s">
        <v>123</v>
      </c>
      <c r="T40" s="113" t="s">
        <v>123</v>
      </c>
      <c r="U40" s="113" t="s">
        <v>123</v>
      </c>
      <c r="V40" s="113" t="s">
        <v>123</v>
      </c>
      <c r="W40" s="113" t="s">
        <v>123</v>
      </c>
      <c r="X40" s="113" t="s">
        <v>123</v>
      </c>
      <c r="Y40" s="113" t="s">
        <v>123</v>
      </c>
      <c r="Z40" s="113" t="s">
        <v>124</v>
      </c>
      <c r="AA40" s="186" t="s">
        <v>124</v>
      </c>
      <c r="AB40" s="186" t="s">
        <v>123</v>
      </c>
      <c r="AC40" s="186" t="s">
        <v>123</v>
      </c>
      <c r="AD40" s="186" t="s">
        <v>123</v>
      </c>
      <c r="AE40" s="186" t="s">
        <v>123</v>
      </c>
      <c r="AF40" s="186" t="s">
        <v>124</v>
      </c>
      <c r="AG40" s="186" t="s">
        <v>124</v>
      </c>
      <c r="AH40" s="186" t="s">
        <v>124</v>
      </c>
      <c r="AI40" s="186" t="s">
        <v>124</v>
      </c>
      <c r="AJ40" s="186" t="s">
        <v>124</v>
      </c>
      <c r="AK40" s="186" t="s">
        <v>124</v>
      </c>
      <c r="AL40" s="186" t="s">
        <v>124</v>
      </c>
      <c r="AM40" s="186" t="s">
        <v>124</v>
      </c>
      <c r="AN40" s="186" t="s">
        <v>124</v>
      </c>
      <c r="AO40" s="186" t="s">
        <v>124</v>
      </c>
      <c r="AP40" s="186" t="s">
        <v>123</v>
      </c>
      <c r="AQ40" s="186" t="s">
        <v>124</v>
      </c>
      <c r="AR40" s="186" t="s">
        <v>124</v>
      </c>
      <c r="AS40" s="186" t="s">
        <v>124</v>
      </c>
      <c r="AT40" s="96" t="s">
        <v>124</v>
      </c>
      <c r="AU40" s="96" t="s">
        <v>124</v>
      </c>
      <c r="AV40" s="96" t="s">
        <v>124</v>
      </c>
      <c r="AW40" s="96" t="s">
        <v>124</v>
      </c>
      <c r="AX40" s="96" t="s">
        <v>123</v>
      </c>
      <c r="AY40" s="96" t="s">
        <v>123</v>
      </c>
      <c r="AZ40" s="96" t="s">
        <v>123</v>
      </c>
      <c r="BA40" s="96" t="s">
        <v>123</v>
      </c>
      <c r="BB40" s="96" t="s">
        <v>123</v>
      </c>
      <c r="BC40" s="96"/>
      <c r="BD40" s="88">
        <v>23</v>
      </c>
      <c r="BE40" s="88"/>
      <c r="BF40" s="88">
        <f t="shared" si="9"/>
        <v>23</v>
      </c>
      <c r="BG40" s="88">
        <v>65</v>
      </c>
      <c r="BH40" s="101">
        <f t="shared" si="1"/>
        <v>0.35384615384615387</v>
      </c>
      <c r="BI40" s="374"/>
      <c r="BJ40" s="188">
        <f>OVERALL!A35</f>
        <v>32</v>
      </c>
      <c r="BK40" s="189">
        <f>OVERALL!B35</f>
        <v>2301269</v>
      </c>
      <c r="BL40" s="190" t="str">
        <f>OVERALL!C35</f>
        <v>Simran Kaur</v>
      </c>
      <c r="BM40" s="203">
        <f t="shared" si="15"/>
        <v>65</v>
      </c>
      <c r="BN40" s="107">
        <f t="shared" ref="BN40:BN64" si="16">BF36</f>
        <v>47</v>
      </c>
      <c r="BO40" s="108">
        <f t="shared" si="4"/>
        <v>72.307692307692307</v>
      </c>
      <c r="BP40" s="203" t="str">
        <f t="shared" si="14"/>
        <v>0</v>
      </c>
      <c r="BQ40" s="204">
        <v>16</v>
      </c>
      <c r="BR40" s="203"/>
      <c r="BS40" s="192">
        <v>19</v>
      </c>
      <c r="BT40" s="107">
        <f t="shared" si="6"/>
        <v>17.5</v>
      </c>
      <c r="BU40" s="203">
        <v>9</v>
      </c>
      <c r="BV40" s="203">
        <v>9</v>
      </c>
      <c r="BW40" s="203">
        <v>9</v>
      </c>
      <c r="BX40" s="108">
        <f t="shared" si="7"/>
        <v>9</v>
      </c>
      <c r="BY40" s="205"/>
      <c r="BZ40" s="111">
        <f t="shared" si="8"/>
        <v>27</v>
      </c>
    </row>
    <row r="41" spans="1:78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113" t="s">
        <v>124</v>
      </c>
      <c r="E41" s="113" t="s">
        <v>124</v>
      </c>
      <c r="F41" s="113" t="s">
        <v>123</v>
      </c>
      <c r="G41" s="113" t="s">
        <v>124</v>
      </c>
      <c r="H41" s="113" t="s">
        <v>123</v>
      </c>
      <c r="I41" s="113" t="s">
        <v>124</v>
      </c>
      <c r="J41" s="113" t="s">
        <v>124</v>
      </c>
      <c r="K41" s="113" t="s">
        <v>124</v>
      </c>
      <c r="L41" s="113" t="s">
        <v>124</v>
      </c>
      <c r="M41" s="113" t="s">
        <v>124</v>
      </c>
      <c r="N41" s="113" t="s">
        <v>124</v>
      </c>
      <c r="O41" s="113" t="s">
        <v>124</v>
      </c>
      <c r="P41" s="113" t="s">
        <v>124</v>
      </c>
      <c r="Q41" s="113" t="s">
        <v>124</v>
      </c>
      <c r="R41" s="113" t="s">
        <v>124</v>
      </c>
      <c r="S41" s="113" t="s">
        <v>124</v>
      </c>
      <c r="T41" s="113" t="s">
        <v>124</v>
      </c>
      <c r="U41" s="113" t="s">
        <v>124</v>
      </c>
      <c r="V41" s="113" t="s">
        <v>124</v>
      </c>
      <c r="W41" s="113" t="s">
        <v>124</v>
      </c>
      <c r="X41" s="113" t="s">
        <v>124</v>
      </c>
      <c r="Y41" s="113" t="s">
        <v>124</v>
      </c>
      <c r="Z41" s="186" t="s">
        <v>124</v>
      </c>
      <c r="AA41" s="186" t="s">
        <v>124</v>
      </c>
      <c r="AB41" s="186" t="s">
        <v>124</v>
      </c>
      <c r="AC41" s="186" t="s">
        <v>124</v>
      </c>
      <c r="AD41" s="186" t="s">
        <v>124</v>
      </c>
      <c r="AE41" s="186" t="s">
        <v>124</v>
      </c>
      <c r="AF41" s="186" t="s">
        <v>124</v>
      </c>
      <c r="AG41" s="186" t="s">
        <v>124</v>
      </c>
      <c r="AH41" s="186" t="s">
        <v>124</v>
      </c>
      <c r="AI41" s="186" t="s">
        <v>124</v>
      </c>
      <c r="AJ41" s="186" t="s">
        <v>124</v>
      </c>
      <c r="AK41" s="186" t="s">
        <v>124</v>
      </c>
      <c r="AL41" s="186" t="s">
        <v>124</v>
      </c>
      <c r="AM41" s="186" t="s">
        <v>124</v>
      </c>
      <c r="AN41" s="186" t="s">
        <v>124</v>
      </c>
      <c r="AO41" s="186" t="s">
        <v>124</v>
      </c>
      <c r="AP41" s="96" t="s">
        <v>124</v>
      </c>
      <c r="AQ41" s="96" t="s">
        <v>123</v>
      </c>
      <c r="AR41" s="96" t="s">
        <v>123</v>
      </c>
      <c r="AS41" s="96" t="s">
        <v>123</v>
      </c>
      <c r="AT41" s="96" t="s">
        <v>123</v>
      </c>
      <c r="AU41" s="96" t="s">
        <v>123</v>
      </c>
      <c r="AV41" s="96" t="s">
        <v>123</v>
      </c>
      <c r="AW41" s="96" t="s">
        <v>123</v>
      </c>
      <c r="AX41" s="96" t="s">
        <v>123</v>
      </c>
      <c r="AY41" s="96" t="s">
        <v>123</v>
      </c>
      <c r="AZ41" s="96" t="s">
        <v>123</v>
      </c>
      <c r="BA41" s="96" t="s">
        <v>123</v>
      </c>
      <c r="BB41" s="96" t="s">
        <v>123</v>
      </c>
      <c r="BC41" s="96"/>
      <c r="BD41" s="88">
        <v>37</v>
      </c>
      <c r="BE41" s="88"/>
      <c r="BF41" s="88">
        <f t="shared" si="9"/>
        <v>37</v>
      </c>
      <c r="BG41" s="88">
        <v>65</v>
      </c>
      <c r="BH41" s="101">
        <f t="shared" si="1"/>
        <v>0.56923076923076921</v>
      </c>
      <c r="BI41" s="374"/>
      <c r="BJ41" s="188">
        <f>OVERALL!A36</f>
        <v>33</v>
      </c>
      <c r="BK41" s="189">
        <f>OVERALL!B36</f>
        <v>2301270</v>
      </c>
      <c r="BL41" s="190" t="str">
        <f>OVERALL!C36</f>
        <v>Simranjit Singh</v>
      </c>
      <c r="BM41" s="203">
        <f t="shared" si="15"/>
        <v>65</v>
      </c>
      <c r="BN41" s="107">
        <f t="shared" si="16"/>
        <v>44</v>
      </c>
      <c r="BO41" s="108">
        <f t="shared" si="4"/>
        <v>67.692307692307693</v>
      </c>
      <c r="BP41" s="203" t="str">
        <f t="shared" si="14"/>
        <v>0</v>
      </c>
      <c r="BQ41" s="204">
        <v>3</v>
      </c>
      <c r="BR41" s="203"/>
      <c r="BS41" s="192">
        <v>0</v>
      </c>
      <c r="BT41" s="107">
        <f t="shared" si="6"/>
        <v>1.5</v>
      </c>
      <c r="BU41" s="203">
        <v>8</v>
      </c>
      <c r="BV41" s="203">
        <v>8</v>
      </c>
      <c r="BW41" s="203">
        <v>10</v>
      </c>
      <c r="BX41" s="108">
        <f t="shared" si="7"/>
        <v>8.6666666666666661</v>
      </c>
      <c r="BY41" s="205"/>
      <c r="BZ41" s="111">
        <f t="shared" si="8"/>
        <v>10</v>
      </c>
    </row>
    <row r="42" spans="1:78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113" t="s">
        <v>123</v>
      </c>
      <c r="E42" s="113" t="s">
        <v>123</v>
      </c>
      <c r="F42" s="113" t="s">
        <v>123</v>
      </c>
      <c r="G42" s="113" t="s">
        <v>123</v>
      </c>
      <c r="H42" s="113" t="s">
        <v>123</v>
      </c>
      <c r="I42" s="113" t="s">
        <v>123</v>
      </c>
      <c r="J42" s="113" t="s">
        <v>123</v>
      </c>
      <c r="K42" s="113" t="s">
        <v>123</v>
      </c>
      <c r="L42" s="113" t="s">
        <v>123</v>
      </c>
      <c r="M42" s="113" t="s">
        <v>124</v>
      </c>
      <c r="N42" s="113" t="s">
        <v>124</v>
      </c>
      <c r="O42" s="113" t="s">
        <v>124</v>
      </c>
      <c r="P42" s="113" t="s">
        <v>124</v>
      </c>
      <c r="Q42" s="113" t="s">
        <v>124</v>
      </c>
      <c r="R42" s="113" t="s">
        <v>124</v>
      </c>
      <c r="S42" s="113" t="s">
        <v>124</v>
      </c>
      <c r="T42" s="113" t="s">
        <v>124</v>
      </c>
      <c r="U42" s="113" t="s">
        <v>124</v>
      </c>
      <c r="V42" s="113" t="s">
        <v>124</v>
      </c>
      <c r="W42" s="113" t="s">
        <v>124</v>
      </c>
      <c r="X42" s="113" t="s">
        <v>124</v>
      </c>
      <c r="Y42" s="113" t="s">
        <v>124</v>
      </c>
      <c r="Z42" s="113" t="s">
        <v>124</v>
      </c>
      <c r="AA42" s="186" t="s">
        <v>124</v>
      </c>
      <c r="AB42" s="186" t="s">
        <v>124</v>
      </c>
      <c r="AC42" s="186" t="s">
        <v>124</v>
      </c>
      <c r="AD42" s="113" t="s">
        <v>123</v>
      </c>
      <c r="AE42" s="113" t="s">
        <v>124</v>
      </c>
      <c r="AF42" s="113" t="s">
        <v>124</v>
      </c>
      <c r="AG42" s="113" t="s">
        <v>124</v>
      </c>
      <c r="AH42" s="113" t="s">
        <v>124</v>
      </c>
      <c r="AI42" s="113" t="s">
        <v>124</v>
      </c>
      <c r="AJ42" s="113" t="s">
        <v>124</v>
      </c>
      <c r="AK42" s="113" t="s">
        <v>124</v>
      </c>
      <c r="AL42" s="113" t="s">
        <v>124</v>
      </c>
      <c r="AM42" s="96" t="s">
        <v>124</v>
      </c>
      <c r="AN42" s="96" t="s">
        <v>124</v>
      </c>
      <c r="AO42" s="96" t="s">
        <v>124</v>
      </c>
      <c r="AP42" s="96" t="s">
        <v>124</v>
      </c>
      <c r="AQ42" s="96" t="s">
        <v>124</v>
      </c>
      <c r="AR42" s="96" t="s">
        <v>124</v>
      </c>
      <c r="AS42" s="96" t="s">
        <v>124</v>
      </c>
      <c r="AT42" s="96" t="s">
        <v>124</v>
      </c>
      <c r="AU42" s="96" t="s">
        <v>124</v>
      </c>
      <c r="AV42" s="96" t="s">
        <v>124</v>
      </c>
      <c r="AW42" s="96" t="s">
        <v>124</v>
      </c>
      <c r="AX42" s="96" t="s">
        <v>123</v>
      </c>
      <c r="AY42" s="96" t="s">
        <v>124</v>
      </c>
      <c r="AZ42" s="96" t="s">
        <v>123</v>
      </c>
      <c r="BA42" s="96" t="s">
        <v>123</v>
      </c>
      <c r="BB42" s="96" t="s">
        <v>123</v>
      </c>
      <c r="BC42" s="96"/>
      <c r="BD42" s="88">
        <v>45</v>
      </c>
      <c r="BE42" s="88">
        <v>2</v>
      </c>
      <c r="BF42" s="88">
        <f t="shared" si="9"/>
        <v>47</v>
      </c>
      <c r="BG42" s="88">
        <v>65</v>
      </c>
      <c r="BH42" s="101">
        <f t="shared" si="1"/>
        <v>0.72307692307692306</v>
      </c>
      <c r="BI42" s="374"/>
      <c r="BJ42" s="188">
        <f>OVERALL!A37</f>
        <v>34</v>
      </c>
      <c r="BK42" s="189">
        <f>OVERALL!B37</f>
        <v>2301271</v>
      </c>
      <c r="BL42" s="190" t="str">
        <f>OVERALL!C37</f>
        <v>Sudip Sunar</v>
      </c>
      <c r="BM42" s="203">
        <f t="shared" si="15"/>
        <v>65</v>
      </c>
      <c r="BN42" s="107">
        <f t="shared" si="16"/>
        <v>53</v>
      </c>
      <c r="BO42" s="108">
        <f t="shared" si="4"/>
        <v>81.538461538461533</v>
      </c>
      <c r="BP42" s="203" t="str">
        <f t="shared" si="14"/>
        <v>3</v>
      </c>
      <c r="BQ42" s="204">
        <v>14</v>
      </c>
      <c r="BR42" s="203"/>
      <c r="BS42" s="192">
        <v>4</v>
      </c>
      <c r="BT42" s="107">
        <f t="shared" si="6"/>
        <v>9</v>
      </c>
      <c r="BU42" s="203">
        <v>8</v>
      </c>
      <c r="BV42" s="203">
        <v>8</v>
      </c>
      <c r="BW42" s="203">
        <v>10</v>
      </c>
      <c r="BX42" s="108">
        <f t="shared" si="7"/>
        <v>8.6666666666666661</v>
      </c>
      <c r="BY42" s="205"/>
      <c r="BZ42" s="111">
        <f t="shared" si="8"/>
        <v>21</v>
      </c>
    </row>
    <row r="43" spans="1:78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209" t="s">
        <v>123</v>
      </c>
      <c r="E43" s="209" t="s">
        <v>123</v>
      </c>
      <c r="F43" s="209" t="s">
        <v>123</v>
      </c>
      <c r="G43" s="209" t="s">
        <v>123</v>
      </c>
      <c r="H43" s="209" t="s">
        <v>123</v>
      </c>
      <c r="I43" s="209" t="s">
        <v>123</v>
      </c>
      <c r="J43" s="209" t="s">
        <v>123</v>
      </c>
      <c r="K43" s="209" t="s">
        <v>123</v>
      </c>
      <c r="L43" s="209" t="s">
        <v>123</v>
      </c>
      <c r="M43" s="209" t="s">
        <v>123</v>
      </c>
      <c r="N43" s="209" t="s">
        <v>123</v>
      </c>
      <c r="O43" s="209" t="s">
        <v>123</v>
      </c>
      <c r="P43" s="209" t="s">
        <v>123</v>
      </c>
      <c r="Q43" s="209" t="s">
        <v>123</v>
      </c>
      <c r="R43" s="209" t="s">
        <v>123</v>
      </c>
      <c r="S43" s="209" t="s">
        <v>123</v>
      </c>
      <c r="T43" s="209" t="s">
        <v>123</v>
      </c>
      <c r="U43" s="209" t="s">
        <v>123</v>
      </c>
      <c r="V43" s="209" t="s">
        <v>123</v>
      </c>
      <c r="W43" s="209" t="s">
        <v>123</v>
      </c>
      <c r="X43" s="209" t="s">
        <v>123</v>
      </c>
      <c r="Y43" s="209" t="s">
        <v>123</v>
      </c>
      <c r="Z43" s="210" t="s">
        <v>123</v>
      </c>
      <c r="AA43" s="210" t="s">
        <v>123</v>
      </c>
      <c r="AB43" s="210" t="s">
        <v>123</v>
      </c>
      <c r="AC43" s="210" t="s">
        <v>123</v>
      </c>
      <c r="AD43" s="210" t="s">
        <v>123</v>
      </c>
      <c r="AE43" s="210" t="s">
        <v>123</v>
      </c>
      <c r="AF43" s="210" t="s">
        <v>123</v>
      </c>
      <c r="AG43" s="210" t="s">
        <v>123</v>
      </c>
      <c r="AH43" s="210" t="s">
        <v>123</v>
      </c>
      <c r="AI43" s="210" t="s">
        <v>123</v>
      </c>
      <c r="AJ43" s="210" t="s">
        <v>123</v>
      </c>
      <c r="AK43" s="210" t="s">
        <v>123</v>
      </c>
      <c r="AL43" s="210" t="s">
        <v>123</v>
      </c>
      <c r="AM43" s="210" t="s">
        <v>123</v>
      </c>
      <c r="AN43" s="210" t="s">
        <v>123</v>
      </c>
      <c r="AO43" s="210" t="s">
        <v>123</v>
      </c>
      <c r="AP43" s="210" t="s">
        <v>123</v>
      </c>
      <c r="AQ43" s="210" t="s">
        <v>123</v>
      </c>
      <c r="AR43" s="210" t="s">
        <v>123</v>
      </c>
      <c r="AS43" s="210" t="s">
        <v>123</v>
      </c>
      <c r="AT43" s="211" t="s">
        <v>123</v>
      </c>
      <c r="AU43" s="211" t="s">
        <v>123</v>
      </c>
      <c r="AV43" s="211" t="s">
        <v>123</v>
      </c>
      <c r="AW43" s="211" t="s">
        <v>123</v>
      </c>
      <c r="AX43" s="211" t="s">
        <v>123</v>
      </c>
      <c r="AY43" s="211" t="s">
        <v>123</v>
      </c>
      <c r="AZ43" s="211" t="s">
        <v>123</v>
      </c>
      <c r="BA43" s="211" t="s">
        <v>123</v>
      </c>
      <c r="BB43" s="211" t="s">
        <v>123</v>
      </c>
      <c r="BC43" s="211"/>
      <c r="BD43" s="212">
        <f>COUNTIF(D43:BC43,"P")</f>
        <v>0</v>
      </c>
      <c r="BE43" s="212"/>
      <c r="BF43" s="88">
        <f t="shared" si="9"/>
        <v>0</v>
      </c>
      <c r="BG43" s="88">
        <v>65</v>
      </c>
      <c r="BH43" s="213">
        <f t="shared" si="1"/>
        <v>0</v>
      </c>
      <c r="BI43" s="374"/>
      <c r="BJ43" s="188">
        <f>OVERALL!A38</f>
        <v>35</v>
      </c>
      <c r="BK43" s="189">
        <f>OVERALL!B38</f>
        <v>2301272</v>
      </c>
      <c r="BL43" s="190" t="str">
        <f>OVERALL!C38</f>
        <v>Sujal Sharma</v>
      </c>
      <c r="BM43" s="214">
        <f t="shared" si="15"/>
        <v>65</v>
      </c>
      <c r="BN43" s="107">
        <f t="shared" si="16"/>
        <v>4</v>
      </c>
      <c r="BO43" s="108">
        <f t="shared" si="4"/>
        <v>6.1538461538461533</v>
      </c>
      <c r="BP43" s="214" t="str">
        <f t="shared" si="14"/>
        <v>0</v>
      </c>
      <c r="BQ43" s="215">
        <v>0</v>
      </c>
      <c r="BR43" s="214"/>
      <c r="BS43" s="192">
        <v>0</v>
      </c>
      <c r="BT43" s="107">
        <f t="shared" si="6"/>
        <v>0</v>
      </c>
      <c r="BU43" s="214">
        <v>0</v>
      </c>
      <c r="BV43" s="214">
        <v>0</v>
      </c>
      <c r="BW43" s="214">
        <v>0</v>
      </c>
      <c r="BX43" s="108">
        <f t="shared" si="7"/>
        <v>0</v>
      </c>
      <c r="BY43" s="216"/>
      <c r="BZ43" s="111">
        <f t="shared" si="8"/>
        <v>0</v>
      </c>
    </row>
    <row r="44" spans="1:78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113" t="s">
        <v>123</v>
      </c>
      <c r="E44" s="113" t="s">
        <v>123</v>
      </c>
      <c r="F44" s="113" t="s">
        <v>124</v>
      </c>
      <c r="G44" s="113" t="s">
        <v>123</v>
      </c>
      <c r="H44" s="113" t="s">
        <v>124</v>
      </c>
      <c r="I44" s="113" t="s">
        <v>123</v>
      </c>
      <c r="J44" s="113" t="s">
        <v>124</v>
      </c>
      <c r="K44" s="113" t="s">
        <v>124</v>
      </c>
      <c r="L44" s="113" t="s">
        <v>124</v>
      </c>
      <c r="M44" s="113" t="s">
        <v>123</v>
      </c>
      <c r="N44" s="113" t="s">
        <v>124</v>
      </c>
      <c r="O44" s="113" t="s">
        <v>124</v>
      </c>
      <c r="P44" s="113" t="s">
        <v>124</v>
      </c>
      <c r="Q44" s="113" t="s">
        <v>123</v>
      </c>
      <c r="R44" s="186" t="s">
        <v>123</v>
      </c>
      <c r="S44" s="156" t="s">
        <v>124</v>
      </c>
      <c r="T44" s="113" t="s">
        <v>124</v>
      </c>
      <c r="U44" s="113" t="s">
        <v>123</v>
      </c>
      <c r="V44" s="113" t="s">
        <v>124</v>
      </c>
      <c r="W44" s="113" t="s">
        <v>123</v>
      </c>
      <c r="X44" s="113" t="s">
        <v>124</v>
      </c>
      <c r="Y44" s="113" t="s">
        <v>124</v>
      </c>
      <c r="Z44" s="186" t="s">
        <v>124</v>
      </c>
      <c r="AA44" s="113" t="s">
        <v>124</v>
      </c>
      <c r="AB44" s="186" t="s">
        <v>124</v>
      </c>
      <c r="AC44" s="186" t="s">
        <v>124</v>
      </c>
      <c r="AD44" s="113" t="s">
        <v>124</v>
      </c>
      <c r="AE44" s="113" t="s">
        <v>123</v>
      </c>
      <c r="AF44" s="113" t="s">
        <v>124</v>
      </c>
      <c r="AG44" s="113" t="s">
        <v>123</v>
      </c>
      <c r="AH44" s="113" t="s">
        <v>124</v>
      </c>
      <c r="AI44" s="113" t="s">
        <v>124</v>
      </c>
      <c r="AJ44" s="113" t="s">
        <v>124</v>
      </c>
      <c r="AK44" s="113" t="s">
        <v>124</v>
      </c>
      <c r="AL44" s="113" t="s">
        <v>123</v>
      </c>
      <c r="AM44" s="96" t="s">
        <v>124</v>
      </c>
      <c r="AN44" s="96" t="s">
        <v>123</v>
      </c>
      <c r="AO44" s="96" t="s">
        <v>123</v>
      </c>
      <c r="AP44" s="96" t="s">
        <v>123</v>
      </c>
      <c r="AQ44" s="96" t="s">
        <v>124</v>
      </c>
      <c r="AR44" s="96" t="s">
        <v>124</v>
      </c>
      <c r="AS44" s="96" t="s">
        <v>124</v>
      </c>
      <c r="AT44" s="96" t="s">
        <v>124</v>
      </c>
      <c r="AU44" s="96" t="s">
        <v>123</v>
      </c>
      <c r="AV44" s="96" t="s">
        <v>123</v>
      </c>
      <c r="AW44" s="96" t="s">
        <v>123</v>
      </c>
      <c r="AX44" s="96" t="s">
        <v>123</v>
      </c>
      <c r="AY44" s="96" t="s">
        <v>123</v>
      </c>
      <c r="AZ44" s="96" t="s">
        <v>123</v>
      </c>
      <c r="BA44" s="96" t="s">
        <v>123</v>
      </c>
      <c r="BB44" s="96" t="s">
        <v>124</v>
      </c>
      <c r="BC44" s="96"/>
      <c r="BD44" s="88">
        <v>31</v>
      </c>
      <c r="BE44" s="88"/>
      <c r="BF44" s="88">
        <f t="shared" si="9"/>
        <v>31</v>
      </c>
      <c r="BG44" s="88">
        <v>65</v>
      </c>
      <c r="BH44" s="101">
        <f t="shared" si="1"/>
        <v>0.47692307692307695</v>
      </c>
      <c r="BI44" s="374"/>
      <c r="BJ44" s="188">
        <f>OVERALL!A39</f>
        <v>36</v>
      </c>
      <c r="BK44" s="189">
        <f>OVERALL!B39</f>
        <v>2301273</v>
      </c>
      <c r="BL44" s="190" t="str">
        <f>OVERALL!C39</f>
        <v>Sukhraj Singh</v>
      </c>
      <c r="BM44" s="203">
        <f t="shared" si="15"/>
        <v>65</v>
      </c>
      <c r="BN44" s="107">
        <f t="shared" si="16"/>
        <v>23</v>
      </c>
      <c r="BO44" s="108">
        <f t="shared" si="4"/>
        <v>35.384615384615387</v>
      </c>
      <c r="BP44" s="203" t="str">
        <f t="shared" si="14"/>
        <v>0</v>
      </c>
      <c r="BQ44" s="204">
        <v>6</v>
      </c>
      <c r="BR44" s="203"/>
      <c r="BS44" s="192">
        <v>2</v>
      </c>
      <c r="BT44" s="107">
        <f t="shared" si="6"/>
        <v>4</v>
      </c>
      <c r="BU44" s="203">
        <v>0</v>
      </c>
      <c r="BV44" s="203">
        <v>0</v>
      </c>
      <c r="BW44" s="203">
        <v>0</v>
      </c>
      <c r="BX44" s="108">
        <f t="shared" si="7"/>
        <v>0</v>
      </c>
      <c r="BY44" s="205"/>
      <c r="BZ44" s="111">
        <f t="shared" si="8"/>
        <v>4</v>
      </c>
    </row>
    <row r="45" spans="1:78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113" t="s">
        <v>123</v>
      </c>
      <c r="E45" s="113" t="s">
        <v>123</v>
      </c>
      <c r="F45" s="113" t="s">
        <v>123</v>
      </c>
      <c r="G45" s="113" t="s">
        <v>123</v>
      </c>
      <c r="H45" s="113" t="s">
        <v>123</v>
      </c>
      <c r="I45" s="113" t="s">
        <v>123</v>
      </c>
      <c r="J45" s="113" t="s">
        <v>123</v>
      </c>
      <c r="K45" s="113" t="s">
        <v>123</v>
      </c>
      <c r="L45" s="113" t="s">
        <v>123</v>
      </c>
      <c r="M45" s="113" t="s">
        <v>123</v>
      </c>
      <c r="N45" s="113" t="s">
        <v>123</v>
      </c>
      <c r="O45" s="113" t="s">
        <v>123</v>
      </c>
      <c r="P45" s="113" t="s">
        <v>123</v>
      </c>
      <c r="Q45" s="113" t="s">
        <v>123</v>
      </c>
      <c r="R45" s="113" t="s">
        <v>123</v>
      </c>
      <c r="S45" s="113" t="s">
        <v>124</v>
      </c>
      <c r="T45" s="113" t="s">
        <v>124</v>
      </c>
      <c r="U45" s="113" t="s">
        <v>123</v>
      </c>
      <c r="V45" s="113" t="s">
        <v>123</v>
      </c>
      <c r="W45" s="113" t="s">
        <v>124</v>
      </c>
      <c r="X45" s="113" t="s">
        <v>124</v>
      </c>
      <c r="Y45" s="113" t="s">
        <v>123</v>
      </c>
      <c r="Z45" s="113" t="s">
        <v>124</v>
      </c>
      <c r="AA45" s="186" t="s">
        <v>124</v>
      </c>
      <c r="AB45" s="186" t="s">
        <v>124</v>
      </c>
      <c r="AC45" s="113" t="s">
        <v>124</v>
      </c>
      <c r="AD45" s="186" t="s">
        <v>124</v>
      </c>
      <c r="AE45" s="186" t="s">
        <v>124</v>
      </c>
      <c r="AF45" s="186" t="s">
        <v>124</v>
      </c>
      <c r="AG45" s="186" t="s">
        <v>124</v>
      </c>
      <c r="AH45" s="186" t="s">
        <v>124</v>
      </c>
      <c r="AI45" s="186" t="s">
        <v>124</v>
      </c>
      <c r="AJ45" s="186" t="s">
        <v>124</v>
      </c>
      <c r="AK45" s="186" t="s">
        <v>123</v>
      </c>
      <c r="AL45" s="186" t="s">
        <v>123</v>
      </c>
      <c r="AM45" s="96" t="s">
        <v>124</v>
      </c>
      <c r="AN45" s="96" t="s">
        <v>124</v>
      </c>
      <c r="AO45" s="96" t="s">
        <v>124</v>
      </c>
      <c r="AP45" s="96" t="s">
        <v>123</v>
      </c>
      <c r="AQ45" s="96" t="s">
        <v>123</v>
      </c>
      <c r="AR45" s="96" t="s">
        <v>123</v>
      </c>
      <c r="AS45" s="96" t="s">
        <v>123</v>
      </c>
      <c r="AT45" s="96" t="s">
        <v>124</v>
      </c>
      <c r="AU45" s="96" t="s">
        <v>123</v>
      </c>
      <c r="AV45" s="96" t="s">
        <v>123</v>
      </c>
      <c r="AW45" s="96" t="s">
        <v>123</v>
      </c>
      <c r="AX45" s="96" t="s">
        <v>123</v>
      </c>
      <c r="AY45" s="96" t="s">
        <v>123</v>
      </c>
      <c r="AZ45" s="96" t="s">
        <v>123</v>
      </c>
      <c r="BA45" s="96" t="s">
        <v>123</v>
      </c>
      <c r="BB45" s="96" t="s">
        <v>123</v>
      </c>
      <c r="BC45" s="96"/>
      <c r="BD45" s="88">
        <v>20</v>
      </c>
      <c r="BE45" s="88">
        <v>5</v>
      </c>
      <c r="BF45" s="88">
        <f t="shared" si="9"/>
        <v>25</v>
      </c>
      <c r="BG45" s="88">
        <v>65</v>
      </c>
      <c r="BH45" s="101">
        <f t="shared" si="1"/>
        <v>0.38461538461538464</v>
      </c>
      <c r="BI45" s="374"/>
      <c r="BJ45" s="188">
        <f>OVERALL!A40</f>
        <v>37</v>
      </c>
      <c r="BK45" s="189">
        <f>OVERALL!B40</f>
        <v>2301274</v>
      </c>
      <c r="BL45" s="190" t="str">
        <f>OVERALL!C40</f>
        <v>Sukhreet Kaur</v>
      </c>
      <c r="BM45" s="203">
        <f t="shared" si="15"/>
        <v>65</v>
      </c>
      <c r="BN45" s="107">
        <f t="shared" si="16"/>
        <v>37</v>
      </c>
      <c r="BO45" s="108">
        <f t="shared" si="4"/>
        <v>56.92307692307692</v>
      </c>
      <c r="BP45" s="203" t="str">
        <f t="shared" si="14"/>
        <v>0</v>
      </c>
      <c r="BQ45" s="204">
        <v>17</v>
      </c>
      <c r="BR45" s="203"/>
      <c r="BS45" s="198">
        <v>17</v>
      </c>
      <c r="BT45" s="107">
        <f t="shared" si="6"/>
        <v>17</v>
      </c>
      <c r="BU45" s="203">
        <v>10</v>
      </c>
      <c r="BV45" s="203">
        <v>10</v>
      </c>
      <c r="BW45" s="203">
        <v>8</v>
      </c>
      <c r="BX45" s="108">
        <f t="shared" si="7"/>
        <v>9.3333333333333339</v>
      </c>
      <c r="BY45" s="205"/>
      <c r="BZ45" s="111">
        <f t="shared" si="8"/>
        <v>26</v>
      </c>
    </row>
    <row r="46" spans="1:78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13" t="s">
        <v>123</v>
      </c>
      <c r="E46" s="113" t="s">
        <v>124</v>
      </c>
      <c r="F46" s="113" t="s">
        <v>124</v>
      </c>
      <c r="G46" s="113" t="s">
        <v>124</v>
      </c>
      <c r="H46" s="113" t="s">
        <v>124</v>
      </c>
      <c r="I46" s="113" t="s">
        <v>124</v>
      </c>
      <c r="J46" s="113" t="s">
        <v>124</v>
      </c>
      <c r="K46" s="113" t="s">
        <v>124</v>
      </c>
      <c r="L46" s="113" t="s">
        <v>124</v>
      </c>
      <c r="M46" s="113" t="s">
        <v>124</v>
      </c>
      <c r="N46" s="113" t="s">
        <v>124</v>
      </c>
      <c r="O46" s="113" t="s">
        <v>124</v>
      </c>
      <c r="P46" s="113" t="s">
        <v>124</v>
      </c>
      <c r="Q46" s="113" t="s">
        <v>123</v>
      </c>
      <c r="R46" s="113" t="s">
        <v>124</v>
      </c>
      <c r="S46" s="113" t="s">
        <v>124</v>
      </c>
      <c r="T46" s="113" t="s">
        <v>123</v>
      </c>
      <c r="U46" s="113" t="s">
        <v>124</v>
      </c>
      <c r="V46" s="113" t="s">
        <v>124</v>
      </c>
      <c r="W46" s="113" t="s">
        <v>124</v>
      </c>
      <c r="X46" s="113" t="s">
        <v>124</v>
      </c>
      <c r="Y46" s="113" t="s">
        <v>123</v>
      </c>
      <c r="Z46" s="113" t="s">
        <v>124</v>
      </c>
      <c r="AA46" s="186" t="s">
        <v>124</v>
      </c>
      <c r="AB46" s="186" t="s">
        <v>124</v>
      </c>
      <c r="AC46" s="186" t="s">
        <v>124</v>
      </c>
      <c r="AD46" s="186" t="s">
        <v>123</v>
      </c>
      <c r="AE46" s="186" t="s">
        <v>124</v>
      </c>
      <c r="AF46" s="186" t="s">
        <v>124</v>
      </c>
      <c r="AG46" s="186" t="s">
        <v>124</v>
      </c>
      <c r="AH46" s="186" t="s">
        <v>124</v>
      </c>
      <c r="AI46" s="186" t="s">
        <v>124</v>
      </c>
      <c r="AJ46" s="186" t="s">
        <v>124</v>
      </c>
      <c r="AK46" s="186" t="s">
        <v>123</v>
      </c>
      <c r="AL46" s="186" t="s">
        <v>123</v>
      </c>
      <c r="AM46" s="96" t="s">
        <v>124</v>
      </c>
      <c r="AN46" s="96" t="s">
        <v>124</v>
      </c>
      <c r="AO46" s="96" t="s">
        <v>124</v>
      </c>
      <c r="AP46" s="96" t="s">
        <v>124</v>
      </c>
      <c r="AQ46" s="96" t="s">
        <v>124</v>
      </c>
      <c r="AR46" s="96" t="s">
        <v>124</v>
      </c>
      <c r="AS46" s="96" t="s">
        <v>123</v>
      </c>
      <c r="AT46" s="96" t="s">
        <v>124</v>
      </c>
      <c r="AU46" s="96" t="s">
        <v>124</v>
      </c>
      <c r="AV46" s="96" t="s">
        <v>124</v>
      </c>
      <c r="AW46" s="96" t="s">
        <v>124</v>
      </c>
      <c r="AX46" s="96" t="s">
        <v>123</v>
      </c>
      <c r="AY46" s="96" t="s">
        <v>124</v>
      </c>
      <c r="AZ46" s="96" t="s">
        <v>123</v>
      </c>
      <c r="BA46" s="96" t="s">
        <v>123</v>
      </c>
      <c r="BB46" s="96" t="s">
        <v>123</v>
      </c>
      <c r="BC46" s="96"/>
      <c r="BD46" s="88">
        <v>48</v>
      </c>
      <c r="BE46" s="88">
        <v>5</v>
      </c>
      <c r="BF46" s="88">
        <f t="shared" si="9"/>
        <v>53</v>
      </c>
      <c r="BG46" s="88">
        <v>65</v>
      </c>
      <c r="BH46" s="101">
        <f t="shared" si="1"/>
        <v>0.81538461538461537</v>
      </c>
      <c r="BI46" s="374"/>
      <c r="BJ46" s="188">
        <f>OVERALL!A41</f>
        <v>38</v>
      </c>
      <c r="BK46" s="189">
        <f>OVERALL!B41</f>
        <v>2301275</v>
      </c>
      <c r="BL46" s="190" t="str">
        <f>OVERALL!C41</f>
        <v>Suman Krishna</v>
      </c>
      <c r="BM46" s="203">
        <f t="shared" si="15"/>
        <v>65</v>
      </c>
      <c r="BN46" s="107">
        <f t="shared" si="16"/>
        <v>47</v>
      </c>
      <c r="BO46" s="108">
        <f t="shared" si="4"/>
        <v>72.307692307692307</v>
      </c>
      <c r="BP46" s="203" t="str">
        <f t="shared" si="14"/>
        <v>0</v>
      </c>
      <c r="BQ46" s="204">
        <v>10</v>
      </c>
      <c r="BR46" s="203"/>
      <c r="BS46" s="192">
        <v>5</v>
      </c>
      <c r="BT46" s="107">
        <f t="shared" si="6"/>
        <v>7.5</v>
      </c>
      <c r="BU46" s="203">
        <v>9</v>
      </c>
      <c r="BV46" s="203">
        <v>9</v>
      </c>
      <c r="BW46" s="203">
        <v>9</v>
      </c>
      <c r="BX46" s="108">
        <f t="shared" si="7"/>
        <v>9</v>
      </c>
      <c r="BY46" s="205"/>
      <c r="BZ46" s="111">
        <f t="shared" si="8"/>
        <v>17</v>
      </c>
    </row>
    <row r="47" spans="1:78" ht="15.75" customHeight="1">
      <c r="A47" s="105">
        <f>OVERALL!A46</f>
        <v>43</v>
      </c>
      <c r="B47" s="105">
        <f>OVERALL!B46</f>
        <v>2301280</v>
      </c>
      <c r="C47" s="106" t="str">
        <f>OVERALL!C46</f>
        <v>Taniya</v>
      </c>
      <c r="D47" s="113" t="s">
        <v>123</v>
      </c>
      <c r="E47" s="113" t="s">
        <v>124</v>
      </c>
      <c r="F47" s="113" t="s">
        <v>123</v>
      </c>
      <c r="G47" s="113" t="s">
        <v>123</v>
      </c>
      <c r="H47" s="113" t="s">
        <v>123</v>
      </c>
      <c r="I47" s="113" t="s">
        <v>123</v>
      </c>
      <c r="J47" s="113" t="s">
        <v>124</v>
      </c>
      <c r="K47" s="113" t="s">
        <v>124</v>
      </c>
      <c r="L47" s="113" t="s">
        <v>124</v>
      </c>
      <c r="M47" s="113" t="s">
        <v>123</v>
      </c>
      <c r="N47" s="113" t="s">
        <v>123</v>
      </c>
      <c r="O47" s="113" t="s">
        <v>123</v>
      </c>
      <c r="P47" s="113" t="s">
        <v>123</v>
      </c>
      <c r="Q47" s="113" t="s">
        <v>123</v>
      </c>
      <c r="R47" s="113" t="s">
        <v>123</v>
      </c>
      <c r="S47" s="113" t="s">
        <v>123</v>
      </c>
      <c r="T47" s="113" t="s">
        <v>123</v>
      </c>
      <c r="U47" s="113" t="s">
        <v>123</v>
      </c>
      <c r="V47" s="113" t="s">
        <v>123</v>
      </c>
      <c r="W47" s="113" t="s">
        <v>123</v>
      </c>
      <c r="X47" s="113" t="s">
        <v>124</v>
      </c>
      <c r="Y47" s="113" t="s">
        <v>123</v>
      </c>
      <c r="Z47" s="113" t="s">
        <v>123</v>
      </c>
      <c r="AA47" s="186" t="s">
        <v>124</v>
      </c>
      <c r="AB47" s="186" t="s">
        <v>124</v>
      </c>
      <c r="AC47" s="186" t="s">
        <v>124</v>
      </c>
      <c r="AD47" s="113" t="s">
        <v>124</v>
      </c>
      <c r="AE47" s="113" t="s">
        <v>123</v>
      </c>
      <c r="AF47" s="113" t="s">
        <v>124</v>
      </c>
      <c r="AG47" s="113" t="s">
        <v>124</v>
      </c>
      <c r="AH47" s="113" t="s">
        <v>124</v>
      </c>
      <c r="AI47" s="113" t="s">
        <v>124</v>
      </c>
      <c r="AJ47" s="113" t="s">
        <v>124</v>
      </c>
      <c r="AK47" s="113" t="s">
        <v>124</v>
      </c>
      <c r="AL47" s="113" t="s">
        <v>124</v>
      </c>
      <c r="AM47" s="96" t="s">
        <v>124</v>
      </c>
      <c r="AN47" s="96" t="s">
        <v>123</v>
      </c>
      <c r="AO47" s="96" t="s">
        <v>123</v>
      </c>
      <c r="AP47" s="96" t="s">
        <v>124</v>
      </c>
      <c r="AQ47" s="96" t="s">
        <v>124</v>
      </c>
      <c r="AR47" s="96" t="s">
        <v>124</v>
      </c>
      <c r="AS47" s="96" t="s">
        <v>124</v>
      </c>
      <c r="AT47" s="96" t="s">
        <v>124</v>
      </c>
      <c r="AU47" s="96" t="s">
        <v>124</v>
      </c>
      <c r="AV47" s="96" t="s">
        <v>124</v>
      </c>
      <c r="AW47" s="96" t="s">
        <v>124</v>
      </c>
      <c r="AX47" s="96" t="s">
        <v>123</v>
      </c>
      <c r="AY47" s="96" t="s">
        <v>123</v>
      </c>
      <c r="AZ47" s="96" t="s">
        <v>123</v>
      </c>
      <c r="BA47" s="96" t="s">
        <v>123</v>
      </c>
      <c r="BB47" s="96" t="s">
        <v>123</v>
      </c>
      <c r="BC47" s="96"/>
      <c r="BD47" s="88">
        <v>30</v>
      </c>
      <c r="BE47" s="88"/>
      <c r="BF47" s="88">
        <f t="shared" si="9"/>
        <v>30</v>
      </c>
      <c r="BG47" s="88">
        <v>65</v>
      </c>
      <c r="BH47" s="101">
        <f t="shared" si="1"/>
        <v>0.46153846153846156</v>
      </c>
      <c r="BI47" s="374"/>
      <c r="BJ47" s="188">
        <f>OVERALL!A42</f>
        <v>39</v>
      </c>
      <c r="BK47" s="189">
        <f>OVERALL!B42</f>
        <v>2301276</v>
      </c>
      <c r="BL47" s="190" t="str">
        <f>OVERALL!C42</f>
        <v>Sumanyu</v>
      </c>
      <c r="BM47" s="203">
        <f t="shared" si="15"/>
        <v>65</v>
      </c>
      <c r="BN47" s="107">
        <f t="shared" si="16"/>
        <v>0</v>
      </c>
      <c r="BO47" s="108">
        <f t="shared" si="4"/>
        <v>0</v>
      </c>
      <c r="BP47" s="203" t="str">
        <f t="shared" si="14"/>
        <v>0</v>
      </c>
      <c r="BQ47" s="204">
        <v>0</v>
      </c>
      <c r="BR47" s="203"/>
      <c r="BS47" s="192">
        <v>0</v>
      </c>
      <c r="BT47" s="107">
        <f t="shared" si="6"/>
        <v>0</v>
      </c>
      <c r="BU47" s="203">
        <v>0</v>
      </c>
      <c r="BV47" s="203">
        <v>0</v>
      </c>
      <c r="BW47" s="203">
        <v>0</v>
      </c>
      <c r="BX47" s="108">
        <f t="shared" si="7"/>
        <v>0</v>
      </c>
      <c r="BY47" s="205"/>
      <c r="BZ47" s="111">
        <f t="shared" si="8"/>
        <v>0</v>
      </c>
    </row>
    <row r="48" spans="1:78" ht="15.75" customHeight="1">
      <c r="A48" s="217">
        <f>OVERALL!A47</f>
        <v>44</v>
      </c>
      <c r="B48" s="217">
        <f>OVERALL!B47</f>
        <v>2301281</v>
      </c>
      <c r="C48" s="218" t="str">
        <f>OVERALL!C47</f>
        <v>Taziko Trakha</v>
      </c>
      <c r="D48" s="113" t="s">
        <v>123</v>
      </c>
      <c r="E48" s="113" t="s">
        <v>124</v>
      </c>
      <c r="F48" s="113" t="s">
        <v>124</v>
      </c>
      <c r="G48" s="113" t="s">
        <v>124</v>
      </c>
      <c r="H48" s="113" t="s">
        <v>124</v>
      </c>
      <c r="I48" s="113" t="s">
        <v>124</v>
      </c>
      <c r="J48" s="113" t="s">
        <v>124</v>
      </c>
      <c r="K48" s="113" t="s">
        <v>124</v>
      </c>
      <c r="L48" s="113" t="s">
        <v>124</v>
      </c>
      <c r="M48" s="113" t="s">
        <v>124</v>
      </c>
      <c r="N48" s="113" t="s">
        <v>124</v>
      </c>
      <c r="O48" s="113" t="s">
        <v>123</v>
      </c>
      <c r="P48" s="113" t="s">
        <v>124</v>
      </c>
      <c r="Q48" s="113" t="s">
        <v>123</v>
      </c>
      <c r="R48" s="186" t="s">
        <v>124</v>
      </c>
      <c r="S48" s="156" t="s">
        <v>124</v>
      </c>
      <c r="T48" s="113" t="s">
        <v>123</v>
      </c>
      <c r="U48" s="113" t="s">
        <v>123</v>
      </c>
      <c r="V48" s="113" t="s">
        <v>124</v>
      </c>
      <c r="W48" s="123" t="s">
        <v>124</v>
      </c>
      <c r="X48" s="113" t="s">
        <v>124</v>
      </c>
      <c r="Y48" s="113" t="s">
        <v>123</v>
      </c>
      <c r="Z48" s="186" t="s">
        <v>124</v>
      </c>
      <c r="AA48" s="186" t="s">
        <v>124</v>
      </c>
      <c r="AB48" s="186" t="s">
        <v>123</v>
      </c>
      <c r="AC48" s="186" t="s">
        <v>123</v>
      </c>
      <c r="AD48" s="113" t="s">
        <v>124</v>
      </c>
      <c r="AE48" s="113" t="s">
        <v>124</v>
      </c>
      <c r="AF48" s="113" t="s">
        <v>123</v>
      </c>
      <c r="AG48" s="113" t="s">
        <v>124</v>
      </c>
      <c r="AH48" s="113" t="s">
        <v>124</v>
      </c>
      <c r="AI48" s="113" t="s">
        <v>124</v>
      </c>
      <c r="AJ48" s="113" t="s">
        <v>123</v>
      </c>
      <c r="AK48" s="113" t="s">
        <v>124</v>
      </c>
      <c r="AL48" s="113" t="s">
        <v>124</v>
      </c>
      <c r="AM48" s="96" t="s">
        <v>124</v>
      </c>
      <c r="AN48" s="96" t="s">
        <v>124</v>
      </c>
      <c r="AO48" s="96" t="s">
        <v>124</v>
      </c>
      <c r="AP48" s="96" t="s">
        <v>123</v>
      </c>
      <c r="AQ48" s="96" t="s">
        <v>123</v>
      </c>
      <c r="AR48" s="96" t="s">
        <v>123</v>
      </c>
      <c r="AS48" s="96" t="s">
        <v>123</v>
      </c>
      <c r="AT48" s="96" t="s">
        <v>123</v>
      </c>
      <c r="AU48" s="96" t="s">
        <v>123</v>
      </c>
      <c r="AV48" s="96" t="s">
        <v>123</v>
      </c>
      <c r="AW48" s="96" t="s">
        <v>123</v>
      </c>
      <c r="AX48" s="96" t="s">
        <v>123</v>
      </c>
      <c r="AY48" s="96" t="s">
        <v>123</v>
      </c>
      <c r="AZ48" s="96" t="s">
        <v>123</v>
      </c>
      <c r="BA48" s="96" t="s">
        <v>123</v>
      </c>
      <c r="BB48" s="96" t="s">
        <v>124</v>
      </c>
      <c r="BC48" s="96"/>
      <c r="BD48" s="88">
        <v>37</v>
      </c>
      <c r="BE48" s="88">
        <v>12</v>
      </c>
      <c r="BF48" s="88">
        <f t="shared" si="9"/>
        <v>49</v>
      </c>
      <c r="BG48" s="88">
        <v>65</v>
      </c>
      <c r="BH48" s="101">
        <f t="shared" si="1"/>
        <v>0.75384615384615383</v>
      </c>
      <c r="BI48" s="374"/>
      <c r="BJ48" s="188">
        <f>OVERALL!A43</f>
        <v>40</v>
      </c>
      <c r="BK48" s="189">
        <f>OVERALL!B43</f>
        <v>2301277</v>
      </c>
      <c r="BL48" s="190" t="str">
        <f>OVERALL!C43</f>
        <v>Tamana</v>
      </c>
      <c r="BM48" s="203">
        <f t="shared" si="15"/>
        <v>65</v>
      </c>
      <c r="BN48" s="107">
        <f t="shared" si="16"/>
        <v>31</v>
      </c>
      <c r="BO48" s="108">
        <f t="shared" si="4"/>
        <v>47.692307692307693</v>
      </c>
      <c r="BP48" s="203" t="str">
        <f t="shared" si="14"/>
        <v>0</v>
      </c>
      <c r="BQ48" s="204">
        <v>15</v>
      </c>
      <c r="BR48" s="203"/>
      <c r="BS48" s="192">
        <v>20</v>
      </c>
      <c r="BT48" s="107">
        <f t="shared" si="6"/>
        <v>17.5</v>
      </c>
      <c r="BU48" s="203">
        <v>9</v>
      </c>
      <c r="BV48" s="203">
        <v>8</v>
      </c>
      <c r="BW48" s="203">
        <v>10</v>
      </c>
      <c r="BX48" s="108">
        <f t="shared" si="7"/>
        <v>9</v>
      </c>
      <c r="BY48" s="205"/>
      <c r="BZ48" s="111">
        <f t="shared" si="8"/>
        <v>27</v>
      </c>
    </row>
    <row r="49" spans="1:78" ht="15.75" customHeight="1">
      <c r="A49" s="122">
        <v>45</v>
      </c>
      <c r="B49" s="217">
        <f>OVERALL!B48</f>
        <v>2301282</v>
      </c>
      <c r="C49" s="218" t="str">
        <f>OVERALL!C48</f>
        <v>Uday Kumar</v>
      </c>
      <c r="D49" s="123" t="s">
        <v>123</v>
      </c>
      <c r="E49" s="113" t="s">
        <v>123</v>
      </c>
      <c r="F49" s="113" t="s">
        <v>124</v>
      </c>
      <c r="G49" s="113" t="s">
        <v>124</v>
      </c>
      <c r="H49" s="113" t="s">
        <v>123</v>
      </c>
      <c r="I49" s="113" t="s">
        <v>123</v>
      </c>
      <c r="J49" s="113" t="s">
        <v>124</v>
      </c>
      <c r="K49" s="113" t="s">
        <v>124</v>
      </c>
      <c r="L49" s="113" t="s">
        <v>124</v>
      </c>
      <c r="M49" s="113" t="s">
        <v>123</v>
      </c>
      <c r="N49" s="113" t="s">
        <v>123</v>
      </c>
      <c r="O49" s="113" t="s">
        <v>123</v>
      </c>
      <c r="P49" s="113" t="s">
        <v>124</v>
      </c>
      <c r="Q49" s="113" t="s">
        <v>123</v>
      </c>
      <c r="R49" s="186" t="s">
        <v>123</v>
      </c>
      <c r="S49" s="156" t="s">
        <v>123</v>
      </c>
      <c r="T49" s="113" t="s">
        <v>123</v>
      </c>
      <c r="U49" s="113" t="s">
        <v>123</v>
      </c>
      <c r="V49" s="113" t="s">
        <v>123</v>
      </c>
      <c r="W49" s="113" t="s">
        <v>123</v>
      </c>
      <c r="X49" s="113" t="s">
        <v>123</v>
      </c>
      <c r="Y49" s="113" t="s">
        <v>123</v>
      </c>
      <c r="Z49" s="186" t="s">
        <v>123</v>
      </c>
      <c r="AA49" s="186" t="s">
        <v>123</v>
      </c>
      <c r="AB49" s="186" t="s">
        <v>123</v>
      </c>
      <c r="AC49" s="113" t="s">
        <v>123</v>
      </c>
      <c r="AD49" s="186" t="s">
        <v>123</v>
      </c>
      <c r="AE49" s="186" t="s">
        <v>123</v>
      </c>
      <c r="AF49" s="186" t="s">
        <v>123</v>
      </c>
      <c r="AG49" s="186" t="s">
        <v>123</v>
      </c>
      <c r="AH49" s="186" t="s">
        <v>124</v>
      </c>
      <c r="AI49" s="186" t="s">
        <v>124</v>
      </c>
      <c r="AJ49" s="186" t="s">
        <v>124</v>
      </c>
      <c r="AK49" s="186" t="s">
        <v>124</v>
      </c>
      <c r="AL49" s="186" t="s">
        <v>124</v>
      </c>
      <c r="AM49" s="96" t="s">
        <v>124</v>
      </c>
      <c r="AN49" s="96" t="s">
        <v>124</v>
      </c>
      <c r="AO49" s="96" t="s">
        <v>124</v>
      </c>
      <c r="AP49" s="96" t="s">
        <v>124</v>
      </c>
      <c r="AQ49" s="96" t="s">
        <v>124</v>
      </c>
      <c r="AR49" s="96" t="s">
        <v>124</v>
      </c>
      <c r="AS49" s="96" t="s">
        <v>124</v>
      </c>
      <c r="AT49" s="96" t="s">
        <v>124</v>
      </c>
      <c r="AU49" s="96" t="s">
        <v>124</v>
      </c>
      <c r="AV49" s="96" t="s">
        <v>123</v>
      </c>
      <c r="AW49" s="96" t="s">
        <v>123</v>
      </c>
      <c r="AX49" s="96" t="s">
        <v>123</v>
      </c>
      <c r="AY49" s="96" t="s">
        <v>123</v>
      </c>
      <c r="AZ49" s="96" t="s">
        <v>123</v>
      </c>
      <c r="BA49" s="96" t="s">
        <v>123</v>
      </c>
      <c r="BB49" s="96" t="s">
        <v>123</v>
      </c>
      <c r="BC49" s="96"/>
      <c r="BD49" s="88">
        <v>20</v>
      </c>
      <c r="BE49" s="88"/>
      <c r="BF49" s="88">
        <f t="shared" si="9"/>
        <v>20</v>
      </c>
      <c r="BG49" s="88">
        <v>65</v>
      </c>
      <c r="BH49" s="101">
        <f t="shared" si="1"/>
        <v>0.30769230769230771</v>
      </c>
      <c r="BI49" s="374"/>
      <c r="BJ49" s="188">
        <f>OVERALL!A44</f>
        <v>41</v>
      </c>
      <c r="BK49" s="189">
        <f>OVERALL!B44</f>
        <v>2301278</v>
      </c>
      <c r="BL49" s="190" t="str">
        <f>OVERALL!C44</f>
        <v>Tamana Farooq Khanday</v>
      </c>
      <c r="BM49" s="203">
        <f t="shared" si="15"/>
        <v>65</v>
      </c>
      <c r="BN49" s="107">
        <f t="shared" si="16"/>
        <v>25</v>
      </c>
      <c r="BO49" s="108">
        <f t="shared" si="4"/>
        <v>38.46153846153846</v>
      </c>
      <c r="BP49" s="203" t="str">
        <f t="shared" si="14"/>
        <v>0</v>
      </c>
      <c r="BQ49" s="204">
        <v>12</v>
      </c>
      <c r="BR49" s="203"/>
      <c r="BS49" s="192">
        <v>6</v>
      </c>
      <c r="BT49" s="107">
        <f t="shared" si="6"/>
        <v>9</v>
      </c>
      <c r="BU49" s="203">
        <v>8</v>
      </c>
      <c r="BV49" s="203">
        <v>8</v>
      </c>
      <c r="BW49" s="203">
        <v>10</v>
      </c>
      <c r="BX49" s="108">
        <f t="shared" si="7"/>
        <v>8.6666666666666661</v>
      </c>
      <c r="BY49" s="205"/>
      <c r="BZ49" s="111">
        <f t="shared" si="8"/>
        <v>18</v>
      </c>
    </row>
    <row r="50" spans="1:78" ht="15.75" customHeight="1">
      <c r="A50" s="122">
        <v>46</v>
      </c>
      <c r="B50" s="217">
        <f>OVERALL!B49</f>
        <v>2301283</v>
      </c>
      <c r="C50" s="218" t="str">
        <f>OVERALL!C49</f>
        <v>Vaibhav Shahi</v>
      </c>
      <c r="D50" s="123" t="s">
        <v>123</v>
      </c>
      <c r="E50" s="113" t="s">
        <v>123</v>
      </c>
      <c r="F50" s="113" t="s">
        <v>124</v>
      </c>
      <c r="G50" s="113" t="s">
        <v>124</v>
      </c>
      <c r="H50" s="113" t="s">
        <v>123</v>
      </c>
      <c r="I50" s="113" t="s">
        <v>123</v>
      </c>
      <c r="J50" s="113" t="s">
        <v>123</v>
      </c>
      <c r="K50" s="113" t="s">
        <v>124</v>
      </c>
      <c r="L50" s="113" t="s">
        <v>124</v>
      </c>
      <c r="M50" s="113" t="s">
        <v>123</v>
      </c>
      <c r="N50" s="113" t="s">
        <v>123</v>
      </c>
      <c r="O50" s="113" t="s">
        <v>123</v>
      </c>
      <c r="P50" s="113" t="s">
        <v>124</v>
      </c>
      <c r="Q50" s="113" t="s">
        <v>124</v>
      </c>
      <c r="R50" s="186" t="s">
        <v>123</v>
      </c>
      <c r="S50" s="156" t="s">
        <v>124</v>
      </c>
      <c r="T50" s="113" t="s">
        <v>123</v>
      </c>
      <c r="U50" s="113" t="s">
        <v>123</v>
      </c>
      <c r="V50" s="113" t="s">
        <v>124</v>
      </c>
      <c r="W50" s="113" t="s">
        <v>123</v>
      </c>
      <c r="X50" s="113" t="s">
        <v>123</v>
      </c>
      <c r="Y50" s="113" t="s">
        <v>123</v>
      </c>
      <c r="Z50" s="186" t="s">
        <v>124</v>
      </c>
      <c r="AA50" s="186" t="s">
        <v>124</v>
      </c>
      <c r="AB50" s="186" t="s">
        <v>123</v>
      </c>
      <c r="AC50" s="186" t="s">
        <v>123</v>
      </c>
      <c r="AD50" s="186" t="s">
        <v>124</v>
      </c>
      <c r="AE50" s="186" t="s">
        <v>124</v>
      </c>
      <c r="AF50" s="186" t="s">
        <v>124</v>
      </c>
      <c r="AG50" s="186" t="s">
        <v>124</v>
      </c>
      <c r="AH50" s="186" t="s">
        <v>124</v>
      </c>
      <c r="AI50" s="186" t="s">
        <v>124</v>
      </c>
      <c r="AJ50" s="186" t="s">
        <v>124</v>
      </c>
      <c r="AK50" s="186" t="s">
        <v>124</v>
      </c>
      <c r="AL50" s="186" t="s">
        <v>124</v>
      </c>
      <c r="AM50" s="96" t="s">
        <v>123</v>
      </c>
      <c r="AN50" s="96" t="s">
        <v>124</v>
      </c>
      <c r="AO50" s="96" t="s">
        <v>124</v>
      </c>
      <c r="AP50" s="96" t="s">
        <v>124</v>
      </c>
      <c r="AQ50" s="96" t="s">
        <v>124</v>
      </c>
      <c r="AR50" s="96" t="s">
        <v>124</v>
      </c>
      <c r="AS50" s="96" t="s">
        <v>124</v>
      </c>
      <c r="AT50" s="96" t="s">
        <v>124</v>
      </c>
      <c r="AU50" s="96" t="s">
        <v>124</v>
      </c>
      <c r="AV50" s="96" t="s">
        <v>123</v>
      </c>
      <c r="AW50" s="96" t="s">
        <v>123</v>
      </c>
      <c r="AX50" s="96" t="s">
        <v>123</v>
      </c>
      <c r="AY50" s="96" t="s">
        <v>123</v>
      </c>
      <c r="AZ50" s="96" t="s">
        <v>123</v>
      </c>
      <c r="BA50" s="96" t="s">
        <v>123</v>
      </c>
      <c r="BB50" s="96" t="s">
        <v>123</v>
      </c>
      <c r="BC50" s="96"/>
      <c r="BD50" s="88">
        <v>30</v>
      </c>
      <c r="BE50" s="88"/>
      <c r="BF50" s="88">
        <f t="shared" si="9"/>
        <v>30</v>
      </c>
      <c r="BG50" s="88">
        <v>65</v>
      </c>
      <c r="BH50" s="101">
        <f t="shared" si="1"/>
        <v>0.46153846153846156</v>
      </c>
      <c r="BI50" s="374"/>
      <c r="BJ50" s="188">
        <f>OVERALL!A45</f>
        <v>42</v>
      </c>
      <c r="BK50" s="189">
        <f>OVERALL!B45</f>
        <v>2301279</v>
      </c>
      <c r="BL50" s="190" t="str">
        <f>OVERALL!C45</f>
        <v>Tania</v>
      </c>
      <c r="BM50" s="203">
        <f t="shared" si="15"/>
        <v>65</v>
      </c>
      <c r="BN50" s="107">
        <f t="shared" si="16"/>
        <v>53</v>
      </c>
      <c r="BO50" s="108">
        <f t="shared" si="4"/>
        <v>81.538461538461533</v>
      </c>
      <c r="BP50" s="203" t="str">
        <f t="shared" si="14"/>
        <v>3</v>
      </c>
      <c r="BQ50" s="204">
        <v>11</v>
      </c>
      <c r="BR50" s="203"/>
      <c r="BS50" s="192">
        <v>5</v>
      </c>
      <c r="BT50" s="107">
        <f t="shared" si="6"/>
        <v>8</v>
      </c>
      <c r="BU50" s="203">
        <v>8</v>
      </c>
      <c r="BV50" s="203">
        <v>9</v>
      </c>
      <c r="BW50" s="203">
        <v>10</v>
      </c>
      <c r="BX50" s="108">
        <f t="shared" si="7"/>
        <v>9</v>
      </c>
      <c r="BY50" s="205"/>
      <c r="BZ50" s="111">
        <f t="shared" si="8"/>
        <v>20</v>
      </c>
    </row>
    <row r="51" spans="1:78" ht="15.75" customHeight="1">
      <c r="A51" s="122">
        <v>47</v>
      </c>
      <c r="B51" s="217">
        <f>OVERALL!B50</f>
        <v>2301284</v>
      </c>
      <c r="C51" s="218" t="str">
        <f>OVERALL!C50</f>
        <v>Vansh Kumar</v>
      </c>
      <c r="D51" s="123" t="s">
        <v>123</v>
      </c>
      <c r="E51" s="123" t="s">
        <v>123</v>
      </c>
      <c r="F51" s="123" t="s">
        <v>123</v>
      </c>
      <c r="G51" s="123" t="s">
        <v>123</v>
      </c>
      <c r="H51" s="123" t="s">
        <v>123</v>
      </c>
      <c r="I51" s="123" t="s">
        <v>123</v>
      </c>
      <c r="J51" s="123" t="s">
        <v>123</v>
      </c>
      <c r="K51" s="123" t="s">
        <v>123</v>
      </c>
      <c r="L51" s="123" t="s">
        <v>123</v>
      </c>
      <c r="M51" s="123" t="s">
        <v>123</v>
      </c>
      <c r="N51" s="123" t="s">
        <v>123</v>
      </c>
      <c r="O51" s="123" t="s">
        <v>123</v>
      </c>
      <c r="P51" s="123" t="s">
        <v>123</v>
      </c>
      <c r="Q51" s="123" t="s">
        <v>123</v>
      </c>
      <c r="R51" s="123" t="s">
        <v>123</v>
      </c>
      <c r="S51" s="123" t="s">
        <v>123</v>
      </c>
      <c r="T51" s="123" t="s">
        <v>123</v>
      </c>
      <c r="U51" s="123" t="s">
        <v>123</v>
      </c>
      <c r="V51" s="123" t="s">
        <v>123</v>
      </c>
      <c r="W51" s="123" t="s">
        <v>123</v>
      </c>
      <c r="X51" s="123" t="s">
        <v>123</v>
      </c>
      <c r="Y51" s="123" t="s">
        <v>123</v>
      </c>
      <c r="Z51" s="123" t="s">
        <v>123</v>
      </c>
      <c r="AA51" s="123" t="s">
        <v>123</v>
      </c>
      <c r="AB51" s="123" t="s">
        <v>123</v>
      </c>
      <c r="AC51" s="123" t="s">
        <v>123</v>
      </c>
      <c r="AD51" s="123" t="s">
        <v>123</v>
      </c>
      <c r="AE51" s="123" t="s">
        <v>123</v>
      </c>
      <c r="AF51" s="123" t="s">
        <v>123</v>
      </c>
      <c r="AG51" s="123" t="s">
        <v>123</v>
      </c>
      <c r="AH51" s="123" t="s">
        <v>123</v>
      </c>
      <c r="AI51" s="123" t="s">
        <v>123</v>
      </c>
      <c r="AJ51" s="123" t="s">
        <v>123</v>
      </c>
      <c r="AK51" s="123" t="s">
        <v>123</v>
      </c>
      <c r="AL51" s="123" t="s">
        <v>123</v>
      </c>
      <c r="AM51" s="123" t="s">
        <v>123</v>
      </c>
      <c r="AN51" s="123" t="s">
        <v>123</v>
      </c>
      <c r="AO51" s="123" t="s">
        <v>123</v>
      </c>
      <c r="AP51" s="123" t="s">
        <v>123</v>
      </c>
      <c r="AQ51" s="123" t="s">
        <v>123</v>
      </c>
      <c r="AR51" s="123" t="s">
        <v>123</v>
      </c>
      <c r="AS51" s="123" t="s">
        <v>123</v>
      </c>
      <c r="AT51" s="96" t="s">
        <v>123</v>
      </c>
      <c r="AU51" s="96" t="s">
        <v>123</v>
      </c>
      <c r="AV51" s="96" t="s">
        <v>123</v>
      </c>
      <c r="AW51" s="96" t="s">
        <v>123</v>
      </c>
      <c r="AX51" s="96" t="s">
        <v>123</v>
      </c>
      <c r="AY51" s="96" t="s">
        <v>123</v>
      </c>
      <c r="AZ51" s="96" t="s">
        <v>123</v>
      </c>
      <c r="BA51" s="96" t="s">
        <v>123</v>
      </c>
      <c r="BB51" s="96" t="s">
        <v>123</v>
      </c>
      <c r="BC51" s="96"/>
      <c r="BD51" s="88">
        <f>COUNTIF(D51:BC51,"P")</f>
        <v>0</v>
      </c>
      <c r="BE51" s="88"/>
      <c r="BF51" s="88">
        <f t="shared" si="9"/>
        <v>0</v>
      </c>
      <c r="BG51" s="88">
        <v>65</v>
      </c>
      <c r="BH51" s="101">
        <f t="shared" si="1"/>
        <v>0</v>
      </c>
      <c r="BI51" s="374"/>
      <c r="BJ51" s="188">
        <f>OVERALL!A46</f>
        <v>43</v>
      </c>
      <c r="BK51" s="189">
        <f>OVERALL!B46</f>
        <v>2301280</v>
      </c>
      <c r="BL51" s="190" t="str">
        <f>OVERALL!C46</f>
        <v>Taniya</v>
      </c>
      <c r="BM51" s="203">
        <f t="shared" si="15"/>
        <v>65</v>
      </c>
      <c r="BN51" s="107">
        <f t="shared" si="16"/>
        <v>30</v>
      </c>
      <c r="BO51" s="108">
        <f t="shared" si="4"/>
        <v>46.153846153846153</v>
      </c>
      <c r="BP51" s="203" t="str">
        <f t="shared" si="14"/>
        <v>0</v>
      </c>
      <c r="BQ51" s="204">
        <v>5</v>
      </c>
      <c r="BR51" s="203"/>
      <c r="BS51" s="192">
        <v>5</v>
      </c>
      <c r="BT51" s="107">
        <f t="shared" si="6"/>
        <v>5</v>
      </c>
      <c r="BU51" s="203">
        <v>9</v>
      </c>
      <c r="BV51" s="203">
        <v>9</v>
      </c>
      <c r="BW51" s="203">
        <v>0</v>
      </c>
      <c r="BX51" s="108">
        <f t="shared" si="7"/>
        <v>6</v>
      </c>
      <c r="BY51" s="205"/>
      <c r="BZ51" s="111">
        <f t="shared" si="8"/>
        <v>11</v>
      </c>
    </row>
    <row r="52" spans="1:78" ht="15.75" customHeight="1">
      <c r="A52" s="122">
        <v>48</v>
      </c>
      <c r="B52" s="217">
        <f>OVERALL!B51</f>
        <v>2301285</v>
      </c>
      <c r="C52" s="218" t="str">
        <f>OVERALL!C51</f>
        <v>Vansh Sharma</v>
      </c>
      <c r="D52" s="123" t="s">
        <v>124</v>
      </c>
      <c r="E52" s="113" t="s">
        <v>124</v>
      </c>
      <c r="F52" s="113" t="s">
        <v>123</v>
      </c>
      <c r="G52" s="113" t="s">
        <v>124</v>
      </c>
      <c r="H52" s="113" t="s">
        <v>123</v>
      </c>
      <c r="I52" s="113" t="s">
        <v>124</v>
      </c>
      <c r="J52" s="113" t="s">
        <v>124</v>
      </c>
      <c r="K52" s="113" t="s">
        <v>123</v>
      </c>
      <c r="L52" s="113" t="s">
        <v>123</v>
      </c>
      <c r="M52" s="113" t="s">
        <v>123</v>
      </c>
      <c r="N52" s="113" t="s">
        <v>123</v>
      </c>
      <c r="O52" s="113" t="s">
        <v>123</v>
      </c>
      <c r="P52" s="113" t="s">
        <v>123</v>
      </c>
      <c r="Q52" s="113" t="s">
        <v>124</v>
      </c>
      <c r="R52" s="186" t="s">
        <v>123</v>
      </c>
      <c r="S52" s="156" t="s">
        <v>124</v>
      </c>
      <c r="T52" s="113" t="s">
        <v>124</v>
      </c>
      <c r="U52" s="113" t="s">
        <v>123</v>
      </c>
      <c r="V52" s="113" t="s">
        <v>124</v>
      </c>
      <c r="W52" s="113" t="s">
        <v>123</v>
      </c>
      <c r="X52" s="113" t="s">
        <v>124</v>
      </c>
      <c r="Y52" s="113" t="s">
        <v>124</v>
      </c>
      <c r="Z52" s="186" t="s">
        <v>124</v>
      </c>
      <c r="AA52" s="156" t="s">
        <v>123</v>
      </c>
      <c r="AB52" s="186" t="s">
        <v>123</v>
      </c>
      <c r="AC52" s="186" t="s">
        <v>123</v>
      </c>
      <c r="AD52" s="186" t="s">
        <v>123</v>
      </c>
      <c r="AE52" s="186" t="s">
        <v>123</v>
      </c>
      <c r="AF52" s="186" t="s">
        <v>124</v>
      </c>
      <c r="AG52" s="186" t="s">
        <v>124</v>
      </c>
      <c r="AH52" s="186" t="s">
        <v>124</v>
      </c>
      <c r="AI52" s="186" t="s">
        <v>124</v>
      </c>
      <c r="AJ52" s="186" t="s">
        <v>124</v>
      </c>
      <c r="AK52" s="186" t="s">
        <v>124</v>
      </c>
      <c r="AL52" s="186" t="s">
        <v>124</v>
      </c>
      <c r="AM52" s="96" t="s">
        <v>123</v>
      </c>
      <c r="AN52" s="96" t="s">
        <v>124</v>
      </c>
      <c r="AO52" s="96" t="s">
        <v>124</v>
      </c>
      <c r="AP52" s="96" t="s">
        <v>124</v>
      </c>
      <c r="AQ52" s="96" t="s">
        <v>124</v>
      </c>
      <c r="AR52" s="96" t="s">
        <v>124</v>
      </c>
      <c r="AS52" s="96" t="s">
        <v>124</v>
      </c>
      <c r="AT52" s="96" t="s">
        <v>123</v>
      </c>
      <c r="AU52" s="96" t="s">
        <v>124</v>
      </c>
      <c r="AV52" s="96" t="s">
        <v>124</v>
      </c>
      <c r="AW52" s="96" t="s">
        <v>124</v>
      </c>
      <c r="AX52" s="96" t="s">
        <v>124</v>
      </c>
      <c r="AY52" s="96" t="s">
        <v>124</v>
      </c>
      <c r="AZ52" s="96" t="s">
        <v>123</v>
      </c>
      <c r="BA52" s="96" t="s">
        <v>123</v>
      </c>
      <c r="BB52" s="96" t="s">
        <v>123</v>
      </c>
      <c r="BC52" s="96"/>
      <c r="BD52" s="88">
        <v>33</v>
      </c>
      <c r="BE52" s="88"/>
      <c r="BF52" s="88">
        <f t="shared" si="9"/>
        <v>33</v>
      </c>
      <c r="BG52" s="88">
        <v>65</v>
      </c>
      <c r="BH52" s="101">
        <f t="shared" si="1"/>
        <v>0.50769230769230766</v>
      </c>
      <c r="BI52" s="374"/>
      <c r="BJ52" s="188">
        <f>OVERALL!A47</f>
        <v>44</v>
      </c>
      <c r="BK52" s="189">
        <f>OVERALL!B47</f>
        <v>2301281</v>
      </c>
      <c r="BL52" s="190" t="str">
        <f>OVERALL!C47</f>
        <v>Taziko Trakha</v>
      </c>
      <c r="BM52" s="203">
        <f t="shared" si="15"/>
        <v>65</v>
      </c>
      <c r="BN52" s="107">
        <f t="shared" si="16"/>
        <v>49</v>
      </c>
      <c r="BO52" s="108">
        <f t="shared" si="4"/>
        <v>75.384615384615387</v>
      </c>
      <c r="BP52" s="203" t="str">
        <f t="shared" si="14"/>
        <v>0</v>
      </c>
      <c r="BQ52" s="204">
        <v>8</v>
      </c>
      <c r="BR52" s="203"/>
      <c r="BS52" s="192">
        <v>13</v>
      </c>
      <c r="BT52" s="107">
        <f t="shared" si="6"/>
        <v>10.5</v>
      </c>
      <c r="BU52" s="203">
        <v>8</v>
      </c>
      <c r="BV52" s="203">
        <v>8</v>
      </c>
      <c r="BW52" s="203">
        <v>10</v>
      </c>
      <c r="BX52" s="108">
        <f t="shared" si="7"/>
        <v>8.6666666666666661</v>
      </c>
      <c r="BY52" s="205"/>
      <c r="BZ52" s="111">
        <f t="shared" si="8"/>
        <v>19</v>
      </c>
    </row>
    <row r="53" spans="1:78" ht="15.75" customHeight="1">
      <c r="A53" s="122">
        <v>49</v>
      </c>
      <c r="B53" s="217">
        <f>OVERALL!B52</f>
        <v>2301286</v>
      </c>
      <c r="C53" s="218" t="str">
        <f>OVERALL!C52</f>
        <v>Vikramjit Singh</v>
      </c>
      <c r="D53" s="123" t="s">
        <v>123</v>
      </c>
      <c r="E53" s="123" t="s">
        <v>123</v>
      </c>
      <c r="F53" s="123" t="s">
        <v>123</v>
      </c>
      <c r="G53" s="123" t="s">
        <v>123</v>
      </c>
      <c r="H53" s="123" t="s">
        <v>123</v>
      </c>
      <c r="I53" s="123" t="s">
        <v>123</v>
      </c>
      <c r="J53" s="123" t="s">
        <v>123</v>
      </c>
      <c r="K53" s="123" t="s">
        <v>123</v>
      </c>
      <c r="L53" s="123" t="s">
        <v>123</v>
      </c>
      <c r="M53" s="123" t="s">
        <v>123</v>
      </c>
      <c r="N53" s="123" t="s">
        <v>123</v>
      </c>
      <c r="O53" s="123" t="s">
        <v>123</v>
      </c>
      <c r="P53" s="123" t="s">
        <v>123</v>
      </c>
      <c r="Q53" s="123" t="s">
        <v>123</v>
      </c>
      <c r="R53" s="123" t="s">
        <v>123</v>
      </c>
      <c r="S53" s="123" t="s">
        <v>123</v>
      </c>
      <c r="T53" s="123" t="s">
        <v>123</v>
      </c>
      <c r="U53" s="123" t="s">
        <v>123</v>
      </c>
      <c r="V53" s="123" t="s">
        <v>124</v>
      </c>
      <c r="W53" s="123" t="s">
        <v>123</v>
      </c>
      <c r="X53" s="123" t="s">
        <v>123</v>
      </c>
      <c r="Y53" s="123" t="s">
        <v>123</v>
      </c>
      <c r="Z53" s="123" t="s">
        <v>123</v>
      </c>
      <c r="AA53" s="123" t="s">
        <v>123</v>
      </c>
      <c r="AB53" s="123" t="s">
        <v>123</v>
      </c>
      <c r="AC53" s="123" t="s">
        <v>123</v>
      </c>
      <c r="AD53" s="123" t="s">
        <v>123</v>
      </c>
      <c r="AE53" s="123" t="s">
        <v>123</v>
      </c>
      <c r="AF53" s="123" t="s">
        <v>123</v>
      </c>
      <c r="AG53" s="123" t="s">
        <v>123</v>
      </c>
      <c r="AH53" s="123" t="s">
        <v>123</v>
      </c>
      <c r="AI53" s="123" t="s">
        <v>123</v>
      </c>
      <c r="AJ53" s="123" t="s">
        <v>123</v>
      </c>
      <c r="AK53" s="123" t="s">
        <v>123</v>
      </c>
      <c r="AL53" s="123" t="s">
        <v>123</v>
      </c>
      <c r="AM53" s="123" t="s">
        <v>123</v>
      </c>
      <c r="AN53" s="123" t="s">
        <v>123</v>
      </c>
      <c r="AO53" s="123" t="s">
        <v>123</v>
      </c>
      <c r="AP53" s="123" t="s">
        <v>123</v>
      </c>
      <c r="AQ53" s="123" t="s">
        <v>123</v>
      </c>
      <c r="AR53" s="123" t="s">
        <v>123</v>
      </c>
      <c r="AS53" s="123" t="s">
        <v>123</v>
      </c>
      <c r="AT53" s="123" t="s">
        <v>123</v>
      </c>
      <c r="AU53" s="123" t="s">
        <v>123</v>
      </c>
      <c r="AV53" s="123" t="s">
        <v>123</v>
      </c>
      <c r="AW53" s="123" t="s">
        <v>123</v>
      </c>
      <c r="AX53" s="123" t="s">
        <v>123</v>
      </c>
      <c r="AY53" s="123" t="s">
        <v>123</v>
      </c>
      <c r="AZ53" s="123" t="s">
        <v>123</v>
      </c>
      <c r="BA53" s="123" t="s">
        <v>123</v>
      </c>
      <c r="BB53" s="123" t="s">
        <v>123</v>
      </c>
      <c r="BC53" s="123"/>
      <c r="BD53" s="88">
        <f t="shared" ref="BD53:BD54" si="17">COUNTIF(D53:BC53,"P")</f>
        <v>1</v>
      </c>
      <c r="BE53" s="88"/>
      <c r="BF53" s="88">
        <f t="shared" si="9"/>
        <v>1</v>
      </c>
      <c r="BG53" s="88">
        <v>65</v>
      </c>
      <c r="BH53" s="101">
        <f t="shared" si="1"/>
        <v>1.5384615384615385E-2</v>
      </c>
      <c r="BI53" s="374"/>
      <c r="BJ53" s="188">
        <f>OVERALL!A48</f>
        <v>45</v>
      </c>
      <c r="BK53" s="189">
        <f>OVERALL!B48</f>
        <v>2301282</v>
      </c>
      <c r="BL53" s="190" t="str">
        <f>OVERALL!C48</f>
        <v>Uday Kumar</v>
      </c>
      <c r="BM53" s="203">
        <f t="shared" si="15"/>
        <v>65</v>
      </c>
      <c r="BN53" s="107">
        <f t="shared" si="16"/>
        <v>20</v>
      </c>
      <c r="BO53" s="108">
        <f t="shared" si="4"/>
        <v>30.769230769230766</v>
      </c>
      <c r="BP53" s="203" t="str">
        <f t="shared" si="14"/>
        <v>0</v>
      </c>
      <c r="BQ53" s="156">
        <v>0</v>
      </c>
      <c r="BR53" s="219"/>
      <c r="BS53" s="186">
        <v>0</v>
      </c>
      <c r="BT53" s="107">
        <f t="shared" si="6"/>
        <v>0</v>
      </c>
      <c r="BU53" s="219">
        <v>8</v>
      </c>
      <c r="BV53" s="219">
        <v>10</v>
      </c>
      <c r="BW53" s="219">
        <v>0</v>
      </c>
      <c r="BX53" s="108">
        <f t="shared" si="7"/>
        <v>6</v>
      </c>
      <c r="BY53" s="220"/>
      <c r="BZ53" s="111">
        <f t="shared" si="8"/>
        <v>6</v>
      </c>
    </row>
    <row r="54" spans="1:78" ht="15.75" customHeight="1">
      <c r="A54" s="122">
        <v>50</v>
      </c>
      <c r="B54" s="217">
        <f>OVERALL!B53</f>
        <v>2301287</v>
      </c>
      <c r="C54" s="218" t="str">
        <f>OVERALL!C53</f>
        <v>Vishavjit Singh</v>
      </c>
      <c r="D54" s="123" t="s">
        <v>123</v>
      </c>
      <c r="E54" s="123" t="s">
        <v>123</v>
      </c>
      <c r="F54" s="123" t="s">
        <v>123</v>
      </c>
      <c r="G54" s="123" t="s">
        <v>123</v>
      </c>
      <c r="H54" s="123" t="s">
        <v>123</v>
      </c>
      <c r="I54" s="123" t="s">
        <v>123</v>
      </c>
      <c r="J54" s="123" t="s">
        <v>123</v>
      </c>
      <c r="K54" s="123" t="s">
        <v>123</v>
      </c>
      <c r="L54" s="123" t="s">
        <v>123</v>
      </c>
      <c r="M54" s="123" t="s">
        <v>123</v>
      </c>
      <c r="N54" s="123" t="s">
        <v>123</v>
      </c>
      <c r="O54" s="123" t="s">
        <v>123</v>
      </c>
      <c r="P54" s="123" t="s">
        <v>123</v>
      </c>
      <c r="Q54" s="123" t="s">
        <v>123</v>
      </c>
      <c r="R54" s="123" t="s">
        <v>123</v>
      </c>
      <c r="S54" s="123" t="s">
        <v>123</v>
      </c>
      <c r="T54" s="123" t="s">
        <v>123</v>
      </c>
      <c r="U54" s="123" t="s">
        <v>123</v>
      </c>
      <c r="V54" s="123" t="s">
        <v>124</v>
      </c>
      <c r="W54" s="123" t="s">
        <v>123</v>
      </c>
      <c r="X54" s="123" t="s">
        <v>123</v>
      </c>
      <c r="Y54" s="123" t="s">
        <v>123</v>
      </c>
      <c r="Z54" s="123" t="s">
        <v>123</v>
      </c>
      <c r="AA54" s="123" t="s">
        <v>123</v>
      </c>
      <c r="AB54" s="123" t="s">
        <v>123</v>
      </c>
      <c r="AC54" s="123" t="s">
        <v>123</v>
      </c>
      <c r="AD54" s="123" t="s">
        <v>123</v>
      </c>
      <c r="AE54" s="123" t="s">
        <v>123</v>
      </c>
      <c r="AF54" s="123" t="s">
        <v>123</v>
      </c>
      <c r="AG54" s="123" t="s">
        <v>123</v>
      </c>
      <c r="AH54" s="123" t="s">
        <v>123</v>
      </c>
      <c r="AI54" s="123" t="s">
        <v>123</v>
      </c>
      <c r="AJ54" s="123" t="s">
        <v>123</v>
      </c>
      <c r="AK54" s="123" t="s">
        <v>123</v>
      </c>
      <c r="AL54" s="123" t="s">
        <v>123</v>
      </c>
      <c r="AM54" s="123" t="s">
        <v>123</v>
      </c>
      <c r="AN54" s="123" t="s">
        <v>123</v>
      </c>
      <c r="AO54" s="123" t="s">
        <v>123</v>
      </c>
      <c r="AP54" s="123" t="s">
        <v>123</v>
      </c>
      <c r="AQ54" s="123" t="s">
        <v>123</v>
      </c>
      <c r="AR54" s="123" t="s">
        <v>123</v>
      </c>
      <c r="AS54" s="96" t="s">
        <v>123</v>
      </c>
      <c r="AT54" s="96" t="s">
        <v>123</v>
      </c>
      <c r="AU54" s="96" t="s">
        <v>123</v>
      </c>
      <c r="AV54" s="96" t="s">
        <v>123</v>
      </c>
      <c r="AW54" s="96" t="s">
        <v>123</v>
      </c>
      <c r="AX54" s="96" t="s">
        <v>123</v>
      </c>
      <c r="AY54" s="96" t="s">
        <v>123</v>
      </c>
      <c r="AZ54" s="96" t="s">
        <v>123</v>
      </c>
      <c r="BA54" s="96" t="s">
        <v>123</v>
      </c>
      <c r="BB54" s="96" t="s">
        <v>123</v>
      </c>
      <c r="BC54" s="96"/>
      <c r="BD54" s="88">
        <f t="shared" si="17"/>
        <v>1</v>
      </c>
      <c r="BE54" s="88"/>
      <c r="BF54" s="88">
        <f t="shared" si="9"/>
        <v>1</v>
      </c>
      <c r="BG54" s="88">
        <v>65</v>
      </c>
      <c r="BH54" s="101">
        <f t="shared" si="1"/>
        <v>1.5384615384615385E-2</v>
      </c>
      <c r="BI54" s="374"/>
      <c r="BJ54" s="188">
        <f>OVERALL!A49</f>
        <v>46</v>
      </c>
      <c r="BK54" s="189">
        <f>OVERALL!B49</f>
        <v>2301283</v>
      </c>
      <c r="BL54" s="190" t="str">
        <f>OVERALL!C49</f>
        <v>Vaibhav Shahi</v>
      </c>
      <c r="BM54" s="203">
        <f t="shared" si="15"/>
        <v>65</v>
      </c>
      <c r="BN54" s="107">
        <f t="shared" si="16"/>
        <v>30</v>
      </c>
      <c r="BO54" s="108">
        <f t="shared" si="4"/>
        <v>46.153846153846153</v>
      </c>
      <c r="BP54" s="203" t="str">
        <f t="shared" si="14"/>
        <v>0</v>
      </c>
      <c r="BQ54" s="156">
        <v>7</v>
      </c>
      <c r="BR54" s="219"/>
      <c r="BS54" s="186">
        <v>0</v>
      </c>
      <c r="BT54" s="107">
        <f t="shared" si="6"/>
        <v>3.5</v>
      </c>
      <c r="BU54" s="219">
        <v>8</v>
      </c>
      <c r="BV54" s="219">
        <v>8</v>
      </c>
      <c r="BW54" s="219">
        <v>0</v>
      </c>
      <c r="BX54" s="108">
        <f t="shared" si="7"/>
        <v>5.333333333333333</v>
      </c>
      <c r="BY54" s="220"/>
      <c r="BZ54" s="111">
        <f t="shared" si="8"/>
        <v>9</v>
      </c>
    </row>
    <row r="55" spans="1:78" ht="15.75" customHeight="1">
      <c r="A55" s="122">
        <v>51</v>
      </c>
      <c r="B55" s="217">
        <f>OVERALL!B54</f>
        <v>2339508</v>
      </c>
      <c r="C55" s="218" t="str">
        <f>OVERALL!C54</f>
        <v>TANISHA</v>
      </c>
      <c r="D55" s="123" t="s">
        <v>124</v>
      </c>
      <c r="E55" s="123" t="s">
        <v>124</v>
      </c>
      <c r="F55" s="123" t="s">
        <v>124</v>
      </c>
      <c r="G55" s="123" t="s">
        <v>124</v>
      </c>
      <c r="H55" s="123" t="s">
        <v>124</v>
      </c>
      <c r="I55" s="123" t="s">
        <v>124</v>
      </c>
      <c r="J55" s="123" t="s">
        <v>124</v>
      </c>
      <c r="K55" s="123" t="s">
        <v>124</v>
      </c>
      <c r="L55" s="123" t="s">
        <v>124</v>
      </c>
      <c r="M55" s="123" t="s">
        <v>123</v>
      </c>
      <c r="N55" s="123" t="s">
        <v>124</v>
      </c>
      <c r="O55" s="123" t="s">
        <v>124</v>
      </c>
      <c r="P55" s="123" t="s">
        <v>124</v>
      </c>
      <c r="Q55" s="123" t="s">
        <v>124</v>
      </c>
      <c r="R55" s="123" t="s">
        <v>124</v>
      </c>
      <c r="S55" s="123" t="s">
        <v>124</v>
      </c>
      <c r="T55" s="123" t="s">
        <v>124</v>
      </c>
      <c r="U55" s="123" t="s">
        <v>123</v>
      </c>
      <c r="V55" s="123" t="s">
        <v>124</v>
      </c>
      <c r="W55" s="123" t="s">
        <v>124</v>
      </c>
      <c r="X55" s="123" t="s">
        <v>124</v>
      </c>
      <c r="Y55" s="123" t="s">
        <v>124</v>
      </c>
      <c r="Z55" s="123" t="s">
        <v>124</v>
      </c>
      <c r="AA55" s="156" t="s">
        <v>123</v>
      </c>
      <c r="AB55" s="186" t="s">
        <v>123</v>
      </c>
      <c r="AC55" s="186" t="s">
        <v>123</v>
      </c>
      <c r="AD55" s="186" t="s">
        <v>124</v>
      </c>
      <c r="AE55" s="186" t="s">
        <v>123</v>
      </c>
      <c r="AF55" s="186" t="s">
        <v>124</v>
      </c>
      <c r="AG55" s="186" t="s">
        <v>123</v>
      </c>
      <c r="AH55" s="186" t="s">
        <v>124</v>
      </c>
      <c r="AI55" s="186" t="s">
        <v>124</v>
      </c>
      <c r="AJ55" s="186" t="s">
        <v>124</v>
      </c>
      <c r="AK55" s="186" t="s">
        <v>124</v>
      </c>
      <c r="AL55" s="186" t="s">
        <v>124</v>
      </c>
      <c r="AM55" s="96" t="s">
        <v>123</v>
      </c>
      <c r="AN55" s="96" t="s">
        <v>124</v>
      </c>
      <c r="AO55" s="96" t="s">
        <v>124</v>
      </c>
      <c r="AP55" s="96" t="s">
        <v>124</v>
      </c>
      <c r="AQ55" s="96" t="s">
        <v>124</v>
      </c>
      <c r="AR55" s="96" t="s">
        <v>124</v>
      </c>
      <c r="AS55" s="96" t="s">
        <v>123</v>
      </c>
      <c r="AT55" s="96" t="s">
        <v>123</v>
      </c>
      <c r="AU55" s="96" t="s">
        <v>124</v>
      </c>
      <c r="AV55" s="96" t="s">
        <v>124</v>
      </c>
      <c r="AW55" s="96" t="s">
        <v>124</v>
      </c>
      <c r="AX55" s="96" t="s">
        <v>124</v>
      </c>
      <c r="AY55" s="96" t="s">
        <v>124</v>
      </c>
      <c r="AZ55" s="96" t="s">
        <v>123</v>
      </c>
      <c r="BA55" s="96" t="s">
        <v>123</v>
      </c>
      <c r="BB55" s="96" t="s">
        <v>123</v>
      </c>
      <c r="BC55" s="96"/>
      <c r="BD55" s="88">
        <v>48</v>
      </c>
      <c r="BE55" s="88"/>
      <c r="BF55" s="88">
        <f t="shared" si="9"/>
        <v>48</v>
      </c>
      <c r="BG55" s="88">
        <v>65</v>
      </c>
      <c r="BH55" s="101">
        <f t="shared" si="1"/>
        <v>0.7384615384615385</v>
      </c>
      <c r="BI55" s="374"/>
      <c r="BJ55" s="188">
        <f>OVERALL!A50</f>
        <v>47</v>
      </c>
      <c r="BK55" s="189">
        <f>OVERALL!B50</f>
        <v>2301284</v>
      </c>
      <c r="BL55" s="190" t="str">
        <f>OVERALL!C50</f>
        <v>Vansh Kumar</v>
      </c>
      <c r="BM55" s="203">
        <f t="shared" si="15"/>
        <v>65</v>
      </c>
      <c r="BN55" s="107">
        <f t="shared" si="16"/>
        <v>0</v>
      </c>
      <c r="BO55" s="108">
        <f t="shared" si="4"/>
        <v>0</v>
      </c>
      <c r="BP55" s="203" t="str">
        <f t="shared" si="14"/>
        <v>0</v>
      </c>
      <c r="BQ55" s="186">
        <v>0</v>
      </c>
      <c r="BR55" s="219"/>
      <c r="BS55" s="186">
        <v>0</v>
      </c>
      <c r="BT55" s="107">
        <f t="shared" si="6"/>
        <v>0</v>
      </c>
      <c r="BU55" s="219">
        <v>0</v>
      </c>
      <c r="BV55" s="219">
        <v>0</v>
      </c>
      <c r="BW55" s="219">
        <v>0</v>
      </c>
      <c r="BX55" s="108">
        <f t="shared" si="7"/>
        <v>0</v>
      </c>
      <c r="BY55" s="220"/>
      <c r="BZ55" s="111">
        <f t="shared" si="8"/>
        <v>0</v>
      </c>
    </row>
    <row r="56" spans="1:78" ht="15.75" customHeight="1">
      <c r="A56" s="122">
        <v>52</v>
      </c>
      <c r="B56" s="217">
        <f>OVERALL!B55</f>
        <v>2339509</v>
      </c>
      <c r="C56" s="218" t="str">
        <f>OVERALL!C55</f>
        <v>TOHIED AHMED</v>
      </c>
      <c r="D56" s="123" t="s">
        <v>123</v>
      </c>
      <c r="E56" s="123" t="s">
        <v>123</v>
      </c>
      <c r="F56" s="123" t="s">
        <v>123</v>
      </c>
      <c r="G56" s="123" t="s">
        <v>123</v>
      </c>
      <c r="H56" s="123" t="s">
        <v>123</v>
      </c>
      <c r="I56" s="123" t="s">
        <v>123</v>
      </c>
      <c r="J56" s="123" t="s">
        <v>123</v>
      </c>
      <c r="K56" s="123" t="s">
        <v>123</v>
      </c>
      <c r="L56" s="123" t="s">
        <v>123</v>
      </c>
      <c r="M56" s="123" t="s">
        <v>123</v>
      </c>
      <c r="N56" s="123" t="s">
        <v>123</v>
      </c>
      <c r="O56" s="123" t="s">
        <v>123</v>
      </c>
      <c r="P56" s="123" t="s">
        <v>123</v>
      </c>
      <c r="Q56" s="123" t="s">
        <v>123</v>
      </c>
      <c r="R56" s="123" t="s">
        <v>123</v>
      </c>
      <c r="S56" s="123" t="s">
        <v>123</v>
      </c>
      <c r="T56" s="123" t="s">
        <v>123</v>
      </c>
      <c r="U56" s="123" t="s">
        <v>123</v>
      </c>
      <c r="V56" s="123" t="s">
        <v>123</v>
      </c>
      <c r="W56" s="123" t="s">
        <v>123</v>
      </c>
      <c r="X56" s="123" t="s">
        <v>123</v>
      </c>
      <c r="Y56" s="123" t="s">
        <v>123</v>
      </c>
      <c r="Z56" s="123" t="s">
        <v>123</v>
      </c>
      <c r="AA56" s="123" t="s">
        <v>123</v>
      </c>
      <c r="AB56" s="123" t="s">
        <v>123</v>
      </c>
      <c r="AC56" s="123" t="s">
        <v>123</v>
      </c>
      <c r="AD56" s="123" t="s">
        <v>123</v>
      </c>
      <c r="AE56" s="123" t="s">
        <v>123</v>
      </c>
      <c r="AF56" s="123" t="s">
        <v>123</v>
      </c>
      <c r="AG56" s="123" t="s">
        <v>123</v>
      </c>
      <c r="AH56" s="123" t="s">
        <v>123</v>
      </c>
      <c r="AI56" s="123" t="s">
        <v>123</v>
      </c>
      <c r="AJ56" s="123" t="s">
        <v>123</v>
      </c>
      <c r="AK56" s="123" t="s">
        <v>123</v>
      </c>
      <c r="AL56" s="123" t="s">
        <v>123</v>
      </c>
      <c r="AM56" s="123" t="s">
        <v>123</v>
      </c>
      <c r="AN56" s="123" t="s">
        <v>123</v>
      </c>
      <c r="AO56" s="123" t="s">
        <v>123</v>
      </c>
      <c r="AP56" s="123" t="s">
        <v>123</v>
      </c>
      <c r="AQ56" s="123" t="s">
        <v>123</v>
      </c>
      <c r="AR56" s="123" t="s">
        <v>123</v>
      </c>
      <c r="AS56" s="123" t="s">
        <v>123</v>
      </c>
      <c r="AT56" s="123" t="s">
        <v>123</v>
      </c>
      <c r="AU56" s="123" t="s">
        <v>123</v>
      </c>
      <c r="AV56" s="123" t="s">
        <v>123</v>
      </c>
      <c r="AW56" s="123" t="s">
        <v>123</v>
      </c>
      <c r="AX56" s="123" t="s">
        <v>123</v>
      </c>
      <c r="AY56" s="123" t="s">
        <v>123</v>
      </c>
      <c r="AZ56" s="123" t="s">
        <v>123</v>
      </c>
      <c r="BA56" s="123" t="s">
        <v>123</v>
      </c>
      <c r="BB56" s="123" t="s">
        <v>123</v>
      </c>
      <c r="BC56" s="96"/>
      <c r="BD56" s="88">
        <f t="shared" ref="BD56:BD57" si="18">COUNTIF(D56:BC56,"P")</f>
        <v>0</v>
      </c>
      <c r="BE56" s="88"/>
      <c r="BF56" s="88">
        <f t="shared" si="9"/>
        <v>0</v>
      </c>
      <c r="BG56" s="88">
        <v>65</v>
      </c>
      <c r="BH56" s="101">
        <f t="shared" si="1"/>
        <v>0</v>
      </c>
      <c r="BI56" s="374"/>
      <c r="BJ56" s="188">
        <f>OVERALL!A51</f>
        <v>48</v>
      </c>
      <c r="BK56" s="189">
        <f>OVERALL!B51</f>
        <v>2301285</v>
      </c>
      <c r="BL56" s="190" t="str">
        <f>OVERALL!C51</f>
        <v>Vansh Sharma</v>
      </c>
      <c r="BM56" s="203">
        <f t="shared" si="15"/>
        <v>65</v>
      </c>
      <c r="BN56" s="107">
        <f t="shared" si="16"/>
        <v>33</v>
      </c>
      <c r="BO56" s="108">
        <f t="shared" si="4"/>
        <v>50.769230769230766</v>
      </c>
      <c r="BP56" s="203" t="str">
        <f t="shared" si="14"/>
        <v>0</v>
      </c>
      <c r="BQ56" s="156">
        <v>7</v>
      </c>
      <c r="BR56" s="219"/>
      <c r="BS56" s="186">
        <v>2</v>
      </c>
      <c r="BT56" s="107">
        <f t="shared" si="6"/>
        <v>4.5</v>
      </c>
      <c r="BU56" s="219">
        <v>8</v>
      </c>
      <c r="BV56" s="219">
        <v>8</v>
      </c>
      <c r="BW56" s="219">
        <v>0</v>
      </c>
      <c r="BX56" s="108">
        <f t="shared" si="7"/>
        <v>5.333333333333333</v>
      </c>
      <c r="BY56" s="220"/>
      <c r="BZ56" s="111">
        <f t="shared" si="8"/>
        <v>10</v>
      </c>
    </row>
    <row r="57" spans="1:78" ht="15.75" customHeight="1">
      <c r="A57" s="122">
        <v>53</v>
      </c>
      <c r="B57" s="217">
        <f>OVERALL!B56</f>
        <v>2301207</v>
      </c>
      <c r="C57" s="218" t="str">
        <f>OVERALL!C56</f>
        <v>Harsh thakur</v>
      </c>
      <c r="D57" s="123" t="s">
        <v>123</v>
      </c>
      <c r="E57" s="123" t="s">
        <v>123</v>
      </c>
      <c r="F57" s="123" t="s">
        <v>123</v>
      </c>
      <c r="G57" s="123" t="s">
        <v>123</v>
      </c>
      <c r="H57" s="123" t="s">
        <v>123</v>
      </c>
      <c r="I57" s="123" t="s">
        <v>123</v>
      </c>
      <c r="J57" s="123" t="s">
        <v>123</v>
      </c>
      <c r="K57" s="123" t="s">
        <v>123</v>
      </c>
      <c r="L57" s="123" t="s">
        <v>123</v>
      </c>
      <c r="M57" s="123" t="s">
        <v>123</v>
      </c>
      <c r="N57" s="123" t="s">
        <v>123</v>
      </c>
      <c r="O57" s="123" t="s">
        <v>123</v>
      </c>
      <c r="P57" s="123" t="s">
        <v>123</v>
      </c>
      <c r="Q57" s="123" t="s">
        <v>123</v>
      </c>
      <c r="R57" s="123" t="s">
        <v>123</v>
      </c>
      <c r="S57" s="123" t="s">
        <v>123</v>
      </c>
      <c r="T57" s="123" t="s">
        <v>123</v>
      </c>
      <c r="U57" s="123" t="s">
        <v>123</v>
      </c>
      <c r="V57" s="123" t="s">
        <v>123</v>
      </c>
      <c r="W57" s="123" t="s">
        <v>123</v>
      </c>
      <c r="X57" s="123" t="s">
        <v>123</v>
      </c>
      <c r="Y57" s="123" t="s">
        <v>123</v>
      </c>
      <c r="Z57" s="123" t="s">
        <v>123</v>
      </c>
      <c r="AA57" s="123" t="s">
        <v>123</v>
      </c>
      <c r="AB57" s="123" t="s">
        <v>123</v>
      </c>
      <c r="AC57" s="123" t="s">
        <v>123</v>
      </c>
      <c r="AD57" s="123" t="s">
        <v>123</v>
      </c>
      <c r="AE57" s="123" t="s">
        <v>123</v>
      </c>
      <c r="AF57" s="123" t="s">
        <v>123</v>
      </c>
      <c r="AG57" s="123" t="s">
        <v>123</v>
      </c>
      <c r="AH57" s="123" t="s">
        <v>123</v>
      </c>
      <c r="AI57" s="123" t="s">
        <v>123</v>
      </c>
      <c r="AJ57" s="123" t="s">
        <v>123</v>
      </c>
      <c r="AK57" s="123" t="s">
        <v>123</v>
      </c>
      <c r="AL57" s="123" t="s">
        <v>123</v>
      </c>
      <c r="AM57" s="123" t="s">
        <v>123</v>
      </c>
      <c r="AN57" s="123" t="s">
        <v>123</v>
      </c>
      <c r="AO57" s="123" t="s">
        <v>123</v>
      </c>
      <c r="AP57" s="123" t="s">
        <v>123</v>
      </c>
      <c r="AQ57" s="123" t="s">
        <v>123</v>
      </c>
      <c r="AR57" s="123" t="s">
        <v>123</v>
      </c>
      <c r="AS57" s="123" t="s">
        <v>123</v>
      </c>
      <c r="AT57" s="123" t="s">
        <v>123</v>
      </c>
      <c r="AU57" s="123" t="s">
        <v>123</v>
      </c>
      <c r="AV57" s="123" t="s">
        <v>123</v>
      </c>
      <c r="AW57" s="123" t="s">
        <v>123</v>
      </c>
      <c r="AX57" s="123" t="s">
        <v>123</v>
      </c>
      <c r="AY57" s="123" t="s">
        <v>123</v>
      </c>
      <c r="AZ57" s="123" t="s">
        <v>123</v>
      </c>
      <c r="BA57" s="123" t="s">
        <v>123</v>
      </c>
      <c r="BB57" s="123" t="s">
        <v>123</v>
      </c>
      <c r="BC57" s="96"/>
      <c r="BD57" s="88">
        <f t="shared" si="18"/>
        <v>0</v>
      </c>
      <c r="BE57" s="88"/>
      <c r="BF57" s="88">
        <f t="shared" si="9"/>
        <v>0</v>
      </c>
      <c r="BG57" s="88">
        <v>65</v>
      </c>
      <c r="BH57" s="101">
        <f t="shared" si="1"/>
        <v>0</v>
      </c>
      <c r="BI57" s="374"/>
      <c r="BJ57" s="188">
        <f>OVERALL!A52</f>
        <v>49</v>
      </c>
      <c r="BK57" s="189">
        <f>OVERALL!B52</f>
        <v>2301286</v>
      </c>
      <c r="BL57" s="190" t="str">
        <f>OVERALL!C52</f>
        <v>Vikramjit Singh</v>
      </c>
      <c r="BM57" s="203">
        <f t="shared" si="15"/>
        <v>65</v>
      </c>
      <c r="BN57" s="107">
        <f t="shared" si="16"/>
        <v>1</v>
      </c>
      <c r="BO57" s="108">
        <f t="shared" si="4"/>
        <v>1.5384615384615383</v>
      </c>
      <c r="BP57" s="203" t="str">
        <f t="shared" si="14"/>
        <v>0</v>
      </c>
      <c r="BQ57" s="156">
        <v>3</v>
      </c>
      <c r="BR57" s="219"/>
      <c r="BS57" s="186">
        <v>0</v>
      </c>
      <c r="BT57" s="107">
        <f t="shared" si="6"/>
        <v>1.5</v>
      </c>
      <c r="BU57" s="219">
        <v>0</v>
      </c>
      <c r="BV57" s="219">
        <v>0</v>
      </c>
      <c r="BW57" s="219">
        <v>0</v>
      </c>
      <c r="BX57" s="108">
        <f t="shared" si="7"/>
        <v>0</v>
      </c>
      <c r="BY57" s="220"/>
      <c r="BZ57" s="111">
        <f t="shared" si="8"/>
        <v>2</v>
      </c>
    </row>
    <row r="58" spans="1:78" ht="15.75" customHeight="1">
      <c r="A58" s="122">
        <v>54</v>
      </c>
      <c r="B58" s="217" t="str">
        <f>OVERALL!B57</f>
        <v>Leet</v>
      </c>
      <c r="C58" s="218" t="str">
        <f>OVERALL!C57</f>
        <v>Gagan</v>
      </c>
      <c r="D58" s="123" t="s">
        <v>123</v>
      </c>
      <c r="E58" s="113" t="s">
        <v>124</v>
      </c>
      <c r="F58" s="113" t="s">
        <v>124</v>
      </c>
      <c r="G58" s="113" t="s">
        <v>124</v>
      </c>
      <c r="H58" s="113" t="s">
        <v>124</v>
      </c>
      <c r="I58" s="113" t="s">
        <v>123</v>
      </c>
      <c r="J58" s="113" t="s">
        <v>124</v>
      </c>
      <c r="K58" s="113" t="s">
        <v>124</v>
      </c>
      <c r="L58" s="113" t="s">
        <v>124</v>
      </c>
      <c r="M58" s="113" t="s">
        <v>124</v>
      </c>
      <c r="N58" s="113" t="s">
        <v>123</v>
      </c>
      <c r="O58" s="113" t="s">
        <v>123</v>
      </c>
      <c r="P58" s="113" t="s">
        <v>124</v>
      </c>
      <c r="Q58" s="113" t="s">
        <v>123</v>
      </c>
      <c r="R58" s="186" t="s">
        <v>124</v>
      </c>
      <c r="S58" s="156" t="s">
        <v>123</v>
      </c>
      <c r="T58" s="113" t="s">
        <v>124</v>
      </c>
      <c r="U58" s="113" t="s">
        <v>124</v>
      </c>
      <c r="V58" s="113" t="s">
        <v>124</v>
      </c>
      <c r="W58" s="113" t="s">
        <v>123</v>
      </c>
      <c r="X58" s="113" t="s">
        <v>123</v>
      </c>
      <c r="Y58" s="113" t="s">
        <v>123</v>
      </c>
      <c r="Z58" s="186" t="s">
        <v>124</v>
      </c>
      <c r="AA58" s="156" t="s">
        <v>123</v>
      </c>
      <c r="AB58" s="186" t="s">
        <v>123</v>
      </c>
      <c r="AC58" s="186" t="s">
        <v>124</v>
      </c>
      <c r="AD58" s="186" t="s">
        <v>124</v>
      </c>
      <c r="AE58" s="186" t="s">
        <v>124</v>
      </c>
      <c r="AF58" s="186" t="s">
        <v>124</v>
      </c>
      <c r="AG58" s="186" t="s">
        <v>124</v>
      </c>
      <c r="AH58" s="186" t="s">
        <v>124</v>
      </c>
      <c r="AI58" s="186" t="s">
        <v>124</v>
      </c>
      <c r="AJ58" s="186" t="s">
        <v>124</v>
      </c>
      <c r="AK58" s="186" t="s">
        <v>124</v>
      </c>
      <c r="AL58" s="186" t="s">
        <v>124</v>
      </c>
      <c r="AM58" s="96" t="s">
        <v>124</v>
      </c>
      <c r="AN58" s="96" t="s">
        <v>124</v>
      </c>
      <c r="AO58" s="96" t="s">
        <v>124</v>
      </c>
      <c r="AP58" s="96" t="s">
        <v>123</v>
      </c>
      <c r="AQ58" s="96" t="s">
        <v>124</v>
      </c>
      <c r="AR58" s="96" t="s">
        <v>124</v>
      </c>
      <c r="AS58" s="96" t="s">
        <v>124</v>
      </c>
      <c r="AT58" s="96" t="s">
        <v>124</v>
      </c>
      <c r="AU58" s="96" t="s">
        <v>124</v>
      </c>
      <c r="AV58" s="96" t="s">
        <v>124</v>
      </c>
      <c r="AW58" s="96" t="s">
        <v>124</v>
      </c>
      <c r="AX58" s="96" t="s">
        <v>124</v>
      </c>
      <c r="AY58" s="96" t="s">
        <v>123</v>
      </c>
      <c r="AZ58" s="96" t="s">
        <v>124</v>
      </c>
      <c r="BA58" s="96" t="s">
        <v>124</v>
      </c>
      <c r="BB58" s="96" t="s">
        <v>123</v>
      </c>
      <c r="BC58" s="96"/>
      <c r="BD58" s="88">
        <v>47</v>
      </c>
      <c r="BE58" s="88"/>
      <c r="BF58" s="88">
        <f t="shared" si="9"/>
        <v>47</v>
      </c>
      <c r="BG58" s="88">
        <v>65</v>
      </c>
      <c r="BH58" s="101">
        <f t="shared" si="1"/>
        <v>0.72307692307692306</v>
      </c>
      <c r="BI58" s="374"/>
      <c r="BJ58" s="188">
        <f>OVERALL!A53</f>
        <v>50</v>
      </c>
      <c r="BK58" s="189">
        <f>OVERALL!B53</f>
        <v>2301287</v>
      </c>
      <c r="BL58" s="190" t="str">
        <f>OVERALL!C53</f>
        <v>Vishavjit Singh</v>
      </c>
      <c r="BM58" s="203">
        <f t="shared" si="15"/>
        <v>65</v>
      </c>
      <c r="BN58" s="107">
        <f t="shared" si="16"/>
        <v>1</v>
      </c>
      <c r="BO58" s="108">
        <f t="shared" si="4"/>
        <v>1.5384615384615383</v>
      </c>
      <c r="BP58" s="203" t="str">
        <f t="shared" si="14"/>
        <v>0</v>
      </c>
      <c r="BQ58" s="156">
        <v>1</v>
      </c>
      <c r="BR58" s="219"/>
      <c r="BS58" s="186">
        <v>0</v>
      </c>
      <c r="BT58" s="107">
        <f t="shared" si="6"/>
        <v>0.5</v>
      </c>
      <c r="BU58" s="219">
        <v>0</v>
      </c>
      <c r="BV58" s="219">
        <v>0</v>
      </c>
      <c r="BW58" s="219">
        <v>0</v>
      </c>
      <c r="BX58" s="108">
        <f t="shared" si="7"/>
        <v>0</v>
      </c>
      <c r="BY58" s="220"/>
      <c r="BZ58" s="111">
        <f t="shared" si="8"/>
        <v>1</v>
      </c>
    </row>
    <row r="59" spans="1:78" ht="15.75" customHeight="1">
      <c r="A59" s="122">
        <v>55</v>
      </c>
      <c r="B59" s="217" t="str">
        <f>OVERALL!B58</f>
        <v>Leet</v>
      </c>
      <c r="C59" s="218" t="str">
        <f>OVERALL!C58</f>
        <v>Manisha</v>
      </c>
      <c r="D59" s="123" t="s">
        <v>124</v>
      </c>
      <c r="E59" s="123" t="s">
        <v>124</v>
      </c>
      <c r="F59" s="123" t="s">
        <v>124</v>
      </c>
      <c r="G59" s="123" t="s">
        <v>124</v>
      </c>
      <c r="H59" s="123" t="s">
        <v>124</v>
      </c>
      <c r="I59" s="123" t="s">
        <v>124</v>
      </c>
      <c r="J59" s="123" t="s">
        <v>124</v>
      </c>
      <c r="K59" s="123" t="s">
        <v>123</v>
      </c>
      <c r="L59" s="123" t="s">
        <v>123</v>
      </c>
      <c r="M59" s="123" t="s">
        <v>124</v>
      </c>
      <c r="N59" s="123" t="s">
        <v>124</v>
      </c>
      <c r="O59" s="123" t="s">
        <v>124</v>
      </c>
      <c r="P59" s="123" t="s">
        <v>123</v>
      </c>
      <c r="Q59" s="123" t="s">
        <v>124</v>
      </c>
      <c r="R59" s="123" t="s">
        <v>124</v>
      </c>
      <c r="S59" s="123" t="s">
        <v>124</v>
      </c>
      <c r="T59" s="123" t="s">
        <v>124</v>
      </c>
      <c r="U59" s="123" t="s">
        <v>123</v>
      </c>
      <c r="V59" s="123" t="s">
        <v>123</v>
      </c>
      <c r="W59" s="123" t="s">
        <v>124</v>
      </c>
      <c r="X59" s="123" t="s">
        <v>124</v>
      </c>
      <c r="Y59" s="123" t="s">
        <v>123</v>
      </c>
      <c r="Z59" s="123" t="s">
        <v>124</v>
      </c>
      <c r="AA59" s="156" t="s">
        <v>124</v>
      </c>
      <c r="AB59" s="186" t="s">
        <v>124</v>
      </c>
      <c r="AC59" s="186" t="s">
        <v>124</v>
      </c>
      <c r="AD59" s="186" t="s">
        <v>124</v>
      </c>
      <c r="AE59" s="186" t="s">
        <v>124</v>
      </c>
      <c r="AF59" s="186" t="s">
        <v>124</v>
      </c>
      <c r="AG59" s="186" t="s">
        <v>124</v>
      </c>
      <c r="AH59" s="186" t="s">
        <v>123</v>
      </c>
      <c r="AI59" s="186" t="s">
        <v>124</v>
      </c>
      <c r="AJ59" s="186" t="s">
        <v>124</v>
      </c>
      <c r="AK59" s="186" t="s">
        <v>124</v>
      </c>
      <c r="AL59" s="186" t="s">
        <v>124</v>
      </c>
      <c r="AM59" s="96" t="s">
        <v>123</v>
      </c>
      <c r="AN59" s="96" t="s">
        <v>123</v>
      </c>
      <c r="AO59" s="96" t="s">
        <v>123</v>
      </c>
      <c r="AP59" s="96" t="s">
        <v>124</v>
      </c>
      <c r="AQ59" s="96" t="s">
        <v>124</v>
      </c>
      <c r="AR59" s="96" t="s">
        <v>124</v>
      </c>
      <c r="AS59" s="96" t="s">
        <v>124</v>
      </c>
      <c r="AT59" s="96" t="s">
        <v>124</v>
      </c>
      <c r="AU59" s="96" t="s">
        <v>124</v>
      </c>
      <c r="AV59" s="96" t="s">
        <v>123</v>
      </c>
      <c r="AW59" s="96" t="s">
        <v>123</v>
      </c>
      <c r="AX59" s="96" t="s">
        <v>123</v>
      </c>
      <c r="AY59" s="96" t="s">
        <v>124</v>
      </c>
      <c r="AZ59" s="96" t="s">
        <v>124</v>
      </c>
      <c r="BA59" s="96" t="s">
        <v>124</v>
      </c>
      <c r="BB59" s="96" t="s">
        <v>124</v>
      </c>
      <c r="BC59" s="96"/>
      <c r="BD59" s="88">
        <v>48</v>
      </c>
      <c r="BE59" s="88"/>
      <c r="BF59" s="88">
        <f t="shared" si="9"/>
        <v>48</v>
      </c>
      <c r="BG59" s="88">
        <v>65</v>
      </c>
      <c r="BH59" s="101">
        <f t="shared" si="1"/>
        <v>0.7384615384615385</v>
      </c>
      <c r="BI59" s="374"/>
      <c r="BJ59" s="188">
        <f>OVERALL!A54</f>
        <v>51</v>
      </c>
      <c r="BK59" s="189">
        <f>OVERALL!B54</f>
        <v>2339508</v>
      </c>
      <c r="BL59" s="190" t="str">
        <f>OVERALL!C54</f>
        <v>TANISHA</v>
      </c>
      <c r="BM59" s="203">
        <f t="shared" si="15"/>
        <v>65</v>
      </c>
      <c r="BN59" s="107">
        <f t="shared" si="16"/>
        <v>48</v>
      </c>
      <c r="BO59" s="108">
        <f t="shared" si="4"/>
        <v>73.84615384615384</v>
      </c>
      <c r="BP59" s="203" t="str">
        <f t="shared" si="14"/>
        <v>0</v>
      </c>
      <c r="BQ59" s="156">
        <v>0</v>
      </c>
      <c r="BR59" s="219"/>
      <c r="BS59" s="186">
        <v>8</v>
      </c>
      <c r="BT59" s="107">
        <f t="shared" si="6"/>
        <v>4</v>
      </c>
      <c r="BU59" s="219">
        <v>7</v>
      </c>
      <c r="BV59" s="219">
        <v>8</v>
      </c>
      <c r="BW59" s="219">
        <v>10</v>
      </c>
      <c r="BX59" s="108">
        <f t="shared" si="7"/>
        <v>8.3333333333333339</v>
      </c>
      <c r="BY59" s="220"/>
      <c r="BZ59" s="111">
        <f t="shared" si="8"/>
        <v>12</v>
      </c>
    </row>
    <row r="60" spans="1:78" ht="15.75" customHeight="1">
      <c r="A60" s="122">
        <v>56</v>
      </c>
      <c r="B60" s="217" t="str">
        <f>OVERALL!B59</f>
        <v>Leet</v>
      </c>
      <c r="C60" s="218" t="str">
        <f>OVERALL!C59</f>
        <v>Richa</v>
      </c>
      <c r="D60" s="123" t="s">
        <v>124</v>
      </c>
      <c r="E60" s="123" t="s">
        <v>124</v>
      </c>
      <c r="F60" s="123" t="s">
        <v>124</v>
      </c>
      <c r="G60" s="123" t="s">
        <v>124</v>
      </c>
      <c r="H60" s="123" t="s">
        <v>124</v>
      </c>
      <c r="I60" s="123" t="s">
        <v>124</v>
      </c>
      <c r="J60" s="123" t="s">
        <v>124</v>
      </c>
      <c r="K60" s="123" t="s">
        <v>124</v>
      </c>
      <c r="L60" s="123" t="s">
        <v>124</v>
      </c>
      <c r="M60" s="123" t="s">
        <v>123</v>
      </c>
      <c r="N60" s="123" t="s">
        <v>124</v>
      </c>
      <c r="O60" s="123" t="s">
        <v>124</v>
      </c>
      <c r="P60" s="123" t="s">
        <v>123</v>
      </c>
      <c r="Q60" s="123" t="s">
        <v>124</v>
      </c>
      <c r="R60" s="123" t="s">
        <v>124</v>
      </c>
      <c r="S60" s="123" t="s">
        <v>124</v>
      </c>
      <c r="T60" s="123" t="s">
        <v>124</v>
      </c>
      <c r="U60" s="123" t="s">
        <v>124</v>
      </c>
      <c r="V60" s="123" t="s">
        <v>123</v>
      </c>
      <c r="W60" s="123" t="s">
        <v>124</v>
      </c>
      <c r="X60" s="123" t="s">
        <v>124</v>
      </c>
      <c r="Y60" s="123" t="s">
        <v>123</v>
      </c>
      <c r="Z60" s="123" t="s">
        <v>124</v>
      </c>
      <c r="AA60" s="156" t="s">
        <v>124</v>
      </c>
      <c r="AB60" s="186" t="s">
        <v>124</v>
      </c>
      <c r="AC60" s="186" t="s">
        <v>124</v>
      </c>
      <c r="AD60" s="113" t="s">
        <v>124</v>
      </c>
      <c r="AE60" s="113" t="s">
        <v>124</v>
      </c>
      <c r="AF60" s="113" t="s">
        <v>124</v>
      </c>
      <c r="AG60" s="113" t="s">
        <v>124</v>
      </c>
      <c r="AH60" s="113" t="s">
        <v>123</v>
      </c>
      <c r="AI60" s="113" t="s">
        <v>124</v>
      </c>
      <c r="AJ60" s="113" t="s">
        <v>124</v>
      </c>
      <c r="AK60" s="113" t="s">
        <v>124</v>
      </c>
      <c r="AL60" s="113" t="s">
        <v>124</v>
      </c>
      <c r="AM60" s="96" t="s">
        <v>124</v>
      </c>
      <c r="AN60" s="96" t="s">
        <v>123</v>
      </c>
      <c r="AO60" s="96" t="s">
        <v>123</v>
      </c>
      <c r="AP60" s="96" t="s">
        <v>124</v>
      </c>
      <c r="AQ60" s="96" t="s">
        <v>124</v>
      </c>
      <c r="AR60" s="96" t="s">
        <v>124</v>
      </c>
      <c r="AS60" s="96" t="s">
        <v>124</v>
      </c>
      <c r="AT60" s="96" t="s">
        <v>124</v>
      </c>
      <c r="AU60" s="96" t="s">
        <v>124</v>
      </c>
      <c r="AV60" s="96" t="s">
        <v>124</v>
      </c>
      <c r="AW60" s="96" t="s">
        <v>124</v>
      </c>
      <c r="AX60" s="96" t="s">
        <v>124</v>
      </c>
      <c r="AY60" s="96" t="s">
        <v>124</v>
      </c>
      <c r="AZ60" s="96" t="s">
        <v>124</v>
      </c>
      <c r="BA60" s="96" t="s">
        <v>124</v>
      </c>
      <c r="BB60" s="96" t="s">
        <v>124</v>
      </c>
      <c r="BC60" s="96"/>
      <c r="BD60" s="88">
        <v>55</v>
      </c>
      <c r="BE60" s="88">
        <v>2</v>
      </c>
      <c r="BF60" s="88">
        <f t="shared" si="9"/>
        <v>57</v>
      </c>
      <c r="BG60" s="88">
        <v>65</v>
      </c>
      <c r="BH60" s="101">
        <f t="shared" si="1"/>
        <v>0.87692307692307692</v>
      </c>
      <c r="BI60" s="374"/>
      <c r="BJ60" s="188">
        <f>OVERALL!A55</f>
        <v>52</v>
      </c>
      <c r="BK60" s="189">
        <f>OVERALL!B55</f>
        <v>2339509</v>
      </c>
      <c r="BL60" s="190" t="str">
        <f>OVERALL!C55</f>
        <v>TOHIED AHMED</v>
      </c>
      <c r="BM60" s="203">
        <f t="shared" si="15"/>
        <v>65</v>
      </c>
      <c r="BN60" s="107">
        <f t="shared" si="16"/>
        <v>0</v>
      </c>
      <c r="BO60" s="108">
        <f t="shared" si="4"/>
        <v>0</v>
      </c>
      <c r="BP60" s="203" t="str">
        <f t="shared" si="14"/>
        <v>0</v>
      </c>
      <c r="BQ60" s="156">
        <v>0</v>
      </c>
      <c r="BR60" s="219"/>
      <c r="BS60" s="186">
        <v>0</v>
      </c>
      <c r="BT60" s="107">
        <f t="shared" si="6"/>
        <v>0</v>
      </c>
      <c r="BU60" s="219">
        <v>0</v>
      </c>
      <c r="BV60" s="219">
        <v>0</v>
      </c>
      <c r="BW60" s="219">
        <v>0</v>
      </c>
      <c r="BX60" s="108">
        <f t="shared" si="7"/>
        <v>0</v>
      </c>
      <c r="BY60" s="220"/>
      <c r="BZ60" s="111">
        <f t="shared" si="8"/>
        <v>0</v>
      </c>
    </row>
    <row r="61" spans="1:78" ht="15.75" customHeight="1">
      <c r="A61" s="122">
        <v>57</v>
      </c>
      <c r="B61" s="221" t="str">
        <f>OVERALL!B60</f>
        <v>Leet</v>
      </c>
      <c r="C61" s="222" t="str">
        <f>OVERALL!C60</f>
        <v>Prakriti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88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88">
        <v>42</v>
      </c>
      <c r="BE61" s="88"/>
      <c r="BF61" s="88">
        <f t="shared" si="9"/>
        <v>42</v>
      </c>
      <c r="BG61" s="88">
        <v>48</v>
      </c>
      <c r="BH61" s="101">
        <f t="shared" si="1"/>
        <v>0.875</v>
      </c>
      <c r="BI61" s="374"/>
      <c r="BJ61" s="188">
        <f>OVERALL!A56</f>
        <v>53</v>
      </c>
      <c r="BK61" s="189">
        <f>OVERALL!B56</f>
        <v>2301207</v>
      </c>
      <c r="BL61" s="190" t="str">
        <f>OVERALL!C56</f>
        <v>Harsh thakur</v>
      </c>
      <c r="BM61" s="203">
        <f t="shared" si="15"/>
        <v>65</v>
      </c>
      <c r="BN61" s="107">
        <f t="shared" si="16"/>
        <v>0</v>
      </c>
      <c r="BO61" s="108">
        <f t="shared" si="4"/>
        <v>0</v>
      </c>
      <c r="BP61" s="203" t="str">
        <f t="shared" si="14"/>
        <v>0</v>
      </c>
      <c r="BQ61" s="156">
        <v>0</v>
      </c>
      <c r="BR61" s="219"/>
      <c r="BS61" s="186">
        <v>0</v>
      </c>
      <c r="BT61" s="107">
        <f t="shared" si="6"/>
        <v>0</v>
      </c>
      <c r="BU61" s="219">
        <v>0</v>
      </c>
      <c r="BV61" s="219">
        <v>0</v>
      </c>
      <c r="BW61" s="219">
        <v>0</v>
      </c>
      <c r="BX61" s="108">
        <f t="shared" si="7"/>
        <v>0</v>
      </c>
      <c r="BY61" s="220"/>
      <c r="BZ61" s="111">
        <f t="shared" si="8"/>
        <v>0</v>
      </c>
    </row>
    <row r="62" spans="1:78" ht="15.75" customHeight="1">
      <c r="A62" s="122">
        <v>58</v>
      </c>
      <c r="B62" s="105" t="str">
        <f>OVERALL!B61</f>
        <v>leet</v>
      </c>
      <c r="C62" s="106" t="str">
        <f>OVERALL!C61</f>
        <v>Shubham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88">
        <v>31</v>
      </c>
      <c r="BE62" s="88"/>
      <c r="BF62" s="88">
        <f t="shared" si="9"/>
        <v>31</v>
      </c>
      <c r="BG62" s="88">
        <v>35</v>
      </c>
      <c r="BH62" s="101">
        <f t="shared" si="1"/>
        <v>0.88571428571428568</v>
      </c>
      <c r="BI62" s="374"/>
      <c r="BJ62" s="188">
        <f>OVERALL!A57</f>
        <v>54</v>
      </c>
      <c r="BK62" s="189" t="str">
        <f>OVERALL!B57</f>
        <v>Leet</v>
      </c>
      <c r="BL62" s="190" t="str">
        <f>OVERALL!C57</f>
        <v>Gagan</v>
      </c>
      <c r="BM62" s="203">
        <f t="shared" si="15"/>
        <v>65</v>
      </c>
      <c r="BN62" s="107">
        <f t="shared" si="16"/>
        <v>47</v>
      </c>
      <c r="BO62" s="108">
        <f t="shared" si="4"/>
        <v>72.307692307692307</v>
      </c>
      <c r="BP62" s="203" t="str">
        <f t="shared" si="14"/>
        <v>0</v>
      </c>
      <c r="BQ62" s="156">
        <v>10</v>
      </c>
      <c r="BR62" s="219"/>
      <c r="BS62" s="186">
        <v>10</v>
      </c>
      <c r="BT62" s="107">
        <f t="shared" si="6"/>
        <v>10</v>
      </c>
      <c r="BU62" s="219">
        <v>8</v>
      </c>
      <c r="BV62" s="219">
        <v>8</v>
      </c>
      <c r="BW62" s="219">
        <v>10</v>
      </c>
      <c r="BX62" s="108">
        <f t="shared" si="7"/>
        <v>8.6666666666666661</v>
      </c>
      <c r="BY62" s="220"/>
      <c r="BZ62" s="111">
        <f t="shared" si="8"/>
        <v>19</v>
      </c>
    </row>
    <row r="63" spans="1:78" ht="15.75" customHeight="1">
      <c r="A63" s="52"/>
      <c r="B63" s="184"/>
      <c r="C63" s="134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24"/>
      <c r="BE63" s="24"/>
      <c r="BF63" s="24"/>
      <c r="BG63" s="24"/>
      <c r="BH63" s="24"/>
      <c r="BI63" s="374"/>
      <c r="BJ63" s="188">
        <f>OVERALL!A58</f>
        <v>55</v>
      </c>
      <c r="BK63" s="189" t="str">
        <f>OVERALL!B58</f>
        <v>Leet</v>
      </c>
      <c r="BL63" s="190" t="str">
        <f>OVERALL!C58</f>
        <v>Manisha</v>
      </c>
      <c r="BM63" s="203">
        <f t="shared" si="15"/>
        <v>65</v>
      </c>
      <c r="BN63" s="107">
        <f t="shared" si="16"/>
        <v>48</v>
      </c>
      <c r="BO63" s="108">
        <f t="shared" si="4"/>
        <v>73.84615384615384</v>
      </c>
      <c r="BP63" s="203" t="str">
        <f t="shared" si="14"/>
        <v>0</v>
      </c>
      <c r="BQ63" s="223">
        <v>10</v>
      </c>
      <c r="BR63" s="219"/>
      <c r="BS63" s="186">
        <v>11</v>
      </c>
      <c r="BT63" s="107">
        <f t="shared" si="6"/>
        <v>10.5</v>
      </c>
      <c r="BU63" s="219">
        <v>8</v>
      </c>
      <c r="BV63" s="219">
        <v>10</v>
      </c>
      <c r="BW63" s="219">
        <v>9</v>
      </c>
      <c r="BX63" s="108">
        <f t="shared" si="7"/>
        <v>9</v>
      </c>
      <c r="BY63" s="220"/>
      <c r="BZ63" s="111">
        <f t="shared" si="8"/>
        <v>20</v>
      </c>
    </row>
    <row r="64" spans="1:78" ht="15.75" customHeight="1">
      <c r="A64" s="52"/>
      <c r="B64" s="184"/>
      <c r="C64" s="134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24"/>
      <c r="BE64" s="24"/>
      <c r="BF64" s="24"/>
      <c r="BG64" s="24"/>
      <c r="BH64" s="24"/>
      <c r="BI64" s="374"/>
      <c r="BJ64" s="188">
        <f>OVERALL!A59</f>
        <v>56</v>
      </c>
      <c r="BK64" s="189" t="str">
        <f>OVERALL!B59</f>
        <v>Leet</v>
      </c>
      <c r="BL64" s="190" t="str">
        <f>OVERALL!C59</f>
        <v>Richa</v>
      </c>
      <c r="BM64" s="203">
        <f t="shared" si="15"/>
        <v>65</v>
      </c>
      <c r="BN64" s="107">
        <f t="shared" si="16"/>
        <v>57</v>
      </c>
      <c r="BO64" s="108">
        <f t="shared" si="4"/>
        <v>87.692307692307693</v>
      </c>
      <c r="BP64" s="203" t="str">
        <f t="shared" si="14"/>
        <v>4</v>
      </c>
      <c r="BQ64" s="156">
        <v>16</v>
      </c>
      <c r="BR64" s="219"/>
      <c r="BS64" s="186">
        <v>11</v>
      </c>
      <c r="BT64" s="107">
        <f t="shared" si="6"/>
        <v>13.5</v>
      </c>
      <c r="BU64" s="219">
        <v>8</v>
      </c>
      <c r="BV64" s="219">
        <v>10</v>
      </c>
      <c r="BW64" s="219">
        <v>9</v>
      </c>
      <c r="BX64" s="108">
        <f t="shared" si="7"/>
        <v>9</v>
      </c>
      <c r="BY64" s="220"/>
      <c r="BZ64" s="111">
        <f t="shared" si="8"/>
        <v>27</v>
      </c>
    </row>
    <row r="65" spans="1:78" ht="15.75" customHeight="1">
      <c r="A65" s="52"/>
      <c r="B65" s="184"/>
      <c r="C65" s="134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24"/>
      <c r="BE65" s="24"/>
      <c r="BF65" s="24"/>
      <c r="BG65" s="24"/>
      <c r="BH65" s="24"/>
      <c r="BI65" s="374"/>
      <c r="BJ65" s="188">
        <f>OVERALL!A60</f>
        <v>57</v>
      </c>
      <c r="BK65" s="189" t="str">
        <f>OVERALL!B60</f>
        <v>Leet</v>
      </c>
      <c r="BL65" s="190" t="str">
        <f>OVERALL!C60</f>
        <v>Prakriti</v>
      </c>
      <c r="BM65" s="203">
        <v>48</v>
      </c>
      <c r="BN65" s="107">
        <v>42</v>
      </c>
      <c r="BO65" s="108">
        <f t="shared" si="4"/>
        <v>87.5</v>
      </c>
      <c r="BP65" s="203" t="str">
        <f t="shared" si="14"/>
        <v>4</v>
      </c>
      <c r="BQ65" s="156">
        <v>4</v>
      </c>
      <c r="BR65" s="219"/>
      <c r="BS65" s="186">
        <v>5</v>
      </c>
      <c r="BT65" s="107">
        <f t="shared" si="6"/>
        <v>4.5</v>
      </c>
      <c r="BU65" s="219">
        <v>9</v>
      </c>
      <c r="BV65" s="219">
        <v>10</v>
      </c>
      <c r="BW65" s="219">
        <v>8</v>
      </c>
      <c r="BX65" s="108">
        <f t="shared" si="7"/>
        <v>9</v>
      </c>
      <c r="BY65" s="220"/>
      <c r="BZ65" s="111">
        <f t="shared" si="8"/>
        <v>18</v>
      </c>
    </row>
    <row r="66" spans="1:78" ht="15.75" customHeight="1">
      <c r="A66" s="52"/>
      <c r="B66" s="184"/>
      <c r="C66" s="13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4"/>
      <c r="BE66" s="24"/>
      <c r="BF66" s="24"/>
      <c r="BG66" s="24"/>
      <c r="BH66" s="24"/>
      <c r="BI66" s="374"/>
      <c r="BJ66" s="188">
        <f>OVERALL!A61</f>
        <v>58</v>
      </c>
      <c r="BK66" s="189" t="str">
        <f>OVERALL!B61</f>
        <v>leet</v>
      </c>
      <c r="BL66" s="190" t="str">
        <f>OVERALL!C61</f>
        <v>Shubham</v>
      </c>
      <c r="BM66" s="203">
        <v>35</v>
      </c>
      <c r="BN66" s="107">
        <f>BF62</f>
        <v>31</v>
      </c>
      <c r="BO66" s="108">
        <f t="shared" si="4"/>
        <v>88.571428571428584</v>
      </c>
      <c r="BP66" s="203" t="str">
        <f t="shared" si="14"/>
        <v>4</v>
      </c>
      <c r="BQ66" s="156">
        <v>0</v>
      </c>
      <c r="BR66" s="219"/>
      <c r="BS66" s="186">
        <v>0</v>
      </c>
      <c r="BT66" s="107">
        <f t="shared" si="6"/>
        <v>0</v>
      </c>
      <c r="BU66" s="219">
        <v>8</v>
      </c>
      <c r="BV66" s="219">
        <v>8</v>
      </c>
      <c r="BW66" s="219">
        <v>10</v>
      </c>
      <c r="BX66" s="108">
        <f t="shared" si="7"/>
        <v>8.6666666666666661</v>
      </c>
      <c r="BY66" s="220"/>
      <c r="BZ66" s="111">
        <f t="shared" si="8"/>
        <v>13</v>
      </c>
    </row>
    <row r="67" spans="1:78" ht="15.75" customHeight="1">
      <c r="A67" s="52"/>
      <c r="B67" s="184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24"/>
      <c r="BE67" s="24"/>
      <c r="BF67" s="24"/>
      <c r="BG67" s="24"/>
      <c r="BH67" s="24"/>
      <c r="BI67" s="37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</row>
    <row r="68" spans="1:78" ht="15.75" customHeight="1">
      <c r="A68" s="52"/>
      <c r="B68" s="184"/>
      <c r="C68" s="13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24"/>
      <c r="BE68" s="24"/>
      <c r="BF68" s="24"/>
      <c r="BG68" s="24"/>
      <c r="BH68" s="24"/>
      <c r="BI68" s="37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</row>
    <row r="69" spans="1:78" ht="15.75" customHeight="1">
      <c r="A69" s="52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24"/>
      <c r="BE69" s="24"/>
      <c r="BF69" s="24"/>
      <c r="BG69" s="24"/>
      <c r="BH69" s="24"/>
      <c r="BI69" s="37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</row>
    <row r="70" spans="1:78" ht="15.75" customHeight="1">
      <c r="A70" s="52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24"/>
      <c r="BE70" s="24"/>
      <c r="BF70" s="24"/>
      <c r="BG70" s="24"/>
      <c r="BH70" s="24"/>
      <c r="BI70" s="37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</row>
    <row r="71" spans="1:78" ht="15.75" customHeight="1">
      <c r="A71" s="52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24"/>
      <c r="BF71" s="24"/>
      <c r="BG71" s="24"/>
      <c r="BH71" s="24"/>
      <c r="BI71" s="37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</row>
    <row r="72" spans="1:78" ht="15.75" customHeight="1">
      <c r="A72" s="52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24"/>
      <c r="BF72" s="24"/>
      <c r="BG72" s="24"/>
      <c r="BH72" s="24"/>
      <c r="BI72" s="37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</row>
    <row r="73" spans="1:78" ht="15.75" customHeight="1">
      <c r="A73" s="52"/>
      <c r="B73" s="184"/>
      <c r="C73" s="13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4"/>
      <c r="BE73" s="24"/>
      <c r="BF73" s="24"/>
      <c r="BG73" s="24"/>
      <c r="BH73" s="24"/>
      <c r="BI73" s="37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</row>
    <row r="74" spans="1:78" ht="15.75" customHeight="1">
      <c r="A74" s="52"/>
      <c r="B74" s="184"/>
      <c r="C74" s="13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24"/>
      <c r="BE74" s="24"/>
      <c r="BF74" s="24"/>
      <c r="BG74" s="24"/>
      <c r="BH74" s="24"/>
      <c r="BI74" s="37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</row>
    <row r="75" spans="1:78" ht="15.75" customHeight="1">
      <c r="A75" s="52"/>
      <c r="B75" s="184"/>
      <c r="C75" s="13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24"/>
      <c r="BE75" s="24"/>
      <c r="BF75" s="24"/>
      <c r="BG75" s="24"/>
      <c r="BH75" s="24"/>
      <c r="BI75" s="37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</row>
    <row r="76" spans="1:78" ht="15.75" customHeight="1">
      <c r="A76" s="52"/>
      <c r="B76" s="184"/>
      <c r="C76" s="13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24"/>
      <c r="BE76" s="24"/>
      <c r="BF76" s="24"/>
      <c r="BG76" s="24"/>
      <c r="BH76" s="24"/>
      <c r="BI76" s="37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</row>
    <row r="77" spans="1:78" ht="15.75" customHeight="1">
      <c r="A77" s="52"/>
      <c r="B77" s="184"/>
      <c r="C77" s="13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</row>
    <row r="78" spans="1:78" ht="15.75" customHeight="1">
      <c r="A78" s="52"/>
      <c r="B78" s="184"/>
      <c r="C78" s="13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</row>
    <row r="79" spans="1:78" ht="15.75" customHeight="1">
      <c r="A79" s="52"/>
      <c r="B79" s="184"/>
      <c r="C79" s="13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</row>
    <row r="80" spans="1:78" ht="15.75" customHeight="1">
      <c r="A80" s="52"/>
      <c r="B80" s="184"/>
      <c r="C80" s="13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</row>
    <row r="81" spans="1:78" ht="15.75" customHeight="1">
      <c r="A81" s="52"/>
      <c r="B81" s="184"/>
      <c r="C81" s="13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</row>
    <row r="82" spans="1:78" ht="15.75" customHeight="1">
      <c r="A82" s="52"/>
      <c r="B82" s="184"/>
      <c r="C82" s="13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</row>
    <row r="83" spans="1:78" ht="15.75" customHeight="1">
      <c r="A83" s="52"/>
      <c r="B83" s="184"/>
      <c r="C83" s="13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</row>
    <row r="84" spans="1:78" ht="15.75" customHeight="1">
      <c r="A84" s="52"/>
      <c r="B84" s="184"/>
      <c r="C84" s="13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</row>
    <row r="85" spans="1:78" ht="15.75" customHeight="1">
      <c r="A85" s="52"/>
      <c r="B85" s="184"/>
      <c r="C85" s="13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</row>
    <row r="86" spans="1:78" ht="15.75" customHeight="1">
      <c r="A86" s="52"/>
      <c r="B86" s="184"/>
      <c r="C86" s="13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</row>
    <row r="87" spans="1:78" ht="15.75" customHeight="1">
      <c r="A87" s="52"/>
      <c r="B87" s="184"/>
      <c r="C87" s="13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</row>
    <row r="88" spans="1:78" ht="15.75" customHeight="1">
      <c r="A88" s="52"/>
      <c r="B88" s="184"/>
      <c r="C88" s="13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</row>
    <row r="89" spans="1:78" ht="15.75" customHeight="1">
      <c r="A89" s="52"/>
      <c r="B89" s="184"/>
      <c r="C89" s="13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</row>
    <row r="90" spans="1:78" ht="15.75" customHeight="1">
      <c r="A90" s="52"/>
      <c r="B90" s="184"/>
      <c r="C90" s="13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</row>
    <row r="91" spans="1:78" ht="15.75" customHeight="1">
      <c r="A91" s="52"/>
      <c r="B91" s="184"/>
      <c r="C91" s="13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</row>
    <row r="92" spans="1:78" ht="15.75" customHeight="1">
      <c r="A92" s="52"/>
      <c r="B92" s="184"/>
      <c r="C92" s="13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</row>
    <row r="93" spans="1:78" ht="15.75" customHeight="1">
      <c r="A93" s="52"/>
      <c r="B93" s="184"/>
      <c r="C93" s="13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</row>
    <row r="94" spans="1:78" ht="15.75" customHeight="1">
      <c r="A94" s="52"/>
      <c r="B94" s="184"/>
      <c r="C94" s="13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</row>
    <row r="95" spans="1:78" ht="15.75" customHeight="1">
      <c r="A95" s="52"/>
      <c r="B95" s="184"/>
      <c r="C95" s="13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</row>
    <row r="96" spans="1:78" ht="15.75" customHeight="1">
      <c r="A96" s="52"/>
      <c r="B96" s="184"/>
      <c r="C96" s="13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</row>
    <row r="97" spans="1:78" ht="15.75" customHeight="1">
      <c r="A97" s="52"/>
      <c r="B97" s="184"/>
      <c r="C97" s="13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</row>
    <row r="98" spans="1:78" ht="15.75" customHeight="1">
      <c r="A98" s="52"/>
      <c r="B98" s="184"/>
      <c r="C98" s="134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</row>
    <row r="99" spans="1:78" ht="15.75" customHeight="1">
      <c r="A99" s="52"/>
      <c r="B99" s="184"/>
      <c r="C99" s="134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</row>
    <row r="100" spans="1:78" ht="15.75" customHeight="1">
      <c r="A100" s="52"/>
      <c r="B100" s="184"/>
      <c r="C100" s="13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</row>
    <row r="101" spans="1:78" ht="15.75" customHeight="1">
      <c r="A101" s="52"/>
      <c r="B101" s="184"/>
      <c r="C101" s="134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</row>
    <row r="102" spans="1:78" ht="15.75" customHeight="1">
      <c r="A102" s="52"/>
      <c r="B102" s="184"/>
      <c r="C102" s="13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</row>
    <row r="103" spans="1:78" ht="15.75" customHeight="1">
      <c r="A103" s="52"/>
      <c r="B103" s="184"/>
      <c r="C103" s="134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</row>
    <row r="104" spans="1:78" ht="15.75" customHeight="1">
      <c r="A104" s="52"/>
      <c r="B104" s="184"/>
      <c r="C104" s="134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</row>
    <row r="105" spans="1:78" ht="15.75" customHeight="1">
      <c r="A105" s="24"/>
      <c r="B105" s="24"/>
      <c r="C105" s="24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</row>
    <row r="106" spans="1:78" ht="15.75" customHeight="1">
      <c r="A106" s="24"/>
      <c r="B106" s="24"/>
      <c r="C106" s="24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</row>
    <row r="107" spans="1:78" ht="15.75" customHeight="1">
      <c r="A107" s="24"/>
      <c r="B107" s="24"/>
      <c r="C107" s="24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</row>
    <row r="108" spans="1:78" ht="15.75" customHeight="1">
      <c r="A108" s="24"/>
      <c r="B108" s="24"/>
      <c r="C108" s="24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</row>
    <row r="109" spans="1:78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40"/>
      <c r="S109" s="40"/>
      <c r="T109" s="24"/>
      <c r="U109" s="24"/>
      <c r="V109" s="24"/>
      <c r="W109" s="24"/>
      <c r="X109" s="24"/>
      <c r="Y109" s="24"/>
      <c r="Z109" s="24"/>
      <c r="AA109" s="40"/>
      <c r="AB109" s="40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</row>
    <row r="110" spans="1:78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40"/>
      <c r="S110" s="40"/>
      <c r="T110" s="24"/>
      <c r="U110" s="24"/>
      <c r="V110" s="24"/>
      <c r="W110" s="24"/>
      <c r="X110" s="24"/>
      <c r="Y110" s="24"/>
      <c r="Z110" s="24"/>
      <c r="AA110" s="40"/>
      <c r="AB110" s="40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</row>
    <row r="111" spans="1:78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40"/>
      <c r="S111" s="40"/>
      <c r="T111" s="24"/>
      <c r="U111" s="24"/>
      <c r="V111" s="24"/>
      <c r="W111" s="24"/>
      <c r="X111" s="24"/>
      <c r="Y111" s="24"/>
      <c r="Z111" s="24"/>
      <c r="AA111" s="40"/>
      <c r="AB111" s="40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</row>
    <row r="112" spans="1:78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40"/>
      <c r="S112" s="40"/>
      <c r="T112" s="24"/>
      <c r="U112" s="24"/>
      <c r="V112" s="24"/>
      <c r="W112" s="24"/>
      <c r="X112" s="24"/>
      <c r="Y112" s="24"/>
      <c r="Z112" s="24"/>
      <c r="AA112" s="40"/>
      <c r="AB112" s="40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</row>
    <row r="113" spans="1:78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40"/>
      <c r="S113" s="40"/>
      <c r="T113" s="24"/>
      <c r="U113" s="24"/>
      <c r="V113" s="24"/>
      <c r="W113" s="24"/>
      <c r="X113" s="24"/>
      <c r="Y113" s="24"/>
      <c r="Z113" s="24"/>
      <c r="AA113" s="40"/>
      <c r="AB113" s="40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</row>
    <row r="114" spans="1:78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40"/>
      <c r="S114" s="40"/>
      <c r="T114" s="24"/>
      <c r="U114" s="24"/>
      <c r="V114" s="24"/>
      <c r="W114" s="24"/>
      <c r="X114" s="24"/>
      <c r="Y114" s="24"/>
      <c r="Z114" s="24"/>
      <c r="AA114" s="40"/>
      <c r="AB114" s="40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</row>
    <row r="115" spans="1:78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40"/>
      <c r="S115" s="40"/>
      <c r="T115" s="24"/>
      <c r="U115" s="24"/>
      <c r="V115" s="24"/>
      <c r="W115" s="24"/>
      <c r="X115" s="24"/>
      <c r="Y115" s="24"/>
      <c r="Z115" s="24"/>
      <c r="AA115" s="40"/>
      <c r="AB115" s="40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</row>
    <row r="116" spans="1:78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40"/>
      <c r="S116" s="40"/>
      <c r="T116" s="24"/>
      <c r="U116" s="24"/>
      <c r="V116" s="24"/>
      <c r="W116" s="24"/>
      <c r="X116" s="24"/>
      <c r="Y116" s="24"/>
      <c r="Z116" s="24"/>
      <c r="AA116" s="40"/>
      <c r="AB116" s="40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</row>
    <row r="117" spans="1:78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40"/>
      <c r="S117" s="40"/>
      <c r="T117" s="24"/>
      <c r="U117" s="24"/>
      <c r="V117" s="24"/>
      <c r="W117" s="24"/>
      <c r="X117" s="24"/>
      <c r="Y117" s="24"/>
      <c r="Z117" s="24"/>
      <c r="AA117" s="40"/>
      <c r="AB117" s="40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</row>
    <row r="118" spans="1:7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40"/>
      <c r="S118" s="40"/>
      <c r="T118" s="24"/>
      <c r="U118" s="24"/>
      <c r="V118" s="24"/>
      <c r="W118" s="24"/>
      <c r="X118" s="24"/>
      <c r="Y118" s="24"/>
      <c r="Z118" s="24"/>
      <c r="AA118" s="40"/>
      <c r="AB118" s="40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</row>
    <row r="119" spans="1:78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40"/>
      <c r="S119" s="40"/>
      <c r="T119" s="24"/>
      <c r="U119" s="24"/>
      <c r="V119" s="24"/>
      <c r="W119" s="24"/>
      <c r="X119" s="24"/>
      <c r="Y119" s="24"/>
      <c r="Z119" s="24"/>
      <c r="AA119" s="40"/>
      <c r="AB119" s="40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</row>
    <row r="120" spans="1:78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40"/>
      <c r="S120" s="40"/>
      <c r="T120" s="24"/>
      <c r="U120" s="24"/>
      <c r="V120" s="24"/>
      <c r="W120" s="24"/>
      <c r="X120" s="24"/>
      <c r="Y120" s="24"/>
      <c r="Z120" s="24"/>
      <c r="AA120" s="40"/>
      <c r="AB120" s="40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</row>
    <row r="121" spans="1:78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40"/>
      <c r="S121" s="40"/>
      <c r="T121" s="24"/>
      <c r="U121" s="24"/>
      <c r="V121" s="24"/>
      <c r="W121" s="24"/>
      <c r="X121" s="24"/>
      <c r="Y121" s="24"/>
      <c r="Z121" s="24"/>
      <c r="AA121" s="40"/>
      <c r="AB121" s="40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</row>
    <row r="122" spans="1:78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40"/>
      <c r="S122" s="40"/>
      <c r="T122" s="24"/>
      <c r="U122" s="24"/>
      <c r="V122" s="24"/>
      <c r="W122" s="24"/>
      <c r="X122" s="24"/>
      <c r="Y122" s="24"/>
      <c r="Z122" s="24"/>
      <c r="AA122" s="40"/>
      <c r="AB122" s="40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</row>
    <row r="123" spans="1:78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40"/>
      <c r="S123" s="40"/>
      <c r="T123" s="24"/>
      <c r="U123" s="24"/>
      <c r="V123" s="24"/>
      <c r="W123" s="24"/>
      <c r="X123" s="24"/>
      <c r="Y123" s="24"/>
      <c r="Z123" s="24"/>
      <c r="AA123" s="40"/>
      <c r="AB123" s="40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</row>
    <row r="124" spans="1:78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40"/>
      <c r="S124" s="40"/>
      <c r="T124" s="24"/>
      <c r="U124" s="24"/>
      <c r="V124" s="24"/>
      <c r="W124" s="24"/>
      <c r="X124" s="24"/>
      <c r="Y124" s="24"/>
      <c r="Z124" s="24"/>
      <c r="AA124" s="40"/>
      <c r="AB124" s="40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</row>
    <row r="125" spans="1:78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40"/>
      <c r="S125" s="40"/>
      <c r="T125" s="24"/>
      <c r="U125" s="24"/>
      <c r="V125" s="24"/>
      <c r="W125" s="24"/>
      <c r="X125" s="24"/>
      <c r="Y125" s="24"/>
      <c r="Z125" s="24"/>
      <c r="AA125" s="40"/>
      <c r="AB125" s="40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</row>
    <row r="126" spans="1:78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40"/>
      <c r="S126" s="40"/>
      <c r="T126" s="24"/>
      <c r="U126" s="24"/>
      <c r="V126" s="24"/>
      <c r="W126" s="24"/>
      <c r="X126" s="24"/>
      <c r="Y126" s="24"/>
      <c r="Z126" s="24"/>
      <c r="AA126" s="40"/>
      <c r="AB126" s="40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</row>
    <row r="127" spans="1:78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40"/>
      <c r="S127" s="40"/>
      <c r="T127" s="24"/>
      <c r="U127" s="24"/>
      <c r="V127" s="24"/>
      <c r="W127" s="24"/>
      <c r="X127" s="24"/>
      <c r="Y127" s="24"/>
      <c r="Z127" s="24"/>
      <c r="AA127" s="40"/>
      <c r="AB127" s="40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</row>
    <row r="128" spans="1:7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40"/>
      <c r="S128" s="40"/>
      <c r="T128" s="24"/>
      <c r="U128" s="24"/>
      <c r="V128" s="24"/>
      <c r="W128" s="24"/>
      <c r="X128" s="24"/>
      <c r="Y128" s="24"/>
      <c r="Z128" s="24"/>
      <c r="AA128" s="40"/>
      <c r="AB128" s="40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</row>
    <row r="129" spans="1:78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40"/>
      <c r="S129" s="40"/>
      <c r="T129" s="24"/>
      <c r="U129" s="24"/>
      <c r="V129" s="24"/>
      <c r="W129" s="24"/>
      <c r="X129" s="24"/>
      <c r="Y129" s="24"/>
      <c r="Z129" s="24"/>
      <c r="AA129" s="40"/>
      <c r="AB129" s="40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</row>
    <row r="130" spans="1:78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40"/>
      <c r="S130" s="40"/>
      <c r="T130" s="24"/>
      <c r="U130" s="24"/>
      <c r="V130" s="24"/>
      <c r="W130" s="24"/>
      <c r="X130" s="24"/>
      <c r="Y130" s="24"/>
      <c r="Z130" s="24"/>
      <c r="AA130" s="40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</row>
    <row r="131" spans="1:78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40"/>
      <c r="S131" s="40"/>
      <c r="T131" s="24"/>
      <c r="U131" s="24"/>
      <c r="V131" s="24"/>
      <c r="W131" s="24"/>
      <c r="X131" s="24"/>
      <c r="Y131" s="24"/>
      <c r="Z131" s="24"/>
      <c r="AA131" s="40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</row>
    <row r="132" spans="1:78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40"/>
      <c r="S132" s="40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</row>
    <row r="133" spans="1:78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40"/>
      <c r="S133" s="40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</row>
    <row r="134" spans="1:78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40"/>
      <c r="S134" s="40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</row>
    <row r="135" spans="1:78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</row>
    <row r="136" spans="1:78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</row>
    <row r="137" spans="1:78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</row>
    <row r="138" spans="1:7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</row>
    <row r="139" spans="1:78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</row>
    <row r="140" spans="1:78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</row>
    <row r="141" spans="1:78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</row>
    <row r="142" spans="1:78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</row>
    <row r="143" spans="1:78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</row>
    <row r="144" spans="1:78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</row>
    <row r="145" spans="1:78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</row>
    <row r="146" spans="1:78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</row>
    <row r="147" spans="1:78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</row>
    <row r="148" spans="1:7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</row>
    <row r="149" spans="1:78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</row>
    <row r="150" spans="1:78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</row>
    <row r="151" spans="1:78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</row>
    <row r="152" spans="1:78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</row>
    <row r="153" spans="1:78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</row>
    <row r="154" spans="1:78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</row>
    <row r="155" spans="1:78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</row>
    <row r="156" spans="1:78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</row>
    <row r="157" spans="1:78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</row>
    <row r="158" spans="1:7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</row>
    <row r="159" spans="1:78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</row>
    <row r="160" spans="1:78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</row>
    <row r="161" spans="1:78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</row>
    <row r="162" spans="1:78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</row>
    <row r="163" spans="1:78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</row>
    <row r="164" spans="1:78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</row>
    <row r="165" spans="1:78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</row>
    <row r="166" spans="1:78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</row>
    <row r="167" spans="1:78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</row>
    <row r="168" spans="1:7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</row>
    <row r="169" spans="1:78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</row>
    <row r="170" spans="1:78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</row>
    <row r="171" spans="1:78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</row>
    <row r="172" spans="1:78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</row>
    <row r="173" spans="1:78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</row>
    <row r="174" spans="1:78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</row>
    <row r="175" spans="1:78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</row>
    <row r="176" spans="1:78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</row>
    <row r="177" spans="1:78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</row>
    <row r="178" spans="1: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</row>
    <row r="179" spans="1:78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</row>
    <row r="180" spans="1:78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</row>
    <row r="181" spans="1:78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</row>
    <row r="182" spans="1:78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</row>
    <row r="183" spans="1:78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</row>
    <row r="184" spans="1:78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</row>
    <row r="185" spans="1:78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</row>
    <row r="186" spans="1:78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</row>
    <row r="187" spans="1:78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</row>
    <row r="188" spans="1:7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</row>
    <row r="189" spans="1:78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</row>
    <row r="190" spans="1:78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</row>
    <row r="191" spans="1:78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</row>
    <row r="192" spans="1:78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</row>
    <row r="193" spans="1:78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</row>
    <row r="194" spans="1:78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</row>
    <row r="195" spans="1:78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</row>
    <row r="196" spans="1:78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</row>
    <row r="197" spans="1:78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</row>
    <row r="198" spans="1:7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</row>
    <row r="199" spans="1:78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</row>
    <row r="200" spans="1:78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</row>
    <row r="201" spans="1:78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</row>
    <row r="202" spans="1:78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</row>
    <row r="203" spans="1:78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</row>
    <row r="204" spans="1:78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</row>
    <row r="205" spans="1:78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</row>
    <row r="206" spans="1:78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</row>
    <row r="207" spans="1:78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</row>
    <row r="208" spans="1:7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</row>
    <row r="209" spans="1:78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</row>
    <row r="210" spans="1:78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</row>
    <row r="211" spans="1:78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</row>
    <row r="212" spans="1:78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</row>
    <row r="213" spans="1:78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</row>
    <row r="214" spans="1:78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</row>
    <row r="215" spans="1:78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</row>
    <row r="216" spans="1:78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</row>
    <row r="217" spans="1:78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</row>
    <row r="218" spans="1:7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</row>
    <row r="219" spans="1:78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</row>
    <row r="220" spans="1:78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</row>
    <row r="221" spans="1:78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</row>
    <row r="222" spans="1:78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</row>
    <row r="223" spans="1:78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</row>
    <row r="224" spans="1:78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</row>
    <row r="225" spans="1:78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</row>
    <row r="226" spans="1:78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</row>
    <row r="227" spans="1:78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</row>
    <row r="228" spans="1:7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</row>
    <row r="229" spans="1:78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</row>
    <row r="230" spans="1:78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</row>
    <row r="231" spans="1:78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</row>
    <row r="232" spans="1:78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</row>
    <row r="233" spans="1:78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</row>
    <row r="234" spans="1:78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</row>
    <row r="235" spans="1:78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</row>
    <row r="236" spans="1:78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</row>
    <row r="237" spans="1:78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</row>
    <row r="238" spans="1:7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</row>
    <row r="239" spans="1:78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</row>
    <row r="240" spans="1:78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</row>
    <row r="241" spans="1:78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</row>
    <row r="242" spans="1:78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</row>
    <row r="243" spans="1:78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</row>
    <row r="244" spans="1:78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</row>
    <row r="245" spans="1:78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</row>
    <row r="246" spans="1:78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</row>
    <row r="247" spans="1:78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</row>
    <row r="248" spans="1:7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</row>
    <row r="249" spans="1:78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</row>
    <row r="250" spans="1:78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</row>
    <row r="251" spans="1:78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</row>
    <row r="252" spans="1:78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</row>
    <row r="253" spans="1:78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</row>
    <row r="254" spans="1:78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</row>
    <row r="255" spans="1:78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</row>
    <row r="256" spans="1:78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</row>
    <row r="257" spans="1:78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</row>
    <row r="258" spans="1:7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</row>
    <row r="259" spans="1:78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</row>
    <row r="260" spans="1:78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</row>
    <row r="261" spans="1:78" ht="15.75" customHeight="1"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</row>
    <row r="262" spans="1:78" ht="15.75" customHeight="1"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</row>
    <row r="263" spans="1:78" ht="15.75" customHeight="1"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</row>
    <row r="264" spans="1:78" ht="15.75" customHeight="1"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</row>
    <row r="265" spans="1:78" ht="15.75" customHeight="1"/>
    <row r="266" spans="1:78" ht="15.75" customHeight="1"/>
    <row r="267" spans="1:78" ht="15.75" customHeight="1"/>
    <row r="268" spans="1:78" ht="15.75" customHeight="1"/>
    <row r="269" spans="1:78" ht="15.75" customHeight="1"/>
    <row r="270" spans="1:78" ht="15.75" customHeight="1"/>
    <row r="271" spans="1:78" ht="15.75" customHeight="1"/>
    <row r="272" spans="1:7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Z7:BZ8"/>
    <mergeCell ref="BF3:BF4"/>
    <mergeCell ref="BG3:BG4"/>
    <mergeCell ref="BJ7:BJ8"/>
    <mergeCell ref="BK7:BK8"/>
    <mergeCell ref="BL7:BL8"/>
    <mergeCell ref="BM7:BM8"/>
    <mergeCell ref="BN7:BN8"/>
    <mergeCell ref="BJ6:BS6"/>
    <mergeCell ref="BT6:BZ6"/>
    <mergeCell ref="A1:BG1"/>
    <mergeCell ref="A2:BG2"/>
    <mergeCell ref="BI2:BI76"/>
    <mergeCell ref="A3:C3"/>
    <mergeCell ref="BD3:BD4"/>
    <mergeCell ref="BE3:BE4"/>
    <mergeCell ref="BH3:BH4"/>
    <mergeCell ref="BO7:BO8"/>
    <mergeCell ref="BP7:BP8"/>
    <mergeCell ref="BQ7:BQ8"/>
    <mergeCell ref="BR7:BR8"/>
    <mergeCell ref="BS7:BS8"/>
    <mergeCell ref="BU7:BW7"/>
    <mergeCell ref="BX7:BX8"/>
    <mergeCell ref="BJ2:BZ2"/>
    <mergeCell ref="BJ3:BZ3"/>
    <mergeCell ref="BJ4:BZ4"/>
    <mergeCell ref="BJ5:BS5"/>
    <mergeCell ref="BT5:BZ5"/>
  </mergeCells>
  <conditionalFormatting sqref="BO9:BO66">
    <cfRule type="cellIs" dxfId="7" priority="1" operator="lessThan">
      <formula>75</formula>
    </cfRule>
  </conditionalFormatting>
  <conditionalFormatting sqref="BZ9:BZ66">
    <cfRule type="cellIs" dxfId="6" priority="2" operator="lessThan">
      <formula>16</formula>
    </cfRule>
  </conditionalFormatting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Y1000"/>
  <sheetViews>
    <sheetView workbookViewId="0"/>
  </sheetViews>
  <sheetFormatPr defaultColWidth="14.44140625" defaultRowHeight="15" customHeight="1"/>
  <cols>
    <col min="1" max="1" width="5.33203125" customWidth="1"/>
    <col min="2" max="2" width="15.44140625" customWidth="1"/>
    <col min="3" max="3" width="25" customWidth="1"/>
    <col min="4" max="55" width="4.6640625" hidden="1" customWidth="1"/>
    <col min="56" max="59" width="8.6640625" customWidth="1"/>
    <col min="60" max="60" width="9.44140625" customWidth="1"/>
    <col min="61" max="63" width="8.6640625" customWidth="1"/>
    <col min="64" max="64" width="19.33203125" customWidth="1"/>
    <col min="65" max="68" width="8.6640625" customWidth="1"/>
    <col min="69" max="69" width="9.109375" customWidth="1"/>
    <col min="70" max="70" width="13.33203125" customWidth="1"/>
    <col min="71" max="71" width="15.5546875" customWidth="1"/>
    <col min="72" max="74" width="8.6640625" customWidth="1"/>
    <col min="75" max="76" width="17.6640625" customWidth="1"/>
    <col min="77" max="77" width="14.33203125" customWidth="1"/>
  </cols>
  <sheetData>
    <row r="1" spans="1:77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24"/>
      <c r="BI1" s="24"/>
      <c r="BJ1" s="24"/>
      <c r="BK1" s="24"/>
      <c r="BL1" s="24"/>
      <c r="BM1" s="24"/>
      <c r="BN1" s="24"/>
      <c r="BO1" s="24"/>
      <c r="BP1" s="24"/>
      <c r="BQ1" s="40"/>
      <c r="BR1" s="40"/>
      <c r="BS1" s="24"/>
      <c r="BT1" s="24"/>
      <c r="BU1" s="24"/>
      <c r="BV1" s="24"/>
      <c r="BW1" s="24"/>
      <c r="BX1" s="24"/>
      <c r="BY1" s="24"/>
    </row>
    <row r="2" spans="1:77" ht="18">
      <c r="A2" s="372" t="s">
        <v>89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24"/>
      <c r="BI2" s="373"/>
      <c r="BJ2" s="369" t="s">
        <v>93</v>
      </c>
      <c r="BK2" s="358"/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BW2" s="358"/>
      <c r="BX2" s="358"/>
      <c r="BY2" s="359"/>
    </row>
    <row r="3" spans="1:77" ht="66.75" customHeight="1">
      <c r="A3" s="375" t="s">
        <v>1</v>
      </c>
      <c r="B3" s="358"/>
      <c r="C3" s="359"/>
      <c r="D3" s="91">
        <v>45495</v>
      </c>
      <c r="E3" s="91">
        <v>45496</v>
      </c>
      <c r="F3" s="91">
        <v>45497</v>
      </c>
      <c r="G3" s="91">
        <v>45502</v>
      </c>
      <c r="H3" s="91">
        <v>45503</v>
      </c>
      <c r="I3" s="91">
        <v>45504</v>
      </c>
      <c r="J3" s="91">
        <v>45509</v>
      </c>
      <c r="K3" s="91">
        <v>45510</v>
      </c>
      <c r="L3" s="91">
        <v>45512</v>
      </c>
      <c r="M3" s="91">
        <v>45513</v>
      </c>
      <c r="N3" s="91">
        <v>45516</v>
      </c>
      <c r="O3" s="91">
        <v>45517</v>
      </c>
      <c r="P3" s="91">
        <v>45526</v>
      </c>
      <c r="Q3" s="91">
        <v>45531</v>
      </c>
      <c r="R3" s="91">
        <v>45533</v>
      </c>
      <c r="S3" s="91">
        <v>45540</v>
      </c>
      <c r="T3" s="91">
        <v>45544</v>
      </c>
      <c r="U3" s="91">
        <v>45545</v>
      </c>
      <c r="V3" s="91">
        <v>45547</v>
      </c>
      <c r="W3" s="91">
        <v>45551</v>
      </c>
      <c r="X3" s="91">
        <v>45556</v>
      </c>
      <c r="Y3" s="91">
        <v>45558</v>
      </c>
      <c r="Z3" s="91">
        <v>45559</v>
      </c>
      <c r="AA3" s="91">
        <v>45562</v>
      </c>
      <c r="AB3" s="91">
        <v>45565</v>
      </c>
      <c r="AC3" s="91">
        <v>45566</v>
      </c>
      <c r="AD3" s="91"/>
      <c r="AE3" s="91"/>
      <c r="AF3" s="91"/>
      <c r="AG3" s="91"/>
      <c r="AH3" s="92"/>
      <c r="AI3" s="92"/>
      <c r="AJ3" s="92"/>
      <c r="AK3" s="92"/>
      <c r="AL3" s="92"/>
      <c r="AM3" s="92"/>
      <c r="AN3" s="92"/>
      <c r="AO3" s="92"/>
      <c r="AP3" s="91"/>
      <c r="AQ3" s="91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1"/>
      <c r="BC3" s="91"/>
      <c r="BD3" s="376" t="s">
        <v>96</v>
      </c>
      <c r="BE3" s="376" t="s">
        <v>97</v>
      </c>
      <c r="BF3" s="376" t="s">
        <v>98</v>
      </c>
      <c r="BG3" s="376" t="s">
        <v>99</v>
      </c>
      <c r="BH3" s="378" t="s">
        <v>100</v>
      </c>
      <c r="BI3" s="374"/>
      <c r="BJ3" s="370" t="s">
        <v>101</v>
      </c>
      <c r="BK3" s="358"/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8"/>
      <c r="BY3" s="359"/>
    </row>
    <row r="4" spans="1:77" ht="21" customHeight="1">
      <c r="A4" s="94" t="s">
        <v>12</v>
      </c>
      <c r="B4" s="95" t="s">
        <v>13</v>
      </c>
      <c r="C4" s="95" t="s">
        <v>14</v>
      </c>
      <c r="D4" s="96">
        <v>1</v>
      </c>
      <c r="E4" s="96">
        <v>2</v>
      </c>
      <c r="F4" s="96">
        <v>3</v>
      </c>
      <c r="G4" s="96">
        <v>4</v>
      </c>
      <c r="H4" s="96">
        <v>5</v>
      </c>
      <c r="I4" s="96">
        <v>6</v>
      </c>
      <c r="J4" s="96">
        <v>7</v>
      </c>
      <c r="K4" s="96">
        <v>8</v>
      </c>
      <c r="L4" s="96">
        <v>9</v>
      </c>
      <c r="M4" s="96">
        <v>10</v>
      </c>
      <c r="N4" s="96">
        <v>11</v>
      </c>
      <c r="O4" s="96">
        <v>12</v>
      </c>
      <c r="P4" s="96">
        <v>13</v>
      </c>
      <c r="Q4" s="96">
        <v>14</v>
      </c>
      <c r="R4" s="96">
        <v>15</v>
      </c>
      <c r="S4" s="96">
        <v>16</v>
      </c>
      <c r="T4" s="96">
        <v>17</v>
      </c>
      <c r="U4" s="96">
        <v>18</v>
      </c>
      <c r="V4" s="96">
        <v>19</v>
      </c>
      <c r="W4" s="96">
        <v>20</v>
      </c>
      <c r="X4" s="96">
        <v>21</v>
      </c>
      <c r="Y4" s="96">
        <v>22</v>
      </c>
      <c r="Z4" s="96">
        <v>23</v>
      </c>
      <c r="AA4" s="96">
        <v>24</v>
      </c>
      <c r="AB4" s="96">
        <v>25</v>
      </c>
      <c r="AC4" s="96">
        <v>26</v>
      </c>
      <c r="AD4" s="96">
        <v>27</v>
      </c>
      <c r="AE4" s="96">
        <v>28</v>
      </c>
      <c r="AF4" s="96">
        <v>29</v>
      </c>
      <c r="AG4" s="96">
        <v>30</v>
      </c>
      <c r="AH4" s="96">
        <v>31</v>
      </c>
      <c r="AI4" s="96">
        <v>32</v>
      </c>
      <c r="AJ4" s="96">
        <v>33</v>
      </c>
      <c r="AK4" s="96">
        <v>34</v>
      </c>
      <c r="AL4" s="96">
        <v>35</v>
      </c>
      <c r="AM4" s="96">
        <v>36</v>
      </c>
      <c r="AN4" s="96">
        <v>37</v>
      </c>
      <c r="AO4" s="96">
        <v>38</v>
      </c>
      <c r="AP4" s="96">
        <v>39</v>
      </c>
      <c r="AQ4" s="96">
        <v>40</v>
      </c>
      <c r="AR4" s="96">
        <v>41</v>
      </c>
      <c r="AS4" s="96">
        <v>42</v>
      </c>
      <c r="AT4" s="96">
        <v>43</v>
      </c>
      <c r="AU4" s="96">
        <v>44</v>
      </c>
      <c r="AV4" s="96">
        <v>45</v>
      </c>
      <c r="AW4" s="96">
        <v>46</v>
      </c>
      <c r="AX4" s="96">
        <v>47</v>
      </c>
      <c r="AY4" s="96">
        <v>48</v>
      </c>
      <c r="AZ4" s="96">
        <v>49</v>
      </c>
      <c r="BA4" s="96">
        <v>50</v>
      </c>
      <c r="BB4" s="96">
        <v>51</v>
      </c>
      <c r="BC4" s="96">
        <v>52</v>
      </c>
      <c r="BD4" s="377"/>
      <c r="BE4" s="377"/>
      <c r="BF4" s="377"/>
      <c r="BG4" s="377"/>
      <c r="BH4" s="377"/>
      <c r="BI4" s="374"/>
      <c r="BJ4" s="370" t="s">
        <v>102</v>
      </c>
      <c r="BK4" s="358"/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8"/>
      <c r="BY4" s="359"/>
    </row>
    <row r="5" spans="1:77" ht="15" customHeight="1">
      <c r="A5" s="97">
        <f>OVERALL!A4</f>
        <v>1</v>
      </c>
      <c r="B5" s="98">
        <f>OVERALL!B4</f>
        <v>2301236</v>
      </c>
      <c r="C5" s="98" t="str">
        <f>OVERALL!C4</f>
        <v>Manmohan Singh</v>
      </c>
      <c r="D5" s="96" t="s">
        <v>123</v>
      </c>
      <c r="E5" s="96" t="s">
        <v>123</v>
      </c>
      <c r="F5" s="96" t="s">
        <v>123</v>
      </c>
      <c r="G5" s="96" t="s">
        <v>124</v>
      </c>
      <c r="H5" s="96" t="s">
        <v>124</v>
      </c>
      <c r="I5" s="96" t="s">
        <v>124</v>
      </c>
      <c r="J5" s="96" t="s">
        <v>123</v>
      </c>
      <c r="K5" s="96" t="s">
        <v>123</v>
      </c>
      <c r="L5" s="96" t="s">
        <v>123</v>
      </c>
      <c r="M5" s="96" t="s">
        <v>123</v>
      </c>
      <c r="N5" s="96" t="s">
        <v>123</v>
      </c>
      <c r="O5" s="96" t="s">
        <v>124</v>
      </c>
      <c r="P5" s="96" t="s">
        <v>123</v>
      </c>
      <c r="Q5" s="96" t="s">
        <v>123</v>
      </c>
      <c r="R5" s="96" t="s">
        <v>123</v>
      </c>
      <c r="S5" s="96" t="s">
        <v>123</v>
      </c>
      <c r="T5" s="96" t="s">
        <v>123</v>
      </c>
      <c r="U5" s="96" t="s">
        <v>124</v>
      </c>
      <c r="V5" s="96" t="s">
        <v>124</v>
      </c>
      <c r="W5" s="96" t="s">
        <v>123</v>
      </c>
      <c r="X5" s="96" t="s">
        <v>123</v>
      </c>
      <c r="Y5" s="96" t="s">
        <v>123</v>
      </c>
      <c r="Z5" s="96" t="s">
        <v>123</v>
      </c>
      <c r="AA5" s="96" t="s">
        <v>123</v>
      </c>
      <c r="AB5" s="96" t="s">
        <v>123</v>
      </c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88">
        <v>10</v>
      </c>
      <c r="BE5" s="88">
        <v>0</v>
      </c>
      <c r="BF5" s="88">
        <f t="shared" ref="BF5:BF62" si="0">BD5+BE5</f>
        <v>10</v>
      </c>
      <c r="BG5" s="88">
        <v>46</v>
      </c>
      <c r="BH5" s="101">
        <f t="shared" ref="BH5:BH62" si="1">BF5/BG5</f>
        <v>0.21739130434782608</v>
      </c>
      <c r="BI5" s="374"/>
      <c r="BJ5" s="371" t="s">
        <v>103</v>
      </c>
      <c r="BK5" s="358"/>
      <c r="BL5" s="358"/>
      <c r="BM5" s="358"/>
      <c r="BN5" s="358"/>
      <c r="BO5" s="358"/>
      <c r="BP5" s="358"/>
      <c r="BQ5" s="358"/>
      <c r="BR5" s="359"/>
      <c r="BS5" s="371" t="s">
        <v>104</v>
      </c>
      <c r="BT5" s="358"/>
      <c r="BU5" s="358"/>
      <c r="BV5" s="358"/>
      <c r="BW5" s="358"/>
      <c r="BX5" s="358"/>
      <c r="BY5" s="359"/>
    </row>
    <row r="6" spans="1:77" ht="15" customHeight="1">
      <c r="A6" s="97">
        <f>OVERALL!A5</f>
        <v>2</v>
      </c>
      <c r="B6" s="98">
        <f>OVERALL!B5</f>
        <v>2301237</v>
      </c>
      <c r="C6" s="98" t="str">
        <f>OVERALL!C5</f>
        <v>Manpreet Kaur</v>
      </c>
      <c r="D6" s="96" t="s">
        <v>124</v>
      </c>
      <c r="E6" s="96" t="s">
        <v>124</v>
      </c>
      <c r="F6" s="96" t="s">
        <v>124</v>
      </c>
      <c r="G6" s="96" t="s">
        <v>124</v>
      </c>
      <c r="H6" s="96" t="s">
        <v>124</v>
      </c>
      <c r="I6" s="96" t="s">
        <v>124</v>
      </c>
      <c r="J6" s="96" t="s">
        <v>124</v>
      </c>
      <c r="K6" s="96" t="s">
        <v>124</v>
      </c>
      <c r="L6" s="96" t="s">
        <v>124</v>
      </c>
      <c r="M6" s="96" t="s">
        <v>124</v>
      </c>
      <c r="N6" s="96" t="s">
        <v>124</v>
      </c>
      <c r="O6" s="96" t="s">
        <v>124</v>
      </c>
      <c r="P6" s="96" t="s">
        <v>124</v>
      </c>
      <c r="Q6" s="96" t="s">
        <v>124</v>
      </c>
      <c r="R6" s="96" t="s">
        <v>123</v>
      </c>
      <c r="S6" s="96" t="s">
        <v>124</v>
      </c>
      <c r="T6" s="96" t="s">
        <v>124</v>
      </c>
      <c r="U6" s="96" t="s">
        <v>124</v>
      </c>
      <c r="V6" s="96" t="s">
        <v>124</v>
      </c>
      <c r="W6" s="96" t="s">
        <v>124</v>
      </c>
      <c r="X6" s="96" t="s">
        <v>124</v>
      </c>
      <c r="Y6" s="96" t="s">
        <v>123</v>
      </c>
      <c r="Z6" s="96" t="s">
        <v>123</v>
      </c>
      <c r="AA6" s="96" t="s">
        <v>124</v>
      </c>
      <c r="AB6" s="96" t="s">
        <v>124</v>
      </c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88">
        <v>37</v>
      </c>
      <c r="BE6" s="88"/>
      <c r="BF6" s="88">
        <f t="shared" si="0"/>
        <v>37</v>
      </c>
      <c r="BG6" s="88">
        <v>46</v>
      </c>
      <c r="BH6" s="101">
        <f t="shared" si="1"/>
        <v>0.80434782608695654</v>
      </c>
      <c r="BI6" s="374"/>
      <c r="BJ6" s="371" t="s">
        <v>161</v>
      </c>
      <c r="BK6" s="358"/>
      <c r="BL6" s="358"/>
      <c r="BM6" s="358"/>
      <c r="BN6" s="358"/>
      <c r="BO6" s="358"/>
      <c r="BP6" s="358"/>
      <c r="BQ6" s="358"/>
      <c r="BR6" s="359"/>
      <c r="BS6" s="371" t="s">
        <v>162</v>
      </c>
      <c r="BT6" s="358"/>
      <c r="BU6" s="358"/>
      <c r="BV6" s="358"/>
      <c r="BW6" s="358"/>
      <c r="BX6" s="358"/>
      <c r="BY6" s="359"/>
    </row>
    <row r="7" spans="1:77" ht="41.25" customHeight="1">
      <c r="A7" s="97">
        <f>OVERALL!A6</f>
        <v>3</v>
      </c>
      <c r="B7" s="98">
        <f>OVERALL!B6</f>
        <v>2301238</v>
      </c>
      <c r="C7" s="98" t="str">
        <f>OVERALL!C6</f>
        <v>Md Warish Chesam</v>
      </c>
      <c r="D7" s="96" t="s">
        <v>123</v>
      </c>
      <c r="E7" s="96" t="s">
        <v>123</v>
      </c>
      <c r="F7" s="96" t="s">
        <v>124</v>
      </c>
      <c r="G7" s="96" t="s">
        <v>124</v>
      </c>
      <c r="H7" s="96" t="s">
        <v>123</v>
      </c>
      <c r="I7" s="96" t="s">
        <v>124</v>
      </c>
      <c r="J7" s="96" t="s">
        <v>124</v>
      </c>
      <c r="K7" s="96" t="s">
        <v>124</v>
      </c>
      <c r="L7" s="96" t="s">
        <v>124</v>
      </c>
      <c r="M7" s="96" t="s">
        <v>124</v>
      </c>
      <c r="N7" s="96" t="s">
        <v>123</v>
      </c>
      <c r="O7" s="96" t="s">
        <v>124</v>
      </c>
      <c r="P7" s="96" t="s">
        <v>124</v>
      </c>
      <c r="Q7" s="96" t="s">
        <v>124</v>
      </c>
      <c r="R7" s="96" t="s">
        <v>124</v>
      </c>
      <c r="S7" s="96" t="s">
        <v>124</v>
      </c>
      <c r="T7" s="96" t="s">
        <v>124</v>
      </c>
      <c r="U7" s="96" t="s">
        <v>123</v>
      </c>
      <c r="V7" s="96" t="s">
        <v>124</v>
      </c>
      <c r="W7" s="96" t="s">
        <v>123</v>
      </c>
      <c r="X7" s="96" t="s">
        <v>124</v>
      </c>
      <c r="Y7" s="96" t="s">
        <v>124</v>
      </c>
      <c r="Z7" s="96" t="s">
        <v>124</v>
      </c>
      <c r="AA7" s="96" t="s">
        <v>124</v>
      </c>
      <c r="AB7" s="96" t="s">
        <v>124</v>
      </c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88">
        <v>36</v>
      </c>
      <c r="BE7" s="88"/>
      <c r="BF7" s="88">
        <f t="shared" si="0"/>
        <v>36</v>
      </c>
      <c r="BG7" s="88">
        <v>46</v>
      </c>
      <c r="BH7" s="101">
        <f t="shared" si="1"/>
        <v>0.78260869565217395</v>
      </c>
      <c r="BI7" s="374"/>
      <c r="BJ7" s="379" t="s">
        <v>12</v>
      </c>
      <c r="BK7" s="379" t="s">
        <v>13</v>
      </c>
      <c r="BL7" s="379" t="s">
        <v>14</v>
      </c>
      <c r="BM7" s="379" t="s">
        <v>107</v>
      </c>
      <c r="BN7" s="379" t="s">
        <v>108</v>
      </c>
      <c r="BO7" s="382" t="s">
        <v>109</v>
      </c>
      <c r="BP7" s="379" t="s">
        <v>110</v>
      </c>
      <c r="BQ7" s="379" t="s">
        <v>111</v>
      </c>
      <c r="BR7" s="379" t="s">
        <v>112</v>
      </c>
      <c r="BS7" s="104" t="s">
        <v>114</v>
      </c>
      <c r="BT7" s="383" t="s">
        <v>115</v>
      </c>
      <c r="BU7" s="358"/>
      <c r="BV7" s="359"/>
      <c r="BW7" s="380" t="s">
        <v>116</v>
      </c>
      <c r="BX7" s="187" t="s">
        <v>117</v>
      </c>
      <c r="BY7" s="379" t="s">
        <v>118</v>
      </c>
    </row>
    <row r="8" spans="1:77" ht="27.6">
      <c r="A8" s="97">
        <f>OVERALL!A7</f>
        <v>4</v>
      </c>
      <c r="B8" s="98">
        <f>OVERALL!B7</f>
        <v>2301239</v>
      </c>
      <c r="C8" s="98" t="str">
        <f>OVERALL!C7</f>
        <v>Mohd Shahid Afridi</v>
      </c>
      <c r="D8" s="96" t="s">
        <v>123</v>
      </c>
      <c r="E8" s="96" t="s">
        <v>123</v>
      </c>
      <c r="F8" s="96" t="s">
        <v>123</v>
      </c>
      <c r="G8" s="96" t="s">
        <v>123</v>
      </c>
      <c r="H8" s="96" t="s">
        <v>123</v>
      </c>
      <c r="I8" s="96" t="s">
        <v>123</v>
      </c>
      <c r="J8" s="96" t="s">
        <v>123</v>
      </c>
      <c r="K8" s="96" t="s">
        <v>123</v>
      </c>
      <c r="L8" s="96" t="s">
        <v>123</v>
      </c>
      <c r="M8" s="96" t="s">
        <v>123</v>
      </c>
      <c r="N8" s="96" t="s">
        <v>123</v>
      </c>
      <c r="O8" s="96" t="s">
        <v>123</v>
      </c>
      <c r="P8" s="96" t="s">
        <v>123</v>
      </c>
      <c r="Q8" s="96" t="s">
        <v>123</v>
      </c>
      <c r="R8" s="96" t="s">
        <v>123</v>
      </c>
      <c r="S8" s="96" t="s">
        <v>123</v>
      </c>
      <c r="T8" s="96" t="s">
        <v>123</v>
      </c>
      <c r="U8" s="96" t="s">
        <v>123</v>
      </c>
      <c r="V8" s="96" t="s">
        <v>123</v>
      </c>
      <c r="W8" s="96" t="s">
        <v>123</v>
      </c>
      <c r="X8" s="96" t="s">
        <v>123</v>
      </c>
      <c r="Y8" s="96" t="s">
        <v>123</v>
      </c>
      <c r="Z8" s="96" t="s">
        <v>123</v>
      </c>
      <c r="AA8" s="96" t="s">
        <v>123</v>
      </c>
      <c r="AB8" s="96" t="s">
        <v>123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88">
        <v>0</v>
      </c>
      <c r="BE8" s="88"/>
      <c r="BF8" s="88">
        <f t="shared" si="0"/>
        <v>0</v>
      </c>
      <c r="BG8" s="88">
        <v>46</v>
      </c>
      <c r="BH8" s="101">
        <f t="shared" si="1"/>
        <v>0</v>
      </c>
      <c r="BI8" s="374"/>
      <c r="BJ8" s="377"/>
      <c r="BK8" s="377"/>
      <c r="BL8" s="377"/>
      <c r="BM8" s="377"/>
      <c r="BN8" s="377"/>
      <c r="BO8" s="377"/>
      <c r="BP8" s="377"/>
      <c r="BQ8" s="377"/>
      <c r="BR8" s="377"/>
      <c r="BS8" s="104" t="s">
        <v>119</v>
      </c>
      <c r="BT8" s="104">
        <v>1</v>
      </c>
      <c r="BU8" s="104">
        <v>2</v>
      </c>
      <c r="BV8" s="104">
        <v>3</v>
      </c>
      <c r="BW8" s="377"/>
      <c r="BX8" s="187"/>
      <c r="BY8" s="377"/>
    </row>
    <row r="9" spans="1:77" ht="15.6">
      <c r="A9" s="97">
        <f>OVERALL!A8</f>
        <v>5</v>
      </c>
      <c r="B9" s="98">
        <f>OVERALL!B8</f>
        <v>2301240</v>
      </c>
      <c r="C9" s="98" t="str">
        <f>OVERALL!C8</f>
        <v>Munisha</v>
      </c>
      <c r="D9" s="96" t="s">
        <v>123</v>
      </c>
      <c r="E9" s="96" t="s">
        <v>124</v>
      </c>
      <c r="F9" s="96" t="s">
        <v>124</v>
      </c>
      <c r="G9" s="96" t="s">
        <v>124</v>
      </c>
      <c r="H9" s="96" t="s">
        <v>124</v>
      </c>
      <c r="I9" s="96" t="s">
        <v>124</v>
      </c>
      <c r="J9" s="96" t="s">
        <v>124</v>
      </c>
      <c r="K9" s="96" t="s">
        <v>123</v>
      </c>
      <c r="L9" s="96" t="s">
        <v>124</v>
      </c>
      <c r="M9" s="96" t="s">
        <v>124</v>
      </c>
      <c r="N9" s="96" t="s">
        <v>124</v>
      </c>
      <c r="O9" s="96" t="s">
        <v>124</v>
      </c>
      <c r="P9" s="96" t="s">
        <v>124</v>
      </c>
      <c r="Q9" s="96" t="s">
        <v>123</v>
      </c>
      <c r="R9" s="96" t="s">
        <v>123</v>
      </c>
      <c r="S9" s="96" t="s">
        <v>124</v>
      </c>
      <c r="T9" s="96" t="s">
        <v>124</v>
      </c>
      <c r="U9" s="96" t="s">
        <v>124</v>
      </c>
      <c r="V9" s="96" t="s">
        <v>124</v>
      </c>
      <c r="W9" s="96" t="s">
        <v>124</v>
      </c>
      <c r="X9" s="96" t="s">
        <v>124</v>
      </c>
      <c r="Y9" s="96" t="s">
        <v>124</v>
      </c>
      <c r="Z9" s="96" t="s">
        <v>124</v>
      </c>
      <c r="AA9" s="96" t="s">
        <v>124</v>
      </c>
      <c r="AB9" s="96" t="s">
        <v>123</v>
      </c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88">
        <v>37</v>
      </c>
      <c r="BE9" s="88">
        <v>0</v>
      </c>
      <c r="BF9" s="88">
        <f t="shared" si="0"/>
        <v>37</v>
      </c>
      <c r="BG9" s="88">
        <v>46</v>
      </c>
      <c r="BH9" s="101">
        <f t="shared" si="1"/>
        <v>0.80434782608695654</v>
      </c>
      <c r="BI9" s="374"/>
      <c r="BJ9" s="105">
        <f>OVERALL!A4</f>
        <v>1</v>
      </c>
      <c r="BK9" s="105">
        <f>OVERALL!B4</f>
        <v>2301236</v>
      </c>
      <c r="BL9" s="106" t="str">
        <f>OVERALL!C4</f>
        <v>Manmohan Singh</v>
      </c>
      <c r="BM9" s="107">
        <f t="shared" ref="BM9:BM66" si="2">BG5</f>
        <v>46</v>
      </c>
      <c r="BN9" s="107">
        <f t="shared" ref="BN9:BN66" si="3">BF5</f>
        <v>10</v>
      </c>
      <c r="BO9" s="108">
        <f t="shared" ref="BO9:BO66" si="4">BN9/BM9%</f>
        <v>21.739130434782609</v>
      </c>
      <c r="BP9" s="107" t="str">
        <f t="shared" ref="BP9:BP66" si="5">IF(BO9&gt;=95.5,"6",IF(BO9&gt;=90.5,"5", IF(BO9&gt;=85.5,"4",IF(BO9&gt;=80.5,"3",IF(BO9&gt;=75.5,"2","0")))))</f>
        <v>0</v>
      </c>
      <c r="BQ9" s="110">
        <v>0</v>
      </c>
      <c r="BR9" s="224">
        <v>4</v>
      </c>
      <c r="BS9" s="107">
        <f t="shared" ref="BS9:BS66" si="6">(BQ9+BR9)/2</f>
        <v>2</v>
      </c>
      <c r="BT9" s="225">
        <v>9</v>
      </c>
      <c r="BU9" s="226">
        <v>9</v>
      </c>
      <c r="BV9" s="226">
        <v>9</v>
      </c>
      <c r="BW9" s="108">
        <f t="shared" ref="BW9:BW66" si="7">AVERAGE(BT9:BV9)</f>
        <v>9</v>
      </c>
      <c r="BX9" s="108">
        <v>5</v>
      </c>
      <c r="BY9" s="111">
        <f t="shared" ref="BY9:BY66" si="8">ROUND(BP9+BS9+BW9+BX9,0)</f>
        <v>16</v>
      </c>
    </row>
    <row r="10" spans="1:77" ht="15.6">
      <c r="A10" s="97">
        <f>OVERALL!A9</f>
        <v>6</v>
      </c>
      <c r="B10" s="98">
        <f>OVERALL!B9</f>
        <v>2301241</v>
      </c>
      <c r="C10" s="98" t="str">
        <f>OVERALL!C9</f>
        <v>Nikhil Kumar Thakur</v>
      </c>
      <c r="D10" s="96" t="s">
        <v>124</v>
      </c>
      <c r="E10" s="96" t="s">
        <v>124</v>
      </c>
      <c r="F10" s="96" t="s">
        <v>124</v>
      </c>
      <c r="G10" s="96" t="s">
        <v>124</v>
      </c>
      <c r="H10" s="96" t="s">
        <v>124</v>
      </c>
      <c r="I10" s="96" t="s">
        <v>124</v>
      </c>
      <c r="J10" s="96" t="s">
        <v>124</v>
      </c>
      <c r="K10" s="96" t="s">
        <v>124</v>
      </c>
      <c r="L10" s="96" t="s">
        <v>124</v>
      </c>
      <c r="M10" s="96" t="s">
        <v>124</v>
      </c>
      <c r="N10" s="96" t="s">
        <v>124</v>
      </c>
      <c r="O10" s="96" t="s">
        <v>124</v>
      </c>
      <c r="P10" s="96" t="s">
        <v>124</v>
      </c>
      <c r="Q10" s="96" t="s">
        <v>124</v>
      </c>
      <c r="R10" s="96" t="s">
        <v>124</v>
      </c>
      <c r="S10" s="96" t="s">
        <v>124</v>
      </c>
      <c r="T10" s="96" t="s">
        <v>124</v>
      </c>
      <c r="U10" s="96" t="s">
        <v>124</v>
      </c>
      <c r="V10" s="96" t="s">
        <v>124</v>
      </c>
      <c r="W10" s="96" t="s">
        <v>124</v>
      </c>
      <c r="X10" s="96" t="s">
        <v>124</v>
      </c>
      <c r="Y10" s="96" t="s">
        <v>124</v>
      </c>
      <c r="Z10" s="96" t="s">
        <v>124</v>
      </c>
      <c r="AA10" s="96" t="s">
        <v>124</v>
      </c>
      <c r="AB10" s="96" t="s">
        <v>124</v>
      </c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32">
        <v>41</v>
      </c>
      <c r="BE10" s="88"/>
      <c r="BF10" s="88">
        <f t="shared" si="0"/>
        <v>41</v>
      </c>
      <c r="BG10" s="88">
        <v>46</v>
      </c>
      <c r="BH10" s="101">
        <f t="shared" si="1"/>
        <v>0.89130434782608692</v>
      </c>
      <c r="BI10" s="374"/>
      <c r="BJ10" s="105">
        <f>OVERALL!A5</f>
        <v>2</v>
      </c>
      <c r="BK10" s="105">
        <f>OVERALL!B5</f>
        <v>2301237</v>
      </c>
      <c r="BL10" s="106" t="str">
        <f>OVERALL!C5</f>
        <v>Manpreet Kaur</v>
      </c>
      <c r="BM10" s="107">
        <f t="shared" si="2"/>
        <v>46</v>
      </c>
      <c r="BN10" s="107">
        <f t="shared" si="3"/>
        <v>37</v>
      </c>
      <c r="BO10" s="108">
        <f t="shared" si="4"/>
        <v>80.434782608695642</v>
      </c>
      <c r="BP10" s="107" t="str">
        <f t="shared" si="5"/>
        <v>2</v>
      </c>
      <c r="BQ10" s="110">
        <v>18</v>
      </c>
      <c r="BR10" s="227">
        <v>15</v>
      </c>
      <c r="BS10" s="107">
        <f t="shared" si="6"/>
        <v>16.5</v>
      </c>
      <c r="BT10" s="181">
        <v>8</v>
      </c>
      <c r="BU10" s="182">
        <v>10</v>
      </c>
      <c r="BV10" s="182">
        <v>9</v>
      </c>
      <c r="BW10" s="108">
        <f t="shared" si="7"/>
        <v>9</v>
      </c>
      <c r="BX10" s="108">
        <v>5</v>
      </c>
      <c r="BY10" s="111">
        <f t="shared" si="8"/>
        <v>33</v>
      </c>
    </row>
    <row r="11" spans="1:77" ht="15.6">
      <c r="A11" s="97">
        <f>OVERALL!A10</f>
        <v>7</v>
      </c>
      <c r="B11" s="98">
        <f>OVERALL!B10</f>
        <v>2301242</v>
      </c>
      <c r="C11" s="98" t="str">
        <f>OVERALL!C10</f>
        <v>Palak Pathania</v>
      </c>
      <c r="D11" s="96" t="s">
        <v>123</v>
      </c>
      <c r="E11" s="96" t="s">
        <v>124</v>
      </c>
      <c r="F11" s="96" t="s">
        <v>124</v>
      </c>
      <c r="G11" s="96" t="s">
        <v>124</v>
      </c>
      <c r="H11" s="96" t="s">
        <v>124</v>
      </c>
      <c r="I11" s="96" t="s">
        <v>124</v>
      </c>
      <c r="J11" s="96" t="s">
        <v>124</v>
      </c>
      <c r="K11" s="96" t="s">
        <v>124</v>
      </c>
      <c r="L11" s="96" t="s">
        <v>124</v>
      </c>
      <c r="M11" s="96" t="s">
        <v>124</v>
      </c>
      <c r="N11" s="96" t="s">
        <v>124</v>
      </c>
      <c r="O11" s="96" t="s">
        <v>123</v>
      </c>
      <c r="P11" s="96" t="s">
        <v>123</v>
      </c>
      <c r="Q11" s="96" t="s">
        <v>124</v>
      </c>
      <c r="R11" s="96" t="s">
        <v>123</v>
      </c>
      <c r="S11" s="96" t="s">
        <v>124</v>
      </c>
      <c r="T11" s="96" t="s">
        <v>124</v>
      </c>
      <c r="U11" s="96" t="s">
        <v>123</v>
      </c>
      <c r="V11" s="96" t="s">
        <v>123</v>
      </c>
      <c r="W11" s="96" t="s">
        <v>123</v>
      </c>
      <c r="X11" s="96" t="s">
        <v>124</v>
      </c>
      <c r="Y11" s="96" t="s">
        <v>123</v>
      </c>
      <c r="Z11" s="96" t="s">
        <v>123</v>
      </c>
      <c r="AA11" s="96" t="s">
        <v>124</v>
      </c>
      <c r="AB11" s="96" t="s">
        <v>124</v>
      </c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32">
        <v>34</v>
      </c>
      <c r="BE11" s="88">
        <v>0</v>
      </c>
      <c r="BF11" s="88">
        <f t="shared" si="0"/>
        <v>34</v>
      </c>
      <c r="BG11" s="88">
        <v>46</v>
      </c>
      <c r="BH11" s="101">
        <f t="shared" si="1"/>
        <v>0.73913043478260865</v>
      </c>
      <c r="BI11" s="374"/>
      <c r="BJ11" s="105">
        <f>OVERALL!A6</f>
        <v>3</v>
      </c>
      <c r="BK11" s="105">
        <f>OVERALL!B6</f>
        <v>2301238</v>
      </c>
      <c r="BL11" s="106" t="str">
        <f>OVERALL!C6</f>
        <v>Md Warish Chesam</v>
      </c>
      <c r="BM11" s="107">
        <f t="shared" si="2"/>
        <v>46</v>
      </c>
      <c r="BN11" s="107">
        <f t="shared" si="3"/>
        <v>36</v>
      </c>
      <c r="BO11" s="108">
        <f t="shared" si="4"/>
        <v>78.260869565217391</v>
      </c>
      <c r="BP11" s="107" t="str">
        <f t="shared" si="5"/>
        <v>2</v>
      </c>
      <c r="BQ11" s="110">
        <v>10</v>
      </c>
      <c r="BR11" s="227">
        <v>8</v>
      </c>
      <c r="BS11" s="107">
        <f t="shared" si="6"/>
        <v>9</v>
      </c>
      <c r="BT11" s="181">
        <v>7</v>
      </c>
      <c r="BU11" s="182">
        <v>8</v>
      </c>
      <c r="BV11" s="182">
        <v>8</v>
      </c>
      <c r="BW11" s="108">
        <f t="shared" si="7"/>
        <v>7.666666666666667</v>
      </c>
      <c r="BX11" s="108">
        <v>5</v>
      </c>
      <c r="BY11" s="111">
        <f t="shared" si="8"/>
        <v>24</v>
      </c>
    </row>
    <row r="12" spans="1:77" ht="15.6">
      <c r="A12" s="97">
        <f>OVERALL!A11</f>
        <v>8</v>
      </c>
      <c r="B12" s="98">
        <f>OVERALL!B11</f>
        <v>2301243</v>
      </c>
      <c r="C12" s="98" t="str">
        <f>OVERALL!C11</f>
        <v>Pardeep Singh</v>
      </c>
      <c r="D12" s="96" t="s">
        <v>123</v>
      </c>
      <c r="E12" s="96" t="s">
        <v>123</v>
      </c>
      <c r="F12" s="96" t="s">
        <v>124</v>
      </c>
      <c r="G12" s="96" t="s">
        <v>124</v>
      </c>
      <c r="H12" s="96" t="s">
        <v>124</v>
      </c>
      <c r="I12" s="96" t="s">
        <v>124</v>
      </c>
      <c r="J12" s="96" t="s">
        <v>124</v>
      </c>
      <c r="K12" s="96" t="s">
        <v>124</v>
      </c>
      <c r="L12" s="96" t="s">
        <v>124</v>
      </c>
      <c r="M12" s="96" t="s">
        <v>124</v>
      </c>
      <c r="N12" s="96" t="s">
        <v>124</v>
      </c>
      <c r="O12" s="96" t="s">
        <v>124</v>
      </c>
      <c r="P12" s="96" t="s">
        <v>124</v>
      </c>
      <c r="Q12" s="96" t="s">
        <v>123</v>
      </c>
      <c r="R12" s="96" t="s">
        <v>123</v>
      </c>
      <c r="S12" s="96" t="s">
        <v>124</v>
      </c>
      <c r="T12" s="96" t="s">
        <v>124</v>
      </c>
      <c r="U12" s="96" t="s">
        <v>124</v>
      </c>
      <c r="V12" s="96" t="s">
        <v>124</v>
      </c>
      <c r="W12" s="96" t="s">
        <v>124</v>
      </c>
      <c r="X12" s="96" t="s">
        <v>124</v>
      </c>
      <c r="Y12" s="96" t="s">
        <v>124</v>
      </c>
      <c r="Z12" s="96" t="s">
        <v>124</v>
      </c>
      <c r="AA12" s="96" t="s">
        <v>124</v>
      </c>
      <c r="AB12" s="96" t="s">
        <v>124</v>
      </c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32">
        <v>38</v>
      </c>
      <c r="BE12" s="88"/>
      <c r="BF12" s="88">
        <f t="shared" si="0"/>
        <v>38</v>
      </c>
      <c r="BG12" s="88">
        <v>46</v>
      </c>
      <c r="BH12" s="101">
        <f t="shared" si="1"/>
        <v>0.82608695652173914</v>
      </c>
      <c r="BI12" s="374"/>
      <c r="BJ12" s="105">
        <f>OVERALL!A7</f>
        <v>4</v>
      </c>
      <c r="BK12" s="105">
        <f>OVERALL!B7</f>
        <v>2301239</v>
      </c>
      <c r="BL12" s="106" t="str">
        <f>OVERALL!C7</f>
        <v>Mohd Shahid Afridi</v>
      </c>
      <c r="BM12" s="107">
        <f t="shared" si="2"/>
        <v>46</v>
      </c>
      <c r="BN12" s="107">
        <f t="shared" si="3"/>
        <v>0</v>
      </c>
      <c r="BO12" s="108">
        <f t="shared" si="4"/>
        <v>0</v>
      </c>
      <c r="BP12" s="107" t="str">
        <f t="shared" si="5"/>
        <v>0</v>
      </c>
      <c r="BQ12" s="46">
        <v>0</v>
      </c>
      <c r="BR12" s="227">
        <v>0</v>
      </c>
      <c r="BS12" s="107">
        <f t="shared" si="6"/>
        <v>0</v>
      </c>
      <c r="BT12" s="181">
        <v>0</v>
      </c>
      <c r="BU12" s="182">
        <v>0</v>
      </c>
      <c r="BV12" s="182">
        <v>0</v>
      </c>
      <c r="BW12" s="108">
        <f t="shared" si="7"/>
        <v>0</v>
      </c>
      <c r="BX12" s="108">
        <v>2</v>
      </c>
      <c r="BY12" s="111">
        <f t="shared" si="8"/>
        <v>2</v>
      </c>
    </row>
    <row r="13" spans="1:77" ht="14.25" customHeight="1">
      <c r="A13" s="97">
        <f>OVERALL!A12</f>
        <v>9</v>
      </c>
      <c r="B13" s="98">
        <f>OVERALL!B12</f>
        <v>2301244</v>
      </c>
      <c r="C13" s="98" t="str">
        <f>OVERALL!C12</f>
        <v>Parveen Mandal</v>
      </c>
      <c r="D13" s="96" t="s">
        <v>123</v>
      </c>
      <c r="E13" s="96" t="s">
        <v>123</v>
      </c>
      <c r="F13" s="96" t="s">
        <v>123</v>
      </c>
      <c r="G13" s="96" t="s">
        <v>123</v>
      </c>
      <c r="H13" s="96" t="s">
        <v>123</v>
      </c>
      <c r="I13" s="96" t="s">
        <v>123</v>
      </c>
      <c r="J13" s="96" t="s">
        <v>123</v>
      </c>
      <c r="K13" s="96" t="s">
        <v>123</v>
      </c>
      <c r="L13" s="96" t="s">
        <v>123</v>
      </c>
      <c r="M13" s="96" t="s">
        <v>123</v>
      </c>
      <c r="N13" s="96" t="s">
        <v>123</v>
      </c>
      <c r="O13" s="96" t="s">
        <v>123</v>
      </c>
      <c r="P13" s="96" t="s">
        <v>123</v>
      </c>
      <c r="Q13" s="96" t="s">
        <v>123</v>
      </c>
      <c r="R13" s="96" t="s">
        <v>123</v>
      </c>
      <c r="S13" s="96" t="s">
        <v>123</v>
      </c>
      <c r="T13" s="96" t="s">
        <v>123</v>
      </c>
      <c r="U13" s="96" t="s">
        <v>123</v>
      </c>
      <c r="V13" s="96" t="s">
        <v>123</v>
      </c>
      <c r="W13" s="96" t="s">
        <v>123</v>
      </c>
      <c r="X13" s="96" t="s">
        <v>123</v>
      </c>
      <c r="Y13" s="96" t="s">
        <v>123</v>
      </c>
      <c r="Z13" s="96" t="s">
        <v>123</v>
      </c>
      <c r="AA13" s="96" t="s">
        <v>123</v>
      </c>
      <c r="AB13" s="96" t="s">
        <v>123</v>
      </c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32">
        <v>0</v>
      </c>
      <c r="BE13" s="88"/>
      <c r="BF13" s="88">
        <f t="shared" si="0"/>
        <v>0</v>
      </c>
      <c r="BG13" s="88">
        <v>46</v>
      </c>
      <c r="BH13" s="101">
        <f t="shared" si="1"/>
        <v>0</v>
      </c>
      <c r="BI13" s="374"/>
      <c r="BJ13" s="105">
        <f>OVERALL!A8</f>
        <v>5</v>
      </c>
      <c r="BK13" s="105">
        <f>OVERALL!B8</f>
        <v>2301240</v>
      </c>
      <c r="BL13" s="106" t="str">
        <f>OVERALL!C8</f>
        <v>Munisha</v>
      </c>
      <c r="BM13" s="107">
        <f t="shared" si="2"/>
        <v>46</v>
      </c>
      <c r="BN13" s="107">
        <f t="shared" si="3"/>
        <v>37</v>
      </c>
      <c r="BO13" s="108">
        <f t="shared" si="4"/>
        <v>80.434782608695642</v>
      </c>
      <c r="BP13" s="107" t="str">
        <f t="shared" si="5"/>
        <v>2</v>
      </c>
      <c r="BQ13" s="110">
        <v>10</v>
      </c>
      <c r="BR13" s="227">
        <v>7</v>
      </c>
      <c r="BS13" s="107">
        <f t="shared" si="6"/>
        <v>8.5</v>
      </c>
      <c r="BT13" s="181">
        <v>8</v>
      </c>
      <c r="BU13" s="228">
        <v>8</v>
      </c>
      <c r="BV13" s="228">
        <v>8</v>
      </c>
      <c r="BW13" s="108">
        <f t="shared" si="7"/>
        <v>8</v>
      </c>
      <c r="BX13" s="108">
        <v>5</v>
      </c>
      <c r="BY13" s="111">
        <f t="shared" si="8"/>
        <v>24</v>
      </c>
    </row>
    <row r="14" spans="1:77" ht="31.2">
      <c r="A14" s="97">
        <f>OVERALL!A13</f>
        <v>10</v>
      </c>
      <c r="B14" s="98">
        <f>OVERALL!B13</f>
        <v>2301245</v>
      </c>
      <c r="C14" s="98" t="str">
        <f>OVERALL!C13</f>
        <v>Payal</v>
      </c>
      <c r="D14" s="96" t="s">
        <v>124</v>
      </c>
      <c r="E14" s="96" t="s">
        <v>124</v>
      </c>
      <c r="F14" s="96" t="s">
        <v>124</v>
      </c>
      <c r="G14" s="96" t="s">
        <v>124</v>
      </c>
      <c r="H14" s="96" t="s">
        <v>124</v>
      </c>
      <c r="I14" s="96" t="s">
        <v>124</v>
      </c>
      <c r="J14" s="96" t="s">
        <v>124</v>
      </c>
      <c r="K14" s="96" t="s">
        <v>124</v>
      </c>
      <c r="L14" s="96" t="s">
        <v>124</v>
      </c>
      <c r="M14" s="96" t="s">
        <v>124</v>
      </c>
      <c r="N14" s="96" t="s">
        <v>124</v>
      </c>
      <c r="O14" s="96" t="s">
        <v>124</v>
      </c>
      <c r="P14" s="96" t="s">
        <v>124</v>
      </c>
      <c r="Q14" s="96" t="s">
        <v>123</v>
      </c>
      <c r="R14" s="96" t="s">
        <v>124</v>
      </c>
      <c r="S14" s="96" t="s">
        <v>124</v>
      </c>
      <c r="T14" s="96" t="s">
        <v>124</v>
      </c>
      <c r="U14" s="96" t="s">
        <v>124</v>
      </c>
      <c r="V14" s="96" t="s">
        <v>124</v>
      </c>
      <c r="W14" s="96" t="s">
        <v>124</v>
      </c>
      <c r="X14" s="96" t="s">
        <v>123</v>
      </c>
      <c r="Y14" s="96" t="s">
        <v>124</v>
      </c>
      <c r="Z14" s="96" t="s">
        <v>124</v>
      </c>
      <c r="AA14" s="96" t="s">
        <v>124</v>
      </c>
      <c r="AB14" s="96" t="s">
        <v>124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32">
        <v>38</v>
      </c>
      <c r="BE14" s="88">
        <v>3</v>
      </c>
      <c r="BF14" s="88">
        <f t="shared" si="0"/>
        <v>41</v>
      </c>
      <c r="BG14" s="88">
        <v>46</v>
      </c>
      <c r="BH14" s="101">
        <f t="shared" si="1"/>
        <v>0.89130434782608692</v>
      </c>
      <c r="BI14" s="374"/>
      <c r="BJ14" s="105">
        <f>OVERALL!A9</f>
        <v>6</v>
      </c>
      <c r="BK14" s="105">
        <f>OVERALL!B9</f>
        <v>2301241</v>
      </c>
      <c r="BL14" s="106" t="str">
        <f>OVERALL!C9</f>
        <v>Nikhil Kumar Thakur</v>
      </c>
      <c r="BM14" s="107">
        <f t="shared" si="2"/>
        <v>46</v>
      </c>
      <c r="BN14" s="107">
        <f t="shared" si="3"/>
        <v>41</v>
      </c>
      <c r="BO14" s="108">
        <f t="shared" si="4"/>
        <v>89.130434782608688</v>
      </c>
      <c r="BP14" s="107" t="str">
        <f t="shared" si="5"/>
        <v>4</v>
      </c>
      <c r="BQ14" s="110">
        <v>10</v>
      </c>
      <c r="BR14" s="227">
        <v>10</v>
      </c>
      <c r="BS14" s="107">
        <f t="shared" si="6"/>
        <v>10</v>
      </c>
      <c r="BT14" s="181">
        <v>9</v>
      </c>
      <c r="BU14" s="182">
        <v>9</v>
      </c>
      <c r="BV14" s="182">
        <v>8</v>
      </c>
      <c r="BW14" s="108">
        <f t="shared" si="7"/>
        <v>8.6666666666666661</v>
      </c>
      <c r="BX14" s="108">
        <v>5</v>
      </c>
      <c r="BY14" s="111">
        <f t="shared" si="8"/>
        <v>28</v>
      </c>
    </row>
    <row r="15" spans="1:77" ht="15.6">
      <c r="A15" s="97">
        <f>OVERALL!A14</f>
        <v>11</v>
      </c>
      <c r="B15" s="98">
        <f>OVERALL!B14</f>
        <v>2301247</v>
      </c>
      <c r="C15" s="98" t="str">
        <f>OVERALL!C14</f>
        <v>Priya</v>
      </c>
      <c r="D15" s="96" t="s">
        <v>124</v>
      </c>
      <c r="E15" s="96" t="s">
        <v>124</v>
      </c>
      <c r="F15" s="96" t="s">
        <v>123</v>
      </c>
      <c r="G15" s="96" t="s">
        <v>124</v>
      </c>
      <c r="H15" s="96" t="s">
        <v>124</v>
      </c>
      <c r="I15" s="96" t="s">
        <v>124</v>
      </c>
      <c r="J15" s="96" t="s">
        <v>124</v>
      </c>
      <c r="K15" s="96" t="s">
        <v>124</v>
      </c>
      <c r="L15" s="96" t="s">
        <v>124</v>
      </c>
      <c r="M15" s="96" t="s">
        <v>124</v>
      </c>
      <c r="N15" s="96" t="s">
        <v>123</v>
      </c>
      <c r="O15" s="96" t="s">
        <v>124</v>
      </c>
      <c r="P15" s="96" t="s">
        <v>124</v>
      </c>
      <c r="Q15" s="96" t="s">
        <v>124</v>
      </c>
      <c r="R15" s="96" t="s">
        <v>123</v>
      </c>
      <c r="S15" s="96" t="s">
        <v>124</v>
      </c>
      <c r="T15" s="96" t="s">
        <v>124</v>
      </c>
      <c r="U15" s="96" t="s">
        <v>124</v>
      </c>
      <c r="V15" s="96" t="s">
        <v>124</v>
      </c>
      <c r="W15" s="96" t="s">
        <v>123</v>
      </c>
      <c r="X15" s="96" t="s">
        <v>124</v>
      </c>
      <c r="Y15" s="96" t="s">
        <v>124</v>
      </c>
      <c r="Z15" s="96" t="s">
        <v>124</v>
      </c>
      <c r="AA15" s="96" t="s">
        <v>124</v>
      </c>
      <c r="AB15" s="96" t="s">
        <v>123</v>
      </c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88">
        <v>36</v>
      </c>
      <c r="BE15" s="88"/>
      <c r="BF15" s="88">
        <f t="shared" si="0"/>
        <v>36</v>
      </c>
      <c r="BG15" s="88">
        <v>46</v>
      </c>
      <c r="BH15" s="101">
        <f t="shared" si="1"/>
        <v>0.78260869565217395</v>
      </c>
      <c r="BI15" s="374"/>
      <c r="BJ15" s="105">
        <f>OVERALL!A10</f>
        <v>7</v>
      </c>
      <c r="BK15" s="105">
        <f>OVERALL!B10</f>
        <v>2301242</v>
      </c>
      <c r="BL15" s="106" t="str">
        <f>OVERALL!C10</f>
        <v>Palak Pathania</v>
      </c>
      <c r="BM15" s="107">
        <f t="shared" si="2"/>
        <v>46</v>
      </c>
      <c r="BN15" s="107">
        <f t="shared" si="3"/>
        <v>34</v>
      </c>
      <c r="BO15" s="108">
        <f t="shared" si="4"/>
        <v>73.91304347826086</v>
      </c>
      <c r="BP15" s="107" t="str">
        <f t="shared" si="5"/>
        <v>0</v>
      </c>
      <c r="BQ15" s="110">
        <v>11</v>
      </c>
      <c r="BR15" s="227">
        <v>12</v>
      </c>
      <c r="BS15" s="107">
        <f t="shared" si="6"/>
        <v>11.5</v>
      </c>
      <c r="BT15" s="181">
        <v>7</v>
      </c>
      <c r="BU15" s="182">
        <v>8</v>
      </c>
      <c r="BV15" s="182">
        <v>8</v>
      </c>
      <c r="BW15" s="108">
        <f t="shared" si="7"/>
        <v>7.666666666666667</v>
      </c>
      <c r="BX15" s="108">
        <v>5</v>
      </c>
      <c r="BY15" s="111">
        <f t="shared" si="8"/>
        <v>24</v>
      </c>
    </row>
    <row r="16" spans="1:77" ht="15.6">
      <c r="A16" s="97">
        <f>OVERALL!A15</f>
        <v>12</v>
      </c>
      <c r="B16" s="98">
        <f>OVERALL!B15</f>
        <v>2301248</v>
      </c>
      <c r="C16" s="98" t="str">
        <f>OVERALL!C15</f>
        <v>Priyam Puri</v>
      </c>
      <c r="D16" s="96" t="s">
        <v>123</v>
      </c>
      <c r="E16" s="96" t="s">
        <v>123</v>
      </c>
      <c r="F16" s="96" t="s">
        <v>123</v>
      </c>
      <c r="G16" s="96" t="s">
        <v>124</v>
      </c>
      <c r="H16" s="96" t="s">
        <v>124</v>
      </c>
      <c r="I16" s="96" t="s">
        <v>124</v>
      </c>
      <c r="J16" s="96" t="s">
        <v>123</v>
      </c>
      <c r="K16" s="96" t="s">
        <v>123</v>
      </c>
      <c r="L16" s="96" t="s">
        <v>123</v>
      </c>
      <c r="M16" s="96" t="s">
        <v>123</v>
      </c>
      <c r="N16" s="96" t="s">
        <v>123</v>
      </c>
      <c r="O16" s="96" t="s">
        <v>123</v>
      </c>
      <c r="P16" s="96" t="s">
        <v>123</v>
      </c>
      <c r="Q16" s="96" t="s">
        <v>123</v>
      </c>
      <c r="R16" s="96" t="s">
        <v>123</v>
      </c>
      <c r="S16" s="96" t="s">
        <v>123</v>
      </c>
      <c r="T16" s="96" t="s">
        <v>123</v>
      </c>
      <c r="U16" s="96" t="s">
        <v>123</v>
      </c>
      <c r="V16" s="96" t="s">
        <v>123</v>
      </c>
      <c r="W16" s="96" t="s">
        <v>123</v>
      </c>
      <c r="X16" s="96" t="s">
        <v>123</v>
      </c>
      <c r="Y16" s="96" t="s">
        <v>123</v>
      </c>
      <c r="Z16" s="96" t="s">
        <v>123</v>
      </c>
      <c r="AA16" s="96" t="s">
        <v>123</v>
      </c>
      <c r="AB16" s="96" t="s">
        <v>123</v>
      </c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88">
        <v>0</v>
      </c>
      <c r="BE16" s="88"/>
      <c r="BF16" s="88">
        <f t="shared" si="0"/>
        <v>0</v>
      </c>
      <c r="BG16" s="88">
        <v>46</v>
      </c>
      <c r="BH16" s="101">
        <f t="shared" si="1"/>
        <v>0</v>
      </c>
      <c r="BI16" s="374"/>
      <c r="BJ16" s="105">
        <f>OVERALL!A11</f>
        <v>8</v>
      </c>
      <c r="BK16" s="105">
        <f>OVERALL!B11</f>
        <v>2301243</v>
      </c>
      <c r="BL16" s="106" t="str">
        <f>OVERALL!C11</f>
        <v>Pardeep Singh</v>
      </c>
      <c r="BM16" s="107">
        <f t="shared" si="2"/>
        <v>46</v>
      </c>
      <c r="BN16" s="107">
        <f t="shared" si="3"/>
        <v>38</v>
      </c>
      <c r="BO16" s="108">
        <f t="shared" si="4"/>
        <v>82.608695652173907</v>
      </c>
      <c r="BP16" s="107" t="str">
        <f t="shared" si="5"/>
        <v>3</v>
      </c>
      <c r="BQ16" s="110">
        <v>6</v>
      </c>
      <c r="BR16" s="227">
        <v>5</v>
      </c>
      <c r="BS16" s="107">
        <f t="shared" si="6"/>
        <v>5.5</v>
      </c>
      <c r="BT16" s="181">
        <v>6</v>
      </c>
      <c r="BU16" s="182">
        <v>7</v>
      </c>
      <c r="BV16" s="182">
        <v>8</v>
      </c>
      <c r="BW16" s="108">
        <f t="shared" si="7"/>
        <v>7</v>
      </c>
      <c r="BX16" s="108">
        <v>5</v>
      </c>
      <c r="BY16" s="111">
        <f t="shared" si="8"/>
        <v>21</v>
      </c>
    </row>
    <row r="17" spans="1:77" ht="15.6">
      <c r="A17" s="97">
        <f>OVERALL!A16</f>
        <v>13</v>
      </c>
      <c r="B17" s="98">
        <f>OVERALL!B16</f>
        <v>2301249</v>
      </c>
      <c r="C17" s="98" t="str">
        <f>OVERALL!C16</f>
        <v>Rahul Sharma</v>
      </c>
      <c r="D17" s="96" t="s">
        <v>124</v>
      </c>
      <c r="E17" s="96" t="s">
        <v>124</v>
      </c>
      <c r="F17" s="96" t="s">
        <v>124</v>
      </c>
      <c r="G17" s="96" t="s">
        <v>124</v>
      </c>
      <c r="H17" s="96" t="s">
        <v>124</v>
      </c>
      <c r="I17" s="96" t="s">
        <v>124</v>
      </c>
      <c r="J17" s="96" t="s">
        <v>124</v>
      </c>
      <c r="K17" s="96" t="s">
        <v>123</v>
      </c>
      <c r="L17" s="96" t="s">
        <v>123</v>
      </c>
      <c r="M17" s="96" t="s">
        <v>123</v>
      </c>
      <c r="N17" s="96" t="s">
        <v>123</v>
      </c>
      <c r="O17" s="96" t="s">
        <v>123</v>
      </c>
      <c r="P17" s="96" t="s">
        <v>123</v>
      </c>
      <c r="Q17" s="96" t="s">
        <v>123</v>
      </c>
      <c r="R17" s="96" t="s">
        <v>123</v>
      </c>
      <c r="S17" s="96" t="s">
        <v>123</v>
      </c>
      <c r="T17" s="96" t="s">
        <v>123</v>
      </c>
      <c r="U17" s="96" t="s">
        <v>123</v>
      </c>
      <c r="V17" s="96" t="s">
        <v>123</v>
      </c>
      <c r="W17" s="96" t="s">
        <v>124</v>
      </c>
      <c r="X17" s="96" t="s">
        <v>124</v>
      </c>
      <c r="Y17" s="96" t="s">
        <v>123</v>
      </c>
      <c r="Z17" s="96" t="s">
        <v>123</v>
      </c>
      <c r="AA17" s="96" t="s">
        <v>123</v>
      </c>
      <c r="AB17" s="96" t="s">
        <v>124</v>
      </c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88">
        <v>15</v>
      </c>
      <c r="BE17" s="88">
        <v>8</v>
      </c>
      <c r="BF17" s="88">
        <f t="shared" si="0"/>
        <v>23</v>
      </c>
      <c r="BG17" s="88">
        <v>46</v>
      </c>
      <c r="BH17" s="101">
        <f t="shared" si="1"/>
        <v>0.5</v>
      </c>
      <c r="BI17" s="374"/>
      <c r="BJ17" s="105">
        <f>OVERALL!A12</f>
        <v>9</v>
      </c>
      <c r="BK17" s="105">
        <f>OVERALL!B12</f>
        <v>2301244</v>
      </c>
      <c r="BL17" s="106" t="str">
        <f>OVERALL!C12</f>
        <v>Parveen Mandal</v>
      </c>
      <c r="BM17" s="107">
        <f t="shared" si="2"/>
        <v>46</v>
      </c>
      <c r="BN17" s="107">
        <f t="shared" si="3"/>
        <v>0</v>
      </c>
      <c r="BO17" s="108">
        <f t="shared" si="4"/>
        <v>0</v>
      </c>
      <c r="BP17" s="107" t="str">
        <f t="shared" si="5"/>
        <v>0</v>
      </c>
      <c r="BQ17" s="46">
        <v>0</v>
      </c>
      <c r="BR17" s="227">
        <v>0</v>
      </c>
      <c r="BS17" s="107">
        <f t="shared" si="6"/>
        <v>0</v>
      </c>
      <c r="BT17" s="181">
        <v>0</v>
      </c>
      <c r="BU17" s="182">
        <v>0</v>
      </c>
      <c r="BV17" s="182">
        <v>0</v>
      </c>
      <c r="BW17" s="108">
        <f t="shared" si="7"/>
        <v>0</v>
      </c>
      <c r="BX17" s="108">
        <v>2</v>
      </c>
      <c r="BY17" s="111">
        <f t="shared" si="8"/>
        <v>2</v>
      </c>
    </row>
    <row r="18" spans="1:77" ht="15.6">
      <c r="A18" s="97">
        <f>OVERALL!A17</f>
        <v>14</v>
      </c>
      <c r="B18" s="98">
        <f>OVERALL!B17</f>
        <v>2301250</v>
      </c>
      <c r="C18" s="98" t="str">
        <f>OVERALL!C17</f>
        <v>Rahulpreet Singh Khinda</v>
      </c>
      <c r="D18" s="96" t="s">
        <v>123</v>
      </c>
      <c r="E18" s="96" t="s">
        <v>123</v>
      </c>
      <c r="F18" s="96" t="s">
        <v>123</v>
      </c>
      <c r="G18" s="96" t="s">
        <v>123</v>
      </c>
      <c r="H18" s="96" t="s">
        <v>123</v>
      </c>
      <c r="I18" s="96" t="s">
        <v>123</v>
      </c>
      <c r="J18" s="96" t="s">
        <v>124</v>
      </c>
      <c r="K18" s="96" t="s">
        <v>123</v>
      </c>
      <c r="L18" s="96" t="s">
        <v>124</v>
      </c>
      <c r="M18" s="96" t="s">
        <v>123</v>
      </c>
      <c r="N18" s="96" t="s">
        <v>123</v>
      </c>
      <c r="O18" s="96" t="s">
        <v>124</v>
      </c>
      <c r="P18" s="96" t="s">
        <v>124</v>
      </c>
      <c r="Q18" s="96" t="s">
        <v>124</v>
      </c>
      <c r="R18" s="96" t="s">
        <v>123</v>
      </c>
      <c r="S18" s="96" t="s">
        <v>123</v>
      </c>
      <c r="T18" s="96" t="s">
        <v>123</v>
      </c>
      <c r="U18" s="96" t="s">
        <v>124</v>
      </c>
      <c r="V18" s="96" t="s">
        <v>123</v>
      </c>
      <c r="W18" s="96" t="s">
        <v>124</v>
      </c>
      <c r="X18" s="96" t="s">
        <v>124</v>
      </c>
      <c r="Y18" s="96" t="s">
        <v>124</v>
      </c>
      <c r="Z18" s="96" t="s">
        <v>124</v>
      </c>
      <c r="AA18" s="96" t="s">
        <v>124</v>
      </c>
      <c r="AB18" s="96" t="s">
        <v>123</v>
      </c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88">
        <v>27</v>
      </c>
      <c r="BE18" s="88"/>
      <c r="BF18" s="88">
        <f t="shared" si="0"/>
        <v>27</v>
      </c>
      <c r="BG18" s="88">
        <v>46</v>
      </c>
      <c r="BH18" s="101">
        <f t="shared" si="1"/>
        <v>0.58695652173913049</v>
      </c>
      <c r="BI18" s="374"/>
      <c r="BJ18" s="105">
        <f>OVERALL!A13</f>
        <v>10</v>
      </c>
      <c r="BK18" s="105">
        <f>OVERALL!B13</f>
        <v>2301245</v>
      </c>
      <c r="BL18" s="106" t="str">
        <f>OVERALL!C13</f>
        <v>Payal</v>
      </c>
      <c r="BM18" s="107">
        <f t="shared" si="2"/>
        <v>46</v>
      </c>
      <c r="BN18" s="107">
        <f t="shared" si="3"/>
        <v>41</v>
      </c>
      <c r="BO18" s="108">
        <f t="shared" si="4"/>
        <v>89.130434782608688</v>
      </c>
      <c r="BP18" s="107" t="str">
        <f t="shared" si="5"/>
        <v>4</v>
      </c>
      <c r="BQ18" s="110">
        <v>17</v>
      </c>
      <c r="BR18" s="227">
        <v>12</v>
      </c>
      <c r="BS18" s="107">
        <f t="shared" si="6"/>
        <v>14.5</v>
      </c>
      <c r="BT18" s="181">
        <v>9</v>
      </c>
      <c r="BU18" s="182">
        <v>8.5</v>
      </c>
      <c r="BV18" s="182">
        <v>9</v>
      </c>
      <c r="BW18" s="108">
        <f t="shared" si="7"/>
        <v>8.8333333333333339</v>
      </c>
      <c r="BX18" s="108">
        <v>5</v>
      </c>
      <c r="BY18" s="111">
        <f t="shared" si="8"/>
        <v>32</v>
      </c>
    </row>
    <row r="19" spans="1:77" ht="15.6">
      <c r="A19" s="97">
        <f>OVERALL!A18</f>
        <v>15</v>
      </c>
      <c r="B19" s="98">
        <f>OVERALL!B18</f>
        <v>2301251</v>
      </c>
      <c r="C19" s="98" t="str">
        <f>OVERALL!C18</f>
        <v>Raj Kumar</v>
      </c>
      <c r="D19" s="96" t="s">
        <v>123</v>
      </c>
      <c r="E19" s="96" t="s">
        <v>123</v>
      </c>
      <c r="F19" s="96" t="s">
        <v>123</v>
      </c>
      <c r="G19" s="96" t="s">
        <v>123</v>
      </c>
      <c r="H19" s="96" t="s">
        <v>123</v>
      </c>
      <c r="I19" s="96" t="s">
        <v>123</v>
      </c>
      <c r="J19" s="96" t="s">
        <v>123</v>
      </c>
      <c r="K19" s="96" t="s">
        <v>124</v>
      </c>
      <c r="L19" s="96" t="s">
        <v>123</v>
      </c>
      <c r="M19" s="96" t="s">
        <v>123</v>
      </c>
      <c r="N19" s="96" t="s">
        <v>123</v>
      </c>
      <c r="O19" s="96" t="s">
        <v>124</v>
      </c>
      <c r="P19" s="96" t="s">
        <v>123</v>
      </c>
      <c r="Q19" s="96" t="s">
        <v>124</v>
      </c>
      <c r="R19" s="96" t="s">
        <v>123</v>
      </c>
      <c r="S19" s="96" t="s">
        <v>124</v>
      </c>
      <c r="T19" s="96" t="s">
        <v>124</v>
      </c>
      <c r="U19" s="96" t="s">
        <v>123</v>
      </c>
      <c r="V19" s="96" t="s">
        <v>123</v>
      </c>
      <c r="W19" s="96" t="s">
        <v>123</v>
      </c>
      <c r="X19" s="96" t="s">
        <v>123</v>
      </c>
      <c r="Y19" s="96" t="s">
        <v>124</v>
      </c>
      <c r="Z19" s="96" t="s">
        <v>124</v>
      </c>
      <c r="AA19" s="96" t="s">
        <v>124</v>
      </c>
      <c r="AB19" s="96" t="s">
        <v>124</v>
      </c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88">
        <v>36</v>
      </c>
      <c r="BE19" s="88"/>
      <c r="BF19" s="88">
        <f t="shared" si="0"/>
        <v>36</v>
      </c>
      <c r="BG19" s="88">
        <v>46</v>
      </c>
      <c r="BH19" s="101">
        <f t="shared" si="1"/>
        <v>0.78260869565217395</v>
      </c>
      <c r="BI19" s="374"/>
      <c r="BJ19" s="105">
        <f>OVERALL!A14</f>
        <v>11</v>
      </c>
      <c r="BK19" s="105">
        <f>OVERALL!B14</f>
        <v>2301247</v>
      </c>
      <c r="BL19" s="106" t="str">
        <f>OVERALL!C14</f>
        <v>Priya</v>
      </c>
      <c r="BM19" s="107">
        <f t="shared" si="2"/>
        <v>46</v>
      </c>
      <c r="BN19" s="107">
        <f t="shared" si="3"/>
        <v>36</v>
      </c>
      <c r="BO19" s="108">
        <f t="shared" si="4"/>
        <v>78.260869565217391</v>
      </c>
      <c r="BP19" s="107" t="str">
        <f t="shared" si="5"/>
        <v>2</v>
      </c>
      <c r="BQ19" s="110">
        <v>5</v>
      </c>
      <c r="BR19" s="227">
        <v>6</v>
      </c>
      <c r="BS19" s="107">
        <f t="shared" si="6"/>
        <v>5.5</v>
      </c>
      <c r="BT19" s="181">
        <v>9</v>
      </c>
      <c r="BU19" s="182">
        <v>8</v>
      </c>
      <c r="BV19" s="182">
        <v>8</v>
      </c>
      <c r="BW19" s="108">
        <f t="shared" si="7"/>
        <v>8.3333333333333339</v>
      </c>
      <c r="BX19" s="108">
        <v>5</v>
      </c>
      <c r="BY19" s="111">
        <f t="shared" si="8"/>
        <v>21</v>
      </c>
    </row>
    <row r="20" spans="1:77" ht="15.6">
      <c r="A20" s="97">
        <f>OVERALL!A19</f>
        <v>16</v>
      </c>
      <c r="B20" s="98">
        <f>OVERALL!B19</f>
        <v>2301252</v>
      </c>
      <c r="C20" s="98" t="str">
        <f>OVERALL!C19</f>
        <v>Rajan Sharma</v>
      </c>
      <c r="D20" s="96" t="s">
        <v>124</v>
      </c>
      <c r="E20" s="96" t="s">
        <v>124</v>
      </c>
      <c r="F20" s="96" t="s">
        <v>124</v>
      </c>
      <c r="G20" s="96" t="s">
        <v>124</v>
      </c>
      <c r="H20" s="96" t="s">
        <v>123</v>
      </c>
      <c r="I20" s="96" t="s">
        <v>124</v>
      </c>
      <c r="J20" s="96" t="s">
        <v>124</v>
      </c>
      <c r="K20" s="96" t="s">
        <v>124</v>
      </c>
      <c r="L20" s="96" t="s">
        <v>124</v>
      </c>
      <c r="M20" s="96" t="s">
        <v>124</v>
      </c>
      <c r="N20" s="96" t="s">
        <v>123</v>
      </c>
      <c r="O20" s="96" t="s">
        <v>123</v>
      </c>
      <c r="P20" s="96" t="s">
        <v>124</v>
      </c>
      <c r="Q20" s="96" t="s">
        <v>124</v>
      </c>
      <c r="R20" s="96" t="s">
        <v>124</v>
      </c>
      <c r="S20" s="96" t="s">
        <v>124</v>
      </c>
      <c r="T20" s="96" t="s">
        <v>124</v>
      </c>
      <c r="U20" s="96" t="s">
        <v>124</v>
      </c>
      <c r="V20" s="96" t="s">
        <v>124</v>
      </c>
      <c r="W20" s="96" t="s">
        <v>124</v>
      </c>
      <c r="X20" s="96" t="s">
        <v>124</v>
      </c>
      <c r="Y20" s="96" t="s">
        <v>123</v>
      </c>
      <c r="Z20" s="96" t="s">
        <v>124</v>
      </c>
      <c r="AA20" s="96" t="s">
        <v>124</v>
      </c>
      <c r="AB20" s="96" t="s">
        <v>124</v>
      </c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88">
        <v>40</v>
      </c>
      <c r="BE20" s="88"/>
      <c r="BF20" s="88">
        <f t="shared" si="0"/>
        <v>40</v>
      </c>
      <c r="BG20" s="88">
        <v>46</v>
      </c>
      <c r="BH20" s="101">
        <f t="shared" si="1"/>
        <v>0.86956521739130432</v>
      </c>
      <c r="BI20" s="374"/>
      <c r="BJ20" s="105">
        <f>OVERALL!A15</f>
        <v>12</v>
      </c>
      <c r="BK20" s="105">
        <f>OVERALL!B15</f>
        <v>2301248</v>
      </c>
      <c r="BL20" s="106" t="str">
        <f>OVERALL!C15</f>
        <v>Priyam Puri</v>
      </c>
      <c r="BM20" s="107">
        <f t="shared" si="2"/>
        <v>46</v>
      </c>
      <c r="BN20" s="107">
        <f t="shared" si="3"/>
        <v>0</v>
      </c>
      <c r="BO20" s="108">
        <f t="shared" si="4"/>
        <v>0</v>
      </c>
      <c r="BP20" s="107" t="str">
        <f t="shared" si="5"/>
        <v>0</v>
      </c>
      <c r="BQ20" s="110">
        <v>0</v>
      </c>
      <c r="BR20" s="227">
        <v>0</v>
      </c>
      <c r="BS20" s="107">
        <f t="shared" si="6"/>
        <v>0</v>
      </c>
      <c r="BT20" s="181">
        <v>0</v>
      </c>
      <c r="BU20" s="182">
        <v>0</v>
      </c>
      <c r="BV20" s="182">
        <v>0</v>
      </c>
      <c r="BW20" s="108">
        <f t="shared" si="7"/>
        <v>0</v>
      </c>
      <c r="BX20" s="108">
        <v>2</v>
      </c>
      <c r="BY20" s="111">
        <f t="shared" si="8"/>
        <v>2</v>
      </c>
    </row>
    <row r="21" spans="1:77" ht="15.75" customHeight="1">
      <c r="A21" s="97">
        <f>OVERALL!A20</f>
        <v>17</v>
      </c>
      <c r="B21" s="98">
        <f>OVERALL!B20</f>
        <v>2301253</v>
      </c>
      <c r="C21" s="98" t="str">
        <f>OVERALL!C20</f>
        <v>Rajwinder Kaur</v>
      </c>
      <c r="D21" s="96" t="s">
        <v>124</v>
      </c>
      <c r="E21" s="96" t="s">
        <v>124</v>
      </c>
      <c r="F21" s="96" t="s">
        <v>124</v>
      </c>
      <c r="G21" s="96" t="s">
        <v>124</v>
      </c>
      <c r="H21" s="96" t="s">
        <v>124</v>
      </c>
      <c r="I21" s="96" t="s">
        <v>124</v>
      </c>
      <c r="J21" s="96" t="s">
        <v>124</v>
      </c>
      <c r="K21" s="96" t="s">
        <v>124</v>
      </c>
      <c r="L21" s="96" t="s">
        <v>124</v>
      </c>
      <c r="M21" s="96" t="s">
        <v>124</v>
      </c>
      <c r="N21" s="96" t="s">
        <v>124</v>
      </c>
      <c r="O21" s="96" t="s">
        <v>123</v>
      </c>
      <c r="P21" s="96" t="s">
        <v>124</v>
      </c>
      <c r="Q21" s="96" t="s">
        <v>124</v>
      </c>
      <c r="R21" s="96" t="s">
        <v>124</v>
      </c>
      <c r="S21" s="96" t="s">
        <v>124</v>
      </c>
      <c r="T21" s="96" t="s">
        <v>124</v>
      </c>
      <c r="U21" s="96" t="s">
        <v>123</v>
      </c>
      <c r="V21" s="96" t="s">
        <v>124</v>
      </c>
      <c r="W21" s="96" t="s">
        <v>124</v>
      </c>
      <c r="X21" s="96" t="s">
        <v>123</v>
      </c>
      <c r="Y21" s="96" t="s">
        <v>124</v>
      </c>
      <c r="Z21" s="96" t="s">
        <v>124</v>
      </c>
      <c r="AA21" s="96" t="s">
        <v>124</v>
      </c>
      <c r="AB21" s="96" t="s">
        <v>124</v>
      </c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88">
        <v>36</v>
      </c>
      <c r="BE21" s="88">
        <v>0</v>
      </c>
      <c r="BF21" s="88">
        <f t="shared" si="0"/>
        <v>36</v>
      </c>
      <c r="BG21" s="88">
        <v>46</v>
      </c>
      <c r="BH21" s="101">
        <f t="shared" si="1"/>
        <v>0.78260869565217395</v>
      </c>
      <c r="BI21" s="374"/>
      <c r="BJ21" s="105">
        <f>OVERALL!A16</f>
        <v>13</v>
      </c>
      <c r="BK21" s="105">
        <f>OVERALL!B16</f>
        <v>2301249</v>
      </c>
      <c r="BL21" s="106" t="str">
        <f>OVERALL!C16</f>
        <v>Rahul Sharma</v>
      </c>
      <c r="BM21" s="107">
        <f t="shared" si="2"/>
        <v>46</v>
      </c>
      <c r="BN21" s="107">
        <f t="shared" si="3"/>
        <v>23</v>
      </c>
      <c r="BO21" s="108">
        <f t="shared" si="4"/>
        <v>50</v>
      </c>
      <c r="BP21" s="107" t="str">
        <f t="shared" si="5"/>
        <v>0</v>
      </c>
      <c r="BQ21" s="110">
        <v>12</v>
      </c>
      <c r="BR21" s="227">
        <v>2</v>
      </c>
      <c r="BS21" s="107">
        <f t="shared" si="6"/>
        <v>7</v>
      </c>
      <c r="BT21" s="181">
        <v>8</v>
      </c>
      <c r="BU21" s="182">
        <v>9</v>
      </c>
      <c r="BV21" s="182">
        <v>9</v>
      </c>
      <c r="BW21" s="108">
        <f t="shared" si="7"/>
        <v>8.6666666666666661</v>
      </c>
      <c r="BX21" s="108">
        <v>5</v>
      </c>
      <c r="BY21" s="111">
        <f t="shared" si="8"/>
        <v>21</v>
      </c>
    </row>
    <row r="22" spans="1:77" ht="15.75" customHeight="1">
      <c r="A22" s="97">
        <f>OVERALL!A21</f>
        <v>18</v>
      </c>
      <c r="B22" s="98">
        <f>OVERALL!B21</f>
        <v>2301254</v>
      </c>
      <c r="C22" s="98" t="str">
        <f>OVERALL!C21</f>
        <v>RANJIT SHAH KANU</v>
      </c>
      <c r="D22" s="96" t="s">
        <v>123</v>
      </c>
      <c r="E22" s="96" t="s">
        <v>123</v>
      </c>
      <c r="F22" s="96" t="s">
        <v>123</v>
      </c>
      <c r="G22" s="96" t="s">
        <v>123</v>
      </c>
      <c r="H22" s="96" t="s">
        <v>123</v>
      </c>
      <c r="I22" s="96" t="s">
        <v>123</v>
      </c>
      <c r="J22" s="96" t="s">
        <v>123</v>
      </c>
      <c r="K22" s="96" t="s">
        <v>123</v>
      </c>
      <c r="L22" s="96" t="s">
        <v>123</v>
      </c>
      <c r="M22" s="96" t="s">
        <v>123</v>
      </c>
      <c r="N22" s="96" t="s">
        <v>123</v>
      </c>
      <c r="O22" s="96" t="s">
        <v>123</v>
      </c>
      <c r="P22" s="96" t="s">
        <v>123</v>
      </c>
      <c r="Q22" s="96" t="s">
        <v>123</v>
      </c>
      <c r="R22" s="96" t="s">
        <v>123</v>
      </c>
      <c r="S22" s="96" t="s">
        <v>123</v>
      </c>
      <c r="T22" s="96" t="s">
        <v>123</v>
      </c>
      <c r="U22" s="96" t="s">
        <v>123</v>
      </c>
      <c r="V22" s="96" t="s">
        <v>123</v>
      </c>
      <c r="W22" s="96" t="s">
        <v>123</v>
      </c>
      <c r="X22" s="96" t="s">
        <v>123</v>
      </c>
      <c r="Y22" s="96" t="s">
        <v>123</v>
      </c>
      <c r="Z22" s="96" t="s">
        <v>123</v>
      </c>
      <c r="AA22" s="96" t="s">
        <v>123</v>
      </c>
      <c r="AB22" s="96" t="s">
        <v>123</v>
      </c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88">
        <v>0</v>
      </c>
      <c r="BE22" s="88"/>
      <c r="BF22" s="88">
        <f t="shared" si="0"/>
        <v>0</v>
      </c>
      <c r="BG22" s="88">
        <v>46</v>
      </c>
      <c r="BH22" s="101">
        <f t="shared" si="1"/>
        <v>0</v>
      </c>
      <c r="BI22" s="374"/>
      <c r="BJ22" s="105">
        <f>OVERALL!A17</f>
        <v>14</v>
      </c>
      <c r="BK22" s="105">
        <f>OVERALL!B17</f>
        <v>2301250</v>
      </c>
      <c r="BL22" s="106" t="str">
        <f>OVERALL!C17</f>
        <v>Rahulpreet Singh Khinda</v>
      </c>
      <c r="BM22" s="107">
        <f t="shared" si="2"/>
        <v>46</v>
      </c>
      <c r="BN22" s="107">
        <f t="shared" si="3"/>
        <v>27</v>
      </c>
      <c r="BO22" s="108">
        <f t="shared" si="4"/>
        <v>58.695652173913039</v>
      </c>
      <c r="BP22" s="107" t="str">
        <f t="shared" si="5"/>
        <v>0</v>
      </c>
      <c r="BQ22" s="110">
        <v>5</v>
      </c>
      <c r="BR22" s="227">
        <v>8</v>
      </c>
      <c r="BS22" s="107">
        <f t="shared" si="6"/>
        <v>6.5</v>
      </c>
      <c r="BT22" s="229">
        <v>9</v>
      </c>
      <c r="BU22" s="230">
        <v>9</v>
      </c>
      <c r="BV22" s="230">
        <v>9</v>
      </c>
      <c r="BW22" s="108">
        <f t="shared" si="7"/>
        <v>9</v>
      </c>
      <c r="BX22" s="108">
        <v>5</v>
      </c>
      <c r="BY22" s="111">
        <f t="shared" si="8"/>
        <v>21</v>
      </c>
    </row>
    <row r="23" spans="1:77" ht="15.75" customHeight="1">
      <c r="A23" s="97">
        <f>OVERALL!A22</f>
        <v>19</v>
      </c>
      <c r="B23" s="98">
        <f>OVERALL!B22</f>
        <v>2301255</v>
      </c>
      <c r="C23" s="98" t="str">
        <f>OVERALL!C22</f>
        <v>Ravi Bhushan Kumar</v>
      </c>
      <c r="D23" s="96" t="s">
        <v>123</v>
      </c>
      <c r="E23" s="96" t="s">
        <v>123</v>
      </c>
      <c r="F23" s="96" t="s">
        <v>123</v>
      </c>
      <c r="G23" s="96" t="s">
        <v>124</v>
      </c>
      <c r="H23" s="96" t="s">
        <v>124</v>
      </c>
      <c r="I23" s="96" t="s">
        <v>124</v>
      </c>
      <c r="J23" s="96" t="s">
        <v>124</v>
      </c>
      <c r="K23" s="96" t="s">
        <v>124</v>
      </c>
      <c r="L23" s="96" t="s">
        <v>124</v>
      </c>
      <c r="M23" s="96" t="s">
        <v>124</v>
      </c>
      <c r="N23" s="96" t="s">
        <v>124</v>
      </c>
      <c r="O23" s="96" t="s">
        <v>124</v>
      </c>
      <c r="P23" s="96" t="s">
        <v>124</v>
      </c>
      <c r="Q23" s="96" t="s">
        <v>124</v>
      </c>
      <c r="R23" s="96" t="s">
        <v>124</v>
      </c>
      <c r="S23" s="96" t="s">
        <v>124</v>
      </c>
      <c r="T23" s="96" t="s">
        <v>124</v>
      </c>
      <c r="U23" s="96" t="s">
        <v>124</v>
      </c>
      <c r="V23" s="96" t="s">
        <v>124</v>
      </c>
      <c r="W23" s="96" t="s">
        <v>124</v>
      </c>
      <c r="X23" s="96" t="s">
        <v>124</v>
      </c>
      <c r="Y23" s="96" t="s">
        <v>124</v>
      </c>
      <c r="Z23" s="96" t="s">
        <v>124</v>
      </c>
      <c r="AA23" s="96" t="s">
        <v>124</v>
      </c>
      <c r="AB23" s="96" t="s">
        <v>124</v>
      </c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96"/>
      <c r="BD23" s="88">
        <v>38</v>
      </c>
      <c r="BE23" s="88"/>
      <c r="BF23" s="88">
        <f t="shared" si="0"/>
        <v>38</v>
      </c>
      <c r="BG23" s="88">
        <v>46</v>
      </c>
      <c r="BH23" s="101">
        <f t="shared" si="1"/>
        <v>0.82608695652173914</v>
      </c>
      <c r="BI23" s="374"/>
      <c r="BJ23" s="105">
        <f>OVERALL!A18</f>
        <v>15</v>
      </c>
      <c r="BK23" s="105">
        <f>OVERALL!B18</f>
        <v>2301251</v>
      </c>
      <c r="BL23" s="106" t="str">
        <f>OVERALL!C18</f>
        <v>Raj Kumar</v>
      </c>
      <c r="BM23" s="107">
        <f t="shared" si="2"/>
        <v>46</v>
      </c>
      <c r="BN23" s="107">
        <f t="shared" si="3"/>
        <v>36</v>
      </c>
      <c r="BO23" s="108">
        <f t="shared" si="4"/>
        <v>78.260869565217391</v>
      </c>
      <c r="BP23" s="107" t="str">
        <f t="shared" si="5"/>
        <v>2</v>
      </c>
      <c r="BQ23" s="110">
        <v>2</v>
      </c>
      <c r="BR23" s="227">
        <v>7</v>
      </c>
      <c r="BS23" s="107">
        <f t="shared" si="6"/>
        <v>4.5</v>
      </c>
      <c r="BT23" s="181">
        <v>6</v>
      </c>
      <c r="BU23" s="182">
        <v>6</v>
      </c>
      <c r="BV23" s="182">
        <v>8</v>
      </c>
      <c r="BW23" s="108">
        <f t="shared" si="7"/>
        <v>6.666666666666667</v>
      </c>
      <c r="BX23" s="108">
        <v>5</v>
      </c>
      <c r="BY23" s="111">
        <f t="shared" si="8"/>
        <v>18</v>
      </c>
    </row>
    <row r="24" spans="1:77" ht="17.25" customHeight="1">
      <c r="A24" s="97">
        <f>OVERALL!A23</f>
        <v>20</v>
      </c>
      <c r="B24" s="98">
        <f>OVERALL!B23</f>
        <v>2301256</v>
      </c>
      <c r="C24" s="98" t="str">
        <f>OVERALL!C23</f>
        <v>Reshma</v>
      </c>
      <c r="D24" s="96" t="s">
        <v>124</v>
      </c>
      <c r="E24" s="96" t="s">
        <v>124</v>
      </c>
      <c r="F24" s="96" t="s">
        <v>123</v>
      </c>
      <c r="G24" s="96" t="s">
        <v>124</v>
      </c>
      <c r="H24" s="96" t="s">
        <v>124</v>
      </c>
      <c r="I24" s="96" t="s">
        <v>124</v>
      </c>
      <c r="J24" s="96" t="s">
        <v>124</v>
      </c>
      <c r="K24" s="96" t="s">
        <v>124</v>
      </c>
      <c r="L24" s="96" t="s">
        <v>124</v>
      </c>
      <c r="M24" s="96" t="s">
        <v>124</v>
      </c>
      <c r="N24" s="96" t="s">
        <v>124</v>
      </c>
      <c r="O24" s="96" t="s">
        <v>124</v>
      </c>
      <c r="P24" s="96" t="s">
        <v>124</v>
      </c>
      <c r="Q24" s="96" t="s">
        <v>124</v>
      </c>
      <c r="R24" s="96" t="s">
        <v>123</v>
      </c>
      <c r="S24" s="96" t="s">
        <v>124</v>
      </c>
      <c r="T24" s="96" t="s">
        <v>123</v>
      </c>
      <c r="U24" s="96" t="s">
        <v>124</v>
      </c>
      <c r="V24" s="96" t="s">
        <v>124</v>
      </c>
      <c r="W24" s="96" t="s">
        <v>124</v>
      </c>
      <c r="X24" s="96" t="s">
        <v>124</v>
      </c>
      <c r="Y24" s="96" t="s">
        <v>124</v>
      </c>
      <c r="Z24" s="96" t="s">
        <v>124</v>
      </c>
      <c r="AA24" s="96" t="s">
        <v>124</v>
      </c>
      <c r="AB24" s="96" t="s">
        <v>123</v>
      </c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96"/>
      <c r="BD24" s="88">
        <v>36</v>
      </c>
      <c r="BE24" s="88">
        <v>0</v>
      </c>
      <c r="BF24" s="88">
        <f t="shared" si="0"/>
        <v>36</v>
      </c>
      <c r="BG24" s="88">
        <v>46</v>
      </c>
      <c r="BH24" s="101">
        <f t="shared" si="1"/>
        <v>0.78260869565217395</v>
      </c>
      <c r="BI24" s="374"/>
      <c r="BJ24" s="105">
        <f>OVERALL!A19</f>
        <v>16</v>
      </c>
      <c r="BK24" s="105">
        <f>OVERALL!B19</f>
        <v>2301252</v>
      </c>
      <c r="BL24" s="106" t="str">
        <f>OVERALL!C19</f>
        <v>Rajan Sharma</v>
      </c>
      <c r="BM24" s="107">
        <f t="shared" si="2"/>
        <v>46</v>
      </c>
      <c r="BN24" s="107">
        <f t="shared" si="3"/>
        <v>40</v>
      </c>
      <c r="BO24" s="108">
        <f t="shared" si="4"/>
        <v>86.956521739130437</v>
      </c>
      <c r="BP24" s="107" t="str">
        <f t="shared" si="5"/>
        <v>4</v>
      </c>
      <c r="BQ24" s="110">
        <v>10</v>
      </c>
      <c r="BR24" s="227">
        <v>6</v>
      </c>
      <c r="BS24" s="107">
        <f t="shared" si="6"/>
        <v>8</v>
      </c>
      <c r="BT24" s="181">
        <v>6</v>
      </c>
      <c r="BU24" s="228">
        <v>8</v>
      </c>
      <c r="BV24" s="228">
        <v>8</v>
      </c>
      <c r="BW24" s="108">
        <f t="shared" si="7"/>
        <v>7.333333333333333</v>
      </c>
      <c r="BX24" s="108">
        <v>5</v>
      </c>
      <c r="BY24" s="111">
        <f t="shared" si="8"/>
        <v>24</v>
      </c>
    </row>
    <row r="25" spans="1:77" ht="15.75" customHeight="1">
      <c r="A25" s="97">
        <f>OVERALL!A24</f>
        <v>21</v>
      </c>
      <c r="B25" s="98">
        <f>OVERALL!B24</f>
        <v>2301257</v>
      </c>
      <c r="C25" s="98" t="str">
        <f>OVERALL!C24</f>
        <v>Ritesh Kumar Choudhary</v>
      </c>
      <c r="D25" s="96" t="s">
        <v>123</v>
      </c>
      <c r="E25" s="96" t="s">
        <v>123</v>
      </c>
      <c r="F25" s="96" t="s">
        <v>123</v>
      </c>
      <c r="G25" s="96" t="s">
        <v>123</v>
      </c>
      <c r="H25" s="96" t="s">
        <v>123</v>
      </c>
      <c r="I25" s="96" t="s">
        <v>123</v>
      </c>
      <c r="J25" s="96" t="s">
        <v>123</v>
      </c>
      <c r="K25" s="96" t="s">
        <v>123</v>
      </c>
      <c r="L25" s="96" t="s">
        <v>123</v>
      </c>
      <c r="M25" s="96" t="s">
        <v>123</v>
      </c>
      <c r="N25" s="96" t="s">
        <v>123</v>
      </c>
      <c r="O25" s="96" t="s">
        <v>123</v>
      </c>
      <c r="P25" s="96" t="s">
        <v>123</v>
      </c>
      <c r="Q25" s="96" t="s">
        <v>123</v>
      </c>
      <c r="R25" s="96" t="s">
        <v>123</v>
      </c>
      <c r="S25" s="96" t="s">
        <v>123</v>
      </c>
      <c r="T25" s="96" t="s">
        <v>123</v>
      </c>
      <c r="U25" s="96" t="s">
        <v>123</v>
      </c>
      <c r="V25" s="96" t="s">
        <v>123</v>
      </c>
      <c r="W25" s="96" t="s">
        <v>123</v>
      </c>
      <c r="X25" s="96" t="s">
        <v>123</v>
      </c>
      <c r="Y25" s="96" t="s">
        <v>123</v>
      </c>
      <c r="Z25" s="96" t="s">
        <v>123</v>
      </c>
      <c r="AA25" s="96" t="s">
        <v>123</v>
      </c>
      <c r="AB25" s="96" t="s">
        <v>123</v>
      </c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96"/>
      <c r="BD25" s="88">
        <v>13</v>
      </c>
      <c r="BE25" s="88">
        <v>19</v>
      </c>
      <c r="BF25" s="88">
        <f t="shared" si="0"/>
        <v>32</v>
      </c>
      <c r="BG25" s="88">
        <v>46</v>
      </c>
      <c r="BH25" s="101">
        <f t="shared" si="1"/>
        <v>0.69565217391304346</v>
      </c>
      <c r="BI25" s="374"/>
      <c r="BJ25" s="105">
        <f>OVERALL!A20</f>
        <v>17</v>
      </c>
      <c r="BK25" s="105">
        <f>OVERALL!B20</f>
        <v>2301253</v>
      </c>
      <c r="BL25" s="106" t="str">
        <f>OVERALL!C20</f>
        <v>Rajwinder Kaur</v>
      </c>
      <c r="BM25" s="107">
        <f t="shared" si="2"/>
        <v>46</v>
      </c>
      <c r="BN25" s="107">
        <f t="shared" si="3"/>
        <v>36</v>
      </c>
      <c r="BO25" s="108">
        <f t="shared" si="4"/>
        <v>78.260869565217391</v>
      </c>
      <c r="BP25" s="107" t="str">
        <f t="shared" si="5"/>
        <v>2</v>
      </c>
      <c r="BQ25" s="110">
        <v>12</v>
      </c>
      <c r="BR25" s="227">
        <v>17</v>
      </c>
      <c r="BS25" s="107">
        <f t="shared" si="6"/>
        <v>14.5</v>
      </c>
      <c r="BT25" s="181">
        <v>7</v>
      </c>
      <c r="BU25" s="182">
        <v>8</v>
      </c>
      <c r="BV25" s="182">
        <v>8</v>
      </c>
      <c r="BW25" s="108">
        <f t="shared" si="7"/>
        <v>7.666666666666667</v>
      </c>
      <c r="BX25" s="108">
        <v>5</v>
      </c>
      <c r="BY25" s="111">
        <f t="shared" si="8"/>
        <v>29</v>
      </c>
    </row>
    <row r="26" spans="1:77" ht="15.75" customHeight="1">
      <c r="A26" s="97">
        <f>OVERALL!A25</f>
        <v>22</v>
      </c>
      <c r="B26" s="98">
        <f>OVERALL!B25</f>
        <v>2301258</v>
      </c>
      <c r="C26" s="98" t="str">
        <f>OVERALL!C25</f>
        <v>Ritesh Thakur</v>
      </c>
      <c r="D26" s="96" t="s">
        <v>123</v>
      </c>
      <c r="E26" s="96" t="s">
        <v>124</v>
      </c>
      <c r="F26" s="96" t="s">
        <v>124</v>
      </c>
      <c r="G26" s="96" t="s">
        <v>124</v>
      </c>
      <c r="H26" s="96" t="s">
        <v>123</v>
      </c>
      <c r="I26" s="96" t="s">
        <v>123</v>
      </c>
      <c r="J26" s="96" t="s">
        <v>123</v>
      </c>
      <c r="K26" s="96" t="s">
        <v>124</v>
      </c>
      <c r="L26" s="96" t="s">
        <v>124</v>
      </c>
      <c r="M26" s="96" t="s">
        <v>124</v>
      </c>
      <c r="N26" s="96" t="s">
        <v>123</v>
      </c>
      <c r="O26" s="96" t="s">
        <v>124</v>
      </c>
      <c r="P26" s="96" t="s">
        <v>123</v>
      </c>
      <c r="Q26" s="96" t="s">
        <v>123</v>
      </c>
      <c r="R26" s="96" t="s">
        <v>123</v>
      </c>
      <c r="S26" s="96" t="s">
        <v>124</v>
      </c>
      <c r="T26" s="96" t="s">
        <v>124</v>
      </c>
      <c r="U26" s="96" t="s">
        <v>123</v>
      </c>
      <c r="V26" s="96" t="s">
        <v>124</v>
      </c>
      <c r="W26" s="96" t="s">
        <v>123</v>
      </c>
      <c r="X26" s="96" t="s">
        <v>123</v>
      </c>
      <c r="Y26" s="96" t="s">
        <v>123</v>
      </c>
      <c r="Z26" s="96" t="s">
        <v>123</v>
      </c>
      <c r="AA26" s="96" t="s">
        <v>124</v>
      </c>
      <c r="AB26" s="96" t="s">
        <v>123</v>
      </c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88">
        <v>15</v>
      </c>
      <c r="BE26" s="88">
        <v>1</v>
      </c>
      <c r="BF26" s="88">
        <f t="shared" si="0"/>
        <v>16</v>
      </c>
      <c r="BG26" s="88">
        <v>46</v>
      </c>
      <c r="BH26" s="101">
        <f t="shared" si="1"/>
        <v>0.34782608695652173</v>
      </c>
      <c r="BI26" s="374"/>
      <c r="BJ26" s="105">
        <f>OVERALL!A21</f>
        <v>18</v>
      </c>
      <c r="BK26" s="105">
        <f>OVERALL!B21</f>
        <v>2301254</v>
      </c>
      <c r="BL26" s="106" t="str">
        <f>OVERALL!C21</f>
        <v>RANJIT SHAH KANU</v>
      </c>
      <c r="BM26" s="107">
        <f t="shared" si="2"/>
        <v>46</v>
      </c>
      <c r="BN26" s="107">
        <f t="shared" si="3"/>
        <v>0</v>
      </c>
      <c r="BO26" s="108">
        <f t="shared" si="4"/>
        <v>0</v>
      </c>
      <c r="BP26" s="107" t="str">
        <f t="shared" si="5"/>
        <v>0</v>
      </c>
      <c r="BQ26" s="46">
        <v>0</v>
      </c>
      <c r="BR26" s="227">
        <v>0</v>
      </c>
      <c r="BS26" s="107">
        <f t="shared" si="6"/>
        <v>0</v>
      </c>
      <c r="BT26" s="181">
        <v>0</v>
      </c>
      <c r="BU26" s="182">
        <v>0</v>
      </c>
      <c r="BV26" s="182">
        <v>0</v>
      </c>
      <c r="BW26" s="108">
        <f t="shared" si="7"/>
        <v>0</v>
      </c>
      <c r="BX26" s="108">
        <v>2</v>
      </c>
      <c r="BY26" s="111">
        <f t="shared" si="8"/>
        <v>2</v>
      </c>
    </row>
    <row r="27" spans="1:77" ht="15.75" customHeight="1">
      <c r="A27" s="97">
        <f>OVERALL!A26</f>
        <v>23</v>
      </c>
      <c r="B27" s="98">
        <f>OVERALL!B26</f>
        <v>2301259</v>
      </c>
      <c r="C27" s="98" t="str">
        <f>OVERALL!C26</f>
        <v>Riya Thakur</v>
      </c>
      <c r="D27" s="96" t="s">
        <v>124</v>
      </c>
      <c r="E27" s="96" t="s">
        <v>124</v>
      </c>
      <c r="F27" s="96" t="s">
        <v>124</v>
      </c>
      <c r="G27" s="96" t="s">
        <v>124</v>
      </c>
      <c r="H27" s="96" t="s">
        <v>124</v>
      </c>
      <c r="I27" s="96" t="s">
        <v>124</v>
      </c>
      <c r="J27" s="96" t="s">
        <v>124</v>
      </c>
      <c r="K27" s="96" t="s">
        <v>124</v>
      </c>
      <c r="L27" s="96" t="s">
        <v>124</v>
      </c>
      <c r="M27" s="96" t="s">
        <v>124</v>
      </c>
      <c r="N27" s="96" t="s">
        <v>124</v>
      </c>
      <c r="O27" s="96" t="s">
        <v>124</v>
      </c>
      <c r="P27" s="96" t="s">
        <v>124</v>
      </c>
      <c r="Q27" s="96" t="s">
        <v>124</v>
      </c>
      <c r="R27" s="96" t="s">
        <v>124</v>
      </c>
      <c r="S27" s="96" t="s">
        <v>123</v>
      </c>
      <c r="T27" s="96" t="s">
        <v>124</v>
      </c>
      <c r="U27" s="96" t="s">
        <v>124</v>
      </c>
      <c r="V27" s="96" t="s">
        <v>124</v>
      </c>
      <c r="W27" s="96" t="s">
        <v>124</v>
      </c>
      <c r="X27" s="96" t="s">
        <v>124</v>
      </c>
      <c r="Y27" s="96" t="s">
        <v>124</v>
      </c>
      <c r="Z27" s="96" t="s">
        <v>124</v>
      </c>
      <c r="AA27" s="96" t="s">
        <v>124</v>
      </c>
      <c r="AB27" s="96" t="s">
        <v>124</v>
      </c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88">
        <v>34</v>
      </c>
      <c r="BE27" s="88"/>
      <c r="BF27" s="88">
        <f t="shared" si="0"/>
        <v>34</v>
      </c>
      <c r="BG27" s="88">
        <v>46</v>
      </c>
      <c r="BH27" s="101">
        <f t="shared" si="1"/>
        <v>0.73913043478260865</v>
      </c>
      <c r="BI27" s="374"/>
      <c r="BJ27" s="105">
        <f>OVERALL!A22</f>
        <v>19</v>
      </c>
      <c r="BK27" s="105">
        <f>OVERALL!B22</f>
        <v>2301255</v>
      </c>
      <c r="BL27" s="106" t="str">
        <f>OVERALL!C22</f>
        <v>Ravi Bhushan Kumar</v>
      </c>
      <c r="BM27" s="107">
        <f t="shared" si="2"/>
        <v>46</v>
      </c>
      <c r="BN27" s="107">
        <f t="shared" si="3"/>
        <v>38</v>
      </c>
      <c r="BO27" s="108">
        <f t="shared" si="4"/>
        <v>82.608695652173907</v>
      </c>
      <c r="BP27" s="107" t="str">
        <f t="shared" si="5"/>
        <v>3</v>
      </c>
      <c r="BQ27" s="110">
        <v>14</v>
      </c>
      <c r="BR27" s="227">
        <v>3</v>
      </c>
      <c r="BS27" s="107">
        <f t="shared" si="6"/>
        <v>8.5</v>
      </c>
      <c r="BT27" s="181">
        <v>8</v>
      </c>
      <c r="BU27" s="182">
        <v>9</v>
      </c>
      <c r="BV27" s="182">
        <v>8</v>
      </c>
      <c r="BW27" s="108">
        <f t="shared" si="7"/>
        <v>8.3333333333333339</v>
      </c>
      <c r="BX27" s="108">
        <v>5</v>
      </c>
      <c r="BY27" s="111">
        <f t="shared" si="8"/>
        <v>25</v>
      </c>
    </row>
    <row r="28" spans="1:77" ht="15.75" customHeight="1">
      <c r="A28" s="97">
        <f>OVERALL!A27</f>
        <v>24</v>
      </c>
      <c r="B28" s="98">
        <f>OVERALL!B27</f>
        <v>2301260</v>
      </c>
      <c r="C28" s="98" t="str">
        <f>OVERALL!C27</f>
        <v>Rounit Dhiman</v>
      </c>
      <c r="D28" s="96" t="s">
        <v>123</v>
      </c>
      <c r="E28" s="96" t="s">
        <v>123</v>
      </c>
      <c r="F28" s="96" t="s">
        <v>123</v>
      </c>
      <c r="G28" s="96" t="s">
        <v>123</v>
      </c>
      <c r="H28" s="96" t="s">
        <v>123</v>
      </c>
      <c r="I28" s="96" t="s">
        <v>123</v>
      </c>
      <c r="J28" s="96" t="s">
        <v>123</v>
      </c>
      <c r="K28" s="96" t="s">
        <v>124</v>
      </c>
      <c r="L28" s="96" t="s">
        <v>123</v>
      </c>
      <c r="M28" s="96" t="s">
        <v>123</v>
      </c>
      <c r="N28" s="96" t="s">
        <v>123</v>
      </c>
      <c r="O28" s="96" t="s">
        <v>124</v>
      </c>
      <c r="P28" s="96" t="s">
        <v>124</v>
      </c>
      <c r="Q28" s="96" t="s">
        <v>124</v>
      </c>
      <c r="R28" s="96" t="s">
        <v>124</v>
      </c>
      <c r="S28" s="96" t="s">
        <v>124</v>
      </c>
      <c r="T28" s="96" t="s">
        <v>124</v>
      </c>
      <c r="U28" s="96" t="s">
        <v>124</v>
      </c>
      <c r="V28" s="96" t="s">
        <v>124</v>
      </c>
      <c r="W28" s="96" t="s">
        <v>124</v>
      </c>
      <c r="X28" s="96" t="s">
        <v>124</v>
      </c>
      <c r="Y28" s="96" t="s">
        <v>124</v>
      </c>
      <c r="Z28" s="96" t="s">
        <v>124</v>
      </c>
      <c r="AA28" s="96" t="s">
        <v>124</v>
      </c>
      <c r="AB28" s="96" t="s">
        <v>124</v>
      </c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88">
        <v>29</v>
      </c>
      <c r="BE28" s="88">
        <v>0</v>
      </c>
      <c r="BF28" s="88">
        <f t="shared" si="0"/>
        <v>29</v>
      </c>
      <c r="BG28" s="88">
        <v>46</v>
      </c>
      <c r="BH28" s="101">
        <f t="shared" si="1"/>
        <v>0.63043478260869568</v>
      </c>
      <c r="BI28" s="374"/>
      <c r="BJ28" s="105">
        <f>OVERALL!A23</f>
        <v>20</v>
      </c>
      <c r="BK28" s="105">
        <f>OVERALL!B23</f>
        <v>2301256</v>
      </c>
      <c r="BL28" s="106" t="str">
        <f>OVERALL!C23</f>
        <v>Reshma</v>
      </c>
      <c r="BM28" s="107">
        <f t="shared" si="2"/>
        <v>46</v>
      </c>
      <c r="BN28" s="107">
        <f t="shared" si="3"/>
        <v>36</v>
      </c>
      <c r="BO28" s="108">
        <f t="shared" si="4"/>
        <v>78.260869565217391</v>
      </c>
      <c r="BP28" s="107" t="str">
        <f t="shared" si="5"/>
        <v>2</v>
      </c>
      <c r="BQ28" s="110">
        <v>4</v>
      </c>
      <c r="BR28" s="227">
        <v>6</v>
      </c>
      <c r="BS28" s="107">
        <f t="shared" si="6"/>
        <v>5</v>
      </c>
      <c r="BT28" s="181">
        <v>9</v>
      </c>
      <c r="BU28" s="228">
        <v>9</v>
      </c>
      <c r="BV28" s="228">
        <v>8</v>
      </c>
      <c r="BW28" s="108">
        <f t="shared" si="7"/>
        <v>8.6666666666666661</v>
      </c>
      <c r="BX28" s="108">
        <v>5</v>
      </c>
      <c r="BY28" s="111">
        <f t="shared" si="8"/>
        <v>21</v>
      </c>
    </row>
    <row r="29" spans="1:77" ht="15.75" customHeight="1">
      <c r="A29" s="97">
        <f>OVERALL!A28</f>
        <v>25</v>
      </c>
      <c r="B29" s="98">
        <f>OVERALL!B28</f>
        <v>2301261</v>
      </c>
      <c r="C29" s="98" t="str">
        <f>OVERALL!C28</f>
        <v>Rubby Kumari</v>
      </c>
      <c r="D29" s="96" t="s">
        <v>123</v>
      </c>
      <c r="E29" s="96" t="s">
        <v>124</v>
      </c>
      <c r="F29" s="96" t="s">
        <v>124</v>
      </c>
      <c r="G29" s="96" t="s">
        <v>124</v>
      </c>
      <c r="H29" s="96" t="s">
        <v>123</v>
      </c>
      <c r="I29" s="96" t="s">
        <v>123</v>
      </c>
      <c r="J29" s="96" t="s">
        <v>123</v>
      </c>
      <c r="K29" s="96" t="s">
        <v>123</v>
      </c>
      <c r="L29" s="96" t="s">
        <v>123</v>
      </c>
      <c r="M29" s="96" t="s">
        <v>123</v>
      </c>
      <c r="N29" s="96" t="s">
        <v>123</v>
      </c>
      <c r="O29" s="96" t="s">
        <v>124</v>
      </c>
      <c r="P29" s="96" t="s">
        <v>124</v>
      </c>
      <c r="Q29" s="96" t="s">
        <v>123</v>
      </c>
      <c r="R29" s="96" t="s">
        <v>124</v>
      </c>
      <c r="S29" s="96" t="s">
        <v>123</v>
      </c>
      <c r="T29" s="96" t="s">
        <v>123</v>
      </c>
      <c r="U29" s="96" t="s">
        <v>123</v>
      </c>
      <c r="V29" s="96" t="s">
        <v>124</v>
      </c>
      <c r="W29" s="96" t="s">
        <v>123</v>
      </c>
      <c r="X29" s="96" t="s">
        <v>124</v>
      </c>
      <c r="Y29" s="96" t="s">
        <v>124</v>
      </c>
      <c r="Z29" s="96" t="s">
        <v>124</v>
      </c>
      <c r="AA29" s="96" t="s">
        <v>123</v>
      </c>
      <c r="AB29" s="96" t="s">
        <v>123</v>
      </c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88">
        <v>16</v>
      </c>
      <c r="BE29" s="88">
        <v>0</v>
      </c>
      <c r="BF29" s="88">
        <f t="shared" si="0"/>
        <v>16</v>
      </c>
      <c r="BG29" s="88">
        <v>46</v>
      </c>
      <c r="BH29" s="101">
        <f t="shared" si="1"/>
        <v>0.34782608695652173</v>
      </c>
      <c r="BI29" s="374"/>
      <c r="BJ29" s="105">
        <f>OVERALL!A24</f>
        <v>21</v>
      </c>
      <c r="BK29" s="105">
        <f>OVERALL!B24</f>
        <v>2301257</v>
      </c>
      <c r="BL29" s="106" t="str">
        <f>OVERALL!C24</f>
        <v>Ritesh Kumar Choudhary</v>
      </c>
      <c r="BM29" s="107">
        <f t="shared" si="2"/>
        <v>46</v>
      </c>
      <c r="BN29" s="107">
        <f t="shared" si="3"/>
        <v>32</v>
      </c>
      <c r="BO29" s="108">
        <f t="shared" si="4"/>
        <v>69.565217391304344</v>
      </c>
      <c r="BP29" s="107" t="str">
        <f t="shared" si="5"/>
        <v>0</v>
      </c>
      <c r="BQ29" s="110">
        <v>6</v>
      </c>
      <c r="BR29" s="224">
        <v>3</v>
      </c>
      <c r="BS29" s="107">
        <f t="shared" si="6"/>
        <v>4.5</v>
      </c>
      <c r="BT29" s="181">
        <v>8</v>
      </c>
      <c r="BU29" s="182">
        <v>8</v>
      </c>
      <c r="BV29" s="182">
        <v>8</v>
      </c>
      <c r="BW29" s="108">
        <f t="shared" si="7"/>
        <v>8</v>
      </c>
      <c r="BX29" s="108">
        <v>5</v>
      </c>
      <c r="BY29" s="111">
        <f t="shared" si="8"/>
        <v>18</v>
      </c>
    </row>
    <row r="30" spans="1:77" ht="15.75" customHeight="1">
      <c r="A30" s="97">
        <f>OVERALL!A29</f>
        <v>26</v>
      </c>
      <c r="B30" s="98">
        <f>OVERALL!B29</f>
        <v>2301262</v>
      </c>
      <c r="C30" s="98" t="str">
        <f>OVERALL!C29</f>
        <v>Sakshi Devi</v>
      </c>
      <c r="D30" s="96" t="s">
        <v>123</v>
      </c>
      <c r="E30" s="96" t="s">
        <v>123</v>
      </c>
      <c r="F30" s="96" t="s">
        <v>124</v>
      </c>
      <c r="G30" s="96" t="s">
        <v>124</v>
      </c>
      <c r="H30" s="96" t="s">
        <v>124</v>
      </c>
      <c r="I30" s="96" t="s">
        <v>123</v>
      </c>
      <c r="J30" s="96" t="s">
        <v>124</v>
      </c>
      <c r="K30" s="96" t="s">
        <v>124</v>
      </c>
      <c r="L30" s="96" t="s">
        <v>124</v>
      </c>
      <c r="M30" s="96" t="s">
        <v>124</v>
      </c>
      <c r="N30" s="96" t="s">
        <v>124</v>
      </c>
      <c r="O30" s="96" t="s">
        <v>124</v>
      </c>
      <c r="P30" s="96" t="s">
        <v>124</v>
      </c>
      <c r="Q30" s="96" t="s">
        <v>124</v>
      </c>
      <c r="R30" s="96" t="s">
        <v>124</v>
      </c>
      <c r="S30" s="96" t="s">
        <v>124</v>
      </c>
      <c r="T30" s="96" t="s">
        <v>124</v>
      </c>
      <c r="U30" s="96" t="s">
        <v>124</v>
      </c>
      <c r="V30" s="96" t="s">
        <v>124</v>
      </c>
      <c r="W30" s="96" t="s">
        <v>124</v>
      </c>
      <c r="X30" s="96" t="s">
        <v>124</v>
      </c>
      <c r="Y30" s="96" t="s">
        <v>124</v>
      </c>
      <c r="Z30" s="96" t="s">
        <v>124</v>
      </c>
      <c r="AA30" s="96" t="s">
        <v>124</v>
      </c>
      <c r="AB30" s="96" t="s">
        <v>124</v>
      </c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88">
        <v>35</v>
      </c>
      <c r="BE30" s="88"/>
      <c r="BF30" s="88">
        <f t="shared" si="0"/>
        <v>35</v>
      </c>
      <c r="BG30" s="88">
        <v>46</v>
      </c>
      <c r="BH30" s="101">
        <f t="shared" si="1"/>
        <v>0.76086956521739135</v>
      </c>
      <c r="BI30" s="374"/>
      <c r="BJ30" s="105">
        <f>OVERALL!A25</f>
        <v>22</v>
      </c>
      <c r="BK30" s="105">
        <f>OVERALL!B25</f>
        <v>2301258</v>
      </c>
      <c r="BL30" s="106" t="str">
        <f>OVERALL!C25</f>
        <v>Ritesh Thakur</v>
      </c>
      <c r="BM30" s="107">
        <f t="shared" si="2"/>
        <v>46</v>
      </c>
      <c r="BN30" s="107">
        <f t="shared" si="3"/>
        <v>16</v>
      </c>
      <c r="BO30" s="108">
        <f t="shared" si="4"/>
        <v>34.782608695652172</v>
      </c>
      <c r="BP30" s="107" t="str">
        <f t="shared" si="5"/>
        <v>0</v>
      </c>
      <c r="BQ30" s="110">
        <v>0</v>
      </c>
      <c r="BR30" s="227">
        <v>1</v>
      </c>
      <c r="BS30" s="107">
        <f t="shared" si="6"/>
        <v>0.5</v>
      </c>
      <c r="BT30" s="181">
        <v>0</v>
      </c>
      <c r="BU30" s="182">
        <v>0</v>
      </c>
      <c r="BV30" s="182">
        <v>0</v>
      </c>
      <c r="BW30" s="108">
        <f t="shared" si="7"/>
        <v>0</v>
      </c>
      <c r="BX30" s="108">
        <v>2</v>
      </c>
      <c r="BY30" s="111">
        <f t="shared" si="8"/>
        <v>3</v>
      </c>
    </row>
    <row r="31" spans="1:77" ht="15.75" customHeight="1">
      <c r="A31" s="97">
        <f>OVERALL!A30</f>
        <v>27</v>
      </c>
      <c r="B31" s="98">
        <f>OVERALL!B30</f>
        <v>2301263</v>
      </c>
      <c r="C31" s="98" t="str">
        <f>OVERALL!C30</f>
        <v>Sanchi Sharma</v>
      </c>
      <c r="D31" s="96" t="s">
        <v>124</v>
      </c>
      <c r="E31" s="96" t="s">
        <v>124</v>
      </c>
      <c r="F31" s="96" t="s">
        <v>124</v>
      </c>
      <c r="G31" s="96" t="s">
        <v>124</v>
      </c>
      <c r="H31" s="96" t="s">
        <v>124</v>
      </c>
      <c r="I31" s="96" t="s">
        <v>124</v>
      </c>
      <c r="J31" s="96" t="s">
        <v>124</v>
      </c>
      <c r="K31" s="96" t="s">
        <v>124</v>
      </c>
      <c r="L31" s="96" t="s">
        <v>124</v>
      </c>
      <c r="M31" s="96" t="s">
        <v>124</v>
      </c>
      <c r="N31" s="96" t="s">
        <v>124</v>
      </c>
      <c r="O31" s="96" t="s">
        <v>124</v>
      </c>
      <c r="P31" s="96" t="s">
        <v>124</v>
      </c>
      <c r="Q31" s="96" t="s">
        <v>124</v>
      </c>
      <c r="R31" s="96" t="s">
        <v>124</v>
      </c>
      <c r="S31" s="96" t="s">
        <v>124</v>
      </c>
      <c r="T31" s="96" t="s">
        <v>124</v>
      </c>
      <c r="U31" s="96" t="s">
        <v>124</v>
      </c>
      <c r="V31" s="96" t="s">
        <v>124</v>
      </c>
      <c r="W31" s="96" t="s">
        <v>123</v>
      </c>
      <c r="X31" s="96" t="s">
        <v>124</v>
      </c>
      <c r="Y31" s="96" t="s">
        <v>123</v>
      </c>
      <c r="Z31" s="96" t="s">
        <v>124</v>
      </c>
      <c r="AA31" s="96" t="s">
        <v>124</v>
      </c>
      <c r="AB31" s="96" t="s">
        <v>124</v>
      </c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96"/>
      <c r="AV31" s="96"/>
      <c r="AW31" s="96"/>
      <c r="AX31" s="96"/>
      <c r="AY31" s="96"/>
      <c r="AZ31" s="96"/>
      <c r="BA31" s="96"/>
      <c r="BB31" s="96"/>
      <c r="BC31" s="96"/>
      <c r="BD31" s="88">
        <v>40</v>
      </c>
      <c r="BE31" s="88"/>
      <c r="BF31" s="88">
        <f t="shared" si="0"/>
        <v>40</v>
      </c>
      <c r="BG31" s="88">
        <v>46</v>
      </c>
      <c r="BH31" s="101">
        <f t="shared" si="1"/>
        <v>0.86956521739130432</v>
      </c>
      <c r="BI31" s="374"/>
      <c r="BJ31" s="105">
        <f>OVERALL!A26</f>
        <v>23</v>
      </c>
      <c r="BK31" s="105">
        <f>OVERALL!B26</f>
        <v>2301259</v>
      </c>
      <c r="BL31" s="106" t="str">
        <f>OVERALL!C26</f>
        <v>Riya Thakur</v>
      </c>
      <c r="BM31" s="107">
        <f t="shared" si="2"/>
        <v>46</v>
      </c>
      <c r="BN31" s="107">
        <f t="shared" si="3"/>
        <v>34</v>
      </c>
      <c r="BO31" s="108">
        <f t="shared" si="4"/>
        <v>73.91304347826086</v>
      </c>
      <c r="BP31" s="107" t="str">
        <f t="shared" si="5"/>
        <v>0</v>
      </c>
      <c r="BQ31" s="110">
        <v>10</v>
      </c>
      <c r="BR31" s="227">
        <v>3</v>
      </c>
      <c r="BS31" s="107">
        <f t="shared" si="6"/>
        <v>6.5</v>
      </c>
      <c r="BT31" s="181">
        <v>6</v>
      </c>
      <c r="BU31" s="182">
        <v>8</v>
      </c>
      <c r="BV31" s="182">
        <v>8</v>
      </c>
      <c r="BW31" s="108">
        <f t="shared" si="7"/>
        <v>7.333333333333333</v>
      </c>
      <c r="BX31" s="108">
        <v>5</v>
      </c>
      <c r="BY31" s="111">
        <f t="shared" si="8"/>
        <v>19</v>
      </c>
    </row>
    <row r="32" spans="1:77" ht="15.75" customHeight="1">
      <c r="A32" s="97">
        <f>OVERALL!A31</f>
        <v>28</v>
      </c>
      <c r="B32" s="98">
        <f>OVERALL!B31</f>
        <v>2301264</v>
      </c>
      <c r="C32" s="98" t="str">
        <f>OVERALL!C31</f>
        <v>Sarbjit Singh</v>
      </c>
      <c r="D32" s="96" t="s">
        <v>124</v>
      </c>
      <c r="E32" s="96" t="s">
        <v>124</v>
      </c>
      <c r="F32" s="96" t="s">
        <v>124</v>
      </c>
      <c r="G32" s="96" t="s">
        <v>123</v>
      </c>
      <c r="H32" s="96" t="s">
        <v>123</v>
      </c>
      <c r="I32" s="96" t="s">
        <v>123</v>
      </c>
      <c r="J32" s="96" t="s">
        <v>124</v>
      </c>
      <c r="K32" s="96" t="s">
        <v>124</v>
      </c>
      <c r="L32" s="96" t="s">
        <v>124</v>
      </c>
      <c r="M32" s="96" t="s">
        <v>124</v>
      </c>
      <c r="N32" s="96" t="s">
        <v>123</v>
      </c>
      <c r="O32" s="96" t="s">
        <v>124</v>
      </c>
      <c r="P32" s="96" t="s">
        <v>123</v>
      </c>
      <c r="Q32" s="96" t="s">
        <v>124</v>
      </c>
      <c r="R32" s="96" t="s">
        <v>124</v>
      </c>
      <c r="S32" s="96" t="s">
        <v>124</v>
      </c>
      <c r="T32" s="96" t="s">
        <v>124</v>
      </c>
      <c r="U32" s="96" t="s">
        <v>124</v>
      </c>
      <c r="V32" s="96" t="s">
        <v>124</v>
      </c>
      <c r="W32" s="96" t="s">
        <v>124</v>
      </c>
      <c r="X32" s="96" t="s">
        <v>124</v>
      </c>
      <c r="Y32" s="96" t="s">
        <v>123</v>
      </c>
      <c r="Z32" s="96" t="s">
        <v>123</v>
      </c>
      <c r="AA32" s="96" t="s">
        <v>123</v>
      </c>
      <c r="AB32" s="96" t="s">
        <v>123</v>
      </c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96"/>
      <c r="AV32" s="96"/>
      <c r="AW32" s="96"/>
      <c r="AX32" s="96"/>
      <c r="AY32" s="96"/>
      <c r="AZ32" s="96"/>
      <c r="BA32" s="96"/>
      <c r="BB32" s="96"/>
      <c r="BC32" s="96"/>
      <c r="BD32" s="88">
        <v>22</v>
      </c>
      <c r="BE32" s="88"/>
      <c r="BF32" s="88">
        <f t="shared" si="0"/>
        <v>22</v>
      </c>
      <c r="BG32" s="88">
        <v>46</v>
      </c>
      <c r="BH32" s="101">
        <f t="shared" si="1"/>
        <v>0.47826086956521741</v>
      </c>
      <c r="BI32" s="374"/>
      <c r="BJ32" s="105">
        <f>OVERALL!A27</f>
        <v>24</v>
      </c>
      <c r="BK32" s="105">
        <f>OVERALL!B27</f>
        <v>2301260</v>
      </c>
      <c r="BL32" s="106" t="str">
        <f>OVERALL!C27</f>
        <v>Rounit Dhiman</v>
      </c>
      <c r="BM32" s="107">
        <f t="shared" si="2"/>
        <v>46</v>
      </c>
      <c r="BN32" s="107">
        <f t="shared" si="3"/>
        <v>29</v>
      </c>
      <c r="BO32" s="108">
        <f t="shared" si="4"/>
        <v>63.043478260869563</v>
      </c>
      <c r="BP32" s="107" t="str">
        <f t="shared" si="5"/>
        <v>0</v>
      </c>
      <c r="BQ32" s="110">
        <v>2</v>
      </c>
      <c r="BR32" s="227">
        <v>11</v>
      </c>
      <c r="BS32" s="107">
        <f t="shared" si="6"/>
        <v>6.5</v>
      </c>
      <c r="BT32" s="181">
        <v>6</v>
      </c>
      <c r="BU32" s="182">
        <v>9</v>
      </c>
      <c r="BV32" s="182">
        <v>9</v>
      </c>
      <c r="BW32" s="108">
        <f t="shared" si="7"/>
        <v>8</v>
      </c>
      <c r="BX32" s="108">
        <v>5</v>
      </c>
      <c r="BY32" s="111">
        <f t="shared" si="8"/>
        <v>20</v>
      </c>
    </row>
    <row r="33" spans="1:77" ht="15.75" customHeight="1">
      <c r="A33" s="97">
        <f>OVERALL!A32</f>
        <v>29</v>
      </c>
      <c r="B33" s="98">
        <f>OVERALL!B32</f>
        <v>2301265</v>
      </c>
      <c r="C33" s="98" t="str">
        <f>OVERALL!C32</f>
        <v>Sarif Mayangmayum</v>
      </c>
      <c r="D33" s="96" t="s">
        <v>123</v>
      </c>
      <c r="E33" s="96" t="s">
        <v>124</v>
      </c>
      <c r="F33" s="96" t="s">
        <v>124</v>
      </c>
      <c r="G33" s="96" t="s">
        <v>124</v>
      </c>
      <c r="H33" s="96" t="s">
        <v>123</v>
      </c>
      <c r="I33" s="96" t="s">
        <v>124</v>
      </c>
      <c r="J33" s="96" t="s">
        <v>124</v>
      </c>
      <c r="K33" s="96" t="s">
        <v>124</v>
      </c>
      <c r="L33" s="96" t="s">
        <v>124</v>
      </c>
      <c r="M33" s="96" t="s">
        <v>124</v>
      </c>
      <c r="N33" s="96" t="s">
        <v>124</v>
      </c>
      <c r="O33" s="96" t="s">
        <v>124</v>
      </c>
      <c r="P33" s="96" t="s">
        <v>124</v>
      </c>
      <c r="Q33" s="96" t="s">
        <v>124</v>
      </c>
      <c r="R33" s="96" t="s">
        <v>124</v>
      </c>
      <c r="S33" s="96" t="s">
        <v>124</v>
      </c>
      <c r="T33" s="96" t="s">
        <v>124</v>
      </c>
      <c r="U33" s="96" t="s">
        <v>123</v>
      </c>
      <c r="V33" s="96" t="s">
        <v>124</v>
      </c>
      <c r="W33" s="96" t="s">
        <v>124</v>
      </c>
      <c r="X33" s="96" t="s">
        <v>123</v>
      </c>
      <c r="Y33" s="96" t="s">
        <v>124</v>
      </c>
      <c r="Z33" s="96" t="s">
        <v>123</v>
      </c>
      <c r="AA33" s="96" t="s">
        <v>123</v>
      </c>
      <c r="AB33" s="96" t="s">
        <v>123</v>
      </c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96"/>
      <c r="AV33" s="96"/>
      <c r="AW33" s="96"/>
      <c r="AX33" s="96"/>
      <c r="AY33" s="96"/>
      <c r="AZ33" s="96"/>
      <c r="BA33" s="96"/>
      <c r="BB33" s="96"/>
      <c r="BC33" s="96"/>
      <c r="BD33" s="88">
        <v>29</v>
      </c>
      <c r="BE33" s="88">
        <v>6</v>
      </c>
      <c r="BF33" s="88">
        <f t="shared" si="0"/>
        <v>35</v>
      </c>
      <c r="BG33" s="88">
        <v>46</v>
      </c>
      <c r="BH33" s="101">
        <f t="shared" si="1"/>
        <v>0.76086956521739135</v>
      </c>
      <c r="BI33" s="374"/>
      <c r="BJ33" s="105">
        <f>OVERALL!A28</f>
        <v>25</v>
      </c>
      <c r="BK33" s="105">
        <f>OVERALL!B28</f>
        <v>2301261</v>
      </c>
      <c r="BL33" s="106" t="str">
        <f>OVERALL!C28</f>
        <v>Rubby Kumari</v>
      </c>
      <c r="BM33" s="107">
        <f t="shared" si="2"/>
        <v>46</v>
      </c>
      <c r="BN33" s="107">
        <f t="shared" si="3"/>
        <v>16</v>
      </c>
      <c r="BO33" s="108">
        <f t="shared" si="4"/>
        <v>34.782608695652172</v>
      </c>
      <c r="BP33" s="107" t="str">
        <f t="shared" si="5"/>
        <v>0</v>
      </c>
      <c r="BQ33" s="110">
        <v>10</v>
      </c>
      <c r="BR33" s="227">
        <v>10</v>
      </c>
      <c r="BS33" s="107">
        <f t="shared" si="6"/>
        <v>10</v>
      </c>
      <c r="BT33" s="181">
        <v>6</v>
      </c>
      <c r="BU33" s="182">
        <v>0</v>
      </c>
      <c r="BV33" s="182">
        <v>0</v>
      </c>
      <c r="BW33" s="108">
        <f t="shared" si="7"/>
        <v>2</v>
      </c>
      <c r="BX33" s="108">
        <v>5</v>
      </c>
      <c r="BY33" s="111">
        <f t="shared" si="8"/>
        <v>17</v>
      </c>
    </row>
    <row r="34" spans="1:77" ht="15.75" customHeight="1">
      <c r="A34" s="97">
        <f>OVERALL!A33</f>
        <v>30</v>
      </c>
      <c r="B34" s="98">
        <f>OVERALL!B33</f>
        <v>2301267</v>
      </c>
      <c r="C34" s="98" t="str">
        <f>OVERALL!C33</f>
        <v>Shivam Kumar Chaubey</v>
      </c>
      <c r="D34" s="96" t="s">
        <v>124</v>
      </c>
      <c r="E34" s="96" t="s">
        <v>124</v>
      </c>
      <c r="F34" s="96" t="s">
        <v>124</v>
      </c>
      <c r="G34" s="96" t="s">
        <v>124</v>
      </c>
      <c r="H34" s="96" t="s">
        <v>124</v>
      </c>
      <c r="I34" s="96" t="s">
        <v>124</v>
      </c>
      <c r="J34" s="96" t="s">
        <v>124</v>
      </c>
      <c r="K34" s="96" t="s">
        <v>124</v>
      </c>
      <c r="L34" s="96" t="s">
        <v>124</v>
      </c>
      <c r="M34" s="96" t="s">
        <v>124</v>
      </c>
      <c r="N34" s="96" t="s">
        <v>124</v>
      </c>
      <c r="O34" s="96" t="s">
        <v>124</v>
      </c>
      <c r="P34" s="96" t="s">
        <v>123</v>
      </c>
      <c r="Q34" s="96" t="s">
        <v>124</v>
      </c>
      <c r="R34" s="96" t="s">
        <v>124</v>
      </c>
      <c r="S34" s="96" t="s">
        <v>124</v>
      </c>
      <c r="T34" s="96" t="s">
        <v>124</v>
      </c>
      <c r="U34" s="96" t="s">
        <v>124</v>
      </c>
      <c r="V34" s="96" t="s">
        <v>124</v>
      </c>
      <c r="W34" s="96" t="s">
        <v>124</v>
      </c>
      <c r="X34" s="96" t="s">
        <v>124</v>
      </c>
      <c r="Y34" s="96" t="s">
        <v>124</v>
      </c>
      <c r="Z34" s="96" t="s">
        <v>124</v>
      </c>
      <c r="AA34" s="96" t="s">
        <v>124</v>
      </c>
      <c r="AB34" s="96" t="s">
        <v>123</v>
      </c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96"/>
      <c r="AV34" s="96"/>
      <c r="AW34" s="96"/>
      <c r="AX34" s="96"/>
      <c r="AY34" s="96"/>
      <c r="AZ34" s="96"/>
      <c r="BA34" s="96"/>
      <c r="BB34" s="96"/>
      <c r="BC34" s="96"/>
      <c r="BD34" s="88">
        <v>38</v>
      </c>
      <c r="BE34" s="88"/>
      <c r="BF34" s="88">
        <f t="shared" si="0"/>
        <v>38</v>
      </c>
      <c r="BG34" s="88">
        <v>46</v>
      </c>
      <c r="BH34" s="101">
        <f t="shared" si="1"/>
        <v>0.82608695652173914</v>
      </c>
      <c r="BI34" s="374"/>
      <c r="BJ34" s="105">
        <f>OVERALL!A29</f>
        <v>26</v>
      </c>
      <c r="BK34" s="105">
        <f>OVERALL!B29</f>
        <v>2301262</v>
      </c>
      <c r="BL34" s="106" t="str">
        <f>OVERALL!C29</f>
        <v>Sakshi Devi</v>
      </c>
      <c r="BM34" s="107">
        <f t="shared" si="2"/>
        <v>46</v>
      </c>
      <c r="BN34" s="107">
        <f t="shared" si="3"/>
        <v>35</v>
      </c>
      <c r="BO34" s="108">
        <f t="shared" si="4"/>
        <v>76.086956521739125</v>
      </c>
      <c r="BP34" s="107" t="str">
        <f t="shared" si="5"/>
        <v>2</v>
      </c>
      <c r="BQ34" s="110">
        <v>10</v>
      </c>
      <c r="BR34" s="227">
        <v>10</v>
      </c>
      <c r="BS34" s="107">
        <f t="shared" si="6"/>
        <v>10</v>
      </c>
      <c r="BT34" s="181">
        <v>6</v>
      </c>
      <c r="BU34" s="182">
        <v>7</v>
      </c>
      <c r="BV34" s="182">
        <v>8</v>
      </c>
      <c r="BW34" s="108">
        <f t="shared" si="7"/>
        <v>7</v>
      </c>
      <c r="BX34" s="108">
        <v>5</v>
      </c>
      <c r="BY34" s="111">
        <f t="shared" si="8"/>
        <v>24</v>
      </c>
    </row>
    <row r="35" spans="1:77" ht="15.75" customHeight="1">
      <c r="A35" s="97">
        <f>OVERALL!A34</f>
        <v>31</v>
      </c>
      <c r="B35" s="98">
        <f>OVERALL!B34</f>
        <v>2301268</v>
      </c>
      <c r="C35" s="98" t="str">
        <f>OVERALL!C34</f>
        <v>Simba Godfrey</v>
      </c>
      <c r="D35" s="96" t="s">
        <v>124</v>
      </c>
      <c r="E35" s="96" t="s">
        <v>124</v>
      </c>
      <c r="F35" s="96" t="s">
        <v>124</v>
      </c>
      <c r="G35" s="96" t="s">
        <v>124</v>
      </c>
      <c r="H35" s="96" t="s">
        <v>124</v>
      </c>
      <c r="I35" s="96" t="s">
        <v>124</v>
      </c>
      <c r="J35" s="96" t="s">
        <v>124</v>
      </c>
      <c r="K35" s="96" t="s">
        <v>124</v>
      </c>
      <c r="L35" s="96" t="s">
        <v>124</v>
      </c>
      <c r="M35" s="96" t="s">
        <v>124</v>
      </c>
      <c r="N35" s="96" t="s">
        <v>124</v>
      </c>
      <c r="O35" s="96" t="s">
        <v>124</v>
      </c>
      <c r="P35" s="96" t="s">
        <v>123</v>
      </c>
      <c r="Q35" s="96" t="s">
        <v>124</v>
      </c>
      <c r="R35" s="96" t="s">
        <v>124</v>
      </c>
      <c r="S35" s="96" t="s">
        <v>124</v>
      </c>
      <c r="T35" s="96" t="s">
        <v>124</v>
      </c>
      <c r="U35" s="96" t="s">
        <v>124</v>
      </c>
      <c r="V35" s="96" t="s">
        <v>124</v>
      </c>
      <c r="W35" s="96" t="s">
        <v>124</v>
      </c>
      <c r="X35" s="96" t="s">
        <v>124</v>
      </c>
      <c r="Y35" s="96" t="s">
        <v>124</v>
      </c>
      <c r="Z35" s="96" t="s">
        <v>124</v>
      </c>
      <c r="AA35" s="96" t="s">
        <v>124</v>
      </c>
      <c r="AB35" s="96" t="s">
        <v>124</v>
      </c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88">
        <v>33</v>
      </c>
      <c r="BE35" s="88"/>
      <c r="BF35" s="88">
        <f t="shared" si="0"/>
        <v>33</v>
      </c>
      <c r="BG35" s="88">
        <v>46</v>
      </c>
      <c r="BH35" s="101">
        <f t="shared" si="1"/>
        <v>0.71739130434782605</v>
      </c>
      <c r="BI35" s="374"/>
      <c r="BJ35" s="105">
        <f>OVERALL!A30</f>
        <v>27</v>
      </c>
      <c r="BK35" s="105">
        <f>OVERALL!B30</f>
        <v>2301263</v>
      </c>
      <c r="BL35" s="106" t="str">
        <f>OVERALL!C30</f>
        <v>Sanchi Sharma</v>
      </c>
      <c r="BM35" s="107">
        <f t="shared" si="2"/>
        <v>46</v>
      </c>
      <c r="BN35" s="107">
        <f t="shared" si="3"/>
        <v>40</v>
      </c>
      <c r="BO35" s="108">
        <f t="shared" si="4"/>
        <v>86.956521739130437</v>
      </c>
      <c r="BP35" s="107" t="str">
        <f t="shared" si="5"/>
        <v>4</v>
      </c>
      <c r="BQ35" s="110">
        <v>10</v>
      </c>
      <c r="BR35" s="227">
        <v>8</v>
      </c>
      <c r="BS35" s="107">
        <f t="shared" si="6"/>
        <v>9</v>
      </c>
      <c r="BT35" s="181">
        <v>8</v>
      </c>
      <c r="BU35" s="182">
        <v>7</v>
      </c>
      <c r="BV35" s="182">
        <v>8</v>
      </c>
      <c r="BW35" s="108">
        <f t="shared" si="7"/>
        <v>7.666666666666667</v>
      </c>
      <c r="BX35" s="108">
        <v>5</v>
      </c>
      <c r="BY35" s="111">
        <f t="shared" si="8"/>
        <v>26</v>
      </c>
    </row>
    <row r="36" spans="1:77" ht="15.75" customHeight="1">
      <c r="A36" s="97">
        <f>OVERALL!A35</f>
        <v>32</v>
      </c>
      <c r="B36" s="98">
        <f>OVERALL!B35</f>
        <v>2301269</v>
      </c>
      <c r="C36" s="98" t="str">
        <f>OVERALL!C35</f>
        <v>Simran Kaur</v>
      </c>
      <c r="D36" s="96" t="s">
        <v>123</v>
      </c>
      <c r="E36" s="96" t="s">
        <v>124</v>
      </c>
      <c r="F36" s="96" t="s">
        <v>124</v>
      </c>
      <c r="G36" s="96" t="s">
        <v>124</v>
      </c>
      <c r="H36" s="96" t="s">
        <v>124</v>
      </c>
      <c r="I36" s="96" t="s">
        <v>124</v>
      </c>
      <c r="J36" s="96" t="s">
        <v>124</v>
      </c>
      <c r="K36" s="96" t="s">
        <v>124</v>
      </c>
      <c r="L36" s="96" t="s">
        <v>124</v>
      </c>
      <c r="M36" s="96" t="s">
        <v>124</v>
      </c>
      <c r="N36" s="96" t="s">
        <v>124</v>
      </c>
      <c r="O36" s="96" t="s">
        <v>124</v>
      </c>
      <c r="P36" s="96" t="s">
        <v>124</v>
      </c>
      <c r="Q36" s="96" t="s">
        <v>124</v>
      </c>
      <c r="R36" s="96" t="s">
        <v>124</v>
      </c>
      <c r="S36" s="96" t="s">
        <v>124</v>
      </c>
      <c r="T36" s="96" t="s">
        <v>124</v>
      </c>
      <c r="U36" s="96" t="s">
        <v>124</v>
      </c>
      <c r="V36" s="96" t="s">
        <v>124</v>
      </c>
      <c r="W36" s="96" t="s">
        <v>124</v>
      </c>
      <c r="X36" s="96" t="s">
        <v>124</v>
      </c>
      <c r="Y36" s="96" t="s">
        <v>123</v>
      </c>
      <c r="Z36" s="96" t="s">
        <v>124</v>
      </c>
      <c r="AA36" s="96" t="s">
        <v>123</v>
      </c>
      <c r="AB36" s="96" t="s">
        <v>124</v>
      </c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88">
        <v>35</v>
      </c>
      <c r="BE36" s="88"/>
      <c r="BF36" s="88">
        <f t="shared" si="0"/>
        <v>35</v>
      </c>
      <c r="BG36" s="88">
        <v>46</v>
      </c>
      <c r="BH36" s="101">
        <f t="shared" si="1"/>
        <v>0.76086956521739135</v>
      </c>
      <c r="BI36" s="374"/>
      <c r="BJ36" s="105">
        <f>OVERALL!A31</f>
        <v>28</v>
      </c>
      <c r="BK36" s="105">
        <f>OVERALL!B31</f>
        <v>2301264</v>
      </c>
      <c r="BL36" s="106" t="str">
        <f>OVERALL!C31</f>
        <v>Sarbjit Singh</v>
      </c>
      <c r="BM36" s="107">
        <f t="shared" si="2"/>
        <v>46</v>
      </c>
      <c r="BN36" s="107">
        <f t="shared" si="3"/>
        <v>22</v>
      </c>
      <c r="BO36" s="108">
        <f t="shared" si="4"/>
        <v>47.826086956521735</v>
      </c>
      <c r="BP36" s="107" t="str">
        <f t="shared" si="5"/>
        <v>0</v>
      </c>
      <c r="BQ36" s="110">
        <v>0</v>
      </c>
      <c r="BR36" s="227">
        <v>8</v>
      </c>
      <c r="BS36" s="107">
        <f t="shared" si="6"/>
        <v>4</v>
      </c>
      <c r="BT36" s="181">
        <v>8</v>
      </c>
      <c r="BU36" s="182">
        <v>8</v>
      </c>
      <c r="BV36" s="182">
        <v>8</v>
      </c>
      <c r="BW36" s="108">
        <f t="shared" si="7"/>
        <v>8</v>
      </c>
      <c r="BX36" s="108">
        <v>5</v>
      </c>
      <c r="BY36" s="111">
        <f t="shared" si="8"/>
        <v>17</v>
      </c>
    </row>
    <row r="37" spans="1:77" ht="15.75" customHeight="1">
      <c r="A37" s="97">
        <f>OVERALL!A36</f>
        <v>33</v>
      </c>
      <c r="B37" s="98">
        <f>OVERALL!B36</f>
        <v>2301270</v>
      </c>
      <c r="C37" s="98" t="str">
        <f>OVERALL!C36</f>
        <v>Simranjit Singh</v>
      </c>
      <c r="D37" s="96" t="s">
        <v>124</v>
      </c>
      <c r="E37" s="96" t="s">
        <v>124</v>
      </c>
      <c r="F37" s="96" t="s">
        <v>124</v>
      </c>
      <c r="G37" s="96" t="s">
        <v>124</v>
      </c>
      <c r="H37" s="96" t="s">
        <v>124</v>
      </c>
      <c r="I37" s="96" t="s">
        <v>124</v>
      </c>
      <c r="J37" s="96" t="s">
        <v>123</v>
      </c>
      <c r="K37" s="96" t="s">
        <v>124</v>
      </c>
      <c r="L37" s="96" t="s">
        <v>124</v>
      </c>
      <c r="M37" s="96" t="s">
        <v>124</v>
      </c>
      <c r="N37" s="96" t="s">
        <v>123</v>
      </c>
      <c r="O37" s="96" t="s">
        <v>124</v>
      </c>
      <c r="P37" s="96" t="s">
        <v>123</v>
      </c>
      <c r="Q37" s="96" t="s">
        <v>124</v>
      </c>
      <c r="R37" s="96" t="s">
        <v>123</v>
      </c>
      <c r="S37" s="96" t="s">
        <v>124</v>
      </c>
      <c r="T37" s="96" t="s">
        <v>124</v>
      </c>
      <c r="U37" s="96" t="s">
        <v>124</v>
      </c>
      <c r="V37" s="96" t="s">
        <v>123</v>
      </c>
      <c r="W37" s="96" t="s">
        <v>124</v>
      </c>
      <c r="X37" s="96" t="s">
        <v>124</v>
      </c>
      <c r="Y37" s="96" t="s">
        <v>124</v>
      </c>
      <c r="Z37" s="96" t="s">
        <v>124</v>
      </c>
      <c r="AA37" s="96" t="s">
        <v>123</v>
      </c>
      <c r="AB37" s="96" t="s">
        <v>123</v>
      </c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88">
        <v>22</v>
      </c>
      <c r="BE37" s="88">
        <v>6</v>
      </c>
      <c r="BF37" s="88">
        <f t="shared" si="0"/>
        <v>28</v>
      </c>
      <c r="BG37" s="88">
        <v>46</v>
      </c>
      <c r="BH37" s="101">
        <f t="shared" si="1"/>
        <v>0.60869565217391308</v>
      </c>
      <c r="BI37" s="374"/>
      <c r="BJ37" s="105">
        <f>OVERALL!A32</f>
        <v>29</v>
      </c>
      <c r="BK37" s="105">
        <f>OVERALL!B32</f>
        <v>2301265</v>
      </c>
      <c r="BL37" s="106" t="str">
        <f>OVERALL!C32</f>
        <v>Sarif Mayangmayum</v>
      </c>
      <c r="BM37" s="107">
        <f t="shared" si="2"/>
        <v>46</v>
      </c>
      <c r="BN37" s="107">
        <f t="shared" si="3"/>
        <v>35</v>
      </c>
      <c r="BO37" s="108">
        <f t="shared" si="4"/>
        <v>76.086956521739125</v>
      </c>
      <c r="BP37" s="107" t="str">
        <f t="shared" si="5"/>
        <v>2</v>
      </c>
      <c r="BQ37" s="110">
        <v>10</v>
      </c>
      <c r="BR37" s="227">
        <v>2</v>
      </c>
      <c r="BS37" s="107">
        <f t="shared" si="6"/>
        <v>6</v>
      </c>
      <c r="BT37" s="181">
        <v>9</v>
      </c>
      <c r="BU37" s="182">
        <v>9</v>
      </c>
      <c r="BV37" s="182">
        <v>9</v>
      </c>
      <c r="BW37" s="108">
        <f t="shared" si="7"/>
        <v>9</v>
      </c>
      <c r="BX37" s="108">
        <v>5</v>
      </c>
      <c r="BY37" s="111">
        <f t="shared" si="8"/>
        <v>22</v>
      </c>
    </row>
    <row r="38" spans="1:77" ht="15.75" customHeight="1">
      <c r="A38" s="97">
        <f>OVERALL!A37</f>
        <v>34</v>
      </c>
      <c r="B38" s="98">
        <f>OVERALL!B37</f>
        <v>2301271</v>
      </c>
      <c r="C38" s="98" t="str">
        <f>OVERALL!C37</f>
        <v>Sudip Sunar</v>
      </c>
      <c r="D38" s="96" t="s">
        <v>123</v>
      </c>
      <c r="E38" s="96" t="s">
        <v>123</v>
      </c>
      <c r="F38" s="96" t="s">
        <v>123</v>
      </c>
      <c r="G38" s="96" t="s">
        <v>123</v>
      </c>
      <c r="H38" s="96" t="s">
        <v>124</v>
      </c>
      <c r="I38" s="96" t="s">
        <v>124</v>
      </c>
      <c r="J38" s="96" t="s">
        <v>124</v>
      </c>
      <c r="K38" s="96" t="s">
        <v>124</v>
      </c>
      <c r="L38" s="96" t="s">
        <v>124</v>
      </c>
      <c r="M38" s="96" t="s">
        <v>124</v>
      </c>
      <c r="N38" s="96" t="s">
        <v>124</v>
      </c>
      <c r="O38" s="96" t="s">
        <v>124</v>
      </c>
      <c r="P38" s="96" t="s">
        <v>124</v>
      </c>
      <c r="Q38" s="96" t="s">
        <v>124</v>
      </c>
      <c r="R38" s="96" t="s">
        <v>124</v>
      </c>
      <c r="S38" s="96" t="s">
        <v>124</v>
      </c>
      <c r="T38" s="96" t="s">
        <v>124</v>
      </c>
      <c r="U38" s="96" t="s">
        <v>123</v>
      </c>
      <c r="V38" s="96" t="s">
        <v>124</v>
      </c>
      <c r="W38" s="96" t="s">
        <v>124</v>
      </c>
      <c r="X38" s="96" t="s">
        <v>124</v>
      </c>
      <c r="Y38" s="96" t="s">
        <v>124</v>
      </c>
      <c r="Z38" s="96" t="s">
        <v>124</v>
      </c>
      <c r="AA38" s="96" t="s">
        <v>123</v>
      </c>
      <c r="AB38" s="96" t="s">
        <v>124</v>
      </c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88">
        <v>31</v>
      </c>
      <c r="BE38" s="88"/>
      <c r="BF38" s="88">
        <f t="shared" si="0"/>
        <v>31</v>
      </c>
      <c r="BG38" s="88">
        <v>46</v>
      </c>
      <c r="BH38" s="101">
        <f t="shared" si="1"/>
        <v>0.67391304347826086</v>
      </c>
      <c r="BI38" s="374"/>
      <c r="BJ38" s="105">
        <f>OVERALL!A33</f>
        <v>30</v>
      </c>
      <c r="BK38" s="105">
        <f>OVERALL!B33</f>
        <v>2301267</v>
      </c>
      <c r="BL38" s="106" t="str">
        <f>OVERALL!C33</f>
        <v>Shivam Kumar Chaubey</v>
      </c>
      <c r="BM38" s="107">
        <f t="shared" si="2"/>
        <v>46</v>
      </c>
      <c r="BN38" s="107">
        <f t="shared" si="3"/>
        <v>38</v>
      </c>
      <c r="BO38" s="108">
        <f t="shared" si="4"/>
        <v>82.608695652173907</v>
      </c>
      <c r="BP38" s="107" t="str">
        <f t="shared" si="5"/>
        <v>3</v>
      </c>
      <c r="BQ38" s="110">
        <v>10</v>
      </c>
      <c r="BR38" s="227">
        <v>10</v>
      </c>
      <c r="BS38" s="107">
        <f t="shared" si="6"/>
        <v>10</v>
      </c>
      <c r="BT38" s="181">
        <v>7</v>
      </c>
      <c r="BU38" s="182">
        <v>9</v>
      </c>
      <c r="BV38" s="182">
        <v>10</v>
      </c>
      <c r="BW38" s="108">
        <f t="shared" si="7"/>
        <v>8.6666666666666661</v>
      </c>
      <c r="BX38" s="108">
        <v>5</v>
      </c>
      <c r="BY38" s="111">
        <f t="shared" si="8"/>
        <v>27</v>
      </c>
    </row>
    <row r="39" spans="1:77" ht="15.75" customHeight="1">
      <c r="A39" s="97">
        <f>OVERALL!A38</f>
        <v>35</v>
      </c>
      <c r="B39" s="98">
        <f>OVERALL!B38</f>
        <v>2301272</v>
      </c>
      <c r="C39" s="98" t="str">
        <f>OVERALL!C38</f>
        <v>Sujal Sharma</v>
      </c>
      <c r="D39" s="96" t="s">
        <v>123</v>
      </c>
      <c r="E39" s="96" t="s">
        <v>123</v>
      </c>
      <c r="F39" s="96" t="s">
        <v>124</v>
      </c>
      <c r="G39" s="96" t="s">
        <v>124</v>
      </c>
      <c r="H39" s="96" t="s">
        <v>123</v>
      </c>
      <c r="I39" s="96" t="s">
        <v>123</v>
      </c>
      <c r="J39" s="96" t="s">
        <v>123</v>
      </c>
      <c r="K39" s="96" t="s">
        <v>124</v>
      </c>
      <c r="L39" s="96" t="s">
        <v>124</v>
      </c>
      <c r="M39" s="96" t="s">
        <v>124</v>
      </c>
      <c r="N39" s="96" t="s">
        <v>123</v>
      </c>
      <c r="O39" s="96" t="s">
        <v>123</v>
      </c>
      <c r="P39" s="96" t="s">
        <v>123</v>
      </c>
      <c r="Q39" s="96" t="s">
        <v>123</v>
      </c>
      <c r="R39" s="96" t="s">
        <v>123</v>
      </c>
      <c r="S39" s="96" t="s">
        <v>123</v>
      </c>
      <c r="T39" s="96" t="s">
        <v>123</v>
      </c>
      <c r="U39" s="96" t="s">
        <v>123</v>
      </c>
      <c r="V39" s="96" t="s">
        <v>123</v>
      </c>
      <c r="W39" s="96" t="s">
        <v>123</v>
      </c>
      <c r="X39" s="96" t="s">
        <v>123</v>
      </c>
      <c r="Y39" s="96" t="s">
        <v>123</v>
      </c>
      <c r="Z39" s="96" t="s">
        <v>123</v>
      </c>
      <c r="AA39" s="96" t="s">
        <v>123</v>
      </c>
      <c r="AB39" s="96" t="s">
        <v>123</v>
      </c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88">
        <v>6</v>
      </c>
      <c r="BE39" s="88"/>
      <c r="BF39" s="88">
        <f t="shared" si="0"/>
        <v>6</v>
      </c>
      <c r="BG39" s="88">
        <v>46</v>
      </c>
      <c r="BH39" s="101">
        <f t="shared" si="1"/>
        <v>0.13043478260869565</v>
      </c>
      <c r="BI39" s="374"/>
      <c r="BJ39" s="105">
        <f>OVERALL!A34</f>
        <v>31</v>
      </c>
      <c r="BK39" s="105">
        <f>OVERALL!B34</f>
        <v>2301268</v>
      </c>
      <c r="BL39" s="106" t="str">
        <f>OVERALL!C34</f>
        <v>Simba Godfrey</v>
      </c>
      <c r="BM39" s="107">
        <f t="shared" si="2"/>
        <v>46</v>
      </c>
      <c r="BN39" s="107">
        <f t="shared" si="3"/>
        <v>33</v>
      </c>
      <c r="BO39" s="108">
        <f t="shared" si="4"/>
        <v>71.739130434782609</v>
      </c>
      <c r="BP39" s="107" t="str">
        <f t="shared" si="5"/>
        <v>0</v>
      </c>
      <c r="BQ39" s="110">
        <v>10</v>
      </c>
      <c r="BR39" s="227">
        <v>3</v>
      </c>
      <c r="BS39" s="107">
        <f t="shared" si="6"/>
        <v>6.5</v>
      </c>
      <c r="BT39" s="181">
        <v>7</v>
      </c>
      <c r="BU39" s="182">
        <v>8</v>
      </c>
      <c r="BV39" s="182">
        <v>8</v>
      </c>
      <c r="BW39" s="108">
        <f t="shared" si="7"/>
        <v>7.666666666666667</v>
      </c>
      <c r="BX39" s="108">
        <v>5</v>
      </c>
      <c r="BY39" s="111">
        <f t="shared" si="8"/>
        <v>19</v>
      </c>
    </row>
    <row r="40" spans="1:77" ht="15.75" customHeight="1">
      <c r="A40" s="97">
        <f>OVERALL!A39</f>
        <v>36</v>
      </c>
      <c r="B40" s="98">
        <f>OVERALL!B39</f>
        <v>2301273</v>
      </c>
      <c r="C40" s="98" t="str">
        <f>OVERALL!C39</f>
        <v>Sukhraj Singh</v>
      </c>
      <c r="D40" s="96" t="s">
        <v>123</v>
      </c>
      <c r="E40" s="96" t="s">
        <v>123</v>
      </c>
      <c r="F40" s="96" t="s">
        <v>124</v>
      </c>
      <c r="G40" s="96" t="s">
        <v>124</v>
      </c>
      <c r="H40" s="96" t="s">
        <v>124</v>
      </c>
      <c r="I40" s="96" t="s">
        <v>124</v>
      </c>
      <c r="J40" s="96" t="s">
        <v>123</v>
      </c>
      <c r="K40" s="96" t="s">
        <v>124</v>
      </c>
      <c r="L40" s="96" t="s">
        <v>123</v>
      </c>
      <c r="M40" s="96" t="s">
        <v>123</v>
      </c>
      <c r="N40" s="96" t="s">
        <v>123</v>
      </c>
      <c r="O40" s="96" t="s">
        <v>123</v>
      </c>
      <c r="P40" s="96" t="s">
        <v>123</v>
      </c>
      <c r="Q40" s="96" t="s">
        <v>123</v>
      </c>
      <c r="R40" s="96" t="s">
        <v>123</v>
      </c>
      <c r="S40" s="96" t="s">
        <v>124</v>
      </c>
      <c r="T40" s="96" t="s">
        <v>124</v>
      </c>
      <c r="U40" s="96" t="s">
        <v>123</v>
      </c>
      <c r="V40" s="96" t="s">
        <v>123</v>
      </c>
      <c r="W40" s="96" t="s">
        <v>123</v>
      </c>
      <c r="X40" s="96" t="s">
        <v>124</v>
      </c>
      <c r="Y40" s="96" t="s">
        <v>123</v>
      </c>
      <c r="Z40" s="96" t="s">
        <v>124</v>
      </c>
      <c r="AA40" s="96" t="s">
        <v>123</v>
      </c>
      <c r="AB40" s="96" t="s">
        <v>123</v>
      </c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88">
        <v>12</v>
      </c>
      <c r="BE40" s="88"/>
      <c r="BF40" s="88">
        <f t="shared" si="0"/>
        <v>12</v>
      </c>
      <c r="BG40" s="88">
        <v>46</v>
      </c>
      <c r="BH40" s="101">
        <f t="shared" si="1"/>
        <v>0.2608695652173913</v>
      </c>
      <c r="BI40" s="374"/>
      <c r="BJ40" s="105">
        <f>OVERALL!A35</f>
        <v>32</v>
      </c>
      <c r="BK40" s="105">
        <f>OVERALL!B35</f>
        <v>2301269</v>
      </c>
      <c r="BL40" s="106" t="str">
        <f>OVERALL!C35</f>
        <v>Simran Kaur</v>
      </c>
      <c r="BM40" s="107">
        <f t="shared" si="2"/>
        <v>46</v>
      </c>
      <c r="BN40" s="107">
        <f t="shared" si="3"/>
        <v>35</v>
      </c>
      <c r="BO40" s="108">
        <f t="shared" si="4"/>
        <v>76.086956521739125</v>
      </c>
      <c r="BP40" s="107" t="str">
        <f t="shared" si="5"/>
        <v>2</v>
      </c>
      <c r="BQ40" s="110">
        <v>12</v>
      </c>
      <c r="BR40" s="227">
        <v>13</v>
      </c>
      <c r="BS40" s="107">
        <f t="shared" si="6"/>
        <v>12.5</v>
      </c>
      <c r="BT40" s="181">
        <v>7</v>
      </c>
      <c r="BU40" s="182">
        <v>9</v>
      </c>
      <c r="BV40" s="182">
        <v>9</v>
      </c>
      <c r="BW40" s="108">
        <f t="shared" si="7"/>
        <v>8.3333333333333339</v>
      </c>
      <c r="BX40" s="108">
        <v>5</v>
      </c>
      <c r="BY40" s="111">
        <f t="shared" si="8"/>
        <v>28</v>
      </c>
    </row>
    <row r="41" spans="1:77" ht="15.75" customHeight="1">
      <c r="A41" s="97">
        <f>OVERALL!A40</f>
        <v>37</v>
      </c>
      <c r="B41" s="98">
        <f>OVERALL!B40</f>
        <v>2301274</v>
      </c>
      <c r="C41" s="98" t="str">
        <f>OVERALL!C40</f>
        <v>Sukhreet Kaur</v>
      </c>
      <c r="D41" s="96" t="s">
        <v>124</v>
      </c>
      <c r="E41" s="96" t="s">
        <v>124</v>
      </c>
      <c r="F41" s="96" t="s">
        <v>124</v>
      </c>
      <c r="G41" s="96" t="s">
        <v>124</v>
      </c>
      <c r="H41" s="96" t="s">
        <v>124</v>
      </c>
      <c r="I41" s="96" t="s">
        <v>124</v>
      </c>
      <c r="J41" s="96" t="s">
        <v>124</v>
      </c>
      <c r="K41" s="96" t="s">
        <v>124</v>
      </c>
      <c r="L41" s="96" t="s">
        <v>124</v>
      </c>
      <c r="M41" s="96" t="s">
        <v>124</v>
      </c>
      <c r="N41" s="96" t="s">
        <v>124</v>
      </c>
      <c r="O41" s="96" t="s">
        <v>124</v>
      </c>
      <c r="P41" s="96" t="s">
        <v>124</v>
      </c>
      <c r="Q41" s="96" t="s">
        <v>124</v>
      </c>
      <c r="R41" s="96" t="s">
        <v>124</v>
      </c>
      <c r="S41" s="96" t="s">
        <v>124</v>
      </c>
      <c r="T41" s="96" t="s">
        <v>124</v>
      </c>
      <c r="U41" s="96" t="s">
        <v>124</v>
      </c>
      <c r="V41" s="96" t="s">
        <v>124</v>
      </c>
      <c r="W41" s="96" t="s">
        <v>124</v>
      </c>
      <c r="X41" s="96" t="s">
        <v>124</v>
      </c>
      <c r="Y41" s="96" t="s">
        <v>124</v>
      </c>
      <c r="Z41" s="96" t="s">
        <v>124</v>
      </c>
      <c r="AA41" s="96" t="s">
        <v>124</v>
      </c>
      <c r="AB41" s="96" t="s">
        <v>124</v>
      </c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88">
        <v>28</v>
      </c>
      <c r="BE41" s="88"/>
      <c r="BF41" s="88">
        <f t="shared" si="0"/>
        <v>28</v>
      </c>
      <c r="BG41" s="88">
        <v>46</v>
      </c>
      <c r="BH41" s="101">
        <f t="shared" si="1"/>
        <v>0.60869565217391308</v>
      </c>
      <c r="BI41" s="374"/>
      <c r="BJ41" s="105">
        <f>OVERALL!A36</f>
        <v>33</v>
      </c>
      <c r="BK41" s="105">
        <f>OVERALL!B36</f>
        <v>2301270</v>
      </c>
      <c r="BL41" s="106" t="str">
        <f>OVERALL!C36</f>
        <v>Simranjit Singh</v>
      </c>
      <c r="BM41" s="107">
        <f t="shared" si="2"/>
        <v>46</v>
      </c>
      <c r="BN41" s="107">
        <f t="shared" si="3"/>
        <v>28</v>
      </c>
      <c r="BO41" s="108">
        <f t="shared" si="4"/>
        <v>60.869565217391305</v>
      </c>
      <c r="BP41" s="107" t="str">
        <f t="shared" si="5"/>
        <v>0</v>
      </c>
      <c r="BQ41" s="110">
        <v>0</v>
      </c>
      <c r="BR41" s="227">
        <v>0</v>
      </c>
      <c r="BS41" s="107">
        <f t="shared" si="6"/>
        <v>0</v>
      </c>
      <c r="BT41" s="181">
        <v>9</v>
      </c>
      <c r="BU41" s="182">
        <v>9</v>
      </c>
      <c r="BV41" s="182">
        <v>9</v>
      </c>
      <c r="BW41" s="108">
        <f t="shared" si="7"/>
        <v>9</v>
      </c>
      <c r="BX41" s="108">
        <v>5</v>
      </c>
      <c r="BY41" s="111">
        <f t="shared" si="8"/>
        <v>14</v>
      </c>
    </row>
    <row r="42" spans="1:77" ht="15.75" customHeight="1">
      <c r="A42" s="97">
        <f>OVERALL!A41</f>
        <v>38</v>
      </c>
      <c r="B42" s="98">
        <f>OVERALL!B41</f>
        <v>2301275</v>
      </c>
      <c r="C42" s="98" t="str">
        <f>OVERALL!C41</f>
        <v>Suman Krishna</v>
      </c>
      <c r="D42" s="96" t="s">
        <v>123</v>
      </c>
      <c r="E42" s="96" t="s">
        <v>123</v>
      </c>
      <c r="F42" s="96" t="s">
        <v>123</v>
      </c>
      <c r="G42" s="96" t="s">
        <v>123</v>
      </c>
      <c r="H42" s="96" t="s">
        <v>123</v>
      </c>
      <c r="I42" s="96" t="s">
        <v>123</v>
      </c>
      <c r="J42" s="96" t="s">
        <v>123</v>
      </c>
      <c r="K42" s="96" t="s">
        <v>123</v>
      </c>
      <c r="L42" s="96" t="s">
        <v>123</v>
      </c>
      <c r="M42" s="96" t="s">
        <v>123</v>
      </c>
      <c r="N42" s="96" t="s">
        <v>123</v>
      </c>
      <c r="O42" s="96" t="s">
        <v>124</v>
      </c>
      <c r="P42" s="96" t="s">
        <v>124</v>
      </c>
      <c r="Q42" s="96" t="s">
        <v>124</v>
      </c>
      <c r="R42" s="96" t="s">
        <v>124</v>
      </c>
      <c r="S42" s="96" t="s">
        <v>123</v>
      </c>
      <c r="T42" s="96" t="s">
        <v>123</v>
      </c>
      <c r="U42" s="96" t="s">
        <v>124</v>
      </c>
      <c r="V42" s="96" t="s">
        <v>123</v>
      </c>
      <c r="W42" s="96" t="s">
        <v>124</v>
      </c>
      <c r="X42" s="96" t="s">
        <v>124</v>
      </c>
      <c r="Y42" s="96" t="s">
        <v>124</v>
      </c>
      <c r="Z42" s="96" t="s">
        <v>124</v>
      </c>
      <c r="AA42" s="96" t="s">
        <v>124</v>
      </c>
      <c r="AB42" s="96" t="s">
        <v>123</v>
      </c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88">
        <v>33</v>
      </c>
      <c r="BE42" s="88">
        <v>2</v>
      </c>
      <c r="BF42" s="88">
        <f t="shared" si="0"/>
        <v>35</v>
      </c>
      <c r="BG42" s="88">
        <v>46</v>
      </c>
      <c r="BH42" s="101">
        <f t="shared" si="1"/>
        <v>0.76086956521739135</v>
      </c>
      <c r="BI42" s="374"/>
      <c r="BJ42" s="105">
        <f>OVERALL!A37</f>
        <v>34</v>
      </c>
      <c r="BK42" s="105">
        <f>OVERALL!B37</f>
        <v>2301271</v>
      </c>
      <c r="BL42" s="106" t="str">
        <f>OVERALL!C37</f>
        <v>Sudip Sunar</v>
      </c>
      <c r="BM42" s="107">
        <f t="shared" si="2"/>
        <v>46</v>
      </c>
      <c r="BN42" s="107">
        <f t="shared" si="3"/>
        <v>31</v>
      </c>
      <c r="BO42" s="108">
        <f t="shared" si="4"/>
        <v>67.391304347826079</v>
      </c>
      <c r="BP42" s="107" t="str">
        <f t="shared" si="5"/>
        <v>0</v>
      </c>
      <c r="BQ42" s="110">
        <v>6</v>
      </c>
      <c r="BR42" s="227">
        <v>7</v>
      </c>
      <c r="BS42" s="107">
        <f t="shared" si="6"/>
        <v>6.5</v>
      </c>
      <c r="BT42" s="181">
        <v>6</v>
      </c>
      <c r="BU42" s="182">
        <v>7</v>
      </c>
      <c r="BV42" s="182">
        <v>8</v>
      </c>
      <c r="BW42" s="108">
        <f t="shared" si="7"/>
        <v>7</v>
      </c>
      <c r="BX42" s="108">
        <v>5</v>
      </c>
      <c r="BY42" s="111">
        <f t="shared" si="8"/>
        <v>19</v>
      </c>
    </row>
    <row r="43" spans="1:77" ht="15.75" customHeight="1">
      <c r="A43" s="97">
        <f>OVERALL!A42</f>
        <v>39</v>
      </c>
      <c r="B43" s="98">
        <f>OVERALL!B42</f>
        <v>2301276</v>
      </c>
      <c r="C43" s="98" t="str">
        <f>OVERALL!C42</f>
        <v>Sumanyu</v>
      </c>
      <c r="D43" s="96" t="s">
        <v>123</v>
      </c>
      <c r="E43" s="96" t="s">
        <v>123</v>
      </c>
      <c r="F43" s="96" t="s">
        <v>123</v>
      </c>
      <c r="G43" s="96" t="s">
        <v>123</v>
      </c>
      <c r="H43" s="96" t="s">
        <v>123</v>
      </c>
      <c r="I43" s="96" t="s">
        <v>123</v>
      </c>
      <c r="J43" s="96" t="s">
        <v>123</v>
      </c>
      <c r="K43" s="96" t="s">
        <v>123</v>
      </c>
      <c r="L43" s="96" t="s">
        <v>123</v>
      </c>
      <c r="M43" s="96" t="s">
        <v>123</v>
      </c>
      <c r="N43" s="96" t="s">
        <v>123</v>
      </c>
      <c r="O43" s="96" t="s">
        <v>123</v>
      </c>
      <c r="P43" s="96" t="s">
        <v>123</v>
      </c>
      <c r="Q43" s="96" t="s">
        <v>123</v>
      </c>
      <c r="R43" s="96" t="s">
        <v>123</v>
      </c>
      <c r="S43" s="96" t="s">
        <v>123</v>
      </c>
      <c r="T43" s="96" t="s">
        <v>123</v>
      </c>
      <c r="U43" s="96" t="s">
        <v>123</v>
      </c>
      <c r="V43" s="96" t="s">
        <v>123</v>
      </c>
      <c r="W43" s="96" t="s">
        <v>123</v>
      </c>
      <c r="X43" s="96" t="s">
        <v>123</v>
      </c>
      <c r="Y43" s="96" t="s">
        <v>123</v>
      </c>
      <c r="Z43" s="96" t="s">
        <v>123</v>
      </c>
      <c r="AA43" s="96" t="s">
        <v>123</v>
      </c>
      <c r="AB43" s="96" t="s">
        <v>123</v>
      </c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88">
        <v>0</v>
      </c>
      <c r="BE43" s="88"/>
      <c r="BF43" s="88">
        <f t="shared" si="0"/>
        <v>0</v>
      </c>
      <c r="BG43" s="88">
        <v>46</v>
      </c>
      <c r="BH43" s="101">
        <f t="shared" si="1"/>
        <v>0</v>
      </c>
      <c r="BI43" s="374"/>
      <c r="BJ43" s="105">
        <f>OVERALL!A38</f>
        <v>35</v>
      </c>
      <c r="BK43" s="105">
        <f>OVERALL!B38</f>
        <v>2301272</v>
      </c>
      <c r="BL43" s="106" t="str">
        <f>OVERALL!C38</f>
        <v>Sujal Sharma</v>
      </c>
      <c r="BM43" s="107">
        <f t="shared" si="2"/>
        <v>46</v>
      </c>
      <c r="BN43" s="107">
        <f t="shared" si="3"/>
        <v>6</v>
      </c>
      <c r="BO43" s="108">
        <f t="shared" si="4"/>
        <v>13.043478260869565</v>
      </c>
      <c r="BP43" s="107" t="str">
        <f t="shared" si="5"/>
        <v>0</v>
      </c>
      <c r="BQ43" s="110">
        <v>0</v>
      </c>
      <c r="BR43" s="227">
        <v>0</v>
      </c>
      <c r="BS43" s="107">
        <f t="shared" si="6"/>
        <v>0</v>
      </c>
      <c r="BT43" s="181">
        <v>0</v>
      </c>
      <c r="BU43" s="182">
        <v>0</v>
      </c>
      <c r="BV43" s="182">
        <v>0</v>
      </c>
      <c r="BW43" s="108">
        <f t="shared" si="7"/>
        <v>0</v>
      </c>
      <c r="BX43" s="108">
        <v>2</v>
      </c>
      <c r="BY43" s="111">
        <f t="shared" si="8"/>
        <v>2</v>
      </c>
    </row>
    <row r="44" spans="1:77" ht="15.75" customHeight="1">
      <c r="A44" s="97">
        <f>OVERALL!A43</f>
        <v>40</v>
      </c>
      <c r="B44" s="98">
        <f>OVERALL!B43</f>
        <v>2301277</v>
      </c>
      <c r="C44" s="98" t="str">
        <f>OVERALL!C43</f>
        <v>Tamana</v>
      </c>
      <c r="D44" s="96" t="s">
        <v>124</v>
      </c>
      <c r="E44" s="96" t="s">
        <v>124</v>
      </c>
      <c r="F44" s="96" t="s">
        <v>124</v>
      </c>
      <c r="G44" s="96" t="s">
        <v>124</v>
      </c>
      <c r="H44" s="96" t="s">
        <v>124</v>
      </c>
      <c r="I44" s="96" t="s">
        <v>124</v>
      </c>
      <c r="J44" s="96" t="s">
        <v>124</v>
      </c>
      <c r="K44" s="96" t="s">
        <v>123</v>
      </c>
      <c r="L44" s="96" t="s">
        <v>124</v>
      </c>
      <c r="M44" s="96" t="s">
        <v>124</v>
      </c>
      <c r="N44" s="96" t="s">
        <v>123</v>
      </c>
      <c r="O44" s="96" t="s">
        <v>124</v>
      </c>
      <c r="P44" s="96" t="s">
        <v>123</v>
      </c>
      <c r="Q44" s="96" t="s">
        <v>123</v>
      </c>
      <c r="R44" s="96" t="s">
        <v>123</v>
      </c>
      <c r="S44" s="96" t="s">
        <v>123</v>
      </c>
      <c r="T44" s="96" t="s">
        <v>123</v>
      </c>
      <c r="U44" s="96" t="s">
        <v>124</v>
      </c>
      <c r="V44" s="96" t="s">
        <v>124</v>
      </c>
      <c r="W44" s="96" t="s">
        <v>124</v>
      </c>
      <c r="X44" s="96" t="s">
        <v>123</v>
      </c>
      <c r="Y44" s="96" t="s">
        <v>124</v>
      </c>
      <c r="Z44" s="96" t="s">
        <v>124</v>
      </c>
      <c r="AA44" s="96" t="s">
        <v>123</v>
      </c>
      <c r="AB44" s="96" t="s">
        <v>124</v>
      </c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88">
        <v>19</v>
      </c>
      <c r="BE44" s="88"/>
      <c r="BF44" s="88">
        <f t="shared" si="0"/>
        <v>19</v>
      </c>
      <c r="BG44" s="88">
        <v>46</v>
      </c>
      <c r="BH44" s="101">
        <f t="shared" si="1"/>
        <v>0.41304347826086957</v>
      </c>
      <c r="BI44" s="374"/>
      <c r="BJ44" s="105">
        <f>OVERALL!A39</f>
        <v>36</v>
      </c>
      <c r="BK44" s="105">
        <f>OVERALL!B39</f>
        <v>2301273</v>
      </c>
      <c r="BL44" s="106" t="str">
        <f>OVERALL!C39</f>
        <v>Sukhraj Singh</v>
      </c>
      <c r="BM44" s="107">
        <f t="shared" si="2"/>
        <v>46</v>
      </c>
      <c r="BN44" s="107">
        <f t="shared" si="3"/>
        <v>12</v>
      </c>
      <c r="BO44" s="108">
        <f t="shared" si="4"/>
        <v>26.086956521739129</v>
      </c>
      <c r="BP44" s="107" t="str">
        <f t="shared" si="5"/>
        <v>0</v>
      </c>
      <c r="BQ44" s="110">
        <v>10</v>
      </c>
      <c r="BR44" s="227">
        <v>3</v>
      </c>
      <c r="BS44" s="107">
        <f t="shared" si="6"/>
        <v>6.5</v>
      </c>
      <c r="BT44" s="181">
        <v>7</v>
      </c>
      <c r="BU44" s="182">
        <v>7</v>
      </c>
      <c r="BV44" s="182">
        <v>0</v>
      </c>
      <c r="BW44" s="108">
        <f t="shared" si="7"/>
        <v>4.666666666666667</v>
      </c>
      <c r="BX44" s="108">
        <v>5</v>
      </c>
      <c r="BY44" s="111">
        <f t="shared" si="8"/>
        <v>16</v>
      </c>
    </row>
    <row r="45" spans="1:77" ht="15.75" customHeight="1">
      <c r="A45" s="97">
        <f>OVERALL!A44</f>
        <v>41</v>
      </c>
      <c r="B45" s="98">
        <f>OVERALL!B44</f>
        <v>2301278</v>
      </c>
      <c r="C45" s="98" t="str">
        <f>OVERALL!C44</f>
        <v>Tamana Farooq Khanday</v>
      </c>
      <c r="D45" s="96" t="s">
        <v>123</v>
      </c>
      <c r="E45" s="96" t="s">
        <v>123</v>
      </c>
      <c r="F45" s="96" t="s">
        <v>124</v>
      </c>
      <c r="G45" s="96" t="s">
        <v>123</v>
      </c>
      <c r="H45" s="96" t="s">
        <v>123</v>
      </c>
      <c r="I45" s="96" t="s">
        <v>123</v>
      </c>
      <c r="J45" s="96" t="s">
        <v>123</v>
      </c>
      <c r="K45" s="96" t="s">
        <v>123</v>
      </c>
      <c r="L45" s="96" t="s">
        <v>123</v>
      </c>
      <c r="M45" s="96" t="s">
        <v>123</v>
      </c>
      <c r="N45" s="96" t="s">
        <v>123</v>
      </c>
      <c r="O45" s="96" t="s">
        <v>123</v>
      </c>
      <c r="P45" s="96" t="s">
        <v>123</v>
      </c>
      <c r="Q45" s="96" t="s">
        <v>123</v>
      </c>
      <c r="R45" s="96" t="s">
        <v>123</v>
      </c>
      <c r="S45" s="96" t="s">
        <v>123</v>
      </c>
      <c r="T45" s="96" t="s">
        <v>123</v>
      </c>
      <c r="U45" s="96" t="s">
        <v>124</v>
      </c>
      <c r="V45" s="96" t="s">
        <v>124</v>
      </c>
      <c r="W45" s="96" t="s">
        <v>124</v>
      </c>
      <c r="X45" s="96" t="s">
        <v>124</v>
      </c>
      <c r="Y45" s="96" t="s">
        <v>123</v>
      </c>
      <c r="Z45" s="96" t="s">
        <v>124</v>
      </c>
      <c r="AA45" s="96" t="s">
        <v>124</v>
      </c>
      <c r="AB45" s="96" t="s">
        <v>124</v>
      </c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88">
        <v>16</v>
      </c>
      <c r="BE45" s="88">
        <v>0</v>
      </c>
      <c r="BF45" s="88">
        <f t="shared" si="0"/>
        <v>16</v>
      </c>
      <c r="BG45" s="88">
        <v>46</v>
      </c>
      <c r="BH45" s="101">
        <f t="shared" si="1"/>
        <v>0.34782608695652173</v>
      </c>
      <c r="BI45" s="374"/>
      <c r="BJ45" s="105">
        <f>OVERALL!A40</f>
        <v>37</v>
      </c>
      <c r="BK45" s="105">
        <f>OVERALL!B40</f>
        <v>2301274</v>
      </c>
      <c r="BL45" s="106" t="str">
        <f>OVERALL!C40</f>
        <v>Sukhreet Kaur</v>
      </c>
      <c r="BM45" s="107">
        <f t="shared" si="2"/>
        <v>46</v>
      </c>
      <c r="BN45" s="107">
        <f t="shared" si="3"/>
        <v>28</v>
      </c>
      <c r="BO45" s="108">
        <f t="shared" si="4"/>
        <v>60.869565217391305</v>
      </c>
      <c r="BP45" s="107" t="str">
        <f t="shared" si="5"/>
        <v>0</v>
      </c>
      <c r="BQ45" s="110">
        <v>11</v>
      </c>
      <c r="BR45" s="231">
        <v>11</v>
      </c>
      <c r="BS45" s="107">
        <f t="shared" si="6"/>
        <v>11</v>
      </c>
      <c r="BT45" s="181">
        <v>8</v>
      </c>
      <c r="BU45" s="182">
        <v>8</v>
      </c>
      <c r="BV45" s="182">
        <v>8</v>
      </c>
      <c r="BW45" s="108">
        <f t="shared" si="7"/>
        <v>8</v>
      </c>
      <c r="BX45" s="108">
        <v>5</v>
      </c>
      <c r="BY45" s="111">
        <f t="shared" si="8"/>
        <v>24</v>
      </c>
    </row>
    <row r="46" spans="1:77" ht="15.75" customHeight="1">
      <c r="A46" s="97">
        <f>OVERALL!A45</f>
        <v>42</v>
      </c>
      <c r="B46" s="98">
        <f>OVERALL!B45</f>
        <v>2301279</v>
      </c>
      <c r="C46" s="98" t="str">
        <f>OVERALL!C45</f>
        <v>Tania</v>
      </c>
      <c r="D46" s="96" t="s">
        <v>123</v>
      </c>
      <c r="E46" s="96" t="s">
        <v>124</v>
      </c>
      <c r="F46" s="96" t="s">
        <v>124</v>
      </c>
      <c r="G46" s="96" t="s">
        <v>124</v>
      </c>
      <c r="H46" s="96" t="s">
        <v>124</v>
      </c>
      <c r="I46" s="96" t="s">
        <v>124</v>
      </c>
      <c r="J46" s="96" t="s">
        <v>124</v>
      </c>
      <c r="K46" s="96" t="s">
        <v>123</v>
      </c>
      <c r="L46" s="96" t="s">
        <v>124</v>
      </c>
      <c r="M46" s="96" t="s">
        <v>124</v>
      </c>
      <c r="N46" s="96" t="s">
        <v>124</v>
      </c>
      <c r="O46" s="96" t="s">
        <v>124</v>
      </c>
      <c r="P46" s="96" t="s">
        <v>124</v>
      </c>
      <c r="Q46" s="96" t="s">
        <v>123</v>
      </c>
      <c r="R46" s="96" t="s">
        <v>123</v>
      </c>
      <c r="S46" s="96" t="s">
        <v>123</v>
      </c>
      <c r="T46" s="96" t="s">
        <v>123</v>
      </c>
      <c r="U46" s="96" t="s">
        <v>124</v>
      </c>
      <c r="V46" s="96" t="s">
        <v>124</v>
      </c>
      <c r="W46" s="96" t="s">
        <v>124</v>
      </c>
      <c r="X46" s="96" t="s">
        <v>124</v>
      </c>
      <c r="Y46" s="96" t="s">
        <v>124</v>
      </c>
      <c r="Z46" s="96" t="s">
        <v>124</v>
      </c>
      <c r="AA46" s="96" t="s">
        <v>124</v>
      </c>
      <c r="AB46" s="96" t="s">
        <v>123</v>
      </c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96"/>
      <c r="BD46" s="88">
        <v>33</v>
      </c>
      <c r="BE46" s="88">
        <v>3</v>
      </c>
      <c r="BF46" s="88">
        <f t="shared" si="0"/>
        <v>36</v>
      </c>
      <c r="BG46" s="88">
        <v>46</v>
      </c>
      <c r="BH46" s="101">
        <f t="shared" si="1"/>
        <v>0.78260869565217395</v>
      </c>
      <c r="BI46" s="374"/>
      <c r="BJ46" s="105">
        <f>OVERALL!A41</f>
        <v>38</v>
      </c>
      <c r="BK46" s="105">
        <f>OVERALL!B41</f>
        <v>2301275</v>
      </c>
      <c r="BL46" s="106" t="str">
        <f>OVERALL!C41</f>
        <v>Suman Krishna</v>
      </c>
      <c r="BM46" s="107">
        <f t="shared" si="2"/>
        <v>46</v>
      </c>
      <c r="BN46" s="107">
        <f t="shared" si="3"/>
        <v>35</v>
      </c>
      <c r="BO46" s="108">
        <f t="shared" si="4"/>
        <v>76.086956521739125</v>
      </c>
      <c r="BP46" s="107" t="str">
        <f t="shared" si="5"/>
        <v>2</v>
      </c>
      <c r="BQ46" s="110">
        <v>10</v>
      </c>
      <c r="BR46" s="227">
        <v>4</v>
      </c>
      <c r="BS46" s="107">
        <f t="shared" si="6"/>
        <v>7</v>
      </c>
      <c r="BT46" s="181">
        <v>7</v>
      </c>
      <c r="BU46" s="182">
        <v>8</v>
      </c>
      <c r="BV46" s="182">
        <v>8</v>
      </c>
      <c r="BW46" s="108">
        <f t="shared" si="7"/>
        <v>7.666666666666667</v>
      </c>
      <c r="BX46" s="108">
        <v>5</v>
      </c>
      <c r="BY46" s="111">
        <f t="shared" si="8"/>
        <v>22</v>
      </c>
    </row>
    <row r="47" spans="1:77" ht="15.75" customHeight="1">
      <c r="A47" s="97">
        <f>OVERALL!A46</f>
        <v>43</v>
      </c>
      <c r="B47" s="98">
        <f>OVERALL!B46</f>
        <v>2301280</v>
      </c>
      <c r="C47" s="98" t="str">
        <f>OVERALL!C46</f>
        <v>Taniya</v>
      </c>
      <c r="D47" s="96" t="s">
        <v>123</v>
      </c>
      <c r="E47" s="96" t="s">
        <v>123</v>
      </c>
      <c r="F47" s="96" t="s">
        <v>123</v>
      </c>
      <c r="G47" s="96" t="s">
        <v>124</v>
      </c>
      <c r="H47" s="96" t="s">
        <v>124</v>
      </c>
      <c r="I47" s="96" t="s">
        <v>124</v>
      </c>
      <c r="J47" s="96" t="s">
        <v>124</v>
      </c>
      <c r="K47" s="96" t="s">
        <v>123</v>
      </c>
      <c r="L47" s="96" t="s">
        <v>123</v>
      </c>
      <c r="M47" s="96" t="s">
        <v>123</v>
      </c>
      <c r="N47" s="96" t="s">
        <v>123</v>
      </c>
      <c r="O47" s="96" t="s">
        <v>123</v>
      </c>
      <c r="P47" s="96" t="s">
        <v>123</v>
      </c>
      <c r="Q47" s="96" t="s">
        <v>123</v>
      </c>
      <c r="R47" s="96" t="s">
        <v>123</v>
      </c>
      <c r="S47" s="96" t="s">
        <v>124</v>
      </c>
      <c r="T47" s="96" t="s">
        <v>124</v>
      </c>
      <c r="U47" s="96" t="s">
        <v>124</v>
      </c>
      <c r="V47" s="96" t="s">
        <v>123</v>
      </c>
      <c r="W47" s="96" t="s">
        <v>124</v>
      </c>
      <c r="X47" s="96" t="s">
        <v>124</v>
      </c>
      <c r="Y47" s="96" t="s">
        <v>123</v>
      </c>
      <c r="Z47" s="96" t="s">
        <v>123</v>
      </c>
      <c r="AA47" s="96" t="s">
        <v>163</v>
      </c>
      <c r="AB47" s="96" t="s">
        <v>123</v>
      </c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96"/>
      <c r="BD47" s="88">
        <v>19</v>
      </c>
      <c r="BE47" s="88">
        <v>2</v>
      </c>
      <c r="BF47" s="88">
        <f t="shared" si="0"/>
        <v>21</v>
      </c>
      <c r="BG47" s="88">
        <v>46</v>
      </c>
      <c r="BH47" s="101">
        <f t="shared" si="1"/>
        <v>0.45652173913043476</v>
      </c>
      <c r="BI47" s="374"/>
      <c r="BJ47" s="105">
        <f>OVERALL!A42</f>
        <v>39</v>
      </c>
      <c r="BK47" s="105">
        <f>OVERALL!B42</f>
        <v>2301276</v>
      </c>
      <c r="BL47" s="106" t="str">
        <f>OVERALL!C42</f>
        <v>Sumanyu</v>
      </c>
      <c r="BM47" s="107">
        <f t="shared" si="2"/>
        <v>46</v>
      </c>
      <c r="BN47" s="107">
        <f t="shared" si="3"/>
        <v>0</v>
      </c>
      <c r="BO47" s="108">
        <f t="shared" si="4"/>
        <v>0</v>
      </c>
      <c r="BP47" s="107" t="str">
        <f t="shared" si="5"/>
        <v>0</v>
      </c>
      <c r="BQ47" s="46">
        <v>0</v>
      </c>
      <c r="BR47" s="227">
        <v>0</v>
      </c>
      <c r="BS47" s="107">
        <f t="shared" si="6"/>
        <v>0</v>
      </c>
      <c r="BT47" s="181">
        <v>0</v>
      </c>
      <c r="BU47" s="182">
        <v>0</v>
      </c>
      <c r="BV47" s="182">
        <v>0</v>
      </c>
      <c r="BW47" s="108">
        <f t="shared" si="7"/>
        <v>0</v>
      </c>
      <c r="BX47" s="108">
        <v>2</v>
      </c>
      <c r="BY47" s="111">
        <f t="shared" si="8"/>
        <v>2</v>
      </c>
    </row>
    <row r="48" spans="1:77" ht="15.75" customHeight="1">
      <c r="A48" s="97">
        <f>OVERALL!A47</f>
        <v>44</v>
      </c>
      <c r="B48" s="98">
        <f>OVERALL!B47</f>
        <v>2301281</v>
      </c>
      <c r="C48" s="98" t="str">
        <f>OVERALL!C47</f>
        <v>Taziko Trakha</v>
      </c>
      <c r="D48" s="96" t="s">
        <v>123</v>
      </c>
      <c r="E48" s="96" t="s">
        <v>123</v>
      </c>
      <c r="F48" s="96" t="s">
        <v>123</v>
      </c>
      <c r="G48" s="96" t="s">
        <v>123</v>
      </c>
      <c r="H48" s="96" t="s">
        <v>124</v>
      </c>
      <c r="I48" s="96" t="s">
        <v>124</v>
      </c>
      <c r="J48" s="96" t="s">
        <v>124</v>
      </c>
      <c r="K48" s="96" t="s">
        <v>124</v>
      </c>
      <c r="L48" s="96" t="s">
        <v>124</v>
      </c>
      <c r="M48" s="96" t="s">
        <v>124</v>
      </c>
      <c r="N48" s="96" t="s">
        <v>123</v>
      </c>
      <c r="O48" s="96" t="s">
        <v>124</v>
      </c>
      <c r="P48" s="96" t="s">
        <v>123</v>
      </c>
      <c r="Q48" s="96" t="s">
        <v>124</v>
      </c>
      <c r="R48" s="96" t="s">
        <v>123</v>
      </c>
      <c r="S48" s="96" t="s">
        <v>124</v>
      </c>
      <c r="T48" s="96" t="s">
        <v>124</v>
      </c>
      <c r="U48" s="96" t="s">
        <v>123</v>
      </c>
      <c r="V48" s="96" t="s">
        <v>124</v>
      </c>
      <c r="W48" s="96" t="s">
        <v>124</v>
      </c>
      <c r="X48" s="96" t="s">
        <v>124</v>
      </c>
      <c r="Y48" s="96" t="s">
        <v>123</v>
      </c>
      <c r="Z48" s="96" t="s">
        <v>124</v>
      </c>
      <c r="AA48" s="96" t="s">
        <v>123</v>
      </c>
      <c r="AB48" s="96" t="s">
        <v>123</v>
      </c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96"/>
      <c r="BD48" s="88">
        <v>16</v>
      </c>
      <c r="BE48" s="88">
        <v>9</v>
      </c>
      <c r="BF48" s="88">
        <f t="shared" si="0"/>
        <v>25</v>
      </c>
      <c r="BG48" s="88">
        <v>46</v>
      </c>
      <c r="BH48" s="101">
        <f t="shared" si="1"/>
        <v>0.54347826086956519</v>
      </c>
      <c r="BI48" s="374"/>
      <c r="BJ48" s="105">
        <f>OVERALL!A43</f>
        <v>40</v>
      </c>
      <c r="BK48" s="105">
        <f>OVERALL!B43</f>
        <v>2301277</v>
      </c>
      <c r="BL48" s="106" t="str">
        <f>OVERALL!C43</f>
        <v>Tamana</v>
      </c>
      <c r="BM48" s="107">
        <f t="shared" si="2"/>
        <v>46</v>
      </c>
      <c r="BN48" s="107">
        <f t="shared" si="3"/>
        <v>19</v>
      </c>
      <c r="BO48" s="108">
        <f t="shared" si="4"/>
        <v>41.304347826086953</v>
      </c>
      <c r="BP48" s="107" t="str">
        <f t="shared" si="5"/>
        <v>0</v>
      </c>
      <c r="BQ48" s="110">
        <v>10</v>
      </c>
      <c r="BR48" s="227">
        <v>7</v>
      </c>
      <c r="BS48" s="107">
        <f t="shared" si="6"/>
        <v>8.5</v>
      </c>
      <c r="BT48" s="181">
        <v>8</v>
      </c>
      <c r="BU48" s="182">
        <v>8</v>
      </c>
      <c r="BV48" s="182">
        <v>8</v>
      </c>
      <c r="BW48" s="108">
        <f t="shared" si="7"/>
        <v>8</v>
      </c>
      <c r="BX48" s="108">
        <v>5</v>
      </c>
      <c r="BY48" s="111">
        <f t="shared" si="8"/>
        <v>22</v>
      </c>
    </row>
    <row r="49" spans="1:77" ht="15.75" customHeight="1">
      <c r="A49" s="122">
        <v>45</v>
      </c>
      <c r="B49" s="98">
        <f>OVERALL!B48</f>
        <v>2301282</v>
      </c>
      <c r="C49" s="98" t="str">
        <f>OVERALL!C48</f>
        <v>Uday Kumar</v>
      </c>
      <c r="D49" s="96" t="s">
        <v>123</v>
      </c>
      <c r="E49" s="96" t="s">
        <v>123</v>
      </c>
      <c r="F49" s="96" t="s">
        <v>124</v>
      </c>
      <c r="G49" s="96" t="s">
        <v>124</v>
      </c>
      <c r="H49" s="96" t="s">
        <v>124</v>
      </c>
      <c r="I49" s="96" t="s">
        <v>124</v>
      </c>
      <c r="J49" s="96" t="s">
        <v>124</v>
      </c>
      <c r="K49" s="96" t="s">
        <v>124</v>
      </c>
      <c r="L49" s="96" t="s">
        <v>124</v>
      </c>
      <c r="M49" s="96" t="s">
        <v>124</v>
      </c>
      <c r="N49" s="96" t="s">
        <v>123</v>
      </c>
      <c r="O49" s="96" t="s">
        <v>123</v>
      </c>
      <c r="P49" s="96" t="s">
        <v>123</v>
      </c>
      <c r="Q49" s="96" t="s">
        <v>123</v>
      </c>
      <c r="R49" s="96" t="s">
        <v>123</v>
      </c>
      <c r="S49" s="96" t="s">
        <v>123</v>
      </c>
      <c r="T49" s="96" t="s">
        <v>123</v>
      </c>
      <c r="U49" s="96" t="s">
        <v>123</v>
      </c>
      <c r="V49" s="96" t="s">
        <v>123</v>
      </c>
      <c r="W49" s="96" t="s">
        <v>124</v>
      </c>
      <c r="X49" s="96" t="s">
        <v>123</v>
      </c>
      <c r="Y49" s="96" t="s">
        <v>123</v>
      </c>
      <c r="Z49" s="96" t="s">
        <v>124</v>
      </c>
      <c r="AA49" s="96" t="s">
        <v>124</v>
      </c>
      <c r="AB49" s="96" t="s">
        <v>124</v>
      </c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96"/>
      <c r="BD49" s="88">
        <v>17</v>
      </c>
      <c r="BE49" s="88"/>
      <c r="BF49" s="88">
        <f t="shared" si="0"/>
        <v>17</v>
      </c>
      <c r="BG49" s="88">
        <v>46</v>
      </c>
      <c r="BH49" s="101">
        <f t="shared" si="1"/>
        <v>0.36956521739130432</v>
      </c>
      <c r="BI49" s="374"/>
      <c r="BJ49" s="105">
        <f>OVERALL!A44</f>
        <v>41</v>
      </c>
      <c r="BK49" s="105">
        <f>OVERALL!B44</f>
        <v>2301278</v>
      </c>
      <c r="BL49" s="106" t="str">
        <f>OVERALL!C44</f>
        <v>Tamana Farooq Khanday</v>
      </c>
      <c r="BM49" s="107">
        <f t="shared" si="2"/>
        <v>46</v>
      </c>
      <c r="BN49" s="107">
        <f t="shared" si="3"/>
        <v>16</v>
      </c>
      <c r="BO49" s="108">
        <f t="shared" si="4"/>
        <v>34.782608695652172</v>
      </c>
      <c r="BP49" s="107" t="str">
        <f t="shared" si="5"/>
        <v>0</v>
      </c>
      <c r="BQ49" s="110">
        <v>4</v>
      </c>
      <c r="BR49" s="224">
        <v>4</v>
      </c>
      <c r="BS49" s="107">
        <f t="shared" si="6"/>
        <v>4</v>
      </c>
      <c r="BT49" s="181">
        <v>7</v>
      </c>
      <c r="BU49" s="182">
        <v>7</v>
      </c>
      <c r="BV49" s="182">
        <v>8</v>
      </c>
      <c r="BW49" s="108">
        <f t="shared" si="7"/>
        <v>7.333333333333333</v>
      </c>
      <c r="BX49" s="108">
        <v>5</v>
      </c>
      <c r="BY49" s="111">
        <f t="shared" si="8"/>
        <v>16</v>
      </c>
    </row>
    <row r="50" spans="1:77" ht="15.75" customHeight="1">
      <c r="A50" s="122">
        <v>46</v>
      </c>
      <c r="B50" s="98">
        <f>OVERALL!B49</f>
        <v>2301283</v>
      </c>
      <c r="C50" s="98" t="str">
        <f>OVERALL!C49</f>
        <v>Vaibhav Shahi</v>
      </c>
      <c r="D50" s="96" t="s">
        <v>124</v>
      </c>
      <c r="E50" s="96" t="s">
        <v>124</v>
      </c>
      <c r="F50" s="96" t="s">
        <v>123</v>
      </c>
      <c r="G50" s="96" t="s">
        <v>124</v>
      </c>
      <c r="H50" s="96" t="s">
        <v>124</v>
      </c>
      <c r="I50" s="96" t="s">
        <v>123</v>
      </c>
      <c r="J50" s="96" t="s">
        <v>124</v>
      </c>
      <c r="K50" s="96" t="s">
        <v>124</v>
      </c>
      <c r="L50" s="96" t="s">
        <v>124</v>
      </c>
      <c r="M50" s="96" t="s">
        <v>124</v>
      </c>
      <c r="N50" s="96" t="s">
        <v>123</v>
      </c>
      <c r="O50" s="96" t="s">
        <v>123</v>
      </c>
      <c r="P50" s="96" t="s">
        <v>124</v>
      </c>
      <c r="Q50" s="96" t="s">
        <v>123</v>
      </c>
      <c r="R50" s="96" t="s">
        <v>123</v>
      </c>
      <c r="S50" s="96" t="s">
        <v>124</v>
      </c>
      <c r="T50" s="96" t="s">
        <v>124</v>
      </c>
      <c r="U50" s="96" t="s">
        <v>123</v>
      </c>
      <c r="V50" s="96" t="s">
        <v>123</v>
      </c>
      <c r="W50" s="96" t="s">
        <v>124</v>
      </c>
      <c r="X50" s="96" t="s">
        <v>124</v>
      </c>
      <c r="Y50" s="96" t="s">
        <v>124</v>
      </c>
      <c r="Z50" s="96" t="s">
        <v>124</v>
      </c>
      <c r="AA50" s="96" t="s">
        <v>124</v>
      </c>
      <c r="AB50" s="96" t="s">
        <v>124</v>
      </c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88">
        <v>26</v>
      </c>
      <c r="BE50" s="88"/>
      <c r="BF50" s="88">
        <f t="shared" si="0"/>
        <v>26</v>
      </c>
      <c r="BG50" s="88">
        <v>46</v>
      </c>
      <c r="BH50" s="101">
        <f t="shared" si="1"/>
        <v>0.56521739130434778</v>
      </c>
      <c r="BI50" s="374"/>
      <c r="BJ50" s="105">
        <f>OVERALL!A45</f>
        <v>42</v>
      </c>
      <c r="BK50" s="105">
        <f>OVERALL!B45</f>
        <v>2301279</v>
      </c>
      <c r="BL50" s="106" t="str">
        <f>OVERALL!C45</f>
        <v>Tania</v>
      </c>
      <c r="BM50" s="107">
        <f t="shared" si="2"/>
        <v>46</v>
      </c>
      <c r="BN50" s="107">
        <f t="shared" si="3"/>
        <v>36</v>
      </c>
      <c r="BO50" s="108">
        <f t="shared" si="4"/>
        <v>78.260869565217391</v>
      </c>
      <c r="BP50" s="107" t="str">
        <f t="shared" si="5"/>
        <v>2</v>
      </c>
      <c r="BQ50" s="110">
        <v>5</v>
      </c>
      <c r="BR50" s="227">
        <v>5</v>
      </c>
      <c r="BS50" s="107">
        <f t="shared" si="6"/>
        <v>5</v>
      </c>
      <c r="BT50" s="181">
        <v>9</v>
      </c>
      <c r="BU50" s="182">
        <v>8</v>
      </c>
      <c r="BV50" s="182">
        <v>9</v>
      </c>
      <c r="BW50" s="108">
        <f t="shared" si="7"/>
        <v>8.6666666666666661</v>
      </c>
      <c r="BX50" s="108">
        <v>5</v>
      </c>
      <c r="BY50" s="111">
        <f t="shared" si="8"/>
        <v>21</v>
      </c>
    </row>
    <row r="51" spans="1:77" ht="15.75" customHeight="1">
      <c r="A51" s="122">
        <v>47</v>
      </c>
      <c r="B51" s="98">
        <f>OVERALL!B50</f>
        <v>2301284</v>
      </c>
      <c r="C51" s="98" t="str">
        <f>OVERALL!C50</f>
        <v>Vansh Kumar</v>
      </c>
      <c r="D51" s="96" t="s">
        <v>123</v>
      </c>
      <c r="E51" s="96" t="s">
        <v>123</v>
      </c>
      <c r="F51" s="96" t="s">
        <v>124</v>
      </c>
      <c r="G51" s="96" t="s">
        <v>124</v>
      </c>
      <c r="H51" s="96" t="s">
        <v>124</v>
      </c>
      <c r="I51" s="96" t="s">
        <v>123</v>
      </c>
      <c r="J51" s="96" t="s">
        <v>123</v>
      </c>
      <c r="K51" s="96" t="s">
        <v>123</v>
      </c>
      <c r="L51" s="96" t="s">
        <v>123</v>
      </c>
      <c r="M51" s="96" t="s">
        <v>123</v>
      </c>
      <c r="N51" s="96" t="s">
        <v>123</v>
      </c>
      <c r="O51" s="96" t="s">
        <v>123</v>
      </c>
      <c r="P51" s="96" t="s">
        <v>123</v>
      </c>
      <c r="Q51" s="96" t="s">
        <v>123</v>
      </c>
      <c r="R51" s="96" t="s">
        <v>123</v>
      </c>
      <c r="S51" s="96" t="s">
        <v>123</v>
      </c>
      <c r="T51" s="96" t="s">
        <v>123</v>
      </c>
      <c r="U51" s="96" t="s">
        <v>123</v>
      </c>
      <c r="V51" s="96" t="s">
        <v>123</v>
      </c>
      <c r="W51" s="96" t="s">
        <v>123</v>
      </c>
      <c r="X51" s="96" t="s">
        <v>123</v>
      </c>
      <c r="Y51" s="96" t="s">
        <v>123</v>
      </c>
      <c r="Z51" s="96" t="s">
        <v>123</v>
      </c>
      <c r="AA51" s="96" t="s">
        <v>123</v>
      </c>
      <c r="AB51" s="96" t="s">
        <v>123</v>
      </c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88">
        <v>3</v>
      </c>
      <c r="BE51" s="88"/>
      <c r="BF51" s="88">
        <f t="shared" si="0"/>
        <v>3</v>
      </c>
      <c r="BG51" s="88">
        <v>46</v>
      </c>
      <c r="BH51" s="101">
        <f t="shared" si="1"/>
        <v>6.5217391304347824E-2</v>
      </c>
      <c r="BI51" s="374"/>
      <c r="BJ51" s="105">
        <f>OVERALL!A46</f>
        <v>43</v>
      </c>
      <c r="BK51" s="105">
        <f>OVERALL!B46</f>
        <v>2301280</v>
      </c>
      <c r="BL51" s="106" t="str">
        <f>OVERALL!C46</f>
        <v>Taniya</v>
      </c>
      <c r="BM51" s="107">
        <f t="shared" si="2"/>
        <v>46</v>
      </c>
      <c r="BN51" s="107">
        <f t="shared" si="3"/>
        <v>21</v>
      </c>
      <c r="BO51" s="108">
        <f t="shared" si="4"/>
        <v>45.652173913043477</v>
      </c>
      <c r="BP51" s="107" t="str">
        <f t="shared" si="5"/>
        <v>0</v>
      </c>
      <c r="BQ51" s="110">
        <v>1</v>
      </c>
      <c r="BR51" s="227">
        <v>2</v>
      </c>
      <c r="BS51" s="107">
        <f t="shared" si="6"/>
        <v>1.5</v>
      </c>
      <c r="BT51" s="181">
        <v>9</v>
      </c>
      <c r="BU51" s="182">
        <v>9</v>
      </c>
      <c r="BV51" s="182">
        <v>9</v>
      </c>
      <c r="BW51" s="108">
        <f t="shared" si="7"/>
        <v>9</v>
      </c>
      <c r="BX51" s="108">
        <v>5</v>
      </c>
      <c r="BY51" s="111">
        <f t="shared" si="8"/>
        <v>16</v>
      </c>
    </row>
    <row r="52" spans="1:77" ht="15.75" customHeight="1">
      <c r="A52" s="122">
        <v>48</v>
      </c>
      <c r="B52" s="98">
        <f>OVERALL!B51</f>
        <v>2301285</v>
      </c>
      <c r="C52" s="98" t="str">
        <f>OVERALL!C51</f>
        <v>Vansh Sharma</v>
      </c>
      <c r="D52" s="96" t="s">
        <v>123</v>
      </c>
      <c r="E52" s="96" t="s">
        <v>124</v>
      </c>
      <c r="F52" s="96" t="s">
        <v>124</v>
      </c>
      <c r="G52" s="96" t="s">
        <v>124</v>
      </c>
      <c r="H52" s="96" t="s">
        <v>123</v>
      </c>
      <c r="I52" s="96" t="s">
        <v>124</v>
      </c>
      <c r="J52" s="96" t="s">
        <v>123</v>
      </c>
      <c r="K52" s="96" t="s">
        <v>124</v>
      </c>
      <c r="L52" s="96" t="s">
        <v>124</v>
      </c>
      <c r="M52" s="96" t="s">
        <v>124</v>
      </c>
      <c r="N52" s="96" t="s">
        <v>123</v>
      </c>
      <c r="O52" s="96" t="s">
        <v>123</v>
      </c>
      <c r="P52" s="96" t="s">
        <v>123</v>
      </c>
      <c r="Q52" s="96" t="s">
        <v>124</v>
      </c>
      <c r="R52" s="96" t="s">
        <v>124</v>
      </c>
      <c r="S52" s="96" t="s">
        <v>124</v>
      </c>
      <c r="T52" s="96" t="s">
        <v>124</v>
      </c>
      <c r="U52" s="96" t="s">
        <v>123</v>
      </c>
      <c r="V52" s="96" t="s">
        <v>124</v>
      </c>
      <c r="W52" s="96" t="s">
        <v>124</v>
      </c>
      <c r="X52" s="96" t="s">
        <v>124</v>
      </c>
      <c r="Y52" s="96" t="s">
        <v>124</v>
      </c>
      <c r="Z52" s="96" t="s">
        <v>124</v>
      </c>
      <c r="AA52" s="96" t="s">
        <v>123</v>
      </c>
      <c r="AB52" s="96" t="s">
        <v>124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88">
        <v>30</v>
      </c>
      <c r="BE52" s="88"/>
      <c r="BF52" s="88">
        <f t="shared" si="0"/>
        <v>30</v>
      </c>
      <c r="BG52" s="88">
        <v>46</v>
      </c>
      <c r="BH52" s="101">
        <f t="shared" si="1"/>
        <v>0.65217391304347827</v>
      </c>
      <c r="BI52" s="374"/>
      <c r="BJ52" s="105">
        <f>OVERALL!A47</f>
        <v>44</v>
      </c>
      <c r="BK52" s="105">
        <f>OVERALL!B47</f>
        <v>2301281</v>
      </c>
      <c r="BL52" s="106" t="str">
        <f>OVERALL!C47</f>
        <v>Taziko Trakha</v>
      </c>
      <c r="BM52" s="107">
        <f t="shared" si="2"/>
        <v>46</v>
      </c>
      <c r="BN52" s="107">
        <f t="shared" si="3"/>
        <v>25</v>
      </c>
      <c r="BO52" s="108">
        <f t="shared" si="4"/>
        <v>54.347826086956516</v>
      </c>
      <c r="BP52" s="107" t="str">
        <f t="shared" si="5"/>
        <v>0</v>
      </c>
      <c r="BQ52" s="110">
        <v>10</v>
      </c>
      <c r="BR52" s="227">
        <v>6</v>
      </c>
      <c r="BS52" s="107">
        <f t="shared" si="6"/>
        <v>8</v>
      </c>
      <c r="BT52" s="181">
        <v>8</v>
      </c>
      <c r="BU52" s="182">
        <v>7</v>
      </c>
      <c r="BV52" s="182">
        <v>8</v>
      </c>
      <c r="BW52" s="129">
        <f t="shared" si="7"/>
        <v>7.666666666666667</v>
      </c>
      <c r="BX52" s="108">
        <v>5</v>
      </c>
      <c r="BY52" s="111">
        <f t="shared" si="8"/>
        <v>21</v>
      </c>
    </row>
    <row r="53" spans="1:77" ht="15.75" customHeight="1">
      <c r="A53" s="122">
        <v>49</v>
      </c>
      <c r="B53" s="98">
        <f>OVERALL!B52</f>
        <v>2301286</v>
      </c>
      <c r="C53" s="130" t="str">
        <f>OVERALL!C52</f>
        <v>Vikramjit Singh</v>
      </c>
      <c r="D53" s="96" t="s">
        <v>123</v>
      </c>
      <c r="E53" s="96" t="s">
        <v>123</v>
      </c>
      <c r="F53" s="96" t="s">
        <v>123</v>
      </c>
      <c r="G53" s="96" t="s">
        <v>124</v>
      </c>
      <c r="H53" s="96" t="s">
        <v>124</v>
      </c>
      <c r="I53" s="96" t="s">
        <v>124</v>
      </c>
      <c r="J53" s="96" t="s">
        <v>123</v>
      </c>
      <c r="K53" s="96" t="s">
        <v>124</v>
      </c>
      <c r="L53" s="96" t="s">
        <v>124</v>
      </c>
      <c r="M53" s="96" t="s">
        <v>124</v>
      </c>
      <c r="N53" s="96" t="s">
        <v>123</v>
      </c>
      <c r="O53" s="96" t="s">
        <v>123</v>
      </c>
      <c r="P53" s="96" t="s">
        <v>123</v>
      </c>
      <c r="Q53" s="96" t="s">
        <v>123</v>
      </c>
      <c r="R53" s="96" t="s">
        <v>123</v>
      </c>
      <c r="S53" s="96" t="s">
        <v>123</v>
      </c>
      <c r="T53" s="96" t="s">
        <v>123</v>
      </c>
      <c r="U53" s="96" t="s">
        <v>123</v>
      </c>
      <c r="V53" s="96" t="s">
        <v>123</v>
      </c>
      <c r="W53" s="96" t="s">
        <v>123</v>
      </c>
      <c r="X53" s="96" t="s">
        <v>123</v>
      </c>
      <c r="Y53" s="96" t="s">
        <v>123</v>
      </c>
      <c r="Z53" s="96" t="s">
        <v>123</v>
      </c>
      <c r="AA53" s="96" t="s">
        <v>123</v>
      </c>
      <c r="AB53" s="96" t="s">
        <v>123</v>
      </c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166">
        <v>6</v>
      </c>
      <c r="BE53" s="88"/>
      <c r="BF53" s="88">
        <f t="shared" si="0"/>
        <v>6</v>
      </c>
      <c r="BG53" s="88">
        <v>46</v>
      </c>
      <c r="BH53" s="101">
        <f t="shared" si="1"/>
        <v>0.13043478260869565</v>
      </c>
      <c r="BI53" s="374"/>
      <c r="BJ53" s="105">
        <f>OVERALL!A48</f>
        <v>45</v>
      </c>
      <c r="BK53" s="105">
        <f>OVERALL!B48</f>
        <v>2301282</v>
      </c>
      <c r="BL53" s="106" t="str">
        <f>OVERALL!C48</f>
        <v>Uday Kumar</v>
      </c>
      <c r="BM53" s="107">
        <f t="shared" si="2"/>
        <v>46</v>
      </c>
      <c r="BN53" s="107">
        <f t="shared" si="3"/>
        <v>17</v>
      </c>
      <c r="BO53" s="108">
        <f t="shared" si="4"/>
        <v>36.95652173913043</v>
      </c>
      <c r="BP53" s="135" t="str">
        <f t="shared" si="5"/>
        <v>0</v>
      </c>
      <c r="BQ53" s="110">
        <v>3</v>
      </c>
      <c r="BR53" s="227">
        <v>1</v>
      </c>
      <c r="BS53" s="107">
        <f t="shared" si="6"/>
        <v>2</v>
      </c>
      <c r="BT53" s="229">
        <v>9</v>
      </c>
      <c r="BU53" s="230">
        <v>9</v>
      </c>
      <c r="BV53" s="230">
        <v>9</v>
      </c>
      <c r="BW53" s="108">
        <f t="shared" si="7"/>
        <v>9</v>
      </c>
      <c r="BX53" s="108">
        <v>5</v>
      </c>
      <c r="BY53" s="133">
        <f t="shared" si="8"/>
        <v>16</v>
      </c>
    </row>
    <row r="54" spans="1:77" ht="15.75" customHeight="1">
      <c r="A54" s="122">
        <v>50</v>
      </c>
      <c r="B54" s="98">
        <f>OVERALL!B53</f>
        <v>2301287</v>
      </c>
      <c r="C54" s="130" t="str">
        <f>OVERALL!C53</f>
        <v>Vishavjit Singh</v>
      </c>
      <c r="D54" s="96" t="s">
        <v>123</v>
      </c>
      <c r="E54" s="96" t="s">
        <v>123</v>
      </c>
      <c r="F54" s="96" t="s">
        <v>124</v>
      </c>
      <c r="G54" s="96" t="s">
        <v>124</v>
      </c>
      <c r="H54" s="96" t="s">
        <v>124</v>
      </c>
      <c r="I54" s="96" t="s">
        <v>124</v>
      </c>
      <c r="J54" s="96" t="s">
        <v>123</v>
      </c>
      <c r="K54" s="96" t="s">
        <v>123</v>
      </c>
      <c r="L54" s="96" t="s">
        <v>123</v>
      </c>
      <c r="M54" s="96" t="s">
        <v>123</v>
      </c>
      <c r="N54" s="96" t="s">
        <v>123</v>
      </c>
      <c r="O54" s="96" t="s">
        <v>123</v>
      </c>
      <c r="P54" s="96" t="s">
        <v>123</v>
      </c>
      <c r="Q54" s="96" t="s">
        <v>123</v>
      </c>
      <c r="R54" s="96" t="s">
        <v>123</v>
      </c>
      <c r="S54" s="96" t="s">
        <v>123</v>
      </c>
      <c r="T54" s="96" t="s">
        <v>123</v>
      </c>
      <c r="U54" s="96" t="s">
        <v>123</v>
      </c>
      <c r="V54" s="96" t="s">
        <v>123</v>
      </c>
      <c r="W54" s="96" t="s">
        <v>123</v>
      </c>
      <c r="X54" s="96" t="s">
        <v>123</v>
      </c>
      <c r="Y54" s="96" t="s">
        <v>123</v>
      </c>
      <c r="Z54" s="96" t="s">
        <v>123</v>
      </c>
      <c r="AA54" s="96" t="s">
        <v>123</v>
      </c>
      <c r="AB54" s="96" t="s">
        <v>123</v>
      </c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166">
        <v>4</v>
      </c>
      <c r="BE54" s="88"/>
      <c r="BF54" s="88">
        <f t="shared" si="0"/>
        <v>4</v>
      </c>
      <c r="BG54" s="88">
        <v>46</v>
      </c>
      <c r="BH54" s="101">
        <f t="shared" si="1"/>
        <v>8.6956521739130432E-2</v>
      </c>
      <c r="BI54" s="24"/>
      <c r="BJ54" s="105">
        <f>OVERALL!A49</f>
        <v>46</v>
      </c>
      <c r="BK54" s="105">
        <f>OVERALL!B49</f>
        <v>2301283</v>
      </c>
      <c r="BL54" s="106" t="str">
        <f>OVERALL!C49</f>
        <v>Vaibhav Shahi</v>
      </c>
      <c r="BM54" s="107">
        <f t="shared" si="2"/>
        <v>46</v>
      </c>
      <c r="BN54" s="107">
        <f t="shared" si="3"/>
        <v>26</v>
      </c>
      <c r="BO54" s="108">
        <f t="shared" si="4"/>
        <v>56.521739130434781</v>
      </c>
      <c r="BP54" s="135" t="str">
        <f t="shared" si="5"/>
        <v>0</v>
      </c>
      <c r="BQ54" s="110">
        <v>6</v>
      </c>
      <c r="BR54" s="227">
        <v>0</v>
      </c>
      <c r="BS54" s="107">
        <f t="shared" si="6"/>
        <v>3</v>
      </c>
      <c r="BT54" s="181">
        <v>7</v>
      </c>
      <c r="BU54" s="182">
        <v>8</v>
      </c>
      <c r="BV54" s="182">
        <v>8</v>
      </c>
      <c r="BW54" s="108">
        <f t="shared" si="7"/>
        <v>7.666666666666667</v>
      </c>
      <c r="BX54" s="108">
        <v>5</v>
      </c>
      <c r="BY54" s="133">
        <f t="shared" si="8"/>
        <v>16</v>
      </c>
    </row>
    <row r="55" spans="1:77" ht="15.75" customHeight="1">
      <c r="A55" s="122">
        <v>51</v>
      </c>
      <c r="B55" s="98">
        <f>OVERALL!B54</f>
        <v>2339508</v>
      </c>
      <c r="C55" s="130" t="str">
        <f>OVERALL!C54</f>
        <v>TANISHA</v>
      </c>
      <c r="D55" s="96" t="s">
        <v>123</v>
      </c>
      <c r="E55" s="96" t="s">
        <v>124</v>
      </c>
      <c r="F55" s="96" t="s">
        <v>124</v>
      </c>
      <c r="G55" s="96" t="s">
        <v>124</v>
      </c>
      <c r="H55" s="96" t="s">
        <v>124</v>
      </c>
      <c r="I55" s="96" t="s">
        <v>124</v>
      </c>
      <c r="J55" s="96" t="s">
        <v>123</v>
      </c>
      <c r="K55" s="96" t="s">
        <v>123</v>
      </c>
      <c r="L55" s="96" t="s">
        <v>123</v>
      </c>
      <c r="M55" s="96" t="s">
        <v>123</v>
      </c>
      <c r="N55" s="96" t="s">
        <v>123</v>
      </c>
      <c r="O55" s="96" t="s">
        <v>124</v>
      </c>
      <c r="P55" s="96" t="s">
        <v>124</v>
      </c>
      <c r="Q55" s="96" t="s">
        <v>124</v>
      </c>
      <c r="R55" s="96" t="s">
        <v>124</v>
      </c>
      <c r="S55" s="96" t="s">
        <v>123</v>
      </c>
      <c r="T55" s="96" t="s">
        <v>123</v>
      </c>
      <c r="U55" s="96" t="s">
        <v>123</v>
      </c>
      <c r="V55" s="96" t="s">
        <v>124</v>
      </c>
      <c r="W55" s="96" t="s">
        <v>124</v>
      </c>
      <c r="X55" s="96" t="s">
        <v>124</v>
      </c>
      <c r="Y55" s="96" t="s">
        <v>124</v>
      </c>
      <c r="Z55" s="96" t="s">
        <v>124</v>
      </c>
      <c r="AA55" s="96" t="s">
        <v>124</v>
      </c>
      <c r="AB55" s="96" t="s">
        <v>124</v>
      </c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166">
        <v>29</v>
      </c>
      <c r="BE55" s="88"/>
      <c r="BF55" s="88">
        <f t="shared" si="0"/>
        <v>29</v>
      </c>
      <c r="BG55" s="88">
        <v>46</v>
      </c>
      <c r="BH55" s="101">
        <f t="shared" si="1"/>
        <v>0.63043478260869568</v>
      </c>
      <c r="BI55" s="24"/>
      <c r="BJ55" s="105">
        <f>OVERALL!A50</f>
        <v>47</v>
      </c>
      <c r="BK55" s="105">
        <f>OVERALL!B50</f>
        <v>2301284</v>
      </c>
      <c r="BL55" s="106" t="str">
        <f>OVERALL!C50</f>
        <v>Vansh Kumar</v>
      </c>
      <c r="BM55" s="107">
        <f t="shared" si="2"/>
        <v>46</v>
      </c>
      <c r="BN55" s="107">
        <f t="shared" si="3"/>
        <v>3</v>
      </c>
      <c r="BO55" s="108">
        <f t="shared" si="4"/>
        <v>6.5217391304347823</v>
      </c>
      <c r="BP55" s="135" t="str">
        <f t="shared" si="5"/>
        <v>0</v>
      </c>
      <c r="BQ55" s="110">
        <v>0</v>
      </c>
      <c r="BR55" s="227">
        <v>0</v>
      </c>
      <c r="BS55" s="107">
        <f t="shared" si="6"/>
        <v>0</v>
      </c>
      <c r="BT55" s="181">
        <v>0</v>
      </c>
      <c r="BU55" s="182">
        <v>0</v>
      </c>
      <c r="BV55" s="182">
        <v>0</v>
      </c>
      <c r="BW55" s="108">
        <f t="shared" si="7"/>
        <v>0</v>
      </c>
      <c r="BX55" s="108">
        <v>2</v>
      </c>
      <c r="BY55" s="133">
        <f t="shared" si="8"/>
        <v>2</v>
      </c>
    </row>
    <row r="56" spans="1:77" ht="15.75" customHeight="1">
      <c r="A56" s="122">
        <v>52</v>
      </c>
      <c r="B56" s="98">
        <f>OVERALL!B55</f>
        <v>2339509</v>
      </c>
      <c r="C56" s="130" t="str">
        <f>OVERALL!C55</f>
        <v>TOHIED AHMED</v>
      </c>
      <c r="D56" s="96" t="s">
        <v>123</v>
      </c>
      <c r="E56" s="96" t="s">
        <v>123</v>
      </c>
      <c r="F56" s="96" t="s">
        <v>123</v>
      </c>
      <c r="G56" s="96" t="s">
        <v>123</v>
      </c>
      <c r="H56" s="96" t="s">
        <v>123</v>
      </c>
      <c r="I56" s="96" t="s">
        <v>123</v>
      </c>
      <c r="J56" s="96" t="s">
        <v>123</v>
      </c>
      <c r="K56" s="96" t="s">
        <v>123</v>
      </c>
      <c r="L56" s="96" t="s">
        <v>123</v>
      </c>
      <c r="M56" s="96" t="s">
        <v>123</v>
      </c>
      <c r="N56" s="96" t="s">
        <v>123</v>
      </c>
      <c r="O56" s="96" t="s">
        <v>123</v>
      </c>
      <c r="P56" s="96" t="s">
        <v>123</v>
      </c>
      <c r="Q56" s="96" t="s">
        <v>123</v>
      </c>
      <c r="R56" s="96" t="s">
        <v>123</v>
      </c>
      <c r="S56" s="96" t="s">
        <v>123</v>
      </c>
      <c r="T56" s="96" t="s">
        <v>123</v>
      </c>
      <c r="U56" s="96" t="s">
        <v>123</v>
      </c>
      <c r="V56" s="96" t="s">
        <v>123</v>
      </c>
      <c r="W56" s="96" t="s">
        <v>123</v>
      </c>
      <c r="X56" s="96" t="s">
        <v>123</v>
      </c>
      <c r="Y56" s="96" t="s">
        <v>123</v>
      </c>
      <c r="Z56" s="96" t="s">
        <v>123</v>
      </c>
      <c r="AA56" s="96" t="s">
        <v>123</v>
      </c>
      <c r="AB56" s="96" t="s">
        <v>123</v>
      </c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166">
        <v>0</v>
      </c>
      <c r="BE56" s="88"/>
      <c r="BF56" s="88">
        <f t="shared" si="0"/>
        <v>0</v>
      </c>
      <c r="BG56" s="88">
        <v>46</v>
      </c>
      <c r="BH56" s="101">
        <f t="shared" si="1"/>
        <v>0</v>
      </c>
      <c r="BI56" s="24"/>
      <c r="BJ56" s="105">
        <f>OVERALL!A51</f>
        <v>48</v>
      </c>
      <c r="BK56" s="105">
        <f>OVERALL!B51</f>
        <v>2301285</v>
      </c>
      <c r="BL56" s="106" t="str">
        <f>OVERALL!C51</f>
        <v>Vansh Sharma</v>
      </c>
      <c r="BM56" s="107">
        <f t="shared" si="2"/>
        <v>46</v>
      </c>
      <c r="BN56" s="107">
        <f t="shared" si="3"/>
        <v>30</v>
      </c>
      <c r="BO56" s="108">
        <f t="shared" si="4"/>
        <v>65.217391304347828</v>
      </c>
      <c r="BP56" s="135" t="str">
        <f t="shared" si="5"/>
        <v>0</v>
      </c>
      <c r="BQ56" s="110">
        <v>1</v>
      </c>
      <c r="BR56" s="227">
        <v>2</v>
      </c>
      <c r="BS56" s="107">
        <f t="shared" si="6"/>
        <v>1.5</v>
      </c>
      <c r="BT56" s="181">
        <v>9</v>
      </c>
      <c r="BU56" s="182">
        <v>9</v>
      </c>
      <c r="BV56" s="182">
        <v>9</v>
      </c>
      <c r="BW56" s="108">
        <f t="shared" si="7"/>
        <v>9</v>
      </c>
      <c r="BX56" s="108">
        <v>5</v>
      </c>
      <c r="BY56" s="133">
        <f t="shared" si="8"/>
        <v>16</v>
      </c>
    </row>
    <row r="57" spans="1:77" ht="15.75" customHeight="1">
      <c r="A57" s="122">
        <v>53</v>
      </c>
      <c r="B57" s="98">
        <f>OVERALL!B56</f>
        <v>2301207</v>
      </c>
      <c r="C57" s="130" t="str">
        <f>OVERALL!C56</f>
        <v>Harsh thakur</v>
      </c>
      <c r="D57" s="96" t="s">
        <v>123</v>
      </c>
      <c r="E57" s="96" t="s">
        <v>123</v>
      </c>
      <c r="F57" s="96" t="s">
        <v>123</v>
      </c>
      <c r="G57" s="96" t="s">
        <v>123</v>
      </c>
      <c r="H57" s="96" t="s">
        <v>123</v>
      </c>
      <c r="I57" s="96" t="s">
        <v>123</v>
      </c>
      <c r="J57" s="96" t="s">
        <v>123</v>
      </c>
      <c r="K57" s="96" t="s">
        <v>123</v>
      </c>
      <c r="L57" s="96" t="s">
        <v>123</v>
      </c>
      <c r="M57" s="96" t="s">
        <v>123</v>
      </c>
      <c r="N57" s="96" t="s">
        <v>123</v>
      </c>
      <c r="O57" s="96" t="s">
        <v>123</v>
      </c>
      <c r="P57" s="96" t="s">
        <v>123</v>
      </c>
      <c r="Q57" s="96" t="s">
        <v>123</v>
      </c>
      <c r="R57" s="96" t="s">
        <v>123</v>
      </c>
      <c r="S57" s="96" t="s">
        <v>123</v>
      </c>
      <c r="T57" s="96" t="s">
        <v>123</v>
      </c>
      <c r="U57" s="96" t="s">
        <v>123</v>
      </c>
      <c r="V57" s="96" t="s">
        <v>123</v>
      </c>
      <c r="W57" s="96" t="s">
        <v>123</v>
      </c>
      <c r="X57" s="96" t="s">
        <v>123</v>
      </c>
      <c r="Y57" s="96" t="s">
        <v>123</v>
      </c>
      <c r="Z57" s="96" t="s">
        <v>123</v>
      </c>
      <c r="AA57" s="96" t="s">
        <v>123</v>
      </c>
      <c r="AB57" s="96" t="s">
        <v>123</v>
      </c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166">
        <v>0</v>
      </c>
      <c r="BE57" s="88"/>
      <c r="BF57" s="88">
        <f t="shared" si="0"/>
        <v>0</v>
      </c>
      <c r="BG57" s="88">
        <v>46</v>
      </c>
      <c r="BH57" s="101">
        <f t="shared" si="1"/>
        <v>0</v>
      </c>
      <c r="BI57" s="24"/>
      <c r="BJ57" s="105">
        <f>OVERALL!A52</f>
        <v>49</v>
      </c>
      <c r="BK57" s="105">
        <f>OVERALL!B52</f>
        <v>2301286</v>
      </c>
      <c r="BL57" s="106" t="str">
        <f>OVERALL!C52</f>
        <v>Vikramjit Singh</v>
      </c>
      <c r="BM57" s="107">
        <f t="shared" si="2"/>
        <v>46</v>
      </c>
      <c r="BN57" s="107">
        <f t="shared" si="3"/>
        <v>6</v>
      </c>
      <c r="BO57" s="108">
        <f t="shared" si="4"/>
        <v>13.043478260869565</v>
      </c>
      <c r="BP57" s="135" t="str">
        <f t="shared" si="5"/>
        <v>0</v>
      </c>
      <c r="BQ57" s="110">
        <v>0</v>
      </c>
      <c r="BR57" s="227">
        <v>0</v>
      </c>
      <c r="BS57" s="107">
        <f t="shared" si="6"/>
        <v>0</v>
      </c>
      <c r="BT57" s="181">
        <v>0</v>
      </c>
      <c r="BU57" s="182">
        <v>0</v>
      </c>
      <c r="BV57" s="182">
        <v>0</v>
      </c>
      <c r="BW57" s="108">
        <f t="shared" si="7"/>
        <v>0</v>
      </c>
      <c r="BX57" s="108">
        <v>2</v>
      </c>
      <c r="BY57" s="133">
        <f t="shared" si="8"/>
        <v>2</v>
      </c>
    </row>
    <row r="58" spans="1:77" ht="15.75" customHeight="1">
      <c r="A58" s="122">
        <v>54</v>
      </c>
      <c r="B58" s="98" t="str">
        <f>OVERALL!B57</f>
        <v>Leet</v>
      </c>
      <c r="C58" s="130" t="str">
        <f>OVERALL!C57</f>
        <v>Gagan</v>
      </c>
      <c r="D58" s="96" t="s">
        <v>123</v>
      </c>
      <c r="E58" s="96" t="s">
        <v>124</v>
      </c>
      <c r="F58" s="96" t="s">
        <v>124</v>
      </c>
      <c r="G58" s="96" t="s">
        <v>124</v>
      </c>
      <c r="H58" s="96" t="s">
        <v>124</v>
      </c>
      <c r="I58" s="96" t="s">
        <v>124</v>
      </c>
      <c r="J58" s="96" t="s">
        <v>124</v>
      </c>
      <c r="K58" s="96" t="s">
        <v>123</v>
      </c>
      <c r="L58" s="96" t="s">
        <v>124</v>
      </c>
      <c r="M58" s="96" t="s">
        <v>124</v>
      </c>
      <c r="N58" s="96" t="s">
        <v>124</v>
      </c>
      <c r="O58" s="96" t="s">
        <v>124</v>
      </c>
      <c r="P58" s="96" t="s">
        <v>123</v>
      </c>
      <c r="Q58" s="96" t="s">
        <v>123</v>
      </c>
      <c r="R58" s="96" t="s">
        <v>124</v>
      </c>
      <c r="S58" s="96" t="s">
        <v>123</v>
      </c>
      <c r="T58" s="96" t="s">
        <v>123</v>
      </c>
      <c r="U58" s="96" t="s">
        <v>123</v>
      </c>
      <c r="V58" s="96" t="s">
        <v>124</v>
      </c>
      <c r="W58" s="96" t="s">
        <v>124</v>
      </c>
      <c r="X58" s="96" t="s">
        <v>124</v>
      </c>
      <c r="Y58" s="96" t="s">
        <v>124</v>
      </c>
      <c r="Z58" s="96" t="s">
        <v>124</v>
      </c>
      <c r="AA58" s="96" t="s">
        <v>124</v>
      </c>
      <c r="AB58" s="96" t="s">
        <v>124</v>
      </c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166">
        <v>34</v>
      </c>
      <c r="BE58" s="88"/>
      <c r="BF58" s="88">
        <f t="shared" si="0"/>
        <v>34</v>
      </c>
      <c r="BG58" s="88">
        <v>46</v>
      </c>
      <c r="BH58" s="101">
        <f t="shared" si="1"/>
        <v>0.73913043478260865</v>
      </c>
      <c r="BI58" s="24"/>
      <c r="BJ58" s="105">
        <f>OVERALL!A53</f>
        <v>50</v>
      </c>
      <c r="BK58" s="105">
        <f>OVERALL!B53</f>
        <v>2301287</v>
      </c>
      <c r="BL58" s="106" t="str">
        <f>OVERALL!C53</f>
        <v>Vishavjit Singh</v>
      </c>
      <c r="BM58" s="107">
        <f t="shared" si="2"/>
        <v>46</v>
      </c>
      <c r="BN58" s="107">
        <f t="shared" si="3"/>
        <v>4</v>
      </c>
      <c r="BO58" s="108">
        <f t="shared" si="4"/>
        <v>8.695652173913043</v>
      </c>
      <c r="BP58" s="135" t="str">
        <f t="shared" si="5"/>
        <v>0</v>
      </c>
      <c r="BQ58" s="110">
        <v>0</v>
      </c>
      <c r="BR58" s="227">
        <v>0</v>
      </c>
      <c r="BS58" s="107">
        <f t="shared" si="6"/>
        <v>0</v>
      </c>
      <c r="BT58" s="181">
        <v>0</v>
      </c>
      <c r="BU58" s="182">
        <v>0</v>
      </c>
      <c r="BV58" s="182">
        <v>0</v>
      </c>
      <c r="BW58" s="108">
        <f t="shared" si="7"/>
        <v>0</v>
      </c>
      <c r="BX58" s="108">
        <v>2</v>
      </c>
      <c r="BY58" s="133">
        <f t="shared" si="8"/>
        <v>2</v>
      </c>
    </row>
    <row r="59" spans="1:77" ht="15.75" customHeight="1">
      <c r="A59" s="122">
        <v>55</v>
      </c>
      <c r="B59" s="98" t="str">
        <f>OVERALL!B58</f>
        <v>Leet</v>
      </c>
      <c r="C59" s="130" t="str">
        <f>OVERALL!C58</f>
        <v>Manisha</v>
      </c>
      <c r="D59" s="96" t="s">
        <v>123</v>
      </c>
      <c r="E59" s="96" t="s">
        <v>123</v>
      </c>
      <c r="F59" s="96" t="s">
        <v>123</v>
      </c>
      <c r="G59" s="96" t="s">
        <v>124</v>
      </c>
      <c r="H59" s="96" t="s">
        <v>124</v>
      </c>
      <c r="I59" s="96" t="s">
        <v>124</v>
      </c>
      <c r="J59" s="96" t="s">
        <v>124</v>
      </c>
      <c r="K59" s="96" t="s">
        <v>124</v>
      </c>
      <c r="L59" s="96" t="s">
        <v>124</v>
      </c>
      <c r="M59" s="96" t="s">
        <v>124</v>
      </c>
      <c r="N59" s="96" t="s">
        <v>124</v>
      </c>
      <c r="O59" s="96" t="s">
        <v>124</v>
      </c>
      <c r="P59" s="96" t="s">
        <v>124</v>
      </c>
      <c r="Q59" s="96" t="s">
        <v>124</v>
      </c>
      <c r="R59" s="96" t="s">
        <v>124</v>
      </c>
      <c r="S59" s="96" t="s">
        <v>123</v>
      </c>
      <c r="T59" s="96" t="s">
        <v>123</v>
      </c>
      <c r="U59" s="96" t="s">
        <v>124</v>
      </c>
      <c r="V59" s="96" t="s">
        <v>123</v>
      </c>
      <c r="W59" s="96" t="s">
        <v>123</v>
      </c>
      <c r="X59" s="96" t="s">
        <v>124</v>
      </c>
      <c r="Y59" s="96" t="s">
        <v>124</v>
      </c>
      <c r="Z59" s="96" t="s">
        <v>124</v>
      </c>
      <c r="AA59" s="96" t="s">
        <v>124</v>
      </c>
      <c r="AB59" s="96" t="s">
        <v>124</v>
      </c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166">
        <v>35</v>
      </c>
      <c r="BE59" s="88"/>
      <c r="BF59" s="88">
        <f t="shared" si="0"/>
        <v>35</v>
      </c>
      <c r="BG59" s="88">
        <v>46</v>
      </c>
      <c r="BH59" s="101">
        <f t="shared" si="1"/>
        <v>0.76086956521739135</v>
      </c>
      <c r="BI59" s="24"/>
      <c r="BJ59" s="105">
        <f>OVERALL!A54</f>
        <v>51</v>
      </c>
      <c r="BK59" s="105">
        <f>OVERALL!B54</f>
        <v>2339508</v>
      </c>
      <c r="BL59" s="106" t="str">
        <f>OVERALL!C54</f>
        <v>TANISHA</v>
      </c>
      <c r="BM59" s="107">
        <f t="shared" si="2"/>
        <v>46</v>
      </c>
      <c r="BN59" s="107">
        <f t="shared" si="3"/>
        <v>29</v>
      </c>
      <c r="BO59" s="108">
        <f t="shared" si="4"/>
        <v>63.043478260869563</v>
      </c>
      <c r="BP59" s="135" t="str">
        <f t="shared" si="5"/>
        <v>0</v>
      </c>
      <c r="BQ59" s="110">
        <v>3</v>
      </c>
      <c r="BR59" s="227">
        <v>8</v>
      </c>
      <c r="BS59" s="107">
        <f t="shared" si="6"/>
        <v>5.5</v>
      </c>
      <c r="BT59" s="181">
        <v>6</v>
      </c>
      <c r="BU59" s="182">
        <v>8</v>
      </c>
      <c r="BV59" s="182">
        <v>8</v>
      </c>
      <c r="BW59" s="108">
        <f t="shared" si="7"/>
        <v>7.333333333333333</v>
      </c>
      <c r="BX59" s="108">
        <v>5</v>
      </c>
      <c r="BY59" s="133">
        <f t="shared" si="8"/>
        <v>18</v>
      </c>
    </row>
    <row r="60" spans="1:77" ht="15.75" customHeight="1">
      <c r="A60" s="122">
        <v>56</v>
      </c>
      <c r="B60" s="98" t="str">
        <f>OVERALL!B59</f>
        <v>Leet</v>
      </c>
      <c r="C60" s="130" t="str">
        <f>OVERALL!C59</f>
        <v>Richa</v>
      </c>
      <c r="D60" s="96" t="s">
        <v>123</v>
      </c>
      <c r="E60" s="96" t="s">
        <v>123</v>
      </c>
      <c r="F60" s="96" t="s">
        <v>124</v>
      </c>
      <c r="G60" s="96" t="s">
        <v>124</v>
      </c>
      <c r="H60" s="96" t="s">
        <v>124</v>
      </c>
      <c r="I60" s="96" t="s">
        <v>124</v>
      </c>
      <c r="J60" s="96" t="s">
        <v>124</v>
      </c>
      <c r="K60" s="96" t="s">
        <v>124</v>
      </c>
      <c r="L60" s="96" t="s">
        <v>124</v>
      </c>
      <c r="M60" s="96" t="s">
        <v>124</v>
      </c>
      <c r="N60" s="96" t="s">
        <v>123</v>
      </c>
      <c r="O60" s="96" t="s">
        <v>124</v>
      </c>
      <c r="P60" s="96" t="s">
        <v>124</v>
      </c>
      <c r="Q60" s="96" t="s">
        <v>124</v>
      </c>
      <c r="R60" s="96" t="s">
        <v>124</v>
      </c>
      <c r="S60" s="96" t="s">
        <v>123</v>
      </c>
      <c r="T60" s="96" t="s">
        <v>123</v>
      </c>
      <c r="U60" s="96" t="s">
        <v>124</v>
      </c>
      <c r="V60" s="96" t="s">
        <v>124</v>
      </c>
      <c r="W60" s="96" t="s">
        <v>124</v>
      </c>
      <c r="X60" s="96" t="s">
        <v>124</v>
      </c>
      <c r="Y60" s="96" t="s">
        <v>124</v>
      </c>
      <c r="Z60" s="96" t="s">
        <v>124</v>
      </c>
      <c r="AA60" s="96" t="s">
        <v>124</v>
      </c>
      <c r="AB60" s="96" t="s">
        <v>124</v>
      </c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166">
        <v>37</v>
      </c>
      <c r="BE60" s="88">
        <v>1</v>
      </c>
      <c r="BF60" s="88">
        <f t="shared" si="0"/>
        <v>38</v>
      </c>
      <c r="BG60" s="88">
        <v>46</v>
      </c>
      <c r="BH60" s="101">
        <f t="shared" si="1"/>
        <v>0.82608695652173914</v>
      </c>
      <c r="BI60" s="24"/>
      <c r="BJ60" s="105">
        <f>OVERALL!A55</f>
        <v>52</v>
      </c>
      <c r="BK60" s="105">
        <f>OVERALL!B55</f>
        <v>2339509</v>
      </c>
      <c r="BL60" s="106" t="str">
        <f>OVERALL!C55</f>
        <v>TOHIED AHMED</v>
      </c>
      <c r="BM60" s="107">
        <f t="shared" si="2"/>
        <v>46</v>
      </c>
      <c r="BN60" s="107">
        <f t="shared" si="3"/>
        <v>0</v>
      </c>
      <c r="BO60" s="108">
        <f t="shared" si="4"/>
        <v>0</v>
      </c>
      <c r="BP60" s="135" t="str">
        <f t="shared" si="5"/>
        <v>0</v>
      </c>
      <c r="BQ60" s="110">
        <v>0</v>
      </c>
      <c r="BR60" s="227">
        <v>0</v>
      </c>
      <c r="BS60" s="107">
        <f t="shared" si="6"/>
        <v>0</v>
      </c>
      <c r="BT60" s="181">
        <v>0</v>
      </c>
      <c r="BU60" s="182">
        <v>0</v>
      </c>
      <c r="BV60" s="182">
        <v>0</v>
      </c>
      <c r="BW60" s="108">
        <f t="shared" si="7"/>
        <v>0</v>
      </c>
      <c r="BX60" s="108">
        <v>2</v>
      </c>
      <c r="BY60" s="133">
        <f t="shared" si="8"/>
        <v>2</v>
      </c>
    </row>
    <row r="61" spans="1:77" ht="15.75" customHeight="1">
      <c r="A61" s="52">
        <v>57</v>
      </c>
      <c r="B61" s="98" t="str">
        <f>OVERALL!B60</f>
        <v>Leet</v>
      </c>
      <c r="C61" s="130" t="str">
        <f>OVERALL!C60</f>
        <v>Prakriti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 t="s">
        <v>124</v>
      </c>
      <c r="R61" s="96" t="s">
        <v>124</v>
      </c>
      <c r="S61" s="96" t="s">
        <v>124</v>
      </c>
      <c r="T61" s="96" t="s">
        <v>124</v>
      </c>
      <c r="U61" s="96" t="s">
        <v>124</v>
      </c>
      <c r="V61" s="96" t="s">
        <v>124</v>
      </c>
      <c r="W61" s="96" t="s">
        <v>124</v>
      </c>
      <c r="X61" s="96" t="s">
        <v>124</v>
      </c>
      <c r="Y61" s="96" t="s">
        <v>124</v>
      </c>
      <c r="Z61" s="96" t="s">
        <v>124</v>
      </c>
      <c r="AA61" s="96" t="s">
        <v>124</v>
      </c>
      <c r="AB61" s="96" t="s">
        <v>124</v>
      </c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88">
        <v>28</v>
      </c>
      <c r="BE61" s="88"/>
      <c r="BF61" s="88">
        <f t="shared" si="0"/>
        <v>28</v>
      </c>
      <c r="BG61" s="88">
        <v>33</v>
      </c>
      <c r="BH61" s="101">
        <f t="shared" si="1"/>
        <v>0.84848484848484851</v>
      </c>
      <c r="BI61" s="24"/>
      <c r="BJ61" s="105">
        <f>OVERALL!A56</f>
        <v>53</v>
      </c>
      <c r="BK61" s="105">
        <f>OVERALL!B56</f>
        <v>2301207</v>
      </c>
      <c r="BL61" s="106" t="str">
        <f>OVERALL!C56</f>
        <v>Harsh thakur</v>
      </c>
      <c r="BM61" s="107">
        <f t="shared" si="2"/>
        <v>46</v>
      </c>
      <c r="BN61" s="107">
        <f t="shared" si="3"/>
        <v>0</v>
      </c>
      <c r="BO61" s="108">
        <f t="shared" si="4"/>
        <v>0</v>
      </c>
      <c r="BP61" s="135" t="str">
        <f t="shared" si="5"/>
        <v>0</v>
      </c>
      <c r="BQ61" s="167">
        <v>0</v>
      </c>
      <c r="BR61" s="227">
        <v>0</v>
      </c>
      <c r="BS61" s="107">
        <f t="shared" si="6"/>
        <v>0</v>
      </c>
      <c r="BT61" s="181">
        <v>0</v>
      </c>
      <c r="BU61" s="182">
        <v>0</v>
      </c>
      <c r="BV61" s="182">
        <v>0</v>
      </c>
      <c r="BW61" s="108">
        <f t="shared" si="7"/>
        <v>0</v>
      </c>
      <c r="BX61" s="108">
        <v>2</v>
      </c>
      <c r="BY61" s="133">
        <f t="shared" si="8"/>
        <v>2</v>
      </c>
    </row>
    <row r="62" spans="1:77" ht="15.75" customHeight="1">
      <c r="A62" s="52">
        <v>58</v>
      </c>
      <c r="B62" s="98" t="str">
        <f>OVERALL!B61</f>
        <v>leet</v>
      </c>
      <c r="C62" s="130" t="str">
        <f>OVERALL!C61</f>
        <v>Shubham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 t="s">
        <v>124</v>
      </c>
      <c r="Y62" s="96" t="s">
        <v>124</v>
      </c>
      <c r="Z62" s="96" t="s">
        <v>124</v>
      </c>
      <c r="AA62" s="96" t="s">
        <v>124</v>
      </c>
      <c r="AB62" s="96" t="s">
        <v>124</v>
      </c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88">
        <v>19</v>
      </c>
      <c r="BE62" s="88"/>
      <c r="BF62" s="88">
        <f t="shared" si="0"/>
        <v>19</v>
      </c>
      <c r="BG62" s="88">
        <v>26</v>
      </c>
      <c r="BH62" s="101">
        <f t="shared" si="1"/>
        <v>0.73076923076923073</v>
      </c>
      <c r="BI62" s="24"/>
      <c r="BJ62" s="105">
        <f>OVERALL!A57</f>
        <v>54</v>
      </c>
      <c r="BK62" s="105" t="str">
        <f>OVERALL!B57</f>
        <v>Leet</v>
      </c>
      <c r="BL62" s="106" t="str">
        <f>OVERALL!C57</f>
        <v>Gagan</v>
      </c>
      <c r="BM62" s="107">
        <f t="shared" si="2"/>
        <v>46</v>
      </c>
      <c r="BN62" s="107">
        <f t="shared" si="3"/>
        <v>34</v>
      </c>
      <c r="BO62" s="108">
        <f t="shared" si="4"/>
        <v>73.91304347826086</v>
      </c>
      <c r="BP62" s="135" t="str">
        <f t="shared" si="5"/>
        <v>0</v>
      </c>
      <c r="BQ62" s="110">
        <v>11</v>
      </c>
      <c r="BR62" s="181">
        <v>8</v>
      </c>
      <c r="BS62" s="107">
        <f t="shared" si="6"/>
        <v>9.5</v>
      </c>
      <c r="BT62" s="181">
        <v>8</v>
      </c>
      <c r="BU62" s="182">
        <v>8</v>
      </c>
      <c r="BV62" s="182">
        <v>8</v>
      </c>
      <c r="BW62" s="108">
        <f t="shared" si="7"/>
        <v>8</v>
      </c>
      <c r="BX62" s="108">
        <v>5</v>
      </c>
      <c r="BY62" s="133">
        <f t="shared" si="8"/>
        <v>23</v>
      </c>
    </row>
    <row r="63" spans="1:77" ht="15.75" customHeight="1">
      <c r="A63" s="52"/>
      <c r="B63" s="184"/>
      <c r="C63" s="134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24"/>
      <c r="BE63" s="88"/>
      <c r="BF63" s="24"/>
      <c r="BG63" s="24"/>
      <c r="BH63" s="24"/>
      <c r="BI63" s="24"/>
      <c r="BJ63" s="105">
        <f>OVERALL!A58</f>
        <v>55</v>
      </c>
      <c r="BK63" s="105" t="str">
        <f>OVERALL!B58</f>
        <v>Leet</v>
      </c>
      <c r="BL63" s="106" t="str">
        <f>OVERALL!C58</f>
        <v>Manisha</v>
      </c>
      <c r="BM63" s="107">
        <f t="shared" si="2"/>
        <v>46</v>
      </c>
      <c r="BN63" s="107">
        <f t="shared" si="3"/>
        <v>35</v>
      </c>
      <c r="BO63" s="108">
        <f t="shared" si="4"/>
        <v>76.086956521739125</v>
      </c>
      <c r="BP63" s="107" t="str">
        <f t="shared" si="5"/>
        <v>2</v>
      </c>
      <c r="BQ63" s="110">
        <v>12</v>
      </c>
      <c r="BR63" s="225">
        <v>12</v>
      </c>
      <c r="BS63" s="107">
        <f t="shared" si="6"/>
        <v>12</v>
      </c>
      <c r="BT63" s="225">
        <v>8</v>
      </c>
      <c r="BU63" s="225">
        <v>9</v>
      </c>
      <c r="BV63" s="225">
        <v>8</v>
      </c>
      <c r="BW63" s="108">
        <f t="shared" si="7"/>
        <v>8.3333333333333339</v>
      </c>
      <c r="BX63" s="108">
        <v>5</v>
      </c>
      <c r="BY63" s="133">
        <f t="shared" si="8"/>
        <v>27</v>
      </c>
    </row>
    <row r="64" spans="1:77" ht="15.75" customHeight="1">
      <c r="A64" s="52"/>
      <c r="B64" s="184"/>
      <c r="C64" s="134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24"/>
      <c r="BE64" s="88"/>
      <c r="BF64" s="24"/>
      <c r="BG64" s="24"/>
      <c r="BH64" s="24"/>
      <c r="BI64" s="24"/>
      <c r="BJ64" s="105">
        <f>OVERALL!A59</f>
        <v>56</v>
      </c>
      <c r="BK64" s="105" t="str">
        <f>OVERALL!B59</f>
        <v>Leet</v>
      </c>
      <c r="BL64" s="106" t="str">
        <f>OVERALL!C59</f>
        <v>Richa</v>
      </c>
      <c r="BM64" s="107">
        <f t="shared" si="2"/>
        <v>46</v>
      </c>
      <c r="BN64" s="107">
        <f t="shared" si="3"/>
        <v>38</v>
      </c>
      <c r="BO64" s="108">
        <f t="shared" si="4"/>
        <v>82.608695652173907</v>
      </c>
      <c r="BP64" s="107" t="str">
        <f t="shared" si="5"/>
        <v>3</v>
      </c>
      <c r="BQ64" s="110">
        <v>21</v>
      </c>
      <c r="BR64" s="224">
        <v>12</v>
      </c>
      <c r="BS64" s="107">
        <f t="shared" si="6"/>
        <v>16.5</v>
      </c>
      <c r="BT64" s="225">
        <v>8</v>
      </c>
      <c r="BU64" s="225">
        <v>9</v>
      </c>
      <c r="BV64" s="225">
        <v>8</v>
      </c>
      <c r="BW64" s="232">
        <f t="shared" si="7"/>
        <v>8.3333333333333339</v>
      </c>
      <c r="BX64" s="108">
        <v>5</v>
      </c>
      <c r="BY64" s="133">
        <f t="shared" si="8"/>
        <v>33</v>
      </c>
    </row>
    <row r="65" spans="1:77" ht="15.75" customHeight="1">
      <c r="A65" s="52"/>
      <c r="B65" s="184"/>
      <c r="C65" s="134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24"/>
      <c r="BE65" s="88"/>
      <c r="BF65" s="24"/>
      <c r="BG65" s="24"/>
      <c r="BH65" s="24"/>
      <c r="BI65" s="24"/>
      <c r="BJ65" s="105">
        <v>57</v>
      </c>
      <c r="BK65" s="105" t="s">
        <v>72</v>
      </c>
      <c r="BL65" s="88" t="s">
        <v>164</v>
      </c>
      <c r="BM65" s="107">
        <f t="shared" si="2"/>
        <v>33</v>
      </c>
      <c r="BN65" s="107">
        <f t="shared" si="3"/>
        <v>28</v>
      </c>
      <c r="BO65" s="108">
        <f t="shared" si="4"/>
        <v>84.848484848484844</v>
      </c>
      <c r="BP65" s="107" t="str">
        <f t="shared" si="5"/>
        <v>3</v>
      </c>
      <c r="BQ65" s="110">
        <v>10</v>
      </c>
      <c r="BR65" s="225">
        <v>10</v>
      </c>
      <c r="BS65" s="107">
        <f t="shared" si="6"/>
        <v>10</v>
      </c>
      <c r="BT65" s="225">
        <v>7</v>
      </c>
      <c r="BU65" s="225">
        <v>9</v>
      </c>
      <c r="BV65" s="225">
        <v>8</v>
      </c>
      <c r="BW65" s="108">
        <f t="shared" si="7"/>
        <v>8</v>
      </c>
      <c r="BX65" s="108">
        <v>5</v>
      </c>
      <c r="BY65" s="133">
        <f t="shared" si="8"/>
        <v>26</v>
      </c>
    </row>
    <row r="66" spans="1:77" ht="15.75" customHeight="1">
      <c r="A66" s="52"/>
      <c r="B66" s="184"/>
      <c r="C66" s="13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4"/>
      <c r="BE66" s="88"/>
      <c r="BF66" s="24"/>
      <c r="BG66" s="24"/>
      <c r="BH66" s="24"/>
      <c r="BI66" s="24"/>
      <c r="BJ66" s="105">
        <v>58</v>
      </c>
      <c r="BK66" s="105" t="s">
        <v>72</v>
      </c>
      <c r="BL66" s="88" t="s">
        <v>165</v>
      </c>
      <c r="BM66" s="107">
        <f t="shared" si="2"/>
        <v>26</v>
      </c>
      <c r="BN66" s="107">
        <f t="shared" si="3"/>
        <v>19</v>
      </c>
      <c r="BO66" s="108">
        <f t="shared" si="4"/>
        <v>73.07692307692308</v>
      </c>
      <c r="BP66" s="107" t="str">
        <f t="shared" si="5"/>
        <v>0</v>
      </c>
      <c r="BQ66" s="167">
        <v>0</v>
      </c>
      <c r="BR66" s="225">
        <v>10</v>
      </c>
      <c r="BS66" s="107">
        <f t="shared" si="6"/>
        <v>5</v>
      </c>
      <c r="BT66" s="225">
        <v>8</v>
      </c>
      <c r="BU66" s="225">
        <v>8</v>
      </c>
      <c r="BV66" s="225">
        <v>8</v>
      </c>
      <c r="BW66" s="232">
        <f t="shared" si="7"/>
        <v>8</v>
      </c>
      <c r="BX66" s="108">
        <v>5</v>
      </c>
      <c r="BY66" s="133">
        <f t="shared" si="8"/>
        <v>18</v>
      </c>
    </row>
    <row r="67" spans="1:77" ht="15.75" customHeight="1">
      <c r="A67" s="52"/>
      <c r="B67" s="184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24"/>
      <c r="BE67" s="88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46"/>
      <c r="BR67" s="40"/>
      <c r="BS67" s="233"/>
      <c r="BT67" s="24"/>
      <c r="BU67" s="24"/>
      <c r="BV67" s="24"/>
      <c r="BW67" s="24"/>
      <c r="BX67" s="24"/>
      <c r="BY67" s="24"/>
    </row>
    <row r="68" spans="1:77" ht="15.75" customHeight="1">
      <c r="A68" s="52"/>
      <c r="B68" s="184"/>
      <c r="C68" s="13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24"/>
      <c r="BE68" s="88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40"/>
      <c r="BR68" s="40"/>
      <c r="BS68" s="233"/>
      <c r="BT68" s="24"/>
      <c r="BU68" s="24"/>
      <c r="BV68" s="24"/>
      <c r="BW68" s="24"/>
      <c r="BX68" s="24"/>
      <c r="BY68" s="24"/>
    </row>
    <row r="69" spans="1:77" ht="15.75" customHeight="1">
      <c r="A69" s="52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24"/>
      <c r="BE69" s="88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40"/>
      <c r="BR69" s="40"/>
      <c r="BS69" s="24"/>
      <c r="BT69" s="24"/>
      <c r="BU69" s="24"/>
      <c r="BV69" s="24"/>
      <c r="BW69" s="24"/>
      <c r="BX69" s="24"/>
      <c r="BY69" s="24"/>
    </row>
    <row r="70" spans="1:77" ht="15.75" customHeight="1">
      <c r="A70" s="52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24"/>
      <c r="BE70" s="88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40"/>
      <c r="BR70" s="40"/>
      <c r="BS70" s="24"/>
      <c r="BT70" s="24"/>
      <c r="BU70" s="24"/>
      <c r="BV70" s="24"/>
      <c r="BW70" s="24"/>
      <c r="BX70" s="24"/>
      <c r="BY70" s="24"/>
    </row>
    <row r="71" spans="1:77" ht="15.75" customHeight="1">
      <c r="A71" s="52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88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40"/>
      <c r="BR71" s="40"/>
      <c r="BS71" s="24"/>
      <c r="BT71" s="24"/>
      <c r="BU71" s="24"/>
      <c r="BV71" s="24"/>
      <c r="BW71" s="24"/>
      <c r="BX71" s="24"/>
      <c r="BY71" s="24"/>
    </row>
    <row r="72" spans="1:77" ht="15.75" customHeight="1">
      <c r="A72" s="52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88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40"/>
      <c r="BR72" s="40"/>
      <c r="BS72" s="24"/>
      <c r="BT72" s="24"/>
      <c r="BU72" s="24"/>
      <c r="BV72" s="24"/>
      <c r="BW72" s="24"/>
      <c r="BX72" s="24"/>
      <c r="BY72" s="24"/>
    </row>
    <row r="73" spans="1:77" ht="15.75" customHeight="1">
      <c r="A73" s="52"/>
      <c r="B73" s="184"/>
      <c r="C73" s="13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4"/>
      <c r="BE73" s="88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40"/>
      <c r="BR73" s="40"/>
      <c r="BS73" s="24"/>
      <c r="BT73" s="24"/>
      <c r="BU73" s="24"/>
      <c r="BV73" s="24"/>
      <c r="BW73" s="24"/>
      <c r="BX73" s="24"/>
      <c r="BY73" s="24"/>
    </row>
    <row r="74" spans="1:77" ht="15.75" customHeight="1">
      <c r="A74" s="52"/>
      <c r="B74" s="184"/>
      <c r="C74" s="13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24"/>
      <c r="BE74" s="88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40"/>
      <c r="BR74" s="40"/>
      <c r="BS74" s="24"/>
      <c r="BT74" s="24"/>
      <c r="BU74" s="24"/>
      <c r="BV74" s="24"/>
      <c r="BW74" s="24"/>
      <c r="BX74" s="24"/>
      <c r="BY74" s="24"/>
    </row>
    <row r="75" spans="1:77" ht="15.75" customHeight="1">
      <c r="A75" s="52"/>
      <c r="B75" s="184"/>
      <c r="C75" s="13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24"/>
      <c r="BE75" s="88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40"/>
      <c r="BR75" s="40"/>
      <c r="BS75" s="24"/>
      <c r="BT75" s="24"/>
      <c r="BU75" s="24"/>
      <c r="BV75" s="24"/>
      <c r="BW75" s="24"/>
      <c r="BX75" s="24"/>
      <c r="BY75" s="24"/>
    </row>
    <row r="76" spans="1:77" ht="15.75" customHeight="1">
      <c r="A76" s="52"/>
      <c r="B76" s="184"/>
      <c r="C76" s="13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24"/>
      <c r="BE76" s="88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40"/>
      <c r="BR76" s="40"/>
      <c r="BS76" s="24"/>
      <c r="BT76" s="24"/>
      <c r="BU76" s="24"/>
      <c r="BV76" s="24"/>
      <c r="BW76" s="24"/>
      <c r="BX76" s="24"/>
      <c r="BY76" s="24"/>
    </row>
    <row r="77" spans="1:77" ht="15.75" customHeight="1">
      <c r="A77" s="52"/>
      <c r="B77" s="184"/>
      <c r="C77" s="13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4"/>
      <c r="BE77" s="88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40"/>
      <c r="BR77" s="40"/>
      <c r="BS77" s="24"/>
      <c r="BT77" s="24"/>
      <c r="BU77" s="24"/>
      <c r="BV77" s="24"/>
      <c r="BW77" s="24"/>
      <c r="BX77" s="24"/>
      <c r="BY77" s="24"/>
    </row>
    <row r="78" spans="1:77" ht="15.75" customHeight="1">
      <c r="A78" s="52"/>
      <c r="B78" s="184"/>
      <c r="C78" s="13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24"/>
      <c r="BE78" s="88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40"/>
      <c r="BR78" s="40"/>
      <c r="BS78" s="24"/>
      <c r="BT78" s="24"/>
      <c r="BU78" s="24"/>
      <c r="BV78" s="24"/>
      <c r="BW78" s="24"/>
      <c r="BX78" s="24"/>
      <c r="BY78" s="24"/>
    </row>
    <row r="79" spans="1:77" ht="15.75" customHeight="1">
      <c r="A79" s="52"/>
      <c r="B79" s="184"/>
      <c r="C79" s="13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24"/>
      <c r="BE79" s="88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40"/>
      <c r="BR79" s="40"/>
      <c r="BS79" s="24"/>
      <c r="BT79" s="24"/>
      <c r="BU79" s="24"/>
      <c r="BV79" s="24"/>
      <c r="BW79" s="24"/>
      <c r="BX79" s="24"/>
      <c r="BY79" s="24"/>
    </row>
    <row r="80" spans="1:77" ht="15.75" customHeight="1">
      <c r="A80" s="52"/>
      <c r="B80" s="184"/>
      <c r="C80" s="13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4"/>
      <c r="BE80" s="88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40"/>
      <c r="BR80" s="40"/>
      <c r="BS80" s="24"/>
      <c r="BT80" s="24"/>
      <c r="BU80" s="24"/>
      <c r="BV80" s="24"/>
      <c r="BW80" s="24"/>
      <c r="BX80" s="24"/>
      <c r="BY80" s="24"/>
    </row>
    <row r="81" spans="1:77" ht="15.75" customHeight="1">
      <c r="A81" s="52"/>
      <c r="B81" s="184"/>
      <c r="C81" s="13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24"/>
      <c r="BE81" s="88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40"/>
      <c r="BR81" s="40"/>
      <c r="BS81" s="24"/>
      <c r="BT81" s="24"/>
      <c r="BU81" s="24"/>
      <c r="BV81" s="24"/>
      <c r="BW81" s="24"/>
      <c r="BX81" s="24"/>
      <c r="BY81" s="24"/>
    </row>
    <row r="82" spans="1:77" ht="15.75" customHeight="1">
      <c r="A82" s="52"/>
      <c r="B82" s="184"/>
      <c r="C82" s="13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24"/>
      <c r="BE82" s="88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40"/>
      <c r="BR82" s="40"/>
      <c r="BS82" s="24"/>
      <c r="BT82" s="24"/>
      <c r="BU82" s="24"/>
      <c r="BV82" s="24"/>
      <c r="BW82" s="24"/>
      <c r="BX82" s="24"/>
      <c r="BY82" s="24"/>
    </row>
    <row r="83" spans="1:77" ht="15.75" customHeight="1">
      <c r="A83" s="52"/>
      <c r="B83" s="184"/>
      <c r="C83" s="13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4"/>
      <c r="BE83" s="88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40"/>
      <c r="BR83" s="40"/>
      <c r="BS83" s="24"/>
      <c r="BT83" s="24"/>
      <c r="BU83" s="24"/>
      <c r="BV83" s="24"/>
      <c r="BW83" s="24"/>
      <c r="BX83" s="24"/>
      <c r="BY83" s="24"/>
    </row>
    <row r="84" spans="1:77" ht="15.75" customHeight="1">
      <c r="A84" s="52"/>
      <c r="B84" s="184"/>
      <c r="C84" s="13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24"/>
      <c r="BE84" s="88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40"/>
      <c r="BR84" s="40"/>
      <c r="BS84" s="24"/>
      <c r="BT84" s="24"/>
      <c r="BU84" s="24"/>
      <c r="BV84" s="24"/>
      <c r="BW84" s="24"/>
      <c r="BX84" s="24"/>
      <c r="BY84" s="24"/>
    </row>
    <row r="85" spans="1:77" ht="15.75" customHeight="1">
      <c r="A85" s="52"/>
      <c r="B85" s="184"/>
      <c r="C85" s="13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24"/>
      <c r="BE85" s="88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40"/>
      <c r="BR85" s="40"/>
      <c r="BS85" s="24"/>
      <c r="BT85" s="24"/>
      <c r="BU85" s="24"/>
      <c r="BV85" s="24"/>
      <c r="BW85" s="24"/>
      <c r="BX85" s="24"/>
      <c r="BY85" s="24"/>
    </row>
    <row r="86" spans="1:77" ht="15.75" customHeight="1">
      <c r="A86" s="52"/>
      <c r="B86" s="184"/>
      <c r="C86" s="13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24"/>
      <c r="BE86" s="88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40"/>
      <c r="BR86" s="40"/>
      <c r="BS86" s="24"/>
      <c r="BT86" s="24"/>
      <c r="BU86" s="24"/>
      <c r="BV86" s="24"/>
      <c r="BW86" s="24"/>
      <c r="BX86" s="24"/>
      <c r="BY86" s="24"/>
    </row>
    <row r="87" spans="1:77" ht="15.75" customHeight="1">
      <c r="A87" s="52"/>
      <c r="B87" s="184"/>
      <c r="C87" s="13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24"/>
      <c r="BE87" s="88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40"/>
      <c r="BR87" s="40"/>
      <c r="BS87" s="24"/>
      <c r="BT87" s="24"/>
      <c r="BU87" s="24"/>
      <c r="BV87" s="24"/>
      <c r="BW87" s="24"/>
      <c r="BX87" s="24"/>
      <c r="BY87" s="24"/>
    </row>
    <row r="88" spans="1:77" ht="15.75" customHeight="1">
      <c r="A88" s="52"/>
      <c r="B88" s="184"/>
      <c r="C88" s="13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4"/>
      <c r="BE88" s="88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40"/>
      <c r="BR88" s="40"/>
      <c r="BS88" s="24"/>
      <c r="BT88" s="24"/>
      <c r="BU88" s="24"/>
      <c r="BV88" s="24"/>
      <c r="BW88" s="24"/>
      <c r="BX88" s="24"/>
      <c r="BY88" s="24"/>
    </row>
    <row r="89" spans="1:77" ht="15.75" customHeight="1">
      <c r="A89" s="52"/>
      <c r="B89" s="184"/>
      <c r="C89" s="13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4"/>
      <c r="BE89" s="88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40"/>
      <c r="BR89" s="40"/>
      <c r="BS89" s="24"/>
      <c r="BT89" s="24"/>
      <c r="BU89" s="24"/>
      <c r="BV89" s="24"/>
      <c r="BW89" s="24"/>
      <c r="BX89" s="24"/>
      <c r="BY89" s="24"/>
    </row>
    <row r="90" spans="1:77" ht="15.75" customHeight="1">
      <c r="A90" s="52"/>
      <c r="B90" s="184"/>
      <c r="C90" s="13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24"/>
      <c r="BE90" s="88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40"/>
      <c r="BR90" s="40"/>
      <c r="BS90" s="24"/>
      <c r="BT90" s="24"/>
      <c r="BU90" s="24"/>
      <c r="BV90" s="24"/>
      <c r="BW90" s="24"/>
      <c r="BX90" s="24"/>
      <c r="BY90" s="24"/>
    </row>
    <row r="91" spans="1:77" ht="15.75" customHeight="1">
      <c r="A91" s="52"/>
      <c r="B91" s="184"/>
      <c r="C91" s="13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24"/>
      <c r="BE91" s="88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40"/>
      <c r="BR91" s="40"/>
      <c r="BS91" s="24"/>
      <c r="BT91" s="24"/>
      <c r="BU91" s="24"/>
      <c r="BV91" s="24"/>
      <c r="BW91" s="24"/>
      <c r="BX91" s="24"/>
      <c r="BY91" s="24"/>
    </row>
    <row r="92" spans="1:77" ht="15.75" customHeight="1">
      <c r="A92" s="52"/>
      <c r="B92" s="184"/>
      <c r="C92" s="13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24"/>
      <c r="BE92" s="88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40"/>
      <c r="BR92" s="40"/>
      <c r="BS92" s="24"/>
      <c r="BT92" s="24"/>
      <c r="BU92" s="24"/>
      <c r="BV92" s="24"/>
      <c r="BW92" s="24"/>
      <c r="BX92" s="24"/>
      <c r="BY92" s="24"/>
    </row>
    <row r="93" spans="1:77" ht="15.75" customHeight="1">
      <c r="A93" s="52"/>
      <c r="B93" s="184"/>
      <c r="C93" s="13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24"/>
      <c r="BE93" s="88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40"/>
      <c r="BR93" s="40"/>
      <c r="BS93" s="24"/>
      <c r="BT93" s="24"/>
      <c r="BU93" s="24"/>
      <c r="BV93" s="24"/>
      <c r="BW93" s="24"/>
      <c r="BX93" s="24"/>
      <c r="BY93" s="24"/>
    </row>
    <row r="94" spans="1:77" ht="15.75" customHeight="1">
      <c r="A94" s="24"/>
      <c r="B94" s="24"/>
      <c r="C94" s="2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24"/>
      <c r="BE94" s="88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40"/>
      <c r="BR94" s="40"/>
      <c r="BS94" s="24"/>
      <c r="BT94" s="24"/>
      <c r="BU94" s="24"/>
      <c r="BV94" s="24"/>
      <c r="BW94" s="24"/>
      <c r="BX94" s="24"/>
      <c r="BY94" s="24"/>
    </row>
    <row r="95" spans="1:77" ht="15.75" customHeight="1">
      <c r="A95" s="24"/>
      <c r="B95" s="24"/>
      <c r="C95" s="2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4"/>
      <c r="BE95" s="88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40"/>
      <c r="BR95" s="40"/>
      <c r="BS95" s="24"/>
      <c r="BT95" s="24"/>
      <c r="BU95" s="24"/>
      <c r="BV95" s="24"/>
      <c r="BW95" s="24"/>
      <c r="BX95" s="24"/>
      <c r="BY95" s="24"/>
    </row>
    <row r="96" spans="1:77" ht="15.75" customHeight="1">
      <c r="A96" s="24"/>
      <c r="B96" s="24"/>
      <c r="C96" s="2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24"/>
      <c r="BE96" s="88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40"/>
      <c r="BR96" s="40"/>
      <c r="BS96" s="24"/>
      <c r="BT96" s="24"/>
      <c r="BU96" s="24"/>
      <c r="BV96" s="24"/>
      <c r="BW96" s="24"/>
      <c r="BX96" s="24"/>
      <c r="BY96" s="24"/>
    </row>
    <row r="97" spans="1:77" ht="15.75" customHeight="1">
      <c r="A97" s="24"/>
      <c r="B97" s="24"/>
      <c r="C97" s="2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24"/>
      <c r="BE97" s="88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40"/>
      <c r="BR97" s="40"/>
      <c r="BS97" s="24"/>
      <c r="BT97" s="24"/>
      <c r="BU97" s="24"/>
      <c r="BV97" s="24"/>
      <c r="BW97" s="24"/>
      <c r="BX97" s="24"/>
      <c r="BY97" s="24"/>
    </row>
    <row r="98" spans="1:77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88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40"/>
      <c r="BR98" s="40"/>
      <c r="BS98" s="24"/>
      <c r="BT98" s="24"/>
      <c r="BU98" s="24"/>
      <c r="BV98" s="24"/>
      <c r="BW98" s="24"/>
      <c r="BX98" s="24"/>
      <c r="BY98" s="24"/>
    </row>
    <row r="99" spans="1:77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88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40"/>
      <c r="BR99" s="40"/>
      <c r="BS99" s="24"/>
      <c r="BT99" s="24"/>
      <c r="BU99" s="24"/>
      <c r="BV99" s="24"/>
      <c r="BW99" s="24"/>
      <c r="BX99" s="24"/>
      <c r="BY99" s="24"/>
    </row>
    <row r="100" spans="1:77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88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40"/>
      <c r="BR100" s="40"/>
      <c r="BS100" s="24"/>
      <c r="BT100" s="24"/>
      <c r="BU100" s="24"/>
      <c r="BV100" s="24"/>
      <c r="BW100" s="24"/>
      <c r="BX100" s="24"/>
      <c r="BY100" s="24"/>
    </row>
    <row r="101" spans="1:77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88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40"/>
      <c r="BR101" s="40"/>
      <c r="BS101" s="24"/>
      <c r="BT101" s="24"/>
      <c r="BU101" s="24"/>
      <c r="BV101" s="24"/>
      <c r="BW101" s="24"/>
      <c r="BX101" s="24"/>
      <c r="BY101" s="24"/>
    </row>
    <row r="102" spans="1:77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88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40"/>
      <c r="BR102" s="40"/>
      <c r="BS102" s="24"/>
      <c r="BT102" s="24"/>
      <c r="BU102" s="24"/>
      <c r="BV102" s="24"/>
      <c r="BW102" s="24"/>
      <c r="BX102" s="24"/>
      <c r="BY102" s="24"/>
    </row>
    <row r="103" spans="1:77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88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40"/>
      <c r="BR103" s="40"/>
      <c r="BS103" s="24"/>
      <c r="BT103" s="24"/>
      <c r="BU103" s="24"/>
      <c r="BV103" s="24"/>
      <c r="BW103" s="24"/>
      <c r="BX103" s="24"/>
      <c r="BY103" s="24"/>
    </row>
    <row r="104" spans="1:77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88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40"/>
      <c r="BR104" s="40"/>
      <c r="BS104" s="24"/>
      <c r="BT104" s="24"/>
      <c r="BU104" s="24"/>
      <c r="BV104" s="24"/>
      <c r="BW104" s="24"/>
      <c r="BX104" s="24"/>
      <c r="BY104" s="24"/>
    </row>
    <row r="105" spans="1:77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88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40"/>
      <c r="BR105" s="40"/>
      <c r="BS105" s="24"/>
      <c r="BT105" s="24"/>
      <c r="BU105" s="24"/>
      <c r="BV105" s="24"/>
      <c r="BW105" s="24"/>
      <c r="BX105" s="24"/>
      <c r="BY105" s="24"/>
    </row>
    <row r="106" spans="1:77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88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40"/>
      <c r="BR106" s="40"/>
      <c r="BS106" s="24"/>
      <c r="BT106" s="24"/>
      <c r="BU106" s="24"/>
      <c r="BV106" s="24"/>
      <c r="BW106" s="24"/>
      <c r="BX106" s="24"/>
      <c r="BY106" s="24"/>
    </row>
    <row r="107" spans="1:7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88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40"/>
      <c r="BR107" s="40"/>
      <c r="BS107" s="24"/>
      <c r="BT107" s="24"/>
      <c r="BU107" s="24"/>
      <c r="BV107" s="24"/>
      <c r="BW107" s="24"/>
      <c r="BX107" s="24"/>
      <c r="BY107" s="24"/>
    </row>
    <row r="108" spans="1:77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88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40"/>
      <c r="BR108" s="40"/>
      <c r="BS108" s="24"/>
      <c r="BT108" s="24"/>
      <c r="BU108" s="24"/>
      <c r="BV108" s="24"/>
      <c r="BW108" s="24"/>
      <c r="BX108" s="24"/>
      <c r="BY108" s="24"/>
    </row>
    <row r="109" spans="1:77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88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40"/>
      <c r="BR109" s="40"/>
      <c r="BS109" s="24"/>
      <c r="BT109" s="24"/>
      <c r="BU109" s="24"/>
      <c r="BV109" s="24"/>
      <c r="BW109" s="24"/>
      <c r="BX109" s="24"/>
      <c r="BY109" s="24"/>
    </row>
    <row r="110" spans="1:77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88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40"/>
      <c r="BR110" s="40"/>
      <c r="BS110" s="24"/>
      <c r="BT110" s="24"/>
      <c r="BU110" s="24"/>
      <c r="BV110" s="24"/>
      <c r="BW110" s="24"/>
      <c r="BX110" s="24"/>
      <c r="BY110" s="24"/>
    </row>
    <row r="111" spans="1:77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88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40"/>
      <c r="BR111" s="40"/>
      <c r="BS111" s="24"/>
      <c r="BT111" s="24"/>
      <c r="BU111" s="24"/>
      <c r="BV111" s="24"/>
      <c r="BW111" s="24"/>
      <c r="BX111" s="24"/>
      <c r="BY111" s="24"/>
    </row>
    <row r="112" spans="1:77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88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40"/>
      <c r="BR112" s="40"/>
      <c r="BS112" s="24"/>
      <c r="BT112" s="24"/>
      <c r="BU112" s="24"/>
      <c r="BV112" s="24"/>
      <c r="BW112" s="24"/>
      <c r="BX112" s="24"/>
      <c r="BY112" s="24"/>
    </row>
    <row r="113" spans="1:77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88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40"/>
      <c r="BR113" s="40"/>
      <c r="BS113" s="24"/>
      <c r="BT113" s="24"/>
      <c r="BU113" s="24"/>
      <c r="BV113" s="24"/>
      <c r="BW113" s="24"/>
      <c r="BX113" s="24"/>
      <c r="BY113" s="24"/>
    </row>
    <row r="114" spans="1:77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88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40"/>
      <c r="BR114" s="40"/>
      <c r="BS114" s="24"/>
      <c r="BT114" s="24"/>
      <c r="BU114" s="24"/>
      <c r="BV114" s="24"/>
      <c r="BW114" s="24"/>
      <c r="BX114" s="24"/>
      <c r="BY114" s="24"/>
    </row>
    <row r="115" spans="1:77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88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40"/>
      <c r="BR115" s="40"/>
      <c r="BS115" s="24"/>
      <c r="BT115" s="24"/>
      <c r="BU115" s="24"/>
      <c r="BV115" s="24"/>
      <c r="BW115" s="24"/>
      <c r="BX115" s="24"/>
      <c r="BY115" s="24"/>
    </row>
    <row r="116" spans="1:77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88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40"/>
      <c r="BR116" s="40"/>
      <c r="BS116" s="24"/>
      <c r="BT116" s="24"/>
      <c r="BU116" s="24"/>
      <c r="BV116" s="24"/>
      <c r="BW116" s="24"/>
      <c r="BX116" s="24"/>
      <c r="BY116" s="24"/>
    </row>
    <row r="117" spans="1:7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88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40"/>
      <c r="BR117" s="40"/>
      <c r="BS117" s="24"/>
      <c r="BT117" s="24"/>
      <c r="BU117" s="24"/>
      <c r="BV117" s="24"/>
      <c r="BW117" s="24"/>
      <c r="BX117" s="24"/>
      <c r="BY117" s="24"/>
    </row>
    <row r="118" spans="1:77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88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40"/>
      <c r="BR118" s="40"/>
      <c r="BS118" s="24"/>
      <c r="BT118" s="24"/>
      <c r="BU118" s="24"/>
      <c r="BV118" s="24"/>
      <c r="BW118" s="24"/>
      <c r="BX118" s="24"/>
      <c r="BY118" s="24"/>
    </row>
    <row r="119" spans="1:77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88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40"/>
      <c r="BR119" s="40"/>
      <c r="BS119" s="24"/>
      <c r="BT119" s="24"/>
      <c r="BU119" s="24"/>
      <c r="BV119" s="24"/>
      <c r="BW119" s="24"/>
      <c r="BX119" s="24"/>
      <c r="BY119" s="24"/>
    </row>
    <row r="120" spans="1:77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88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40"/>
      <c r="BR120" s="40"/>
      <c r="BS120" s="24"/>
      <c r="BT120" s="24"/>
      <c r="BU120" s="24"/>
      <c r="BV120" s="24"/>
      <c r="BW120" s="24"/>
      <c r="BX120" s="24"/>
      <c r="BY120" s="24"/>
    </row>
    <row r="121" spans="1:77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88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40"/>
      <c r="BR121" s="40"/>
      <c r="BS121" s="24"/>
      <c r="BT121" s="24"/>
      <c r="BU121" s="24"/>
      <c r="BV121" s="24"/>
      <c r="BW121" s="24"/>
      <c r="BX121" s="24"/>
      <c r="BY121" s="24"/>
    </row>
    <row r="122" spans="1:77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88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40"/>
      <c r="BR122" s="40"/>
      <c r="BS122" s="24"/>
      <c r="BT122" s="24"/>
      <c r="BU122" s="24"/>
      <c r="BV122" s="24"/>
      <c r="BW122" s="24"/>
      <c r="BX122" s="24"/>
      <c r="BY122" s="24"/>
    </row>
    <row r="123" spans="1:77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88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40"/>
      <c r="BR123" s="40"/>
      <c r="BS123" s="24"/>
      <c r="BT123" s="24"/>
      <c r="BU123" s="24"/>
      <c r="BV123" s="24"/>
      <c r="BW123" s="24"/>
      <c r="BX123" s="24"/>
      <c r="BY123" s="24"/>
    </row>
    <row r="124" spans="1:77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88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40"/>
      <c r="BR124" s="40"/>
      <c r="BS124" s="24"/>
      <c r="BT124" s="24"/>
      <c r="BU124" s="24"/>
      <c r="BV124" s="24"/>
      <c r="BW124" s="24"/>
      <c r="BX124" s="24"/>
      <c r="BY124" s="24"/>
    </row>
    <row r="125" spans="1:77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88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40"/>
      <c r="BR125" s="40"/>
      <c r="BS125" s="24"/>
      <c r="BT125" s="24"/>
      <c r="BU125" s="24"/>
      <c r="BV125" s="24"/>
      <c r="BW125" s="24"/>
      <c r="BX125" s="24"/>
      <c r="BY125" s="24"/>
    </row>
    <row r="126" spans="1:77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88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40"/>
      <c r="BR126" s="40"/>
      <c r="BS126" s="24"/>
      <c r="BT126" s="24"/>
      <c r="BU126" s="24"/>
      <c r="BV126" s="24"/>
      <c r="BW126" s="24"/>
      <c r="BX126" s="24"/>
      <c r="BY126" s="24"/>
    </row>
    <row r="127" spans="1:7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88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40"/>
      <c r="BR127" s="40"/>
      <c r="BS127" s="24"/>
      <c r="BT127" s="24"/>
      <c r="BU127" s="24"/>
      <c r="BV127" s="24"/>
      <c r="BW127" s="24"/>
      <c r="BX127" s="24"/>
      <c r="BY127" s="24"/>
    </row>
    <row r="128" spans="1:77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88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40"/>
      <c r="BR128" s="40"/>
      <c r="BS128" s="24"/>
      <c r="BT128" s="24"/>
      <c r="BU128" s="24"/>
      <c r="BV128" s="24"/>
      <c r="BW128" s="24"/>
      <c r="BX128" s="24"/>
      <c r="BY128" s="24"/>
    </row>
    <row r="129" spans="1:77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88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40"/>
      <c r="BR129" s="40"/>
      <c r="BS129" s="24"/>
      <c r="BT129" s="24"/>
      <c r="BU129" s="24"/>
      <c r="BV129" s="24"/>
      <c r="BW129" s="24"/>
      <c r="BX129" s="24"/>
      <c r="BY129" s="24"/>
    </row>
    <row r="130" spans="1:77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88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40"/>
      <c r="BR130" s="40"/>
      <c r="BS130" s="24"/>
      <c r="BT130" s="24"/>
      <c r="BU130" s="24"/>
      <c r="BV130" s="24"/>
      <c r="BW130" s="24"/>
      <c r="BX130" s="24"/>
      <c r="BY130" s="24"/>
    </row>
    <row r="131" spans="1:77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88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40"/>
      <c r="BR131" s="40"/>
      <c r="BS131" s="24"/>
      <c r="BT131" s="24"/>
      <c r="BU131" s="24"/>
      <c r="BV131" s="24"/>
      <c r="BW131" s="24"/>
      <c r="BX131" s="24"/>
      <c r="BY131" s="24"/>
    </row>
    <row r="132" spans="1:77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88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40"/>
      <c r="BR132" s="40"/>
      <c r="BS132" s="24"/>
      <c r="BT132" s="24"/>
      <c r="BU132" s="24"/>
      <c r="BV132" s="24"/>
      <c r="BW132" s="24"/>
      <c r="BX132" s="24"/>
      <c r="BY132" s="24"/>
    </row>
    <row r="133" spans="1:77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88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40"/>
      <c r="BR133" s="40"/>
      <c r="BS133" s="24"/>
      <c r="BT133" s="24"/>
      <c r="BU133" s="24"/>
      <c r="BV133" s="24"/>
      <c r="BW133" s="24"/>
      <c r="BX133" s="24"/>
      <c r="BY133" s="24"/>
    </row>
    <row r="134" spans="1:77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88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40"/>
      <c r="BR134" s="40"/>
      <c r="BS134" s="24"/>
      <c r="BT134" s="24"/>
      <c r="BU134" s="24"/>
      <c r="BV134" s="24"/>
      <c r="BW134" s="24"/>
      <c r="BX134" s="24"/>
      <c r="BY134" s="24"/>
    </row>
    <row r="135" spans="1:77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88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40"/>
      <c r="BR135" s="40"/>
      <c r="BS135" s="24"/>
      <c r="BT135" s="24"/>
      <c r="BU135" s="24"/>
      <c r="BV135" s="24"/>
      <c r="BW135" s="24"/>
      <c r="BX135" s="24"/>
      <c r="BY135" s="24"/>
    </row>
    <row r="136" spans="1:77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88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40"/>
      <c r="BR136" s="40"/>
      <c r="BS136" s="24"/>
      <c r="BT136" s="24"/>
      <c r="BU136" s="24"/>
      <c r="BV136" s="24"/>
      <c r="BW136" s="24"/>
      <c r="BX136" s="24"/>
      <c r="BY136" s="24"/>
    </row>
    <row r="137" spans="1:7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88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40"/>
      <c r="BR137" s="40"/>
      <c r="BS137" s="24"/>
      <c r="BT137" s="24"/>
      <c r="BU137" s="24"/>
      <c r="BV137" s="24"/>
      <c r="BW137" s="24"/>
      <c r="BX137" s="24"/>
      <c r="BY137" s="24"/>
    </row>
    <row r="138" spans="1:77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88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40"/>
      <c r="BR138" s="40"/>
      <c r="BS138" s="24"/>
      <c r="BT138" s="24"/>
      <c r="BU138" s="24"/>
      <c r="BV138" s="24"/>
      <c r="BW138" s="24"/>
      <c r="BX138" s="24"/>
      <c r="BY138" s="24"/>
    </row>
    <row r="139" spans="1:77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88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40"/>
      <c r="BR139" s="40"/>
      <c r="BS139" s="24"/>
      <c r="BT139" s="24"/>
      <c r="BU139" s="24"/>
      <c r="BV139" s="24"/>
      <c r="BW139" s="24"/>
      <c r="BX139" s="24"/>
      <c r="BY139" s="24"/>
    </row>
    <row r="140" spans="1:77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88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40"/>
      <c r="BR140" s="40"/>
      <c r="BS140" s="24"/>
      <c r="BT140" s="24"/>
      <c r="BU140" s="24"/>
      <c r="BV140" s="24"/>
      <c r="BW140" s="24"/>
      <c r="BX140" s="24"/>
      <c r="BY140" s="24"/>
    </row>
    <row r="141" spans="1:77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88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40"/>
      <c r="BR141" s="40"/>
      <c r="BS141" s="24"/>
      <c r="BT141" s="24"/>
      <c r="BU141" s="24"/>
      <c r="BV141" s="24"/>
      <c r="BW141" s="24"/>
      <c r="BX141" s="24"/>
      <c r="BY141" s="24"/>
    </row>
    <row r="142" spans="1:77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88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40"/>
      <c r="BR142" s="40"/>
      <c r="BS142" s="24"/>
      <c r="BT142" s="24"/>
      <c r="BU142" s="24"/>
      <c r="BV142" s="24"/>
      <c r="BW142" s="24"/>
      <c r="BX142" s="24"/>
      <c r="BY142" s="24"/>
    </row>
    <row r="143" spans="1:77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88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40"/>
      <c r="BR143" s="40"/>
      <c r="BS143" s="24"/>
      <c r="BT143" s="24"/>
      <c r="BU143" s="24"/>
      <c r="BV143" s="24"/>
      <c r="BW143" s="24"/>
      <c r="BX143" s="24"/>
      <c r="BY143" s="24"/>
    </row>
    <row r="144" spans="1:77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88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40"/>
      <c r="BR144" s="40"/>
      <c r="BS144" s="24"/>
      <c r="BT144" s="24"/>
      <c r="BU144" s="24"/>
      <c r="BV144" s="24"/>
      <c r="BW144" s="24"/>
      <c r="BX144" s="24"/>
      <c r="BY144" s="24"/>
    </row>
    <row r="145" spans="1:77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88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40"/>
      <c r="BR145" s="40"/>
      <c r="BS145" s="24"/>
      <c r="BT145" s="24"/>
      <c r="BU145" s="24"/>
      <c r="BV145" s="24"/>
      <c r="BW145" s="24"/>
      <c r="BX145" s="24"/>
      <c r="BY145" s="24"/>
    </row>
    <row r="146" spans="1:77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88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40"/>
      <c r="BR146" s="40"/>
      <c r="BS146" s="24"/>
      <c r="BT146" s="24"/>
      <c r="BU146" s="24"/>
      <c r="BV146" s="24"/>
      <c r="BW146" s="24"/>
      <c r="BX146" s="24"/>
      <c r="BY146" s="24"/>
    </row>
    <row r="147" spans="1:7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88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40"/>
      <c r="BR147" s="40"/>
      <c r="BS147" s="24"/>
      <c r="BT147" s="24"/>
      <c r="BU147" s="24"/>
      <c r="BV147" s="24"/>
      <c r="BW147" s="24"/>
      <c r="BX147" s="24"/>
      <c r="BY147" s="24"/>
    </row>
    <row r="148" spans="1:77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88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40"/>
      <c r="BR148" s="40"/>
      <c r="BS148" s="24"/>
      <c r="BT148" s="24"/>
      <c r="BU148" s="24"/>
      <c r="BV148" s="24"/>
      <c r="BW148" s="24"/>
      <c r="BX148" s="24"/>
      <c r="BY148" s="24"/>
    </row>
    <row r="149" spans="1:77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88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40"/>
      <c r="BR149" s="40"/>
      <c r="BS149" s="24"/>
      <c r="BT149" s="24"/>
      <c r="BU149" s="24"/>
      <c r="BV149" s="24"/>
      <c r="BW149" s="24"/>
      <c r="BX149" s="24"/>
      <c r="BY149" s="24"/>
    </row>
    <row r="150" spans="1:77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88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40"/>
      <c r="BR150" s="40"/>
      <c r="BS150" s="24"/>
      <c r="BT150" s="24"/>
      <c r="BU150" s="24"/>
      <c r="BV150" s="24"/>
      <c r="BW150" s="24"/>
      <c r="BX150" s="24"/>
      <c r="BY150" s="24"/>
    </row>
    <row r="151" spans="1:77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88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40"/>
      <c r="BR151" s="40"/>
      <c r="BS151" s="24"/>
      <c r="BT151" s="24"/>
      <c r="BU151" s="24"/>
      <c r="BV151" s="24"/>
      <c r="BW151" s="24"/>
      <c r="BX151" s="24"/>
      <c r="BY151" s="24"/>
    </row>
    <row r="152" spans="1:77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88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40"/>
      <c r="BR152" s="40"/>
      <c r="BS152" s="24"/>
      <c r="BT152" s="24"/>
      <c r="BU152" s="24"/>
      <c r="BV152" s="24"/>
      <c r="BW152" s="24"/>
      <c r="BX152" s="24"/>
      <c r="BY152" s="24"/>
    </row>
    <row r="153" spans="1:77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88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40"/>
      <c r="BR153" s="40"/>
      <c r="BS153" s="24"/>
      <c r="BT153" s="24"/>
      <c r="BU153" s="24"/>
      <c r="BV153" s="24"/>
      <c r="BW153" s="24"/>
      <c r="BX153" s="24"/>
      <c r="BY153" s="24"/>
    </row>
    <row r="154" spans="1:77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88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40"/>
      <c r="BR154" s="40"/>
      <c r="BS154" s="24"/>
      <c r="BT154" s="24"/>
      <c r="BU154" s="24"/>
      <c r="BV154" s="24"/>
      <c r="BW154" s="24"/>
      <c r="BX154" s="24"/>
      <c r="BY154" s="24"/>
    </row>
    <row r="155" spans="1:77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88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40"/>
      <c r="BR155" s="40"/>
      <c r="BS155" s="24"/>
      <c r="BT155" s="24"/>
      <c r="BU155" s="24"/>
      <c r="BV155" s="24"/>
      <c r="BW155" s="24"/>
      <c r="BX155" s="24"/>
      <c r="BY155" s="24"/>
    </row>
    <row r="156" spans="1:77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88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40"/>
      <c r="BR156" s="40"/>
      <c r="BS156" s="24"/>
      <c r="BT156" s="24"/>
      <c r="BU156" s="24"/>
      <c r="BV156" s="24"/>
      <c r="BW156" s="24"/>
      <c r="BX156" s="24"/>
      <c r="BY156" s="24"/>
    </row>
    <row r="157" spans="1:7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88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40"/>
      <c r="BR157" s="40"/>
      <c r="BS157" s="24"/>
      <c r="BT157" s="24"/>
      <c r="BU157" s="24"/>
      <c r="BV157" s="24"/>
      <c r="BW157" s="24"/>
      <c r="BX157" s="24"/>
      <c r="BY157" s="24"/>
    </row>
    <row r="158" spans="1:77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88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40"/>
      <c r="BR158" s="40"/>
      <c r="BS158" s="24"/>
      <c r="BT158" s="24"/>
      <c r="BU158" s="24"/>
      <c r="BV158" s="24"/>
      <c r="BW158" s="24"/>
      <c r="BX158" s="24"/>
      <c r="BY158" s="24"/>
    </row>
    <row r="159" spans="1:77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88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40"/>
      <c r="BR159" s="40"/>
      <c r="BS159" s="24"/>
      <c r="BT159" s="24"/>
      <c r="BU159" s="24"/>
      <c r="BV159" s="24"/>
      <c r="BW159" s="24"/>
      <c r="BX159" s="24"/>
      <c r="BY159" s="24"/>
    </row>
    <row r="160" spans="1:77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88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40"/>
      <c r="BR160" s="40"/>
      <c r="BS160" s="24"/>
      <c r="BT160" s="24"/>
      <c r="BU160" s="24"/>
      <c r="BV160" s="24"/>
      <c r="BW160" s="24"/>
      <c r="BX160" s="24"/>
      <c r="BY160" s="24"/>
    </row>
    <row r="161" spans="1:77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88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40"/>
      <c r="BR161" s="40"/>
      <c r="BS161" s="24"/>
      <c r="BT161" s="24"/>
      <c r="BU161" s="24"/>
      <c r="BV161" s="24"/>
      <c r="BW161" s="24"/>
      <c r="BX161" s="24"/>
      <c r="BY161" s="24"/>
    </row>
    <row r="162" spans="1:77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88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40"/>
      <c r="BR162" s="40"/>
      <c r="BS162" s="24"/>
      <c r="BT162" s="24"/>
      <c r="BU162" s="24"/>
      <c r="BV162" s="24"/>
      <c r="BW162" s="24"/>
      <c r="BX162" s="24"/>
      <c r="BY162" s="24"/>
    </row>
    <row r="163" spans="1:77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88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40"/>
      <c r="BR163" s="40"/>
      <c r="BS163" s="24"/>
      <c r="BT163" s="24"/>
      <c r="BU163" s="24"/>
      <c r="BV163" s="24"/>
      <c r="BW163" s="24"/>
      <c r="BX163" s="24"/>
      <c r="BY163" s="24"/>
    </row>
    <row r="164" spans="1:77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88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40"/>
      <c r="BR164" s="40"/>
      <c r="BS164" s="24"/>
      <c r="BT164" s="24"/>
      <c r="BU164" s="24"/>
      <c r="BV164" s="24"/>
      <c r="BW164" s="24"/>
      <c r="BX164" s="24"/>
      <c r="BY164" s="24"/>
    </row>
    <row r="165" spans="1:77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88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40"/>
      <c r="BR165" s="40"/>
      <c r="BS165" s="24"/>
      <c r="BT165" s="24"/>
      <c r="BU165" s="24"/>
      <c r="BV165" s="24"/>
      <c r="BW165" s="24"/>
      <c r="BX165" s="24"/>
      <c r="BY165" s="24"/>
    </row>
    <row r="166" spans="1:77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88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40"/>
      <c r="BR166" s="40"/>
      <c r="BS166" s="24"/>
      <c r="BT166" s="24"/>
      <c r="BU166" s="24"/>
      <c r="BV166" s="24"/>
      <c r="BW166" s="24"/>
      <c r="BX166" s="24"/>
      <c r="BY166" s="24"/>
    </row>
    <row r="167" spans="1:7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88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40"/>
      <c r="BR167" s="40"/>
      <c r="BS167" s="24"/>
      <c r="BT167" s="24"/>
      <c r="BU167" s="24"/>
      <c r="BV167" s="24"/>
      <c r="BW167" s="24"/>
      <c r="BX167" s="24"/>
      <c r="BY167" s="24"/>
    </row>
    <row r="168" spans="1:77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88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40"/>
      <c r="BR168" s="40"/>
      <c r="BS168" s="24"/>
      <c r="BT168" s="24"/>
      <c r="BU168" s="24"/>
      <c r="BV168" s="24"/>
      <c r="BW168" s="24"/>
      <c r="BX168" s="24"/>
      <c r="BY168" s="24"/>
    </row>
    <row r="169" spans="1:77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88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40"/>
      <c r="BR169" s="40"/>
      <c r="BS169" s="24"/>
      <c r="BT169" s="24"/>
      <c r="BU169" s="24"/>
      <c r="BV169" s="24"/>
      <c r="BW169" s="24"/>
      <c r="BX169" s="24"/>
      <c r="BY169" s="24"/>
    </row>
    <row r="170" spans="1:77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88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40"/>
      <c r="BR170" s="40"/>
      <c r="BS170" s="24"/>
      <c r="BT170" s="24"/>
      <c r="BU170" s="24"/>
      <c r="BV170" s="24"/>
      <c r="BW170" s="24"/>
      <c r="BX170" s="24"/>
      <c r="BY170" s="24"/>
    </row>
    <row r="171" spans="1:77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88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40"/>
      <c r="BR171" s="40"/>
      <c r="BS171" s="24"/>
      <c r="BT171" s="24"/>
      <c r="BU171" s="24"/>
      <c r="BV171" s="24"/>
      <c r="BW171" s="24"/>
      <c r="BX171" s="24"/>
      <c r="BY171" s="24"/>
    </row>
    <row r="172" spans="1:77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88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40"/>
      <c r="BR172" s="40"/>
      <c r="BS172" s="24"/>
      <c r="BT172" s="24"/>
      <c r="BU172" s="24"/>
      <c r="BV172" s="24"/>
      <c r="BW172" s="24"/>
      <c r="BX172" s="24"/>
      <c r="BY172" s="24"/>
    </row>
    <row r="173" spans="1:77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88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40"/>
      <c r="BR173" s="40"/>
      <c r="BS173" s="24"/>
      <c r="BT173" s="24"/>
      <c r="BU173" s="24"/>
      <c r="BV173" s="24"/>
      <c r="BW173" s="24"/>
      <c r="BX173" s="24"/>
      <c r="BY173" s="24"/>
    </row>
    <row r="174" spans="1:77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88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40"/>
      <c r="BR174" s="40"/>
      <c r="BS174" s="24"/>
      <c r="BT174" s="24"/>
      <c r="BU174" s="24"/>
      <c r="BV174" s="24"/>
      <c r="BW174" s="24"/>
      <c r="BX174" s="24"/>
      <c r="BY174" s="24"/>
    </row>
    <row r="175" spans="1:77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88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40"/>
      <c r="BR175" s="40"/>
      <c r="BS175" s="24"/>
      <c r="BT175" s="24"/>
      <c r="BU175" s="24"/>
      <c r="BV175" s="24"/>
      <c r="BW175" s="24"/>
      <c r="BX175" s="24"/>
      <c r="BY175" s="24"/>
    </row>
    <row r="176" spans="1:77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88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40"/>
      <c r="BR176" s="40"/>
      <c r="BS176" s="24"/>
      <c r="BT176" s="24"/>
      <c r="BU176" s="24"/>
      <c r="BV176" s="24"/>
      <c r="BW176" s="24"/>
      <c r="BX176" s="24"/>
      <c r="BY176" s="24"/>
    </row>
    <row r="177" spans="1: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88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40"/>
      <c r="BR177" s="40"/>
      <c r="BS177" s="24"/>
      <c r="BT177" s="24"/>
      <c r="BU177" s="24"/>
      <c r="BV177" s="24"/>
      <c r="BW177" s="24"/>
      <c r="BX177" s="24"/>
      <c r="BY177" s="24"/>
    </row>
    <row r="178" spans="1:77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88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40"/>
      <c r="BR178" s="40"/>
      <c r="BS178" s="24"/>
      <c r="BT178" s="24"/>
      <c r="BU178" s="24"/>
      <c r="BV178" s="24"/>
      <c r="BW178" s="24"/>
      <c r="BX178" s="24"/>
      <c r="BY178" s="24"/>
    </row>
    <row r="179" spans="1:77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88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40"/>
      <c r="BR179" s="40"/>
      <c r="BS179" s="24"/>
      <c r="BT179" s="24"/>
      <c r="BU179" s="24"/>
      <c r="BV179" s="24"/>
      <c r="BW179" s="24"/>
      <c r="BX179" s="24"/>
      <c r="BY179" s="24"/>
    </row>
    <row r="180" spans="1:77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88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40"/>
      <c r="BR180" s="40"/>
      <c r="BS180" s="24"/>
      <c r="BT180" s="24"/>
      <c r="BU180" s="24"/>
      <c r="BV180" s="24"/>
      <c r="BW180" s="24"/>
      <c r="BX180" s="24"/>
      <c r="BY180" s="24"/>
    </row>
    <row r="181" spans="1:77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88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40"/>
      <c r="BR181" s="40"/>
      <c r="BS181" s="24"/>
      <c r="BT181" s="24"/>
      <c r="BU181" s="24"/>
      <c r="BV181" s="24"/>
      <c r="BW181" s="24"/>
      <c r="BX181" s="24"/>
      <c r="BY181" s="24"/>
    </row>
    <row r="182" spans="1:77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88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40"/>
      <c r="BR182" s="40"/>
      <c r="BS182" s="24"/>
      <c r="BT182" s="24"/>
      <c r="BU182" s="24"/>
      <c r="BV182" s="24"/>
      <c r="BW182" s="24"/>
      <c r="BX182" s="24"/>
      <c r="BY182" s="24"/>
    </row>
    <row r="183" spans="1:77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88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40"/>
      <c r="BR183" s="40"/>
      <c r="BS183" s="24"/>
      <c r="BT183" s="24"/>
      <c r="BU183" s="24"/>
      <c r="BV183" s="24"/>
      <c r="BW183" s="24"/>
      <c r="BX183" s="24"/>
      <c r="BY183" s="24"/>
    </row>
    <row r="184" spans="1:77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88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40"/>
      <c r="BR184" s="40"/>
      <c r="BS184" s="24"/>
      <c r="BT184" s="24"/>
      <c r="BU184" s="24"/>
      <c r="BV184" s="24"/>
      <c r="BW184" s="24"/>
      <c r="BX184" s="24"/>
      <c r="BY184" s="24"/>
    </row>
    <row r="185" spans="1:77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88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40"/>
      <c r="BR185" s="40"/>
      <c r="BS185" s="24"/>
      <c r="BT185" s="24"/>
      <c r="BU185" s="24"/>
      <c r="BV185" s="24"/>
      <c r="BW185" s="24"/>
      <c r="BX185" s="24"/>
      <c r="BY185" s="24"/>
    </row>
    <row r="186" spans="1:77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88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40"/>
      <c r="BR186" s="40"/>
      <c r="BS186" s="24"/>
      <c r="BT186" s="24"/>
      <c r="BU186" s="24"/>
      <c r="BV186" s="24"/>
      <c r="BW186" s="24"/>
      <c r="BX186" s="24"/>
      <c r="BY186" s="24"/>
    </row>
    <row r="187" spans="1:7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88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40"/>
      <c r="BR187" s="40"/>
      <c r="BS187" s="24"/>
      <c r="BT187" s="24"/>
      <c r="BU187" s="24"/>
      <c r="BV187" s="24"/>
      <c r="BW187" s="24"/>
      <c r="BX187" s="24"/>
      <c r="BY187" s="24"/>
    </row>
    <row r="188" spans="1:77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88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40"/>
      <c r="BR188" s="40"/>
      <c r="BS188" s="24"/>
      <c r="BT188" s="24"/>
      <c r="BU188" s="24"/>
      <c r="BV188" s="24"/>
      <c r="BW188" s="24"/>
      <c r="BX188" s="24"/>
      <c r="BY188" s="24"/>
    </row>
    <row r="189" spans="1:77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88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40"/>
      <c r="BR189" s="40"/>
      <c r="BS189" s="24"/>
      <c r="BT189" s="24"/>
      <c r="BU189" s="24"/>
      <c r="BV189" s="24"/>
      <c r="BW189" s="24"/>
      <c r="BX189" s="24"/>
      <c r="BY189" s="24"/>
    </row>
    <row r="190" spans="1:77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88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40"/>
      <c r="BR190" s="40"/>
      <c r="BS190" s="24"/>
      <c r="BT190" s="24"/>
      <c r="BU190" s="24"/>
      <c r="BV190" s="24"/>
      <c r="BW190" s="24"/>
      <c r="BX190" s="24"/>
      <c r="BY190" s="24"/>
    </row>
    <row r="191" spans="1:77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88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40"/>
      <c r="BR191" s="40"/>
      <c r="BS191" s="24"/>
      <c r="BT191" s="24"/>
      <c r="BU191" s="24"/>
      <c r="BV191" s="24"/>
      <c r="BW191" s="24"/>
      <c r="BX191" s="24"/>
      <c r="BY191" s="24"/>
    </row>
    <row r="192" spans="1:77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88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40"/>
      <c r="BR192" s="40"/>
      <c r="BS192" s="24"/>
      <c r="BT192" s="24"/>
      <c r="BU192" s="24"/>
      <c r="BV192" s="24"/>
      <c r="BW192" s="24"/>
      <c r="BX192" s="24"/>
      <c r="BY192" s="24"/>
    </row>
    <row r="193" spans="1:77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88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40"/>
      <c r="BR193" s="40"/>
      <c r="BS193" s="24"/>
      <c r="BT193" s="24"/>
      <c r="BU193" s="24"/>
      <c r="BV193" s="24"/>
      <c r="BW193" s="24"/>
      <c r="BX193" s="24"/>
      <c r="BY193" s="24"/>
    </row>
    <row r="194" spans="1:77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88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40"/>
      <c r="BR194" s="40"/>
      <c r="BS194" s="24"/>
      <c r="BT194" s="24"/>
      <c r="BU194" s="24"/>
      <c r="BV194" s="24"/>
      <c r="BW194" s="24"/>
      <c r="BX194" s="24"/>
      <c r="BY194" s="24"/>
    </row>
    <row r="195" spans="1:77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88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40"/>
      <c r="BR195" s="40"/>
      <c r="BS195" s="24"/>
      <c r="BT195" s="24"/>
      <c r="BU195" s="24"/>
      <c r="BV195" s="24"/>
      <c r="BW195" s="24"/>
      <c r="BX195" s="24"/>
      <c r="BY195" s="24"/>
    </row>
    <row r="196" spans="1:77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88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40"/>
      <c r="BR196" s="40"/>
      <c r="BS196" s="24"/>
      <c r="BT196" s="24"/>
      <c r="BU196" s="24"/>
      <c r="BV196" s="24"/>
      <c r="BW196" s="24"/>
      <c r="BX196" s="24"/>
      <c r="BY196" s="24"/>
    </row>
    <row r="197" spans="1:7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88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40"/>
      <c r="BR197" s="40"/>
      <c r="BS197" s="24"/>
      <c r="BT197" s="24"/>
      <c r="BU197" s="24"/>
      <c r="BV197" s="24"/>
      <c r="BW197" s="24"/>
      <c r="BX197" s="24"/>
      <c r="BY197" s="24"/>
    </row>
    <row r="198" spans="1:77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88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40"/>
      <c r="BR198" s="40"/>
      <c r="BS198" s="24"/>
      <c r="BT198" s="24"/>
      <c r="BU198" s="24"/>
      <c r="BV198" s="24"/>
      <c r="BW198" s="24"/>
      <c r="BX198" s="24"/>
      <c r="BY198" s="24"/>
    </row>
    <row r="199" spans="1:77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88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40"/>
      <c r="BR199" s="40"/>
      <c r="BS199" s="24"/>
      <c r="BT199" s="24"/>
      <c r="BU199" s="24"/>
      <c r="BV199" s="24"/>
      <c r="BW199" s="24"/>
      <c r="BX199" s="24"/>
      <c r="BY199" s="24"/>
    </row>
    <row r="200" spans="1:77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88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40"/>
      <c r="BR200" s="40"/>
      <c r="BS200" s="24"/>
      <c r="BT200" s="24"/>
      <c r="BU200" s="24"/>
      <c r="BV200" s="24"/>
      <c r="BW200" s="24"/>
      <c r="BX200" s="24"/>
      <c r="BY200" s="24"/>
    </row>
    <row r="201" spans="1:77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88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40"/>
      <c r="BR201" s="40"/>
      <c r="BS201" s="24"/>
      <c r="BT201" s="24"/>
      <c r="BU201" s="24"/>
      <c r="BV201" s="24"/>
      <c r="BW201" s="24"/>
      <c r="BX201" s="24"/>
      <c r="BY201" s="24"/>
    </row>
    <row r="202" spans="1:77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88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40"/>
      <c r="BR202" s="40"/>
      <c r="BS202" s="24"/>
      <c r="BT202" s="24"/>
      <c r="BU202" s="24"/>
      <c r="BV202" s="24"/>
      <c r="BW202" s="24"/>
      <c r="BX202" s="24"/>
      <c r="BY202" s="24"/>
    </row>
    <row r="203" spans="1:77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88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40"/>
      <c r="BR203" s="40"/>
      <c r="BS203" s="24"/>
      <c r="BT203" s="24"/>
      <c r="BU203" s="24"/>
      <c r="BV203" s="24"/>
      <c r="BW203" s="24"/>
      <c r="BX203" s="24"/>
      <c r="BY203" s="24"/>
    </row>
    <row r="204" spans="1:77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88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40"/>
      <c r="BR204" s="40"/>
      <c r="BS204" s="24"/>
      <c r="BT204" s="24"/>
      <c r="BU204" s="24"/>
      <c r="BV204" s="24"/>
      <c r="BW204" s="24"/>
      <c r="BX204" s="24"/>
      <c r="BY204" s="24"/>
    </row>
    <row r="205" spans="1:77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88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40"/>
      <c r="BR205" s="40"/>
      <c r="BS205" s="24"/>
      <c r="BT205" s="24"/>
      <c r="BU205" s="24"/>
      <c r="BV205" s="24"/>
      <c r="BW205" s="24"/>
      <c r="BX205" s="24"/>
      <c r="BY205" s="24"/>
    </row>
    <row r="206" spans="1:77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88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40"/>
      <c r="BR206" s="40"/>
      <c r="BS206" s="24"/>
      <c r="BT206" s="24"/>
      <c r="BU206" s="24"/>
      <c r="BV206" s="24"/>
      <c r="BW206" s="24"/>
      <c r="BX206" s="24"/>
      <c r="BY206" s="24"/>
    </row>
    <row r="207" spans="1:7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88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40"/>
      <c r="BR207" s="40"/>
      <c r="BS207" s="24"/>
      <c r="BT207" s="24"/>
      <c r="BU207" s="24"/>
      <c r="BV207" s="24"/>
      <c r="BW207" s="24"/>
      <c r="BX207" s="24"/>
      <c r="BY207" s="24"/>
    </row>
    <row r="208" spans="1:77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88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40"/>
      <c r="BR208" s="40"/>
      <c r="BS208" s="24"/>
      <c r="BT208" s="24"/>
      <c r="BU208" s="24"/>
      <c r="BV208" s="24"/>
      <c r="BW208" s="24"/>
      <c r="BX208" s="24"/>
      <c r="BY208" s="24"/>
    </row>
    <row r="209" spans="1:77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88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40"/>
      <c r="BR209" s="40"/>
      <c r="BS209" s="24"/>
      <c r="BT209" s="24"/>
      <c r="BU209" s="24"/>
      <c r="BV209" s="24"/>
      <c r="BW209" s="24"/>
      <c r="BX209" s="24"/>
      <c r="BY209" s="24"/>
    </row>
    <row r="210" spans="1:77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88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40"/>
      <c r="BR210" s="40"/>
      <c r="BS210" s="24"/>
      <c r="BT210" s="24"/>
      <c r="BU210" s="24"/>
      <c r="BV210" s="24"/>
      <c r="BW210" s="24"/>
      <c r="BX210" s="24"/>
      <c r="BY210" s="24"/>
    </row>
    <row r="211" spans="1:77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88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40"/>
      <c r="BR211" s="40"/>
      <c r="BS211" s="24"/>
      <c r="BT211" s="24"/>
      <c r="BU211" s="24"/>
      <c r="BV211" s="24"/>
      <c r="BW211" s="24"/>
      <c r="BX211" s="24"/>
      <c r="BY211" s="24"/>
    </row>
    <row r="212" spans="1:77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88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40"/>
      <c r="BR212" s="40"/>
      <c r="BS212" s="24"/>
      <c r="BT212" s="24"/>
      <c r="BU212" s="24"/>
      <c r="BV212" s="24"/>
      <c r="BW212" s="24"/>
      <c r="BX212" s="24"/>
      <c r="BY212" s="24"/>
    </row>
    <row r="213" spans="1:77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88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40"/>
      <c r="BR213" s="40"/>
      <c r="BS213" s="24"/>
      <c r="BT213" s="24"/>
      <c r="BU213" s="24"/>
      <c r="BV213" s="24"/>
      <c r="BW213" s="24"/>
      <c r="BX213" s="24"/>
      <c r="BY213" s="24"/>
    </row>
    <row r="214" spans="1:77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88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40"/>
      <c r="BR214" s="40"/>
      <c r="BS214" s="24"/>
      <c r="BT214" s="24"/>
      <c r="BU214" s="24"/>
      <c r="BV214" s="24"/>
      <c r="BW214" s="24"/>
      <c r="BX214" s="24"/>
      <c r="BY214" s="24"/>
    </row>
    <row r="215" spans="1:77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88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40"/>
      <c r="BR215" s="40"/>
      <c r="BS215" s="24"/>
      <c r="BT215" s="24"/>
      <c r="BU215" s="24"/>
      <c r="BV215" s="24"/>
      <c r="BW215" s="24"/>
      <c r="BX215" s="24"/>
      <c r="BY215" s="24"/>
    </row>
    <row r="216" spans="1:77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88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40"/>
      <c r="BR216" s="40"/>
      <c r="BS216" s="24"/>
      <c r="BT216" s="24"/>
      <c r="BU216" s="24"/>
      <c r="BV216" s="24"/>
      <c r="BW216" s="24"/>
      <c r="BX216" s="24"/>
      <c r="BY216" s="24"/>
    </row>
    <row r="217" spans="1:7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88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40"/>
      <c r="BR217" s="40"/>
      <c r="BS217" s="24"/>
      <c r="BT217" s="24"/>
      <c r="BU217" s="24"/>
      <c r="BV217" s="24"/>
      <c r="BW217" s="24"/>
      <c r="BX217" s="24"/>
      <c r="BY217" s="24"/>
    </row>
    <row r="218" spans="1:77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88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40"/>
      <c r="BR218" s="40"/>
      <c r="BS218" s="24"/>
      <c r="BT218" s="24"/>
      <c r="BU218" s="24"/>
      <c r="BV218" s="24"/>
      <c r="BW218" s="24"/>
      <c r="BX218" s="24"/>
      <c r="BY218" s="24"/>
    </row>
    <row r="219" spans="1:77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88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40"/>
      <c r="BR219" s="40"/>
      <c r="BS219" s="24"/>
      <c r="BT219" s="24"/>
      <c r="BU219" s="24"/>
      <c r="BV219" s="24"/>
      <c r="BW219" s="24"/>
      <c r="BX219" s="24"/>
      <c r="BY219" s="24"/>
    </row>
    <row r="220" spans="1:77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88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40"/>
      <c r="BR220" s="40"/>
      <c r="BS220" s="24"/>
      <c r="BT220" s="24"/>
      <c r="BU220" s="24"/>
      <c r="BV220" s="24"/>
      <c r="BW220" s="24"/>
      <c r="BX220" s="24"/>
      <c r="BY220" s="24"/>
    </row>
    <row r="221" spans="1:77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88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40"/>
      <c r="BR221" s="40"/>
      <c r="BS221" s="24"/>
      <c r="BT221" s="24"/>
      <c r="BU221" s="24"/>
      <c r="BV221" s="24"/>
      <c r="BW221" s="24"/>
      <c r="BX221" s="24"/>
      <c r="BY221" s="24"/>
    </row>
    <row r="222" spans="1:77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88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40"/>
      <c r="BR222" s="40"/>
      <c r="BS222" s="24"/>
      <c r="BT222" s="24"/>
      <c r="BU222" s="24"/>
      <c r="BV222" s="24"/>
      <c r="BW222" s="24"/>
      <c r="BX222" s="24"/>
      <c r="BY222" s="24"/>
    </row>
    <row r="223" spans="1:77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88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40"/>
      <c r="BR223" s="40"/>
      <c r="BS223" s="24"/>
      <c r="BT223" s="24"/>
      <c r="BU223" s="24"/>
      <c r="BV223" s="24"/>
      <c r="BW223" s="24"/>
      <c r="BX223" s="24"/>
      <c r="BY223" s="24"/>
    </row>
    <row r="224" spans="1:77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88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40"/>
      <c r="BR224" s="40"/>
      <c r="BS224" s="24"/>
      <c r="BT224" s="24"/>
      <c r="BU224" s="24"/>
      <c r="BV224" s="24"/>
      <c r="BW224" s="24"/>
      <c r="BX224" s="24"/>
      <c r="BY224" s="24"/>
    </row>
    <row r="225" spans="1:77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88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40"/>
      <c r="BR225" s="40"/>
      <c r="BS225" s="24"/>
      <c r="BT225" s="24"/>
      <c r="BU225" s="24"/>
      <c r="BV225" s="24"/>
      <c r="BW225" s="24"/>
      <c r="BX225" s="24"/>
      <c r="BY225" s="24"/>
    </row>
    <row r="226" spans="1:77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88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40"/>
      <c r="BR226" s="40"/>
      <c r="BS226" s="24"/>
      <c r="BT226" s="24"/>
      <c r="BU226" s="24"/>
      <c r="BV226" s="24"/>
      <c r="BW226" s="24"/>
      <c r="BX226" s="24"/>
      <c r="BY226" s="24"/>
    </row>
    <row r="227" spans="1:7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88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40"/>
      <c r="BR227" s="40"/>
      <c r="BS227" s="24"/>
      <c r="BT227" s="24"/>
      <c r="BU227" s="24"/>
      <c r="BV227" s="24"/>
      <c r="BW227" s="24"/>
      <c r="BX227" s="24"/>
      <c r="BY227" s="24"/>
    </row>
    <row r="228" spans="1:77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88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40"/>
      <c r="BR228" s="40"/>
      <c r="BS228" s="24"/>
      <c r="BT228" s="24"/>
      <c r="BU228" s="24"/>
      <c r="BV228" s="24"/>
      <c r="BW228" s="24"/>
      <c r="BX228" s="24"/>
      <c r="BY228" s="24"/>
    </row>
    <row r="229" spans="1:77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88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40"/>
      <c r="BR229" s="40"/>
      <c r="BS229" s="24"/>
      <c r="BT229" s="24"/>
      <c r="BU229" s="24"/>
      <c r="BV229" s="24"/>
      <c r="BW229" s="24"/>
      <c r="BX229" s="24"/>
      <c r="BY229" s="24"/>
    </row>
    <row r="230" spans="1:77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88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40"/>
      <c r="BR230" s="40"/>
      <c r="BS230" s="24"/>
      <c r="BT230" s="24"/>
      <c r="BU230" s="24"/>
      <c r="BV230" s="24"/>
      <c r="BW230" s="24"/>
      <c r="BX230" s="24"/>
      <c r="BY230" s="24"/>
    </row>
    <row r="231" spans="1:77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88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40"/>
      <c r="BR231" s="40"/>
      <c r="BS231" s="24"/>
      <c r="BT231" s="24"/>
      <c r="BU231" s="24"/>
      <c r="BV231" s="24"/>
      <c r="BW231" s="24"/>
      <c r="BX231" s="24"/>
      <c r="BY231" s="24"/>
    </row>
    <row r="232" spans="1:77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88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40"/>
      <c r="BR232" s="40"/>
      <c r="BS232" s="24"/>
      <c r="BT232" s="24"/>
      <c r="BU232" s="24"/>
      <c r="BV232" s="24"/>
      <c r="BW232" s="24"/>
      <c r="BX232" s="24"/>
      <c r="BY232" s="24"/>
    </row>
    <row r="233" spans="1:77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88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40"/>
      <c r="BR233" s="40"/>
      <c r="BS233" s="24"/>
      <c r="BT233" s="24"/>
      <c r="BU233" s="24"/>
      <c r="BV233" s="24"/>
      <c r="BW233" s="24"/>
      <c r="BX233" s="24"/>
      <c r="BY233" s="24"/>
    </row>
    <row r="234" spans="1:77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88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40"/>
      <c r="BR234" s="40"/>
      <c r="BS234" s="24"/>
      <c r="BT234" s="24"/>
      <c r="BU234" s="24"/>
      <c r="BV234" s="24"/>
      <c r="BW234" s="24"/>
      <c r="BX234" s="24"/>
      <c r="BY234" s="24"/>
    </row>
    <row r="235" spans="1:77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88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40"/>
      <c r="BR235" s="40"/>
      <c r="BS235" s="24"/>
      <c r="BT235" s="24"/>
      <c r="BU235" s="24"/>
      <c r="BV235" s="24"/>
      <c r="BW235" s="24"/>
      <c r="BX235" s="24"/>
      <c r="BY235" s="24"/>
    </row>
    <row r="236" spans="1:77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88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40"/>
      <c r="BR236" s="40"/>
      <c r="BS236" s="24"/>
      <c r="BT236" s="24"/>
      <c r="BU236" s="24"/>
      <c r="BV236" s="24"/>
      <c r="BW236" s="24"/>
      <c r="BX236" s="24"/>
      <c r="BY236" s="24"/>
    </row>
    <row r="237" spans="1:7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88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40"/>
      <c r="BR237" s="40"/>
      <c r="BS237" s="24"/>
      <c r="BT237" s="24"/>
      <c r="BU237" s="24"/>
      <c r="BV237" s="24"/>
      <c r="BW237" s="24"/>
      <c r="BX237" s="24"/>
      <c r="BY237" s="24"/>
    </row>
    <row r="238" spans="1:77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88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40"/>
      <c r="BR238" s="40"/>
      <c r="BS238" s="24"/>
      <c r="BT238" s="24"/>
      <c r="BU238" s="24"/>
      <c r="BV238" s="24"/>
      <c r="BW238" s="24"/>
      <c r="BX238" s="24"/>
      <c r="BY238" s="24"/>
    </row>
    <row r="239" spans="1:77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88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40"/>
      <c r="BR239" s="40"/>
      <c r="BS239" s="24"/>
      <c r="BT239" s="24"/>
      <c r="BU239" s="24"/>
      <c r="BV239" s="24"/>
      <c r="BW239" s="24"/>
      <c r="BX239" s="24"/>
      <c r="BY239" s="24"/>
    </row>
    <row r="240" spans="1:77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88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40"/>
      <c r="BR240" s="40"/>
      <c r="BS240" s="24"/>
      <c r="BT240" s="24"/>
      <c r="BU240" s="24"/>
      <c r="BV240" s="24"/>
      <c r="BW240" s="24"/>
      <c r="BX240" s="24"/>
      <c r="BY240" s="24"/>
    </row>
    <row r="241" spans="1:77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88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40"/>
      <c r="BR241" s="40"/>
      <c r="BS241" s="24"/>
      <c r="BT241" s="24"/>
      <c r="BU241" s="24"/>
      <c r="BV241" s="24"/>
      <c r="BW241" s="24"/>
      <c r="BX241" s="24"/>
      <c r="BY241" s="24"/>
    </row>
    <row r="242" spans="1:77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88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40"/>
      <c r="BR242" s="40"/>
      <c r="BS242" s="24"/>
      <c r="BT242" s="24"/>
      <c r="BU242" s="24"/>
      <c r="BV242" s="24"/>
      <c r="BW242" s="24"/>
      <c r="BX242" s="24"/>
      <c r="BY242" s="24"/>
    </row>
    <row r="243" spans="1:77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88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40"/>
      <c r="BR243" s="40"/>
      <c r="BS243" s="24"/>
      <c r="BT243" s="24"/>
      <c r="BU243" s="24"/>
      <c r="BV243" s="24"/>
      <c r="BW243" s="24"/>
      <c r="BX243" s="24"/>
      <c r="BY243" s="24"/>
    </row>
    <row r="244" spans="1:77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88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40"/>
      <c r="BR244" s="40"/>
      <c r="BS244" s="24"/>
      <c r="BT244" s="24"/>
      <c r="BU244" s="24"/>
      <c r="BV244" s="24"/>
      <c r="BW244" s="24"/>
      <c r="BX244" s="24"/>
      <c r="BY244" s="24"/>
    </row>
    <row r="245" spans="1:77" ht="15.75" customHeight="1"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E245" s="234"/>
      <c r="BI245" s="24"/>
      <c r="BQ245" s="46"/>
      <c r="BR245" s="46"/>
    </row>
    <row r="246" spans="1:77" ht="15.75" customHeight="1"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E246" s="234"/>
      <c r="BI246" s="24"/>
      <c r="BQ246" s="46"/>
      <c r="BR246" s="46"/>
    </row>
    <row r="247" spans="1:77" ht="15.75" customHeight="1"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E247" s="234"/>
      <c r="BI247" s="24"/>
      <c r="BQ247" s="46"/>
      <c r="BR247" s="46"/>
    </row>
    <row r="248" spans="1:77" ht="15.75" customHeight="1"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E248" s="234"/>
      <c r="BI248" s="24"/>
      <c r="BQ248" s="46"/>
      <c r="BR248" s="46"/>
    </row>
    <row r="249" spans="1:77" ht="15.75" customHeight="1">
      <c r="BE249" s="234"/>
      <c r="BQ249" s="46"/>
      <c r="BR249" s="46"/>
    </row>
    <row r="250" spans="1:77" ht="15.75" customHeight="1">
      <c r="BE250" s="234"/>
      <c r="BQ250" s="46"/>
      <c r="BR250" s="46"/>
    </row>
    <row r="251" spans="1:77" ht="15.75" customHeight="1">
      <c r="BE251" s="234"/>
      <c r="BQ251" s="46"/>
      <c r="BR251" s="46"/>
    </row>
    <row r="252" spans="1:77" ht="15.75" customHeight="1">
      <c r="BE252" s="234"/>
      <c r="BQ252" s="46"/>
      <c r="BR252" s="46"/>
    </row>
    <row r="253" spans="1:77" ht="15.75" customHeight="1">
      <c r="BE253" s="234"/>
      <c r="BQ253" s="46"/>
      <c r="BR253" s="46"/>
    </row>
    <row r="254" spans="1:77" ht="15.75" customHeight="1">
      <c r="BE254" s="234"/>
      <c r="BQ254" s="46"/>
      <c r="BR254" s="46"/>
    </row>
    <row r="255" spans="1:77" ht="15.75" customHeight="1">
      <c r="BE255" s="234"/>
      <c r="BQ255" s="46"/>
      <c r="BR255" s="46"/>
    </row>
    <row r="256" spans="1:77" ht="15.75" customHeight="1">
      <c r="BE256" s="234"/>
      <c r="BQ256" s="46"/>
      <c r="BR256" s="46"/>
    </row>
    <row r="257" spans="57:70" ht="15.75" customHeight="1">
      <c r="BE257" s="234"/>
      <c r="BQ257" s="46"/>
      <c r="BR257" s="46"/>
    </row>
    <row r="258" spans="57:70" ht="15.75" customHeight="1">
      <c r="BE258" s="234"/>
      <c r="BQ258" s="46"/>
      <c r="BR258" s="46"/>
    </row>
    <row r="259" spans="57:70" ht="15.75" customHeight="1">
      <c r="BE259" s="234"/>
      <c r="BQ259" s="46"/>
      <c r="BR259" s="46"/>
    </row>
    <row r="260" spans="57:70" ht="15.75" customHeight="1">
      <c r="BE260" s="234"/>
      <c r="BQ260" s="46"/>
      <c r="BR260" s="46"/>
    </row>
    <row r="261" spans="57:70" ht="15.75" customHeight="1">
      <c r="BE261" s="234"/>
      <c r="BQ261" s="46"/>
      <c r="BR261" s="46"/>
    </row>
    <row r="262" spans="57:70" ht="15.75" customHeight="1">
      <c r="BE262" s="234"/>
      <c r="BQ262" s="46"/>
      <c r="BR262" s="46"/>
    </row>
    <row r="263" spans="57:70" ht="15.75" customHeight="1">
      <c r="BE263" s="234"/>
      <c r="BQ263" s="46"/>
      <c r="BR263" s="46"/>
    </row>
    <row r="264" spans="57:70" ht="15.75" customHeight="1">
      <c r="BE264" s="234"/>
      <c r="BQ264" s="46"/>
      <c r="BR264" s="46"/>
    </row>
    <row r="265" spans="57:70" ht="15.75" customHeight="1">
      <c r="BE265" s="234"/>
      <c r="BQ265" s="46"/>
      <c r="BR265" s="46"/>
    </row>
    <row r="266" spans="57:70" ht="15.75" customHeight="1">
      <c r="BE266" s="234"/>
      <c r="BQ266" s="46"/>
      <c r="BR266" s="46"/>
    </row>
    <row r="267" spans="57:70" ht="15.75" customHeight="1">
      <c r="BE267" s="234"/>
      <c r="BQ267" s="46"/>
      <c r="BR267" s="46"/>
    </row>
    <row r="268" spans="57:70" ht="15.75" customHeight="1">
      <c r="BE268" s="234"/>
      <c r="BQ268" s="46"/>
      <c r="BR268" s="46"/>
    </row>
    <row r="269" spans="57:70" ht="15.75" customHeight="1">
      <c r="BE269" s="234"/>
      <c r="BQ269" s="46"/>
      <c r="BR269" s="46"/>
    </row>
    <row r="270" spans="57:70" ht="15.75" customHeight="1">
      <c r="BE270" s="234"/>
      <c r="BQ270" s="46"/>
      <c r="BR270" s="46"/>
    </row>
    <row r="271" spans="57:70" ht="15.75" customHeight="1">
      <c r="BE271" s="234"/>
      <c r="BQ271" s="46"/>
      <c r="BR271" s="46"/>
    </row>
    <row r="272" spans="57:70" ht="15.75" customHeight="1">
      <c r="BE272" s="234"/>
      <c r="BQ272" s="46"/>
      <c r="BR272" s="46"/>
    </row>
    <row r="273" spans="57:70" ht="15.75" customHeight="1">
      <c r="BE273" s="234"/>
      <c r="BQ273" s="46"/>
      <c r="BR273" s="46"/>
    </row>
    <row r="274" spans="57:70" ht="15.75" customHeight="1">
      <c r="BE274" s="234"/>
      <c r="BQ274" s="46"/>
      <c r="BR274" s="46"/>
    </row>
    <row r="275" spans="57:70" ht="15.75" customHeight="1">
      <c r="BE275" s="234"/>
      <c r="BQ275" s="46"/>
      <c r="BR275" s="46"/>
    </row>
    <row r="276" spans="57:70" ht="15.75" customHeight="1">
      <c r="BE276" s="234"/>
      <c r="BQ276" s="46"/>
      <c r="BR276" s="46"/>
    </row>
    <row r="277" spans="57:70" ht="15.75" customHeight="1">
      <c r="BE277" s="234"/>
      <c r="BQ277" s="46"/>
      <c r="BR277" s="46"/>
    </row>
    <row r="278" spans="57:70" ht="15.75" customHeight="1">
      <c r="BE278" s="234"/>
      <c r="BQ278" s="46"/>
      <c r="BR278" s="46"/>
    </row>
    <row r="279" spans="57:70" ht="15.75" customHeight="1">
      <c r="BE279" s="234"/>
      <c r="BQ279" s="46"/>
      <c r="BR279" s="46"/>
    </row>
    <row r="280" spans="57:70" ht="15.75" customHeight="1">
      <c r="BE280" s="234"/>
      <c r="BQ280" s="46"/>
      <c r="BR280" s="46"/>
    </row>
    <row r="281" spans="57:70" ht="15.75" customHeight="1">
      <c r="BE281" s="234"/>
      <c r="BQ281" s="46"/>
      <c r="BR281" s="46"/>
    </row>
    <row r="282" spans="57:70" ht="15.75" customHeight="1">
      <c r="BE282" s="234"/>
      <c r="BQ282" s="46"/>
      <c r="BR282" s="46"/>
    </row>
    <row r="283" spans="57:70" ht="15.75" customHeight="1">
      <c r="BE283" s="234"/>
      <c r="BQ283" s="46"/>
      <c r="BR283" s="46"/>
    </row>
    <row r="284" spans="57:70" ht="15.75" customHeight="1">
      <c r="BE284" s="234"/>
      <c r="BQ284" s="46"/>
      <c r="BR284" s="46"/>
    </row>
    <row r="285" spans="57:70" ht="15.75" customHeight="1">
      <c r="BE285" s="234"/>
      <c r="BQ285" s="46"/>
      <c r="BR285" s="46"/>
    </row>
    <row r="286" spans="57:70" ht="15.75" customHeight="1">
      <c r="BE286" s="234"/>
      <c r="BQ286" s="46"/>
      <c r="BR286" s="46"/>
    </row>
    <row r="287" spans="57:70" ht="15.75" customHeight="1">
      <c r="BE287" s="234"/>
      <c r="BQ287" s="46"/>
      <c r="BR287" s="46"/>
    </row>
    <row r="288" spans="57:70" ht="15.75" customHeight="1">
      <c r="BE288" s="234"/>
      <c r="BQ288" s="46"/>
      <c r="BR288" s="46"/>
    </row>
    <row r="289" spans="57:70" ht="15.75" customHeight="1">
      <c r="BE289" s="234"/>
      <c r="BQ289" s="46"/>
      <c r="BR289" s="46"/>
    </row>
    <row r="290" spans="57:70" ht="15.75" customHeight="1">
      <c r="BE290" s="234"/>
      <c r="BQ290" s="46"/>
      <c r="BR290" s="46"/>
    </row>
    <row r="291" spans="57:70" ht="15.75" customHeight="1">
      <c r="BE291" s="234"/>
      <c r="BQ291" s="46"/>
      <c r="BR291" s="46"/>
    </row>
    <row r="292" spans="57:70" ht="15.75" customHeight="1">
      <c r="BE292" s="234"/>
      <c r="BQ292" s="46"/>
      <c r="BR292" s="46"/>
    </row>
    <row r="293" spans="57:70" ht="15.75" customHeight="1">
      <c r="BE293" s="234"/>
      <c r="BQ293" s="46"/>
      <c r="BR293" s="46"/>
    </row>
    <row r="294" spans="57:70" ht="15.75" customHeight="1">
      <c r="BE294" s="234"/>
      <c r="BQ294" s="46"/>
      <c r="BR294" s="46"/>
    </row>
    <row r="295" spans="57:70" ht="15.75" customHeight="1">
      <c r="BE295" s="234"/>
      <c r="BQ295" s="46"/>
      <c r="BR295" s="46"/>
    </row>
    <row r="296" spans="57:70" ht="15.75" customHeight="1">
      <c r="BE296" s="234"/>
      <c r="BQ296" s="46"/>
      <c r="BR296" s="46"/>
    </row>
    <row r="297" spans="57:70" ht="15.75" customHeight="1">
      <c r="BE297" s="234"/>
      <c r="BQ297" s="46"/>
      <c r="BR297" s="46"/>
    </row>
    <row r="298" spans="57:70" ht="15.75" customHeight="1">
      <c r="BE298" s="234"/>
      <c r="BQ298" s="46"/>
      <c r="BR298" s="46"/>
    </row>
    <row r="299" spans="57:70" ht="15.75" customHeight="1">
      <c r="BE299" s="234"/>
      <c r="BQ299" s="46"/>
      <c r="BR299" s="46"/>
    </row>
    <row r="300" spans="57:70" ht="15.75" customHeight="1">
      <c r="BE300" s="234"/>
      <c r="BQ300" s="46"/>
      <c r="BR300" s="46"/>
    </row>
    <row r="301" spans="57:70" ht="15.75" customHeight="1">
      <c r="BE301" s="234"/>
      <c r="BQ301" s="46"/>
      <c r="BR301" s="46"/>
    </row>
    <row r="302" spans="57:70" ht="15.75" customHeight="1">
      <c r="BE302" s="234"/>
      <c r="BQ302" s="46"/>
      <c r="BR302" s="46"/>
    </row>
    <row r="303" spans="57:70" ht="15.75" customHeight="1">
      <c r="BE303" s="234"/>
      <c r="BQ303" s="46"/>
      <c r="BR303" s="46"/>
    </row>
    <row r="304" spans="57:70" ht="15.75" customHeight="1">
      <c r="BE304" s="234"/>
      <c r="BQ304" s="46"/>
      <c r="BR304" s="46"/>
    </row>
    <row r="305" spans="57:70" ht="15.75" customHeight="1">
      <c r="BE305" s="234"/>
      <c r="BQ305" s="46"/>
      <c r="BR305" s="46"/>
    </row>
    <row r="306" spans="57:70" ht="15.75" customHeight="1">
      <c r="BE306" s="234"/>
      <c r="BQ306" s="46"/>
      <c r="BR306" s="46"/>
    </row>
    <row r="307" spans="57:70" ht="15.75" customHeight="1">
      <c r="BE307" s="234"/>
      <c r="BQ307" s="46"/>
      <c r="BR307" s="46"/>
    </row>
    <row r="308" spans="57:70" ht="15.75" customHeight="1">
      <c r="BE308" s="234"/>
      <c r="BQ308" s="46"/>
      <c r="BR308" s="46"/>
    </row>
    <row r="309" spans="57:70" ht="15.75" customHeight="1">
      <c r="BE309" s="234"/>
      <c r="BQ309" s="46"/>
      <c r="BR309" s="46"/>
    </row>
    <row r="310" spans="57:70" ht="15.75" customHeight="1">
      <c r="BE310" s="234"/>
      <c r="BQ310" s="46"/>
      <c r="BR310" s="46"/>
    </row>
    <row r="311" spans="57:70" ht="15.75" customHeight="1">
      <c r="BE311" s="234"/>
      <c r="BQ311" s="46"/>
      <c r="BR311" s="46"/>
    </row>
    <row r="312" spans="57:70" ht="15.75" customHeight="1">
      <c r="BE312" s="234"/>
      <c r="BQ312" s="46"/>
      <c r="BR312" s="46"/>
    </row>
    <row r="313" spans="57:70" ht="15.75" customHeight="1">
      <c r="BE313" s="234"/>
      <c r="BQ313" s="46"/>
      <c r="BR313" s="46"/>
    </row>
    <row r="314" spans="57:70" ht="15.75" customHeight="1">
      <c r="BE314" s="234"/>
      <c r="BQ314" s="46"/>
      <c r="BR314" s="46"/>
    </row>
    <row r="315" spans="57:70" ht="15.75" customHeight="1">
      <c r="BE315" s="234"/>
      <c r="BQ315" s="46"/>
      <c r="BR315" s="46"/>
    </row>
    <row r="316" spans="57:70" ht="15.75" customHeight="1">
      <c r="BE316" s="234"/>
      <c r="BQ316" s="46"/>
      <c r="BR316" s="46"/>
    </row>
    <row r="317" spans="57:70" ht="15.75" customHeight="1">
      <c r="BE317" s="234"/>
      <c r="BQ317" s="46"/>
      <c r="BR317" s="46"/>
    </row>
    <row r="318" spans="57:70" ht="15.75" customHeight="1">
      <c r="BE318" s="234"/>
      <c r="BQ318" s="46"/>
      <c r="BR318" s="46"/>
    </row>
    <row r="319" spans="57:70" ht="15.75" customHeight="1">
      <c r="BE319" s="234"/>
      <c r="BQ319" s="46"/>
      <c r="BR319" s="46"/>
    </row>
    <row r="320" spans="57:70" ht="15.75" customHeight="1">
      <c r="BE320" s="234"/>
      <c r="BQ320" s="46"/>
      <c r="BR320" s="46"/>
    </row>
    <row r="321" spans="57:70" ht="15.75" customHeight="1">
      <c r="BE321" s="234"/>
      <c r="BQ321" s="46"/>
      <c r="BR321" s="46"/>
    </row>
    <row r="322" spans="57:70" ht="15.75" customHeight="1">
      <c r="BE322" s="234"/>
      <c r="BQ322" s="46"/>
      <c r="BR322" s="46"/>
    </row>
    <row r="323" spans="57:70" ht="15.75" customHeight="1">
      <c r="BE323" s="234"/>
      <c r="BQ323" s="46"/>
      <c r="BR323" s="46"/>
    </row>
    <row r="324" spans="57:70" ht="15.75" customHeight="1">
      <c r="BE324" s="234"/>
      <c r="BQ324" s="46"/>
      <c r="BR324" s="46"/>
    </row>
    <row r="325" spans="57:70" ht="15.75" customHeight="1">
      <c r="BE325" s="234"/>
      <c r="BQ325" s="46"/>
      <c r="BR325" s="46"/>
    </row>
    <row r="326" spans="57:70" ht="15.75" customHeight="1">
      <c r="BE326" s="234"/>
      <c r="BQ326" s="46"/>
      <c r="BR326" s="46"/>
    </row>
    <row r="327" spans="57:70" ht="15.75" customHeight="1">
      <c r="BE327" s="234"/>
      <c r="BQ327" s="46"/>
      <c r="BR327" s="46"/>
    </row>
    <row r="328" spans="57:70" ht="15.75" customHeight="1">
      <c r="BE328" s="234"/>
      <c r="BQ328" s="46"/>
      <c r="BR328" s="46"/>
    </row>
    <row r="329" spans="57:70" ht="15.75" customHeight="1">
      <c r="BE329" s="234"/>
      <c r="BQ329" s="46"/>
      <c r="BR329" s="46"/>
    </row>
    <row r="330" spans="57:70" ht="15.75" customHeight="1">
      <c r="BE330" s="234"/>
      <c r="BQ330" s="46"/>
      <c r="BR330" s="46"/>
    </row>
    <row r="331" spans="57:70" ht="15.75" customHeight="1">
      <c r="BE331" s="234"/>
      <c r="BQ331" s="46"/>
      <c r="BR331" s="46"/>
    </row>
    <row r="332" spans="57:70" ht="15.75" customHeight="1">
      <c r="BE332" s="234"/>
      <c r="BQ332" s="46"/>
      <c r="BR332" s="46"/>
    </row>
    <row r="333" spans="57:70" ht="15.75" customHeight="1">
      <c r="BE333" s="234"/>
      <c r="BQ333" s="46"/>
      <c r="BR333" s="46"/>
    </row>
    <row r="334" spans="57:70" ht="15.75" customHeight="1">
      <c r="BE334" s="234"/>
      <c r="BQ334" s="46"/>
      <c r="BR334" s="46"/>
    </row>
    <row r="335" spans="57:70" ht="15.75" customHeight="1">
      <c r="BE335" s="234"/>
      <c r="BQ335" s="46"/>
      <c r="BR335" s="46"/>
    </row>
    <row r="336" spans="57:70" ht="15.75" customHeight="1">
      <c r="BE336" s="234"/>
      <c r="BQ336" s="46"/>
      <c r="BR336" s="46"/>
    </row>
    <row r="337" spans="57:70" ht="15.75" customHeight="1">
      <c r="BE337" s="234"/>
      <c r="BQ337" s="46"/>
      <c r="BR337" s="46"/>
    </row>
    <row r="338" spans="57:70" ht="15.75" customHeight="1">
      <c r="BE338" s="234"/>
      <c r="BQ338" s="46"/>
      <c r="BR338" s="46"/>
    </row>
    <row r="339" spans="57:70" ht="15.75" customHeight="1">
      <c r="BE339" s="234"/>
      <c r="BQ339" s="46"/>
      <c r="BR339" s="46"/>
    </row>
    <row r="340" spans="57:70" ht="15.75" customHeight="1">
      <c r="BE340" s="234"/>
      <c r="BQ340" s="46"/>
      <c r="BR340" s="46"/>
    </row>
    <row r="341" spans="57:70" ht="15.75" customHeight="1">
      <c r="BE341" s="234"/>
      <c r="BQ341" s="46"/>
      <c r="BR341" s="46"/>
    </row>
    <row r="342" spans="57:70" ht="15.75" customHeight="1">
      <c r="BE342" s="234"/>
      <c r="BQ342" s="46"/>
      <c r="BR342" s="46"/>
    </row>
    <row r="343" spans="57:70" ht="15.75" customHeight="1">
      <c r="BE343" s="234"/>
      <c r="BQ343" s="46"/>
      <c r="BR343" s="46"/>
    </row>
    <row r="344" spans="57:70" ht="15.75" customHeight="1">
      <c r="BE344" s="234"/>
      <c r="BQ344" s="46"/>
      <c r="BR344" s="46"/>
    </row>
    <row r="345" spans="57:70" ht="15.75" customHeight="1">
      <c r="BE345" s="234"/>
      <c r="BQ345" s="46"/>
      <c r="BR345" s="46"/>
    </row>
    <row r="346" spans="57:70" ht="15.75" customHeight="1">
      <c r="BE346" s="234"/>
      <c r="BQ346" s="46"/>
      <c r="BR346" s="46"/>
    </row>
    <row r="347" spans="57:70" ht="15.75" customHeight="1">
      <c r="BE347" s="234"/>
      <c r="BQ347" s="46"/>
      <c r="BR347" s="46"/>
    </row>
    <row r="348" spans="57:70" ht="15.75" customHeight="1">
      <c r="BE348" s="234"/>
      <c r="BQ348" s="46"/>
      <c r="BR348" s="46"/>
    </row>
    <row r="349" spans="57:70" ht="15.75" customHeight="1">
      <c r="BE349" s="234"/>
      <c r="BQ349" s="46"/>
      <c r="BR349" s="46"/>
    </row>
    <row r="350" spans="57:70" ht="15.75" customHeight="1">
      <c r="BE350" s="234"/>
      <c r="BQ350" s="46"/>
      <c r="BR350" s="46"/>
    </row>
    <row r="351" spans="57:70" ht="15.75" customHeight="1">
      <c r="BE351" s="234"/>
      <c r="BQ351" s="46"/>
      <c r="BR351" s="46"/>
    </row>
    <row r="352" spans="57:70" ht="15.75" customHeight="1">
      <c r="BE352" s="234"/>
      <c r="BQ352" s="46"/>
      <c r="BR352" s="46"/>
    </row>
    <row r="353" spans="57:70" ht="15.75" customHeight="1">
      <c r="BE353" s="234"/>
      <c r="BQ353" s="46"/>
      <c r="BR353" s="46"/>
    </row>
    <row r="354" spans="57:70" ht="15.75" customHeight="1">
      <c r="BE354" s="234"/>
      <c r="BQ354" s="46"/>
      <c r="BR354" s="46"/>
    </row>
    <row r="355" spans="57:70" ht="15.75" customHeight="1">
      <c r="BE355" s="234"/>
      <c r="BQ355" s="46"/>
      <c r="BR355" s="46"/>
    </row>
    <row r="356" spans="57:70" ht="15.75" customHeight="1">
      <c r="BE356" s="234"/>
      <c r="BQ356" s="46"/>
      <c r="BR356" s="46"/>
    </row>
    <row r="357" spans="57:70" ht="15.75" customHeight="1">
      <c r="BE357" s="234"/>
      <c r="BQ357" s="46"/>
      <c r="BR357" s="46"/>
    </row>
    <row r="358" spans="57:70" ht="15.75" customHeight="1">
      <c r="BE358" s="234"/>
      <c r="BQ358" s="46"/>
      <c r="BR358" s="46"/>
    </row>
    <row r="359" spans="57:70" ht="15.75" customHeight="1">
      <c r="BE359" s="234"/>
      <c r="BQ359" s="46"/>
      <c r="BR359" s="46"/>
    </row>
    <row r="360" spans="57:70" ht="15.75" customHeight="1">
      <c r="BE360" s="234"/>
      <c r="BQ360" s="46"/>
      <c r="BR360" s="46"/>
    </row>
    <row r="361" spans="57:70" ht="15.75" customHeight="1">
      <c r="BE361" s="234"/>
      <c r="BQ361" s="46"/>
      <c r="BR361" s="46"/>
    </row>
    <row r="362" spans="57:70" ht="15.75" customHeight="1">
      <c r="BE362" s="234"/>
      <c r="BQ362" s="46"/>
      <c r="BR362" s="46"/>
    </row>
    <row r="363" spans="57:70" ht="15.75" customHeight="1">
      <c r="BE363" s="234"/>
      <c r="BQ363" s="46"/>
      <c r="BR363" s="46"/>
    </row>
    <row r="364" spans="57:70" ht="15.75" customHeight="1">
      <c r="BE364" s="234"/>
      <c r="BQ364" s="46"/>
      <c r="BR364" s="46"/>
    </row>
    <row r="365" spans="57:70" ht="15.75" customHeight="1">
      <c r="BE365" s="234"/>
      <c r="BQ365" s="46"/>
      <c r="BR365" s="46"/>
    </row>
    <row r="366" spans="57:70" ht="15.75" customHeight="1">
      <c r="BE366" s="234"/>
      <c r="BQ366" s="46"/>
      <c r="BR366" s="46"/>
    </row>
    <row r="367" spans="57:70" ht="15.75" customHeight="1">
      <c r="BE367" s="234"/>
      <c r="BQ367" s="46"/>
      <c r="BR367" s="46"/>
    </row>
    <row r="368" spans="57:70" ht="15.75" customHeight="1">
      <c r="BE368" s="234"/>
      <c r="BQ368" s="46"/>
      <c r="BR368" s="46"/>
    </row>
    <row r="369" spans="57:70" ht="15.75" customHeight="1">
      <c r="BE369" s="234"/>
      <c r="BQ369" s="46"/>
      <c r="BR369" s="46"/>
    </row>
    <row r="370" spans="57:70" ht="15.75" customHeight="1">
      <c r="BE370" s="234"/>
      <c r="BQ370" s="46"/>
      <c r="BR370" s="46"/>
    </row>
    <row r="371" spans="57:70" ht="15.75" customHeight="1">
      <c r="BE371" s="234"/>
      <c r="BQ371" s="46"/>
      <c r="BR371" s="46"/>
    </row>
    <row r="372" spans="57:70" ht="15.75" customHeight="1">
      <c r="BE372" s="234"/>
      <c r="BQ372" s="46"/>
      <c r="BR372" s="46"/>
    </row>
    <row r="373" spans="57:70" ht="15.75" customHeight="1">
      <c r="BE373" s="234"/>
      <c r="BQ373" s="46"/>
      <c r="BR373" s="46"/>
    </row>
    <row r="374" spans="57:70" ht="15.75" customHeight="1">
      <c r="BE374" s="234"/>
      <c r="BQ374" s="46"/>
      <c r="BR374" s="46"/>
    </row>
    <row r="375" spans="57:70" ht="15.75" customHeight="1">
      <c r="BE375" s="234"/>
      <c r="BQ375" s="46"/>
      <c r="BR375" s="46"/>
    </row>
    <row r="376" spans="57:70" ht="15.75" customHeight="1">
      <c r="BE376" s="234"/>
      <c r="BQ376" s="46"/>
      <c r="BR376" s="46"/>
    </row>
    <row r="377" spans="57:70" ht="15.75" customHeight="1">
      <c r="BE377" s="234"/>
      <c r="BQ377" s="46"/>
      <c r="BR377" s="46"/>
    </row>
    <row r="378" spans="57:70" ht="15.75" customHeight="1">
      <c r="BE378" s="234"/>
      <c r="BQ378" s="46"/>
      <c r="BR378" s="46"/>
    </row>
    <row r="379" spans="57:70" ht="15.75" customHeight="1">
      <c r="BE379" s="234"/>
      <c r="BQ379" s="46"/>
      <c r="BR379" s="46"/>
    </row>
    <row r="380" spans="57:70" ht="15.75" customHeight="1">
      <c r="BE380" s="234"/>
      <c r="BQ380" s="46"/>
      <c r="BR380" s="46"/>
    </row>
    <row r="381" spans="57:70" ht="15.75" customHeight="1">
      <c r="BE381" s="234"/>
      <c r="BQ381" s="46"/>
      <c r="BR381" s="46"/>
    </row>
    <row r="382" spans="57:70" ht="15.75" customHeight="1">
      <c r="BE382" s="234"/>
      <c r="BQ382" s="46"/>
      <c r="BR382" s="46"/>
    </row>
    <row r="383" spans="57:70" ht="15.75" customHeight="1">
      <c r="BE383" s="234"/>
      <c r="BQ383" s="46"/>
      <c r="BR383" s="46"/>
    </row>
    <row r="384" spans="57:70" ht="15.75" customHeight="1">
      <c r="BE384" s="234"/>
      <c r="BQ384" s="46"/>
      <c r="BR384" s="46"/>
    </row>
    <row r="385" spans="57:70" ht="15.75" customHeight="1">
      <c r="BE385" s="234"/>
      <c r="BQ385" s="46"/>
      <c r="BR385" s="46"/>
    </row>
    <row r="386" spans="57:70" ht="15.75" customHeight="1">
      <c r="BE386" s="234"/>
      <c r="BQ386" s="46"/>
      <c r="BR386" s="46"/>
    </row>
    <row r="387" spans="57:70" ht="15.75" customHeight="1">
      <c r="BE387" s="234"/>
      <c r="BQ387" s="46"/>
      <c r="BR387" s="46"/>
    </row>
    <row r="388" spans="57:70" ht="15.75" customHeight="1">
      <c r="BE388" s="234"/>
      <c r="BQ388" s="46"/>
      <c r="BR388" s="46"/>
    </row>
    <row r="389" spans="57:70" ht="15.75" customHeight="1">
      <c r="BE389" s="234"/>
      <c r="BQ389" s="46"/>
      <c r="BR389" s="46"/>
    </row>
    <row r="390" spans="57:70" ht="15.75" customHeight="1">
      <c r="BE390" s="234"/>
      <c r="BQ390" s="46"/>
      <c r="BR390" s="46"/>
    </row>
    <row r="391" spans="57:70" ht="15.75" customHeight="1">
      <c r="BE391" s="234"/>
      <c r="BQ391" s="46"/>
      <c r="BR391" s="46"/>
    </row>
    <row r="392" spans="57:70" ht="15.75" customHeight="1">
      <c r="BE392" s="234"/>
      <c r="BQ392" s="46"/>
      <c r="BR392" s="46"/>
    </row>
    <row r="393" spans="57:70" ht="15.75" customHeight="1">
      <c r="BE393" s="234"/>
      <c r="BQ393" s="46"/>
      <c r="BR393" s="46"/>
    </row>
    <row r="394" spans="57:70" ht="15.75" customHeight="1">
      <c r="BE394" s="234"/>
      <c r="BQ394" s="46"/>
      <c r="BR394" s="46"/>
    </row>
    <row r="395" spans="57:70" ht="15.75" customHeight="1">
      <c r="BE395" s="234"/>
      <c r="BQ395" s="46"/>
      <c r="BR395" s="46"/>
    </row>
    <row r="396" spans="57:70" ht="15.75" customHeight="1">
      <c r="BE396" s="234"/>
      <c r="BQ396" s="46"/>
      <c r="BR396" s="46"/>
    </row>
    <row r="397" spans="57:70" ht="15.75" customHeight="1">
      <c r="BE397" s="234"/>
      <c r="BQ397" s="46"/>
      <c r="BR397" s="46"/>
    </row>
    <row r="398" spans="57:70" ht="15.75" customHeight="1">
      <c r="BE398" s="234"/>
      <c r="BQ398" s="46"/>
      <c r="BR398" s="46"/>
    </row>
    <row r="399" spans="57:70" ht="15.75" customHeight="1">
      <c r="BE399" s="234"/>
      <c r="BQ399" s="46"/>
      <c r="BR399" s="46"/>
    </row>
    <row r="400" spans="57:70" ht="15.75" customHeight="1">
      <c r="BE400" s="234"/>
      <c r="BQ400" s="46"/>
      <c r="BR400" s="46"/>
    </row>
    <row r="401" spans="57:70" ht="15.75" customHeight="1">
      <c r="BE401" s="234"/>
      <c r="BQ401" s="46"/>
      <c r="BR401" s="46"/>
    </row>
    <row r="402" spans="57:70" ht="15.75" customHeight="1">
      <c r="BE402" s="234"/>
      <c r="BQ402" s="46"/>
      <c r="BR402" s="46"/>
    </row>
    <row r="403" spans="57:70" ht="15.75" customHeight="1">
      <c r="BE403" s="234"/>
      <c r="BQ403" s="46"/>
      <c r="BR403" s="46"/>
    </row>
    <row r="404" spans="57:70" ht="15.75" customHeight="1">
      <c r="BE404" s="234"/>
      <c r="BQ404" s="46"/>
      <c r="BR404" s="46"/>
    </row>
    <row r="405" spans="57:70" ht="15.75" customHeight="1">
      <c r="BE405" s="234"/>
      <c r="BQ405" s="46"/>
      <c r="BR405" s="46"/>
    </row>
    <row r="406" spans="57:70" ht="15.75" customHeight="1">
      <c r="BE406" s="234"/>
      <c r="BQ406" s="46"/>
      <c r="BR406" s="46"/>
    </row>
    <row r="407" spans="57:70" ht="15.75" customHeight="1">
      <c r="BE407" s="234"/>
      <c r="BQ407" s="46"/>
      <c r="BR407" s="46"/>
    </row>
    <row r="408" spans="57:70" ht="15.75" customHeight="1">
      <c r="BE408" s="234"/>
      <c r="BQ408" s="46"/>
      <c r="BR408" s="46"/>
    </row>
    <row r="409" spans="57:70" ht="15.75" customHeight="1">
      <c r="BE409" s="234"/>
      <c r="BQ409" s="46"/>
      <c r="BR409" s="46"/>
    </row>
    <row r="410" spans="57:70" ht="15.75" customHeight="1">
      <c r="BE410" s="234"/>
      <c r="BQ410" s="46"/>
      <c r="BR410" s="46"/>
    </row>
    <row r="411" spans="57:70" ht="15.75" customHeight="1">
      <c r="BE411" s="234"/>
      <c r="BQ411" s="46"/>
      <c r="BR411" s="46"/>
    </row>
    <row r="412" spans="57:70" ht="15.75" customHeight="1">
      <c r="BE412" s="234"/>
      <c r="BQ412" s="46"/>
      <c r="BR412" s="46"/>
    </row>
    <row r="413" spans="57:70" ht="15.75" customHeight="1">
      <c r="BE413" s="234"/>
      <c r="BQ413" s="46"/>
      <c r="BR413" s="46"/>
    </row>
    <row r="414" spans="57:70" ht="15.75" customHeight="1">
      <c r="BE414" s="234"/>
      <c r="BQ414" s="46"/>
      <c r="BR414" s="46"/>
    </row>
    <row r="415" spans="57:70" ht="15.75" customHeight="1">
      <c r="BE415" s="234"/>
      <c r="BQ415" s="46"/>
      <c r="BR415" s="46"/>
    </row>
    <row r="416" spans="57:70" ht="15.75" customHeight="1">
      <c r="BE416" s="234"/>
      <c r="BQ416" s="46"/>
      <c r="BR416" s="46"/>
    </row>
    <row r="417" spans="57:70" ht="15.75" customHeight="1">
      <c r="BE417" s="234"/>
      <c r="BQ417" s="46"/>
      <c r="BR417" s="46"/>
    </row>
    <row r="418" spans="57:70" ht="15.75" customHeight="1">
      <c r="BE418" s="234"/>
      <c r="BQ418" s="46"/>
      <c r="BR418" s="46"/>
    </row>
    <row r="419" spans="57:70" ht="15.75" customHeight="1">
      <c r="BE419" s="234"/>
      <c r="BQ419" s="46"/>
      <c r="BR419" s="46"/>
    </row>
    <row r="420" spans="57:70" ht="15.75" customHeight="1">
      <c r="BE420" s="234"/>
      <c r="BQ420" s="46"/>
      <c r="BR420" s="46"/>
    </row>
    <row r="421" spans="57:70" ht="15.75" customHeight="1">
      <c r="BE421" s="234"/>
      <c r="BQ421" s="46"/>
      <c r="BR421" s="46"/>
    </row>
    <row r="422" spans="57:70" ht="15.75" customHeight="1">
      <c r="BE422" s="234"/>
      <c r="BQ422" s="46"/>
      <c r="BR422" s="46"/>
    </row>
    <row r="423" spans="57:70" ht="15.75" customHeight="1">
      <c r="BE423" s="234"/>
      <c r="BQ423" s="46"/>
      <c r="BR423" s="46"/>
    </row>
    <row r="424" spans="57:70" ht="15.75" customHeight="1">
      <c r="BE424" s="234"/>
      <c r="BQ424" s="46"/>
      <c r="BR424" s="46"/>
    </row>
    <row r="425" spans="57:70" ht="15.75" customHeight="1">
      <c r="BE425" s="234"/>
      <c r="BQ425" s="46"/>
      <c r="BR425" s="46"/>
    </row>
    <row r="426" spans="57:70" ht="15.75" customHeight="1">
      <c r="BE426" s="234"/>
      <c r="BQ426" s="46"/>
      <c r="BR426" s="46"/>
    </row>
    <row r="427" spans="57:70" ht="15.75" customHeight="1">
      <c r="BE427" s="234"/>
      <c r="BQ427" s="46"/>
      <c r="BR427" s="46"/>
    </row>
    <row r="428" spans="57:70" ht="15.75" customHeight="1">
      <c r="BE428" s="234"/>
      <c r="BQ428" s="46"/>
      <c r="BR428" s="46"/>
    </row>
    <row r="429" spans="57:70" ht="15.75" customHeight="1">
      <c r="BE429" s="234"/>
      <c r="BQ429" s="46"/>
      <c r="BR429" s="46"/>
    </row>
    <row r="430" spans="57:70" ht="15.75" customHeight="1">
      <c r="BE430" s="234"/>
      <c r="BQ430" s="46"/>
      <c r="BR430" s="46"/>
    </row>
    <row r="431" spans="57:70" ht="15.75" customHeight="1">
      <c r="BE431" s="234"/>
      <c r="BQ431" s="46"/>
      <c r="BR431" s="46"/>
    </row>
    <row r="432" spans="57:70" ht="15.75" customHeight="1">
      <c r="BE432" s="234"/>
      <c r="BQ432" s="46"/>
      <c r="BR432" s="46"/>
    </row>
    <row r="433" spans="57:70" ht="15.75" customHeight="1">
      <c r="BE433" s="234"/>
      <c r="BQ433" s="46"/>
      <c r="BR433" s="46"/>
    </row>
    <row r="434" spans="57:70" ht="15.75" customHeight="1">
      <c r="BE434" s="234"/>
      <c r="BQ434" s="46"/>
      <c r="BR434" s="46"/>
    </row>
    <row r="435" spans="57:70" ht="15.75" customHeight="1">
      <c r="BE435" s="234"/>
      <c r="BQ435" s="46"/>
      <c r="BR435" s="46"/>
    </row>
    <row r="436" spans="57:70" ht="15.75" customHeight="1">
      <c r="BE436" s="234"/>
      <c r="BQ436" s="46"/>
      <c r="BR436" s="46"/>
    </row>
    <row r="437" spans="57:70" ht="15.75" customHeight="1">
      <c r="BE437" s="234"/>
      <c r="BQ437" s="46"/>
      <c r="BR437" s="46"/>
    </row>
    <row r="438" spans="57:70" ht="15.75" customHeight="1">
      <c r="BE438" s="234"/>
      <c r="BQ438" s="46"/>
      <c r="BR438" s="46"/>
    </row>
    <row r="439" spans="57:70" ht="15.75" customHeight="1">
      <c r="BE439" s="234"/>
      <c r="BQ439" s="46"/>
      <c r="BR439" s="46"/>
    </row>
    <row r="440" spans="57:70" ht="15.75" customHeight="1">
      <c r="BE440" s="234"/>
      <c r="BQ440" s="46"/>
      <c r="BR440" s="46"/>
    </row>
    <row r="441" spans="57:70" ht="15.75" customHeight="1">
      <c r="BE441" s="234"/>
      <c r="BQ441" s="46"/>
      <c r="BR441" s="46"/>
    </row>
    <row r="442" spans="57:70" ht="15.75" customHeight="1">
      <c r="BE442" s="234"/>
      <c r="BQ442" s="46"/>
      <c r="BR442" s="46"/>
    </row>
    <row r="443" spans="57:70" ht="15.75" customHeight="1">
      <c r="BE443" s="234"/>
      <c r="BQ443" s="46"/>
      <c r="BR443" s="46"/>
    </row>
    <row r="444" spans="57:70" ht="15.75" customHeight="1">
      <c r="BE444" s="234"/>
      <c r="BQ444" s="46"/>
      <c r="BR444" s="46"/>
    </row>
    <row r="445" spans="57:70" ht="15.75" customHeight="1">
      <c r="BE445" s="234"/>
      <c r="BQ445" s="46"/>
      <c r="BR445" s="46"/>
    </row>
    <row r="446" spans="57:70" ht="15.75" customHeight="1">
      <c r="BE446" s="234"/>
      <c r="BQ446" s="46"/>
      <c r="BR446" s="46"/>
    </row>
    <row r="447" spans="57:70" ht="15.75" customHeight="1">
      <c r="BE447" s="234"/>
      <c r="BQ447" s="46"/>
      <c r="BR447" s="46"/>
    </row>
    <row r="448" spans="57:70" ht="15.75" customHeight="1">
      <c r="BE448" s="234"/>
      <c r="BQ448" s="46"/>
      <c r="BR448" s="46"/>
    </row>
    <row r="449" spans="57:70" ht="15.75" customHeight="1">
      <c r="BE449" s="234"/>
      <c r="BQ449" s="46"/>
      <c r="BR449" s="46"/>
    </row>
    <row r="450" spans="57:70" ht="15.75" customHeight="1">
      <c r="BE450" s="234"/>
      <c r="BQ450" s="46"/>
      <c r="BR450" s="46"/>
    </row>
    <row r="451" spans="57:70" ht="15.75" customHeight="1">
      <c r="BE451" s="234"/>
      <c r="BQ451" s="46"/>
      <c r="BR451" s="46"/>
    </row>
    <row r="452" spans="57:70" ht="15.75" customHeight="1">
      <c r="BE452" s="234"/>
      <c r="BQ452" s="46"/>
      <c r="BR452" s="46"/>
    </row>
    <row r="453" spans="57:70" ht="15.75" customHeight="1">
      <c r="BE453" s="234"/>
      <c r="BQ453" s="46"/>
      <c r="BR453" s="46"/>
    </row>
    <row r="454" spans="57:70" ht="15.75" customHeight="1">
      <c r="BE454" s="234"/>
      <c r="BQ454" s="46"/>
      <c r="BR454" s="46"/>
    </row>
    <row r="455" spans="57:70" ht="15.75" customHeight="1">
      <c r="BE455" s="234"/>
      <c r="BQ455" s="46"/>
      <c r="BR455" s="46"/>
    </row>
    <row r="456" spans="57:70" ht="15.75" customHeight="1">
      <c r="BE456" s="234"/>
      <c r="BQ456" s="46"/>
      <c r="BR456" s="46"/>
    </row>
    <row r="457" spans="57:70" ht="15.75" customHeight="1">
      <c r="BE457" s="234"/>
      <c r="BQ457" s="46"/>
      <c r="BR457" s="46"/>
    </row>
    <row r="458" spans="57:70" ht="15.75" customHeight="1">
      <c r="BE458" s="234"/>
      <c r="BQ458" s="46"/>
      <c r="BR458" s="46"/>
    </row>
    <row r="459" spans="57:70" ht="15.75" customHeight="1">
      <c r="BE459" s="234"/>
      <c r="BQ459" s="46"/>
      <c r="BR459" s="46"/>
    </row>
    <row r="460" spans="57:70" ht="15.75" customHeight="1">
      <c r="BE460" s="234"/>
      <c r="BQ460" s="46"/>
      <c r="BR460" s="46"/>
    </row>
    <row r="461" spans="57:70" ht="15.75" customHeight="1">
      <c r="BE461" s="234"/>
      <c r="BQ461" s="46"/>
      <c r="BR461" s="46"/>
    </row>
    <row r="462" spans="57:70" ht="15.75" customHeight="1">
      <c r="BE462" s="234"/>
      <c r="BQ462" s="46"/>
      <c r="BR462" s="46"/>
    </row>
    <row r="463" spans="57:70" ht="15.75" customHeight="1">
      <c r="BE463" s="234"/>
      <c r="BQ463" s="46"/>
      <c r="BR463" s="46"/>
    </row>
    <row r="464" spans="57:70" ht="15.75" customHeight="1">
      <c r="BE464" s="234"/>
      <c r="BQ464" s="46"/>
      <c r="BR464" s="46"/>
    </row>
    <row r="465" spans="57:70" ht="15.75" customHeight="1">
      <c r="BE465" s="234"/>
      <c r="BQ465" s="46"/>
      <c r="BR465" s="46"/>
    </row>
    <row r="466" spans="57:70" ht="15.75" customHeight="1">
      <c r="BE466" s="234"/>
      <c r="BQ466" s="46"/>
      <c r="BR466" s="46"/>
    </row>
    <row r="467" spans="57:70" ht="15.75" customHeight="1">
      <c r="BE467" s="234"/>
      <c r="BQ467" s="46"/>
      <c r="BR467" s="46"/>
    </row>
    <row r="468" spans="57:70" ht="15.75" customHeight="1">
      <c r="BE468" s="234"/>
      <c r="BQ468" s="46"/>
      <c r="BR468" s="46"/>
    </row>
    <row r="469" spans="57:70" ht="15.75" customHeight="1">
      <c r="BE469" s="234"/>
      <c r="BQ469" s="46"/>
      <c r="BR469" s="46"/>
    </row>
    <row r="470" spans="57:70" ht="15.75" customHeight="1">
      <c r="BE470" s="234"/>
      <c r="BQ470" s="46"/>
      <c r="BR470" s="46"/>
    </row>
    <row r="471" spans="57:70" ht="15.75" customHeight="1">
      <c r="BE471" s="234"/>
      <c r="BQ471" s="46"/>
      <c r="BR471" s="46"/>
    </row>
    <row r="472" spans="57:70" ht="15.75" customHeight="1">
      <c r="BE472" s="234"/>
      <c r="BQ472" s="46"/>
      <c r="BR472" s="46"/>
    </row>
    <row r="473" spans="57:70" ht="15.75" customHeight="1">
      <c r="BE473" s="234"/>
      <c r="BQ473" s="46"/>
      <c r="BR473" s="46"/>
    </row>
    <row r="474" spans="57:70" ht="15.75" customHeight="1">
      <c r="BE474" s="234"/>
      <c r="BQ474" s="46"/>
      <c r="BR474" s="46"/>
    </row>
    <row r="475" spans="57:70" ht="15.75" customHeight="1">
      <c r="BE475" s="234"/>
      <c r="BQ475" s="46"/>
      <c r="BR475" s="46"/>
    </row>
    <row r="476" spans="57:70" ht="15.75" customHeight="1">
      <c r="BE476" s="234"/>
      <c r="BQ476" s="46"/>
      <c r="BR476" s="46"/>
    </row>
    <row r="477" spans="57:70" ht="15.75" customHeight="1">
      <c r="BE477" s="234"/>
      <c r="BQ477" s="46"/>
      <c r="BR477" s="46"/>
    </row>
    <row r="478" spans="57:70" ht="15.75" customHeight="1">
      <c r="BE478" s="234"/>
      <c r="BQ478" s="46"/>
      <c r="BR478" s="46"/>
    </row>
    <row r="479" spans="57:70" ht="15.75" customHeight="1">
      <c r="BE479" s="234"/>
      <c r="BQ479" s="46"/>
      <c r="BR479" s="46"/>
    </row>
    <row r="480" spans="57:70" ht="15.75" customHeight="1">
      <c r="BE480" s="234"/>
      <c r="BQ480" s="46"/>
      <c r="BR480" s="46"/>
    </row>
    <row r="481" spans="57:70" ht="15.75" customHeight="1">
      <c r="BE481" s="234"/>
      <c r="BQ481" s="46"/>
      <c r="BR481" s="46"/>
    </row>
    <row r="482" spans="57:70" ht="15.75" customHeight="1">
      <c r="BE482" s="234"/>
      <c r="BQ482" s="46"/>
      <c r="BR482" s="46"/>
    </row>
    <row r="483" spans="57:70" ht="15.75" customHeight="1">
      <c r="BE483" s="234"/>
      <c r="BQ483" s="46"/>
      <c r="BR483" s="46"/>
    </row>
    <row r="484" spans="57:70" ht="15.75" customHeight="1">
      <c r="BE484" s="234"/>
      <c r="BQ484" s="46"/>
      <c r="BR484" s="46"/>
    </row>
    <row r="485" spans="57:70" ht="15.75" customHeight="1">
      <c r="BE485" s="234"/>
      <c r="BQ485" s="46"/>
      <c r="BR485" s="46"/>
    </row>
    <row r="486" spans="57:70" ht="15.75" customHeight="1">
      <c r="BE486" s="234"/>
      <c r="BQ486" s="46"/>
      <c r="BR486" s="46"/>
    </row>
    <row r="487" spans="57:70" ht="15.75" customHeight="1">
      <c r="BE487" s="234"/>
      <c r="BQ487" s="46"/>
      <c r="BR487" s="46"/>
    </row>
    <row r="488" spans="57:70" ht="15.75" customHeight="1">
      <c r="BE488" s="234"/>
      <c r="BQ488" s="46"/>
      <c r="BR488" s="46"/>
    </row>
    <row r="489" spans="57:70" ht="15.75" customHeight="1">
      <c r="BE489" s="234"/>
      <c r="BQ489" s="46"/>
      <c r="BR489" s="46"/>
    </row>
    <row r="490" spans="57:70" ht="15.75" customHeight="1">
      <c r="BE490" s="234"/>
      <c r="BQ490" s="46"/>
      <c r="BR490" s="46"/>
    </row>
    <row r="491" spans="57:70" ht="15.75" customHeight="1">
      <c r="BE491" s="234"/>
      <c r="BQ491" s="46"/>
      <c r="BR491" s="46"/>
    </row>
    <row r="492" spans="57:70" ht="15.75" customHeight="1">
      <c r="BE492" s="234"/>
      <c r="BQ492" s="46"/>
      <c r="BR492" s="46"/>
    </row>
    <row r="493" spans="57:70" ht="15.75" customHeight="1">
      <c r="BE493" s="234"/>
      <c r="BQ493" s="46"/>
      <c r="BR493" s="46"/>
    </row>
    <row r="494" spans="57:70" ht="15.75" customHeight="1">
      <c r="BE494" s="234"/>
      <c r="BQ494" s="46"/>
      <c r="BR494" s="46"/>
    </row>
    <row r="495" spans="57:70" ht="15.75" customHeight="1">
      <c r="BE495" s="234"/>
      <c r="BQ495" s="46"/>
      <c r="BR495" s="46"/>
    </row>
    <row r="496" spans="57:70" ht="15.75" customHeight="1">
      <c r="BE496" s="234"/>
      <c r="BQ496" s="46"/>
      <c r="BR496" s="46"/>
    </row>
    <row r="497" spans="57:70" ht="15.75" customHeight="1">
      <c r="BE497" s="234"/>
      <c r="BQ497" s="46"/>
      <c r="BR497" s="46"/>
    </row>
    <row r="498" spans="57:70" ht="15.75" customHeight="1">
      <c r="BE498" s="234"/>
      <c r="BQ498" s="46"/>
      <c r="BR498" s="46"/>
    </row>
    <row r="499" spans="57:70" ht="15.75" customHeight="1">
      <c r="BE499" s="234"/>
      <c r="BQ499" s="46"/>
      <c r="BR499" s="46"/>
    </row>
    <row r="500" spans="57:70" ht="15.75" customHeight="1">
      <c r="BE500" s="234"/>
      <c r="BQ500" s="46"/>
      <c r="BR500" s="46"/>
    </row>
    <row r="501" spans="57:70" ht="15.75" customHeight="1">
      <c r="BE501" s="234"/>
      <c r="BQ501" s="46"/>
      <c r="BR501" s="46"/>
    </row>
    <row r="502" spans="57:70" ht="15.75" customHeight="1">
      <c r="BE502" s="234"/>
      <c r="BQ502" s="46"/>
      <c r="BR502" s="46"/>
    </row>
    <row r="503" spans="57:70" ht="15.75" customHeight="1">
      <c r="BE503" s="234"/>
      <c r="BQ503" s="46"/>
      <c r="BR503" s="46"/>
    </row>
    <row r="504" spans="57:70" ht="15.75" customHeight="1">
      <c r="BE504" s="234"/>
      <c r="BQ504" s="46"/>
      <c r="BR504" s="46"/>
    </row>
    <row r="505" spans="57:70" ht="15.75" customHeight="1">
      <c r="BE505" s="234"/>
      <c r="BQ505" s="46"/>
      <c r="BR505" s="46"/>
    </row>
    <row r="506" spans="57:70" ht="15.75" customHeight="1">
      <c r="BE506" s="234"/>
      <c r="BQ506" s="46"/>
      <c r="BR506" s="46"/>
    </row>
    <row r="507" spans="57:70" ht="15.75" customHeight="1">
      <c r="BE507" s="234"/>
      <c r="BQ507" s="46"/>
      <c r="BR507" s="46"/>
    </row>
    <row r="508" spans="57:70" ht="15.75" customHeight="1">
      <c r="BE508" s="234"/>
      <c r="BQ508" s="46"/>
      <c r="BR508" s="46"/>
    </row>
    <row r="509" spans="57:70" ht="15.75" customHeight="1">
      <c r="BE509" s="234"/>
      <c r="BQ509" s="46"/>
      <c r="BR509" s="46"/>
    </row>
    <row r="510" spans="57:70" ht="15.75" customHeight="1">
      <c r="BE510" s="234"/>
      <c r="BQ510" s="46"/>
      <c r="BR510" s="46"/>
    </row>
    <row r="511" spans="57:70" ht="15.75" customHeight="1">
      <c r="BE511" s="234"/>
      <c r="BQ511" s="46"/>
      <c r="BR511" s="46"/>
    </row>
    <row r="512" spans="57:70" ht="15.75" customHeight="1">
      <c r="BE512" s="234"/>
      <c r="BQ512" s="46"/>
      <c r="BR512" s="46"/>
    </row>
    <row r="513" spans="57:70" ht="15.75" customHeight="1">
      <c r="BE513" s="234"/>
      <c r="BQ513" s="46"/>
      <c r="BR513" s="46"/>
    </row>
    <row r="514" spans="57:70" ht="15.75" customHeight="1">
      <c r="BE514" s="234"/>
      <c r="BQ514" s="46"/>
      <c r="BR514" s="46"/>
    </row>
    <row r="515" spans="57:70" ht="15.75" customHeight="1">
      <c r="BE515" s="234"/>
      <c r="BQ515" s="46"/>
      <c r="BR515" s="46"/>
    </row>
    <row r="516" spans="57:70" ht="15.75" customHeight="1">
      <c r="BE516" s="234"/>
      <c r="BQ516" s="46"/>
      <c r="BR516" s="46"/>
    </row>
    <row r="517" spans="57:70" ht="15.75" customHeight="1">
      <c r="BE517" s="234"/>
      <c r="BQ517" s="46"/>
      <c r="BR517" s="46"/>
    </row>
    <row r="518" spans="57:70" ht="15.75" customHeight="1">
      <c r="BE518" s="234"/>
      <c r="BQ518" s="46"/>
      <c r="BR518" s="46"/>
    </row>
    <row r="519" spans="57:70" ht="15.75" customHeight="1">
      <c r="BE519" s="234"/>
      <c r="BQ519" s="46"/>
      <c r="BR519" s="46"/>
    </row>
    <row r="520" spans="57:70" ht="15.75" customHeight="1">
      <c r="BE520" s="234"/>
      <c r="BQ520" s="46"/>
      <c r="BR520" s="46"/>
    </row>
    <row r="521" spans="57:70" ht="15.75" customHeight="1">
      <c r="BE521" s="234"/>
      <c r="BQ521" s="46"/>
      <c r="BR521" s="46"/>
    </row>
    <row r="522" spans="57:70" ht="15.75" customHeight="1">
      <c r="BE522" s="234"/>
      <c r="BQ522" s="46"/>
      <c r="BR522" s="46"/>
    </row>
    <row r="523" spans="57:70" ht="15.75" customHeight="1">
      <c r="BE523" s="234"/>
      <c r="BQ523" s="46"/>
      <c r="BR523" s="46"/>
    </row>
    <row r="524" spans="57:70" ht="15.75" customHeight="1">
      <c r="BE524" s="234"/>
      <c r="BQ524" s="46"/>
      <c r="BR524" s="46"/>
    </row>
    <row r="525" spans="57:70" ht="15.75" customHeight="1">
      <c r="BE525" s="234"/>
      <c r="BQ525" s="46"/>
      <c r="BR525" s="46"/>
    </row>
    <row r="526" spans="57:70" ht="15.75" customHeight="1">
      <c r="BE526" s="234"/>
      <c r="BQ526" s="46"/>
      <c r="BR526" s="46"/>
    </row>
    <row r="527" spans="57:70" ht="15.75" customHeight="1">
      <c r="BE527" s="234"/>
      <c r="BQ527" s="46"/>
      <c r="BR527" s="46"/>
    </row>
    <row r="528" spans="57:70" ht="15.75" customHeight="1">
      <c r="BE528" s="234"/>
      <c r="BQ528" s="46"/>
      <c r="BR528" s="46"/>
    </row>
    <row r="529" spans="57:70" ht="15.75" customHeight="1">
      <c r="BE529" s="234"/>
      <c r="BQ529" s="46"/>
      <c r="BR529" s="46"/>
    </row>
    <row r="530" spans="57:70" ht="15.75" customHeight="1">
      <c r="BE530" s="234"/>
      <c r="BQ530" s="46"/>
      <c r="BR530" s="46"/>
    </row>
    <row r="531" spans="57:70" ht="15.75" customHeight="1">
      <c r="BE531" s="234"/>
      <c r="BQ531" s="46"/>
      <c r="BR531" s="46"/>
    </row>
    <row r="532" spans="57:70" ht="15.75" customHeight="1">
      <c r="BE532" s="234"/>
      <c r="BQ532" s="46"/>
      <c r="BR532" s="46"/>
    </row>
    <row r="533" spans="57:70" ht="15.75" customHeight="1">
      <c r="BE533" s="234"/>
      <c r="BQ533" s="46"/>
      <c r="BR533" s="46"/>
    </row>
    <row r="534" spans="57:70" ht="15.75" customHeight="1">
      <c r="BE534" s="234"/>
      <c r="BQ534" s="46"/>
      <c r="BR534" s="46"/>
    </row>
    <row r="535" spans="57:70" ht="15.75" customHeight="1">
      <c r="BE535" s="234"/>
      <c r="BQ535" s="46"/>
      <c r="BR535" s="46"/>
    </row>
    <row r="536" spans="57:70" ht="15.75" customHeight="1">
      <c r="BE536" s="234"/>
      <c r="BQ536" s="46"/>
      <c r="BR536" s="46"/>
    </row>
    <row r="537" spans="57:70" ht="15.75" customHeight="1">
      <c r="BE537" s="234"/>
      <c r="BQ537" s="46"/>
      <c r="BR537" s="46"/>
    </row>
    <row r="538" spans="57:70" ht="15.75" customHeight="1">
      <c r="BE538" s="234"/>
      <c r="BQ538" s="46"/>
      <c r="BR538" s="46"/>
    </row>
    <row r="539" spans="57:70" ht="15.75" customHeight="1">
      <c r="BE539" s="234"/>
      <c r="BQ539" s="46"/>
      <c r="BR539" s="46"/>
    </row>
    <row r="540" spans="57:70" ht="15.75" customHeight="1">
      <c r="BE540" s="234"/>
      <c r="BQ540" s="46"/>
      <c r="BR540" s="46"/>
    </row>
    <row r="541" spans="57:70" ht="15.75" customHeight="1">
      <c r="BE541" s="234"/>
      <c r="BQ541" s="46"/>
      <c r="BR541" s="46"/>
    </row>
    <row r="542" spans="57:70" ht="15.75" customHeight="1">
      <c r="BE542" s="234"/>
      <c r="BQ542" s="46"/>
      <c r="BR542" s="46"/>
    </row>
    <row r="543" spans="57:70" ht="15.75" customHeight="1">
      <c r="BE543" s="234"/>
      <c r="BQ543" s="46"/>
      <c r="BR543" s="46"/>
    </row>
    <row r="544" spans="57:70" ht="15.75" customHeight="1">
      <c r="BE544" s="234"/>
      <c r="BQ544" s="46"/>
      <c r="BR544" s="46"/>
    </row>
    <row r="545" spans="57:70" ht="15.75" customHeight="1">
      <c r="BE545" s="234"/>
      <c r="BQ545" s="46"/>
      <c r="BR545" s="46"/>
    </row>
    <row r="546" spans="57:70" ht="15.75" customHeight="1">
      <c r="BE546" s="234"/>
      <c r="BQ546" s="46"/>
      <c r="BR546" s="46"/>
    </row>
    <row r="547" spans="57:70" ht="15.75" customHeight="1">
      <c r="BE547" s="234"/>
      <c r="BQ547" s="46"/>
      <c r="BR547" s="46"/>
    </row>
    <row r="548" spans="57:70" ht="15.75" customHeight="1">
      <c r="BE548" s="234"/>
      <c r="BQ548" s="46"/>
      <c r="BR548" s="46"/>
    </row>
    <row r="549" spans="57:70" ht="15.75" customHeight="1">
      <c r="BE549" s="234"/>
      <c r="BQ549" s="46"/>
      <c r="BR549" s="46"/>
    </row>
    <row r="550" spans="57:70" ht="15.75" customHeight="1">
      <c r="BE550" s="234"/>
      <c r="BQ550" s="46"/>
      <c r="BR550" s="46"/>
    </row>
    <row r="551" spans="57:70" ht="15.75" customHeight="1">
      <c r="BE551" s="234"/>
      <c r="BQ551" s="46"/>
      <c r="BR551" s="46"/>
    </row>
    <row r="552" spans="57:70" ht="15.75" customHeight="1">
      <c r="BE552" s="234"/>
      <c r="BQ552" s="46"/>
      <c r="BR552" s="46"/>
    </row>
    <row r="553" spans="57:70" ht="15.75" customHeight="1">
      <c r="BE553" s="234"/>
      <c r="BQ553" s="46"/>
      <c r="BR553" s="46"/>
    </row>
    <row r="554" spans="57:70" ht="15.75" customHeight="1">
      <c r="BE554" s="234"/>
      <c r="BQ554" s="46"/>
      <c r="BR554" s="46"/>
    </row>
    <row r="555" spans="57:70" ht="15.75" customHeight="1">
      <c r="BE555" s="234"/>
      <c r="BQ555" s="46"/>
      <c r="BR555" s="46"/>
    </row>
    <row r="556" spans="57:70" ht="15.75" customHeight="1">
      <c r="BE556" s="234"/>
      <c r="BQ556" s="46"/>
      <c r="BR556" s="46"/>
    </row>
    <row r="557" spans="57:70" ht="15.75" customHeight="1">
      <c r="BE557" s="234"/>
      <c r="BQ557" s="46"/>
      <c r="BR557" s="46"/>
    </row>
    <row r="558" spans="57:70" ht="15.75" customHeight="1">
      <c r="BE558" s="234"/>
      <c r="BQ558" s="46"/>
      <c r="BR558" s="46"/>
    </row>
    <row r="559" spans="57:70" ht="15.75" customHeight="1">
      <c r="BE559" s="234"/>
      <c r="BQ559" s="46"/>
      <c r="BR559" s="46"/>
    </row>
    <row r="560" spans="57:70" ht="15.75" customHeight="1">
      <c r="BE560" s="234"/>
      <c r="BQ560" s="46"/>
      <c r="BR560" s="46"/>
    </row>
    <row r="561" spans="57:70" ht="15.75" customHeight="1">
      <c r="BE561" s="234"/>
      <c r="BQ561" s="46"/>
      <c r="BR561" s="46"/>
    </row>
    <row r="562" spans="57:70" ht="15.75" customHeight="1">
      <c r="BE562" s="234"/>
      <c r="BQ562" s="46"/>
      <c r="BR562" s="46"/>
    </row>
    <row r="563" spans="57:70" ht="15.75" customHeight="1">
      <c r="BE563" s="234"/>
      <c r="BQ563" s="46"/>
      <c r="BR563" s="46"/>
    </row>
    <row r="564" spans="57:70" ht="15.75" customHeight="1">
      <c r="BE564" s="234"/>
      <c r="BQ564" s="46"/>
      <c r="BR564" s="46"/>
    </row>
    <row r="565" spans="57:70" ht="15.75" customHeight="1">
      <c r="BE565" s="234"/>
      <c r="BQ565" s="46"/>
      <c r="BR565" s="46"/>
    </row>
    <row r="566" spans="57:70" ht="15.75" customHeight="1">
      <c r="BE566" s="234"/>
      <c r="BQ566" s="46"/>
      <c r="BR566" s="46"/>
    </row>
    <row r="567" spans="57:70" ht="15.75" customHeight="1">
      <c r="BE567" s="234"/>
      <c r="BQ567" s="46"/>
      <c r="BR567" s="46"/>
    </row>
    <row r="568" spans="57:70" ht="15.75" customHeight="1">
      <c r="BE568" s="234"/>
      <c r="BQ568" s="46"/>
      <c r="BR568" s="46"/>
    </row>
    <row r="569" spans="57:70" ht="15.75" customHeight="1">
      <c r="BE569" s="234"/>
      <c r="BQ569" s="46"/>
      <c r="BR569" s="46"/>
    </row>
    <row r="570" spans="57:70" ht="15.75" customHeight="1">
      <c r="BE570" s="234"/>
      <c r="BQ570" s="46"/>
      <c r="BR570" s="46"/>
    </row>
    <row r="571" spans="57:70" ht="15.75" customHeight="1">
      <c r="BE571" s="234"/>
      <c r="BQ571" s="46"/>
      <c r="BR571" s="46"/>
    </row>
    <row r="572" spans="57:70" ht="15.75" customHeight="1">
      <c r="BE572" s="234"/>
      <c r="BQ572" s="46"/>
      <c r="BR572" s="46"/>
    </row>
    <row r="573" spans="57:70" ht="15.75" customHeight="1">
      <c r="BE573" s="234"/>
      <c r="BQ573" s="46"/>
      <c r="BR573" s="46"/>
    </row>
    <row r="574" spans="57:70" ht="15.75" customHeight="1">
      <c r="BE574" s="234"/>
      <c r="BQ574" s="46"/>
      <c r="BR574" s="46"/>
    </row>
    <row r="575" spans="57:70" ht="15.75" customHeight="1">
      <c r="BE575" s="234"/>
      <c r="BQ575" s="46"/>
      <c r="BR575" s="46"/>
    </row>
    <row r="576" spans="57:70" ht="15.75" customHeight="1">
      <c r="BE576" s="234"/>
      <c r="BQ576" s="46"/>
      <c r="BR576" s="46"/>
    </row>
    <row r="577" spans="57:70" ht="15.75" customHeight="1">
      <c r="BE577" s="234"/>
      <c r="BQ577" s="46"/>
      <c r="BR577" s="46"/>
    </row>
    <row r="578" spans="57:70" ht="15.75" customHeight="1">
      <c r="BE578" s="234"/>
      <c r="BQ578" s="46"/>
      <c r="BR578" s="46"/>
    </row>
    <row r="579" spans="57:70" ht="15.75" customHeight="1">
      <c r="BE579" s="234"/>
      <c r="BQ579" s="46"/>
      <c r="BR579" s="46"/>
    </row>
    <row r="580" spans="57:70" ht="15.75" customHeight="1">
      <c r="BE580" s="234"/>
      <c r="BQ580" s="46"/>
      <c r="BR580" s="46"/>
    </row>
    <row r="581" spans="57:70" ht="15.75" customHeight="1">
      <c r="BE581" s="234"/>
      <c r="BQ581" s="46"/>
      <c r="BR581" s="46"/>
    </row>
    <row r="582" spans="57:70" ht="15.75" customHeight="1">
      <c r="BE582" s="234"/>
      <c r="BQ582" s="46"/>
      <c r="BR582" s="46"/>
    </row>
    <row r="583" spans="57:70" ht="15.75" customHeight="1">
      <c r="BE583" s="234"/>
      <c r="BQ583" s="46"/>
      <c r="BR583" s="46"/>
    </row>
    <row r="584" spans="57:70" ht="15.75" customHeight="1">
      <c r="BE584" s="234"/>
      <c r="BQ584" s="46"/>
      <c r="BR584" s="46"/>
    </row>
    <row r="585" spans="57:70" ht="15.75" customHeight="1">
      <c r="BE585" s="234"/>
      <c r="BQ585" s="46"/>
      <c r="BR585" s="46"/>
    </row>
    <row r="586" spans="57:70" ht="15.75" customHeight="1">
      <c r="BE586" s="234"/>
      <c r="BQ586" s="46"/>
      <c r="BR586" s="46"/>
    </row>
    <row r="587" spans="57:70" ht="15.75" customHeight="1">
      <c r="BE587" s="234"/>
      <c r="BQ587" s="46"/>
      <c r="BR587" s="46"/>
    </row>
    <row r="588" spans="57:70" ht="15.75" customHeight="1">
      <c r="BE588" s="234"/>
      <c r="BQ588" s="46"/>
      <c r="BR588" s="46"/>
    </row>
    <row r="589" spans="57:70" ht="15.75" customHeight="1">
      <c r="BE589" s="234"/>
      <c r="BQ589" s="46"/>
      <c r="BR589" s="46"/>
    </row>
    <row r="590" spans="57:70" ht="15.75" customHeight="1">
      <c r="BE590" s="234"/>
      <c r="BQ590" s="46"/>
      <c r="BR590" s="46"/>
    </row>
    <row r="591" spans="57:70" ht="15.75" customHeight="1">
      <c r="BE591" s="234"/>
      <c r="BQ591" s="46"/>
      <c r="BR591" s="46"/>
    </row>
    <row r="592" spans="57:70" ht="15.75" customHeight="1">
      <c r="BE592" s="234"/>
      <c r="BQ592" s="46"/>
      <c r="BR592" s="46"/>
    </row>
    <row r="593" spans="57:70" ht="15.75" customHeight="1">
      <c r="BE593" s="234"/>
      <c r="BQ593" s="46"/>
      <c r="BR593" s="46"/>
    </row>
    <row r="594" spans="57:70" ht="15.75" customHeight="1">
      <c r="BE594" s="234"/>
      <c r="BQ594" s="46"/>
      <c r="BR594" s="46"/>
    </row>
    <row r="595" spans="57:70" ht="15.75" customHeight="1">
      <c r="BE595" s="234"/>
      <c r="BQ595" s="46"/>
      <c r="BR595" s="46"/>
    </row>
    <row r="596" spans="57:70" ht="15.75" customHeight="1">
      <c r="BE596" s="234"/>
      <c r="BQ596" s="46"/>
      <c r="BR596" s="46"/>
    </row>
    <row r="597" spans="57:70" ht="15.75" customHeight="1">
      <c r="BE597" s="234"/>
      <c r="BQ597" s="46"/>
      <c r="BR597" s="46"/>
    </row>
    <row r="598" spans="57:70" ht="15.75" customHeight="1">
      <c r="BE598" s="234"/>
      <c r="BQ598" s="46"/>
      <c r="BR598" s="46"/>
    </row>
    <row r="599" spans="57:70" ht="15.75" customHeight="1">
      <c r="BE599" s="234"/>
      <c r="BQ599" s="46"/>
      <c r="BR599" s="46"/>
    </row>
    <row r="600" spans="57:70" ht="15.75" customHeight="1">
      <c r="BE600" s="234"/>
      <c r="BQ600" s="46"/>
      <c r="BR600" s="46"/>
    </row>
    <row r="601" spans="57:70" ht="15.75" customHeight="1">
      <c r="BE601" s="234"/>
      <c r="BQ601" s="46"/>
      <c r="BR601" s="46"/>
    </row>
    <row r="602" spans="57:70" ht="15.75" customHeight="1">
      <c r="BE602" s="234"/>
      <c r="BQ602" s="46"/>
      <c r="BR602" s="46"/>
    </row>
    <row r="603" spans="57:70" ht="15.75" customHeight="1">
      <c r="BE603" s="234"/>
      <c r="BQ603" s="46"/>
      <c r="BR603" s="46"/>
    </row>
    <row r="604" spans="57:70" ht="15.75" customHeight="1">
      <c r="BE604" s="234"/>
      <c r="BQ604" s="46"/>
      <c r="BR604" s="46"/>
    </row>
    <row r="605" spans="57:70" ht="15.75" customHeight="1">
      <c r="BE605" s="234"/>
      <c r="BQ605" s="46"/>
      <c r="BR605" s="46"/>
    </row>
    <row r="606" spans="57:70" ht="15.75" customHeight="1">
      <c r="BE606" s="234"/>
      <c r="BQ606" s="46"/>
      <c r="BR606" s="46"/>
    </row>
    <row r="607" spans="57:70" ht="15.75" customHeight="1">
      <c r="BE607" s="234"/>
      <c r="BQ607" s="46"/>
      <c r="BR607" s="46"/>
    </row>
    <row r="608" spans="57:70" ht="15.75" customHeight="1">
      <c r="BE608" s="234"/>
      <c r="BQ608" s="46"/>
      <c r="BR608" s="46"/>
    </row>
    <row r="609" spans="57:70" ht="15.75" customHeight="1">
      <c r="BE609" s="234"/>
      <c r="BQ609" s="46"/>
      <c r="BR609" s="46"/>
    </row>
    <row r="610" spans="57:70" ht="15.75" customHeight="1">
      <c r="BE610" s="234"/>
      <c r="BQ610" s="46"/>
      <c r="BR610" s="46"/>
    </row>
    <row r="611" spans="57:70" ht="15.75" customHeight="1">
      <c r="BE611" s="234"/>
      <c r="BQ611" s="46"/>
      <c r="BR611" s="46"/>
    </row>
    <row r="612" spans="57:70" ht="15.75" customHeight="1">
      <c r="BE612" s="234"/>
      <c r="BQ612" s="46"/>
      <c r="BR612" s="46"/>
    </row>
    <row r="613" spans="57:70" ht="15.75" customHeight="1">
      <c r="BE613" s="234"/>
      <c r="BQ613" s="46"/>
      <c r="BR613" s="46"/>
    </row>
    <row r="614" spans="57:70" ht="15.75" customHeight="1">
      <c r="BE614" s="234"/>
      <c r="BQ614" s="46"/>
      <c r="BR614" s="46"/>
    </row>
    <row r="615" spans="57:70" ht="15.75" customHeight="1">
      <c r="BE615" s="234"/>
      <c r="BQ615" s="46"/>
      <c r="BR615" s="46"/>
    </row>
    <row r="616" spans="57:70" ht="15.75" customHeight="1">
      <c r="BE616" s="234"/>
      <c r="BQ616" s="46"/>
      <c r="BR616" s="46"/>
    </row>
    <row r="617" spans="57:70" ht="15.75" customHeight="1">
      <c r="BE617" s="234"/>
      <c r="BQ617" s="46"/>
      <c r="BR617" s="46"/>
    </row>
    <row r="618" spans="57:70" ht="15.75" customHeight="1">
      <c r="BE618" s="234"/>
      <c r="BQ618" s="46"/>
      <c r="BR618" s="46"/>
    </row>
    <row r="619" spans="57:70" ht="15.75" customHeight="1">
      <c r="BE619" s="234"/>
      <c r="BQ619" s="46"/>
      <c r="BR619" s="46"/>
    </row>
    <row r="620" spans="57:70" ht="15.75" customHeight="1">
      <c r="BE620" s="234"/>
      <c r="BQ620" s="46"/>
      <c r="BR620" s="46"/>
    </row>
    <row r="621" spans="57:70" ht="15.75" customHeight="1">
      <c r="BE621" s="234"/>
      <c r="BQ621" s="46"/>
      <c r="BR621" s="46"/>
    </row>
    <row r="622" spans="57:70" ht="15.75" customHeight="1">
      <c r="BE622" s="234"/>
      <c r="BQ622" s="46"/>
      <c r="BR622" s="46"/>
    </row>
    <row r="623" spans="57:70" ht="15.75" customHeight="1">
      <c r="BE623" s="234"/>
      <c r="BQ623" s="46"/>
      <c r="BR623" s="46"/>
    </row>
    <row r="624" spans="57:70" ht="15.75" customHeight="1">
      <c r="BE624" s="234"/>
      <c r="BQ624" s="46"/>
      <c r="BR624" s="46"/>
    </row>
    <row r="625" spans="57:70" ht="15.75" customHeight="1">
      <c r="BE625" s="234"/>
      <c r="BQ625" s="46"/>
      <c r="BR625" s="46"/>
    </row>
    <row r="626" spans="57:70" ht="15.75" customHeight="1">
      <c r="BE626" s="234"/>
      <c r="BQ626" s="46"/>
      <c r="BR626" s="46"/>
    </row>
    <row r="627" spans="57:70" ht="15.75" customHeight="1">
      <c r="BE627" s="234"/>
      <c r="BQ627" s="46"/>
      <c r="BR627" s="46"/>
    </row>
    <row r="628" spans="57:70" ht="15.75" customHeight="1">
      <c r="BE628" s="234"/>
      <c r="BQ628" s="46"/>
      <c r="BR628" s="46"/>
    </row>
    <row r="629" spans="57:70" ht="15.75" customHeight="1">
      <c r="BE629" s="234"/>
      <c r="BQ629" s="46"/>
      <c r="BR629" s="46"/>
    </row>
    <row r="630" spans="57:70" ht="15.75" customHeight="1">
      <c r="BE630" s="234"/>
      <c r="BQ630" s="46"/>
      <c r="BR630" s="46"/>
    </row>
    <row r="631" spans="57:70" ht="15.75" customHeight="1">
      <c r="BE631" s="234"/>
      <c r="BQ631" s="46"/>
      <c r="BR631" s="46"/>
    </row>
    <row r="632" spans="57:70" ht="15.75" customHeight="1">
      <c r="BE632" s="234"/>
      <c r="BQ632" s="46"/>
      <c r="BR632" s="46"/>
    </row>
    <row r="633" spans="57:70" ht="15.75" customHeight="1">
      <c r="BE633" s="234"/>
      <c r="BQ633" s="46"/>
      <c r="BR633" s="46"/>
    </row>
    <row r="634" spans="57:70" ht="15.75" customHeight="1">
      <c r="BE634" s="234"/>
      <c r="BQ634" s="46"/>
      <c r="BR634" s="46"/>
    </row>
    <row r="635" spans="57:70" ht="15.75" customHeight="1">
      <c r="BE635" s="234"/>
      <c r="BQ635" s="46"/>
      <c r="BR635" s="46"/>
    </row>
    <row r="636" spans="57:70" ht="15.75" customHeight="1">
      <c r="BE636" s="234"/>
      <c r="BQ636" s="46"/>
      <c r="BR636" s="46"/>
    </row>
    <row r="637" spans="57:70" ht="15.75" customHeight="1">
      <c r="BE637" s="234"/>
      <c r="BQ637" s="46"/>
      <c r="BR637" s="46"/>
    </row>
    <row r="638" spans="57:70" ht="15.75" customHeight="1">
      <c r="BE638" s="234"/>
      <c r="BQ638" s="46"/>
      <c r="BR638" s="46"/>
    </row>
    <row r="639" spans="57:70" ht="15.75" customHeight="1">
      <c r="BE639" s="234"/>
      <c r="BQ639" s="46"/>
      <c r="BR639" s="46"/>
    </row>
    <row r="640" spans="57:70" ht="15.75" customHeight="1">
      <c r="BE640" s="234"/>
      <c r="BQ640" s="46"/>
      <c r="BR640" s="46"/>
    </row>
    <row r="641" spans="57:70" ht="15.75" customHeight="1">
      <c r="BE641" s="234"/>
      <c r="BQ641" s="46"/>
      <c r="BR641" s="46"/>
    </row>
    <row r="642" spans="57:70" ht="15.75" customHeight="1">
      <c r="BE642" s="234"/>
      <c r="BQ642" s="46"/>
      <c r="BR642" s="46"/>
    </row>
    <row r="643" spans="57:70" ht="15.75" customHeight="1">
      <c r="BE643" s="234"/>
      <c r="BQ643" s="46"/>
      <c r="BR643" s="46"/>
    </row>
    <row r="644" spans="57:70" ht="15.75" customHeight="1">
      <c r="BE644" s="234"/>
      <c r="BQ644" s="46"/>
      <c r="BR644" s="46"/>
    </row>
    <row r="645" spans="57:70" ht="15.75" customHeight="1">
      <c r="BE645" s="234"/>
      <c r="BQ645" s="46"/>
      <c r="BR645" s="46"/>
    </row>
    <row r="646" spans="57:70" ht="15.75" customHeight="1">
      <c r="BE646" s="234"/>
      <c r="BQ646" s="46"/>
      <c r="BR646" s="46"/>
    </row>
    <row r="647" spans="57:70" ht="15.75" customHeight="1">
      <c r="BE647" s="234"/>
      <c r="BQ647" s="46"/>
      <c r="BR647" s="46"/>
    </row>
    <row r="648" spans="57:70" ht="15.75" customHeight="1">
      <c r="BE648" s="234"/>
      <c r="BQ648" s="46"/>
      <c r="BR648" s="46"/>
    </row>
    <row r="649" spans="57:70" ht="15.75" customHeight="1">
      <c r="BE649" s="234"/>
      <c r="BQ649" s="46"/>
      <c r="BR649" s="46"/>
    </row>
    <row r="650" spans="57:70" ht="15.75" customHeight="1">
      <c r="BE650" s="234"/>
      <c r="BQ650" s="46"/>
      <c r="BR650" s="46"/>
    </row>
    <row r="651" spans="57:70" ht="15.75" customHeight="1">
      <c r="BE651" s="234"/>
      <c r="BQ651" s="46"/>
      <c r="BR651" s="46"/>
    </row>
    <row r="652" spans="57:70" ht="15.75" customHeight="1">
      <c r="BE652" s="234"/>
      <c r="BQ652" s="46"/>
      <c r="BR652" s="46"/>
    </row>
    <row r="653" spans="57:70" ht="15.75" customHeight="1">
      <c r="BE653" s="234"/>
      <c r="BQ653" s="46"/>
      <c r="BR653" s="46"/>
    </row>
    <row r="654" spans="57:70" ht="15.75" customHeight="1">
      <c r="BE654" s="234"/>
      <c r="BQ654" s="46"/>
      <c r="BR654" s="46"/>
    </row>
    <row r="655" spans="57:70" ht="15.75" customHeight="1">
      <c r="BE655" s="234"/>
      <c r="BQ655" s="46"/>
      <c r="BR655" s="46"/>
    </row>
    <row r="656" spans="57:70" ht="15.75" customHeight="1">
      <c r="BE656" s="234"/>
      <c r="BQ656" s="46"/>
      <c r="BR656" s="46"/>
    </row>
    <row r="657" spans="57:70" ht="15.75" customHeight="1">
      <c r="BE657" s="234"/>
      <c r="BQ657" s="46"/>
      <c r="BR657" s="46"/>
    </row>
    <row r="658" spans="57:70" ht="15.75" customHeight="1">
      <c r="BE658" s="234"/>
      <c r="BQ658" s="46"/>
      <c r="BR658" s="46"/>
    </row>
    <row r="659" spans="57:70" ht="15.75" customHeight="1">
      <c r="BE659" s="234"/>
      <c r="BQ659" s="46"/>
      <c r="BR659" s="46"/>
    </row>
    <row r="660" spans="57:70" ht="15.75" customHeight="1">
      <c r="BE660" s="234"/>
      <c r="BQ660" s="46"/>
      <c r="BR660" s="46"/>
    </row>
    <row r="661" spans="57:70" ht="15.75" customHeight="1">
      <c r="BE661" s="234"/>
      <c r="BQ661" s="46"/>
      <c r="BR661" s="46"/>
    </row>
    <row r="662" spans="57:70" ht="15.75" customHeight="1">
      <c r="BE662" s="234"/>
      <c r="BQ662" s="46"/>
      <c r="BR662" s="46"/>
    </row>
    <row r="663" spans="57:70" ht="15.75" customHeight="1">
      <c r="BE663" s="234"/>
      <c r="BQ663" s="46"/>
      <c r="BR663" s="46"/>
    </row>
    <row r="664" spans="57:70" ht="15.75" customHeight="1">
      <c r="BE664" s="234"/>
      <c r="BQ664" s="46"/>
      <c r="BR664" s="46"/>
    </row>
    <row r="665" spans="57:70" ht="15.75" customHeight="1">
      <c r="BE665" s="234"/>
      <c r="BQ665" s="46"/>
      <c r="BR665" s="46"/>
    </row>
    <row r="666" spans="57:70" ht="15.75" customHeight="1">
      <c r="BE666" s="234"/>
      <c r="BQ666" s="46"/>
      <c r="BR666" s="46"/>
    </row>
    <row r="667" spans="57:70" ht="15.75" customHeight="1">
      <c r="BE667" s="234"/>
      <c r="BQ667" s="46"/>
      <c r="BR667" s="46"/>
    </row>
    <row r="668" spans="57:70" ht="15.75" customHeight="1">
      <c r="BE668" s="234"/>
      <c r="BQ668" s="46"/>
      <c r="BR668" s="46"/>
    </row>
    <row r="669" spans="57:70" ht="15.75" customHeight="1">
      <c r="BE669" s="234"/>
      <c r="BQ669" s="46"/>
      <c r="BR669" s="46"/>
    </row>
    <row r="670" spans="57:70" ht="15.75" customHeight="1">
      <c r="BE670" s="234"/>
      <c r="BQ670" s="46"/>
      <c r="BR670" s="46"/>
    </row>
    <row r="671" spans="57:70" ht="15.75" customHeight="1">
      <c r="BE671" s="234"/>
      <c r="BQ671" s="46"/>
      <c r="BR671" s="46"/>
    </row>
    <row r="672" spans="57:70" ht="15.75" customHeight="1">
      <c r="BE672" s="234"/>
      <c r="BQ672" s="46"/>
      <c r="BR672" s="46"/>
    </row>
    <row r="673" spans="57:70" ht="15.75" customHeight="1">
      <c r="BE673" s="234"/>
      <c r="BQ673" s="46"/>
      <c r="BR673" s="46"/>
    </row>
    <row r="674" spans="57:70" ht="15.75" customHeight="1">
      <c r="BE674" s="234"/>
      <c r="BQ674" s="46"/>
      <c r="BR674" s="46"/>
    </row>
    <row r="675" spans="57:70" ht="15.75" customHeight="1">
      <c r="BE675" s="234"/>
      <c r="BQ675" s="46"/>
      <c r="BR675" s="46"/>
    </row>
    <row r="676" spans="57:70" ht="15.75" customHeight="1">
      <c r="BE676" s="234"/>
      <c r="BQ676" s="46"/>
      <c r="BR676" s="46"/>
    </row>
    <row r="677" spans="57:70" ht="15.75" customHeight="1">
      <c r="BE677" s="234"/>
      <c r="BQ677" s="46"/>
      <c r="BR677" s="46"/>
    </row>
    <row r="678" spans="57:70" ht="15.75" customHeight="1">
      <c r="BE678" s="234"/>
      <c r="BQ678" s="46"/>
      <c r="BR678" s="46"/>
    </row>
    <row r="679" spans="57:70" ht="15.75" customHeight="1">
      <c r="BE679" s="234"/>
      <c r="BQ679" s="46"/>
      <c r="BR679" s="46"/>
    </row>
    <row r="680" spans="57:70" ht="15.75" customHeight="1">
      <c r="BE680" s="234"/>
      <c r="BQ680" s="46"/>
      <c r="BR680" s="46"/>
    </row>
    <row r="681" spans="57:70" ht="15.75" customHeight="1">
      <c r="BE681" s="234"/>
      <c r="BQ681" s="46"/>
      <c r="BR681" s="46"/>
    </row>
    <row r="682" spans="57:70" ht="15.75" customHeight="1">
      <c r="BE682" s="234"/>
      <c r="BQ682" s="46"/>
      <c r="BR682" s="46"/>
    </row>
    <row r="683" spans="57:70" ht="15.75" customHeight="1">
      <c r="BE683" s="234"/>
      <c r="BQ683" s="46"/>
      <c r="BR683" s="46"/>
    </row>
    <row r="684" spans="57:70" ht="15.75" customHeight="1">
      <c r="BE684" s="234"/>
      <c r="BQ684" s="46"/>
      <c r="BR684" s="46"/>
    </row>
    <row r="685" spans="57:70" ht="15.75" customHeight="1">
      <c r="BE685" s="234"/>
      <c r="BQ685" s="46"/>
      <c r="BR685" s="46"/>
    </row>
    <row r="686" spans="57:70" ht="15.75" customHeight="1">
      <c r="BE686" s="234"/>
      <c r="BQ686" s="46"/>
      <c r="BR686" s="46"/>
    </row>
    <row r="687" spans="57:70" ht="15.75" customHeight="1">
      <c r="BE687" s="234"/>
      <c r="BQ687" s="46"/>
      <c r="BR687" s="46"/>
    </row>
    <row r="688" spans="57:70" ht="15.75" customHeight="1">
      <c r="BE688" s="234"/>
      <c r="BQ688" s="46"/>
      <c r="BR688" s="46"/>
    </row>
    <row r="689" spans="57:70" ht="15.75" customHeight="1">
      <c r="BE689" s="234"/>
      <c r="BQ689" s="46"/>
      <c r="BR689" s="46"/>
    </row>
    <row r="690" spans="57:70" ht="15.75" customHeight="1">
      <c r="BE690" s="234"/>
      <c r="BQ690" s="46"/>
      <c r="BR690" s="46"/>
    </row>
    <row r="691" spans="57:70" ht="15.75" customHeight="1">
      <c r="BE691" s="234"/>
      <c r="BQ691" s="46"/>
      <c r="BR691" s="46"/>
    </row>
    <row r="692" spans="57:70" ht="15.75" customHeight="1">
      <c r="BE692" s="234"/>
      <c r="BQ692" s="46"/>
      <c r="BR692" s="46"/>
    </row>
    <row r="693" spans="57:70" ht="15.75" customHeight="1">
      <c r="BE693" s="234"/>
      <c r="BQ693" s="46"/>
      <c r="BR693" s="46"/>
    </row>
    <row r="694" spans="57:70" ht="15.75" customHeight="1">
      <c r="BE694" s="234"/>
      <c r="BQ694" s="46"/>
      <c r="BR694" s="46"/>
    </row>
    <row r="695" spans="57:70" ht="15.75" customHeight="1">
      <c r="BE695" s="234"/>
      <c r="BQ695" s="46"/>
      <c r="BR695" s="46"/>
    </row>
    <row r="696" spans="57:70" ht="15.75" customHeight="1">
      <c r="BE696" s="234"/>
      <c r="BQ696" s="46"/>
      <c r="BR696" s="46"/>
    </row>
    <row r="697" spans="57:70" ht="15.75" customHeight="1">
      <c r="BE697" s="234"/>
      <c r="BQ697" s="46"/>
      <c r="BR697" s="46"/>
    </row>
    <row r="698" spans="57:70" ht="15.75" customHeight="1">
      <c r="BE698" s="234"/>
      <c r="BQ698" s="46"/>
      <c r="BR698" s="46"/>
    </row>
    <row r="699" spans="57:70" ht="15.75" customHeight="1">
      <c r="BE699" s="234"/>
      <c r="BQ699" s="46"/>
      <c r="BR699" s="46"/>
    </row>
    <row r="700" spans="57:70" ht="15.75" customHeight="1">
      <c r="BE700" s="234"/>
      <c r="BQ700" s="46"/>
      <c r="BR700" s="46"/>
    </row>
    <row r="701" spans="57:70" ht="15.75" customHeight="1">
      <c r="BE701" s="234"/>
      <c r="BQ701" s="46"/>
      <c r="BR701" s="46"/>
    </row>
    <row r="702" spans="57:70" ht="15.75" customHeight="1">
      <c r="BE702" s="234"/>
      <c r="BQ702" s="46"/>
      <c r="BR702" s="46"/>
    </row>
    <row r="703" spans="57:70" ht="15.75" customHeight="1">
      <c r="BE703" s="234"/>
      <c r="BQ703" s="46"/>
      <c r="BR703" s="46"/>
    </row>
    <row r="704" spans="57:70" ht="15.75" customHeight="1">
      <c r="BE704" s="234"/>
      <c r="BQ704" s="46"/>
      <c r="BR704" s="46"/>
    </row>
    <row r="705" spans="57:70" ht="15.75" customHeight="1">
      <c r="BE705" s="234"/>
      <c r="BQ705" s="46"/>
      <c r="BR705" s="46"/>
    </row>
    <row r="706" spans="57:70" ht="15.75" customHeight="1">
      <c r="BE706" s="234"/>
      <c r="BQ706" s="46"/>
      <c r="BR706" s="46"/>
    </row>
    <row r="707" spans="57:70" ht="15.75" customHeight="1">
      <c r="BE707" s="234"/>
      <c r="BQ707" s="46"/>
      <c r="BR707" s="46"/>
    </row>
    <row r="708" spans="57:70" ht="15.75" customHeight="1">
      <c r="BE708" s="234"/>
      <c r="BQ708" s="46"/>
      <c r="BR708" s="46"/>
    </row>
    <row r="709" spans="57:70" ht="15.75" customHeight="1">
      <c r="BE709" s="234"/>
      <c r="BQ709" s="46"/>
      <c r="BR709" s="46"/>
    </row>
    <row r="710" spans="57:70" ht="15.75" customHeight="1">
      <c r="BE710" s="234"/>
      <c r="BQ710" s="46"/>
      <c r="BR710" s="46"/>
    </row>
    <row r="711" spans="57:70" ht="15.75" customHeight="1">
      <c r="BE711" s="234"/>
      <c r="BQ711" s="46"/>
      <c r="BR711" s="46"/>
    </row>
    <row r="712" spans="57:70" ht="15.75" customHeight="1">
      <c r="BE712" s="234"/>
      <c r="BQ712" s="46"/>
      <c r="BR712" s="46"/>
    </row>
    <row r="713" spans="57:70" ht="15.75" customHeight="1">
      <c r="BE713" s="234"/>
      <c r="BQ713" s="46"/>
      <c r="BR713" s="46"/>
    </row>
    <row r="714" spans="57:70" ht="15.75" customHeight="1">
      <c r="BE714" s="234"/>
      <c r="BQ714" s="46"/>
      <c r="BR714" s="46"/>
    </row>
    <row r="715" spans="57:70" ht="15.75" customHeight="1">
      <c r="BE715" s="234"/>
      <c r="BQ715" s="46"/>
      <c r="BR715" s="46"/>
    </row>
    <row r="716" spans="57:70" ht="15.75" customHeight="1">
      <c r="BE716" s="234"/>
      <c r="BQ716" s="46"/>
      <c r="BR716" s="46"/>
    </row>
    <row r="717" spans="57:70" ht="15.75" customHeight="1">
      <c r="BE717" s="234"/>
      <c r="BQ717" s="46"/>
      <c r="BR717" s="46"/>
    </row>
    <row r="718" spans="57:70" ht="15.75" customHeight="1">
      <c r="BE718" s="234"/>
      <c r="BQ718" s="46"/>
      <c r="BR718" s="46"/>
    </row>
    <row r="719" spans="57:70" ht="15.75" customHeight="1">
      <c r="BE719" s="234"/>
      <c r="BQ719" s="46"/>
      <c r="BR719" s="46"/>
    </row>
    <row r="720" spans="57:70" ht="15.75" customHeight="1">
      <c r="BE720" s="234"/>
      <c r="BQ720" s="46"/>
      <c r="BR720" s="46"/>
    </row>
    <row r="721" spans="57:70" ht="15.75" customHeight="1">
      <c r="BE721" s="234"/>
      <c r="BQ721" s="46"/>
      <c r="BR721" s="46"/>
    </row>
    <row r="722" spans="57:70" ht="15.75" customHeight="1">
      <c r="BE722" s="234"/>
      <c r="BQ722" s="46"/>
      <c r="BR722" s="46"/>
    </row>
    <row r="723" spans="57:70" ht="15.75" customHeight="1">
      <c r="BE723" s="234"/>
      <c r="BQ723" s="46"/>
      <c r="BR723" s="46"/>
    </row>
    <row r="724" spans="57:70" ht="15.75" customHeight="1">
      <c r="BE724" s="234"/>
      <c r="BQ724" s="46"/>
      <c r="BR724" s="46"/>
    </row>
    <row r="725" spans="57:70" ht="15.75" customHeight="1">
      <c r="BE725" s="234"/>
      <c r="BQ725" s="46"/>
      <c r="BR725" s="46"/>
    </row>
    <row r="726" spans="57:70" ht="15.75" customHeight="1">
      <c r="BE726" s="234"/>
      <c r="BQ726" s="46"/>
      <c r="BR726" s="46"/>
    </row>
    <row r="727" spans="57:70" ht="15.75" customHeight="1">
      <c r="BE727" s="234"/>
      <c r="BQ727" s="46"/>
      <c r="BR727" s="46"/>
    </row>
    <row r="728" spans="57:70" ht="15.75" customHeight="1">
      <c r="BE728" s="234"/>
      <c r="BQ728" s="46"/>
      <c r="BR728" s="46"/>
    </row>
    <row r="729" spans="57:70" ht="15.75" customHeight="1">
      <c r="BE729" s="234"/>
      <c r="BQ729" s="46"/>
      <c r="BR729" s="46"/>
    </row>
    <row r="730" spans="57:70" ht="15.75" customHeight="1">
      <c r="BE730" s="234"/>
      <c r="BQ730" s="46"/>
      <c r="BR730" s="46"/>
    </row>
    <row r="731" spans="57:70" ht="15.75" customHeight="1">
      <c r="BE731" s="234"/>
      <c r="BQ731" s="46"/>
      <c r="BR731" s="46"/>
    </row>
    <row r="732" spans="57:70" ht="15.75" customHeight="1">
      <c r="BE732" s="234"/>
      <c r="BQ732" s="46"/>
      <c r="BR732" s="46"/>
    </row>
    <row r="733" spans="57:70" ht="15.75" customHeight="1">
      <c r="BE733" s="234"/>
      <c r="BQ733" s="46"/>
      <c r="BR733" s="46"/>
    </row>
    <row r="734" spans="57:70" ht="15.75" customHeight="1">
      <c r="BE734" s="234"/>
      <c r="BQ734" s="46"/>
      <c r="BR734" s="46"/>
    </row>
    <row r="735" spans="57:70" ht="15.75" customHeight="1">
      <c r="BE735" s="234"/>
      <c r="BQ735" s="46"/>
      <c r="BR735" s="46"/>
    </row>
    <row r="736" spans="57:70" ht="15.75" customHeight="1">
      <c r="BE736" s="234"/>
      <c r="BQ736" s="46"/>
      <c r="BR736" s="46"/>
    </row>
    <row r="737" spans="57:70" ht="15.75" customHeight="1">
      <c r="BE737" s="234"/>
      <c r="BQ737" s="46"/>
      <c r="BR737" s="46"/>
    </row>
    <row r="738" spans="57:70" ht="15.75" customHeight="1">
      <c r="BE738" s="234"/>
      <c r="BQ738" s="46"/>
      <c r="BR738" s="46"/>
    </row>
    <row r="739" spans="57:70" ht="15.75" customHeight="1">
      <c r="BE739" s="234"/>
      <c r="BQ739" s="46"/>
      <c r="BR739" s="46"/>
    </row>
    <row r="740" spans="57:70" ht="15.75" customHeight="1">
      <c r="BE740" s="234"/>
      <c r="BQ740" s="46"/>
      <c r="BR740" s="46"/>
    </row>
    <row r="741" spans="57:70" ht="15.75" customHeight="1">
      <c r="BE741" s="234"/>
      <c r="BQ741" s="46"/>
      <c r="BR741" s="46"/>
    </row>
    <row r="742" spans="57:70" ht="15.75" customHeight="1">
      <c r="BE742" s="234"/>
      <c r="BQ742" s="46"/>
      <c r="BR742" s="46"/>
    </row>
    <row r="743" spans="57:70" ht="15.75" customHeight="1">
      <c r="BE743" s="234"/>
      <c r="BQ743" s="46"/>
      <c r="BR743" s="46"/>
    </row>
    <row r="744" spans="57:70" ht="15.75" customHeight="1">
      <c r="BE744" s="234"/>
      <c r="BQ744" s="46"/>
      <c r="BR744" s="46"/>
    </row>
    <row r="745" spans="57:70" ht="15.75" customHeight="1">
      <c r="BE745" s="234"/>
      <c r="BQ745" s="46"/>
      <c r="BR745" s="46"/>
    </row>
    <row r="746" spans="57:70" ht="15.75" customHeight="1">
      <c r="BE746" s="234"/>
      <c r="BQ746" s="46"/>
      <c r="BR746" s="46"/>
    </row>
    <row r="747" spans="57:70" ht="15.75" customHeight="1">
      <c r="BE747" s="234"/>
      <c r="BQ747" s="46"/>
      <c r="BR747" s="46"/>
    </row>
    <row r="748" spans="57:70" ht="15.75" customHeight="1">
      <c r="BE748" s="234"/>
      <c r="BQ748" s="46"/>
      <c r="BR748" s="46"/>
    </row>
    <row r="749" spans="57:70" ht="15.75" customHeight="1">
      <c r="BE749" s="234"/>
      <c r="BQ749" s="46"/>
      <c r="BR749" s="46"/>
    </row>
    <row r="750" spans="57:70" ht="15.75" customHeight="1">
      <c r="BE750" s="234"/>
      <c r="BQ750" s="46"/>
      <c r="BR750" s="46"/>
    </row>
    <row r="751" spans="57:70" ht="15.75" customHeight="1">
      <c r="BE751" s="234"/>
      <c r="BQ751" s="46"/>
      <c r="BR751" s="46"/>
    </row>
    <row r="752" spans="57:70" ht="15.75" customHeight="1">
      <c r="BE752" s="234"/>
      <c r="BQ752" s="46"/>
      <c r="BR752" s="46"/>
    </row>
    <row r="753" spans="57:70" ht="15.75" customHeight="1">
      <c r="BE753" s="234"/>
      <c r="BQ753" s="46"/>
      <c r="BR753" s="46"/>
    </row>
    <row r="754" spans="57:70" ht="15.75" customHeight="1">
      <c r="BE754" s="234"/>
      <c r="BQ754" s="46"/>
      <c r="BR754" s="46"/>
    </row>
    <row r="755" spans="57:70" ht="15.75" customHeight="1">
      <c r="BE755" s="234"/>
      <c r="BQ755" s="46"/>
      <c r="BR755" s="46"/>
    </row>
    <row r="756" spans="57:70" ht="15.75" customHeight="1">
      <c r="BE756" s="234"/>
      <c r="BQ756" s="46"/>
      <c r="BR756" s="46"/>
    </row>
    <row r="757" spans="57:70" ht="15.75" customHeight="1">
      <c r="BE757" s="234"/>
      <c r="BQ757" s="46"/>
      <c r="BR757" s="46"/>
    </row>
    <row r="758" spans="57:70" ht="15.75" customHeight="1">
      <c r="BE758" s="234"/>
      <c r="BQ758" s="46"/>
      <c r="BR758" s="46"/>
    </row>
    <row r="759" spans="57:70" ht="15.75" customHeight="1">
      <c r="BE759" s="234"/>
      <c r="BQ759" s="46"/>
      <c r="BR759" s="46"/>
    </row>
    <row r="760" spans="57:70" ht="15.75" customHeight="1">
      <c r="BE760" s="234"/>
      <c r="BQ760" s="46"/>
      <c r="BR760" s="46"/>
    </row>
    <row r="761" spans="57:70" ht="15.75" customHeight="1">
      <c r="BE761" s="234"/>
      <c r="BQ761" s="46"/>
      <c r="BR761" s="46"/>
    </row>
    <row r="762" spans="57:70" ht="15.75" customHeight="1">
      <c r="BE762" s="234"/>
      <c r="BQ762" s="46"/>
      <c r="BR762" s="46"/>
    </row>
    <row r="763" spans="57:70" ht="15.75" customHeight="1">
      <c r="BE763" s="234"/>
      <c r="BQ763" s="46"/>
      <c r="BR763" s="46"/>
    </row>
    <row r="764" spans="57:70" ht="15.75" customHeight="1">
      <c r="BE764" s="234"/>
      <c r="BQ764" s="46"/>
      <c r="BR764" s="46"/>
    </row>
    <row r="765" spans="57:70" ht="15.75" customHeight="1">
      <c r="BE765" s="234"/>
      <c r="BQ765" s="46"/>
      <c r="BR765" s="46"/>
    </row>
    <row r="766" spans="57:70" ht="15.75" customHeight="1">
      <c r="BE766" s="234"/>
      <c r="BQ766" s="46"/>
      <c r="BR766" s="46"/>
    </row>
    <row r="767" spans="57:70" ht="15.75" customHeight="1">
      <c r="BE767" s="234"/>
      <c r="BQ767" s="46"/>
      <c r="BR767" s="46"/>
    </row>
    <row r="768" spans="57:70" ht="15.75" customHeight="1">
      <c r="BE768" s="234"/>
      <c r="BQ768" s="46"/>
      <c r="BR768" s="46"/>
    </row>
    <row r="769" spans="57:70" ht="15.75" customHeight="1">
      <c r="BE769" s="234"/>
      <c r="BQ769" s="46"/>
      <c r="BR769" s="46"/>
    </row>
    <row r="770" spans="57:70" ht="15.75" customHeight="1">
      <c r="BE770" s="234"/>
      <c r="BQ770" s="46"/>
      <c r="BR770" s="46"/>
    </row>
    <row r="771" spans="57:70" ht="15.75" customHeight="1">
      <c r="BE771" s="234"/>
      <c r="BQ771" s="46"/>
      <c r="BR771" s="46"/>
    </row>
    <row r="772" spans="57:70" ht="15.75" customHeight="1">
      <c r="BE772" s="234"/>
      <c r="BQ772" s="46"/>
      <c r="BR772" s="46"/>
    </row>
    <row r="773" spans="57:70" ht="15.75" customHeight="1">
      <c r="BE773" s="234"/>
      <c r="BQ773" s="46"/>
      <c r="BR773" s="46"/>
    </row>
    <row r="774" spans="57:70" ht="15.75" customHeight="1">
      <c r="BE774" s="234"/>
      <c r="BQ774" s="46"/>
      <c r="BR774" s="46"/>
    </row>
    <row r="775" spans="57:70" ht="15.75" customHeight="1">
      <c r="BE775" s="234"/>
      <c r="BQ775" s="46"/>
      <c r="BR775" s="46"/>
    </row>
    <row r="776" spans="57:70" ht="15.75" customHeight="1">
      <c r="BE776" s="234"/>
      <c r="BQ776" s="46"/>
      <c r="BR776" s="46"/>
    </row>
    <row r="777" spans="57:70" ht="15.75" customHeight="1">
      <c r="BE777" s="234"/>
      <c r="BQ777" s="46"/>
      <c r="BR777" s="46"/>
    </row>
    <row r="778" spans="57:70" ht="15.75" customHeight="1">
      <c r="BE778" s="234"/>
      <c r="BQ778" s="46"/>
      <c r="BR778" s="46"/>
    </row>
    <row r="779" spans="57:70" ht="15.75" customHeight="1">
      <c r="BE779" s="234"/>
      <c r="BQ779" s="46"/>
      <c r="BR779" s="46"/>
    </row>
    <row r="780" spans="57:70" ht="15.75" customHeight="1">
      <c r="BE780" s="234"/>
      <c r="BQ780" s="46"/>
      <c r="BR780" s="46"/>
    </row>
    <row r="781" spans="57:70" ht="15.75" customHeight="1">
      <c r="BE781" s="234"/>
      <c r="BQ781" s="46"/>
      <c r="BR781" s="46"/>
    </row>
    <row r="782" spans="57:70" ht="15.75" customHeight="1">
      <c r="BE782" s="234"/>
      <c r="BQ782" s="46"/>
      <c r="BR782" s="46"/>
    </row>
    <row r="783" spans="57:70" ht="15.75" customHeight="1">
      <c r="BE783" s="234"/>
      <c r="BQ783" s="46"/>
      <c r="BR783" s="46"/>
    </row>
    <row r="784" spans="57:70" ht="15.75" customHeight="1">
      <c r="BE784" s="234"/>
      <c r="BQ784" s="46"/>
      <c r="BR784" s="46"/>
    </row>
    <row r="785" spans="57:70" ht="15.75" customHeight="1">
      <c r="BE785" s="234"/>
      <c r="BQ785" s="46"/>
      <c r="BR785" s="46"/>
    </row>
    <row r="786" spans="57:70" ht="15.75" customHeight="1">
      <c r="BE786" s="234"/>
      <c r="BQ786" s="46"/>
      <c r="BR786" s="46"/>
    </row>
    <row r="787" spans="57:70" ht="15.75" customHeight="1">
      <c r="BE787" s="234"/>
      <c r="BQ787" s="46"/>
      <c r="BR787" s="46"/>
    </row>
    <row r="788" spans="57:70" ht="15.75" customHeight="1">
      <c r="BE788" s="234"/>
      <c r="BQ788" s="46"/>
      <c r="BR788" s="46"/>
    </row>
    <row r="789" spans="57:70" ht="15.75" customHeight="1">
      <c r="BE789" s="234"/>
      <c r="BQ789" s="46"/>
      <c r="BR789" s="46"/>
    </row>
    <row r="790" spans="57:70" ht="15.75" customHeight="1">
      <c r="BE790" s="234"/>
      <c r="BQ790" s="46"/>
      <c r="BR790" s="46"/>
    </row>
    <row r="791" spans="57:70" ht="15.75" customHeight="1">
      <c r="BE791" s="234"/>
      <c r="BQ791" s="46"/>
      <c r="BR791" s="46"/>
    </row>
    <row r="792" spans="57:70" ht="15.75" customHeight="1">
      <c r="BE792" s="234"/>
      <c r="BQ792" s="46"/>
      <c r="BR792" s="46"/>
    </row>
    <row r="793" spans="57:70" ht="15.75" customHeight="1">
      <c r="BE793" s="234"/>
      <c r="BQ793" s="46"/>
      <c r="BR793" s="46"/>
    </row>
    <row r="794" spans="57:70" ht="15.75" customHeight="1">
      <c r="BE794" s="234"/>
      <c r="BQ794" s="46"/>
      <c r="BR794" s="46"/>
    </row>
    <row r="795" spans="57:70" ht="15.75" customHeight="1">
      <c r="BE795" s="234"/>
      <c r="BQ795" s="46"/>
      <c r="BR795" s="46"/>
    </row>
    <row r="796" spans="57:70" ht="15.75" customHeight="1">
      <c r="BE796" s="234"/>
      <c r="BQ796" s="46"/>
      <c r="BR796" s="46"/>
    </row>
    <row r="797" spans="57:70" ht="15.75" customHeight="1">
      <c r="BE797" s="234"/>
      <c r="BQ797" s="46"/>
      <c r="BR797" s="46"/>
    </row>
    <row r="798" spans="57:70" ht="15.75" customHeight="1">
      <c r="BE798" s="234"/>
      <c r="BQ798" s="46"/>
      <c r="BR798" s="46"/>
    </row>
    <row r="799" spans="57:70" ht="15.75" customHeight="1">
      <c r="BE799" s="234"/>
      <c r="BQ799" s="46"/>
      <c r="BR799" s="46"/>
    </row>
    <row r="800" spans="57:70" ht="15.75" customHeight="1">
      <c r="BE800" s="234"/>
      <c r="BQ800" s="46"/>
      <c r="BR800" s="46"/>
    </row>
    <row r="801" spans="57:70" ht="15.75" customHeight="1">
      <c r="BE801" s="234"/>
      <c r="BQ801" s="46"/>
      <c r="BR801" s="46"/>
    </row>
    <row r="802" spans="57:70" ht="15.75" customHeight="1">
      <c r="BE802" s="234"/>
      <c r="BQ802" s="46"/>
      <c r="BR802" s="46"/>
    </row>
    <row r="803" spans="57:70" ht="15.75" customHeight="1">
      <c r="BE803" s="234"/>
      <c r="BQ803" s="46"/>
      <c r="BR803" s="46"/>
    </row>
    <row r="804" spans="57:70" ht="15.75" customHeight="1">
      <c r="BE804" s="234"/>
      <c r="BQ804" s="46"/>
      <c r="BR804" s="46"/>
    </row>
    <row r="805" spans="57:70" ht="15.75" customHeight="1">
      <c r="BE805" s="234"/>
      <c r="BQ805" s="46"/>
      <c r="BR805" s="46"/>
    </row>
    <row r="806" spans="57:70" ht="15.75" customHeight="1">
      <c r="BE806" s="234"/>
      <c r="BQ806" s="46"/>
      <c r="BR806" s="46"/>
    </row>
    <row r="807" spans="57:70" ht="15.75" customHeight="1">
      <c r="BE807" s="234"/>
      <c r="BQ807" s="46"/>
      <c r="BR807" s="46"/>
    </row>
    <row r="808" spans="57:70" ht="15.75" customHeight="1">
      <c r="BE808" s="234"/>
      <c r="BQ808" s="46"/>
      <c r="BR808" s="46"/>
    </row>
    <row r="809" spans="57:70" ht="15.75" customHeight="1">
      <c r="BE809" s="234"/>
      <c r="BQ809" s="46"/>
      <c r="BR809" s="46"/>
    </row>
    <row r="810" spans="57:70" ht="15.75" customHeight="1">
      <c r="BE810" s="234"/>
      <c r="BQ810" s="46"/>
      <c r="BR810" s="46"/>
    </row>
    <row r="811" spans="57:70" ht="15.75" customHeight="1">
      <c r="BE811" s="234"/>
      <c r="BQ811" s="46"/>
      <c r="BR811" s="46"/>
    </row>
    <row r="812" spans="57:70" ht="15.75" customHeight="1">
      <c r="BE812" s="234"/>
      <c r="BQ812" s="46"/>
      <c r="BR812" s="46"/>
    </row>
    <row r="813" spans="57:70" ht="15.75" customHeight="1">
      <c r="BE813" s="234"/>
      <c r="BQ813" s="46"/>
      <c r="BR813" s="46"/>
    </row>
    <row r="814" spans="57:70" ht="15.75" customHeight="1">
      <c r="BE814" s="234"/>
      <c r="BQ814" s="46"/>
      <c r="BR814" s="46"/>
    </row>
    <row r="815" spans="57:70" ht="15.75" customHeight="1">
      <c r="BE815" s="234"/>
      <c r="BQ815" s="46"/>
      <c r="BR815" s="46"/>
    </row>
    <row r="816" spans="57:70" ht="15.75" customHeight="1">
      <c r="BE816" s="234"/>
      <c r="BQ816" s="46"/>
      <c r="BR816" s="46"/>
    </row>
    <row r="817" spans="57:70" ht="15.75" customHeight="1">
      <c r="BE817" s="234"/>
      <c r="BQ817" s="46"/>
      <c r="BR817" s="46"/>
    </row>
    <row r="818" spans="57:70" ht="15.75" customHeight="1">
      <c r="BE818" s="234"/>
      <c r="BQ818" s="46"/>
      <c r="BR818" s="46"/>
    </row>
    <row r="819" spans="57:70" ht="15.75" customHeight="1">
      <c r="BE819" s="234"/>
      <c r="BQ819" s="46"/>
      <c r="BR819" s="46"/>
    </row>
    <row r="820" spans="57:70" ht="15.75" customHeight="1">
      <c r="BE820" s="234"/>
      <c r="BQ820" s="46"/>
      <c r="BR820" s="46"/>
    </row>
    <row r="821" spans="57:70" ht="15.75" customHeight="1">
      <c r="BE821" s="234"/>
      <c r="BQ821" s="46"/>
      <c r="BR821" s="46"/>
    </row>
    <row r="822" spans="57:70" ht="15.75" customHeight="1">
      <c r="BE822" s="234"/>
      <c r="BQ822" s="46"/>
      <c r="BR822" s="46"/>
    </row>
    <row r="823" spans="57:70" ht="15.75" customHeight="1">
      <c r="BE823" s="234"/>
      <c r="BQ823" s="46"/>
      <c r="BR823" s="46"/>
    </row>
    <row r="824" spans="57:70" ht="15.75" customHeight="1">
      <c r="BE824" s="234"/>
      <c r="BQ824" s="46"/>
      <c r="BR824" s="46"/>
    </row>
    <row r="825" spans="57:70" ht="15.75" customHeight="1">
      <c r="BE825" s="234"/>
      <c r="BQ825" s="46"/>
      <c r="BR825" s="46"/>
    </row>
    <row r="826" spans="57:70" ht="15.75" customHeight="1">
      <c r="BE826" s="234"/>
      <c r="BQ826" s="46"/>
      <c r="BR826" s="46"/>
    </row>
    <row r="827" spans="57:70" ht="15.75" customHeight="1">
      <c r="BE827" s="234"/>
      <c r="BQ827" s="46"/>
      <c r="BR827" s="46"/>
    </row>
    <row r="828" spans="57:70" ht="15.75" customHeight="1">
      <c r="BE828" s="234"/>
      <c r="BQ828" s="46"/>
      <c r="BR828" s="46"/>
    </row>
    <row r="829" spans="57:70" ht="15.75" customHeight="1">
      <c r="BE829" s="234"/>
      <c r="BQ829" s="46"/>
      <c r="BR829" s="46"/>
    </row>
    <row r="830" spans="57:70" ht="15.75" customHeight="1">
      <c r="BE830" s="234"/>
      <c r="BQ830" s="46"/>
      <c r="BR830" s="46"/>
    </row>
    <row r="831" spans="57:70" ht="15.75" customHeight="1">
      <c r="BE831" s="234"/>
      <c r="BQ831" s="46"/>
      <c r="BR831" s="46"/>
    </row>
    <row r="832" spans="57:70" ht="15.75" customHeight="1">
      <c r="BE832" s="234"/>
      <c r="BQ832" s="46"/>
      <c r="BR832" s="46"/>
    </row>
    <row r="833" spans="57:70" ht="15.75" customHeight="1">
      <c r="BE833" s="234"/>
      <c r="BQ833" s="46"/>
      <c r="BR833" s="46"/>
    </row>
    <row r="834" spans="57:70" ht="15.75" customHeight="1">
      <c r="BE834" s="234"/>
      <c r="BQ834" s="46"/>
      <c r="BR834" s="46"/>
    </row>
    <row r="835" spans="57:70" ht="15.75" customHeight="1">
      <c r="BE835" s="234"/>
      <c r="BQ835" s="46"/>
      <c r="BR835" s="46"/>
    </row>
    <row r="836" spans="57:70" ht="15.75" customHeight="1">
      <c r="BE836" s="234"/>
      <c r="BQ836" s="46"/>
      <c r="BR836" s="46"/>
    </row>
    <row r="837" spans="57:70" ht="15.75" customHeight="1">
      <c r="BE837" s="234"/>
      <c r="BQ837" s="46"/>
      <c r="BR837" s="46"/>
    </row>
    <row r="838" spans="57:70" ht="15.75" customHeight="1">
      <c r="BE838" s="234"/>
      <c r="BQ838" s="46"/>
      <c r="BR838" s="46"/>
    </row>
    <row r="839" spans="57:70" ht="15.75" customHeight="1">
      <c r="BE839" s="234"/>
      <c r="BQ839" s="46"/>
      <c r="BR839" s="46"/>
    </row>
    <row r="840" spans="57:70" ht="15.75" customHeight="1">
      <c r="BE840" s="234"/>
      <c r="BQ840" s="46"/>
      <c r="BR840" s="46"/>
    </row>
    <row r="841" spans="57:70" ht="15.75" customHeight="1">
      <c r="BE841" s="234"/>
      <c r="BQ841" s="46"/>
      <c r="BR841" s="46"/>
    </row>
    <row r="842" spans="57:70" ht="15.75" customHeight="1">
      <c r="BE842" s="234"/>
      <c r="BQ842" s="46"/>
      <c r="BR842" s="46"/>
    </row>
    <row r="843" spans="57:70" ht="15.75" customHeight="1">
      <c r="BE843" s="234"/>
      <c r="BQ843" s="46"/>
      <c r="BR843" s="46"/>
    </row>
    <row r="844" spans="57:70" ht="15.75" customHeight="1">
      <c r="BE844" s="234"/>
      <c r="BQ844" s="46"/>
      <c r="BR844" s="46"/>
    </row>
    <row r="845" spans="57:70" ht="15.75" customHeight="1">
      <c r="BE845" s="234"/>
      <c r="BQ845" s="46"/>
      <c r="BR845" s="46"/>
    </row>
    <row r="846" spans="57:70" ht="15.75" customHeight="1">
      <c r="BE846" s="234"/>
      <c r="BQ846" s="46"/>
      <c r="BR846" s="46"/>
    </row>
    <row r="847" spans="57:70" ht="15.75" customHeight="1">
      <c r="BE847" s="234"/>
      <c r="BQ847" s="46"/>
      <c r="BR847" s="46"/>
    </row>
    <row r="848" spans="57:70" ht="15.75" customHeight="1">
      <c r="BE848" s="234"/>
      <c r="BQ848" s="46"/>
      <c r="BR848" s="46"/>
    </row>
    <row r="849" spans="57:70" ht="15.75" customHeight="1">
      <c r="BE849" s="234"/>
      <c r="BQ849" s="46"/>
      <c r="BR849" s="46"/>
    </row>
    <row r="850" spans="57:70" ht="15.75" customHeight="1">
      <c r="BE850" s="234"/>
      <c r="BQ850" s="46"/>
      <c r="BR850" s="46"/>
    </row>
    <row r="851" spans="57:70" ht="15.75" customHeight="1">
      <c r="BE851" s="234"/>
      <c r="BQ851" s="46"/>
      <c r="BR851" s="46"/>
    </row>
    <row r="852" spans="57:70" ht="15.75" customHeight="1">
      <c r="BE852" s="234"/>
      <c r="BQ852" s="46"/>
      <c r="BR852" s="46"/>
    </row>
    <row r="853" spans="57:70" ht="15.75" customHeight="1">
      <c r="BE853" s="234"/>
      <c r="BQ853" s="46"/>
      <c r="BR853" s="46"/>
    </row>
    <row r="854" spans="57:70" ht="15.75" customHeight="1">
      <c r="BE854" s="234"/>
      <c r="BQ854" s="46"/>
      <c r="BR854" s="46"/>
    </row>
    <row r="855" spans="57:70" ht="15.75" customHeight="1">
      <c r="BE855" s="234"/>
      <c r="BQ855" s="46"/>
      <c r="BR855" s="46"/>
    </row>
    <row r="856" spans="57:70" ht="15.75" customHeight="1">
      <c r="BE856" s="234"/>
      <c r="BQ856" s="46"/>
      <c r="BR856" s="46"/>
    </row>
    <row r="857" spans="57:70" ht="15.75" customHeight="1">
      <c r="BE857" s="234"/>
      <c r="BQ857" s="46"/>
      <c r="BR857" s="46"/>
    </row>
    <row r="858" spans="57:70" ht="15.75" customHeight="1">
      <c r="BE858" s="234"/>
      <c r="BQ858" s="46"/>
      <c r="BR858" s="46"/>
    </row>
    <row r="859" spans="57:70" ht="15.75" customHeight="1">
      <c r="BE859" s="234"/>
      <c r="BQ859" s="46"/>
      <c r="BR859" s="46"/>
    </row>
    <row r="860" spans="57:70" ht="15.75" customHeight="1">
      <c r="BE860" s="234"/>
      <c r="BQ860" s="46"/>
      <c r="BR860" s="46"/>
    </row>
    <row r="861" spans="57:70" ht="15.75" customHeight="1">
      <c r="BE861" s="234"/>
      <c r="BQ861" s="46"/>
      <c r="BR861" s="46"/>
    </row>
    <row r="862" spans="57:70" ht="15.75" customHeight="1">
      <c r="BE862" s="234"/>
      <c r="BQ862" s="46"/>
      <c r="BR862" s="46"/>
    </row>
    <row r="863" spans="57:70" ht="15.75" customHeight="1">
      <c r="BE863" s="234"/>
      <c r="BQ863" s="46"/>
      <c r="BR863" s="46"/>
    </row>
    <row r="864" spans="57:70" ht="15.75" customHeight="1">
      <c r="BE864" s="234"/>
      <c r="BQ864" s="46"/>
      <c r="BR864" s="46"/>
    </row>
    <row r="865" spans="57:70" ht="15.75" customHeight="1">
      <c r="BE865" s="234"/>
      <c r="BQ865" s="46"/>
      <c r="BR865" s="46"/>
    </row>
    <row r="866" spans="57:70" ht="15.75" customHeight="1">
      <c r="BE866" s="234"/>
      <c r="BQ866" s="46"/>
      <c r="BR866" s="46"/>
    </row>
    <row r="867" spans="57:70" ht="15.75" customHeight="1">
      <c r="BE867" s="234"/>
      <c r="BQ867" s="46"/>
      <c r="BR867" s="46"/>
    </row>
    <row r="868" spans="57:70" ht="15.75" customHeight="1">
      <c r="BE868" s="234"/>
      <c r="BQ868" s="46"/>
      <c r="BR868" s="46"/>
    </row>
    <row r="869" spans="57:70" ht="15.75" customHeight="1">
      <c r="BE869" s="234"/>
      <c r="BQ869" s="46"/>
      <c r="BR869" s="46"/>
    </row>
    <row r="870" spans="57:70" ht="15.75" customHeight="1">
      <c r="BE870" s="234"/>
      <c r="BQ870" s="46"/>
      <c r="BR870" s="46"/>
    </row>
    <row r="871" spans="57:70" ht="15.75" customHeight="1">
      <c r="BE871" s="234"/>
      <c r="BQ871" s="46"/>
      <c r="BR871" s="46"/>
    </row>
    <row r="872" spans="57:70" ht="15.75" customHeight="1">
      <c r="BE872" s="234"/>
      <c r="BQ872" s="46"/>
      <c r="BR872" s="46"/>
    </row>
    <row r="873" spans="57:70" ht="15.75" customHeight="1">
      <c r="BE873" s="234"/>
      <c r="BQ873" s="46"/>
      <c r="BR873" s="46"/>
    </row>
    <row r="874" spans="57:70" ht="15.75" customHeight="1">
      <c r="BE874" s="234"/>
      <c r="BQ874" s="46"/>
      <c r="BR874" s="46"/>
    </row>
    <row r="875" spans="57:70" ht="15.75" customHeight="1">
      <c r="BE875" s="234"/>
      <c r="BQ875" s="46"/>
      <c r="BR875" s="46"/>
    </row>
    <row r="876" spans="57:70" ht="15.75" customHeight="1">
      <c r="BE876" s="234"/>
      <c r="BQ876" s="46"/>
      <c r="BR876" s="46"/>
    </row>
    <row r="877" spans="57:70" ht="15.75" customHeight="1">
      <c r="BE877" s="234"/>
      <c r="BQ877" s="46"/>
      <c r="BR877" s="46"/>
    </row>
    <row r="878" spans="57:70" ht="15.75" customHeight="1">
      <c r="BE878" s="234"/>
      <c r="BQ878" s="46"/>
      <c r="BR878" s="46"/>
    </row>
    <row r="879" spans="57:70" ht="15.75" customHeight="1">
      <c r="BE879" s="234"/>
      <c r="BQ879" s="46"/>
      <c r="BR879" s="46"/>
    </row>
    <row r="880" spans="57:70" ht="15.75" customHeight="1">
      <c r="BE880" s="234"/>
      <c r="BQ880" s="46"/>
      <c r="BR880" s="46"/>
    </row>
    <row r="881" spans="57:70" ht="15.75" customHeight="1">
      <c r="BE881" s="234"/>
      <c r="BQ881" s="46"/>
      <c r="BR881" s="46"/>
    </row>
    <row r="882" spans="57:70" ht="15.75" customHeight="1">
      <c r="BE882" s="234"/>
      <c r="BQ882" s="46"/>
      <c r="BR882" s="46"/>
    </row>
    <row r="883" spans="57:70" ht="15.75" customHeight="1">
      <c r="BE883" s="234"/>
      <c r="BQ883" s="46"/>
      <c r="BR883" s="46"/>
    </row>
    <row r="884" spans="57:70" ht="15.75" customHeight="1">
      <c r="BE884" s="234"/>
      <c r="BQ884" s="46"/>
      <c r="BR884" s="46"/>
    </row>
    <row r="885" spans="57:70" ht="15.75" customHeight="1">
      <c r="BE885" s="234"/>
      <c r="BQ885" s="46"/>
      <c r="BR885" s="46"/>
    </row>
    <row r="886" spans="57:70" ht="15.75" customHeight="1">
      <c r="BE886" s="234"/>
      <c r="BQ886" s="46"/>
      <c r="BR886" s="46"/>
    </row>
    <row r="887" spans="57:70" ht="15.75" customHeight="1">
      <c r="BE887" s="234"/>
      <c r="BQ887" s="46"/>
      <c r="BR887" s="46"/>
    </row>
    <row r="888" spans="57:70" ht="15.75" customHeight="1">
      <c r="BE888" s="234"/>
      <c r="BQ888" s="46"/>
      <c r="BR888" s="46"/>
    </row>
    <row r="889" spans="57:70" ht="15.75" customHeight="1">
      <c r="BE889" s="234"/>
      <c r="BQ889" s="46"/>
      <c r="BR889" s="46"/>
    </row>
    <row r="890" spans="57:70" ht="15.75" customHeight="1">
      <c r="BE890" s="234"/>
      <c r="BQ890" s="46"/>
      <c r="BR890" s="46"/>
    </row>
    <row r="891" spans="57:70" ht="15.75" customHeight="1">
      <c r="BE891" s="234"/>
      <c r="BQ891" s="46"/>
      <c r="BR891" s="46"/>
    </row>
    <row r="892" spans="57:70" ht="15.75" customHeight="1">
      <c r="BE892" s="234"/>
      <c r="BQ892" s="46"/>
      <c r="BR892" s="46"/>
    </row>
    <row r="893" spans="57:70" ht="15.75" customHeight="1">
      <c r="BE893" s="234"/>
      <c r="BQ893" s="46"/>
      <c r="BR893" s="46"/>
    </row>
    <row r="894" spans="57:70" ht="15.75" customHeight="1">
      <c r="BE894" s="234"/>
      <c r="BQ894" s="46"/>
      <c r="BR894" s="46"/>
    </row>
    <row r="895" spans="57:70" ht="15.75" customHeight="1">
      <c r="BE895" s="234"/>
      <c r="BQ895" s="46"/>
      <c r="BR895" s="46"/>
    </row>
    <row r="896" spans="57:70" ht="15.75" customHeight="1">
      <c r="BE896" s="234"/>
      <c r="BQ896" s="46"/>
      <c r="BR896" s="46"/>
    </row>
    <row r="897" spans="57:70" ht="15.75" customHeight="1">
      <c r="BE897" s="234"/>
      <c r="BQ897" s="46"/>
      <c r="BR897" s="46"/>
    </row>
    <row r="898" spans="57:70" ht="15.75" customHeight="1">
      <c r="BE898" s="234"/>
      <c r="BQ898" s="46"/>
      <c r="BR898" s="46"/>
    </row>
    <row r="899" spans="57:70" ht="15.75" customHeight="1">
      <c r="BE899" s="234"/>
      <c r="BQ899" s="46"/>
      <c r="BR899" s="46"/>
    </row>
    <row r="900" spans="57:70" ht="15.75" customHeight="1">
      <c r="BE900" s="234"/>
      <c r="BQ900" s="46"/>
      <c r="BR900" s="46"/>
    </row>
    <row r="901" spans="57:70" ht="15.75" customHeight="1">
      <c r="BE901" s="234"/>
      <c r="BQ901" s="46"/>
      <c r="BR901" s="46"/>
    </row>
    <row r="902" spans="57:70" ht="15.75" customHeight="1">
      <c r="BE902" s="234"/>
      <c r="BQ902" s="46"/>
      <c r="BR902" s="46"/>
    </row>
    <row r="903" spans="57:70" ht="15.75" customHeight="1">
      <c r="BE903" s="234"/>
      <c r="BQ903" s="46"/>
      <c r="BR903" s="46"/>
    </row>
    <row r="904" spans="57:70" ht="15.75" customHeight="1">
      <c r="BE904" s="234"/>
      <c r="BQ904" s="46"/>
      <c r="BR904" s="46"/>
    </row>
    <row r="905" spans="57:70" ht="15.75" customHeight="1">
      <c r="BE905" s="234"/>
      <c r="BQ905" s="46"/>
      <c r="BR905" s="46"/>
    </row>
    <row r="906" spans="57:70" ht="15.75" customHeight="1">
      <c r="BE906" s="234"/>
      <c r="BQ906" s="46"/>
      <c r="BR906" s="46"/>
    </row>
    <row r="907" spans="57:70" ht="15.75" customHeight="1">
      <c r="BE907" s="234"/>
      <c r="BQ907" s="46"/>
      <c r="BR907" s="46"/>
    </row>
    <row r="908" spans="57:70" ht="15.75" customHeight="1">
      <c r="BE908" s="234"/>
      <c r="BQ908" s="46"/>
      <c r="BR908" s="46"/>
    </row>
    <row r="909" spans="57:70" ht="15.75" customHeight="1">
      <c r="BE909" s="234"/>
      <c r="BQ909" s="46"/>
      <c r="BR909" s="46"/>
    </row>
    <row r="910" spans="57:70" ht="15.75" customHeight="1">
      <c r="BE910" s="234"/>
      <c r="BQ910" s="46"/>
      <c r="BR910" s="46"/>
    </row>
    <row r="911" spans="57:70" ht="15.75" customHeight="1">
      <c r="BE911" s="234"/>
      <c r="BQ911" s="46"/>
      <c r="BR911" s="46"/>
    </row>
    <row r="912" spans="57:70" ht="15.75" customHeight="1">
      <c r="BE912" s="234"/>
      <c r="BQ912" s="46"/>
      <c r="BR912" s="46"/>
    </row>
    <row r="913" spans="57:70" ht="15.75" customHeight="1">
      <c r="BE913" s="234"/>
      <c r="BQ913" s="46"/>
      <c r="BR913" s="46"/>
    </row>
    <row r="914" spans="57:70" ht="15.75" customHeight="1">
      <c r="BE914" s="234"/>
      <c r="BQ914" s="46"/>
      <c r="BR914" s="46"/>
    </row>
    <row r="915" spans="57:70" ht="15.75" customHeight="1">
      <c r="BE915" s="234"/>
      <c r="BQ915" s="46"/>
      <c r="BR915" s="46"/>
    </row>
    <row r="916" spans="57:70" ht="15.75" customHeight="1">
      <c r="BE916" s="234"/>
      <c r="BQ916" s="46"/>
      <c r="BR916" s="46"/>
    </row>
    <row r="917" spans="57:70" ht="15.75" customHeight="1">
      <c r="BE917" s="234"/>
      <c r="BQ917" s="46"/>
      <c r="BR917" s="46"/>
    </row>
    <row r="918" spans="57:70" ht="15.75" customHeight="1">
      <c r="BE918" s="234"/>
      <c r="BQ918" s="46"/>
      <c r="BR918" s="46"/>
    </row>
    <row r="919" spans="57:70" ht="15.75" customHeight="1">
      <c r="BE919" s="234"/>
      <c r="BQ919" s="46"/>
      <c r="BR919" s="46"/>
    </row>
    <row r="920" spans="57:70" ht="15.75" customHeight="1">
      <c r="BE920" s="234"/>
      <c r="BQ920" s="46"/>
      <c r="BR920" s="46"/>
    </row>
    <row r="921" spans="57:70" ht="15.75" customHeight="1">
      <c r="BE921" s="234"/>
      <c r="BQ921" s="46"/>
      <c r="BR921" s="46"/>
    </row>
    <row r="922" spans="57:70" ht="15.75" customHeight="1">
      <c r="BE922" s="234"/>
      <c r="BQ922" s="46"/>
      <c r="BR922" s="46"/>
    </row>
    <row r="923" spans="57:70" ht="15.75" customHeight="1">
      <c r="BE923" s="234"/>
      <c r="BQ923" s="46"/>
      <c r="BR923" s="46"/>
    </row>
    <row r="924" spans="57:70" ht="15.75" customHeight="1">
      <c r="BE924" s="234"/>
      <c r="BQ924" s="46"/>
      <c r="BR924" s="46"/>
    </row>
    <row r="925" spans="57:70" ht="15.75" customHeight="1">
      <c r="BE925" s="234"/>
      <c r="BQ925" s="46"/>
      <c r="BR925" s="46"/>
    </row>
    <row r="926" spans="57:70" ht="15.75" customHeight="1">
      <c r="BE926" s="234"/>
      <c r="BQ926" s="46"/>
      <c r="BR926" s="46"/>
    </row>
    <row r="927" spans="57:70" ht="15.75" customHeight="1">
      <c r="BE927" s="234"/>
      <c r="BQ927" s="46"/>
      <c r="BR927" s="46"/>
    </row>
    <row r="928" spans="57:70" ht="15.75" customHeight="1">
      <c r="BE928" s="234"/>
      <c r="BQ928" s="46"/>
      <c r="BR928" s="46"/>
    </row>
    <row r="929" spans="57:70" ht="15.75" customHeight="1">
      <c r="BE929" s="234"/>
      <c r="BQ929" s="46"/>
      <c r="BR929" s="46"/>
    </row>
    <row r="930" spans="57:70" ht="15.75" customHeight="1">
      <c r="BE930" s="234"/>
      <c r="BQ930" s="46"/>
      <c r="BR930" s="46"/>
    </row>
    <row r="931" spans="57:70" ht="15.75" customHeight="1">
      <c r="BE931" s="234"/>
      <c r="BQ931" s="46"/>
      <c r="BR931" s="46"/>
    </row>
    <row r="932" spans="57:70" ht="15.75" customHeight="1">
      <c r="BE932" s="234"/>
      <c r="BQ932" s="46"/>
      <c r="BR932" s="46"/>
    </row>
    <row r="933" spans="57:70" ht="15.75" customHeight="1">
      <c r="BE933" s="234"/>
      <c r="BQ933" s="46"/>
      <c r="BR933" s="46"/>
    </row>
    <row r="934" spans="57:70" ht="15.75" customHeight="1">
      <c r="BE934" s="234"/>
      <c r="BQ934" s="46"/>
      <c r="BR934" s="46"/>
    </row>
    <row r="935" spans="57:70" ht="15.75" customHeight="1">
      <c r="BE935" s="234"/>
      <c r="BQ935" s="46"/>
      <c r="BR935" s="46"/>
    </row>
    <row r="936" spans="57:70" ht="15.75" customHeight="1">
      <c r="BE936" s="234"/>
      <c r="BQ936" s="46"/>
      <c r="BR936" s="46"/>
    </row>
    <row r="937" spans="57:70" ht="15.75" customHeight="1">
      <c r="BE937" s="234"/>
      <c r="BQ937" s="46"/>
      <c r="BR937" s="46"/>
    </row>
    <row r="938" spans="57:70" ht="15.75" customHeight="1">
      <c r="BE938" s="234"/>
      <c r="BQ938" s="46"/>
      <c r="BR938" s="46"/>
    </row>
    <row r="939" spans="57:70" ht="15.75" customHeight="1">
      <c r="BE939" s="234"/>
      <c r="BQ939" s="46"/>
      <c r="BR939" s="46"/>
    </row>
    <row r="940" spans="57:70" ht="15.75" customHeight="1">
      <c r="BE940" s="234"/>
      <c r="BQ940" s="46"/>
      <c r="BR940" s="46"/>
    </row>
    <row r="941" spans="57:70" ht="15.75" customHeight="1">
      <c r="BE941" s="234"/>
      <c r="BQ941" s="46"/>
      <c r="BR941" s="46"/>
    </row>
    <row r="942" spans="57:70" ht="15.75" customHeight="1">
      <c r="BE942" s="234"/>
      <c r="BQ942" s="46"/>
      <c r="BR942" s="46"/>
    </row>
    <row r="943" spans="57:70" ht="15.75" customHeight="1">
      <c r="BE943" s="234"/>
      <c r="BQ943" s="46"/>
      <c r="BR943" s="46"/>
    </row>
    <row r="944" spans="57:70" ht="15.75" customHeight="1">
      <c r="BE944" s="234"/>
      <c r="BQ944" s="46"/>
      <c r="BR944" s="46"/>
    </row>
    <row r="945" spans="57:70" ht="15.75" customHeight="1">
      <c r="BE945" s="234"/>
      <c r="BQ945" s="46"/>
      <c r="BR945" s="46"/>
    </row>
    <row r="946" spans="57:70" ht="15.75" customHeight="1">
      <c r="BE946" s="234"/>
      <c r="BQ946" s="46"/>
      <c r="BR946" s="46"/>
    </row>
    <row r="947" spans="57:70" ht="15.75" customHeight="1">
      <c r="BE947" s="234"/>
      <c r="BQ947" s="46"/>
      <c r="BR947" s="46"/>
    </row>
    <row r="948" spans="57:70" ht="15.75" customHeight="1">
      <c r="BE948" s="234"/>
      <c r="BQ948" s="46"/>
      <c r="BR948" s="46"/>
    </row>
    <row r="949" spans="57:70" ht="15.75" customHeight="1">
      <c r="BE949" s="234"/>
      <c r="BQ949" s="46"/>
      <c r="BR949" s="46"/>
    </row>
    <row r="950" spans="57:70" ht="15.75" customHeight="1">
      <c r="BE950" s="234"/>
      <c r="BQ950" s="46"/>
      <c r="BR950" s="46"/>
    </row>
    <row r="951" spans="57:70" ht="15.75" customHeight="1">
      <c r="BE951" s="234"/>
      <c r="BQ951" s="46"/>
      <c r="BR951" s="46"/>
    </row>
    <row r="952" spans="57:70" ht="15.75" customHeight="1">
      <c r="BE952" s="234"/>
      <c r="BQ952" s="46"/>
      <c r="BR952" s="46"/>
    </row>
    <row r="953" spans="57:70" ht="15.75" customHeight="1">
      <c r="BE953" s="234"/>
      <c r="BQ953" s="46"/>
      <c r="BR953" s="46"/>
    </row>
    <row r="954" spans="57:70" ht="15.75" customHeight="1">
      <c r="BE954" s="234"/>
      <c r="BQ954" s="46"/>
      <c r="BR954" s="46"/>
    </row>
    <row r="955" spans="57:70" ht="15.75" customHeight="1">
      <c r="BE955" s="234"/>
      <c r="BQ955" s="46"/>
      <c r="BR955" s="46"/>
    </row>
    <row r="956" spans="57:70" ht="15.75" customHeight="1">
      <c r="BE956" s="234"/>
      <c r="BQ956" s="46"/>
      <c r="BR956" s="46"/>
    </row>
    <row r="957" spans="57:70" ht="15.75" customHeight="1">
      <c r="BE957" s="234"/>
      <c r="BQ957" s="46"/>
      <c r="BR957" s="46"/>
    </row>
    <row r="958" spans="57:70" ht="15.75" customHeight="1">
      <c r="BE958" s="234"/>
      <c r="BQ958" s="46"/>
      <c r="BR958" s="46"/>
    </row>
    <row r="959" spans="57:70" ht="15.75" customHeight="1">
      <c r="BE959" s="234"/>
      <c r="BQ959" s="46"/>
      <c r="BR959" s="46"/>
    </row>
    <row r="960" spans="57:70" ht="15.75" customHeight="1">
      <c r="BE960" s="234"/>
      <c r="BQ960" s="46"/>
      <c r="BR960" s="46"/>
    </row>
    <row r="961" spans="57:70" ht="15.75" customHeight="1">
      <c r="BE961" s="234"/>
      <c r="BQ961" s="46"/>
      <c r="BR961" s="46"/>
    </row>
    <row r="962" spans="57:70" ht="15.75" customHeight="1">
      <c r="BE962" s="234"/>
      <c r="BQ962" s="46"/>
      <c r="BR962" s="46"/>
    </row>
    <row r="963" spans="57:70" ht="15.75" customHeight="1">
      <c r="BE963" s="234"/>
      <c r="BQ963" s="46"/>
      <c r="BR963" s="46"/>
    </row>
    <row r="964" spans="57:70" ht="15.75" customHeight="1">
      <c r="BE964" s="234"/>
      <c r="BQ964" s="46"/>
      <c r="BR964" s="46"/>
    </row>
    <row r="965" spans="57:70" ht="15.75" customHeight="1">
      <c r="BE965" s="234"/>
      <c r="BQ965" s="46"/>
      <c r="BR965" s="46"/>
    </row>
    <row r="966" spans="57:70" ht="15.75" customHeight="1">
      <c r="BE966" s="234"/>
      <c r="BQ966" s="46"/>
      <c r="BR966" s="46"/>
    </row>
    <row r="967" spans="57:70" ht="15.75" customHeight="1">
      <c r="BE967" s="234"/>
      <c r="BQ967" s="46"/>
      <c r="BR967" s="46"/>
    </row>
    <row r="968" spans="57:70" ht="15.75" customHeight="1">
      <c r="BE968" s="234"/>
      <c r="BQ968" s="46"/>
      <c r="BR968" s="46"/>
    </row>
    <row r="969" spans="57:70" ht="15.75" customHeight="1">
      <c r="BE969" s="234"/>
      <c r="BQ969" s="46"/>
      <c r="BR969" s="46"/>
    </row>
    <row r="970" spans="57:70" ht="15.75" customHeight="1">
      <c r="BE970" s="234"/>
      <c r="BQ970" s="46"/>
      <c r="BR970" s="46"/>
    </row>
    <row r="971" spans="57:70" ht="15.75" customHeight="1">
      <c r="BE971" s="234"/>
      <c r="BQ971" s="46"/>
      <c r="BR971" s="46"/>
    </row>
    <row r="972" spans="57:70" ht="15.75" customHeight="1">
      <c r="BE972" s="234"/>
      <c r="BQ972" s="46"/>
      <c r="BR972" s="46"/>
    </row>
    <row r="973" spans="57:70" ht="15.75" customHeight="1">
      <c r="BE973" s="234"/>
      <c r="BQ973" s="46"/>
      <c r="BR973" s="46"/>
    </row>
    <row r="974" spans="57:70" ht="15.75" customHeight="1">
      <c r="BE974" s="234"/>
      <c r="BQ974" s="46"/>
      <c r="BR974" s="46"/>
    </row>
    <row r="975" spans="57:70" ht="15.75" customHeight="1">
      <c r="BE975" s="234"/>
      <c r="BQ975" s="46"/>
      <c r="BR975" s="46"/>
    </row>
    <row r="976" spans="57:70" ht="15.75" customHeight="1">
      <c r="BE976" s="234"/>
      <c r="BQ976" s="46"/>
      <c r="BR976" s="46"/>
    </row>
    <row r="977" spans="57:70" ht="15.75" customHeight="1">
      <c r="BE977" s="234"/>
      <c r="BQ977" s="46"/>
      <c r="BR977" s="46"/>
    </row>
    <row r="978" spans="57:70" ht="15.75" customHeight="1">
      <c r="BE978" s="234"/>
      <c r="BQ978" s="46"/>
      <c r="BR978" s="46"/>
    </row>
    <row r="979" spans="57:70" ht="15.75" customHeight="1">
      <c r="BE979" s="234"/>
      <c r="BQ979" s="46"/>
      <c r="BR979" s="46"/>
    </row>
    <row r="980" spans="57:70" ht="15.75" customHeight="1">
      <c r="BE980" s="234"/>
      <c r="BQ980" s="46"/>
      <c r="BR980" s="46"/>
    </row>
    <row r="981" spans="57:70" ht="15.75" customHeight="1">
      <c r="BE981" s="234"/>
      <c r="BQ981" s="46"/>
      <c r="BR981" s="46"/>
    </row>
    <row r="982" spans="57:70" ht="15.75" customHeight="1">
      <c r="BE982" s="234"/>
      <c r="BQ982" s="46"/>
      <c r="BR982" s="46"/>
    </row>
    <row r="983" spans="57:70" ht="15.75" customHeight="1">
      <c r="BE983" s="234"/>
      <c r="BQ983" s="46"/>
      <c r="BR983" s="46"/>
    </row>
    <row r="984" spans="57:70" ht="15.75" customHeight="1">
      <c r="BE984" s="234"/>
      <c r="BQ984" s="46"/>
      <c r="BR984" s="46"/>
    </row>
    <row r="985" spans="57:70" ht="15.75" customHeight="1">
      <c r="BE985" s="234"/>
      <c r="BQ985" s="46"/>
      <c r="BR985" s="46"/>
    </row>
    <row r="986" spans="57:70" ht="15.75" customHeight="1">
      <c r="BE986" s="234"/>
      <c r="BQ986" s="46"/>
      <c r="BR986" s="46"/>
    </row>
    <row r="987" spans="57:70" ht="15.75" customHeight="1">
      <c r="BE987" s="234"/>
      <c r="BQ987" s="46"/>
      <c r="BR987" s="46"/>
    </row>
    <row r="988" spans="57:70" ht="15.75" customHeight="1">
      <c r="BE988" s="234"/>
      <c r="BQ988" s="46"/>
      <c r="BR988" s="46"/>
    </row>
    <row r="989" spans="57:70" ht="15.75" customHeight="1">
      <c r="BE989" s="234"/>
      <c r="BQ989" s="46"/>
      <c r="BR989" s="46"/>
    </row>
    <row r="990" spans="57:70" ht="15.75" customHeight="1">
      <c r="BE990" s="234"/>
      <c r="BQ990" s="46"/>
      <c r="BR990" s="46"/>
    </row>
    <row r="991" spans="57:70" ht="15.75" customHeight="1">
      <c r="BE991" s="234"/>
      <c r="BQ991" s="46"/>
      <c r="BR991" s="46"/>
    </row>
    <row r="992" spans="57:70" ht="15.75" customHeight="1">
      <c r="BE992" s="234"/>
      <c r="BQ992" s="46"/>
      <c r="BR992" s="46"/>
    </row>
    <row r="993" spans="57:70" ht="15.75" customHeight="1">
      <c r="BE993" s="234"/>
      <c r="BQ993" s="46"/>
      <c r="BR993" s="46"/>
    </row>
    <row r="994" spans="57:70" ht="15.75" customHeight="1">
      <c r="BE994" s="234"/>
      <c r="BQ994" s="46"/>
      <c r="BR994" s="46"/>
    </row>
    <row r="995" spans="57:70" ht="15.75" customHeight="1">
      <c r="BE995" s="234"/>
      <c r="BQ995" s="46"/>
      <c r="BR995" s="46"/>
    </row>
    <row r="996" spans="57:70" ht="15.75" customHeight="1">
      <c r="BE996" s="234"/>
      <c r="BQ996" s="46"/>
      <c r="BR996" s="46"/>
    </row>
    <row r="997" spans="57:70" ht="15.75" customHeight="1">
      <c r="BE997" s="234"/>
      <c r="BQ997" s="46"/>
      <c r="BR997" s="46"/>
    </row>
    <row r="998" spans="57:70" ht="15.75" customHeight="1">
      <c r="BE998" s="234"/>
      <c r="BQ998" s="46"/>
      <c r="BR998" s="46"/>
    </row>
    <row r="999" spans="57:70" ht="15.75" customHeight="1">
      <c r="BE999" s="234"/>
      <c r="BQ999" s="46"/>
      <c r="BR999" s="46"/>
    </row>
    <row r="1000" spans="57:70" ht="15.75" customHeight="1">
      <c r="BE1000" s="234"/>
      <c r="BQ1000" s="46"/>
      <c r="BR1000" s="46"/>
    </row>
  </sheetData>
  <mergeCells count="28">
    <mergeCell ref="BM7:BM8"/>
    <mergeCell ref="BN7:BN8"/>
    <mergeCell ref="BF3:BF4"/>
    <mergeCell ref="BG3:BG4"/>
    <mergeCell ref="BJ7:BJ8"/>
    <mergeCell ref="BK7:BK8"/>
    <mergeCell ref="BL7:BL8"/>
    <mergeCell ref="BJ6:BR6"/>
    <mergeCell ref="BS6:BY6"/>
    <mergeCell ref="A1:BG1"/>
    <mergeCell ref="A2:BG2"/>
    <mergeCell ref="BI2:BI53"/>
    <mergeCell ref="A3:C3"/>
    <mergeCell ref="BD3:BD4"/>
    <mergeCell ref="BE3:BE4"/>
    <mergeCell ref="BH3:BH4"/>
    <mergeCell ref="BO7:BO8"/>
    <mergeCell ref="BP7:BP8"/>
    <mergeCell ref="BQ7:BQ8"/>
    <mergeCell ref="BR7:BR8"/>
    <mergeCell ref="BT7:BV7"/>
    <mergeCell ref="BW7:BW8"/>
    <mergeCell ref="BY7:BY8"/>
    <mergeCell ref="BJ2:BY2"/>
    <mergeCell ref="BJ3:BY3"/>
    <mergeCell ref="BJ4:BY4"/>
    <mergeCell ref="BJ5:BR5"/>
    <mergeCell ref="BS5:BY5"/>
  </mergeCells>
  <conditionalFormatting sqref="BO9:BO66">
    <cfRule type="cellIs" dxfId="5" priority="1" operator="lessThan">
      <formula>75</formula>
    </cfRule>
  </conditionalFormatting>
  <conditionalFormatting sqref="BY9:BY66">
    <cfRule type="cellIs" dxfId="4" priority="2" operator="lessThan">
      <formula>16</formula>
    </cfRule>
  </conditionalFormatting>
  <pageMargins left="0.25" right="0.25" top="0.75" bottom="0.75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Y1000"/>
  <sheetViews>
    <sheetView workbookViewId="0"/>
  </sheetViews>
  <sheetFormatPr defaultColWidth="14.44140625" defaultRowHeight="15" customHeight="1"/>
  <cols>
    <col min="1" max="1" width="5.33203125" customWidth="1"/>
    <col min="2" max="2" width="12.5546875" customWidth="1"/>
    <col min="3" max="3" width="34.33203125" customWidth="1"/>
    <col min="4" max="4" width="7.33203125" customWidth="1"/>
    <col min="5" max="28" width="4.6640625" customWidth="1"/>
    <col min="29" max="29" width="5" customWidth="1"/>
    <col min="30" max="30" width="6.6640625" customWidth="1"/>
    <col min="31" max="31" width="6.88671875" customWidth="1"/>
    <col min="32" max="32" width="7" customWidth="1"/>
    <col min="33" max="35" width="8.6640625" customWidth="1"/>
    <col min="36" max="36" width="17.6640625" customWidth="1"/>
    <col min="37" max="37" width="26.6640625" customWidth="1"/>
    <col min="38" max="38" width="18.109375" customWidth="1"/>
    <col min="39" max="39" width="21.6640625" customWidth="1"/>
    <col min="40" max="40" width="14.44140625" customWidth="1"/>
    <col min="41" max="41" width="14" customWidth="1"/>
    <col min="42" max="42" width="15.5546875" customWidth="1"/>
    <col min="43" max="43" width="19.88671875" customWidth="1"/>
    <col min="44" max="44" width="18.33203125" customWidth="1"/>
  </cols>
  <sheetData>
    <row r="1" spans="1:51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24"/>
      <c r="AG1" s="24"/>
      <c r="AH1" s="24"/>
      <c r="AI1" s="369" t="s">
        <v>93</v>
      </c>
      <c r="AJ1" s="358"/>
      <c r="AK1" s="358"/>
      <c r="AL1" s="358"/>
      <c r="AM1" s="358"/>
      <c r="AN1" s="358"/>
      <c r="AO1" s="358"/>
      <c r="AP1" s="358"/>
      <c r="AQ1" s="358"/>
      <c r="AR1" s="358"/>
      <c r="AS1" s="358"/>
      <c r="AT1" s="165"/>
      <c r="AU1" s="165"/>
      <c r="AV1" s="165"/>
      <c r="AW1" s="165"/>
      <c r="AX1" s="165"/>
      <c r="AY1" s="166"/>
    </row>
    <row r="2" spans="1:51" ht="18">
      <c r="A2" s="397" t="s">
        <v>166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24"/>
      <c r="AG2" s="24"/>
      <c r="AH2" s="24"/>
      <c r="AI2" s="370" t="s">
        <v>101</v>
      </c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165"/>
      <c r="AU2" s="165"/>
      <c r="AV2" s="165"/>
      <c r="AW2" s="165"/>
      <c r="AX2" s="165"/>
      <c r="AY2" s="166"/>
    </row>
    <row r="3" spans="1:51" ht="69.75" customHeight="1">
      <c r="A3" s="375" t="s">
        <v>1</v>
      </c>
      <c r="B3" s="358"/>
      <c r="C3" s="359"/>
      <c r="D3" s="92"/>
      <c r="E3" s="92"/>
      <c r="F3" s="92"/>
      <c r="G3" s="92"/>
      <c r="H3" s="92"/>
      <c r="I3" s="92"/>
      <c r="J3" s="92"/>
      <c r="K3" s="91"/>
      <c r="L3" s="91"/>
      <c r="M3" s="92"/>
      <c r="N3" s="92"/>
      <c r="O3" s="92"/>
      <c r="P3" s="92"/>
      <c r="Q3" s="92"/>
      <c r="R3" s="235"/>
      <c r="S3" s="92"/>
      <c r="T3" s="92"/>
      <c r="U3" s="92"/>
      <c r="V3" s="92"/>
      <c r="W3" s="92"/>
      <c r="X3" s="92"/>
      <c r="Y3" s="92"/>
      <c r="Z3" s="92"/>
      <c r="AA3" s="92"/>
      <c r="AB3" s="92"/>
      <c r="AC3" s="376" t="s">
        <v>96</v>
      </c>
      <c r="AD3" s="376" t="s">
        <v>97</v>
      </c>
      <c r="AE3" s="376" t="s">
        <v>98</v>
      </c>
      <c r="AF3" s="376" t="s">
        <v>99</v>
      </c>
      <c r="AG3" s="378" t="s">
        <v>100</v>
      </c>
      <c r="AH3" s="24"/>
      <c r="AI3" s="370" t="s">
        <v>102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165"/>
      <c r="AU3" s="165"/>
      <c r="AV3" s="165"/>
      <c r="AW3" s="165"/>
      <c r="AX3" s="165"/>
      <c r="AY3" s="166"/>
    </row>
    <row r="4" spans="1:51" ht="14.4">
      <c r="A4" s="236" t="s">
        <v>12</v>
      </c>
      <c r="B4" s="237" t="s">
        <v>13</v>
      </c>
      <c r="C4" s="237" t="s">
        <v>14</v>
      </c>
      <c r="D4" s="124">
        <v>1</v>
      </c>
      <c r="E4" s="124">
        <v>2</v>
      </c>
      <c r="F4" s="124">
        <v>3</v>
      </c>
      <c r="G4" s="124">
        <v>4</v>
      </c>
      <c r="H4" s="124">
        <v>5</v>
      </c>
      <c r="I4" s="124">
        <v>6</v>
      </c>
      <c r="J4" s="124">
        <v>7</v>
      </c>
      <c r="K4" s="124">
        <v>8</v>
      </c>
      <c r="L4" s="124">
        <v>9</v>
      </c>
      <c r="M4" s="124">
        <v>10</v>
      </c>
      <c r="N4" s="124">
        <v>11</v>
      </c>
      <c r="O4" s="124">
        <v>12</v>
      </c>
      <c r="P4" s="124">
        <v>13</v>
      </c>
      <c r="Q4" s="124">
        <v>14</v>
      </c>
      <c r="R4" s="124">
        <v>15</v>
      </c>
      <c r="S4" s="124">
        <v>16</v>
      </c>
      <c r="T4" s="124">
        <v>17</v>
      </c>
      <c r="U4" s="124">
        <v>18</v>
      </c>
      <c r="V4" s="124">
        <v>19</v>
      </c>
      <c r="W4" s="124">
        <v>20</v>
      </c>
      <c r="X4" s="124">
        <v>21</v>
      </c>
      <c r="Y4" s="124">
        <v>22</v>
      </c>
      <c r="Z4" s="124">
        <v>23</v>
      </c>
      <c r="AA4" s="124">
        <v>24</v>
      </c>
      <c r="AB4" s="124">
        <v>25</v>
      </c>
      <c r="AC4" s="377"/>
      <c r="AD4" s="377"/>
      <c r="AE4" s="377"/>
      <c r="AF4" s="377"/>
      <c r="AG4" s="377"/>
      <c r="AH4" s="24"/>
      <c r="AI4" s="371" t="s">
        <v>103</v>
      </c>
      <c r="AJ4" s="358"/>
      <c r="AK4" s="358"/>
      <c r="AL4" s="358"/>
      <c r="AM4" s="358"/>
      <c r="AN4" s="358"/>
      <c r="AO4" s="358"/>
      <c r="AP4" s="393" t="s">
        <v>104</v>
      </c>
      <c r="AQ4" s="358"/>
      <c r="AR4" s="358"/>
      <c r="AS4" s="358"/>
      <c r="AT4" s="238"/>
      <c r="AU4" s="238"/>
      <c r="AV4" s="238"/>
      <c r="AW4" s="238"/>
      <c r="AX4" s="238"/>
      <c r="AY4" s="239"/>
    </row>
    <row r="5" spans="1:51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113"/>
      <c r="E5" s="113"/>
      <c r="F5" s="113"/>
      <c r="G5" s="113"/>
      <c r="H5" s="113"/>
      <c r="I5" s="113"/>
      <c r="J5" s="96"/>
      <c r="K5" s="96"/>
      <c r="L5" s="96"/>
      <c r="M5" s="96"/>
      <c r="N5" s="96"/>
      <c r="O5" s="123"/>
      <c r="P5" s="113"/>
      <c r="Q5" s="132"/>
      <c r="R5" s="113"/>
      <c r="S5" s="113"/>
      <c r="T5" s="123"/>
      <c r="U5" s="123"/>
      <c r="V5" s="113"/>
      <c r="W5" s="113"/>
      <c r="X5" s="113"/>
      <c r="Y5" s="113"/>
      <c r="Z5" s="113"/>
      <c r="AA5" s="113"/>
      <c r="AB5" s="113"/>
      <c r="AC5" s="88">
        <v>27</v>
      </c>
      <c r="AD5" s="140">
        <v>1</v>
      </c>
      <c r="AE5" s="88">
        <f t="shared" ref="AE5:AE62" si="0">AC5+AD5</f>
        <v>28</v>
      </c>
      <c r="AF5" s="88">
        <v>41</v>
      </c>
      <c r="AG5" s="101">
        <f t="shared" ref="AG5:AG62" si="1">AE5/AF5</f>
        <v>0.68292682926829273</v>
      </c>
      <c r="AH5" s="24"/>
      <c r="AI5" s="371" t="s">
        <v>167</v>
      </c>
      <c r="AJ5" s="358"/>
      <c r="AK5" s="358"/>
      <c r="AL5" s="358"/>
      <c r="AM5" s="358"/>
      <c r="AN5" s="358"/>
      <c r="AO5" s="359"/>
      <c r="AP5" s="371" t="s">
        <v>168</v>
      </c>
      <c r="AQ5" s="358"/>
      <c r="AR5" s="358"/>
      <c r="AS5" s="359"/>
    </row>
    <row r="6" spans="1:51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113"/>
      <c r="E6" s="113"/>
      <c r="F6" s="113"/>
      <c r="G6" s="113"/>
      <c r="H6" s="113"/>
      <c r="I6" s="113"/>
      <c r="J6" s="96"/>
      <c r="K6" s="96"/>
      <c r="L6" s="96"/>
      <c r="M6" s="96"/>
      <c r="N6" s="96"/>
      <c r="O6" s="156"/>
      <c r="P6" s="186"/>
      <c r="Q6" s="132"/>
      <c r="R6" s="113"/>
      <c r="S6" s="113"/>
      <c r="T6" s="156"/>
      <c r="U6" s="156"/>
      <c r="V6" s="113"/>
      <c r="W6" s="113"/>
      <c r="X6" s="113"/>
      <c r="Y6" s="113"/>
      <c r="Z6" s="113"/>
      <c r="AA6" s="113"/>
      <c r="AB6" s="113"/>
      <c r="AC6" s="88">
        <v>29</v>
      </c>
      <c r="AD6" s="141"/>
      <c r="AE6" s="88">
        <f t="shared" si="0"/>
        <v>29</v>
      </c>
      <c r="AF6" s="88">
        <v>41</v>
      </c>
      <c r="AG6" s="101">
        <f t="shared" si="1"/>
        <v>0.70731707317073167</v>
      </c>
      <c r="AH6" s="24"/>
      <c r="AI6" s="398" t="s">
        <v>169</v>
      </c>
      <c r="AJ6" s="398" t="s">
        <v>170</v>
      </c>
      <c r="AK6" s="398" t="s">
        <v>171</v>
      </c>
      <c r="AL6" s="398" t="s">
        <v>172</v>
      </c>
      <c r="AM6" s="398" t="s">
        <v>173</v>
      </c>
      <c r="AN6" s="398" t="s">
        <v>174</v>
      </c>
      <c r="AO6" s="398" t="s">
        <v>175</v>
      </c>
      <c r="AP6" s="398" t="s">
        <v>176</v>
      </c>
      <c r="AQ6" s="398" t="s">
        <v>177</v>
      </c>
      <c r="AR6" s="399">
        <f>AVERAGE(D75:AB75)</f>
        <v>4.9130434782608692</v>
      </c>
      <c r="AS6" s="398" t="s">
        <v>178</v>
      </c>
    </row>
    <row r="7" spans="1:51" ht="23.25" customHeight="1">
      <c r="A7" s="105" t="s">
        <v>179</v>
      </c>
      <c r="B7" s="105">
        <f>OVERALL!B6</f>
        <v>2301238</v>
      </c>
      <c r="C7" s="106" t="str">
        <f>OVERALL!C6</f>
        <v>Md Warish Chesam</v>
      </c>
      <c r="D7" s="113"/>
      <c r="E7" s="113"/>
      <c r="F7" s="113"/>
      <c r="G7" s="113"/>
      <c r="H7" s="113"/>
      <c r="I7" s="113"/>
      <c r="J7" s="96"/>
      <c r="K7" s="96"/>
      <c r="L7" s="96"/>
      <c r="M7" s="96"/>
      <c r="N7" s="96"/>
      <c r="O7" s="156"/>
      <c r="P7" s="186"/>
      <c r="Q7" s="132"/>
      <c r="R7" s="113"/>
      <c r="S7" s="113"/>
      <c r="T7" s="156"/>
      <c r="U7" s="156"/>
      <c r="V7" s="113"/>
      <c r="W7" s="113"/>
      <c r="X7" s="113"/>
      <c r="Y7" s="113"/>
      <c r="Z7" s="113"/>
      <c r="AA7" s="113"/>
      <c r="AB7" s="113"/>
      <c r="AC7" s="88">
        <v>34</v>
      </c>
      <c r="AD7" s="146"/>
      <c r="AE7" s="88">
        <f t="shared" si="0"/>
        <v>34</v>
      </c>
      <c r="AF7" s="88">
        <v>41</v>
      </c>
      <c r="AG7" s="101">
        <f t="shared" si="1"/>
        <v>0.82926829268292679</v>
      </c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</row>
    <row r="8" spans="1:51" ht="25.5" customHeight="1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113"/>
      <c r="E8" s="113"/>
      <c r="F8" s="113"/>
      <c r="G8" s="113"/>
      <c r="H8" s="113"/>
      <c r="I8" s="113"/>
      <c r="J8" s="96"/>
      <c r="K8" s="96"/>
      <c r="L8" s="96"/>
      <c r="M8" s="96"/>
      <c r="N8" s="96"/>
      <c r="O8" s="156"/>
      <c r="P8" s="186"/>
      <c r="Q8" s="132"/>
      <c r="R8" s="113"/>
      <c r="S8" s="113"/>
      <c r="T8" s="156"/>
      <c r="U8" s="156"/>
      <c r="V8" s="113"/>
      <c r="W8" s="113"/>
      <c r="X8" s="113"/>
      <c r="Y8" s="113"/>
      <c r="Z8" s="113"/>
      <c r="AA8" s="113"/>
      <c r="AB8" s="113"/>
      <c r="AC8" s="240">
        <v>0</v>
      </c>
      <c r="AD8" s="142"/>
      <c r="AE8" s="88">
        <f t="shared" si="0"/>
        <v>0</v>
      </c>
      <c r="AF8" s="88">
        <v>41</v>
      </c>
      <c r="AG8" s="101">
        <f t="shared" si="1"/>
        <v>0</v>
      </c>
      <c r="AI8" s="241">
        <f>OVERALL!A4</f>
        <v>1</v>
      </c>
      <c r="AJ8" s="242">
        <f>OVERALL!B4</f>
        <v>2301236</v>
      </c>
      <c r="AK8" s="243" t="str">
        <f>OVERALL!C4</f>
        <v>Manmohan Singh</v>
      </c>
      <c r="AL8" s="244">
        <f t="shared" ref="AL8:AL65" si="2">AF5</f>
        <v>41</v>
      </c>
      <c r="AM8" s="244">
        <f t="shared" ref="AM8:AM65" si="3">AE5</f>
        <v>28</v>
      </c>
      <c r="AN8" s="245">
        <f t="shared" ref="AN8:AN65" si="4">(AM8/AL8)*100</f>
        <v>68.292682926829272</v>
      </c>
      <c r="AO8" s="107" t="str">
        <f t="shared" ref="AO8:AO65" si="5">IF(AN8&gt;=95.5,"6",IF(AN8&gt;=90.5,"5", IF(AN8&gt;=85.5,"4",IF(AN8&gt;=80.5,"3",IF(AN8&gt;=75.5,"2","0")))))</f>
        <v>0</v>
      </c>
      <c r="AP8" s="246">
        <v>4</v>
      </c>
      <c r="AQ8" s="246">
        <v>4</v>
      </c>
      <c r="AR8" s="46">
        <f>ROUNDUP(AVERAGE(D75:AB75),0)</f>
        <v>5</v>
      </c>
      <c r="AS8" s="245">
        <f>ROUND(AO8+AP8+AQ8+AR6,0)</f>
        <v>13</v>
      </c>
    </row>
    <row r="9" spans="1:51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113"/>
      <c r="E9" s="113"/>
      <c r="F9" s="113"/>
      <c r="G9" s="113"/>
      <c r="H9" s="113"/>
      <c r="I9" s="113"/>
      <c r="J9" s="96"/>
      <c r="K9" s="96"/>
      <c r="L9" s="96"/>
      <c r="M9" s="96"/>
      <c r="N9" s="96"/>
      <c r="O9" s="156"/>
      <c r="P9" s="186"/>
      <c r="Q9" s="132"/>
      <c r="R9" s="113"/>
      <c r="S9" s="113"/>
      <c r="T9" s="156"/>
      <c r="U9" s="156"/>
      <c r="V9" s="113"/>
      <c r="W9" s="113"/>
      <c r="X9" s="113"/>
      <c r="Y9" s="113"/>
      <c r="Z9" s="113"/>
      <c r="AA9" s="113"/>
      <c r="AB9" s="113"/>
      <c r="AC9" s="88">
        <v>27</v>
      </c>
      <c r="AD9" s="146">
        <v>8</v>
      </c>
      <c r="AE9" s="88">
        <f t="shared" si="0"/>
        <v>35</v>
      </c>
      <c r="AF9" s="88">
        <v>41</v>
      </c>
      <c r="AG9" s="101">
        <f t="shared" si="1"/>
        <v>0.85365853658536583</v>
      </c>
      <c r="AI9" s="241">
        <f>OVERALL!A5</f>
        <v>2</v>
      </c>
      <c r="AJ9" s="247">
        <f>OVERALL!B5</f>
        <v>2301237</v>
      </c>
      <c r="AK9" s="243" t="str">
        <f>OVERALL!C5</f>
        <v>Manpreet Kaur</v>
      </c>
      <c r="AL9" s="244">
        <f t="shared" si="2"/>
        <v>41</v>
      </c>
      <c r="AM9" s="244">
        <f t="shared" si="3"/>
        <v>29</v>
      </c>
      <c r="AN9" s="245">
        <f t="shared" si="4"/>
        <v>70.731707317073173</v>
      </c>
      <c r="AO9" s="107" t="str">
        <f t="shared" si="5"/>
        <v>0</v>
      </c>
      <c r="AP9" s="246">
        <v>5</v>
      </c>
      <c r="AQ9" s="246">
        <v>6</v>
      </c>
      <c r="AR9" s="245">
        <f t="shared" ref="AR9:AR65" si="6">AVERAGE(D76:AB76)</f>
        <v>5.1739130434782608</v>
      </c>
      <c r="AS9" s="245">
        <f t="shared" ref="AS9:AS65" si="7">ROUND(AO9+AP9+AQ9+AR9,0)</f>
        <v>16</v>
      </c>
    </row>
    <row r="10" spans="1:51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113"/>
      <c r="E10" s="113"/>
      <c r="F10" s="113"/>
      <c r="G10" s="113"/>
      <c r="H10" s="113"/>
      <c r="I10" s="113"/>
      <c r="J10" s="96"/>
      <c r="K10" s="96"/>
      <c r="L10" s="96"/>
      <c r="M10" s="96"/>
      <c r="N10" s="96"/>
      <c r="O10" s="156"/>
      <c r="P10" s="186"/>
      <c r="Q10" s="132"/>
      <c r="R10" s="113"/>
      <c r="S10" s="113"/>
      <c r="T10" s="156"/>
      <c r="U10" s="156"/>
      <c r="V10" s="113"/>
      <c r="W10" s="113"/>
      <c r="X10" s="113"/>
      <c r="Y10" s="113"/>
      <c r="Z10" s="113"/>
      <c r="AA10" s="113"/>
      <c r="AB10" s="113"/>
      <c r="AC10" s="88">
        <v>40</v>
      </c>
      <c r="AD10" s="142"/>
      <c r="AE10" s="88">
        <f t="shared" si="0"/>
        <v>40</v>
      </c>
      <c r="AF10" s="88">
        <v>41</v>
      </c>
      <c r="AG10" s="101">
        <f t="shared" si="1"/>
        <v>0.97560975609756095</v>
      </c>
      <c r="AI10" s="241">
        <f>OVERALL!A6</f>
        <v>3</v>
      </c>
      <c r="AJ10" s="247">
        <f>OVERALL!B6</f>
        <v>2301238</v>
      </c>
      <c r="AK10" s="243" t="str">
        <f>OVERALL!C6</f>
        <v>Md Warish Chesam</v>
      </c>
      <c r="AL10" s="244">
        <f t="shared" si="2"/>
        <v>41</v>
      </c>
      <c r="AM10" s="244">
        <f t="shared" si="3"/>
        <v>34</v>
      </c>
      <c r="AN10" s="245">
        <f t="shared" si="4"/>
        <v>82.926829268292678</v>
      </c>
      <c r="AO10" s="107" t="str">
        <f t="shared" si="5"/>
        <v>3</v>
      </c>
      <c r="AP10" s="246">
        <v>6</v>
      </c>
      <c r="AQ10" s="246">
        <v>5</v>
      </c>
      <c r="AR10" s="245">
        <f t="shared" si="6"/>
        <v>6.1739130434782608</v>
      </c>
      <c r="AS10" s="245">
        <f t="shared" si="7"/>
        <v>20</v>
      </c>
    </row>
    <row r="11" spans="1:51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113"/>
      <c r="E11" s="113"/>
      <c r="F11" s="113"/>
      <c r="G11" s="113"/>
      <c r="H11" s="113"/>
      <c r="I11" s="113"/>
      <c r="J11" s="96"/>
      <c r="K11" s="96"/>
      <c r="L11" s="96"/>
      <c r="M11" s="96"/>
      <c r="N11" s="96"/>
      <c r="O11" s="156"/>
      <c r="P11" s="186"/>
      <c r="Q11" s="132"/>
      <c r="R11" s="113"/>
      <c r="S11" s="113"/>
      <c r="T11" s="156"/>
      <c r="U11" s="156"/>
      <c r="V11" s="113"/>
      <c r="W11" s="113"/>
      <c r="X11" s="113"/>
      <c r="Y11" s="113"/>
      <c r="Z11" s="113"/>
      <c r="AA11" s="113"/>
      <c r="AB11" s="113"/>
      <c r="AC11" s="88">
        <v>32</v>
      </c>
      <c r="AD11" s="146">
        <v>8</v>
      </c>
      <c r="AE11" s="88">
        <f t="shared" si="0"/>
        <v>40</v>
      </c>
      <c r="AF11" s="88">
        <v>41</v>
      </c>
      <c r="AG11" s="101">
        <f t="shared" si="1"/>
        <v>0.97560975609756095</v>
      </c>
      <c r="AI11" s="241">
        <f>OVERALL!A7</f>
        <v>4</v>
      </c>
      <c r="AJ11" s="247">
        <f>OVERALL!B7</f>
        <v>2301239</v>
      </c>
      <c r="AK11" s="243" t="str">
        <f>OVERALL!C7</f>
        <v>Mohd Shahid Afridi</v>
      </c>
      <c r="AL11" s="244">
        <f t="shared" si="2"/>
        <v>41</v>
      </c>
      <c r="AM11" s="244">
        <f t="shared" si="3"/>
        <v>0</v>
      </c>
      <c r="AN11" s="245">
        <f t="shared" si="4"/>
        <v>0</v>
      </c>
      <c r="AO11" s="107" t="str">
        <f t="shared" si="5"/>
        <v>0</v>
      </c>
      <c r="AP11" s="246">
        <v>0</v>
      </c>
      <c r="AQ11" s="246">
        <v>0</v>
      </c>
      <c r="AR11" s="245">
        <f t="shared" si="6"/>
        <v>0</v>
      </c>
      <c r="AS11" s="245">
        <f t="shared" si="7"/>
        <v>0</v>
      </c>
    </row>
    <row r="12" spans="1:51" ht="19.5" customHeight="1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56"/>
      <c r="P12" s="186"/>
      <c r="Q12" s="132"/>
      <c r="R12" s="113"/>
      <c r="S12" s="113"/>
      <c r="T12" s="156"/>
      <c r="U12" s="156"/>
      <c r="V12" s="113"/>
      <c r="W12" s="113"/>
      <c r="X12" s="113"/>
      <c r="Y12" s="113"/>
      <c r="Z12" s="113"/>
      <c r="AA12" s="113"/>
      <c r="AB12" s="113"/>
      <c r="AC12" s="88">
        <v>31</v>
      </c>
      <c r="AD12" s="142"/>
      <c r="AE12" s="132">
        <f t="shared" si="0"/>
        <v>31</v>
      </c>
      <c r="AF12" s="88">
        <v>41</v>
      </c>
      <c r="AG12" s="101">
        <f t="shared" si="1"/>
        <v>0.75609756097560976</v>
      </c>
      <c r="AI12" s="241">
        <f>OVERALL!A8</f>
        <v>5</v>
      </c>
      <c r="AJ12" s="247">
        <f>OVERALL!B8</f>
        <v>2301240</v>
      </c>
      <c r="AK12" s="243" t="str">
        <f>OVERALL!C8</f>
        <v>Munisha</v>
      </c>
      <c r="AL12" s="244">
        <f t="shared" si="2"/>
        <v>41</v>
      </c>
      <c r="AM12" s="244">
        <f t="shared" si="3"/>
        <v>35</v>
      </c>
      <c r="AN12" s="245">
        <f t="shared" si="4"/>
        <v>85.365853658536579</v>
      </c>
      <c r="AO12" s="107" t="str">
        <f t="shared" si="5"/>
        <v>3</v>
      </c>
      <c r="AP12" s="246">
        <v>5</v>
      </c>
      <c r="AQ12" s="246">
        <v>6</v>
      </c>
      <c r="AR12" s="245">
        <f t="shared" si="6"/>
        <v>4.5652173913043477</v>
      </c>
      <c r="AS12" s="245">
        <f t="shared" si="7"/>
        <v>19</v>
      </c>
    </row>
    <row r="13" spans="1:51" ht="20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56"/>
      <c r="P13" s="186"/>
      <c r="Q13" s="132"/>
      <c r="R13" s="113"/>
      <c r="S13" s="113"/>
      <c r="T13" s="156"/>
      <c r="U13" s="156"/>
      <c r="V13" s="113"/>
      <c r="W13" s="113"/>
      <c r="X13" s="113"/>
      <c r="Y13" s="113"/>
      <c r="Z13" s="113"/>
      <c r="AA13" s="113"/>
      <c r="AB13" s="113"/>
      <c r="AC13" s="240">
        <v>0</v>
      </c>
      <c r="AD13" s="142"/>
      <c r="AE13" s="132">
        <f t="shared" si="0"/>
        <v>0</v>
      </c>
      <c r="AF13" s="88">
        <v>41</v>
      </c>
      <c r="AG13" s="101">
        <f t="shared" si="1"/>
        <v>0</v>
      </c>
      <c r="AI13" s="241">
        <f>OVERALL!A9</f>
        <v>6</v>
      </c>
      <c r="AJ13" s="247">
        <f>OVERALL!B9</f>
        <v>2301241</v>
      </c>
      <c r="AK13" s="243" t="str">
        <f>OVERALL!C9</f>
        <v>Nikhil Kumar Thakur</v>
      </c>
      <c r="AL13" s="244">
        <f t="shared" si="2"/>
        <v>41</v>
      </c>
      <c r="AM13" s="244">
        <f t="shared" si="3"/>
        <v>40</v>
      </c>
      <c r="AN13" s="245">
        <f t="shared" si="4"/>
        <v>97.560975609756099</v>
      </c>
      <c r="AO13" s="107" t="str">
        <f t="shared" si="5"/>
        <v>6</v>
      </c>
      <c r="AP13" s="246">
        <v>6</v>
      </c>
      <c r="AQ13" s="246">
        <v>5</v>
      </c>
      <c r="AR13" s="245">
        <f t="shared" si="6"/>
        <v>7.6086956521739131</v>
      </c>
      <c r="AS13" s="245">
        <f t="shared" si="7"/>
        <v>25</v>
      </c>
    </row>
    <row r="14" spans="1:51" ht="15.6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56"/>
      <c r="P14" s="186"/>
      <c r="Q14" s="132"/>
      <c r="R14" s="113"/>
      <c r="S14" s="113"/>
      <c r="T14" s="156"/>
      <c r="U14" s="156"/>
      <c r="V14" s="132"/>
      <c r="W14" s="132"/>
      <c r="X14" s="132"/>
      <c r="Y14" s="132"/>
      <c r="Z14" s="132"/>
      <c r="AA14" s="132"/>
      <c r="AB14" s="132"/>
      <c r="AC14" s="88">
        <v>40</v>
      </c>
      <c r="AD14" s="146">
        <v>1</v>
      </c>
      <c r="AE14" s="132">
        <f t="shared" si="0"/>
        <v>41</v>
      </c>
      <c r="AF14" s="88">
        <v>41</v>
      </c>
      <c r="AG14" s="101">
        <f t="shared" si="1"/>
        <v>1</v>
      </c>
      <c r="AI14" s="241">
        <f>OVERALL!A10</f>
        <v>7</v>
      </c>
      <c r="AJ14" s="247">
        <f>OVERALL!B10</f>
        <v>2301242</v>
      </c>
      <c r="AK14" s="243" t="str">
        <f>OVERALL!C10</f>
        <v>Palak Pathania</v>
      </c>
      <c r="AL14" s="244">
        <f t="shared" si="2"/>
        <v>41</v>
      </c>
      <c r="AM14" s="244">
        <f t="shared" si="3"/>
        <v>40</v>
      </c>
      <c r="AN14" s="245">
        <f t="shared" si="4"/>
        <v>97.560975609756099</v>
      </c>
      <c r="AO14" s="107" t="str">
        <f t="shared" si="5"/>
        <v>6</v>
      </c>
      <c r="AP14" s="246">
        <v>5</v>
      </c>
      <c r="AQ14" s="246">
        <v>6</v>
      </c>
      <c r="AR14" s="245">
        <f t="shared" si="6"/>
        <v>6.4347826086956523</v>
      </c>
      <c r="AS14" s="245">
        <f t="shared" si="7"/>
        <v>23</v>
      </c>
    </row>
    <row r="15" spans="1:51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56"/>
      <c r="P15" s="186"/>
      <c r="Q15" s="132"/>
      <c r="R15" s="113"/>
      <c r="S15" s="113"/>
      <c r="T15" s="156"/>
      <c r="U15" s="156"/>
      <c r="V15" s="113"/>
      <c r="W15" s="113"/>
      <c r="X15" s="113"/>
      <c r="Y15" s="113"/>
      <c r="Z15" s="113"/>
      <c r="AA15" s="113"/>
      <c r="AB15" s="113"/>
      <c r="AC15" s="88">
        <v>23</v>
      </c>
      <c r="AD15" s="146">
        <v>8</v>
      </c>
      <c r="AE15" s="132">
        <f t="shared" si="0"/>
        <v>31</v>
      </c>
      <c r="AF15" s="88">
        <v>41</v>
      </c>
      <c r="AG15" s="101">
        <f t="shared" si="1"/>
        <v>0.75609756097560976</v>
      </c>
      <c r="AI15" s="241">
        <f>OVERALL!A11</f>
        <v>8</v>
      </c>
      <c r="AJ15" s="247">
        <f>OVERALL!B11</f>
        <v>2301243</v>
      </c>
      <c r="AK15" s="243" t="str">
        <f>OVERALL!C11</f>
        <v>Pardeep Singh</v>
      </c>
      <c r="AL15" s="244">
        <f t="shared" si="2"/>
        <v>41</v>
      </c>
      <c r="AM15" s="244">
        <f t="shared" si="3"/>
        <v>31</v>
      </c>
      <c r="AN15" s="245">
        <f t="shared" si="4"/>
        <v>75.609756097560975</v>
      </c>
      <c r="AO15" s="107" t="str">
        <f t="shared" si="5"/>
        <v>2</v>
      </c>
      <c r="AP15" s="246">
        <v>6</v>
      </c>
      <c r="AQ15" s="246">
        <v>5</v>
      </c>
      <c r="AR15" s="245">
        <f t="shared" si="6"/>
        <v>6.5652173913043477</v>
      </c>
      <c r="AS15" s="245">
        <f t="shared" si="7"/>
        <v>20</v>
      </c>
    </row>
    <row r="16" spans="1:51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56"/>
      <c r="P16" s="186"/>
      <c r="Q16" s="132"/>
      <c r="R16" s="113"/>
      <c r="S16" s="113"/>
      <c r="T16" s="156"/>
      <c r="U16" s="156"/>
      <c r="V16" s="113"/>
      <c r="W16" s="113"/>
      <c r="X16" s="113"/>
      <c r="Y16" s="113"/>
      <c r="Z16" s="113"/>
      <c r="AA16" s="113"/>
      <c r="AB16" s="113"/>
      <c r="AC16" s="240">
        <v>0</v>
      </c>
      <c r="AD16" s="142"/>
      <c r="AE16" s="132">
        <f t="shared" si="0"/>
        <v>0</v>
      </c>
      <c r="AF16" s="88">
        <v>41</v>
      </c>
      <c r="AG16" s="101">
        <f t="shared" si="1"/>
        <v>0</v>
      </c>
      <c r="AI16" s="241">
        <f>OVERALL!A12</f>
        <v>9</v>
      </c>
      <c r="AJ16" s="247">
        <f>OVERALL!B12</f>
        <v>2301244</v>
      </c>
      <c r="AK16" s="243" t="str">
        <f>OVERALL!C12</f>
        <v>Parveen Mandal</v>
      </c>
      <c r="AL16" s="244">
        <f t="shared" si="2"/>
        <v>41</v>
      </c>
      <c r="AM16" s="244">
        <f t="shared" si="3"/>
        <v>0</v>
      </c>
      <c r="AN16" s="245">
        <f t="shared" si="4"/>
        <v>0</v>
      </c>
      <c r="AO16" s="107" t="str">
        <f t="shared" si="5"/>
        <v>0</v>
      </c>
      <c r="AP16" s="246">
        <v>0</v>
      </c>
      <c r="AQ16" s="246">
        <v>0</v>
      </c>
      <c r="AR16" s="245">
        <f t="shared" si="6"/>
        <v>0</v>
      </c>
      <c r="AS16" s="245">
        <f t="shared" si="7"/>
        <v>0</v>
      </c>
    </row>
    <row r="17" spans="1:45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56"/>
      <c r="P17" s="186"/>
      <c r="Q17" s="132"/>
      <c r="R17" s="113"/>
      <c r="S17" s="113"/>
      <c r="T17" s="156"/>
      <c r="U17" s="156"/>
      <c r="V17" s="113"/>
      <c r="W17" s="113"/>
      <c r="X17" s="113"/>
      <c r="Y17" s="113"/>
      <c r="Z17" s="113"/>
      <c r="AA17" s="113"/>
      <c r="AB17" s="113"/>
      <c r="AC17" s="88">
        <v>33</v>
      </c>
      <c r="AD17" s="146">
        <v>6</v>
      </c>
      <c r="AE17" s="132">
        <f t="shared" si="0"/>
        <v>39</v>
      </c>
      <c r="AF17" s="88">
        <v>41</v>
      </c>
      <c r="AG17" s="101">
        <f t="shared" si="1"/>
        <v>0.95121951219512191</v>
      </c>
      <c r="AI17" s="241">
        <f>OVERALL!A13</f>
        <v>10</v>
      </c>
      <c r="AJ17" s="247">
        <f>OVERALL!B13</f>
        <v>2301245</v>
      </c>
      <c r="AK17" s="243" t="str">
        <f>OVERALL!C13</f>
        <v>Payal</v>
      </c>
      <c r="AL17" s="244">
        <f t="shared" si="2"/>
        <v>41</v>
      </c>
      <c r="AM17" s="244">
        <f t="shared" si="3"/>
        <v>41</v>
      </c>
      <c r="AN17" s="245">
        <f t="shared" si="4"/>
        <v>100</v>
      </c>
      <c r="AO17" s="107" t="str">
        <f t="shared" si="5"/>
        <v>6</v>
      </c>
      <c r="AP17" s="246">
        <v>6</v>
      </c>
      <c r="AQ17" s="246">
        <v>5</v>
      </c>
      <c r="AR17" s="245">
        <f t="shared" si="6"/>
        <v>7.6956521739130439</v>
      </c>
      <c r="AS17" s="245">
        <f t="shared" si="7"/>
        <v>25</v>
      </c>
    </row>
    <row r="18" spans="1:45" ht="25.5" customHeight="1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56"/>
      <c r="P18" s="186"/>
      <c r="Q18" s="132"/>
      <c r="R18" s="113"/>
      <c r="S18" s="113"/>
      <c r="T18" s="156"/>
      <c r="U18" s="156"/>
      <c r="V18" s="113"/>
      <c r="W18" s="113"/>
      <c r="X18" s="113"/>
      <c r="Y18" s="113"/>
      <c r="Z18" s="113"/>
      <c r="AA18" s="113"/>
      <c r="AB18" s="113"/>
      <c r="AC18" s="88">
        <v>30</v>
      </c>
      <c r="AD18" s="142"/>
      <c r="AE18" s="132">
        <f t="shared" si="0"/>
        <v>30</v>
      </c>
      <c r="AF18" s="88">
        <v>41</v>
      </c>
      <c r="AG18" s="101">
        <f t="shared" si="1"/>
        <v>0.73170731707317072</v>
      </c>
      <c r="AI18" s="241">
        <f>OVERALL!A14</f>
        <v>11</v>
      </c>
      <c r="AJ18" s="247">
        <f>OVERALL!B14</f>
        <v>2301247</v>
      </c>
      <c r="AK18" s="243" t="str">
        <f>OVERALL!C14</f>
        <v>Priya</v>
      </c>
      <c r="AL18" s="244">
        <f t="shared" si="2"/>
        <v>41</v>
      </c>
      <c r="AM18" s="244">
        <f t="shared" si="3"/>
        <v>31</v>
      </c>
      <c r="AN18" s="245">
        <f t="shared" si="4"/>
        <v>75.609756097560975</v>
      </c>
      <c r="AO18" s="107" t="str">
        <f t="shared" si="5"/>
        <v>2</v>
      </c>
      <c r="AP18" s="246">
        <v>5</v>
      </c>
      <c r="AQ18" s="246">
        <v>6</v>
      </c>
      <c r="AR18" s="245">
        <f t="shared" si="6"/>
        <v>4.1739130434782608</v>
      </c>
      <c r="AS18" s="245">
        <f t="shared" si="7"/>
        <v>17</v>
      </c>
    </row>
    <row r="19" spans="1:45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56"/>
      <c r="P19" s="186"/>
      <c r="Q19" s="132"/>
      <c r="R19" s="113"/>
      <c r="S19" s="113"/>
      <c r="T19" s="156"/>
      <c r="U19" s="156"/>
      <c r="V19" s="113"/>
      <c r="W19" s="113"/>
      <c r="X19" s="113"/>
      <c r="Y19" s="113"/>
      <c r="Z19" s="113"/>
      <c r="AA19" s="113"/>
      <c r="AB19" s="113"/>
      <c r="AC19" s="88">
        <v>29</v>
      </c>
      <c r="AD19" s="142"/>
      <c r="AE19" s="132">
        <f t="shared" si="0"/>
        <v>29</v>
      </c>
      <c r="AF19" s="88">
        <v>41</v>
      </c>
      <c r="AG19" s="101">
        <f t="shared" si="1"/>
        <v>0.70731707317073167</v>
      </c>
      <c r="AI19" s="241">
        <f>OVERALL!A15</f>
        <v>12</v>
      </c>
      <c r="AJ19" s="247">
        <f>OVERALL!B15</f>
        <v>2301248</v>
      </c>
      <c r="AK19" s="243" t="str">
        <f>OVERALL!C15</f>
        <v>Priyam Puri</v>
      </c>
      <c r="AL19" s="244">
        <f t="shared" si="2"/>
        <v>41</v>
      </c>
      <c r="AM19" s="244">
        <f t="shared" si="3"/>
        <v>0</v>
      </c>
      <c r="AN19" s="245">
        <f t="shared" si="4"/>
        <v>0</v>
      </c>
      <c r="AO19" s="107" t="str">
        <f t="shared" si="5"/>
        <v>0</v>
      </c>
      <c r="AP19" s="246">
        <v>0</v>
      </c>
      <c r="AQ19" s="246">
        <v>0</v>
      </c>
      <c r="AR19" s="245">
        <f t="shared" si="6"/>
        <v>0</v>
      </c>
      <c r="AS19" s="245">
        <f t="shared" si="7"/>
        <v>0</v>
      </c>
    </row>
    <row r="20" spans="1:45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56"/>
      <c r="P20" s="186"/>
      <c r="Q20" s="132"/>
      <c r="R20" s="113"/>
      <c r="S20" s="113"/>
      <c r="T20" s="156"/>
      <c r="U20" s="156"/>
      <c r="V20" s="113"/>
      <c r="W20" s="113"/>
      <c r="X20" s="113"/>
      <c r="Y20" s="113"/>
      <c r="Z20" s="113"/>
      <c r="AA20" s="113"/>
      <c r="AB20" s="113"/>
      <c r="AC20" s="88">
        <v>33</v>
      </c>
      <c r="AD20" s="142"/>
      <c r="AE20" s="132">
        <f t="shared" si="0"/>
        <v>33</v>
      </c>
      <c r="AF20" s="88">
        <v>41</v>
      </c>
      <c r="AG20" s="101">
        <f t="shared" si="1"/>
        <v>0.80487804878048785</v>
      </c>
      <c r="AI20" s="241">
        <f>OVERALL!A16</f>
        <v>13</v>
      </c>
      <c r="AJ20" s="247">
        <f>OVERALL!B16</f>
        <v>2301249</v>
      </c>
      <c r="AK20" s="243" t="str">
        <f>OVERALL!C16</f>
        <v>Rahul Sharma</v>
      </c>
      <c r="AL20" s="244">
        <f t="shared" si="2"/>
        <v>41</v>
      </c>
      <c r="AM20" s="244">
        <f t="shared" si="3"/>
        <v>39</v>
      </c>
      <c r="AN20" s="245">
        <f t="shared" si="4"/>
        <v>95.121951219512198</v>
      </c>
      <c r="AO20" s="107" t="str">
        <f t="shared" si="5"/>
        <v>5</v>
      </c>
      <c r="AP20" s="246">
        <v>5</v>
      </c>
      <c r="AQ20" s="246">
        <v>5</v>
      </c>
      <c r="AR20" s="245">
        <f t="shared" si="6"/>
        <v>6.2173913043478262</v>
      </c>
      <c r="AS20" s="245">
        <f t="shared" si="7"/>
        <v>21</v>
      </c>
    </row>
    <row r="21" spans="1:45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56"/>
      <c r="P21" s="186"/>
      <c r="Q21" s="132"/>
      <c r="R21" s="113"/>
      <c r="S21" s="113"/>
      <c r="T21" s="156"/>
      <c r="U21" s="156"/>
      <c r="V21" s="113"/>
      <c r="W21" s="113"/>
      <c r="X21" s="113"/>
      <c r="Y21" s="113"/>
      <c r="Z21" s="113"/>
      <c r="AA21" s="113"/>
      <c r="AB21" s="113"/>
      <c r="AC21" s="88">
        <v>31</v>
      </c>
      <c r="AD21" s="146">
        <v>8</v>
      </c>
      <c r="AE21" s="132">
        <f t="shared" si="0"/>
        <v>39</v>
      </c>
      <c r="AF21" s="88">
        <v>41</v>
      </c>
      <c r="AG21" s="101">
        <f t="shared" si="1"/>
        <v>0.95121951219512191</v>
      </c>
      <c r="AI21" s="241">
        <f>OVERALL!A17</f>
        <v>14</v>
      </c>
      <c r="AJ21" s="247">
        <f>OVERALL!B17</f>
        <v>2301250</v>
      </c>
      <c r="AK21" s="243" t="str">
        <f>OVERALL!C17</f>
        <v>Rahulpreet Singh Khinda</v>
      </c>
      <c r="AL21" s="244">
        <f t="shared" si="2"/>
        <v>41</v>
      </c>
      <c r="AM21" s="244">
        <f t="shared" si="3"/>
        <v>30</v>
      </c>
      <c r="AN21" s="245">
        <f t="shared" si="4"/>
        <v>73.170731707317074</v>
      </c>
      <c r="AO21" s="107" t="str">
        <f t="shared" si="5"/>
        <v>0</v>
      </c>
      <c r="AP21" s="246">
        <v>6</v>
      </c>
      <c r="AQ21" s="246">
        <v>5</v>
      </c>
      <c r="AR21" s="245">
        <f t="shared" si="6"/>
        <v>5.1739130434782608</v>
      </c>
      <c r="AS21" s="245">
        <f t="shared" si="7"/>
        <v>16</v>
      </c>
    </row>
    <row r="22" spans="1:45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56"/>
      <c r="P22" s="186"/>
      <c r="Q22" s="132"/>
      <c r="R22" s="113"/>
      <c r="S22" s="113"/>
      <c r="T22" s="156"/>
      <c r="U22" s="156"/>
      <c r="V22" s="113"/>
      <c r="W22" s="113"/>
      <c r="X22" s="113"/>
      <c r="Y22" s="113"/>
      <c r="Z22" s="113"/>
      <c r="AA22" s="113"/>
      <c r="AB22" s="113"/>
      <c r="AC22" s="240">
        <v>0</v>
      </c>
      <c r="AD22" s="142"/>
      <c r="AE22" s="132">
        <f t="shared" si="0"/>
        <v>0</v>
      </c>
      <c r="AF22" s="88">
        <v>41</v>
      </c>
      <c r="AG22" s="101">
        <f t="shared" si="1"/>
        <v>0</v>
      </c>
      <c r="AI22" s="241">
        <f>OVERALL!A18</f>
        <v>15</v>
      </c>
      <c r="AJ22" s="247">
        <f>OVERALL!B18</f>
        <v>2301251</v>
      </c>
      <c r="AK22" s="243" t="str">
        <f>OVERALL!C18</f>
        <v>Raj Kumar</v>
      </c>
      <c r="AL22" s="244">
        <f t="shared" si="2"/>
        <v>41</v>
      </c>
      <c r="AM22" s="244">
        <f t="shared" si="3"/>
        <v>29</v>
      </c>
      <c r="AN22" s="245">
        <f t="shared" si="4"/>
        <v>70.731707317073173</v>
      </c>
      <c r="AO22" s="107" t="str">
        <f t="shared" si="5"/>
        <v>0</v>
      </c>
      <c r="AP22" s="246">
        <v>5</v>
      </c>
      <c r="AQ22" s="246">
        <v>6</v>
      </c>
      <c r="AR22" s="245">
        <f t="shared" si="6"/>
        <v>6.0434782608695654</v>
      </c>
      <c r="AS22" s="245">
        <f t="shared" si="7"/>
        <v>17</v>
      </c>
    </row>
    <row r="23" spans="1:45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56"/>
      <c r="P23" s="186"/>
      <c r="Q23" s="132"/>
      <c r="R23" s="113"/>
      <c r="S23" s="113"/>
      <c r="T23" s="156"/>
      <c r="U23" s="156"/>
      <c r="V23" s="113"/>
      <c r="W23" s="113"/>
      <c r="X23" s="113"/>
      <c r="Y23" s="113"/>
      <c r="Z23" s="113"/>
      <c r="AA23" s="113"/>
      <c r="AB23" s="113"/>
      <c r="AC23" s="88">
        <v>30</v>
      </c>
      <c r="AD23" s="142"/>
      <c r="AE23" s="132">
        <f t="shared" si="0"/>
        <v>30</v>
      </c>
      <c r="AF23" s="88">
        <v>41</v>
      </c>
      <c r="AG23" s="101">
        <f t="shared" si="1"/>
        <v>0.73170731707317072</v>
      </c>
      <c r="AI23" s="241">
        <f>OVERALL!A19</f>
        <v>16</v>
      </c>
      <c r="AJ23" s="247">
        <f>OVERALL!B19</f>
        <v>2301252</v>
      </c>
      <c r="AK23" s="243" t="str">
        <f>OVERALL!C19</f>
        <v>Rajan Sharma</v>
      </c>
      <c r="AL23" s="244">
        <f t="shared" si="2"/>
        <v>41</v>
      </c>
      <c r="AM23" s="244">
        <f t="shared" si="3"/>
        <v>33</v>
      </c>
      <c r="AN23" s="245">
        <f t="shared" si="4"/>
        <v>80.487804878048792</v>
      </c>
      <c r="AO23" s="107" t="str">
        <f t="shared" si="5"/>
        <v>2</v>
      </c>
      <c r="AP23" s="246">
        <v>5</v>
      </c>
      <c r="AQ23" s="246">
        <v>6</v>
      </c>
      <c r="AR23" s="245">
        <f t="shared" si="6"/>
        <v>6.6956521739130439</v>
      </c>
      <c r="AS23" s="245">
        <f t="shared" si="7"/>
        <v>20</v>
      </c>
    </row>
    <row r="24" spans="1:45" ht="15.7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56"/>
      <c r="P24" s="186"/>
      <c r="Q24" s="132"/>
      <c r="R24" s="113"/>
      <c r="S24" s="113"/>
      <c r="T24" s="156"/>
      <c r="U24" s="156"/>
      <c r="V24" s="113"/>
      <c r="W24" s="113"/>
      <c r="X24" s="113"/>
      <c r="Y24" s="113"/>
      <c r="Z24" s="113"/>
      <c r="AA24" s="113"/>
      <c r="AB24" s="113"/>
      <c r="AC24" s="88">
        <v>36</v>
      </c>
      <c r="AD24" s="146">
        <v>5</v>
      </c>
      <c r="AE24" s="132">
        <f t="shared" si="0"/>
        <v>41</v>
      </c>
      <c r="AF24" s="88">
        <v>41</v>
      </c>
      <c r="AG24" s="101">
        <f t="shared" si="1"/>
        <v>1</v>
      </c>
      <c r="AI24" s="241">
        <f>OVERALL!A20</f>
        <v>17</v>
      </c>
      <c r="AJ24" s="247">
        <f>OVERALL!B20</f>
        <v>2301253</v>
      </c>
      <c r="AK24" s="243" t="str">
        <f>OVERALL!C20</f>
        <v>Rajwinder Kaur</v>
      </c>
      <c r="AL24" s="244">
        <f t="shared" si="2"/>
        <v>41</v>
      </c>
      <c r="AM24" s="244">
        <f t="shared" si="3"/>
        <v>39</v>
      </c>
      <c r="AN24" s="245">
        <f t="shared" si="4"/>
        <v>95.121951219512198</v>
      </c>
      <c r="AO24" s="107" t="str">
        <f t="shared" si="5"/>
        <v>5</v>
      </c>
      <c r="AP24" s="246">
        <v>6</v>
      </c>
      <c r="AQ24" s="246">
        <v>5</v>
      </c>
      <c r="AR24" s="245">
        <f t="shared" si="6"/>
        <v>5.6956521739130439</v>
      </c>
      <c r="AS24" s="245">
        <f t="shared" si="7"/>
        <v>22</v>
      </c>
    </row>
    <row r="25" spans="1:45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56"/>
      <c r="P25" s="186"/>
      <c r="Q25" s="132"/>
      <c r="R25" s="113"/>
      <c r="S25" s="113"/>
      <c r="T25" s="156"/>
      <c r="U25" s="156"/>
      <c r="V25" s="113"/>
      <c r="W25" s="113"/>
      <c r="X25" s="113"/>
      <c r="Y25" s="113"/>
      <c r="Z25" s="113"/>
      <c r="AA25" s="113"/>
      <c r="AB25" s="113"/>
      <c r="AC25" s="132">
        <v>25</v>
      </c>
      <c r="AD25" s="142">
        <v>9</v>
      </c>
      <c r="AE25" s="132">
        <f t="shared" si="0"/>
        <v>34</v>
      </c>
      <c r="AF25" s="88">
        <v>41</v>
      </c>
      <c r="AG25" s="101">
        <f t="shared" si="1"/>
        <v>0.82926829268292679</v>
      </c>
      <c r="AI25" s="241">
        <f>OVERALL!A21</f>
        <v>18</v>
      </c>
      <c r="AJ25" s="247">
        <f>OVERALL!B21</f>
        <v>2301254</v>
      </c>
      <c r="AK25" s="243" t="str">
        <f>OVERALL!C21</f>
        <v>RANJIT SHAH KANU</v>
      </c>
      <c r="AL25" s="244">
        <f t="shared" si="2"/>
        <v>41</v>
      </c>
      <c r="AM25" s="244">
        <f t="shared" si="3"/>
        <v>0</v>
      </c>
      <c r="AN25" s="245">
        <f t="shared" si="4"/>
        <v>0</v>
      </c>
      <c r="AO25" s="107" t="str">
        <f t="shared" si="5"/>
        <v>0</v>
      </c>
      <c r="AP25" s="246">
        <v>0</v>
      </c>
      <c r="AQ25" s="246">
        <v>0</v>
      </c>
      <c r="AR25" s="245">
        <f t="shared" si="6"/>
        <v>0</v>
      </c>
      <c r="AS25" s="245">
        <f t="shared" si="7"/>
        <v>0</v>
      </c>
    </row>
    <row r="26" spans="1:45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56"/>
      <c r="P26" s="186"/>
      <c r="Q26" s="132"/>
      <c r="R26" s="113"/>
      <c r="S26" s="113"/>
      <c r="T26" s="156"/>
      <c r="U26" s="156"/>
      <c r="V26" s="113"/>
      <c r="W26" s="113"/>
      <c r="X26" s="113"/>
      <c r="Y26" s="113"/>
      <c r="Z26" s="113"/>
      <c r="AA26" s="113"/>
      <c r="AB26" s="113"/>
      <c r="AC26" s="132">
        <v>17</v>
      </c>
      <c r="AD26" s="146">
        <v>1</v>
      </c>
      <c r="AE26" s="132">
        <f t="shared" si="0"/>
        <v>18</v>
      </c>
      <c r="AF26" s="88">
        <v>41</v>
      </c>
      <c r="AG26" s="101">
        <f t="shared" si="1"/>
        <v>0.43902439024390244</v>
      </c>
      <c r="AI26" s="241">
        <f>OVERALL!A22</f>
        <v>19</v>
      </c>
      <c r="AJ26" s="247">
        <f>OVERALL!B22</f>
        <v>2301255</v>
      </c>
      <c r="AK26" s="243" t="str">
        <f>OVERALL!C22</f>
        <v>Ravi Bhushan Kumar</v>
      </c>
      <c r="AL26" s="244">
        <f t="shared" si="2"/>
        <v>41</v>
      </c>
      <c r="AM26" s="244">
        <f t="shared" si="3"/>
        <v>30</v>
      </c>
      <c r="AN26" s="245">
        <f t="shared" si="4"/>
        <v>73.170731707317074</v>
      </c>
      <c r="AO26" s="107" t="str">
        <f t="shared" si="5"/>
        <v>0</v>
      </c>
      <c r="AP26" s="246">
        <v>5</v>
      </c>
      <c r="AQ26" s="246">
        <v>6</v>
      </c>
      <c r="AR26" s="245">
        <f t="shared" si="6"/>
        <v>5.2608695652173916</v>
      </c>
      <c r="AS26" s="245">
        <f t="shared" si="7"/>
        <v>16</v>
      </c>
    </row>
    <row r="27" spans="1:45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56"/>
      <c r="P27" s="186"/>
      <c r="Q27" s="132"/>
      <c r="R27" s="113"/>
      <c r="S27" s="113"/>
      <c r="T27" s="156"/>
      <c r="U27" s="156"/>
      <c r="V27" s="113"/>
      <c r="W27" s="113"/>
      <c r="X27" s="113"/>
      <c r="Y27" s="113"/>
      <c r="Z27" s="113"/>
      <c r="AA27" s="113"/>
      <c r="AB27" s="113"/>
      <c r="AC27" s="132">
        <v>25</v>
      </c>
      <c r="AD27" s="142"/>
      <c r="AE27" s="132">
        <f t="shared" si="0"/>
        <v>25</v>
      </c>
      <c r="AF27" s="88">
        <v>41</v>
      </c>
      <c r="AG27" s="101">
        <f t="shared" si="1"/>
        <v>0.6097560975609756</v>
      </c>
      <c r="AI27" s="241">
        <f>OVERALL!A23</f>
        <v>20</v>
      </c>
      <c r="AJ27" s="247">
        <f>OVERALL!B23</f>
        <v>2301256</v>
      </c>
      <c r="AK27" s="243" t="str">
        <f>OVERALL!C23</f>
        <v>Reshma</v>
      </c>
      <c r="AL27" s="244">
        <f t="shared" si="2"/>
        <v>41</v>
      </c>
      <c r="AM27" s="244">
        <f t="shared" si="3"/>
        <v>41</v>
      </c>
      <c r="AN27" s="245">
        <f t="shared" si="4"/>
        <v>100</v>
      </c>
      <c r="AO27" s="107" t="str">
        <f t="shared" si="5"/>
        <v>6</v>
      </c>
      <c r="AP27" s="246">
        <v>6</v>
      </c>
      <c r="AQ27" s="246">
        <v>5</v>
      </c>
      <c r="AR27" s="245">
        <f t="shared" si="6"/>
        <v>6.5652173913043477</v>
      </c>
      <c r="AS27" s="245">
        <f t="shared" si="7"/>
        <v>24</v>
      </c>
    </row>
    <row r="28" spans="1:45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56"/>
      <c r="P28" s="186"/>
      <c r="Q28" s="132"/>
      <c r="R28" s="113"/>
      <c r="S28" s="113"/>
      <c r="T28" s="156"/>
      <c r="U28" s="156"/>
      <c r="V28" s="113"/>
      <c r="W28" s="113"/>
      <c r="X28" s="113"/>
      <c r="Y28" s="113"/>
      <c r="Z28" s="113"/>
      <c r="AA28" s="113"/>
      <c r="AB28" s="113"/>
      <c r="AC28" s="132">
        <v>25</v>
      </c>
      <c r="AD28" s="146">
        <v>6</v>
      </c>
      <c r="AE28" s="132">
        <f t="shared" si="0"/>
        <v>31</v>
      </c>
      <c r="AF28" s="88">
        <v>41</v>
      </c>
      <c r="AG28" s="101">
        <f t="shared" si="1"/>
        <v>0.75609756097560976</v>
      </c>
      <c r="AI28" s="241">
        <f>OVERALL!A24</f>
        <v>21</v>
      </c>
      <c r="AJ28" s="247">
        <f>OVERALL!B24</f>
        <v>2301257</v>
      </c>
      <c r="AK28" s="243" t="str">
        <f>OVERALL!C24</f>
        <v>Ritesh Kumar Choudhary</v>
      </c>
      <c r="AL28" s="244">
        <f t="shared" si="2"/>
        <v>41</v>
      </c>
      <c r="AM28" s="244">
        <f t="shared" si="3"/>
        <v>34</v>
      </c>
      <c r="AN28" s="245">
        <f t="shared" si="4"/>
        <v>82.926829268292678</v>
      </c>
      <c r="AO28" s="107" t="str">
        <f t="shared" si="5"/>
        <v>3</v>
      </c>
      <c r="AP28" s="246">
        <v>5</v>
      </c>
      <c r="AQ28" s="246">
        <v>6</v>
      </c>
      <c r="AR28" s="245">
        <f t="shared" si="6"/>
        <v>4.3913043478260869</v>
      </c>
      <c r="AS28" s="245">
        <f t="shared" si="7"/>
        <v>18</v>
      </c>
    </row>
    <row r="29" spans="1:45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113"/>
      <c r="E29" s="113"/>
      <c r="F29" s="113"/>
      <c r="G29" s="113"/>
      <c r="H29" s="113"/>
      <c r="I29" s="113"/>
      <c r="J29" s="96"/>
      <c r="K29" s="96"/>
      <c r="L29" s="96"/>
      <c r="M29" s="96"/>
      <c r="N29" s="96"/>
      <c r="O29" s="156"/>
      <c r="P29" s="186"/>
      <c r="Q29" s="132"/>
      <c r="R29" s="113"/>
      <c r="S29" s="113"/>
      <c r="T29" s="156"/>
      <c r="U29" s="156"/>
      <c r="V29" s="113"/>
      <c r="W29" s="113"/>
      <c r="X29" s="113"/>
      <c r="Y29" s="113"/>
      <c r="Z29" s="113"/>
      <c r="AA29" s="113"/>
      <c r="AB29" s="113"/>
      <c r="AC29" s="88">
        <v>23</v>
      </c>
      <c r="AD29" s="146">
        <v>15</v>
      </c>
      <c r="AE29" s="88">
        <f t="shared" si="0"/>
        <v>38</v>
      </c>
      <c r="AF29" s="88">
        <v>41</v>
      </c>
      <c r="AG29" s="101">
        <f t="shared" si="1"/>
        <v>0.92682926829268297</v>
      </c>
      <c r="AI29" s="241">
        <f>OVERALL!A25</f>
        <v>22</v>
      </c>
      <c r="AJ29" s="247">
        <f>OVERALL!B25</f>
        <v>2301258</v>
      </c>
      <c r="AK29" s="243" t="str">
        <f>OVERALL!C25</f>
        <v>Ritesh Thakur</v>
      </c>
      <c r="AL29" s="244">
        <f t="shared" si="2"/>
        <v>41</v>
      </c>
      <c r="AM29" s="244">
        <f t="shared" si="3"/>
        <v>18</v>
      </c>
      <c r="AN29" s="245">
        <f t="shared" si="4"/>
        <v>43.902439024390247</v>
      </c>
      <c r="AO29" s="107" t="str">
        <f t="shared" si="5"/>
        <v>0</v>
      </c>
      <c r="AP29" s="246">
        <v>6</v>
      </c>
      <c r="AQ29" s="246">
        <v>5</v>
      </c>
      <c r="AR29" s="245">
        <f t="shared" si="6"/>
        <v>2.8695652173913042</v>
      </c>
      <c r="AS29" s="245">
        <f t="shared" si="7"/>
        <v>14</v>
      </c>
    </row>
    <row r="30" spans="1:45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113"/>
      <c r="E30" s="113"/>
      <c r="F30" s="113"/>
      <c r="G30" s="113"/>
      <c r="H30" s="113"/>
      <c r="I30" s="113"/>
      <c r="J30" s="96"/>
      <c r="K30" s="96"/>
      <c r="L30" s="96"/>
      <c r="M30" s="96"/>
      <c r="N30" s="96"/>
      <c r="O30" s="156"/>
      <c r="P30" s="186"/>
      <c r="Q30" s="132"/>
      <c r="R30" s="113"/>
      <c r="S30" s="113"/>
      <c r="T30" s="156"/>
      <c r="U30" s="156"/>
      <c r="V30" s="113"/>
      <c r="W30" s="113"/>
      <c r="X30" s="113"/>
      <c r="Y30" s="113"/>
      <c r="Z30" s="113"/>
      <c r="AA30" s="113"/>
      <c r="AB30" s="113"/>
      <c r="AC30" s="88">
        <v>31</v>
      </c>
      <c r="AD30" s="142"/>
      <c r="AE30" s="88">
        <f t="shared" si="0"/>
        <v>31</v>
      </c>
      <c r="AF30" s="88">
        <v>41</v>
      </c>
      <c r="AG30" s="101">
        <f t="shared" si="1"/>
        <v>0.75609756097560976</v>
      </c>
      <c r="AI30" s="241">
        <f>OVERALL!A26</f>
        <v>23</v>
      </c>
      <c r="AJ30" s="247">
        <f>OVERALL!B26</f>
        <v>2301259</v>
      </c>
      <c r="AK30" s="243" t="str">
        <f>OVERALL!C26</f>
        <v>Riya Thakur</v>
      </c>
      <c r="AL30" s="244">
        <f t="shared" si="2"/>
        <v>41</v>
      </c>
      <c r="AM30" s="244">
        <f t="shared" si="3"/>
        <v>25</v>
      </c>
      <c r="AN30" s="245">
        <f t="shared" si="4"/>
        <v>60.975609756097562</v>
      </c>
      <c r="AO30" s="107" t="str">
        <f t="shared" si="5"/>
        <v>0</v>
      </c>
      <c r="AP30" s="246">
        <v>6</v>
      </c>
      <c r="AQ30" s="246">
        <v>5</v>
      </c>
      <c r="AR30" s="245">
        <f t="shared" si="6"/>
        <v>5.0434782608695654</v>
      </c>
      <c r="AS30" s="245">
        <f t="shared" si="7"/>
        <v>16</v>
      </c>
    </row>
    <row r="31" spans="1:45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56"/>
      <c r="P31" s="186"/>
      <c r="Q31" s="132"/>
      <c r="R31" s="113"/>
      <c r="S31" s="113"/>
      <c r="T31" s="156"/>
      <c r="U31" s="156"/>
      <c r="V31" s="113"/>
      <c r="W31" s="113"/>
      <c r="X31" s="113"/>
      <c r="Y31" s="113"/>
      <c r="Z31" s="113"/>
      <c r="AA31" s="113"/>
      <c r="AB31" s="113"/>
      <c r="AC31" s="132">
        <v>37</v>
      </c>
      <c r="AD31" s="142"/>
      <c r="AE31" s="88">
        <f t="shared" si="0"/>
        <v>37</v>
      </c>
      <c r="AF31" s="88">
        <v>41</v>
      </c>
      <c r="AG31" s="101">
        <f t="shared" si="1"/>
        <v>0.90243902439024393</v>
      </c>
      <c r="AI31" s="241">
        <f>OVERALL!A27</f>
        <v>24</v>
      </c>
      <c r="AJ31" s="247">
        <f>OVERALL!B27</f>
        <v>2301260</v>
      </c>
      <c r="AK31" s="243" t="str">
        <f>OVERALL!C27</f>
        <v>Rounit Dhiman</v>
      </c>
      <c r="AL31" s="244">
        <f t="shared" si="2"/>
        <v>41</v>
      </c>
      <c r="AM31" s="244">
        <f t="shared" si="3"/>
        <v>31</v>
      </c>
      <c r="AN31" s="245">
        <f t="shared" si="4"/>
        <v>75.609756097560975</v>
      </c>
      <c r="AO31" s="107" t="str">
        <f t="shared" si="5"/>
        <v>2</v>
      </c>
      <c r="AP31" s="246">
        <v>5</v>
      </c>
      <c r="AQ31" s="246">
        <v>6</v>
      </c>
      <c r="AR31" s="245">
        <f t="shared" si="6"/>
        <v>5.5217391304347823</v>
      </c>
      <c r="AS31" s="245">
        <f t="shared" si="7"/>
        <v>19</v>
      </c>
    </row>
    <row r="32" spans="1:45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56"/>
      <c r="P32" s="186"/>
      <c r="Q32" s="132"/>
      <c r="R32" s="113"/>
      <c r="S32" s="113"/>
      <c r="T32" s="156"/>
      <c r="U32" s="156"/>
      <c r="V32" s="113"/>
      <c r="W32" s="113"/>
      <c r="X32" s="113"/>
      <c r="Y32" s="113"/>
      <c r="Z32" s="113"/>
      <c r="AA32" s="113"/>
      <c r="AB32" s="113"/>
      <c r="AC32" s="132">
        <v>26</v>
      </c>
      <c r="AD32" s="142"/>
      <c r="AE32" s="88">
        <f t="shared" si="0"/>
        <v>26</v>
      </c>
      <c r="AF32" s="88">
        <v>41</v>
      </c>
      <c r="AG32" s="101">
        <f t="shared" si="1"/>
        <v>0.63414634146341464</v>
      </c>
      <c r="AI32" s="241">
        <f>OVERALL!A28</f>
        <v>25</v>
      </c>
      <c r="AJ32" s="247">
        <f>OVERALL!B28</f>
        <v>2301261</v>
      </c>
      <c r="AK32" s="243" t="str">
        <f>OVERALL!C28</f>
        <v>Rubby Kumari</v>
      </c>
      <c r="AL32" s="244">
        <f t="shared" si="2"/>
        <v>41</v>
      </c>
      <c r="AM32" s="244">
        <f t="shared" si="3"/>
        <v>38</v>
      </c>
      <c r="AN32" s="245">
        <f t="shared" si="4"/>
        <v>92.682926829268297</v>
      </c>
      <c r="AO32" s="107" t="str">
        <f t="shared" si="5"/>
        <v>5</v>
      </c>
      <c r="AP32" s="246">
        <v>5</v>
      </c>
      <c r="AQ32" s="246">
        <v>5</v>
      </c>
      <c r="AR32" s="245">
        <f t="shared" si="6"/>
        <v>4.0869565217391308</v>
      </c>
      <c r="AS32" s="245">
        <f t="shared" si="7"/>
        <v>19</v>
      </c>
    </row>
    <row r="33" spans="1:45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56"/>
      <c r="P33" s="186"/>
      <c r="Q33" s="132"/>
      <c r="R33" s="113"/>
      <c r="S33" s="113"/>
      <c r="T33" s="156"/>
      <c r="U33" s="156"/>
      <c r="V33" s="113"/>
      <c r="W33" s="113"/>
      <c r="X33" s="113"/>
      <c r="Y33" s="113"/>
      <c r="Z33" s="113"/>
      <c r="AA33" s="113"/>
      <c r="AB33" s="113"/>
      <c r="AC33" s="132">
        <v>34</v>
      </c>
      <c r="AD33" s="146">
        <v>6</v>
      </c>
      <c r="AE33" s="88">
        <f t="shared" si="0"/>
        <v>40</v>
      </c>
      <c r="AF33" s="88">
        <v>41</v>
      </c>
      <c r="AG33" s="101">
        <f t="shared" si="1"/>
        <v>0.97560975609756095</v>
      </c>
      <c r="AI33" s="241">
        <f>OVERALL!A29</f>
        <v>26</v>
      </c>
      <c r="AJ33" s="247">
        <f>OVERALL!B29</f>
        <v>2301262</v>
      </c>
      <c r="AK33" s="243" t="str">
        <f>OVERALL!C29</f>
        <v>Sakshi Devi</v>
      </c>
      <c r="AL33" s="244">
        <f t="shared" si="2"/>
        <v>41</v>
      </c>
      <c r="AM33" s="244">
        <f t="shared" si="3"/>
        <v>31</v>
      </c>
      <c r="AN33" s="245">
        <f t="shared" si="4"/>
        <v>75.609756097560975</v>
      </c>
      <c r="AO33" s="107" t="str">
        <f t="shared" si="5"/>
        <v>2</v>
      </c>
      <c r="AP33" s="246">
        <v>6</v>
      </c>
      <c r="AQ33" s="246">
        <v>5</v>
      </c>
      <c r="AR33" s="245">
        <f t="shared" si="6"/>
        <v>5.5217391304347823</v>
      </c>
      <c r="AS33" s="245">
        <f t="shared" si="7"/>
        <v>19</v>
      </c>
    </row>
    <row r="34" spans="1:45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56"/>
      <c r="P34" s="186"/>
      <c r="Q34" s="132"/>
      <c r="R34" s="113"/>
      <c r="S34" s="113"/>
      <c r="T34" s="156"/>
      <c r="U34" s="156"/>
      <c r="V34" s="113"/>
      <c r="W34" s="113"/>
      <c r="X34" s="113"/>
      <c r="Y34" s="113"/>
      <c r="Z34" s="113"/>
      <c r="AA34" s="113"/>
      <c r="AB34" s="113"/>
      <c r="AC34" s="132">
        <v>40</v>
      </c>
      <c r="AD34" s="142"/>
      <c r="AE34" s="88">
        <f t="shared" si="0"/>
        <v>40</v>
      </c>
      <c r="AF34" s="88">
        <v>41</v>
      </c>
      <c r="AG34" s="101">
        <f t="shared" si="1"/>
        <v>0.97560975609756095</v>
      </c>
      <c r="AI34" s="241">
        <f>OVERALL!A30</f>
        <v>27</v>
      </c>
      <c r="AJ34" s="247">
        <f>OVERALL!B30</f>
        <v>2301263</v>
      </c>
      <c r="AK34" s="243" t="str">
        <f>OVERALL!C30</f>
        <v>Sanchi Sharma</v>
      </c>
      <c r="AL34" s="244">
        <f t="shared" si="2"/>
        <v>41</v>
      </c>
      <c r="AM34" s="244">
        <f t="shared" si="3"/>
        <v>37</v>
      </c>
      <c r="AN34" s="245">
        <f t="shared" si="4"/>
        <v>90.243902439024396</v>
      </c>
      <c r="AO34" s="107" t="str">
        <f t="shared" si="5"/>
        <v>4</v>
      </c>
      <c r="AP34" s="246">
        <v>6</v>
      </c>
      <c r="AQ34" s="246">
        <v>5</v>
      </c>
      <c r="AR34" s="245">
        <f t="shared" si="6"/>
        <v>7.2608695652173916</v>
      </c>
      <c r="AS34" s="245">
        <f t="shared" si="7"/>
        <v>22</v>
      </c>
    </row>
    <row r="35" spans="1:45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56"/>
      <c r="P35" s="186"/>
      <c r="Q35" s="132"/>
      <c r="R35" s="113"/>
      <c r="S35" s="113"/>
      <c r="T35" s="156"/>
      <c r="U35" s="156"/>
      <c r="V35" s="113"/>
      <c r="W35" s="113"/>
      <c r="X35" s="113"/>
      <c r="Y35" s="113"/>
      <c r="Z35" s="113"/>
      <c r="AA35" s="113"/>
      <c r="AB35" s="113"/>
      <c r="AC35" s="132">
        <v>20</v>
      </c>
      <c r="AD35" s="142"/>
      <c r="AE35" s="88">
        <f t="shared" si="0"/>
        <v>20</v>
      </c>
      <c r="AF35" s="88">
        <v>41</v>
      </c>
      <c r="AG35" s="101">
        <f t="shared" si="1"/>
        <v>0.48780487804878048</v>
      </c>
      <c r="AI35" s="241">
        <f>OVERALL!A31</f>
        <v>28</v>
      </c>
      <c r="AJ35" s="247">
        <f>OVERALL!B31</f>
        <v>2301264</v>
      </c>
      <c r="AK35" s="243" t="str">
        <f>OVERALL!C31</f>
        <v>Sarbjit Singh</v>
      </c>
      <c r="AL35" s="244">
        <f t="shared" si="2"/>
        <v>41</v>
      </c>
      <c r="AM35" s="244">
        <f t="shared" si="3"/>
        <v>26</v>
      </c>
      <c r="AN35" s="245">
        <f t="shared" si="4"/>
        <v>63.414634146341463</v>
      </c>
      <c r="AO35" s="107" t="str">
        <f t="shared" si="5"/>
        <v>0</v>
      </c>
      <c r="AP35" s="246">
        <v>0</v>
      </c>
      <c r="AQ35" s="246">
        <v>0</v>
      </c>
      <c r="AR35" s="245">
        <f t="shared" si="6"/>
        <v>4.3478260869565215</v>
      </c>
      <c r="AS35" s="245">
        <f t="shared" si="7"/>
        <v>4</v>
      </c>
    </row>
    <row r="36" spans="1:45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56"/>
      <c r="P36" s="186"/>
      <c r="Q36" s="132"/>
      <c r="R36" s="113"/>
      <c r="S36" s="113"/>
      <c r="T36" s="156"/>
      <c r="U36" s="156"/>
      <c r="V36" s="113"/>
      <c r="W36" s="113"/>
      <c r="X36" s="113"/>
      <c r="Y36" s="113"/>
      <c r="Z36" s="113"/>
      <c r="AA36" s="113"/>
      <c r="AB36" s="113"/>
      <c r="AC36" s="132">
        <v>27</v>
      </c>
      <c r="AD36" s="142"/>
      <c r="AE36" s="88">
        <f t="shared" si="0"/>
        <v>27</v>
      </c>
      <c r="AF36" s="88">
        <v>41</v>
      </c>
      <c r="AG36" s="101">
        <f t="shared" si="1"/>
        <v>0.65853658536585369</v>
      </c>
      <c r="AI36" s="241">
        <f>OVERALL!A32</f>
        <v>29</v>
      </c>
      <c r="AJ36" s="247">
        <f>OVERALL!B32</f>
        <v>2301265</v>
      </c>
      <c r="AK36" s="243" t="str">
        <f>OVERALL!C32</f>
        <v>Sarif Mayangmayum</v>
      </c>
      <c r="AL36" s="244">
        <f t="shared" si="2"/>
        <v>41</v>
      </c>
      <c r="AM36" s="244">
        <f t="shared" si="3"/>
        <v>40</v>
      </c>
      <c r="AN36" s="245">
        <f t="shared" si="4"/>
        <v>97.560975609756099</v>
      </c>
      <c r="AO36" s="107" t="str">
        <f t="shared" si="5"/>
        <v>6</v>
      </c>
      <c r="AP36" s="246">
        <v>6</v>
      </c>
      <c r="AQ36" s="246">
        <v>5</v>
      </c>
      <c r="AR36" s="245">
        <f t="shared" si="6"/>
        <v>6.5217391304347823</v>
      </c>
      <c r="AS36" s="245">
        <f t="shared" si="7"/>
        <v>24</v>
      </c>
    </row>
    <row r="37" spans="1:45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56"/>
      <c r="P37" s="186"/>
      <c r="Q37" s="132"/>
      <c r="R37" s="113"/>
      <c r="S37" s="113"/>
      <c r="T37" s="156"/>
      <c r="U37" s="156"/>
      <c r="V37" s="113"/>
      <c r="W37" s="113"/>
      <c r="X37" s="113"/>
      <c r="Y37" s="113"/>
      <c r="Z37" s="113"/>
      <c r="AA37" s="113"/>
      <c r="AB37" s="113"/>
      <c r="AC37" s="132">
        <v>31</v>
      </c>
      <c r="AD37" s="142">
        <v>4</v>
      </c>
      <c r="AE37" s="88">
        <f t="shared" si="0"/>
        <v>35</v>
      </c>
      <c r="AF37" s="88">
        <v>41</v>
      </c>
      <c r="AG37" s="101">
        <f t="shared" si="1"/>
        <v>0.85365853658536583</v>
      </c>
      <c r="AI37" s="241">
        <f>OVERALL!A33</f>
        <v>30</v>
      </c>
      <c r="AJ37" s="247">
        <f>OVERALL!B33</f>
        <v>2301267</v>
      </c>
      <c r="AK37" s="243" t="str">
        <f>OVERALL!C33</f>
        <v>Shivam Kumar Chaubey</v>
      </c>
      <c r="AL37" s="244">
        <f t="shared" si="2"/>
        <v>41</v>
      </c>
      <c r="AM37" s="244">
        <f t="shared" si="3"/>
        <v>40</v>
      </c>
      <c r="AN37" s="245">
        <f t="shared" si="4"/>
        <v>97.560975609756099</v>
      </c>
      <c r="AO37" s="107" t="str">
        <f t="shared" si="5"/>
        <v>6</v>
      </c>
      <c r="AP37" s="246">
        <v>5</v>
      </c>
      <c r="AQ37" s="246">
        <v>6</v>
      </c>
      <c r="AR37" s="245">
        <f t="shared" si="6"/>
        <v>7.8260869565217392</v>
      </c>
      <c r="AS37" s="245">
        <f t="shared" si="7"/>
        <v>25</v>
      </c>
    </row>
    <row r="38" spans="1:45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56"/>
      <c r="P38" s="186"/>
      <c r="Q38" s="132"/>
      <c r="R38" s="113"/>
      <c r="S38" s="113"/>
      <c r="T38" s="156"/>
      <c r="U38" s="156"/>
      <c r="V38" s="113"/>
      <c r="W38" s="113"/>
      <c r="X38" s="113"/>
      <c r="Y38" s="113"/>
      <c r="Z38" s="113"/>
      <c r="AA38" s="113"/>
      <c r="AB38" s="113"/>
      <c r="AC38" s="132">
        <v>28</v>
      </c>
      <c r="AD38" s="142"/>
      <c r="AE38" s="88">
        <f t="shared" si="0"/>
        <v>28</v>
      </c>
      <c r="AF38" s="88">
        <v>41</v>
      </c>
      <c r="AG38" s="101">
        <f t="shared" si="1"/>
        <v>0.68292682926829273</v>
      </c>
      <c r="AI38" s="241">
        <f>OVERALL!A34</f>
        <v>31</v>
      </c>
      <c r="AJ38" s="247">
        <f>OVERALL!B34</f>
        <v>2301268</v>
      </c>
      <c r="AK38" s="243" t="str">
        <f>OVERALL!C34</f>
        <v>Simba Godfrey</v>
      </c>
      <c r="AL38" s="244">
        <f t="shared" si="2"/>
        <v>41</v>
      </c>
      <c r="AM38" s="244">
        <f t="shared" si="3"/>
        <v>20</v>
      </c>
      <c r="AN38" s="245">
        <f t="shared" si="4"/>
        <v>48.780487804878049</v>
      </c>
      <c r="AO38" s="107" t="str">
        <f t="shared" si="5"/>
        <v>0</v>
      </c>
      <c r="AP38" s="248">
        <v>0</v>
      </c>
      <c r="AQ38" s="248">
        <v>0</v>
      </c>
      <c r="AR38" s="245">
        <f t="shared" si="6"/>
        <v>3.5652173913043477</v>
      </c>
      <c r="AS38" s="245">
        <f t="shared" si="7"/>
        <v>4</v>
      </c>
    </row>
    <row r="39" spans="1:45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56"/>
      <c r="P39" s="186"/>
      <c r="Q39" s="132"/>
      <c r="R39" s="113"/>
      <c r="S39" s="113"/>
      <c r="T39" s="156"/>
      <c r="U39" s="156"/>
      <c r="V39" s="113"/>
      <c r="W39" s="113"/>
      <c r="X39" s="113"/>
      <c r="Y39" s="113"/>
      <c r="Z39" s="113"/>
      <c r="AA39" s="113"/>
      <c r="AB39" s="113"/>
      <c r="AC39" s="240">
        <v>0</v>
      </c>
      <c r="AD39" s="142"/>
      <c r="AE39" s="88">
        <f t="shared" si="0"/>
        <v>0</v>
      </c>
      <c r="AF39" s="88">
        <v>41</v>
      </c>
      <c r="AG39" s="101">
        <f t="shared" si="1"/>
        <v>0</v>
      </c>
      <c r="AI39" s="241">
        <f>OVERALL!A35</f>
        <v>32</v>
      </c>
      <c r="AJ39" s="247">
        <f>OVERALL!B35</f>
        <v>2301269</v>
      </c>
      <c r="AK39" s="243" t="str">
        <f>OVERALL!C35</f>
        <v>Simran Kaur</v>
      </c>
      <c r="AL39" s="244">
        <f t="shared" si="2"/>
        <v>41</v>
      </c>
      <c r="AM39" s="244">
        <f t="shared" si="3"/>
        <v>27</v>
      </c>
      <c r="AN39" s="245">
        <f t="shared" si="4"/>
        <v>65.853658536585371</v>
      </c>
      <c r="AO39" s="107" t="str">
        <f t="shared" si="5"/>
        <v>0</v>
      </c>
      <c r="AP39" s="248">
        <v>6</v>
      </c>
      <c r="AQ39" s="248">
        <v>5</v>
      </c>
      <c r="AR39" s="245">
        <f t="shared" si="6"/>
        <v>4.3913043478260869</v>
      </c>
      <c r="AS39" s="245">
        <f t="shared" si="7"/>
        <v>15</v>
      </c>
    </row>
    <row r="40" spans="1:45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56"/>
      <c r="P40" s="186"/>
      <c r="Q40" s="132"/>
      <c r="R40" s="113"/>
      <c r="S40" s="113"/>
      <c r="T40" s="156"/>
      <c r="U40" s="156"/>
      <c r="V40" s="113"/>
      <c r="W40" s="113"/>
      <c r="X40" s="113"/>
      <c r="Y40" s="113"/>
      <c r="Z40" s="113"/>
      <c r="AA40" s="113"/>
      <c r="AB40" s="113"/>
      <c r="AC40" s="132">
        <v>17</v>
      </c>
      <c r="AD40" s="142"/>
      <c r="AE40" s="88">
        <f t="shared" si="0"/>
        <v>17</v>
      </c>
      <c r="AF40" s="88">
        <v>41</v>
      </c>
      <c r="AG40" s="101">
        <f t="shared" si="1"/>
        <v>0.41463414634146339</v>
      </c>
      <c r="AI40" s="241">
        <f>OVERALL!A36</f>
        <v>33</v>
      </c>
      <c r="AJ40" s="247">
        <f>OVERALL!B36</f>
        <v>2301270</v>
      </c>
      <c r="AK40" s="243" t="str">
        <f>OVERALL!C36</f>
        <v>Simranjit Singh</v>
      </c>
      <c r="AL40" s="244">
        <f t="shared" si="2"/>
        <v>41</v>
      </c>
      <c r="AM40" s="244">
        <f t="shared" si="3"/>
        <v>35</v>
      </c>
      <c r="AN40" s="245">
        <f t="shared" si="4"/>
        <v>85.365853658536579</v>
      </c>
      <c r="AO40" s="107" t="str">
        <f t="shared" si="5"/>
        <v>3</v>
      </c>
      <c r="AP40" s="248">
        <v>5</v>
      </c>
      <c r="AQ40" s="248">
        <v>4</v>
      </c>
      <c r="AR40" s="245">
        <f t="shared" si="6"/>
        <v>5.9565217391304346</v>
      </c>
      <c r="AS40" s="245">
        <f t="shared" si="7"/>
        <v>18</v>
      </c>
    </row>
    <row r="41" spans="1:45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56"/>
      <c r="P41" s="186"/>
      <c r="Q41" s="132"/>
      <c r="R41" s="113"/>
      <c r="S41" s="113"/>
      <c r="T41" s="156"/>
      <c r="U41" s="156"/>
      <c r="V41" s="113"/>
      <c r="W41" s="113"/>
      <c r="X41" s="113"/>
      <c r="Y41" s="113"/>
      <c r="Z41" s="113"/>
      <c r="AA41" s="113"/>
      <c r="AB41" s="113"/>
      <c r="AC41" s="132">
        <v>22</v>
      </c>
      <c r="AD41" s="142"/>
      <c r="AE41" s="88">
        <f t="shared" si="0"/>
        <v>22</v>
      </c>
      <c r="AF41" s="88">
        <v>41</v>
      </c>
      <c r="AG41" s="101">
        <f t="shared" si="1"/>
        <v>0.53658536585365857</v>
      </c>
      <c r="AI41" s="241">
        <f>OVERALL!A37</f>
        <v>34</v>
      </c>
      <c r="AJ41" s="247">
        <f>OVERALL!B37</f>
        <v>2301271</v>
      </c>
      <c r="AK41" s="243" t="str">
        <f>OVERALL!C37</f>
        <v>Sudip Sunar</v>
      </c>
      <c r="AL41" s="244">
        <f t="shared" si="2"/>
        <v>41</v>
      </c>
      <c r="AM41" s="244">
        <f t="shared" si="3"/>
        <v>28</v>
      </c>
      <c r="AN41" s="245">
        <f t="shared" si="4"/>
        <v>68.292682926829272</v>
      </c>
      <c r="AO41" s="107" t="str">
        <f t="shared" si="5"/>
        <v>0</v>
      </c>
      <c r="AP41" s="248">
        <v>5</v>
      </c>
      <c r="AQ41" s="248">
        <v>5</v>
      </c>
      <c r="AR41" s="245">
        <f t="shared" si="6"/>
        <v>4.8260869565217392</v>
      </c>
      <c r="AS41" s="245">
        <f t="shared" si="7"/>
        <v>15</v>
      </c>
    </row>
    <row r="42" spans="1:45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56"/>
      <c r="P42" s="186"/>
      <c r="Q42" s="132"/>
      <c r="R42" s="113"/>
      <c r="S42" s="113"/>
      <c r="T42" s="156"/>
      <c r="U42" s="156"/>
      <c r="V42" s="113"/>
      <c r="W42" s="113"/>
      <c r="X42" s="113"/>
      <c r="Y42" s="113"/>
      <c r="Z42" s="113"/>
      <c r="AA42" s="113"/>
      <c r="AB42" s="113"/>
      <c r="AC42" s="132">
        <v>16</v>
      </c>
      <c r="AD42" s="146">
        <v>10</v>
      </c>
      <c r="AE42" s="88">
        <f t="shared" si="0"/>
        <v>26</v>
      </c>
      <c r="AF42" s="88">
        <v>41</v>
      </c>
      <c r="AG42" s="101">
        <f t="shared" si="1"/>
        <v>0.63414634146341464</v>
      </c>
      <c r="AI42" s="241">
        <f>OVERALL!A38</f>
        <v>35</v>
      </c>
      <c r="AJ42" s="247">
        <f>OVERALL!B38</f>
        <v>2301272</v>
      </c>
      <c r="AK42" s="243" t="str">
        <f>OVERALL!C38</f>
        <v>Sujal Sharma</v>
      </c>
      <c r="AL42" s="244">
        <f t="shared" si="2"/>
        <v>41</v>
      </c>
      <c r="AM42" s="244">
        <f t="shared" si="3"/>
        <v>0</v>
      </c>
      <c r="AN42" s="245">
        <f t="shared" si="4"/>
        <v>0</v>
      </c>
      <c r="AO42" s="107" t="str">
        <f t="shared" si="5"/>
        <v>0</v>
      </c>
      <c r="AP42" s="248">
        <v>0</v>
      </c>
      <c r="AQ42" s="248">
        <v>0</v>
      </c>
      <c r="AR42" s="245">
        <f t="shared" si="6"/>
        <v>0</v>
      </c>
      <c r="AS42" s="245">
        <f t="shared" si="7"/>
        <v>0</v>
      </c>
    </row>
    <row r="43" spans="1:45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86"/>
      <c r="P43" s="186"/>
      <c r="Q43" s="113"/>
      <c r="R43" s="113"/>
      <c r="S43" s="113"/>
      <c r="T43" s="156"/>
      <c r="U43" s="156"/>
      <c r="V43" s="113"/>
      <c r="W43" s="113"/>
      <c r="X43" s="113"/>
      <c r="Y43" s="113"/>
      <c r="Z43" s="113"/>
      <c r="AA43" s="113"/>
      <c r="AB43" s="113"/>
      <c r="AC43" s="240">
        <f>COUNTIF(D43:AB43,"P")*2</f>
        <v>0</v>
      </c>
      <c r="AD43" s="142"/>
      <c r="AE43" s="88">
        <f t="shared" si="0"/>
        <v>0</v>
      </c>
      <c r="AF43" s="88">
        <v>41</v>
      </c>
      <c r="AG43" s="101">
        <f t="shared" si="1"/>
        <v>0</v>
      </c>
      <c r="AI43" s="241">
        <f>OVERALL!A39</f>
        <v>36</v>
      </c>
      <c r="AJ43" s="247">
        <f>OVERALL!B39</f>
        <v>2301273</v>
      </c>
      <c r="AK43" s="243" t="str">
        <f>OVERALL!C39</f>
        <v>Sukhraj Singh</v>
      </c>
      <c r="AL43" s="244">
        <f t="shared" si="2"/>
        <v>41</v>
      </c>
      <c r="AM43" s="244">
        <f t="shared" si="3"/>
        <v>17</v>
      </c>
      <c r="AN43" s="245">
        <f t="shared" si="4"/>
        <v>41.463414634146339</v>
      </c>
      <c r="AO43" s="107" t="str">
        <f t="shared" si="5"/>
        <v>0</v>
      </c>
      <c r="AP43" s="248">
        <v>0</v>
      </c>
      <c r="AQ43" s="248">
        <v>0</v>
      </c>
      <c r="AR43" s="245">
        <f t="shared" si="6"/>
        <v>2.8260869565217392</v>
      </c>
      <c r="AS43" s="245">
        <f t="shared" si="7"/>
        <v>3</v>
      </c>
    </row>
    <row r="44" spans="1:45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86"/>
      <c r="P44" s="186"/>
      <c r="Q44" s="113"/>
      <c r="R44" s="113"/>
      <c r="S44" s="113"/>
      <c r="T44" s="156"/>
      <c r="U44" s="156"/>
      <c r="V44" s="113"/>
      <c r="W44" s="113"/>
      <c r="X44" s="113"/>
      <c r="Y44" s="113"/>
      <c r="Z44" s="113"/>
      <c r="AA44" s="113"/>
      <c r="AB44" s="113"/>
      <c r="AC44" s="132">
        <v>20</v>
      </c>
      <c r="AD44" s="142"/>
      <c r="AE44" s="88">
        <f t="shared" si="0"/>
        <v>20</v>
      </c>
      <c r="AF44" s="88">
        <v>41</v>
      </c>
      <c r="AG44" s="101">
        <f t="shared" si="1"/>
        <v>0.48780487804878048</v>
      </c>
      <c r="AI44" s="241">
        <f>OVERALL!A40</f>
        <v>37</v>
      </c>
      <c r="AJ44" s="247">
        <f>OVERALL!B40</f>
        <v>2301274</v>
      </c>
      <c r="AK44" s="243" t="str">
        <f>OVERALL!C40</f>
        <v>Sukhreet Kaur</v>
      </c>
      <c r="AL44" s="244">
        <f t="shared" si="2"/>
        <v>41</v>
      </c>
      <c r="AM44" s="244">
        <f t="shared" si="3"/>
        <v>22</v>
      </c>
      <c r="AN44" s="245">
        <f t="shared" si="4"/>
        <v>53.658536585365859</v>
      </c>
      <c r="AO44" s="107" t="str">
        <f t="shared" si="5"/>
        <v>0</v>
      </c>
      <c r="AP44" s="248">
        <v>6</v>
      </c>
      <c r="AQ44" s="248">
        <v>0</v>
      </c>
      <c r="AR44" s="245">
        <f t="shared" si="6"/>
        <v>3.4782608695652173</v>
      </c>
      <c r="AS44" s="245">
        <f t="shared" si="7"/>
        <v>9</v>
      </c>
    </row>
    <row r="45" spans="1:45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86"/>
      <c r="P45" s="186"/>
      <c r="Q45" s="113"/>
      <c r="R45" s="113"/>
      <c r="S45" s="113"/>
      <c r="T45" s="156"/>
      <c r="U45" s="156"/>
      <c r="V45" s="113"/>
      <c r="W45" s="113"/>
      <c r="X45" s="113"/>
      <c r="Y45" s="113"/>
      <c r="Z45" s="113"/>
      <c r="AA45" s="113"/>
      <c r="AB45" s="113"/>
      <c r="AC45" s="132">
        <v>16</v>
      </c>
      <c r="AD45" s="146">
        <v>10</v>
      </c>
      <c r="AE45" s="88">
        <f t="shared" si="0"/>
        <v>26</v>
      </c>
      <c r="AF45" s="88">
        <v>41</v>
      </c>
      <c r="AG45" s="101">
        <f t="shared" si="1"/>
        <v>0.63414634146341464</v>
      </c>
      <c r="AI45" s="241">
        <f>OVERALL!A41</f>
        <v>38</v>
      </c>
      <c r="AJ45" s="247">
        <f>OVERALL!B41</f>
        <v>2301275</v>
      </c>
      <c r="AK45" s="243" t="str">
        <f>OVERALL!C41</f>
        <v>Suman Krishna</v>
      </c>
      <c r="AL45" s="244">
        <f t="shared" si="2"/>
        <v>41</v>
      </c>
      <c r="AM45" s="244">
        <f t="shared" si="3"/>
        <v>26</v>
      </c>
      <c r="AN45" s="245">
        <f t="shared" si="4"/>
        <v>63.414634146341463</v>
      </c>
      <c r="AO45" s="107" t="str">
        <f t="shared" si="5"/>
        <v>0</v>
      </c>
      <c r="AP45" s="248">
        <v>6</v>
      </c>
      <c r="AQ45" s="248">
        <v>6</v>
      </c>
      <c r="AR45" s="245">
        <f t="shared" si="6"/>
        <v>2.0869565217391304</v>
      </c>
      <c r="AS45" s="245">
        <f t="shared" si="7"/>
        <v>14</v>
      </c>
    </row>
    <row r="46" spans="1:45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86"/>
      <c r="P46" s="186"/>
      <c r="Q46" s="113"/>
      <c r="R46" s="113"/>
      <c r="S46" s="113"/>
      <c r="T46" s="156"/>
      <c r="U46" s="156"/>
      <c r="V46" s="113"/>
      <c r="W46" s="113"/>
      <c r="X46" s="113"/>
      <c r="Y46" s="113"/>
      <c r="Z46" s="113"/>
      <c r="AA46" s="113"/>
      <c r="AB46" s="113"/>
      <c r="AC46" s="132">
        <v>18</v>
      </c>
      <c r="AD46" s="146">
        <v>10</v>
      </c>
      <c r="AE46" s="88">
        <f t="shared" si="0"/>
        <v>28</v>
      </c>
      <c r="AF46" s="88">
        <v>41</v>
      </c>
      <c r="AG46" s="101">
        <f t="shared" si="1"/>
        <v>0.68292682926829273</v>
      </c>
      <c r="AI46" s="241">
        <f>OVERALL!A42</f>
        <v>39</v>
      </c>
      <c r="AJ46" s="247">
        <f>OVERALL!B42</f>
        <v>2301276</v>
      </c>
      <c r="AK46" s="243" t="str">
        <f>OVERALL!C42</f>
        <v>Sumanyu</v>
      </c>
      <c r="AL46" s="244">
        <f t="shared" si="2"/>
        <v>41</v>
      </c>
      <c r="AM46" s="244">
        <f t="shared" si="3"/>
        <v>0</v>
      </c>
      <c r="AN46" s="245">
        <f t="shared" si="4"/>
        <v>0</v>
      </c>
      <c r="AO46" s="107" t="str">
        <f t="shared" si="5"/>
        <v>0</v>
      </c>
      <c r="AP46" s="248">
        <v>0</v>
      </c>
      <c r="AQ46" s="248">
        <v>0</v>
      </c>
      <c r="AR46" s="245">
        <f t="shared" si="6"/>
        <v>0</v>
      </c>
      <c r="AS46" s="245">
        <f t="shared" si="7"/>
        <v>0</v>
      </c>
    </row>
    <row r="47" spans="1:45" ht="15.75" customHeight="1">
      <c r="A47" s="217">
        <f>OVERALL!A46</f>
        <v>43</v>
      </c>
      <c r="B47" s="217">
        <f>OVERALL!B46</f>
        <v>2301280</v>
      </c>
      <c r="C47" s="218" t="str">
        <f>OVERALL!C46</f>
        <v>Taniya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86"/>
      <c r="P47" s="186"/>
      <c r="Q47" s="113"/>
      <c r="R47" s="113"/>
      <c r="S47" s="113"/>
      <c r="T47" s="156"/>
      <c r="U47" s="156"/>
      <c r="V47" s="113"/>
      <c r="W47" s="113"/>
      <c r="X47" s="113"/>
      <c r="Y47" s="113"/>
      <c r="Z47" s="113"/>
      <c r="AA47" s="113"/>
      <c r="AB47" s="113"/>
      <c r="AC47" s="132">
        <v>11</v>
      </c>
      <c r="AD47" s="142"/>
      <c r="AE47" s="88">
        <f t="shared" si="0"/>
        <v>11</v>
      </c>
      <c r="AF47" s="88">
        <v>41</v>
      </c>
      <c r="AG47" s="101">
        <f t="shared" si="1"/>
        <v>0.26829268292682928</v>
      </c>
      <c r="AI47" s="241">
        <f>OVERALL!A43</f>
        <v>40</v>
      </c>
      <c r="AJ47" s="247">
        <f>OVERALL!B43</f>
        <v>2301277</v>
      </c>
      <c r="AK47" s="243" t="str">
        <f>OVERALL!C43</f>
        <v>Tamana</v>
      </c>
      <c r="AL47" s="244">
        <f t="shared" si="2"/>
        <v>41</v>
      </c>
      <c r="AM47" s="244">
        <f t="shared" si="3"/>
        <v>20</v>
      </c>
      <c r="AN47" s="245">
        <f t="shared" si="4"/>
        <v>48.780487804878049</v>
      </c>
      <c r="AO47" s="107" t="str">
        <f t="shared" si="5"/>
        <v>0</v>
      </c>
      <c r="AP47" s="248">
        <v>5</v>
      </c>
      <c r="AQ47" s="248">
        <v>5</v>
      </c>
      <c r="AR47" s="245">
        <f t="shared" si="6"/>
        <v>2.9565217391304346</v>
      </c>
      <c r="AS47" s="245">
        <f t="shared" si="7"/>
        <v>13</v>
      </c>
    </row>
    <row r="48" spans="1:45" ht="15.75" customHeight="1">
      <c r="A48" s="105">
        <f>OVERALL!A47</f>
        <v>44</v>
      </c>
      <c r="B48" s="105">
        <f>OVERALL!B47</f>
        <v>2301281</v>
      </c>
      <c r="C48" s="106" t="str">
        <f>OVERALL!C47</f>
        <v>Taziko Trakha</v>
      </c>
      <c r="D48" s="12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86"/>
      <c r="P48" s="186"/>
      <c r="Q48" s="113"/>
      <c r="R48" s="113"/>
      <c r="S48" s="113"/>
      <c r="T48" s="156"/>
      <c r="U48" s="156"/>
      <c r="V48" s="113"/>
      <c r="W48" s="113"/>
      <c r="X48" s="113"/>
      <c r="Y48" s="113"/>
      <c r="Z48" s="113"/>
      <c r="AA48" s="113"/>
      <c r="AB48" s="113"/>
      <c r="AC48" s="132">
        <v>22</v>
      </c>
      <c r="AD48" s="146">
        <v>8</v>
      </c>
      <c r="AE48" s="88">
        <f t="shared" si="0"/>
        <v>30</v>
      </c>
      <c r="AF48" s="88">
        <v>41</v>
      </c>
      <c r="AG48" s="101">
        <f t="shared" si="1"/>
        <v>0.73170731707317072</v>
      </c>
      <c r="AI48" s="241">
        <f>OVERALL!A44</f>
        <v>41</v>
      </c>
      <c r="AJ48" s="247">
        <f>OVERALL!B44</f>
        <v>2301278</v>
      </c>
      <c r="AK48" s="243" t="str">
        <f>OVERALL!C44</f>
        <v>Tamana Farooq Khanday</v>
      </c>
      <c r="AL48" s="244">
        <f t="shared" si="2"/>
        <v>41</v>
      </c>
      <c r="AM48" s="244">
        <f t="shared" si="3"/>
        <v>26</v>
      </c>
      <c r="AN48" s="245">
        <f t="shared" si="4"/>
        <v>63.414634146341463</v>
      </c>
      <c r="AO48" s="107" t="str">
        <f t="shared" si="5"/>
        <v>0</v>
      </c>
      <c r="AP48" s="248">
        <v>5</v>
      </c>
      <c r="AQ48" s="248">
        <v>5</v>
      </c>
      <c r="AR48" s="245">
        <f t="shared" si="6"/>
        <v>2.0869565217391304</v>
      </c>
      <c r="AS48" s="245">
        <f t="shared" si="7"/>
        <v>12</v>
      </c>
    </row>
    <row r="49" spans="1:45" ht="15.75" customHeight="1">
      <c r="A49" s="122">
        <v>45</v>
      </c>
      <c r="B49" s="105">
        <f>OVERALL!B48</f>
        <v>2301282</v>
      </c>
      <c r="C49" s="106" t="str">
        <f>OVERALL!C48</f>
        <v>Uday Kumar</v>
      </c>
      <c r="D49" s="113"/>
      <c r="E49" s="113"/>
      <c r="F49" s="113"/>
      <c r="G49" s="113"/>
      <c r="H49" s="113"/>
      <c r="I49" s="113"/>
      <c r="J49" s="96"/>
      <c r="K49" s="96"/>
      <c r="L49" s="96"/>
      <c r="M49" s="96"/>
      <c r="N49" s="96"/>
      <c r="O49" s="186"/>
      <c r="P49" s="186"/>
      <c r="Q49" s="113"/>
      <c r="R49" s="113"/>
      <c r="S49" s="113"/>
      <c r="T49" s="156"/>
      <c r="U49" s="156"/>
      <c r="V49" s="113"/>
      <c r="W49" s="113"/>
      <c r="X49" s="113"/>
      <c r="Y49" s="113"/>
      <c r="Z49" s="113"/>
      <c r="AA49" s="113"/>
      <c r="AB49" s="113"/>
      <c r="AC49" s="132">
        <v>12</v>
      </c>
      <c r="AD49" s="142"/>
      <c r="AE49" s="88">
        <f t="shared" si="0"/>
        <v>12</v>
      </c>
      <c r="AF49" s="88">
        <v>41</v>
      </c>
      <c r="AG49" s="101">
        <f t="shared" si="1"/>
        <v>0.29268292682926828</v>
      </c>
      <c r="AI49" s="241">
        <f>OVERALL!A45</f>
        <v>42</v>
      </c>
      <c r="AJ49" s="247">
        <f>OVERALL!B45</f>
        <v>2301279</v>
      </c>
      <c r="AK49" s="243" t="str">
        <f>OVERALL!C45</f>
        <v>Tania</v>
      </c>
      <c r="AL49" s="244">
        <f t="shared" si="2"/>
        <v>41</v>
      </c>
      <c r="AM49" s="244">
        <f t="shared" si="3"/>
        <v>28</v>
      </c>
      <c r="AN49" s="245">
        <f t="shared" si="4"/>
        <v>68.292682926829272</v>
      </c>
      <c r="AO49" s="107" t="str">
        <f t="shared" si="5"/>
        <v>0</v>
      </c>
      <c r="AP49" s="248">
        <v>5</v>
      </c>
      <c r="AQ49" s="248">
        <v>5</v>
      </c>
      <c r="AR49" s="245">
        <f t="shared" si="6"/>
        <v>2.3043478260869565</v>
      </c>
      <c r="AS49" s="245">
        <f t="shared" si="7"/>
        <v>12</v>
      </c>
    </row>
    <row r="50" spans="1:45" ht="15.75" customHeight="1">
      <c r="A50" s="122">
        <v>46</v>
      </c>
      <c r="B50" s="105">
        <f>OVERALL!B49</f>
        <v>2301283</v>
      </c>
      <c r="C50" s="106" t="str">
        <f>OVERALL!C49</f>
        <v>Vaibhav Shahi</v>
      </c>
      <c r="D50" s="113"/>
      <c r="E50" s="113"/>
      <c r="F50" s="113"/>
      <c r="G50" s="113"/>
      <c r="H50" s="113"/>
      <c r="I50" s="113"/>
      <c r="J50" s="96"/>
      <c r="K50" s="96"/>
      <c r="L50" s="96"/>
      <c r="M50" s="96"/>
      <c r="N50" s="96"/>
      <c r="O50" s="186"/>
      <c r="P50" s="186"/>
      <c r="Q50" s="113"/>
      <c r="R50" s="113"/>
      <c r="S50" s="113"/>
      <c r="T50" s="156"/>
      <c r="U50" s="156"/>
      <c r="V50" s="113"/>
      <c r="W50" s="113"/>
      <c r="X50" s="113"/>
      <c r="Y50" s="113"/>
      <c r="Z50" s="113"/>
      <c r="AA50" s="113"/>
      <c r="AB50" s="113"/>
      <c r="AC50" s="132">
        <v>24</v>
      </c>
      <c r="AD50" s="142"/>
      <c r="AE50" s="88">
        <f t="shared" si="0"/>
        <v>24</v>
      </c>
      <c r="AF50" s="88">
        <v>41</v>
      </c>
      <c r="AG50" s="101">
        <f t="shared" si="1"/>
        <v>0.58536585365853655</v>
      </c>
      <c r="AI50" s="249">
        <f>OVERALL!A46</f>
        <v>43</v>
      </c>
      <c r="AJ50" s="250">
        <f>OVERALL!B46</f>
        <v>2301280</v>
      </c>
      <c r="AK50" s="251" t="str">
        <f>OVERALL!C46</f>
        <v>Taniya</v>
      </c>
      <c r="AL50" s="252">
        <f t="shared" si="2"/>
        <v>41</v>
      </c>
      <c r="AM50" s="252">
        <f t="shared" si="3"/>
        <v>11</v>
      </c>
      <c r="AN50" s="253">
        <f t="shared" si="4"/>
        <v>26.829268292682929</v>
      </c>
      <c r="AO50" s="128" t="str">
        <f t="shared" si="5"/>
        <v>0</v>
      </c>
      <c r="AP50" s="248">
        <v>5</v>
      </c>
      <c r="AQ50" s="248">
        <v>5</v>
      </c>
      <c r="AR50" s="245">
        <f t="shared" si="6"/>
        <v>1.6956521739130435</v>
      </c>
      <c r="AS50" s="253">
        <f t="shared" si="7"/>
        <v>12</v>
      </c>
    </row>
    <row r="51" spans="1:45" ht="15.75" customHeight="1">
      <c r="A51" s="122">
        <v>47</v>
      </c>
      <c r="B51" s="105">
        <f>OVERALL!B50</f>
        <v>2301284</v>
      </c>
      <c r="C51" s="106" t="str">
        <f>OVERALL!C50</f>
        <v>Vansh Kumar</v>
      </c>
      <c r="D51" s="113"/>
      <c r="E51" s="113"/>
      <c r="F51" s="113"/>
      <c r="G51" s="113"/>
      <c r="H51" s="113"/>
      <c r="I51" s="113"/>
      <c r="J51" s="96"/>
      <c r="K51" s="96"/>
      <c r="L51" s="96"/>
      <c r="M51" s="96"/>
      <c r="N51" s="96"/>
      <c r="O51" s="186"/>
      <c r="P51" s="186"/>
      <c r="Q51" s="113"/>
      <c r="R51" s="113"/>
      <c r="S51" s="113"/>
      <c r="T51" s="156"/>
      <c r="U51" s="156"/>
      <c r="V51" s="113"/>
      <c r="W51" s="113"/>
      <c r="X51" s="113"/>
      <c r="Y51" s="113"/>
      <c r="Z51" s="113"/>
      <c r="AA51" s="113"/>
      <c r="AB51" s="113"/>
      <c r="AC51" s="132">
        <v>1</v>
      </c>
      <c r="AD51" s="142"/>
      <c r="AE51" s="88">
        <f t="shared" si="0"/>
        <v>1</v>
      </c>
      <c r="AF51" s="88">
        <v>41</v>
      </c>
      <c r="AG51" s="101">
        <f t="shared" si="1"/>
        <v>2.4390243902439025E-2</v>
      </c>
      <c r="AI51" s="241">
        <f>OVERALL!A47</f>
        <v>44</v>
      </c>
      <c r="AJ51" s="242">
        <f>OVERALL!B47</f>
        <v>2301281</v>
      </c>
      <c r="AK51" s="243" t="str">
        <f>OVERALL!C47</f>
        <v>Taziko Trakha</v>
      </c>
      <c r="AL51" s="254">
        <f t="shared" si="2"/>
        <v>41</v>
      </c>
      <c r="AM51" s="254">
        <f t="shared" si="3"/>
        <v>30</v>
      </c>
      <c r="AN51" s="248">
        <f t="shared" si="4"/>
        <v>73.170731707317074</v>
      </c>
      <c r="AO51" s="255" t="str">
        <f t="shared" si="5"/>
        <v>0</v>
      </c>
      <c r="AP51" s="248">
        <v>5</v>
      </c>
      <c r="AQ51" s="248">
        <v>5</v>
      </c>
      <c r="AR51" s="245">
        <f t="shared" si="6"/>
        <v>3.3043478260869565</v>
      </c>
      <c r="AS51" s="256">
        <f t="shared" si="7"/>
        <v>13</v>
      </c>
    </row>
    <row r="52" spans="1:45" ht="15.75" customHeight="1">
      <c r="A52" s="122">
        <v>48</v>
      </c>
      <c r="B52" s="105">
        <f>OVERALL!B51</f>
        <v>2301285</v>
      </c>
      <c r="C52" s="106" t="str">
        <f>OVERALL!C51</f>
        <v>Vansh Sharma</v>
      </c>
      <c r="D52" s="113"/>
      <c r="E52" s="113"/>
      <c r="F52" s="113"/>
      <c r="G52" s="113"/>
      <c r="H52" s="113"/>
      <c r="I52" s="113"/>
      <c r="J52" s="96"/>
      <c r="K52" s="96"/>
      <c r="L52" s="96"/>
      <c r="M52" s="96"/>
      <c r="N52" s="96"/>
      <c r="O52" s="186"/>
      <c r="P52" s="186"/>
      <c r="Q52" s="113"/>
      <c r="R52" s="113"/>
      <c r="S52" s="113"/>
      <c r="T52" s="156"/>
      <c r="U52" s="156"/>
      <c r="V52" s="113"/>
      <c r="W52" s="113"/>
      <c r="X52" s="113"/>
      <c r="Y52" s="113"/>
      <c r="Z52" s="113"/>
      <c r="AA52" s="113"/>
      <c r="AB52" s="113"/>
      <c r="AC52" s="132">
        <v>27</v>
      </c>
      <c r="AD52" s="142"/>
      <c r="AE52" s="88">
        <f t="shared" si="0"/>
        <v>27</v>
      </c>
      <c r="AF52" s="88">
        <v>41</v>
      </c>
      <c r="AG52" s="101">
        <f t="shared" si="1"/>
        <v>0.65853658536585369</v>
      </c>
      <c r="AI52" s="241">
        <f>OVERALL!A48</f>
        <v>45</v>
      </c>
      <c r="AJ52" s="242">
        <f>OVERALL!B48</f>
        <v>2301282</v>
      </c>
      <c r="AK52" s="243" t="str">
        <f>OVERALL!C48</f>
        <v>Uday Kumar</v>
      </c>
      <c r="AL52" s="254">
        <f t="shared" si="2"/>
        <v>41</v>
      </c>
      <c r="AM52" s="254">
        <f t="shared" si="3"/>
        <v>12</v>
      </c>
      <c r="AN52" s="248">
        <f t="shared" si="4"/>
        <v>29.268292682926827</v>
      </c>
      <c r="AO52" s="255" t="str">
        <f t="shared" si="5"/>
        <v>0</v>
      </c>
      <c r="AP52" s="248">
        <v>0</v>
      </c>
      <c r="AQ52" s="248">
        <v>0</v>
      </c>
      <c r="AR52" s="245">
        <f t="shared" si="6"/>
        <v>1.6521739130434783</v>
      </c>
      <c r="AS52" s="256">
        <f t="shared" si="7"/>
        <v>2</v>
      </c>
    </row>
    <row r="53" spans="1:45" ht="15.75" customHeight="1">
      <c r="A53" s="122">
        <v>49</v>
      </c>
      <c r="B53" s="105">
        <f>OVERALL!B52</f>
        <v>2301286</v>
      </c>
      <c r="C53" s="106" t="str">
        <f>OVERALL!C52</f>
        <v>Vikramjit Singh</v>
      </c>
      <c r="D53" s="113"/>
      <c r="E53" s="113"/>
      <c r="F53" s="113"/>
      <c r="G53" s="113"/>
      <c r="H53" s="113"/>
      <c r="I53" s="113"/>
      <c r="J53" s="96"/>
      <c r="K53" s="96"/>
      <c r="L53" s="96"/>
      <c r="M53" s="96"/>
      <c r="N53" s="96"/>
      <c r="O53" s="186"/>
      <c r="P53" s="186"/>
      <c r="Q53" s="113"/>
      <c r="R53" s="113"/>
      <c r="S53" s="113"/>
      <c r="T53" s="156"/>
      <c r="U53" s="156"/>
      <c r="V53" s="113"/>
      <c r="W53" s="113"/>
      <c r="X53" s="113"/>
      <c r="Y53" s="113"/>
      <c r="Z53" s="113"/>
      <c r="AA53" s="113"/>
      <c r="AB53" s="113"/>
      <c r="AC53" s="132">
        <v>6</v>
      </c>
      <c r="AD53" s="142"/>
      <c r="AE53" s="88">
        <f t="shared" si="0"/>
        <v>6</v>
      </c>
      <c r="AF53" s="88">
        <v>41</v>
      </c>
      <c r="AG53" s="101">
        <f t="shared" si="1"/>
        <v>0.14634146341463414</v>
      </c>
      <c r="AI53" s="241">
        <f>OVERALL!A49</f>
        <v>46</v>
      </c>
      <c r="AJ53" s="242">
        <f>OVERALL!B49</f>
        <v>2301283</v>
      </c>
      <c r="AK53" s="243" t="str">
        <f>OVERALL!C49</f>
        <v>Vaibhav Shahi</v>
      </c>
      <c r="AL53" s="254">
        <f t="shared" si="2"/>
        <v>41</v>
      </c>
      <c r="AM53" s="254">
        <f t="shared" si="3"/>
        <v>24</v>
      </c>
      <c r="AN53" s="248">
        <f t="shared" si="4"/>
        <v>58.536585365853654</v>
      </c>
      <c r="AO53" s="255" t="str">
        <f t="shared" si="5"/>
        <v>0</v>
      </c>
      <c r="AP53" s="248">
        <v>0</v>
      </c>
      <c r="AQ53" s="248">
        <v>0</v>
      </c>
      <c r="AR53" s="245">
        <f t="shared" si="6"/>
        <v>4.5652173913043477</v>
      </c>
      <c r="AS53" s="256">
        <f t="shared" si="7"/>
        <v>5</v>
      </c>
    </row>
    <row r="54" spans="1:45" ht="15.75" customHeight="1">
      <c r="A54" s="122">
        <v>50</v>
      </c>
      <c r="B54" s="105">
        <f>OVERALL!B53</f>
        <v>2301287</v>
      </c>
      <c r="C54" s="106" t="str">
        <f>OVERALL!C53</f>
        <v>Vishavjit Singh</v>
      </c>
      <c r="D54" s="113"/>
      <c r="E54" s="113"/>
      <c r="F54" s="113"/>
      <c r="G54" s="113"/>
      <c r="H54" s="113"/>
      <c r="I54" s="113"/>
      <c r="J54" s="96"/>
      <c r="K54" s="96"/>
      <c r="L54" s="96"/>
      <c r="M54" s="96"/>
      <c r="N54" s="96"/>
      <c r="O54" s="186"/>
      <c r="P54" s="186"/>
      <c r="Q54" s="113"/>
      <c r="R54" s="113"/>
      <c r="S54" s="113"/>
      <c r="T54" s="156"/>
      <c r="U54" s="156"/>
      <c r="V54" s="113"/>
      <c r="W54" s="113"/>
      <c r="X54" s="113"/>
      <c r="Y54" s="113"/>
      <c r="Z54" s="113"/>
      <c r="AA54" s="113"/>
      <c r="AB54" s="113"/>
      <c r="AC54" s="132">
        <v>9</v>
      </c>
      <c r="AD54" s="142"/>
      <c r="AE54" s="88">
        <f t="shared" si="0"/>
        <v>9</v>
      </c>
      <c r="AF54" s="88">
        <v>41</v>
      </c>
      <c r="AG54" s="101">
        <f t="shared" si="1"/>
        <v>0.21951219512195122</v>
      </c>
      <c r="AI54" s="241">
        <f>OVERALL!A50</f>
        <v>47</v>
      </c>
      <c r="AJ54" s="242">
        <f>OVERALL!B50</f>
        <v>2301284</v>
      </c>
      <c r="AK54" s="243" t="str">
        <f>OVERALL!C50</f>
        <v>Vansh Kumar</v>
      </c>
      <c r="AL54" s="254">
        <f t="shared" si="2"/>
        <v>41</v>
      </c>
      <c r="AM54" s="254">
        <f t="shared" si="3"/>
        <v>1</v>
      </c>
      <c r="AN54" s="248">
        <f t="shared" si="4"/>
        <v>2.4390243902439024</v>
      </c>
      <c r="AO54" s="255" t="str">
        <f t="shared" si="5"/>
        <v>0</v>
      </c>
      <c r="AP54" s="248">
        <v>0</v>
      </c>
      <c r="AQ54" s="248">
        <v>0</v>
      </c>
      <c r="AR54" s="245">
        <f t="shared" si="6"/>
        <v>0.2608695652173913</v>
      </c>
      <c r="AS54" s="256">
        <f t="shared" si="7"/>
        <v>0</v>
      </c>
    </row>
    <row r="55" spans="1:45" ht="15.75" customHeight="1">
      <c r="A55" s="122">
        <v>51</v>
      </c>
      <c r="B55" s="105">
        <f>OVERALL!B54</f>
        <v>2339508</v>
      </c>
      <c r="C55" s="106" t="str">
        <f>OVERALL!C54</f>
        <v>TANISHA</v>
      </c>
      <c r="D55" s="113"/>
      <c r="E55" s="113"/>
      <c r="F55" s="113"/>
      <c r="G55" s="113"/>
      <c r="H55" s="113"/>
      <c r="I55" s="113"/>
      <c r="J55" s="96"/>
      <c r="K55" s="96"/>
      <c r="L55" s="96"/>
      <c r="M55" s="96"/>
      <c r="N55" s="96"/>
      <c r="O55" s="186"/>
      <c r="P55" s="186"/>
      <c r="Q55" s="113"/>
      <c r="R55" s="113"/>
      <c r="S55" s="113"/>
      <c r="T55" s="156"/>
      <c r="U55" s="156"/>
      <c r="V55" s="113"/>
      <c r="W55" s="113"/>
      <c r="X55" s="113"/>
      <c r="Y55" s="113"/>
      <c r="Z55" s="113"/>
      <c r="AA55" s="113"/>
      <c r="AB55" s="113"/>
      <c r="AC55" s="132">
        <v>31</v>
      </c>
      <c r="AD55" s="142"/>
      <c r="AE55" s="88">
        <f t="shared" si="0"/>
        <v>31</v>
      </c>
      <c r="AF55" s="88">
        <v>41</v>
      </c>
      <c r="AG55" s="101">
        <f t="shared" si="1"/>
        <v>0.75609756097560976</v>
      </c>
      <c r="AI55" s="241">
        <f>OVERALL!A51</f>
        <v>48</v>
      </c>
      <c r="AJ55" s="242">
        <f>OVERALL!B51</f>
        <v>2301285</v>
      </c>
      <c r="AK55" s="243" t="str">
        <f>OVERALL!C51</f>
        <v>Vansh Sharma</v>
      </c>
      <c r="AL55" s="254">
        <f t="shared" si="2"/>
        <v>41</v>
      </c>
      <c r="AM55" s="254">
        <f t="shared" si="3"/>
        <v>27</v>
      </c>
      <c r="AN55" s="248">
        <f t="shared" si="4"/>
        <v>65.853658536585371</v>
      </c>
      <c r="AO55" s="255" t="str">
        <f t="shared" si="5"/>
        <v>0</v>
      </c>
      <c r="AP55" s="248">
        <v>5</v>
      </c>
      <c r="AQ55" s="248">
        <v>5</v>
      </c>
      <c r="AR55" s="245">
        <f t="shared" si="6"/>
        <v>5.2608695652173916</v>
      </c>
      <c r="AS55" s="256">
        <f t="shared" si="7"/>
        <v>15</v>
      </c>
    </row>
    <row r="56" spans="1:45" ht="15.75" customHeight="1">
      <c r="A56" s="122">
        <v>52</v>
      </c>
      <c r="B56" s="105">
        <f>OVERALL!B55</f>
        <v>2339509</v>
      </c>
      <c r="C56" s="106" t="str">
        <f>OVERALL!C55</f>
        <v>TOHIED AHMED</v>
      </c>
      <c r="D56" s="113"/>
      <c r="E56" s="113"/>
      <c r="F56" s="113"/>
      <c r="G56" s="113"/>
      <c r="H56" s="113"/>
      <c r="I56" s="113"/>
      <c r="J56" s="96"/>
      <c r="K56" s="96"/>
      <c r="L56" s="96"/>
      <c r="M56" s="96"/>
      <c r="N56" s="96"/>
      <c r="O56" s="186"/>
      <c r="P56" s="186"/>
      <c r="Q56" s="113"/>
      <c r="R56" s="113"/>
      <c r="S56" s="113"/>
      <c r="T56" s="156"/>
      <c r="U56" s="156"/>
      <c r="V56" s="113"/>
      <c r="W56" s="113"/>
      <c r="X56" s="113"/>
      <c r="Y56" s="113"/>
      <c r="Z56" s="113"/>
      <c r="AA56" s="113"/>
      <c r="AB56" s="113"/>
      <c r="AC56" s="240">
        <f t="shared" ref="AC56:AC57" si="8">COUNTIF(D56:AB56,"P")*2</f>
        <v>0</v>
      </c>
      <c r="AD56" s="142"/>
      <c r="AE56" s="88">
        <f t="shared" si="0"/>
        <v>0</v>
      </c>
      <c r="AF56" s="88">
        <v>41</v>
      </c>
      <c r="AG56" s="101">
        <f t="shared" si="1"/>
        <v>0</v>
      </c>
      <c r="AI56" s="241">
        <f>OVERALL!A52</f>
        <v>49</v>
      </c>
      <c r="AJ56" s="242">
        <f>OVERALL!B52</f>
        <v>2301286</v>
      </c>
      <c r="AK56" s="243" t="str">
        <f>OVERALL!C52</f>
        <v>Vikramjit Singh</v>
      </c>
      <c r="AL56" s="254">
        <f t="shared" si="2"/>
        <v>41</v>
      </c>
      <c r="AM56" s="254">
        <f t="shared" si="3"/>
        <v>6</v>
      </c>
      <c r="AN56" s="248">
        <f t="shared" si="4"/>
        <v>14.634146341463413</v>
      </c>
      <c r="AO56" s="255" t="str">
        <f t="shared" si="5"/>
        <v>0</v>
      </c>
      <c r="AP56" s="248">
        <v>0</v>
      </c>
      <c r="AQ56" s="248">
        <v>0</v>
      </c>
      <c r="AR56" s="245">
        <f t="shared" si="6"/>
        <v>0.69565217391304346</v>
      </c>
      <c r="AS56" s="256">
        <f t="shared" si="7"/>
        <v>1</v>
      </c>
    </row>
    <row r="57" spans="1:45" ht="15.75" customHeight="1">
      <c r="A57" s="122">
        <v>53</v>
      </c>
      <c r="B57" s="105">
        <f>OVERALL!B56</f>
        <v>2301207</v>
      </c>
      <c r="C57" s="106" t="str">
        <f>OVERALL!C56</f>
        <v>Harsh thakur</v>
      </c>
      <c r="D57" s="113"/>
      <c r="E57" s="113"/>
      <c r="F57" s="113"/>
      <c r="G57" s="113"/>
      <c r="H57" s="113"/>
      <c r="I57" s="113"/>
      <c r="J57" s="96"/>
      <c r="K57" s="96"/>
      <c r="L57" s="96"/>
      <c r="M57" s="96"/>
      <c r="N57" s="96"/>
      <c r="O57" s="186"/>
      <c r="P57" s="186"/>
      <c r="Q57" s="113"/>
      <c r="R57" s="113"/>
      <c r="S57" s="113"/>
      <c r="T57" s="156"/>
      <c r="U57" s="156"/>
      <c r="V57" s="113"/>
      <c r="W57" s="113"/>
      <c r="X57" s="113"/>
      <c r="Y57" s="113"/>
      <c r="Z57" s="113"/>
      <c r="AA57" s="113"/>
      <c r="AB57" s="113"/>
      <c r="AC57" s="240">
        <f t="shared" si="8"/>
        <v>0</v>
      </c>
      <c r="AD57" s="142"/>
      <c r="AE57" s="88">
        <f t="shared" si="0"/>
        <v>0</v>
      </c>
      <c r="AF57" s="88">
        <v>41</v>
      </c>
      <c r="AG57" s="101">
        <f t="shared" si="1"/>
        <v>0</v>
      </c>
      <c r="AI57" s="241">
        <f>OVERALL!A53</f>
        <v>50</v>
      </c>
      <c r="AJ57" s="242">
        <f>OVERALL!B53</f>
        <v>2301287</v>
      </c>
      <c r="AK57" s="243" t="str">
        <f>OVERALL!C53</f>
        <v>Vishavjit Singh</v>
      </c>
      <c r="AL57" s="254">
        <f t="shared" si="2"/>
        <v>41</v>
      </c>
      <c r="AM57" s="254">
        <f t="shared" si="3"/>
        <v>9</v>
      </c>
      <c r="AN57" s="248">
        <f t="shared" si="4"/>
        <v>21.951219512195124</v>
      </c>
      <c r="AO57" s="255" t="str">
        <f t="shared" si="5"/>
        <v>0</v>
      </c>
      <c r="AP57" s="248">
        <v>0</v>
      </c>
      <c r="AQ57" s="248">
        <v>0</v>
      </c>
      <c r="AR57" s="245">
        <f t="shared" si="6"/>
        <v>1.0434782608695652</v>
      </c>
      <c r="AS57" s="256">
        <f t="shared" si="7"/>
        <v>1</v>
      </c>
    </row>
    <row r="58" spans="1:45" ht="15.75" customHeight="1">
      <c r="A58" s="122">
        <v>54</v>
      </c>
      <c r="B58" s="105" t="str">
        <f>OVERALL!B57</f>
        <v>Leet</v>
      </c>
      <c r="C58" s="106" t="str">
        <f>OVERALL!C57</f>
        <v>Gagan</v>
      </c>
      <c r="D58" s="113"/>
      <c r="E58" s="113"/>
      <c r="F58" s="113"/>
      <c r="G58" s="113"/>
      <c r="H58" s="113"/>
      <c r="I58" s="113"/>
      <c r="J58" s="96"/>
      <c r="K58" s="96"/>
      <c r="L58" s="96"/>
      <c r="M58" s="96"/>
      <c r="N58" s="96"/>
      <c r="O58" s="186"/>
      <c r="P58" s="186"/>
      <c r="Q58" s="113"/>
      <c r="R58" s="113"/>
      <c r="S58" s="113"/>
      <c r="T58" s="156"/>
      <c r="U58" s="156"/>
      <c r="V58" s="113"/>
      <c r="W58" s="113"/>
      <c r="X58" s="113"/>
      <c r="Y58" s="113"/>
      <c r="Z58" s="113"/>
      <c r="AA58" s="113"/>
      <c r="AB58" s="113"/>
      <c r="AC58" s="132">
        <v>33</v>
      </c>
      <c r="AD58" s="142"/>
      <c r="AE58" s="88">
        <f t="shared" si="0"/>
        <v>33</v>
      </c>
      <c r="AF58" s="88">
        <v>41</v>
      </c>
      <c r="AG58" s="101">
        <f t="shared" si="1"/>
        <v>0.80487804878048785</v>
      </c>
      <c r="AI58" s="241">
        <f>OVERALL!A54</f>
        <v>51</v>
      </c>
      <c r="AJ58" s="242">
        <f>OVERALL!B54</f>
        <v>2339508</v>
      </c>
      <c r="AK58" s="243" t="str">
        <f>OVERALL!C54</f>
        <v>TANISHA</v>
      </c>
      <c r="AL58" s="254">
        <f t="shared" si="2"/>
        <v>41</v>
      </c>
      <c r="AM58" s="254">
        <f t="shared" si="3"/>
        <v>31</v>
      </c>
      <c r="AN58" s="248">
        <f t="shared" si="4"/>
        <v>75.609756097560975</v>
      </c>
      <c r="AO58" s="255" t="str">
        <f t="shared" si="5"/>
        <v>2</v>
      </c>
      <c r="AP58" s="248">
        <v>6</v>
      </c>
      <c r="AQ58" s="248">
        <v>5</v>
      </c>
      <c r="AR58" s="245">
        <f t="shared" si="6"/>
        <v>6.2608695652173916</v>
      </c>
      <c r="AS58" s="256">
        <f t="shared" si="7"/>
        <v>19</v>
      </c>
    </row>
    <row r="59" spans="1:45" ht="15.75" customHeight="1">
      <c r="A59" s="122">
        <v>55</v>
      </c>
      <c r="B59" s="105" t="str">
        <f>OVERALL!B58</f>
        <v>Leet</v>
      </c>
      <c r="C59" s="106" t="str">
        <f>OVERALL!C58</f>
        <v>Manisha</v>
      </c>
      <c r="D59" s="113"/>
      <c r="E59" s="113"/>
      <c r="F59" s="113"/>
      <c r="G59" s="113"/>
      <c r="H59" s="113"/>
      <c r="I59" s="113"/>
      <c r="J59" s="96"/>
      <c r="K59" s="96"/>
      <c r="L59" s="96"/>
      <c r="M59" s="96"/>
      <c r="N59" s="96"/>
      <c r="O59" s="186"/>
      <c r="P59" s="186"/>
      <c r="Q59" s="113"/>
      <c r="R59" s="113"/>
      <c r="S59" s="113"/>
      <c r="T59" s="156"/>
      <c r="U59" s="156"/>
      <c r="V59" s="113"/>
      <c r="W59" s="113"/>
      <c r="X59" s="113"/>
      <c r="Y59" s="113"/>
      <c r="Z59" s="113"/>
      <c r="AA59" s="113"/>
      <c r="AB59" s="113"/>
      <c r="AC59" s="132">
        <v>38</v>
      </c>
      <c r="AD59" s="142"/>
      <c r="AE59" s="88">
        <f t="shared" si="0"/>
        <v>38</v>
      </c>
      <c r="AF59" s="88">
        <v>41</v>
      </c>
      <c r="AG59" s="101">
        <f t="shared" si="1"/>
        <v>0.92682926829268297</v>
      </c>
      <c r="AI59" s="241">
        <f>OVERALL!A55</f>
        <v>52</v>
      </c>
      <c r="AJ59" s="242">
        <f>OVERALL!B55</f>
        <v>2339509</v>
      </c>
      <c r="AK59" s="243" t="str">
        <f>OVERALL!C55</f>
        <v>TOHIED AHMED</v>
      </c>
      <c r="AL59" s="254">
        <f t="shared" si="2"/>
        <v>41</v>
      </c>
      <c r="AM59" s="254">
        <f t="shared" si="3"/>
        <v>0</v>
      </c>
      <c r="AN59" s="248">
        <f t="shared" si="4"/>
        <v>0</v>
      </c>
      <c r="AO59" s="255" t="str">
        <f t="shared" si="5"/>
        <v>0</v>
      </c>
      <c r="AP59" s="248">
        <v>0</v>
      </c>
      <c r="AQ59" s="248">
        <v>0</v>
      </c>
      <c r="AR59" s="245">
        <f t="shared" si="6"/>
        <v>0</v>
      </c>
      <c r="AS59" s="256">
        <f t="shared" si="7"/>
        <v>0</v>
      </c>
    </row>
    <row r="60" spans="1:45" ht="15.75" customHeight="1">
      <c r="A60" s="122">
        <v>56</v>
      </c>
      <c r="B60" s="105" t="str">
        <f>OVERALL!B59</f>
        <v>Leet</v>
      </c>
      <c r="C60" s="106" t="str">
        <f>OVERALL!C59</f>
        <v>Richa</v>
      </c>
      <c r="D60" s="113"/>
      <c r="E60" s="113"/>
      <c r="F60" s="113"/>
      <c r="G60" s="113"/>
      <c r="H60" s="113"/>
      <c r="I60" s="113"/>
      <c r="J60" s="96"/>
      <c r="K60" s="96"/>
      <c r="L60" s="96"/>
      <c r="M60" s="96"/>
      <c r="N60" s="96"/>
      <c r="O60" s="186"/>
      <c r="P60" s="186"/>
      <c r="Q60" s="113"/>
      <c r="R60" s="113"/>
      <c r="S60" s="113"/>
      <c r="T60" s="156"/>
      <c r="U60" s="156"/>
      <c r="V60" s="113"/>
      <c r="W60" s="113"/>
      <c r="X60" s="113"/>
      <c r="Y60" s="113"/>
      <c r="Z60" s="113"/>
      <c r="AA60" s="113"/>
      <c r="AB60" s="113"/>
      <c r="AC60" s="132">
        <v>38</v>
      </c>
      <c r="AD60" s="146"/>
      <c r="AE60" s="88">
        <f t="shared" si="0"/>
        <v>38</v>
      </c>
      <c r="AF60" s="88">
        <v>41</v>
      </c>
      <c r="AG60" s="101">
        <f t="shared" si="1"/>
        <v>0.92682926829268297</v>
      </c>
      <c r="AI60" s="241">
        <f>OVERALL!A56</f>
        <v>53</v>
      </c>
      <c r="AJ60" s="242">
        <f>OVERALL!B56</f>
        <v>2301207</v>
      </c>
      <c r="AK60" s="243" t="str">
        <f>OVERALL!C56</f>
        <v>Harsh thakur</v>
      </c>
      <c r="AL60" s="254">
        <f t="shared" si="2"/>
        <v>41</v>
      </c>
      <c r="AM60" s="254">
        <f t="shared" si="3"/>
        <v>0</v>
      </c>
      <c r="AN60" s="248">
        <f t="shared" si="4"/>
        <v>0</v>
      </c>
      <c r="AO60" s="255" t="str">
        <f t="shared" si="5"/>
        <v>0</v>
      </c>
      <c r="AP60" s="248">
        <v>0</v>
      </c>
      <c r="AQ60" s="255">
        <v>0</v>
      </c>
      <c r="AR60" s="245">
        <f t="shared" si="6"/>
        <v>0</v>
      </c>
      <c r="AS60" s="256">
        <f t="shared" si="7"/>
        <v>0</v>
      </c>
    </row>
    <row r="61" spans="1:45" ht="15.75" customHeight="1">
      <c r="A61" s="122">
        <v>57</v>
      </c>
      <c r="B61" s="105" t="str">
        <f>OVERALL!B60</f>
        <v>Leet</v>
      </c>
      <c r="C61" s="106" t="str">
        <f>OVERALL!C60</f>
        <v>Prakriti</v>
      </c>
      <c r="D61" s="113"/>
      <c r="E61" s="113"/>
      <c r="F61" s="113"/>
      <c r="G61" s="113"/>
      <c r="H61" s="113"/>
      <c r="I61" s="113"/>
      <c r="J61" s="96"/>
      <c r="K61" s="96"/>
      <c r="L61" s="96"/>
      <c r="M61" s="96"/>
      <c r="N61" s="96"/>
      <c r="O61" s="186"/>
      <c r="P61" s="186"/>
      <c r="Q61" s="113"/>
      <c r="R61" s="113"/>
      <c r="S61" s="113"/>
      <c r="T61" s="156"/>
      <c r="U61" s="156"/>
      <c r="V61" s="113"/>
      <c r="W61" s="113"/>
      <c r="X61" s="113"/>
      <c r="Y61" s="113"/>
      <c r="Z61" s="113"/>
      <c r="AA61" s="113"/>
      <c r="AB61" s="113"/>
      <c r="AC61" s="88">
        <v>28</v>
      </c>
      <c r="AD61" s="142"/>
      <c r="AE61" s="88">
        <f t="shared" si="0"/>
        <v>28</v>
      </c>
      <c r="AF61" s="88">
        <v>41</v>
      </c>
      <c r="AG61" s="101">
        <f t="shared" si="1"/>
        <v>0.68292682926829273</v>
      </c>
      <c r="AI61" s="241">
        <f>OVERALL!A57</f>
        <v>54</v>
      </c>
      <c r="AJ61" s="242" t="str">
        <f>OVERALL!B57</f>
        <v>Leet</v>
      </c>
      <c r="AK61" s="243" t="str">
        <f>OVERALL!C57</f>
        <v>Gagan</v>
      </c>
      <c r="AL61" s="254">
        <f t="shared" si="2"/>
        <v>41</v>
      </c>
      <c r="AM61" s="254">
        <f t="shared" si="3"/>
        <v>33</v>
      </c>
      <c r="AN61" s="248">
        <f t="shared" si="4"/>
        <v>80.487804878048792</v>
      </c>
      <c r="AO61" s="255" t="str">
        <f t="shared" si="5"/>
        <v>2</v>
      </c>
      <c r="AP61" s="248">
        <v>5</v>
      </c>
      <c r="AQ61" s="255">
        <v>5</v>
      </c>
      <c r="AR61" s="245">
        <f t="shared" si="6"/>
        <v>6.7391304347826084</v>
      </c>
      <c r="AS61" s="256">
        <f t="shared" si="7"/>
        <v>19</v>
      </c>
    </row>
    <row r="62" spans="1:45" ht="15.75" customHeight="1">
      <c r="A62" s="122">
        <v>58</v>
      </c>
      <c r="B62" s="105" t="str">
        <f>OVERALL!B61</f>
        <v>leet</v>
      </c>
      <c r="C62" s="106" t="str">
        <f>OVERALL!C61</f>
        <v>Shubham</v>
      </c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86"/>
      <c r="P62" s="186"/>
      <c r="Q62" s="113"/>
      <c r="R62" s="113"/>
      <c r="S62" s="113"/>
      <c r="T62" s="156"/>
      <c r="U62" s="156"/>
      <c r="V62" s="113"/>
      <c r="W62" s="113"/>
      <c r="X62" s="113"/>
      <c r="Y62" s="113"/>
      <c r="Z62" s="113"/>
      <c r="AA62" s="113"/>
      <c r="AB62" s="113"/>
      <c r="AC62" s="132">
        <v>20</v>
      </c>
      <c r="AD62" s="257"/>
      <c r="AE62" s="88">
        <f t="shared" si="0"/>
        <v>20</v>
      </c>
      <c r="AF62" s="88">
        <v>41</v>
      </c>
      <c r="AG62" s="101">
        <f t="shared" si="1"/>
        <v>0.48780487804878048</v>
      </c>
      <c r="AI62" s="241">
        <f>OVERALL!A58</f>
        <v>55</v>
      </c>
      <c r="AJ62" s="242" t="str">
        <f>OVERALL!B58</f>
        <v>Leet</v>
      </c>
      <c r="AK62" s="243" t="str">
        <f>OVERALL!C58</f>
        <v>Manisha</v>
      </c>
      <c r="AL62" s="254">
        <f t="shared" si="2"/>
        <v>41</v>
      </c>
      <c r="AM62" s="254">
        <f t="shared" si="3"/>
        <v>38</v>
      </c>
      <c r="AN62" s="248">
        <f t="shared" si="4"/>
        <v>92.682926829268297</v>
      </c>
      <c r="AO62" s="255" t="str">
        <f t="shared" si="5"/>
        <v>5</v>
      </c>
      <c r="AP62" s="248">
        <v>6</v>
      </c>
      <c r="AQ62" s="255">
        <v>6</v>
      </c>
      <c r="AR62" s="245">
        <f t="shared" si="6"/>
        <v>7.2608695652173916</v>
      </c>
      <c r="AS62" s="256">
        <f t="shared" si="7"/>
        <v>24</v>
      </c>
    </row>
    <row r="63" spans="1:45" ht="15.75" customHeight="1">
      <c r="A63" s="258"/>
      <c r="B63" s="259"/>
      <c r="C63" s="106">
        <f>OVERALL!C62</f>
        <v>0</v>
      </c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86"/>
      <c r="P63" s="186"/>
      <c r="Q63" s="113"/>
      <c r="R63" s="113"/>
      <c r="S63" s="113"/>
      <c r="T63" s="156"/>
      <c r="U63" s="156"/>
      <c r="V63" s="113"/>
      <c r="W63" s="113"/>
      <c r="X63" s="113"/>
      <c r="Y63" s="113"/>
      <c r="Z63" s="113"/>
      <c r="AA63" s="113"/>
      <c r="AB63" s="113"/>
      <c r="AC63" s="132"/>
      <c r="AD63" s="132"/>
      <c r="AE63" s="132"/>
      <c r="AF63" s="132"/>
      <c r="AG63" s="101"/>
      <c r="AI63" s="241">
        <f>OVERALL!A59</f>
        <v>56</v>
      </c>
      <c r="AJ63" s="242" t="str">
        <f>OVERALL!B59</f>
        <v>Leet</v>
      </c>
      <c r="AK63" s="243" t="str">
        <f>OVERALL!C59</f>
        <v>Richa</v>
      </c>
      <c r="AL63" s="254">
        <f t="shared" si="2"/>
        <v>41</v>
      </c>
      <c r="AM63" s="254">
        <f t="shared" si="3"/>
        <v>38</v>
      </c>
      <c r="AN63" s="248">
        <f t="shared" si="4"/>
        <v>92.682926829268297</v>
      </c>
      <c r="AO63" s="255" t="str">
        <f t="shared" si="5"/>
        <v>5</v>
      </c>
      <c r="AP63" s="248">
        <v>7</v>
      </c>
      <c r="AQ63" s="255">
        <v>6</v>
      </c>
      <c r="AR63" s="245">
        <f t="shared" si="6"/>
        <v>7.8260869565217392</v>
      </c>
      <c r="AS63" s="256">
        <f t="shared" si="7"/>
        <v>26</v>
      </c>
    </row>
    <row r="64" spans="1:45" ht="15.75" customHeight="1">
      <c r="A64" s="260"/>
      <c r="B64" s="259"/>
      <c r="C64" s="261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86"/>
      <c r="P64" s="186"/>
      <c r="Q64" s="113"/>
      <c r="R64" s="113"/>
      <c r="S64" s="113"/>
      <c r="T64" s="156"/>
      <c r="U64" s="156"/>
      <c r="V64" s="113"/>
      <c r="W64" s="113"/>
      <c r="X64" s="113"/>
      <c r="Y64" s="113"/>
      <c r="Z64" s="113"/>
      <c r="AA64" s="113"/>
      <c r="AB64" s="113"/>
      <c r="AC64" s="132"/>
      <c r="AD64" s="132"/>
      <c r="AE64" s="132"/>
      <c r="AF64" s="132"/>
      <c r="AG64" s="101"/>
      <c r="AI64" s="241">
        <f>OVERALL!A60</f>
        <v>57</v>
      </c>
      <c r="AJ64" s="242" t="str">
        <f>OVERALL!B60</f>
        <v>Leet</v>
      </c>
      <c r="AK64" s="243" t="str">
        <f>OVERALL!C60</f>
        <v>Prakriti</v>
      </c>
      <c r="AL64" s="254">
        <f t="shared" si="2"/>
        <v>41</v>
      </c>
      <c r="AM64" s="254">
        <f t="shared" si="3"/>
        <v>28</v>
      </c>
      <c r="AN64" s="248">
        <f t="shared" si="4"/>
        <v>68.292682926829272</v>
      </c>
      <c r="AO64" s="255" t="str">
        <f t="shared" si="5"/>
        <v>0</v>
      </c>
      <c r="AP64" s="248">
        <v>6</v>
      </c>
      <c r="AQ64" s="255">
        <v>6</v>
      </c>
      <c r="AR64" s="245">
        <f t="shared" si="6"/>
        <v>7.3684210526315788</v>
      </c>
      <c r="AS64" s="256">
        <f t="shared" si="7"/>
        <v>19</v>
      </c>
    </row>
    <row r="65" spans="1:45" ht="15.75" customHeight="1">
      <c r="A65" s="260"/>
      <c r="B65" s="259"/>
      <c r="C65" s="261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86"/>
      <c r="P65" s="186"/>
      <c r="Q65" s="113"/>
      <c r="R65" s="113"/>
      <c r="S65" s="113"/>
      <c r="T65" s="156"/>
      <c r="U65" s="156"/>
      <c r="V65" s="113"/>
      <c r="W65" s="113"/>
      <c r="X65" s="113"/>
      <c r="Y65" s="113"/>
      <c r="Z65" s="113"/>
      <c r="AA65" s="113"/>
      <c r="AB65" s="113"/>
      <c r="AC65" s="132"/>
      <c r="AD65" s="132"/>
      <c r="AE65" s="132"/>
      <c r="AF65" s="132"/>
      <c r="AG65" s="101"/>
      <c r="AI65" s="241">
        <f>OVERALL!A61</f>
        <v>58</v>
      </c>
      <c r="AJ65" s="242" t="str">
        <f>OVERALL!B61</f>
        <v>leet</v>
      </c>
      <c r="AK65" s="243" t="str">
        <f>OVERALL!C61</f>
        <v>Shubham</v>
      </c>
      <c r="AL65" s="254">
        <f t="shared" si="2"/>
        <v>41</v>
      </c>
      <c r="AM65" s="254">
        <f t="shared" si="3"/>
        <v>20</v>
      </c>
      <c r="AN65" s="248">
        <f t="shared" si="4"/>
        <v>48.780487804878049</v>
      </c>
      <c r="AO65" s="255" t="str">
        <f t="shared" si="5"/>
        <v>0</v>
      </c>
      <c r="AP65" s="248">
        <v>5</v>
      </c>
      <c r="AQ65" s="255">
        <v>5</v>
      </c>
      <c r="AR65" s="245">
        <f t="shared" si="6"/>
        <v>6.3529411764705879</v>
      </c>
      <c r="AS65" s="256">
        <f t="shared" si="7"/>
        <v>16</v>
      </c>
    </row>
    <row r="66" spans="1:45" ht="15.75" customHeight="1">
      <c r="A66" s="260"/>
      <c r="B66" s="262"/>
      <c r="C66" s="262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86"/>
      <c r="P66" s="186"/>
      <c r="Q66" s="113"/>
      <c r="R66" s="113"/>
      <c r="S66" s="113"/>
      <c r="T66" s="156"/>
      <c r="U66" s="156"/>
      <c r="V66" s="113"/>
      <c r="W66" s="113"/>
      <c r="X66" s="113"/>
      <c r="Y66" s="113"/>
      <c r="Z66" s="113"/>
      <c r="AA66" s="113"/>
      <c r="AB66" s="113"/>
      <c r="AC66" s="132"/>
      <c r="AD66" s="132"/>
      <c r="AE66" s="132"/>
      <c r="AF66" s="132"/>
      <c r="AG66" s="101"/>
      <c r="AJ66" s="40"/>
    </row>
    <row r="67" spans="1:45" ht="15.75" customHeight="1">
      <c r="A67" s="258"/>
      <c r="B67" s="263"/>
      <c r="C67" s="263"/>
      <c r="D67" s="121"/>
      <c r="E67" s="121"/>
      <c r="F67" s="121"/>
      <c r="G67" s="121"/>
      <c r="H67" s="121"/>
      <c r="I67" s="121"/>
      <c r="J67" s="96"/>
      <c r="K67" s="96"/>
      <c r="L67" s="96"/>
      <c r="M67" s="96"/>
      <c r="N67" s="96"/>
      <c r="O67" s="264"/>
      <c r="P67" s="264"/>
      <c r="Q67" s="113"/>
      <c r="R67" s="113"/>
      <c r="S67" s="113"/>
      <c r="T67" s="265"/>
      <c r="U67" s="265"/>
      <c r="V67" s="266"/>
      <c r="W67" s="266"/>
      <c r="X67" s="266"/>
      <c r="Y67" s="266"/>
      <c r="Z67" s="266"/>
      <c r="AA67" s="266"/>
      <c r="AB67" s="266"/>
      <c r="AC67" s="88"/>
      <c r="AD67" s="88"/>
      <c r="AE67" s="88"/>
      <c r="AF67" s="88"/>
      <c r="AG67" s="101"/>
      <c r="AJ67" s="40"/>
    </row>
    <row r="68" spans="1:45" ht="15.75" customHeight="1">
      <c r="A68" s="258"/>
      <c r="B68" s="263"/>
      <c r="C68" s="263"/>
      <c r="D68" s="113"/>
      <c r="E68" s="113"/>
      <c r="F68" s="113"/>
      <c r="G68" s="113"/>
      <c r="H68" s="113"/>
      <c r="I68" s="113"/>
      <c r="J68" s="96"/>
      <c r="K68" s="124"/>
      <c r="L68" s="124"/>
      <c r="M68" s="124"/>
      <c r="N68" s="124"/>
      <c r="O68" s="121"/>
      <c r="P68" s="113"/>
      <c r="Q68" s="113"/>
      <c r="R68" s="113"/>
      <c r="S68" s="113"/>
      <c r="T68" s="113"/>
      <c r="U68" s="113"/>
      <c r="V68" s="132"/>
      <c r="W68" s="132"/>
      <c r="X68" s="132"/>
      <c r="Y68" s="132"/>
      <c r="Z68" s="132"/>
      <c r="AA68" s="132"/>
      <c r="AB68" s="132"/>
      <c r="AC68" s="88"/>
      <c r="AD68" s="88"/>
      <c r="AE68" s="88"/>
      <c r="AF68" s="88"/>
      <c r="AG68" s="101"/>
      <c r="AJ68" s="40"/>
    </row>
    <row r="69" spans="1:45" ht="15.75" customHeight="1">
      <c r="A69" s="134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51"/>
      <c r="AF69" s="24"/>
      <c r="AG69" s="24"/>
      <c r="AJ69" s="40"/>
    </row>
    <row r="70" spans="1:45" ht="15.75" customHeight="1">
      <c r="A70" s="134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51"/>
      <c r="AF70" s="24"/>
      <c r="AG70" s="24"/>
      <c r="AJ70" s="40"/>
    </row>
    <row r="71" spans="1:45" ht="15.75" customHeight="1">
      <c r="A71" s="134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51"/>
      <c r="AF71" s="24"/>
      <c r="AG71" s="24"/>
      <c r="AJ71" s="40"/>
    </row>
    <row r="72" spans="1:45" ht="15.75" customHeight="1">
      <c r="A72" s="134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51"/>
      <c r="AF72" s="24"/>
      <c r="AG72" s="24"/>
      <c r="AJ72" s="40"/>
    </row>
    <row r="73" spans="1:45" ht="15.75" customHeight="1">
      <c r="A73" s="400" t="s">
        <v>180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355"/>
      <c r="AB73" s="356"/>
      <c r="AC73" s="24"/>
      <c r="AD73" s="24"/>
      <c r="AE73" s="24"/>
      <c r="AF73" s="24"/>
      <c r="AG73" s="24"/>
      <c r="AJ73" s="40"/>
    </row>
    <row r="74" spans="1:45" ht="15.75" customHeight="1">
      <c r="A74" s="267" t="s">
        <v>12</v>
      </c>
      <c r="B74" s="268" t="s">
        <v>13</v>
      </c>
      <c r="C74" s="269" t="s">
        <v>14</v>
      </c>
      <c r="D74" s="96">
        <v>1</v>
      </c>
      <c r="E74" s="96">
        <v>2</v>
      </c>
      <c r="F74" s="96">
        <v>3</v>
      </c>
      <c r="G74" s="96">
        <v>4</v>
      </c>
      <c r="H74" s="96">
        <v>5</v>
      </c>
      <c r="I74" s="96">
        <v>6</v>
      </c>
      <c r="J74" s="96">
        <v>7</v>
      </c>
      <c r="K74" s="96">
        <v>8</v>
      </c>
      <c r="L74" s="96">
        <v>9</v>
      </c>
      <c r="M74" s="96">
        <v>10</v>
      </c>
      <c r="N74" s="96">
        <v>11</v>
      </c>
      <c r="O74" s="96">
        <v>12</v>
      </c>
      <c r="P74" s="96">
        <v>13</v>
      </c>
      <c r="Q74" s="96">
        <v>14</v>
      </c>
      <c r="R74" s="96">
        <v>15</v>
      </c>
      <c r="S74" s="96">
        <v>16</v>
      </c>
      <c r="T74" s="96">
        <v>17</v>
      </c>
      <c r="U74" s="96">
        <v>18</v>
      </c>
      <c r="V74" s="96">
        <v>19</v>
      </c>
      <c r="W74" s="96">
        <v>20</v>
      </c>
      <c r="X74" s="96">
        <v>21</v>
      </c>
      <c r="Y74" s="96">
        <v>22</v>
      </c>
      <c r="Z74" s="96">
        <v>23</v>
      </c>
      <c r="AA74" s="96">
        <v>24</v>
      </c>
      <c r="AB74" s="96">
        <v>25</v>
      </c>
      <c r="AC74" s="24"/>
      <c r="AD74" s="24"/>
      <c r="AE74" s="24"/>
      <c r="AF74" s="24"/>
      <c r="AG74" s="24"/>
      <c r="AJ74" s="40"/>
    </row>
    <row r="75" spans="1:45" ht="15.75" customHeight="1">
      <c r="A75" s="241">
        <f>OVERALL!A4</f>
        <v>1</v>
      </c>
      <c r="B75" s="242">
        <f>OVERALL!B4</f>
        <v>2301236</v>
      </c>
      <c r="C75" s="243" t="str">
        <f>OVERALL!C4</f>
        <v>Manmohan Singh</v>
      </c>
      <c r="D75" s="169">
        <v>8</v>
      </c>
      <c r="E75" s="170">
        <v>9</v>
      </c>
      <c r="F75" s="170">
        <v>8</v>
      </c>
      <c r="G75" s="170">
        <v>7</v>
      </c>
      <c r="H75" s="170">
        <v>8</v>
      </c>
      <c r="I75" s="170">
        <v>7</v>
      </c>
      <c r="J75" s="170">
        <v>8</v>
      </c>
      <c r="K75" s="170">
        <v>9</v>
      </c>
      <c r="L75" s="170">
        <v>8</v>
      </c>
      <c r="M75" s="170">
        <v>9</v>
      </c>
      <c r="N75" s="170">
        <v>8</v>
      </c>
      <c r="O75" s="170">
        <v>7</v>
      </c>
      <c r="P75" s="170">
        <v>8</v>
      </c>
      <c r="Q75" s="170">
        <v>9</v>
      </c>
      <c r="R75" s="170">
        <v>0</v>
      </c>
      <c r="S75" s="170">
        <v>0</v>
      </c>
      <c r="T75" s="170">
        <v>0</v>
      </c>
      <c r="U75" s="170">
        <v>0</v>
      </c>
      <c r="V75" s="170">
        <v>0</v>
      </c>
      <c r="W75" s="170">
        <v>0</v>
      </c>
      <c r="X75" s="170">
        <v>0</v>
      </c>
      <c r="Y75" s="170">
        <v>0</v>
      </c>
      <c r="Z75" s="170">
        <v>0</v>
      </c>
      <c r="AA75" s="113"/>
      <c r="AB75" s="113"/>
      <c r="AC75" s="24"/>
      <c r="AD75" s="24"/>
      <c r="AE75" s="24"/>
      <c r="AF75" s="24"/>
      <c r="AG75" s="24"/>
      <c r="AJ75" s="40"/>
    </row>
    <row r="76" spans="1:45" ht="15.75" customHeight="1">
      <c r="A76" s="241">
        <f>OVERALL!A5</f>
        <v>2</v>
      </c>
      <c r="B76" s="242">
        <f>OVERALL!B5</f>
        <v>2301237</v>
      </c>
      <c r="C76" s="243" t="str">
        <f>OVERALL!C5</f>
        <v>Manpreet Kaur</v>
      </c>
      <c r="D76" s="171">
        <v>8</v>
      </c>
      <c r="E76" s="172">
        <v>7</v>
      </c>
      <c r="F76" s="172">
        <v>8</v>
      </c>
      <c r="G76" s="172">
        <v>7</v>
      </c>
      <c r="H76" s="172">
        <v>8</v>
      </c>
      <c r="I76" s="172">
        <v>9</v>
      </c>
      <c r="J76" s="172">
        <v>8</v>
      </c>
      <c r="K76" s="172">
        <v>0</v>
      </c>
      <c r="L76" s="172">
        <v>0</v>
      </c>
      <c r="M76" s="172">
        <v>0</v>
      </c>
      <c r="N76" s="172">
        <v>8</v>
      </c>
      <c r="O76" s="172">
        <v>9</v>
      </c>
      <c r="P76" s="172">
        <v>8</v>
      </c>
      <c r="Q76" s="172">
        <v>7</v>
      </c>
      <c r="R76" s="172">
        <v>8</v>
      </c>
      <c r="S76" s="172">
        <v>0</v>
      </c>
      <c r="T76" s="172">
        <v>0</v>
      </c>
      <c r="U76" s="172">
        <v>0</v>
      </c>
      <c r="V76" s="172">
        <v>9</v>
      </c>
      <c r="W76" s="172">
        <v>0</v>
      </c>
      <c r="X76" s="172">
        <v>7</v>
      </c>
      <c r="Y76" s="172">
        <v>8</v>
      </c>
      <c r="Z76" s="172">
        <v>0</v>
      </c>
      <c r="AA76" s="113"/>
      <c r="AB76" s="113"/>
      <c r="AC76" s="24"/>
      <c r="AD76" s="24"/>
      <c r="AE76" s="24"/>
      <c r="AF76" s="24"/>
      <c r="AG76" s="24"/>
      <c r="AJ76" s="40"/>
    </row>
    <row r="77" spans="1:45" ht="15.75" customHeight="1">
      <c r="A77" s="241">
        <f>OVERALL!A6</f>
        <v>3</v>
      </c>
      <c r="B77" s="242">
        <f>OVERALL!B6</f>
        <v>2301238</v>
      </c>
      <c r="C77" s="243" t="str">
        <f>OVERALL!C6</f>
        <v>Md Warish Chesam</v>
      </c>
      <c r="D77" s="171">
        <v>7</v>
      </c>
      <c r="E77" s="172">
        <v>8</v>
      </c>
      <c r="F77" s="172">
        <v>8</v>
      </c>
      <c r="G77" s="172">
        <v>9</v>
      </c>
      <c r="H77" s="172">
        <v>8</v>
      </c>
      <c r="I77" s="172">
        <v>7</v>
      </c>
      <c r="J77" s="172">
        <v>8</v>
      </c>
      <c r="K77" s="172">
        <v>8</v>
      </c>
      <c r="L77" s="172">
        <v>7</v>
      </c>
      <c r="M77" s="172">
        <v>8</v>
      </c>
      <c r="N77" s="172">
        <v>9</v>
      </c>
      <c r="O77" s="172">
        <v>8</v>
      </c>
      <c r="P77" s="172">
        <v>7</v>
      </c>
      <c r="Q77" s="172">
        <v>9</v>
      </c>
      <c r="R77" s="172">
        <v>7</v>
      </c>
      <c r="S77" s="172">
        <v>0</v>
      </c>
      <c r="T77" s="172">
        <v>9</v>
      </c>
      <c r="U77" s="172">
        <v>0</v>
      </c>
      <c r="V77" s="172">
        <v>0</v>
      </c>
      <c r="W77" s="172">
        <v>0</v>
      </c>
      <c r="X77" s="172">
        <v>8</v>
      </c>
      <c r="Y77" s="172">
        <v>7</v>
      </c>
      <c r="Z77" s="172">
        <v>0</v>
      </c>
      <c r="AA77" s="113"/>
      <c r="AB77" s="113"/>
      <c r="AC77" s="24"/>
      <c r="AD77" s="24"/>
      <c r="AE77" s="24"/>
      <c r="AF77" s="24"/>
      <c r="AG77" s="24"/>
      <c r="AJ77" s="40"/>
    </row>
    <row r="78" spans="1:45" ht="15.75" customHeight="1">
      <c r="A78" s="241">
        <f>OVERALL!A7</f>
        <v>4</v>
      </c>
      <c r="B78" s="242">
        <f>OVERALL!B7</f>
        <v>2301239</v>
      </c>
      <c r="C78" s="243" t="str">
        <f>OVERALL!C7</f>
        <v>Mohd Shahid Afridi</v>
      </c>
      <c r="D78" s="171">
        <v>0</v>
      </c>
      <c r="E78" s="172">
        <v>0</v>
      </c>
      <c r="F78" s="172">
        <v>0</v>
      </c>
      <c r="G78" s="172">
        <v>0</v>
      </c>
      <c r="H78" s="172">
        <v>0</v>
      </c>
      <c r="I78" s="172">
        <v>0</v>
      </c>
      <c r="J78" s="172">
        <v>0</v>
      </c>
      <c r="K78" s="172">
        <v>0</v>
      </c>
      <c r="L78" s="172">
        <v>0</v>
      </c>
      <c r="M78" s="172">
        <v>0</v>
      </c>
      <c r="N78" s="172">
        <v>0</v>
      </c>
      <c r="O78" s="172">
        <v>0</v>
      </c>
      <c r="P78" s="172">
        <v>0</v>
      </c>
      <c r="Q78" s="172">
        <v>0</v>
      </c>
      <c r="R78" s="172">
        <v>0</v>
      </c>
      <c r="S78" s="172">
        <v>0</v>
      </c>
      <c r="T78" s="172">
        <v>0</v>
      </c>
      <c r="U78" s="172">
        <v>0</v>
      </c>
      <c r="V78" s="172">
        <v>0</v>
      </c>
      <c r="W78" s="172">
        <v>0</v>
      </c>
      <c r="X78" s="172">
        <v>0</v>
      </c>
      <c r="Y78" s="172">
        <v>0</v>
      </c>
      <c r="Z78" s="172">
        <v>0</v>
      </c>
      <c r="AA78" s="113"/>
      <c r="AB78" s="113"/>
      <c r="AC78" s="24"/>
      <c r="AD78" s="24"/>
      <c r="AE78" s="24"/>
      <c r="AF78" s="24"/>
      <c r="AG78" s="24"/>
      <c r="AJ78" s="40"/>
    </row>
    <row r="79" spans="1:45" ht="15.75" customHeight="1">
      <c r="A79" s="241">
        <f>OVERALL!A8</f>
        <v>5</v>
      </c>
      <c r="B79" s="242">
        <f>OVERALL!B8</f>
        <v>2301240</v>
      </c>
      <c r="C79" s="243" t="str">
        <f>OVERALL!C8</f>
        <v>Munisha</v>
      </c>
      <c r="D79" s="171">
        <v>8</v>
      </c>
      <c r="E79" s="172">
        <v>8</v>
      </c>
      <c r="F79" s="172">
        <v>9</v>
      </c>
      <c r="G79" s="172">
        <v>7</v>
      </c>
      <c r="H79" s="172">
        <v>8</v>
      </c>
      <c r="I79" s="172">
        <v>8</v>
      </c>
      <c r="J79" s="172">
        <v>0</v>
      </c>
      <c r="K79" s="172">
        <v>0</v>
      </c>
      <c r="L79" s="172">
        <v>0</v>
      </c>
      <c r="M79" s="172">
        <v>0</v>
      </c>
      <c r="N79" s="172">
        <v>0</v>
      </c>
      <c r="O79" s="172">
        <v>0</v>
      </c>
      <c r="P79" s="172">
        <v>0</v>
      </c>
      <c r="Q79" s="172">
        <v>8</v>
      </c>
      <c r="R79" s="172">
        <v>7</v>
      </c>
      <c r="S79" s="172">
        <v>8</v>
      </c>
      <c r="T79" s="172">
        <v>9</v>
      </c>
      <c r="U79" s="172">
        <v>0</v>
      </c>
      <c r="V79" s="172">
        <v>9</v>
      </c>
      <c r="W79" s="172">
        <v>0</v>
      </c>
      <c r="X79" s="172">
        <v>8</v>
      </c>
      <c r="Y79" s="172">
        <v>8</v>
      </c>
      <c r="Z79" s="172">
        <v>0</v>
      </c>
      <c r="AA79" s="113"/>
      <c r="AB79" s="113"/>
      <c r="AC79" s="24"/>
      <c r="AD79" s="24"/>
      <c r="AE79" s="24"/>
      <c r="AF79" s="24"/>
      <c r="AG79" s="24"/>
      <c r="AJ79" s="40"/>
    </row>
    <row r="80" spans="1:45" ht="15.75" customHeight="1">
      <c r="A80" s="241">
        <f>OVERALL!A9</f>
        <v>6</v>
      </c>
      <c r="B80" s="242">
        <f>OVERALL!B9</f>
        <v>2301241</v>
      </c>
      <c r="C80" s="243" t="str">
        <f>OVERALL!C9</f>
        <v>Nikhil Kumar Thakur</v>
      </c>
      <c r="D80" s="171">
        <v>8</v>
      </c>
      <c r="E80" s="172">
        <v>7</v>
      </c>
      <c r="F80" s="172">
        <v>8</v>
      </c>
      <c r="G80" s="172">
        <v>9</v>
      </c>
      <c r="H80" s="172">
        <v>8</v>
      </c>
      <c r="I80" s="172">
        <v>8</v>
      </c>
      <c r="J80" s="172">
        <v>9</v>
      </c>
      <c r="K80" s="172">
        <v>8</v>
      </c>
      <c r="L80" s="172">
        <v>8</v>
      </c>
      <c r="M80" s="172">
        <v>7</v>
      </c>
      <c r="N80" s="172">
        <v>8</v>
      </c>
      <c r="O80" s="172">
        <v>7</v>
      </c>
      <c r="P80" s="172">
        <v>8</v>
      </c>
      <c r="Q80" s="172">
        <v>7</v>
      </c>
      <c r="R80" s="172">
        <v>8</v>
      </c>
      <c r="S80" s="172">
        <v>9</v>
      </c>
      <c r="T80" s="172">
        <v>7</v>
      </c>
      <c r="U80" s="172">
        <v>8</v>
      </c>
      <c r="V80" s="172">
        <v>8</v>
      </c>
      <c r="W80" s="172">
        <v>7</v>
      </c>
      <c r="X80" s="172">
        <v>9</v>
      </c>
      <c r="Y80" s="172">
        <v>0</v>
      </c>
      <c r="Z80" s="172">
        <v>9</v>
      </c>
      <c r="AA80" s="113"/>
      <c r="AB80" s="113"/>
      <c r="AC80" s="24"/>
      <c r="AD80" s="24"/>
      <c r="AE80" s="24"/>
      <c r="AF80" s="24"/>
      <c r="AG80" s="24"/>
      <c r="AH80" s="270"/>
      <c r="AJ80" s="40"/>
    </row>
    <row r="81" spans="1:36" ht="15.75" customHeight="1">
      <c r="A81" s="241">
        <f>OVERALL!A10</f>
        <v>7</v>
      </c>
      <c r="B81" s="242">
        <f>OVERALL!B10</f>
        <v>2301242</v>
      </c>
      <c r="C81" s="243" t="str">
        <f>OVERALL!C10</f>
        <v>Palak Pathania</v>
      </c>
      <c r="D81" s="171">
        <v>7</v>
      </c>
      <c r="E81" s="172">
        <v>8</v>
      </c>
      <c r="F81" s="172">
        <v>9</v>
      </c>
      <c r="G81" s="172">
        <v>8</v>
      </c>
      <c r="H81" s="172">
        <v>8</v>
      </c>
      <c r="I81" s="172">
        <v>9</v>
      </c>
      <c r="J81" s="172">
        <v>8</v>
      </c>
      <c r="K81" s="172">
        <v>0</v>
      </c>
      <c r="L81" s="172">
        <v>8</v>
      </c>
      <c r="M81" s="172">
        <v>9</v>
      </c>
      <c r="N81" s="172">
        <v>8</v>
      </c>
      <c r="O81" s="172">
        <v>7</v>
      </c>
      <c r="P81" s="172">
        <v>8</v>
      </c>
      <c r="Q81" s="172">
        <v>9</v>
      </c>
      <c r="R81" s="172">
        <v>0</v>
      </c>
      <c r="S81" s="172">
        <v>8</v>
      </c>
      <c r="T81" s="172">
        <v>0</v>
      </c>
      <c r="U81" s="172">
        <v>9</v>
      </c>
      <c r="V81" s="172">
        <v>8</v>
      </c>
      <c r="W81" s="172">
        <v>8</v>
      </c>
      <c r="X81" s="172">
        <v>0</v>
      </c>
      <c r="Y81" s="172">
        <v>0</v>
      </c>
      <c r="Z81" s="172">
        <v>9</v>
      </c>
      <c r="AA81" s="113"/>
      <c r="AB81" s="113"/>
      <c r="AC81" s="24"/>
      <c r="AD81" s="24"/>
      <c r="AE81" s="24"/>
      <c r="AF81" s="24"/>
      <c r="AG81" s="24"/>
      <c r="AH81" s="270"/>
      <c r="AJ81" s="40"/>
    </row>
    <row r="82" spans="1:36" ht="15.75" customHeight="1">
      <c r="A82" s="241">
        <f>OVERALL!A11</f>
        <v>8</v>
      </c>
      <c r="B82" s="242">
        <f>OVERALL!B11</f>
        <v>2301243</v>
      </c>
      <c r="C82" s="243" t="str">
        <f>OVERALL!C11</f>
        <v>Pardeep Singh</v>
      </c>
      <c r="D82" s="171">
        <v>7</v>
      </c>
      <c r="E82" s="172">
        <v>8</v>
      </c>
      <c r="F82" s="172">
        <v>7</v>
      </c>
      <c r="G82" s="172">
        <v>8</v>
      </c>
      <c r="H82" s="172">
        <v>8</v>
      </c>
      <c r="I82" s="172">
        <v>9</v>
      </c>
      <c r="J82" s="172">
        <v>8</v>
      </c>
      <c r="K82" s="172">
        <v>7</v>
      </c>
      <c r="L82" s="172">
        <v>8</v>
      </c>
      <c r="M82" s="172">
        <v>7</v>
      </c>
      <c r="N82" s="172">
        <v>9</v>
      </c>
      <c r="O82" s="172">
        <v>8</v>
      </c>
      <c r="P82" s="172">
        <v>8</v>
      </c>
      <c r="Q82" s="172">
        <v>8</v>
      </c>
      <c r="R82" s="172">
        <v>9</v>
      </c>
      <c r="S82" s="172">
        <v>8</v>
      </c>
      <c r="T82" s="172">
        <v>7</v>
      </c>
      <c r="U82" s="172">
        <v>8</v>
      </c>
      <c r="V82" s="172">
        <v>0</v>
      </c>
      <c r="W82" s="172">
        <v>0</v>
      </c>
      <c r="X82" s="172">
        <v>9</v>
      </c>
      <c r="Y82" s="172">
        <v>0</v>
      </c>
      <c r="Z82" s="172">
        <v>0</v>
      </c>
      <c r="AA82" s="113"/>
      <c r="AB82" s="113"/>
      <c r="AC82" s="24"/>
      <c r="AD82" s="24"/>
      <c r="AE82" s="24"/>
      <c r="AF82" s="24"/>
      <c r="AG82" s="24"/>
      <c r="AH82" s="270"/>
      <c r="AJ82" s="40"/>
    </row>
    <row r="83" spans="1:36" ht="15.75" customHeight="1">
      <c r="A83" s="241">
        <f>OVERALL!A12</f>
        <v>9</v>
      </c>
      <c r="B83" s="242">
        <f>OVERALL!B12</f>
        <v>2301244</v>
      </c>
      <c r="C83" s="243" t="str">
        <f>OVERALL!C12</f>
        <v>Parveen Mandal</v>
      </c>
      <c r="D83" s="171">
        <v>0</v>
      </c>
      <c r="E83" s="172">
        <v>0</v>
      </c>
      <c r="F83" s="172">
        <v>0</v>
      </c>
      <c r="G83" s="172">
        <v>0</v>
      </c>
      <c r="H83" s="172">
        <v>0</v>
      </c>
      <c r="I83" s="172">
        <v>0</v>
      </c>
      <c r="J83" s="172">
        <v>0</v>
      </c>
      <c r="K83" s="172">
        <v>0</v>
      </c>
      <c r="L83" s="172">
        <v>0</v>
      </c>
      <c r="M83" s="172">
        <v>0</v>
      </c>
      <c r="N83" s="172">
        <v>0</v>
      </c>
      <c r="O83" s="172">
        <v>0</v>
      </c>
      <c r="P83" s="172">
        <v>0</v>
      </c>
      <c r="Q83" s="172">
        <v>0</v>
      </c>
      <c r="R83" s="172">
        <v>0</v>
      </c>
      <c r="S83" s="172">
        <v>0</v>
      </c>
      <c r="T83" s="172">
        <v>0</v>
      </c>
      <c r="U83" s="172">
        <v>0</v>
      </c>
      <c r="V83" s="172">
        <v>0</v>
      </c>
      <c r="W83" s="172">
        <v>0</v>
      </c>
      <c r="X83" s="172">
        <v>0</v>
      </c>
      <c r="Y83" s="172">
        <v>0</v>
      </c>
      <c r="Z83" s="172">
        <v>0</v>
      </c>
      <c r="AA83" s="113"/>
      <c r="AB83" s="113"/>
      <c r="AC83" s="24"/>
      <c r="AD83" s="24"/>
      <c r="AE83" s="24"/>
      <c r="AF83" s="24"/>
      <c r="AG83" s="24"/>
      <c r="AH83" s="270"/>
      <c r="AJ83" s="40"/>
    </row>
    <row r="84" spans="1:36" ht="15.75" customHeight="1">
      <c r="A84" s="241">
        <f>OVERALL!A13</f>
        <v>10</v>
      </c>
      <c r="B84" s="242">
        <f>OVERALL!B13</f>
        <v>2301245</v>
      </c>
      <c r="C84" s="243" t="str">
        <f>OVERALL!C13</f>
        <v>Payal</v>
      </c>
      <c r="D84" s="171">
        <v>8</v>
      </c>
      <c r="E84" s="172">
        <v>8</v>
      </c>
      <c r="F84" s="172">
        <v>9</v>
      </c>
      <c r="G84" s="172">
        <v>8</v>
      </c>
      <c r="H84" s="172">
        <v>8</v>
      </c>
      <c r="I84" s="172">
        <v>8</v>
      </c>
      <c r="J84" s="172">
        <v>9</v>
      </c>
      <c r="K84" s="172">
        <v>8</v>
      </c>
      <c r="L84" s="172">
        <v>7</v>
      </c>
      <c r="M84" s="172">
        <v>8</v>
      </c>
      <c r="N84" s="172">
        <v>7</v>
      </c>
      <c r="O84" s="172">
        <v>8</v>
      </c>
      <c r="P84" s="172">
        <v>8</v>
      </c>
      <c r="Q84" s="172">
        <v>8</v>
      </c>
      <c r="R84" s="172">
        <v>8</v>
      </c>
      <c r="S84" s="172">
        <v>7</v>
      </c>
      <c r="T84" s="172">
        <v>9</v>
      </c>
      <c r="U84" s="172">
        <v>9</v>
      </c>
      <c r="V84" s="172">
        <v>8</v>
      </c>
      <c r="W84" s="172">
        <v>7</v>
      </c>
      <c r="X84" s="172">
        <v>8</v>
      </c>
      <c r="Y84" s="172">
        <v>0</v>
      </c>
      <c r="Z84" s="172">
        <v>9</v>
      </c>
      <c r="AA84" s="113"/>
      <c r="AB84" s="113"/>
      <c r="AC84" s="24"/>
      <c r="AD84" s="24"/>
      <c r="AE84" s="24"/>
      <c r="AF84" s="24"/>
      <c r="AG84" s="24"/>
      <c r="AH84" s="40"/>
      <c r="AJ84" s="40"/>
    </row>
    <row r="85" spans="1:36" ht="15.75" customHeight="1">
      <c r="A85" s="241">
        <f>OVERALL!A14</f>
        <v>11</v>
      </c>
      <c r="B85" s="242">
        <f>OVERALL!B14</f>
        <v>2301247</v>
      </c>
      <c r="C85" s="243" t="str">
        <f>OVERALL!C14</f>
        <v>Priya</v>
      </c>
      <c r="D85" s="171">
        <v>8</v>
      </c>
      <c r="E85" s="172">
        <v>7</v>
      </c>
      <c r="F85" s="172">
        <v>8</v>
      </c>
      <c r="G85" s="172">
        <v>0</v>
      </c>
      <c r="H85" s="172">
        <v>8</v>
      </c>
      <c r="I85" s="172">
        <v>9</v>
      </c>
      <c r="J85" s="172">
        <v>8</v>
      </c>
      <c r="K85" s="172">
        <v>0</v>
      </c>
      <c r="L85" s="172">
        <v>0</v>
      </c>
      <c r="M85" s="172">
        <v>0</v>
      </c>
      <c r="N85" s="172">
        <v>0</v>
      </c>
      <c r="O85" s="172">
        <v>0</v>
      </c>
      <c r="P85" s="172">
        <v>0</v>
      </c>
      <c r="Q85" s="172">
        <v>7</v>
      </c>
      <c r="R85" s="172">
        <v>9</v>
      </c>
      <c r="S85" s="172">
        <v>8</v>
      </c>
      <c r="T85" s="172">
        <v>8</v>
      </c>
      <c r="U85" s="172">
        <v>9</v>
      </c>
      <c r="V85" s="172">
        <v>0</v>
      </c>
      <c r="W85" s="172">
        <v>0</v>
      </c>
      <c r="X85" s="172">
        <v>7</v>
      </c>
      <c r="Y85" s="172">
        <v>0</v>
      </c>
      <c r="Z85" s="172">
        <v>0</v>
      </c>
      <c r="AA85" s="113"/>
      <c r="AB85" s="113"/>
      <c r="AC85" s="24"/>
      <c r="AD85" s="24"/>
      <c r="AE85" s="24"/>
      <c r="AF85" s="24"/>
      <c r="AG85" s="24"/>
      <c r="AH85" s="40"/>
      <c r="AJ85" s="40"/>
    </row>
    <row r="86" spans="1:36" ht="15.75" customHeight="1">
      <c r="A86" s="241">
        <v>12</v>
      </c>
      <c r="B86" s="242">
        <f>OVERALL!B15</f>
        <v>2301248</v>
      </c>
      <c r="C86" s="243" t="str">
        <f>OVERALL!C15</f>
        <v>Priyam Puri</v>
      </c>
      <c r="D86" s="171">
        <v>0</v>
      </c>
      <c r="E86" s="172">
        <v>0</v>
      </c>
      <c r="F86" s="172">
        <v>0</v>
      </c>
      <c r="G86" s="172">
        <v>0</v>
      </c>
      <c r="H86" s="172">
        <v>0</v>
      </c>
      <c r="I86" s="172">
        <v>0</v>
      </c>
      <c r="J86" s="172">
        <v>0</v>
      </c>
      <c r="K86" s="172">
        <v>0</v>
      </c>
      <c r="L86" s="172">
        <v>0</v>
      </c>
      <c r="M86" s="172">
        <v>0</v>
      </c>
      <c r="N86" s="172">
        <v>0</v>
      </c>
      <c r="O86" s="172">
        <v>0</v>
      </c>
      <c r="P86" s="172">
        <v>0</v>
      </c>
      <c r="Q86" s="172">
        <v>0</v>
      </c>
      <c r="R86" s="172">
        <v>0</v>
      </c>
      <c r="S86" s="172">
        <v>0</v>
      </c>
      <c r="T86" s="172">
        <v>0</v>
      </c>
      <c r="U86" s="172">
        <v>0</v>
      </c>
      <c r="V86" s="172">
        <v>0</v>
      </c>
      <c r="W86" s="172">
        <v>0</v>
      </c>
      <c r="X86" s="172">
        <v>0</v>
      </c>
      <c r="Y86" s="172">
        <v>0</v>
      </c>
      <c r="Z86" s="172">
        <v>0</v>
      </c>
      <c r="AA86" s="113"/>
      <c r="AB86" s="113"/>
      <c r="AC86" s="24"/>
      <c r="AD86" s="24"/>
      <c r="AE86" s="24"/>
      <c r="AF86" s="24"/>
      <c r="AG86" s="24"/>
      <c r="AH86" s="40"/>
      <c r="AJ86" s="40"/>
    </row>
    <row r="87" spans="1:36" ht="15.75" customHeight="1">
      <c r="A87" s="241">
        <f>OVERALL!A16</f>
        <v>13</v>
      </c>
      <c r="B87" s="242">
        <f>OVERALL!B16</f>
        <v>2301249</v>
      </c>
      <c r="C87" s="243" t="str">
        <f>OVERALL!C16</f>
        <v>Rahul Sharma</v>
      </c>
      <c r="D87" s="171">
        <v>8</v>
      </c>
      <c r="E87" s="172">
        <v>7</v>
      </c>
      <c r="F87" s="172">
        <v>8</v>
      </c>
      <c r="G87" s="172">
        <v>0</v>
      </c>
      <c r="H87" s="172">
        <v>8</v>
      </c>
      <c r="I87" s="172">
        <v>9</v>
      </c>
      <c r="J87" s="172">
        <v>8</v>
      </c>
      <c r="K87" s="172">
        <v>7</v>
      </c>
      <c r="L87" s="172">
        <v>8</v>
      </c>
      <c r="M87" s="172">
        <v>7</v>
      </c>
      <c r="N87" s="172">
        <v>8</v>
      </c>
      <c r="O87" s="172">
        <v>9</v>
      </c>
      <c r="P87" s="172">
        <v>0</v>
      </c>
      <c r="Q87" s="172">
        <v>7</v>
      </c>
      <c r="R87" s="172">
        <v>8</v>
      </c>
      <c r="S87" s="172">
        <v>9</v>
      </c>
      <c r="T87" s="172">
        <v>8</v>
      </c>
      <c r="U87" s="172">
        <v>7</v>
      </c>
      <c r="V87" s="172">
        <v>9</v>
      </c>
      <c r="W87" s="172">
        <v>0</v>
      </c>
      <c r="X87" s="172">
        <v>8</v>
      </c>
      <c r="Y87" s="172">
        <v>0</v>
      </c>
      <c r="Z87" s="172">
        <v>0</v>
      </c>
      <c r="AA87" s="113"/>
      <c r="AB87" s="113"/>
      <c r="AC87" s="24"/>
      <c r="AD87" s="24"/>
      <c r="AE87" s="24"/>
      <c r="AF87" s="24"/>
      <c r="AG87" s="24"/>
      <c r="AH87" s="24"/>
      <c r="AJ87" s="40"/>
    </row>
    <row r="88" spans="1:36" ht="15.75" customHeight="1">
      <c r="A88" s="241">
        <f>OVERALL!A17</f>
        <v>14</v>
      </c>
      <c r="B88" s="242">
        <f>OVERALL!B17</f>
        <v>2301250</v>
      </c>
      <c r="C88" s="243" t="str">
        <f>OVERALL!C17</f>
        <v>Rahulpreet Singh Khinda</v>
      </c>
      <c r="D88" s="171">
        <v>8</v>
      </c>
      <c r="E88" s="172">
        <v>8</v>
      </c>
      <c r="F88" s="172">
        <v>8</v>
      </c>
      <c r="G88" s="172">
        <v>7</v>
      </c>
      <c r="H88" s="172">
        <v>0</v>
      </c>
      <c r="I88" s="172">
        <v>0</v>
      </c>
      <c r="J88" s="172">
        <v>0</v>
      </c>
      <c r="K88" s="172">
        <v>8</v>
      </c>
      <c r="L88" s="172">
        <v>7</v>
      </c>
      <c r="M88" s="172">
        <v>8</v>
      </c>
      <c r="N88" s="172">
        <v>9</v>
      </c>
      <c r="O88" s="172">
        <v>8</v>
      </c>
      <c r="P88" s="172">
        <v>8</v>
      </c>
      <c r="Q88" s="172">
        <v>9</v>
      </c>
      <c r="R88" s="172">
        <v>7</v>
      </c>
      <c r="S88" s="172">
        <v>7</v>
      </c>
      <c r="T88" s="172">
        <v>8</v>
      </c>
      <c r="U88" s="172">
        <v>0</v>
      </c>
      <c r="V88" s="172">
        <v>9</v>
      </c>
      <c r="W88" s="172">
        <v>0</v>
      </c>
      <c r="X88" s="172">
        <v>0</v>
      </c>
      <c r="Y88" s="172">
        <v>0</v>
      </c>
      <c r="Z88" s="172">
        <v>0</v>
      </c>
      <c r="AA88" s="113"/>
      <c r="AB88" s="113"/>
      <c r="AC88" s="24"/>
      <c r="AD88" s="24"/>
      <c r="AE88" s="24"/>
      <c r="AF88" s="24"/>
      <c r="AG88" s="24"/>
      <c r="AH88" s="24"/>
      <c r="AJ88" s="40"/>
    </row>
    <row r="89" spans="1:36" ht="15.75" customHeight="1">
      <c r="A89" s="241">
        <f>OVERALL!A18</f>
        <v>15</v>
      </c>
      <c r="B89" s="242">
        <f>OVERALL!B18</f>
        <v>2301251</v>
      </c>
      <c r="C89" s="243" t="str">
        <f>OVERALL!C18</f>
        <v>Raj Kumar</v>
      </c>
      <c r="D89" s="171">
        <v>0</v>
      </c>
      <c r="E89" s="172">
        <v>0</v>
      </c>
      <c r="F89" s="172">
        <v>0</v>
      </c>
      <c r="G89" s="172">
        <v>8</v>
      </c>
      <c r="H89" s="172">
        <v>8</v>
      </c>
      <c r="I89" s="172">
        <v>9</v>
      </c>
      <c r="J89" s="172">
        <v>0</v>
      </c>
      <c r="K89" s="172">
        <v>8</v>
      </c>
      <c r="L89" s="172">
        <v>9</v>
      </c>
      <c r="M89" s="172">
        <v>8</v>
      </c>
      <c r="N89" s="172">
        <v>9</v>
      </c>
      <c r="O89" s="172">
        <v>8</v>
      </c>
      <c r="P89" s="172">
        <v>8</v>
      </c>
      <c r="Q89" s="172">
        <v>8</v>
      </c>
      <c r="R89" s="172">
        <v>9</v>
      </c>
      <c r="S89" s="172">
        <v>9</v>
      </c>
      <c r="T89" s="172">
        <v>7</v>
      </c>
      <c r="U89" s="172">
        <v>8</v>
      </c>
      <c r="V89" s="172">
        <v>7</v>
      </c>
      <c r="W89" s="172">
        <v>9</v>
      </c>
      <c r="X89" s="172">
        <v>0</v>
      </c>
      <c r="Y89" s="172">
        <v>7</v>
      </c>
      <c r="Z89" s="172">
        <v>0</v>
      </c>
      <c r="AA89" s="113"/>
      <c r="AB89" s="113"/>
      <c r="AC89" s="24"/>
      <c r="AD89" s="24"/>
      <c r="AE89" s="24"/>
      <c r="AF89" s="24"/>
      <c r="AG89" s="24"/>
      <c r="AH89" s="24"/>
      <c r="AJ89" s="40"/>
    </row>
    <row r="90" spans="1:36" ht="15.75" customHeight="1">
      <c r="A90" s="241">
        <f>OVERALL!A19</f>
        <v>16</v>
      </c>
      <c r="B90" s="242">
        <f>OVERALL!B19</f>
        <v>2301252</v>
      </c>
      <c r="C90" s="243" t="str">
        <f>OVERALL!C19</f>
        <v>Rajan Sharma</v>
      </c>
      <c r="D90" s="171">
        <v>8</v>
      </c>
      <c r="E90" s="172">
        <v>7</v>
      </c>
      <c r="F90" s="172">
        <v>8</v>
      </c>
      <c r="G90" s="172">
        <v>0</v>
      </c>
      <c r="H90" s="172">
        <v>8</v>
      </c>
      <c r="I90" s="172">
        <v>7</v>
      </c>
      <c r="J90" s="172">
        <v>8</v>
      </c>
      <c r="K90" s="172">
        <v>9</v>
      </c>
      <c r="L90" s="172">
        <v>8</v>
      </c>
      <c r="M90" s="172">
        <v>8</v>
      </c>
      <c r="N90" s="172">
        <v>9</v>
      </c>
      <c r="O90" s="172">
        <v>8</v>
      </c>
      <c r="P90" s="172">
        <v>8</v>
      </c>
      <c r="Q90" s="172">
        <v>9</v>
      </c>
      <c r="R90" s="172">
        <v>7</v>
      </c>
      <c r="S90" s="172">
        <v>8</v>
      </c>
      <c r="T90" s="172">
        <v>8</v>
      </c>
      <c r="U90" s="172">
        <v>0</v>
      </c>
      <c r="V90" s="172">
        <v>0</v>
      </c>
      <c r="W90" s="172">
        <v>9</v>
      </c>
      <c r="X90" s="172">
        <v>9</v>
      </c>
      <c r="Y90" s="172">
        <v>8</v>
      </c>
      <c r="Z90" s="172">
        <v>0</v>
      </c>
      <c r="AA90" s="113"/>
      <c r="AB90" s="113"/>
      <c r="AC90" s="24"/>
      <c r="AD90" s="24"/>
      <c r="AE90" s="24"/>
      <c r="AF90" s="24"/>
      <c r="AG90" s="24"/>
      <c r="AH90" s="24"/>
      <c r="AJ90" s="40"/>
    </row>
    <row r="91" spans="1:36" ht="15.75" customHeight="1">
      <c r="A91" s="241">
        <f>OVERALL!A20</f>
        <v>17</v>
      </c>
      <c r="B91" s="242">
        <f>OVERALL!B20</f>
        <v>2301253</v>
      </c>
      <c r="C91" s="243" t="str">
        <f>OVERALL!C20</f>
        <v>Rajwinder Kaur</v>
      </c>
      <c r="D91" s="171">
        <v>7</v>
      </c>
      <c r="E91" s="172">
        <v>8</v>
      </c>
      <c r="F91" s="172">
        <v>9</v>
      </c>
      <c r="G91" s="172">
        <v>8</v>
      </c>
      <c r="H91" s="172">
        <v>8</v>
      </c>
      <c r="I91" s="172">
        <v>8</v>
      </c>
      <c r="J91" s="172">
        <v>0</v>
      </c>
      <c r="K91" s="172">
        <v>9</v>
      </c>
      <c r="L91" s="172">
        <v>8</v>
      </c>
      <c r="M91" s="172">
        <v>8</v>
      </c>
      <c r="N91" s="172">
        <v>0</v>
      </c>
      <c r="O91" s="172">
        <v>8</v>
      </c>
      <c r="P91" s="172">
        <v>9</v>
      </c>
      <c r="Q91" s="172">
        <v>7</v>
      </c>
      <c r="R91" s="172">
        <v>8</v>
      </c>
      <c r="S91" s="172">
        <v>0</v>
      </c>
      <c r="T91" s="172">
        <v>0</v>
      </c>
      <c r="U91" s="172">
        <v>9</v>
      </c>
      <c r="V91" s="172">
        <v>8</v>
      </c>
      <c r="W91" s="172">
        <v>9</v>
      </c>
      <c r="X91" s="172">
        <v>0</v>
      </c>
      <c r="Y91" s="172">
        <v>0</v>
      </c>
      <c r="Z91" s="172">
        <v>0</v>
      </c>
      <c r="AA91" s="113"/>
      <c r="AB91" s="113"/>
      <c r="AC91" s="24"/>
      <c r="AD91" s="24"/>
      <c r="AE91" s="24"/>
      <c r="AF91" s="24"/>
      <c r="AG91" s="24"/>
      <c r="AH91" s="24"/>
      <c r="AJ91" s="40"/>
    </row>
    <row r="92" spans="1:36" ht="15.75" customHeight="1">
      <c r="A92" s="241">
        <f>OVERALL!A21</f>
        <v>18</v>
      </c>
      <c r="B92" s="242">
        <f>OVERALL!B21</f>
        <v>2301254</v>
      </c>
      <c r="C92" s="243" t="str">
        <f>OVERALL!C21</f>
        <v>RANJIT SHAH KANU</v>
      </c>
      <c r="D92" s="171">
        <v>0</v>
      </c>
      <c r="E92" s="172">
        <v>0</v>
      </c>
      <c r="F92" s="172">
        <v>0</v>
      </c>
      <c r="G92" s="172">
        <v>0</v>
      </c>
      <c r="H92" s="172">
        <v>0</v>
      </c>
      <c r="I92" s="172">
        <v>0</v>
      </c>
      <c r="J92" s="172">
        <v>0</v>
      </c>
      <c r="K92" s="172">
        <v>0</v>
      </c>
      <c r="L92" s="172">
        <v>0</v>
      </c>
      <c r="M92" s="172">
        <v>0</v>
      </c>
      <c r="N92" s="172">
        <v>0</v>
      </c>
      <c r="O92" s="172">
        <v>0</v>
      </c>
      <c r="P92" s="172">
        <v>0</v>
      </c>
      <c r="Q92" s="172">
        <v>0</v>
      </c>
      <c r="R92" s="172">
        <v>0</v>
      </c>
      <c r="S92" s="172">
        <v>0</v>
      </c>
      <c r="T92" s="172">
        <v>0</v>
      </c>
      <c r="U92" s="172">
        <v>0</v>
      </c>
      <c r="V92" s="172">
        <v>0</v>
      </c>
      <c r="W92" s="172">
        <v>0</v>
      </c>
      <c r="X92" s="172">
        <v>0</v>
      </c>
      <c r="Y92" s="172">
        <v>0</v>
      </c>
      <c r="Z92" s="172">
        <v>0</v>
      </c>
      <c r="AA92" s="113"/>
      <c r="AB92" s="113"/>
      <c r="AC92" s="24"/>
      <c r="AD92" s="24"/>
      <c r="AE92" s="24"/>
      <c r="AF92" s="24"/>
      <c r="AG92" s="24"/>
      <c r="AH92" s="24"/>
      <c r="AJ92" s="40"/>
    </row>
    <row r="93" spans="1:36" ht="15.75" customHeight="1">
      <c r="A93" s="241">
        <f>OVERALL!A22</f>
        <v>19</v>
      </c>
      <c r="B93" s="242">
        <f>OVERALL!B22</f>
        <v>2301255</v>
      </c>
      <c r="C93" s="243" t="str">
        <f>OVERALL!C22</f>
        <v>Ravi Bhushan Kumar</v>
      </c>
      <c r="D93" s="171">
        <v>8</v>
      </c>
      <c r="E93" s="172">
        <v>9</v>
      </c>
      <c r="F93" s="172">
        <v>8</v>
      </c>
      <c r="G93" s="172">
        <v>9</v>
      </c>
      <c r="H93" s="172">
        <v>8</v>
      </c>
      <c r="I93" s="172">
        <v>9</v>
      </c>
      <c r="J93" s="172">
        <v>8</v>
      </c>
      <c r="K93" s="172">
        <v>7</v>
      </c>
      <c r="L93" s="172">
        <v>8</v>
      </c>
      <c r="M93" s="172">
        <v>8</v>
      </c>
      <c r="N93" s="172">
        <v>0</v>
      </c>
      <c r="O93" s="172">
        <v>8</v>
      </c>
      <c r="P93" s="172">
        <v>7</v>
      </c>
      <c r="Q93" s="172">
        <v>9</v>
      </c>
      <c r="R93" s="172">
        <v>8</v>
      </c>
      <c r="S93" s="172">
        <v>0</v>
      </c>
      <c r="T93" s="172">
        <v>0</v>
      </c>
      <c r="U93" s="172">
        <v>0</v>
      </c>
      <c r="V93" s="172">
        <v>0</v>
      </c>
      <c r="W93" s="172">
        <v>0</v>
      </c>
      <c r="X93" s="172">
        <v>7</v>
      </c>
      <c r="Y93" s="172">
        <v>0</v>
      </c>
      <c r="Z93" s="172">
        <v>0</v>
      </c>
      <c r="AA93" s="113"/>
      <c r="AB93" s="113"/>
      <c r="AC93" s="24"/>
      <c r="AD93" s="24"/>
      <c r="AE93" s="24"/>
      <c r="AF93" s="24"/>
      <c r="AG93" s="24"/>
      <c r="AH93" s="24"/>
      <c r="AJ93" s="40"/>
    </row>
    <row r="94" spans="1:36" ht="15.75" customHeight="1">
      <c r="A94" s="241">
        <f>OVERALL!A23</f>
        <v>20</v>
      </c>
      <c r="B94" s="242">
        <f>OVERALL!B23</f>
        <v>2301256</v>
      </c>
      <c r="C94" s="243" t="str">
        <f>OVERALL!C23</f>
        <v>Reshma</v>
      </c>
      <c r="D94" s="171">
        <v>7</v>
      </c>
      <c r="E94" s="172">
        <v>8</v>
      </c>
      <c r="F94" s="172">
        <v>9</v>
      </c>
      <c r="G94" s="172">
        <v>8</v>
      </c>
      <c r="H94" s="172">
        <v>8</v>
      </c>
      <c r="I94" s="172">
        <v>8</v>
      </c>
      <c r="J94" s="172">
        <v>8</v>
      </c>
      <c r="K94" s="172">
        <v>8</v>
      </c>
      <c r="L94" s="172">
        <v>7</v>
      </c>
      <c r="M94" s="172">
        <v>8</v>
      </c>
      <c r="N94" s="172">
        <v>7</v>
      </c>
      <c r="O94" s="172">
        <v>8</v>
      </c>
      <c r="P94" s="172">
        <v>8</v>
      </c>
      <c r="Q94" s="172">
        <v>9</v>
      </c>
      <c r="R94" s="172">
        <v>9</v>
      </c>
      <c r="S94" s="172">
        <v>7</v>
      </c>
      <c r="T94" s="172">
        <v>0</v>
      </c>
      <c r="U94" s="172">
        <v>0</v>
      </c>
      <c r="V94" s="172">
        <v>7</v>
      </c>
      <c r="W94" s="172">
        <v>0</v>
      </c>
      <c r="X94" s="172">
        <v>9</v>
      </c>
      <c r="Y94" s="172">
        <v>8</v>
      </c>
      <c r="Z94" s="172">
        <v>0</v>
      </c>
      <c r="AA94" s="113"/>
      <c r="AB94" s="113"/>
      <c r="AC94" s="24"/>
      <c r="AD94" s="24"/>
      <c r="AE94" s="24"/>
      <c r="AF94" s="24"/>
      <c r="AG94" s="24"/>
      <c r="AH94" s="24"/>
      <c r="AJ94" s="40"/>
    </row>
    <row r="95" spans="1:36" ht="15.75" customHeight="1">
      <c r="A95" s="241">
        <f>OVERALL!A24</f>
        <v>21</v>
      </c>
      <c r="B95" s="242">
        <f>OVERALL!B24</f>
        <v>2301257</v>
      </c>
      <c r="C95" s="243" t="str">
        <f>OVERALL!C24</f>
        <v>Ritesh Kumar Choudhary</v>
      </c>
      <c r="D95" s="171">
        <v>8</v>
      </c>
      <c r="E95" s="172">
        <v>7</v>
      </c>
      <c r="F95" s="172">
        <v>8</v>
      </c>
      <c r="G95" s="172">
        <v>0</v>
      </c>
      <c r="H95" s="172">
        <v>8</v>
      </c>
      <c r="I95" s="172">
        <v>8</v>
      </c>
      <c r="J95" s="172">
        <v>9</v>
      </c>
      <c r="K95" s="172">
        <v>8</v>
      </c>
      <c r="L95" s="172">
        <v>8</v>
      </c>
      <c r="M95" s="172">
        <v>7</v>
      </c>
      <c r="N95" s="172">
        <v>0</v>
      </c>
      <c r="O95" s="172">
        <v>8</v>
      </c>
      <c r="P95" s="172">
        <v>7</v>
      </c>
      <c r="Q95" s="172">
        <v>0</v>
      </c>
      <c r="R95" s="172">
        <v>0</v>
      </c>
      <c r="S95" s="172">
        <v>0</v>
      </c>
      <c r="T95" s="172">
        <v>8</v>
      </c>
      <c r="U95" s="172">
        <v>0</v>
      </c>
      <c r="V95" s="172">
        <v>0</v>
      </c>
      <c r="W95" s="172">
        <v>0</v>
      </c>
      <c r="X95" s="172">
        <v>0</v>
      </c>
      <c r="Y95" s="172">
        <v>7</v>
      </c>
      <c r="Z95" s="172">
        <v>0</v>
      </c>
      <c r="AA95" s="113"/>
      <c r="AB95" s="113"/>
      <c r="AC95" s="24"/>
      <c r="AD95" s="24"/>
      <c r="AE95" s="24"/>
      <c r="AF95" s="24"/>
      <c r="AG95" s="24"/>
      <c r="AH95" s="24"/>
      <c r="AJ95" s="40"/>
    </row>
    <row r="96" spans="1:36" ht="15.75" customHeight="1">
      <c r="A96" s="241">
        <f>OVERALL!A25</f>
        <v>22</v>
      </c>
      <c r="B96" s="242">
        <f>OVERALL!B25</f>
        <v>2301258</v>
      </c>
      <c r="C96" s="243" t="str">
        <f>OVERALL!C25</f>
        <v>Ritesh Thakur</v>
      </c>
      <c r="D96" s="171">
        <v>8</v>
      </c>
      <c r="E96" s="172">
        <v>8</v>
      </c>
      <c r="F96" s="172">
        <v>8</v>
      </c>
      <c r="G96" s="172">
        <v>0</v>
      </c>
      <c r="H96" s="172">
        <v>8</v>
      </c>
      <c r="I96" s="172">
        <v>8</v>
      </c>
      <c r="J96" s="172">
        <v>0</v>
      </c>
      <c r="K96" s="172">
        <v>9</v>
      </c>
      <c r="L96" s="172">
        <v>0</v>
      </c>
      <c r="M96" s="172">
        <v>8</v>
      </c>
      <c r="N96" s="172">
        <v>0</v>
      </c>
      <c r="O96" s="172">
        <v>0</v>
      </c>
      <c r="P96" s="172">
        <v>9</v>
      </c>
      <c r="Q96" s="172">
        <v>0</v>
      </c>
      <c r="R96" s="172">
        <v>0</v>
      </c>
      <c r="S96" s="172">
        <v>0</v>
      </c>
      <c r="T96" s="172">
        <v>0</v>
      </c>
      <c r="U96" s="172">
        <v>0</v>
      </c>
      <c r="V96" s="172">
        <v>0</v>
      </c>
      <c r="W96" s="172">
        <v>0</v>
      </c>
      <c r="X96" s="172">
        <v>0</v>
      </c>
      <c r="Y96" s="172">
        <v>0</v>
      </c>
      <c r="Z96" s="172">
        <v>0</v>
      </c>
      <c r="AA96" s="113"/>
      <c r="AB96" s="113"/>
      <c r="AC96" s="24"/>
      <c r="AD96" s="24"/>
      <c r="AE96" s="24"/>
      <c r="AF96" s="24"/>
      <c r="AG96" s="24"/>
      <c r="AH96" s="24"/>
      <c r="AJ96" s="40"/>
    </row>
    <row r="97" spans="1:36" ht="15.75" customHeight="1">
      <c r="A97" s="241">
        <f>OVERALL!A26</f>
        <v>23</v>
      </c>
      <c r="B97" s="242">
        <f>OVERALL!B26</f>
        <v>2301259</v>
      </c>
      <c r="C97" s="243" t="str">
        <f>OVERALL!C26</f>
        <v>Riya Thakur</v>
      </c>
      <c r="D97" s="171">
        <v>9</v>
      </c>
      <c r="E97" s="172">
        <v>8</v>
      </c>
      <c r="F97" s="172">
        <v>9</v>
      </c>
      <c r="G97" s="172">
        <v>8</v>
      </c>
      <c r="H97" s="172">
        <v>8</v>
      </c>
      <c r="I97" s="172">
        <v>9</v>
      </c>
      <c r="J97" s="172">
        <v>7</v>
      </c>
      <c r="K97" s="172">
        <v>8</v>
      </c>
      <c r="L97" s="172">
        <v>9</v>
      </c>
      <c r="M97" s="172">
        <v>0</v>
      </c>
      <c r="N97" s="172">
        <v>0</v>
      </c>
      <c r="O97" s="172">
        <v>0</v>
      </c>
      <c r="P97" s="172">
        <v>8</v>
      </c>
      <c r="Q97" s="172">
        <v>9</v>
      </c>
      <c r="R97" s="172">
        <v>0</v>
      </c>
      <c r="S97" s="172">
        <v>0</v>
      </c>
      <c r="T97" s="172">
        <v>0</v>
      </c>
      <c r="U97" s="172">
        <v>9</v>
      </c>
      <c r="V97" s="172">
        <v>8</v>
      </c>
      <c r="W97" s="172">
        <v>7</v>
      </c>
      <c r="X97" s="172">
        <v>0</v>
      </c>
      <c r="Y97" s="172">
        <v>0</v>
      </c>
      <c r="Z97" s="172">
        <v>0</v>
      </c>
      <c r="AA97" s="113"/>
      <c r="AB97" s="113"/>
      <c r="AC97" s="24"/>
      <c r="AD97" s="24"/>
      <c r="AE97" s="24"/>
      <c r="AF97" s="24"/>
      <c r="AG97" s="24"/>
      <c r="AH97" s="24"/>
      <c r="AJ97" s="40"/>
    </row>
    <row r="98" spans="1:36" ht="15.75" customHeight="1">
      <c r="A98" s="241">
        <f>OVERALL!A27</f>
        <v>24</v>
      </c>
      <c r="B98" s="242">
        <f>OVERALL!B27</f>
        <v>2301260</v>
      </c>
      <c r="C98" s="243" t="str">
        <f>OVERALL!C27</f>
        <v>Rounit Dhiman</v>
      </c>
      <c r="D98" s="171">
        <v>0</v>
      </c>
      <c r="E98" s="172">
        <v>0</v>
      </c>
      <c r="F98" s="172">
        <v>0</v>
      </c>
      <c r="G98" s="172">
        <v>9</v>
      </c>
      <c r="H98" s="172">
        <v>7</v>
      </c>
      <c r="I98" s="172">
        <v>8</v>
      </c>
      <c r="J98" s="172">
        <v>8</v>
      </c>
      <c r="K98" s="172">
        <v>0</v>
      </c>
      <c r="L98" s="172">
        <v>8</v>
      </c>
      <c r="M98" s="172">
        <v>9</v>
      </c>
      <c r="N98" s="172">
        <v>8</v>
      </c>
      <c r="O98" s="172">
        <v>7</v>
      </c>
      <c r="P98" s="172">
        <v>8</v>
      </c>
      <c r="Q98" s="172">
        <v>8</v>
      </c>
      <c r="R98" s="172">
        <v>0</v>
      </c>
      <c r="S98" s="172">
        <v>9</v>
      </c>
      <c r="T98" s="172">
        <v>8</v>
      </c>
      <c r="U98" s="172">
        <v>7</v>
      </c>
      <c r="V98" s="172">
        <v>7</v>
      </c>
      <c r="W98" s="172">
        <v>8</v>
      </c>
      <c r="X98" s="172">
        <v>8</v>
      </c>
      <c r="Y98" s="172">
        <v>0</v>
      </c>
      <c r="Z98" s="172">
        <v>0</v>
      </c>
      <c r="AA98" s="113"/>
      <c r="AB98" s="113"/>
      <c r="AC98" s="24"/>
      <c r="AD98" s="24"/>
      <c r="AE98" s="24"/>
      <c r="AF98" s="24"/>
      <c r="AG98" s="24"/>
      <c r="AH98" s="24"/>
      <c r="AJ98" s="40"/>
    </row>
    <row r="99" spans="1:36" ht="15.75" customHeight="1">
      <c r="A99" s="241">
        <f>OVERALL!A28</f>
        <v>25</v>
      </c>
      <c r="B99" s="242">
        <f>OVERALL!B28</f>
        <v>2301261</v>
      </c>
      <c r="C99" s="243" t="str">
        <f>OVERALL!C28</f>
        <v>Rubby Kumari</v>
      </c>
      <c r="D99" s="171">
        <v>8</v>
      </c>
      <c r="E99" s="172">
        <v>7</v>
      </c>
      <c r="F99" s="172">
        <v>8</v>
      </c>
      <c r="G99" s="172">
        <v>0</v>
      </c>
      <c r="H99" s="172">
        <v>7</v>
      </c>
      <c r="I99" s="172">
        <v>8</v>
      </c>
      <c r="J99" s="172">
        <v>9</v>
      </c>
      <c r="K99" s="172">
        <v>8</v>
      </c>
      <c r="L99" s="172">
        <v>0</v>
      </c>
      <c r="M99" s="172">
        <v>0</v>
      </c>
      <c r="N99" s="172">
        <v>8</v>
      </c>
      <c r="O99" s="172">
        <v>7</v>
      </c>
      <c r="P99" s="172">
        <v>8</v>
      </c>
      <c r="Q99" s="172">
        <v>0</v>
      </c>
      <c r="R99" s="172">
        <v>0</v>
      </c>
      <c r="S99" s="172">
        <v>0</v>
      </c>
      <c r="T99" s="172">
        <v>9</v>
      </c>
      <c r="U99" s="172">
        <v>0</v>
      </c>
      <c r="V99" s="172">
        <v>0</v>
      </c>
      <c r="W99" s="172">
        <v>0</v>
      </c>
      <c r="X99" s="172">
        <v>7</v>
      </c>
      <c r="Y99" s="172">
        <v>0</v>
      </c>
      <c r="Z99" s="172">
        <v>0</v>
      </c>
      <c r="AA99" s="113"/>
      <c r="AB99" s="113"/>
      <c r="AC99" s="24"/>
      <c r="AD99" s="24"/>
      <c r="AE99" s="24"/>
      <c r="AF99" s="24"/>
      <c r="AG99" s="24"/>
      <c r="AH99" s="24"/>
      <c r="AJ99" s="40"/>
    </row>
    <row r="100" spans="1:36" ht="15.75" customHeight="1">
      <c r="A100" s="241">
        <f>OVERALL!A29</f>
        <v>26</v>
      </c>
      <c r="B100" s="242">
        <f>OVERALL!B29</f>
        <v>2301262</v>
      </c>
      <c r="C100" s="243" t="str">
        <f>OVERALL!C29</f>
        <v>Sakshi Devi</v>
      </c>
      <c r="D100" s="171">
        <v>8</v>
      </c>
      <c r="E100" s="172">
        <v>7</v>
      </c>
      <c r="F100" s="172">
        <v>8</v>
      </c>
      <c r="G100" s="172">
        <v>8</v>
      </c>
      <c r="H100" s="172">
        <v>8</v>
      </c>
      <c r="I100" s="172">
        <v>7</v>
      </c>
      <c r="J100" s="172">
        <v>8</v>
      </c>
      <c r="K100" s="172">
        <v>7</v>
      </c>
      <c r="L100" s="172">
        <v>8</v>
      </c>
      <c r="M100" s="172">
        <v>7</v>
      </c>
      <c r="N100" s="172">
        <v>8</v>
      </c>
      <c r="O100" s="172">
        <v>8</v>
      </c>
      <c r="P100" s="172">
        <v>0</v>
      </c>
      <c r="Q100" s="172">
        <v>8</v>
      </c>
      <c r="R100" s="172">
        <v>9</v>
      </c>
      <c r="S100" s="172">
        <v>0</v>
      </c>
      <c r="T100" s="172">
        <v>0</v>
      </c>
      <c r="U100" s="172">
        <v>9</v>
      </c>
      <c r="V100" s="172">
        <v>9</v>
      </c>
      <c r="W100" s="172">
        <v>0</v>
      </c>
      <c r="X100" s="172">
        <v>0</v>
      </c>
      <c r="Y100" s="172">
        <v>0</v>
      </c>
      <c r="Z100" s="172">
        <v>0</v>
      </c>
      <c r="AA100" s="113"/>
      <c r="AB100" s="113"/>
      <c r="AC100" s="24"/>
      <c r="AD100" s="24"/>
      <c r="AE100" s="24"/>
      <c r="AF100" s="24"/>
      <c r="AG100" s="24"/>
      <c r="AH100" s="24"/>
      <c r="AJ100" s="40"/>
    </row>
    <row r="101" spans="1:36" ht="15.75" customHeight="1">
      <c r="A101" s="241">
        <f>OVERALL!A30</f>
        <v>27</v>
      </c>
      <c r="B101" s="242">
        <f>OVERALL!B30</f>
        <v>2301263</v>
      </c>
      <c r="C101" s="243" t="str">
        <f>OVERALL!C30</f>
        <v>Sanchi Sharma</v>
      </c>
      <c r="D101" s="171">
        <v>8</v>
      </c>
      <c r="E101" s="172">
        <v>7</v>
      </c>
      <c r="F101" s="172">
        <v>8</v>
      </c>
      <c r="G101" s="172">
        <v>8</v>
      </c>
      <c r="H101" s="172">
        <v>8</v>
      </c>
      <c r="I101" s="172">
        <v>8</v>
      </c>
      <c r="J101" s="172">
        <v>8</v>
      </c>
      <c r="K101" s="172">
        <v>9</v>
      </c>
      <c r="L101" s="172">
        <v>8</v>
      </c>
      <c r="M101" s="172">
        <v>7</v>
      </c>
      <c r="N101" s="172">
        <v>8</v>
      </c>
      <c r="O101" s="172">
        <v>9</v>
      </c>
      <c r="P101" s="172">
        <v>8</v>
      </c>
      <c r="Q101" s="172">
        <v>7</v>
      </c>
      <c r="R101" s="172">
        <v>0</v>
      </c>
      <c r="S101" s="172">
        <v>7</v>
      </c>
      <c r="T101" s="172">
        <v>8</v>
      </c>
      <c r="U101" s="172">
        <v>9</v>
      </c>
      <c r="V101" s="172">
        <v>8</v>
      </c>
      <c r="W101" s="172">
        <v>7</v>
      </c>
      <c r="X101" s="172">
        <v>9</v>
      </c>
      <c r="Y101" s="172">
        <v>8</v>
      </c>
      <c r="Z101" s="172">
        <v>0</v>
      </c>
      <c r="AA101" s="113"/>
      <c r="AB101" s="113"/>
      <c r="AC101" s="24"/>
      <c r="AD101" s="24"/>
      <c r="AE101" s="24"/>
      <c r="AF101" s="24"/>
      <c r="AG101" s="24"/>
      <c r="AH101" s="24"/>
      <c r="AJ101" s="40"/>
    </row>
    <row r="102" spans="1:36" ht="15.75" customHeight="1">
      <c r="A102" s="241">
        <f>OVERALL!A31</f>
        <v>28</v>
      </c>
      <c r="B102" s="242">
        <f>OVERALL!B31</f>
        <v>2301264</v>
      </c>
      <c r="C102" s="243" t="str">
        <f>OVERALL!C31</f>
        <v>Sarbjit Singh</v>
      </c>
      <c r="D102" s="171">
        <v>8</v>
      </c>
      <c r="E102" s="172">
        <v>7</v>
      </c>
      <c r="F102" s="172">
        <v>8</v>
      </c>
      <c r="G102" s="172">
        <v>7</v>
      </c>
      <c r="H102" s="172">
        <v>8</v>
      </c>
      <c r="I102" s="172">
        <v>7</v>
      </c>
      <c r="J102" s="172">
        <v>0</v>
      </c>
      <c r="K102" s="172">
        <v>0</v>
      </c>
      <c r="L102" s="172">
        <v>0</v>
      </c>
      <c r="M102" s="172">
        <v>8</v>
      </c>
      <c r="N102" s="172">
        <v>8</v>
      </c>
      <c r="O102" s="172">
        <v>0</v>
      </c>
      <c r="P102" s="172">
        <v>9</v>
      </c>
      <c r="Q102" s="172">
        <v>8</v>
      </c>
      <c r="R102" s="172">
        <v>0</v>
      </c>
      <c r="S102" s="172">
        <v>7</v>
      </c>
      <c r="T102" s="172">
        <v>7</v>
      </c>
      <c r="U102" s="172">
        <v>0</v>
      </c>
      <c r="V102" s="172">
        <v>0</v>
      </c>
      <c r="W102" s="172">
        <v>0</v>
      </c>
      <c r="X102" s="172">
        <v>8</v>
      </c>
      <c r="Y102" s="172">
        <v>0</v>
      </c>
      <c r="Z102" s="172">
        <v>0</v>
      </c>
      <c r="AA102" s="113"/>
      <c r="AB102" s="113"/>
      <c r="AC102" s="24"/>
      <c r="AD102" s="24"/>
      <c r="AE102" s="24"/>
      <c r="AF102" s="24"/>
      <c r="AG102" s="24"/>
      <c r="AH102" s="24"/>
      <c r="AJ102" s="40"/>
    </row>
    <row r="103" spans="1:36" ht="15.75" customHeight="1">
      <c r="A103" s="241">
        <f>OVERALL!A32</f>
        <v>29</v>
      </c>
      <c r="B103" s="242">
        <f>OVERALL!B32</f>
        <v>2301265</v>
      </c>
      <c r="C103" s="243" t="str">
        <f>OVERALL!C32</f>
        <v>Sarif Mayangmayum</v>
      </c>
      <c r="D103" s="171">
        <v>7</v>
      </c>
      <c r="E103" s="172">
        <v>8</v>
      </c>
      <c r="F103" s="172">
        <v>7</v>
      </c>
      <c r="G103" s="172">
        <v>8</v>
      </c>
      <c r="H103" s="172">
        <v>8</v>
      </c>
      <c r="I103" s="172">
        <v>7</v>
      </c>
      <c r="J103" s="172">
        <v>8</v>
      </c>
      <c r="K103" s="172">
        <v>8</v>
      </c>
      <c r="L103" s="172">
        <v>7</v>
      </c>
      <c r="M103" s="172">
        <v>0</v>
      </c>
      <c r="N103" s="172">
        <v>8</v>
      </c>
      <c r="O103" s="172">
        <v>9</v>
      </c>
      <c r="P103" s="172">
        <v>8</v>
      </c>
      <c r="Q103" s="172">
        <v>9</v>
      </c>
      <c r="R103" s="172">
        <v>8</v>
      </c>
      <c r="S103" s="172">
        <v>8</v>
      </c>
      <c r="T103" s="172">
        <v>9</v>
      </c>
      <c r="U103" s="172">
        <v>7</v>
      </c>
      <c r="V103" s="172">
        <v>7</v>
      </c>
      <c r="W103" s="172">
        <v>0</v>
      </c>
      <c r="X103" s="172">
        <v>0</v>
      </c>
      <c r="Y103" s="172">
        <v>9</v>
      </c>
      <c r="Z103" s="172">
        <v>0</v>
      </c>
      <c r="AA103" s="113"/>
      <c r="AB103" s="113"/>
      <c r="AC103" s="24"/>
      <c r="AD103" s="24"/>
      <c r="AE103" s="24"/>
      <c r="AF103" s="24"/>
      <c r="AG103" s="24"/>
      <c r="AH103" s="24"/>
      <c r="AJ103" s="40"/>
    </row>
    <row r="104" spans="1:36" ht="15.75" customHeight="1">
      <c r="A104" s="241">
        <f>OVERALL!A33</f>
        <v>30</v>
      </c>
      <c r="B104" s="242">
        <f>OVERALL!B33</f>
        <v>2301267</v>
      </c>
      <c r="C104" s="243" t="str">
        <f>OVERALL!C33</f>
        <v>Shivam Kumar Chaubey</v>
      </c>
      <c r="D104" s="171">
        <v>8</v>
      </c>
      <c r="E104" s="172">
        <v>9</v>
      </c>
      <c r="F104" s="172">
        <v>9</v>
      </c>
      <c r="G104" s="172">
        <v>8</v>
      </c>
      <c r="H104" s="172">
        <v>8</v>
      </c>
      <c r="I104" s="172">
        <v>9</v>
      </c>
      <c r="J104" s="172">
        <v>8</v>
      </c>
      <c r="K104" s="172">
        <v>7</v>
      </c>
      <c r="L104" s="172">
        <v>8</v>
      </c>
      <c r="M104" s="172">
        <v>9</v>
      </c>
      <c r="N104" s="172">
        <v>8</v>
      </c>
      <c r="O104" s="172">
        <v>7</v>
      </c>
      <c r="P104" s="172">
        <v>8</v>
      </c>
      <c r="Q104" s="172">
        <v>8</v>
      </c>
      <c r="R104" s="172">
        <v>9</v>
      </c>
      <c r="S104" s="172">
        <v>9</v>
      </c>
      <c r="T104" s="172">
        <v>7</v>
      </c>
      <c r="U104" s="172">
        <v>8</v>
      </c>
      <c r="V104" s="172">
        <v>8</v>
      </c>
      <c r="W104" s="172">
        <v>8</v>
      </c>
      <c r="X104" s="172">
        <v>9</v>
      </c>
      <c r="Y104" s="172">
        <v>0</v>
      </c>
      <c r="Z104" s="172">
        <v>8</v>
      </c>
      <c r="AA104" s="113"/>
      <c r="AB104" s="113"/>
      <c r="AC104" s="24"/>
      <c r="AD104" s="24"/>
      <c r="AE104" s="24"/>
      <c r="AF104" s="24"/>
      <c r="AG104" s="24"/>
      <c r="AH104" s="24"/>
      <c r="AJ104" s="40"/>
    </row>
    <row r="105" spans="1:36" ht="15.75" customHeight="1">
      <c r="A105" s="241">
        <f>OVERALL!A34</f>
        <v>31</v>
      </c>
      <c r="B105" s="242">
        <f>OVERALL!B34</f>
        <v>2301268</v>
      </c>
      <c r="C105" s="243" t="str">
        <f>OVERALL!C34</f>
        <v>Simba Godfrey</v>
      </c>
      <c r="D105" s="113">
        <v>8</v>
      </c>
      <c r="E105" s="113">
        <v>7</v>
      </c>
      <c r="F105" s="113">
        <v>8</v>
      </c>
      <c r="G105" s="113">
        <v>9</v>
      </c>
      <c r="H105" s="113">
        <v>0</v>
      </c>
      <c r="I105" s="113">
        <v>8</v>
      </c>
      <c r="J105" s="113">
        <v>0</v>
      </c>
      <c r="K105" s="113">
        <v>8</v>
      </c>
      <c r="L105" s="113">
        <v>9</v>
      </c>
      <c r="M105" s="113">
        <v>0</v>
      </c>
      <c r="N105" s="113">
        <v>9</v>
      </c>
      <c r="O105" s="156">
        <v>8</v>
      </c>
      <c r="P105" s="186">
        <v>0</v>
      </c>
      <c r="Q105" s="156">
        <v>0</v>
      </c>
      <c r="R105" s="156">
        <v>0</v>
      </c>
      <c r="S105" s="156">
        <v>0</v>
      </c>
      <c r="T105" s="186">
        <v>0</v>
      </c>
      <c r="U105" s="113">
        <v>0</v>
      </c>
      <c r="V105" s="113">
        <v>0</v>
      </c>
      <c r="W105" s="113">
        <v>0</v>
      </c>
      <c r="X105" s="113">
        <v>0</v>
      </c>
      <c r="Y105" s="113">
        <v>8</v>
      </c>
      <c r="Z105" s="113">
        <v>0</v>
      </c>
      <c r="AA105" s="113"/>
      <c r="AB105" s="113"/>
      <c r="AC105" s="24"/>
      <c r="AD105" s="24"/>
      <c r="AE105" s="24"/>
      <c r="AF105" s="24"/>
      <c r="AG105" s="24"/>
      <c r="AH105" s="24"/>
      <c r="AJ105" s="40"/>
    </row>
    <row r="106" spans="1:36" ht="15.75" customHeight="1">
      <c r="A106" s="241">
        <f>OVERALL!A35</f>
        <v>32</v>
      </c>
      <c r="B106" s="242">
        <f>OVERALL!B35</f>
        <v>2301269</v>
      </c>
      <c r="C106" s="243" t="str">
        <f>OVERALL!C35</f>
        <v>Simran Kaur</v>
      </c>
      <c r="D106" s="113">
        <v>8</v>
      </c>
      <c r="E106" s="113">
        <v>7</v>
      </c>
      <c r="F106" s="113">
        <v>7</v>
      </c>
      <c r="G106" s="113">
        <v>8</v>
      </c>
      <c r="H106" s="113">
        <v>7</v>
      </c>
      <c r="I106" s="113">
        <v>7</v>
      </c>
      <c r="J106" s="113">
        <v>0</v>
      </c>
      <c r="K106" s="113">
        <v>0</v>
      </c>
      <c r="L106" s="113">
        <v>0</v>
      </c>
      <c r="M106" s="113">
        <v>8</v>
      </c>
      <c r="N106" s="113">
        <v>8</v>
      </c>
      <c r="O106" s="156">
        <v>9</v>
      </c>
      <c r="P106" s="186">
        <v>8</v>
      </c>
      <c r="Q106" s="156">
        <v>8</v>
      </c>
      <c r="R106" s="156">
        <v>8</v>
      </c>
      <c r="S106" s="156">
        <v>0</v>
      </c>
      <c r="T106" s="186">
        <v>0</v>
      </c>
      <c r="U106" s="113">
        <v>0</v>
      </c>
      <c r="V106" s="113">
        <v>0</v>
      </c>
      <c r="W106" s="113">
        <v>0</v>
      </c>
      <c r="X106" s="113">
        <v>0</v>
      </c>
      <c r="Y106" s="113">
        <v>0</v>
      </c>
      <c r="Z106" s="113">
        <v>8</v>
      </c>
      <c r="AA106" s="113"/>
      <c r="AB106" s="113"/>
      <c r="AC106" s="24"/>
      <c r="AD106" s="24"/>
      <c r="AE106" s="24"/>
      <c r="AF106" s="24"/>
      <c r="AG106" s="24"/>
      <c r="AH106" s="24"/>
      <c r="AJ106" s="40"/>
    </row>
    <row r="107" spans="1:36" ht="15.75" customHeight="1">
      <c r="A107" s="241">
        <f>OVERALL!A36</f>
        <v>33</v>
      </c>
      <c r="B107" s="242">
        <f>OVERALL!B36</f>
        <v>2301270</v>
      </c>
      <c r="C107" s="243" t="str">
        <f>OVERALL!C36</f>
        <v>Simranjit Singh</v>
      </c>
      <c r="D107" s="113">
        <v>8</v>
      </c>
      <c r="E107" s="113">
        <v>8</v>
      </c>
      <c r="F107" s="113">
        <v>7</v>
      </c>
      <c r="G107" s="113">
        <v>8</v>
      </c>
      <c r="H107" s="113">
        <v>7</v>
      </c>
      <c r="I107" s="113">
        <v>8</v>
      </c>
      <c r="J107" s="113">
        <v>8</v>
      </c>
      <c r="K107" s="113">
        <v>0</v>
      </c>
      <c r="L107" s="113">
        <v>8</v>
      </c>
      <c r="M107" s="113">
        <v>0</v>
      </c>
      <c r="N107" s="113">
        <v>9</v>
      </c>
      <c r="O107" s="156">
        <v>0</v>
      </c>
      <c r="P107" s="186">
        <v>9</v>
      </c>
      <c r="Q107" s="156">
        <v>7</v>
      </c>
      <c r="R107" s="156">
        <v>8</v>
      </c>
      <c r="S107" s="156">
        <v>0</v>
      </c>
      <c r="T107" s="186">
        <v>8</v>
      </c>
      <c r="U107" s="113">
        <v>0</v>
      </c>
      <c r="V107" s="113">
        <v>0</v>
      </c>
      <c r="W107" s="113">
        <v>8</v>
      </c>
      <c r="X107" s="113">
        <v>9</v>
      </c>
      <c r="Y107" s="113">
        <v>8</v>
      </c>
      <c r="Z107" s="113">
        <v>9</v>
      </c>
      <c r="AA107" s="113"/>
      <c r="AB107" s="113"/>
      <c r="AC107" s="24"/>
      <c r="AD107" s="24"/>
      <c r="AE107" s="24"/>
      <c r="AF107" s="24"/>
      <c r="AG107" s="24"/>
      <c r="AH107" s="24"/>
      <c r="AJ107" s="40"/>
    </row>
    <row r="108" spans="1:36" ht="15.75" customHeight="1">
      <c r="A108" s="241">
        <f>OVERALL!A37</f>
        <v>34</v>
      </c>
      <c r="B108" s="242">
        <f>OVERALL!B37</f>
        <v>2301271</v>
      </c>
      <c r="C108" s="243" t="str">
        <f>OVERALL!C37</f>
        <v>Sudip Sunar</v>
      </c>
      <c r="D108" s="113">
        <v>8</v>
      </c>
      <c r="E108" s="113">
        <v>8</v>
      </c>
      <c r="F108" s="113">
        <v>8</v>
      </c>
      <c r="G108" s="113">
        <v>7</v>
      </c>
      <c r="H108" s="113">
        <v>8</v>
      </c>
      <c r="I108" s="113">
        <v>7</v>
      </c>
      <c r="J108" s="113">
        <v>7</v>
      </c>
      <c r="K108" s="113">
        <v>9</v>
      </c>
      <c r="L108" s="113">
        <v>0</v>
      </c>
      <c r="M108" s="113">
        <v>0</v>
      </c>
      <c r="N108" s="113">
        <v>9</v>
      </c>
      <c r="O108" s="156">
        <v>9</v>
      </c>
      <c r="P108" s="186">
        <v>8</v>
      </c>
      <c r="Q108" s="156">
        <v>8</v>
      </c>
      <c r="R108" s="156">
        <v>7</v>
      </c>
      <c r="S108" s="156">
        <v>0</v>
      </c>
      <c r="T108" s="186">
        <v>0</v>
      </c>
      <c r="U108" s="113">
        <v>0</v>
      </c>
      <c r="V108" s="113">
        <v>0</v>
      </c>
      <c r="W108" s="113">
        <v>0</v>
      </c>
      <c r="X108" s="113">
        <v>0</v>
      </c>
      <c r="Y108" s="113">
        <v>0</v>
      </c>
      <c r="Z108" s="113">
        <v>8</v>
      </c>
      <c r="AA108" s="113"/>
      <c r="AB108" s="113"/>
      <c r="AC108" s="24"/>
      <c r="AD108" s="24"/>
      <c r="AE108" s="24"/>
      <c r="AF108" s="24"/>
      <c r="AG108" s="24"/>
      <c r="AH108" s="24"/>
      <c r="AJ108" s="40"/>
    </row>
    <row r="109" spans="1:36" ht="15.75" customHeight="1">
      <c r="A109" s="241">
        <f>OVERALL!A38</f>
        <v>35</v>
      </c>
      <c r="B109" s="242">
        <f>OVERALL!B38</f>
        <v>2301272</v>
      </c>
      <c r="C109" s="243" t="str">
        <f>OVERALL!C38</f>
        <v>Sujal Sharma</v>
      </c>
      <c r="D109" s="113">
        <v>0</v>
      </c>
      <c r="E109" s="113">
        <v>0</v>
      </c>
      <c r="F109" s="113">
        <v>0</v>
      </c>
      <c r="G109" s="113">
        <v>0</v>
      </c>
      <c r="H109" s="113">
        <v>0</v>
      </c>
      <c r="I109" s="113">
        <v>0</v>
      </c>
      <c r="J109" s="113">
        <v>0</v>
      </c>
      <c r="K109" s="113"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  <c r="Q109" s="113">
        <v>0</v>
      </c>
      <c r="R109" s="113">
        <v>0</v>
      </c>
      <c r="S109" s="113">
        <v>0</v>
      </c>
      <c r="T109" s="113">
        <v>0</v>
      </c>
      <c r="U109" s="113">
        <v>0</v>
      </c>
      <c r="V109" s="113">
        <v>0</v>
      </c>
      <c r="W109" s="113">
        <v>0</v>
      </c>
      <c r="X109" s="113">
        <v>0</v>
      </c>
      <c r="Y109" s="113">
        <v>0</v>
      </c>
      <c r="Z109" s="113">
        <v>0</v>
      </c>
      <c r="AA109" s="113"/>
      <c r="AB109" s="113"/>
      <c r="AC109" s="24"/>
      <c r="AD109" s="24"/>
      <c r="AE109" s="24"/>
      <c r="AF109" s="24"/>
      <c r="AG109" s="24"/>
      <c r="AH109" s="24"/>
      <c r="AJ109" s="40"/>
    </row>
    <row r="110" spans="1:36" ht="15.75" customHeight="1">
      <c r="A110" s="241">
        <f>OVERALL!A39</f>
        <v>36</v>
      </c>
      <c r="B110" s="242">
        <f>OVERALL!B39</f>
        <v>2301273</v>
      </c>
      <c r="C110" s="243" t="str">
        <f>OVERALL!C39</f>
        <v>Sukhraj Singh</v>
      </c>
      <c r="D110" s="113">
        <v>8</v>
      </c>
      <c r="E110" s="113">
        <v>8</v>
      </c>
      <c r="F110" s="113">
        <v>7</v>
      </c>
      <c r="G110" s="113">
        <v>0</v>
      </c>
      <c r="H110" s="113">
        <v>8</v>
      </c>
      <c r="I110" s="113">
        <v>0</v>
      </c>
      <c r="J110" s="113">
        <v>9</v>
      </c>
      <c r="K110" s="113">
        <v>8</v>
      </c>
      <c r="L110" s="113">
        <v>0</v>
      </c>
      <c r="M110" s="113">
        <v>0</v>
      </c>
      <c r="N110" s="113">
        <v>9</v>
      </c>
      <c r="O110" s="156">
        <v>0</v>
      </c>
      <c r="P110" s="186">
        <v>8</v>
      </c>
      <c r="Q110" s="156">
        <v>0</v>
      </c>
      <c r="R110" s="156">
        <v>0</v>
      </c>
      <c r="S110" s="156">
        <v>0</v>
      </c>
      <c r="T110" s="186">
        <v>0</v>
      </c>
      <c r="U110" s="113">
        <v>0</v>
      </c>
      <c r="V110" s="113">
        <v>0</v>
      </c>
      <c r="W110" s="113">
        <v>0</v>
      </c>
      <c r="X110" s="113">
        <v>0</v>
      </c>
      <c r="Y110" s="113">
        <v>0</v>
      </c>
      <c r="Z110" s="113">
        <v>0</v>
      </c>
      <c r="AA110" s="113"/>
      <c r="AB110" s="113"/>
      <c r="AC110" s="24"/>
      <c r="AD110" s="24"/>
      <c r="AE110" s="24"/>
      <c r="AF110" s="24"/>
      <c r="AG110" s="24"/>
      <c r="AH110" s="24"/>
      <c r="AJ110" s="40"/>
    </row>
    <row r="111" spans="1:36" ht="15.75" customHeight="1">
      <c r="A111" s="241">
        <f>OVERALL!A40</f>
        <v>37</v>
      </c>
      <c r="B111" s="242">
        <f>OVERALL!B40</f>
        <v>2301274</v>
      </c>
      <c r="C111" s="243" t="str">
        <f>OVERALL!C40</f>
        <v>Sukhreet Kaur</v>
      </c>
      <c r="D111" s="113">
        <v>8</v>
      </c>
      <c r="E111" s="113">
        <v>8</v>
      </c>
      <c r="F111" s="113">
        <v>8</v>
      </c>
      <c r="G111" s="113">
        <v>7</v>
      </c>
      <c r="H111" s="113">
        <v>7</v>
      </c>
      <c r="I111" s="113">
        <v>8</v>
      </c>
      <c r="J111" s="113">
        <v>8</v>
      </c>
      <c r="K111" s="113">
        <v>8</v>
      </c>
      <c r="L111" s="113">
        <v>9</v>
      </c>
      <c r="M111" s="113">
        <v>9</v>
      </c>
      <c r="N111" s="113">
        <v>0</v>
      </c>
      <c r="O111" s="156">
        <v>0</v>
      </c>
      <c r="P111" s="186">
        <v>0</v>
      </c>
      <c r="Q111" s="156">
        <v>0</v>
      </c>
      <c r="R111" s="156">
        <v>0</v>
      </c>
      <c r="S111" s="156">
        <v>0</v>
      </c>
      <c r="T111" s="186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3"/>
      <c r="AB111" s="113"/>
      <c r="AC111" s="24"/>
      <c r="AD111" s="24"/>
      <c r="AE111" s="24"/>
      <c r="AF111" s="24"/>
      <c r="AG111" s="24"/>
      <c r="AH111" s="24"/>
      <c r="AJ111" s="40"/>
    </row>
    <row r="112" spans="1:36" ht="15.75" customHeight="1">
      <c r="A112" s="241">
        <f>OVERALL!A41</f>
        <v>38</v>
      </c>
      <c r="B112" s="242">
        <f>OVERALL!B41</f>
        <v>2301275</v>
      </c>
      <c r="C112" s="243" t="str">
        <f>OVERALL!C41</f>
        <v>Suman Krishna</v>
      </c>
      <c r="D112" s="113">
        <v>0</v>
      </c>
      <c r="E112" s="113">
        <v>0</v>
      </c>
      <c r="F112" s="113">
        <v>0</v>
      </c>
      <c r="G112" s="113">
        <v>7</v>
      </c>
      <c r="H112" s="113">
        <v>8</v>
      </c>
      <c r="I112" s="113">
        <v>0</v>
      </c>
      <c r="J112" s="113">
        <v>0</v>
      </c>
      <c r="K112" s="113"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  <c r="Q112" s="113">
        <v>0</v>
      </c>
      <c r="R112" s="113">
        <v>0</v>
      </c>
      <c r="S112" s="156">
        <v>8</v>
      </c>
      <c r="T112" s="186">
        <v>0</v>
      </c>
      <c r="U112" s="113">
        <v>8</v>
      </c>
      <c r="V112" s="113">
        <v>9</v>
      </c>
      <c r="W112" s="113">
        <v>0</v>
      </c>
      <c r="X112" s="113">
        <v>8</v>
      </c>
      <c r="Y112" s="113">
        <v>0</v>
      </c>
      <c r="Z112" s="113">
        <v>0</v>
      </c>
      <c r="AA112" s="113"/>
      <c r="AB112" s="113"/>
      <c r="AC112" s="24"/>
      <c r="AD112" s="24"/>
      <c r="AE112" s="24"/>
      <c r="AF112" s="24"/>
      <c r="AG112" s="24"/>
      <c r="AH112" s="24"/>
      <c r="AJ112" s="40"/>
    </row>
    <row r="113" spans="1:44" ht="15.75" customHeight="1">
      <c r="A113" s="241">
        <f>OVERALL!A42</f>
        <v>39</v>
      </c>
      <c r="B113" s="242">
        <f>OVERALL!B42</f>
        <v>2301276</v>
      </c>
      <c r="C113" s="243" t="str">
        <f>OVERALL!C42</f>
        <v>Sumanyu</v>
      </c>
      <c r="D113" s="113">
        <v>0</v>
      </c>
      <c r="E113" s="113">
        <v>0</v>
      </c>
      <c r="F113" s="113">
        <v>0</v>
      </c>
      <c r="G113" s="113">
        <v>0</v>
      </c>
      <c r="H113" s="113">
        <v>0</v>
      </c>
      <c r="I113" s="113">
        <v>0</v>
      </c>
      <c r="J113" s="113">
        <v>0</v>
      </c>
      <c r="K113" s="113"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  <c r="Q113" s="113">
        <v>0</v>
      </c>
      <c r="R113" s="113">
        <v>0</v>
      </c>
      <c r="S113" s="113">
        <v>0</v>
      </c>
      <c r="T113" s="113">
        <v>0</v>
      </c>
      <c r="U113" s="113">
        <v>0</v>
      </c>
      <c r="V113" s="113">
        <v>0</v>
      </c>
      <c r="W113" s="113">
        <v>0</v>
      </c>
      <c r="X113" s="113">
        <v>0</v>
      </c>
      <c r="Y113" s="113">
        <v>0</v>
      </c>
      <c r="Z113" s="113">
        <v>0</v>
      </c>
      <c r="AA113" s="113"/>
      <c r="AB113" s="113"/>
      <c r="AC113" s="24"/>
      <c r="AD113" s="24"/>
      <c r="AE113" s="24"/>
      <c r="AF113" s="24"/>
      <c r="AG113" s="24"/>
      <c r="AH113" s="24"/>
      <c r="AJ113" s="40"/>
    </row>
    <row r="114" spans="1:44" ht="15.75" customHeight="1">
      <c r="A114" s="241">
        <f>OVERALL!A43</f>
        <v>40</v>
      </c>
      <c r="B114" s="242">
        <f>OVERALL!B43</f>
        <v>2301277</v>
      </c>
      <c r="C114" s="243" t="str">
        <f>OVERALL!C43</f>
        <v>Tamana</v>
      </c>
      <c r="D114" s="113">
        <v>8</v>
      </c>
      <c r="E114" s="113">
        <v>9</v>
      </c>
      <c r="F114" s="113">
        <v>8</v>
      </c>
      <c r="G114" s="113">
        <v>0</v>
      </c>
      <c r="H114" s="113">
        <v>8</v>
      </c>
      <c r="I114" s="113">
        <v>8</v>
      </c>
      <c r="J114" s="113">
        <v>9</v>
      </c>
      <c r="K114" s="113">
        <v>0</v>
      </c>
      <c r="L114" s="113">
        <v>0</v>
      </c>
      <c r="M114" s="113">
        <v>0</v>
      </c>
      <c r="N114" s="113">
        <v>9</v>
      </c>
      <c r="O114" s="156">
        <v>9</v>
      </c>
      <c r="P114" s="186">
        <v>0</v>
      </c>
      <c r="Q114" s="156">
        <v>0</v>
      </c>
      <c r="R114" s="156">
        <v>0</v>
      </c>
      <c r="S114" s="156">
        <v>0</v>
      </c>
      <c r="T114" s="186">
        <v>0</v>
      </c>
      <c r="U114" s="113">
        <v>0</v>
      </c>
      <c r="V114" s="113">
        <v>0</v>
      </c>
      <c r="W114" s="113">
        <v>0</v>
      </c>
      <c r="X114" s="113">
        <v>0</v>
      </c>
      <c r="Y114" s="113">
        <v>0</v>
      </c>
      <c r="Z114" s="113">
        <v>0</v>
      </c>
      <c r="AA114" s="113"/>
      <c r="AB114" s="113"/>
      <c r="AC114" s="24"/>
      <c r="AD114" s="24"/>
      <c r="AE114" s="24"/>
      <c r="AF114" s="24"/>
      <c r="AG114" s="24"/>
      <c r="AH114" s="24"/>
      <c r="AJ114" s="40"/>
    </row>
    <row r="115" spans="1:44" ht="15.75" customHeight="1">
      <c r="A115" s="241">
        <f>OVERALL!A44</f>
        <v>41</v>
      </c>
      <c r="B115" s="242">
        <f>OVERALL!B44</f>
        <v>2301278</v>
      </c>
      <c r="C115" s="243" t="str">
        <f>OVERALL!C44</f>
        <v>Tamana Farooq Khanday</v>
      </c>
      <c r="D115" s="113">
        <v>8</v>
      </c>
      <c r="E115" s="113">
        <v>8</v>
      </c>
      <c r="F115" s="113">
        <v>8</v>
      </c>
      <c r="G115" s="113">
        <v>0</v>
      </c>
      <c r="H115" s="113">
        <v>7</v>
      </c>
      <c r="I115" s="113">
        <v>0</v>
      </c>
      <c r="J115" s="113">
        <v>0</v>
      </c>
      <c r="K115" s="113">
        <v>0</v>
      </c>
      <c r="L115" s="113">
        <v>0</v>
      </c>
      <c r="M115" s="113">
        <v>0</v>
      </c>
      <c r="N115" s="113">
        <v>0</v>
      </c>
      <c r="O115" s="156">
        <v>9</v>
      </c>
      <c r="P115" s="186">
        <v>0</v>
      </c>
      <c r="Q115" s="156">
        <v>0</v>
      </c>
      <c r="R115" s="156">
        <v>0</v>
      </c>
      <c r="S115" s="156">
        <v>0</v>
      </c>
      <c r="T115" s="186">
        <v>0</v>
      </c>
      <c r="U115" s="113">
        <v>0</v>
      </c>
      <c r="V115" s="113">
        <v>8</v>
      </c>
      <c r="W115" s="113">
        <v>0</v>
      </c>
      <c r="X115" s="113">
        <v>0</v>
      </c>
      <c r="Y115" s="113">
        <v>0</v>
      </c>
      <c r="Z115" s="113">
        <v>0</v>
      </c>
      <c r="AA115" s="113"/>
      <c r="AB115" s="113"/>
      <c r="AC115" s="24"/>
      <c r="AD115" s="24"/>
      <c r="AE115" s="24"/>
      <c r="AF115" s="24"/>
      <c r="AG115" s="24"/>
      <c r="AH115" s="24"/>
      <c r="AJ115" s="40"/>
    </row>
    <row r="116" spans="1:44" ht="15.75" customHeight="1">
      <c r="A116" s="241">
        <f>OVERALL!A45</f>
        <v>42</v>
      </c>
      <c r="B116" s="242">
        <f>OVERALL!B45</f>
        <v>2301279</v>
      </c>
      <c r="C116" s="243" t="str">
        <f>OVERALL!C45</f>
        <v>Tania</v>
      </c>
      <c r="D116" s="113">
        <v>7</v>
      </c>
      <c r="E116" s="113">
        <v>8</v>
      </c>
      <c r="F116" s="113">
        <v>8</v>
      </c>
      <c r="G116" s="113">
        <v>7</v>
      </c>
      <c r="H116" s="113">
        <v>6</v>
      </c>
      <c r="I116" s="113">
        <v>0</v>
      </c>
      <c r="J116" s="113">
        <v>0</v>
      </c>
      <c r="K116" s="113"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  <c r="Q116" s="113">
        <v>0</v>
      </c>
      <c r="R116" s="113">
        <v>0</v>
      </c>
      <c r="S116" s="113">
        <v>0</v>
      </c>
      <c r="T116" s="113">
        <v>0</v>
      </c>
      <c r="U116" s="113">
        <v>8</v>
      </c>
      <c r="V116" s="113">
        <v>0</v>
      </c>
      <c r="W116" s="113">
        <v>0</v>
      </c>
      <c r="X116" s="113">
        <v>9</v>
      </c>
      <c r="Y116" s="113">
        <v>0</v>
      </c>
      <c r="Z116" s="113">
        <v>0</v>
      </c>
      <c r="AA116" s="113"/>
      <c r="AB116" s="113"/>
      <c r="AC116" s="24"/>
      <c r="AD116" s="24"/>
      <c r="AE116" s="24"/>
      <c r="AF116" s="24"/>
      <c r="AG116" s="24"/>
      <c r="AH116" s="24"/>
      <c r="AJ116" s="40"/>
    </row>
    <row r="117" spans="1:44" ht="15.75" customHeight="1">
      <c r="A117" s="241">
        <f>OVERALL!A46</f>
        <v>43</v>
      </c>
      <c r="B117" s="242">
        <f>OVERALL!B46</f>
        <v>2301280</v>
      </c>
      <c r="C117" s="243" t="str">
        <f>OVERALL!C46</f>
        <v>Taniya</v>
      </c>
      <c r="D117" s="113">
        <v>0</v>
      </c>
      <c r="E117" s="113">
        <v>8</v>
      </c>
      <c r="F117" s="113">
        <v>8</v>
      </c>
      <c r="G117" s="113">
        <v>0</v>
      </c>
      <c r="H117" s="113">
        <v>0</v>
      </c>
      <c r="I117" s="113">
        <v>7</v>
      </c>
      <c r="J117" s="113">
        <v>0</v>
      </c>
      <c r="K117" s="113"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  <c r="Q117" s="113">
        <v>0</v>
      </c>
      <c r="R117" s="113">
        <v>0</v>
      </c>
      <c r="S117" s="113">
        <v>0</v>
      </c>
      <c r="T117" s="113">
        <v>0</v>
      </c>
      <c r="U117" s="113">
        <v>0</v>
      </c>
      <c r="V117" s="113">
        <v>0</v>
      </c>
      <c r="W117" s="113">
        <v>0</v>
      </c>
      <c r="X117" s="113">
        <v>8</v>
      </c>
      <c r="Y117" s="113">
        <v>0</v>
      </c>
      <c r="Z117" s="113">
        <v>8</v>
      </c>
      <c r="AA117" s="113"/>
      <c r="AB117" s="113"/>
      <c r="AC117" s="24"/>
      <c r="AD117" s="24"/>
      <c r="AE117" s="24"/>
      <c r="AF117" s="24"/>
      <c r="AG117" s="24"/>
      <c r="AH117" s="24"/>
      <c r="AJ117" s="40"/>
    </row>
    <row r="118" spans="1:44" ht="15.75" customHeight="1">
      <c r="A118" s="241">
        <f>OVERALL!A47</f>
        <v>44</v>
      </c>
      <c r="B118" s="242">
        <f>OVERALL!B47</f>
        <v>2301281</v>
      </c>
      <c r="C118" s="243" t="str">
        <f>OVERALL!C47</f>
        <v>Taziko Trakha</v>
      </c>
      <c r="D118" s="113">
        <v>8</v>
      </c>
      <c r="E118" s="113">
        <v>7</v>
      </c>
      <c r="F118" s="113">
        <v>8</v>
      </c>
      <c r="G118" s="113">
        <v>8</v>
      </c>
      <c r="H118" s="113">
        <v>6</v>
      </c>
      <c r="I118" s="113">
        <v>8</v>
      </c>
      <c r="J118" s="113">
        <v>8</v>
      </c>
      <c r="K118" s="113">
        <v>8</v>
      </c>
      <c r="L118" s="113">
        <v>0</v>
      </c>
      <c r="M118" s="113">
        <v>0</v>
      </c>
      <c r="N118" s="113">
        <v>0</v>
      </c>
      <c r="O118" s="156">
        <v>0</v>
      </c>
      <c r="P118" s="186">
        <v>0</v>
      </c>
      <c r="Q118" s="156">
        <v>8</v>
      </c>
      <c r="R118" s="156">
        <v>7</v>
      </c>
      <c r="S118" s="156">
        <v>0</v>
      </c>
      <c r="T118" s="186">
        <v>0</v>
      </c>
      <c r="U118" s="113">
        <v>0</v>
      </c>
      <c r="V118" s="113">
        <v>0</v>
      </c>
      <c r="W118" s="113">
        <v>0</v>
      </c>
      <c r="X118" s="113">
        <v>0</v>
      </c>
      <c r="Y118" s="113">
        <v>0</v>
      </c>
      <c r="Z118" s="113">
        <v>0</v>
      </c>
      <c r="AA118" s="113"/>
      <c r="AB118" s="113"/>
      <c r="AC118" s="24"/>
      <c r="AD118" s="24"/>
      <c r="AE118" s="24"/>
      <c r="AF118" s="24"/>
      <c r="AG118" s="24"/>
      <c r="AH118" s="24"/>
      <c r="AJ118" s="40"/>
    </row>
    <row r="119" spans="1:44" ht="15.75" customHeight="1">
      <c r="A119" s="241">
        <f>OVERALL!A48</f>
        <v>45</v>
      </c>
      <c r="B119" s="242">
        <f>OVERALL!B48</f>
        <v>2301282</v>
      </c>
      <c r="C119" s="243" t="str">
        <f>OVERALL!C48</f>
        <v>Uday Kumar</v>
      </c>
      <c r="D119" s="113">
        <v>8</v>
      </c>
      <c r="E119" s="113">
        <v>7</v>
      </c>
      <c r="F119" s="113">
        <v>8</v>
      </c>
      <c r="G119" s="113">
        <v>0</v>
      </c>
      <c r="H119" s="113">
        <v>0</v>
      </c>
      <c r="I119" s="113">
        <v>0</v>
      </c>
      <c r="J119" s="113">
        <v>0</v>
      </c>
      <c r="K119" s="113">
        <v>7</v>
      </c>
      <c r="L119" s="113">
        <v>0</v>
      </c>
      <c r="M119" s="113">
        <v>0</v>
      </c>
      <c r="N119" s="113">
        <v>8</v>
      </c>
      <c r="O119" s="156">
        <v>0</v>
      </c>
      <c r="P119" s="186">
        <v>0</v>
      </c>
      <c r="Q119" s="156">
        <v>0</v>
      </c>
      <c r="R119" s="156">
        <v>0</v>
      </c>
      <c r="S119" s="156">
        <v>0</v>
      </c>
      <c r="T119" s="186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/>
      <c r="AB119" s="113"/>
      <c r="AC119" s="24"/>
      <c r="AD119" s="24"/>
      <c r="AE119" s="24"/>
      <c r="AF119" s="24"/>
      <c r="AG119" s="24"/>
      <c r="AH119" s="24"/>
      <c r="AJ119" s="40"/>
    </row>
    <row r="120" spans="1:44" ht="15.75" customHeight="1">
      <c r="A120" s="241">
        <f>OVERALL!A49</f>
        <v>46</v>
      </c>
      <c r="B120" s="242">
        <f>OVERALL!B49</f>
        <v>2301283</v>
      </c>
      <c r="C120" s="243" t="str">
        <f>OVERALL!C49</f>
        <v>Vaibhav Shahi</v>
      </c>
      <c r="D120" s="113">
        <v>7</v>
      </c>
      <c r="E120" s="113">
        <v>8</v>
      </c>
      <c r="F120" s="113">
        <v>8</v>
      </c>
      <c r="G120" s="113">
        <v>0</v>
      </c>
      <c r="H120" s="113">
        <v>7</v>
      </c>
      <c r="I120" s="113">
        <v>8</v>
      </c>
      <c r="J120" s="113">
        <v>7</v>
      </c>
      <c r="K120" s="113">
        <v>8</v>
      </c>
      <c r="L120" s="113">
        <v>8</v>
      </c>
      <c r="M120" s="113">
        <v>9</v>
      </c>
      <c r="N120" s="113">
        <v>9</v>
      </c>
      <c r="O120" s="156">
        <v>0</v>
      </c>
      <c r="P120" s="186">
        <v>9</v>
      </c>
      <c r="Q120" s="156">
        <v>0</v>
      </c>
      <c r="R120" s="156">
        <v>0</v>
      </c>
      <c r="S120" s="156">
        <v>0</v>
      </c>
      <c r="T120" s="186">
        <v>0</v>
      </c>
      <c r="U120" s="113">
        <v>0</v>
      </c>
      <c r="V120" s="113">
        <v>0</v>
      </c>
      <c r="W120" s="113">
        <v>0</v>
      </c>
      <c r="X120" s="113">
        <v>0</v>
      </c>
      <c r="Y120" s="113">
        <v>8</v>
      </c>
      <c r="Z120" s="113">
        <v>9</v>
      </c>
      <c r="AA120" s="113"/>
      <c r="AB120" s="113"/>
      <c r="AC120" s="24"/>
      <c r="AD120" s="24"/>
      <c r="AE120" s="24"/>
      <c r="AF120" s="24"/>
      <c r="AG120" s="24"/>
      <c r="AH120" s="24"/>
      <c r="AJ120" s="40"/>
    </row>
    <row r="121" spans="1:44" ht="15.75" customHeight="1">
      <c r="A121" s="241">
        <f>OVERALL!A50</f>
        <v>47</v>
      </c>
      <c r="B121" s="242">
        <f>OVERALL!B50</f>
        <v>2301284</v>
      </c>
      <c r="C121" s="243" t="str">
        <f>OVERALL!C50</f>
        <v>Vansh Kumar</v>
      </c>
      <c r="D121" s="113">
        <v>0</v>
      </c>
      <c r="E121" s="113">
        <v>0</v>
      </c>
      <c r="F121" s="113">
        <v>0</v>
      </c>
      <c r="G121" s="113">
        <v>0</v>
      </c>
      <c r="H121" s="113">
        <v>0</v>
      </c>
      <c r="I121" s="113">
        <v>6</v>
      </c>
      <c r="J121" s="113">
        <v>0</v>
      </c>
      <c r="K121" s="113"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  <c r="Q121" s="113">
        <v>0</v>
      </c>
      <c r="R121" s="113">
        <v>0</v>
      </c>
      <c r="S121" s="113">
        <v>0</v>
      </c>
      <c r="T121" s="113">
        <v>0</v>
      </c>
      <c r="U121" s="113">
        <v>0</v>
      </c>
      <c r="V121" s="113">
        <v>0</v>
      </c>
      <c r="W121" s="113">
        <v>0</v>
      </c>
      <c r="X121" s="113">
        <v>0</v>
      </c>
      <c r="Y121" s="113">
        <v>0</v>
      </c>
      <c r="Z121" s="113">
        <v>0</v>
      </c>
      <c r="AA121" s="113"/>
      <c r="AB121" s="113"/>
      <c r="AC121" s="24"/>
      <c r="AD121" s="24"/>
      <c r="AE121" s="24"/>
      <c r="AF121" s="24"/>
      <c r="AG121" s="24"/>
      <c r="AH121" s="24"/>
      <c r="AJ121" s="40"/>
    </row>
    <row r="122" spans="1:44" ht="15.75" customHeight="1">
      <c r="A122" s="241">
        <f>OVERALL!A51</f>
        <v>48</v>
      </c>
      <c r="B122" s="242">
        <f>OVERALL!B51</f>
        <v>2301285</v>
      </c>
      <c r="C122" s="243" t="str">
        <f>OVERALL!C51</f>
        <v>Vansh Sharma</v>
      </c>
      <c r="D122" s="113">
        <v>8</v>
      </c>
      <c r="E122" s="113">
        <v>7</v>
      </c>
      <c r="F122" s="113">
        <v>8</v>
      </c>
      <c r="G122" s="113">
        <v>0</v>
      </c>
      <c r="H122" s="113">
        <v>0</v>
      </c>
      <c r="I122" s="113">
        <v>0</v>
      </c>
      <c r="J122" s="113">
        <v>8</v>
      </c>
      <c r="K122" s="113">
        <v>8</v>
      </c>
      <c r="L122" s="113">
        <v>9</v>
      </c>
      <c r="M122" s="113">
        <v>8</v>
      </c>
      <c r="N122" s="113">
        <v>0</v>
      </c>
      <c r="O122" s="156">
        <v>8</v>
      </c>
      <c r="P122" s="186">
        <v>9</v>
      </c>
      <c r="Q122" s="156">
        <v>8</v>
      </c>
      <c r="R122" s="156">
        <v>7</v>
      </c>
      <c r="S122" s="156">
        <v>0</v>
      </c>
      <c r="T122" s="186">
        <v>0</v>
      </c>
      <c r="U122" s="113">
        <v>8</v>
      </c>
      <c r="V122" s="113">
        <v>8</v>
      </c>
      <c r="W122" s="113">
        <v>8</v>
      </c>
      <c r="X122" s="113">
        <v>9</v>
      </c>
      <c r="Y122" s="113">
        <v>0</v>
      </c>
      <c r="Z122" s="113">
        <v>0</v>
      </c>
      <c r="AA122" s="113"/>
      <c r="AB122" s="113"/>
      <c r="AC122" s="24"/>
      <c r="AD122" s="24"/>
      <c r="AE122" s="24"/>
      <c r="AF122" s="24"/>
      <c r="AG122" s="24"/>
      <c r="AH122" s="24"/>
      <c r="AJ122" s="40"/>
    </row>
    <row r="123" spans="1:44" ht="15.75" customHeight="1">
      <c r="A123" s="241">
        <f>OVERALL!A52</f>
        <v>49</v>
      </c>
      <c r="B123" s="242">
        <f>OVERALL!B52</f>
        <v>2301286</v>
      </c>
      <c r="C123" s="243" t="str">
        <f>OVERALL!C52</f>
        <v>Vikramjit Singh</v>
      </c>
      <c r="D123" s="113">
        <v>8</v>
      </c>
      <c r="E123" s="113">
        <v>8</v>
      </c>
      <c r="F123" s="113">
        <v>0</v>
      </c>
      <c r="G123" s="113">
        <v>0</v>
      </c>
      <c r="H123" s="113">
        <v>0</v>
      </c>
      <c r="I123" s="113">
        <v>0</v>
      </c>
      <c r="J123" s="113">
        <v>0</v>
      </c>
      <c r="K123" s="113"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  <c r="Q123" s="113">
        <v>0</v>
      </c>
      <c r="R123" s="113">
        <v>0</v>
      </c>
      <c r="S123" s="113">
        <v>0</v>
      </c>
      <c r="T123" s="113">
        <v>0</v>
      </c>
      <c r="U123" s="113">
        <v>0</v>
      </c>
      <c r="V123" s="113">
        <v>0</v>
      </c>
      <c r="W123" s="113">
        <v>0</v>
      </c>
      <c r="X123" s="113">
        <v>0</v>
      </c>
      <c r="Y123" s="113">
        <v>0</v>
      </c>
      <c r="Z123" s="113">
        <v>0</v>
      </c>
      <c r="AA123" s="113"/>
      <c r="AB123" s="113"/>
      <c r="AC123" s="24"/>
      <c r="AD123" s="24"/>
      <c r="AE123" s="24"/>
      <c r="AF123" s="24"/>
      <c r="AG123" s="24"/>
      <c r="AH123" s="24"/>
      <c r="AI123" s="24"/>
      <c r="AJ123" s="40"/>
      <c r="AK123" s="24"/>
      <c r="AL123" s="24"/>
      <c r="AM123" s="24"/>
      <c r="AN123" s="24"/>
      <c r="AO123" s="24"/>
      <c r="AP123" s="24"/>
      <c r="AQ123" s="24"/>
      <c r="AR123" s="24"/>
    </row>
    <row r="124" spans="1:44" ht="15.75" customHeight="1">
      <c r="A124" s="241">
        <f>OVERALL!A53</f>
        <v>50</v>
      </c>
      <c r="B124" s="242">
        <f>OVERALL!B53</f>
        <v>2301287</v>
      </c>
      <c r="C124" s="243" t="str">
        <f>OVERALL!C53</f>
        <v>Vishavjit Singh</v>
      </c>
      <c r="D124" s="113">
        <v>8</v>
      </c>
      <c r="E124" s="113">
        <v>8</v>
      </c>
      <c r="F124" s="113">
        <v>8</v>
      </c>
      <c r="G124" s="113">
        <v>0</v>
      </c>
      <c r="H124" s="113">
        <v>0</v>
      </c>
      <c r="I124" s="113">
        <v>0</v>
      </c>
      <c r="J124" s="113">
        <v>0</v>
      </c>
      <c r="K124" s="113"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  <c r="Q124" s="113">
        <v>0</v>
      </c>
      <c r="R124" s="113">
        <v>0</v>
      </c>
      <c r="S124" s="113">
        <v>0</v>
      </c>
      <c r="T124" s="113">
        <v>0</v>
      </c>
      <c r="U124" s="113">
        <v>0</v>
      </c>
      <c r="V124" s="113">
        <v>0</v>
      </c>
      <c r="W124" s="113">
        <v>0</v>
      </c>
      <c r="X124" s="113">
        <v>0</v>
      </c>
      <c r="Y124" s="113">
        <v>0</v>
      </c>
      <c r="Z124" s="113">
        <v>0</v>
      </c>
      <c r="AA124" s="113"/>
      <c r="AB124" s="113"/>
      <c r="AC124" s="24"/>
      <c r="AD124" s="24"/>
      <c r="AE124" s="24"/>
      <c r="AF124" s="24"/>
      <c r="AG124" s="24"/>
      <c r="AH124" s="24"/>
      <c r="AI124" s="24"/>
      <c r="AJ124" s="40"/>
      <c r="AK124" s="24"/>
      <c r="AL124" s="24"/>
      <c r="AM124" s="24"/>
      <c r="AN124" s="24"/>
      <c r="AO124" s="24"/>
      <c r="AP124" s="24"/>
      <c r="AQ124" s="24"/>
      <c r="AR124" s="24"/>
    </row>
    <row r="125" spans="1:44" ht="15.75" customHeight="1">
      <c r="A125" s="241">
        <f>OVERALL!A54</f>
        <v>51</v>
      </c>
      <c r="B125" s="242">
        <f>OVERALL!B54</f>
        <v>2339508</v>
      </c>
      <c r="C125" s="243" t="str">
        <f>OVERALL!C54</f>
        <v>TANISHA</v>
      </c>
      <c r="D125" s="113">
        <v>8</v>
      </c>
      <c r="E125" s="113">
        <v>7</v>
      </c>
      <c r="F125" s="113">
        <v>8</v>
      </c>
      <c r="G125" s="113">
        <v>0</v>
      </c>
      <c r="H125" s="113">
        <v>0</v>
      </c>
      <c r="I125" s="113">
        <v>7</v>
      </c>
      <c r="J125" s="113">
        <v>8</v>
      </c>
      <c r="K125" s="113">
        <v>8</v>
      </c>
      <c r="L125" s="113">
        <v>8</v>
      </c>
      <c r="M125" s="113">
        <v>8</v>
      </c>
      <c r="N125" s="113">
        <v>0</v>
      </c>
      <c r="O125" s="156">
        <v>8</v>
      </c>
      <c r="P125" s="186">
        <v>8</v>
      </c>
      <c r="Q125" s="156">
        <v>8</v>
      </c>
      <c r="R125" s="156">
        <v>7</v>
      </c>
      <c r="S125" s="156">
        <v>8</v>
      </c>
      <c r="T125" s="186">
        <v>9</v>
      </c>
      <c r="U125" s="113">
        <v>0</v>
      </c>
      <c r="V125" s="113">
        <v>0</v>
      </c>
      <c r="W125" s="113">
        <v>8</v>
      </c>
      <c r="X125" s="113">
        <v>9</v>
      </c>
      <c r="Y125" s="113">
        <v>8</v>
      </c>
      <c r="Z125" s="113">
        <v>9</v>
      </c>
      <c r="AA125" s="113"/>
      <c r="AB125" s="113"/>
      <c r="AC125" s="24"/>
      <c r="AD125" s="24"/>
      <c r="AE125" s="24"/>
      <c r="AF125" s="24"/>
      <c r="AG125" s="24"/>
      <c r="AH125" s="24"/>
      <c r="AI125" s="24"/>
      <c r="AJ125" s="40"/>
      <c r="AK125" s="24"/>
      <c r="AL125" s="24"/>
      <c r="AM125" s="24"/>
      <c r="AN125" s="24"/>
      <c r="AO125" s="24"/>
      <c r="AP125" s="24"/>
      <c r="AQ125" s="24"/>
      <c r="AR125" s="24"/>
    </row>
    <row r="126" spans="1:44" ht="15.75" customHeight="1">
      <c r="A126" s="241">
        <f>OVERALL!A55</f>
        <v>52</v>
      </c>
      <c r="B126" s="242">
        <f>OVERALL!B55</f>
        <v>2339509</v>
      </c>
      <c r="C126" s="243" t="str">
        <f>OVERALL!C55</f>
        <v>TOHIED AHMED</v>
      </c>
      <c r="D126" s="113">
        <v>0</v>
      </c>
      <c r="E126" s="113">
        <v>0</v>
      </c>
      <c r="F126" s="113">
        <v>0</v>
      </c>
      <c r="G126" s="113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  <c r="Q126" s="113">
        <v>0</v>
      </c>
      <c r="R126" s="113">
        <v>0</v>
      </c>
      <c r="S126" s="113">
        <v>0</v>
      </c>
      <c r="T126" s="113">
        <v>0</v>
      </c>
      <c r="U126" s="113">
        <v>0</v>
      </c>
      <c r="V126" s="113">
        <v>0</v>
      </c>
      <c r="W126" s="113">
        <v>0</v>
      </c>
      <c r="X126" s="113">
        <v>0</v>
      </c>
      <c r="Y126" s="113">
        <v>0</v>
      </c>
      <c r="Z126" s="113">
        <v>0</v>
      </c>
      <c r="AA126" s="113"/>
      <c r="AB126" s="113"/>
      <c r="AC126" s="24"/>
      <c r="AD126" s="24"/>
      <c r="AE126" s="24"/>
      <c r="AF126" s="24"/>
      <c r="AG126" s="24"/>
      <c r="AH126" s="24"/>
      <c r="AI126" s="24"/>
      <c r="AJ126" s="40"/>
      <c r="AK126" s="24"/>
      <c r="AL126" s="24"/>
      <c r="AM126" s="24"/>
      <c r="AN126" s="24"/>
      <c r="AO126" s="24"/>
      <c r="AP126" s="24"/>
      <c r="AQ126" s="24"/>
      <c r="AR126" s="24"/>
    </row>
    <row r="127" spans="1:44" ht="15.75" customHeight="1">
      <c r="A127" s="241">
        <f>OVERALL!A56</f>
        <v>53</v>
      </c>
      <c r="B127" s="242">
        <f>OVERALL!B56</f>
        <v>2301207</v>
      </c>
      <c r="C127" s="243" t="str">
        <f>OVERALL!C56</f>
        <v>Harsh thakur</v>
      </c>
      <c r="D127" s="113">
        <v>0</v>
      </c>
      <c r="E127" s="113">
        <v>0</v>
      </c>
      <c r="F127" s="113">
        <v>0</v>
      </c>
      <c r="G127" s="113">
        <v>0</v>
      </c>
      <c r="H127" s="113">
        <v>0</v>
      </c>
      <c r="I127" s="113">
        <v>0</v>
      </c>
      <c r="J127" s="113">
        <v>0</v>
      </c>
      <c r="K127" s="113"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  <c r="Q127" s="113">
        <v>0</v>
      </c>
      <c r="R127" s="113">
        <v>0</v>
      </c>
      <c r="S127" s="113">
        <v>0</v>
      </c>
      <c r="T127" s="113">
        <v>0</v>
      </c>
      <c r="U127" s="113">
        <v>0</v>
      </c>
      <c r="V127" s="113">
        <v>0</v>
      </c>
      <c r="W127" s="113">
        <v>0</v>
      </c>
      <c r="X127" s="113">
        <v>0</v>
      </c>
      <c r="Y127" s="113">
        <v>0</v>
      </c>
      <c r="Z127" s="113">
        <v>0</v>
      </c>
      <c r="AA127" s="113"/>
      <c r="AB127" s="113"/>
      <c r="AC127" s="24"/>
      <c r="AD127" s="24"/>
      <c r="AE127" s="24"/>
      <c r="AF127" s="24"/>
      <c r="AG127" s="24"/>
      <c r="AH127" s="24"/>
      <c r="AI127" s="24"/>
      <c r="AJ127" s="40"/>
      <c r="AK127" s="24"/>
      <c r="AL127" s="24"/>
      <c r="AM127" s="24"/>
      <c r="AN127" s="24"/>
      <c r="AO127" s="24"/>
      <c r="AP127" s="24"/>
      <c r="AQ127" s="24"/>
      <c r="AR127" s="24"/>
    </row>
    <row r="128" spans="1:44" ht="15.75" customHeight="1">
      <c r="A128" s="241">
        <f>OVERALL!A57</f>
        <v>54</v>
      </c>
      <c r="B128" s="242" t="str">
        <f>OVERALL!B57</f>
        <v>Leet</v>
      </c>
      <c r="C128" s="243" t="str">
        <f>OVERALL!C57</f>
        <v>Gagan</v>
      </c>
      <c r="D128" s="113">
        <v>8</v>
      </c>
      <c r="E128" s="113">
        <v>8</v>
      </c>
      <c r="F128" s="113">
        <v>7</v>
      </c>
      <c r="G128" s="113">
        <v>8</v>
      </c>
      <c r="H128" s="113">
        <v>0</v>
      </c>
      <c r="I128" s="113">
        <v>8</v>
      </c>
      <c r="J128" s="113">
        <v>8</v>
      </c>
      <c r="K128" s="113">
        <v>9</v>
      </c>
      <c r="L128" s="113">
        <v>8</v>
      </c>
      <c r="M128" s="113">
        <v>8</v>
      </c>
      <c r="N128" s="113">
        <v>9</v>
      </c>
      <c r="O128" s="156">
        <v>8</v>
      </c>
      <c r="P128" s="186">
        <v>9</v>
      </c>
      <c r="Q128" s="156">
        <v>8</v>
      </c>
      <c r="R128" s="156">
        <v>8</v>
      </c>
      <c r="S128" s="156">
        <v>8</v>
      </c>
      <c r="T128" s="186">
        <v>0</v>
      </c>
      <c r="U128" s="113">
        <v>0</v>
      </c>
      <c r="V128" s="113">
        <v>0</v>
      </c>
      <c r="W128" s="113">
        <v>9</v>
      </c>
      <c r="X128" s="113">
        <v>8</v>
      </c>
      <c r="Y128" s="113">
        <v>8</v>
      </c>
      <c r="Z128" s="113">
        <v>8</v>
      </c>
      <c r="AA128" s="113"/>
      <c r="AB128" s="113"/>
      <c r="AC128" s="24"/>
      <c r="AD128" s="24"/>
      <c r="AE128" s="24"/>
      <c r="AF128" s="24"/>
      <c r="AG128" s="24"/>
      <c r="AH128" s="24"/>
      <c r="AI128" s="24"/>
      <c r="AJ128" s="40"/>
      <c r="AK128" s="24"/>
      <c r="AL128" s="24"/>
      <c r="AM128" s="24"/>
      <c r="AN128" s="24"/>
      <c r="AO128" s="24"/>
      <c r="AP128" s="24"/>
      <c r="AQ128" s="24"/>
      <c r="AR128" s="24"/>
    </row>
    <row r="129" spans="1:44" ht="15.75" customHeight="1">
      <c r="A129" s="241">
        <f>OVERALL!A58</f>
        <v>55</v>
      </c>
      <c r="B129" s="242" t="str">
        <f>OVERALL!B58</f>
        <v>Leet</v>
      </c>
      <c r="C129" s="243" t="str">
        <f>OVERALL!C58</f>
        <v>Manisha</v>
      </c>
      <c r="D129" s="113">
        <v>8</v>
      </c>
      <c r="E129" s="113">
        <v>8</v>
      </c>
      <c r="F129" s="113">
        <v>7</v>
      </c>
      <c r="G129" s="113">
        <v>8</v>
      </c>
      <c r="H129" s="113">
        <v>6</v>
      </c>
      <c r="I129" s="113">
        <v>8</v>
      </c>
      <c r="J129" s="113">
        <v>7</v>
      </c>
      <c r="K129" s="113">
        <v>9</v>
      </c>
      <c r="L129" s="113">
        <v>7</v>
      </c>
      <c r="M129" s="113">
        <v>7</v>
      </c>
      <c r="N129" s="113">
        <v>9</v>
      </c>
      <c r="O129" s="156">
        <v>9</v>
      </c>
      <c r="P129" s="186">
        <v>8</v>
      </c>
      <c r="Q129" s="156">
        <v>8</v>
      </c>
      <c r="R129" s="156">
        <v>8</v>
      </c>
      <c r="S129" s="156">
        <v>9</v>
      </c>
      <c r="T129" s="186">
        <v>8</v>
      </c>
      <c r="U129" s="113">
        <v>8</v>
      </c>
      <c r="V129" s="113">
        <v>8</v>
      </c>
      <c r="W129" s="113">
        <v>0</v>
      </c>
      <c r="X129" s="113">
        <v>0</v>
      </c>
      <c r="Y129" s="113">
        <v>9</v>
      </c>
      <c r="Z129" s="113">
        <v>8</v>
      </c>
      <c r="AA129" s="113"/>
      <c r="AB129" s="113"/>
      <c r="AC129" s="24"/>
      <c r="AD129" s="24"/>
      <c r="AE129" s="24"/>
      <c r="AF129" s="24"/>
      <c r="AG129" s="24"/>
      <c r="AH129" s="24"/>
      <c r="AI129" s="24"/>
      <c r="AJ129" s="40"/>
      <c r="AK129" s="24"/>
      <c r="AL129" s="24"/>
      <c r="AM129" s="24"/>
      <c r="AN129" s="24"/>
      <c r="AO129" s="24"/>
      <c r="AP129" s="24"/>
      <c r="AQ129" s="24"/>
      <c r="AR129" s="24"/>
    </row>
    <row r="130" spans="1:44" ht="15.75" customHeight="1">
      <c r="A130" s="241">
        <f>OVERALL!A59</f>
        <v>56</v>
      </c>
      <c r="B130" s="242" t="str">
        <f>OVERALL!B59</f>
        <v>Leet</v>
      </c>
      <c r="C130" s="243" t="str">
        <f>OVERALL!C59</f>
        <v>Richa</v>
      </c>
      <c r="D130" s="113">
        <v>8</v>
      </c>
      <c r="E130" s="113">
        <v>7</v>
      </c>
      <c r="F130" s="113">
        <v>8</v>
      </c>
      <c r="G130" s="113">
        <v>0</v>
      </c>
      <c r="H130" s="113">
        <v>8</v>
      </c>
      <c r="I130" s="113">
        <v>8</v>
      </c>
      <c r="J130" s="113">
        <v>8</v>
      </c>
      <c r="K130" s="113">
        <v>8</v>
      </c>
      <c r="L130" s="113">
        <v>8</v>
      </c>
      <c r="M130" s="113">
        <v>8</v>
      </c>
      <c r="N130" s="113">
        <v>8</v>
      </c>
      <c r="O130" s="113">
        <v>8</v>
      </c>
      <c r="P130" s="113">
        <v>9</v>
      </c>
      <c r="Q130" s="113">
        <v>9</v>
      </c>
      <c r="R130" s="113">
        <v>7</v>
      </c>
      <c r="S130" s="113">
        <v>8</v>
      </c>
      <c r="T130" s="113">
        <v>9</v>
      </c>
      <c r="U130" s="113">
        <v>9</v>
      </c>
      <c r="V130" s="113">
        <v>8</v>
      </c>
      <c r="W130" s="113">
        <v>8</v>
      </c>
      <c r="X130" s="113">
        <v>9</v>
      </c>
      <c r="Y130" s="113">
        <v>8</v>
      </c>
      <c r="Z130" s="113">
        <v>9</v>
      </c>
      <c r="AA130" s="113"/>
      <c r="AB130" s="113"/>
      <c r="AC130" s="24"/>
      <c r="AD130" s="24"/>
      <c r="AE130" s="24"/>
      <c r="AF130" s="24"/>
      <c r="AG130" s="24"/>
      <c r="AH130" s="24"/>
      <c r="AI130" s="24"/>
      <c r="AJ130" s="40"/>
      <c r="AK130" s="24"/>
      <c r="AL130" s="24"/>
      <c r="AM130" s="24"/>
      <c r="AN130" s="24"/>
      <c r="AO130" s="24"/>
      <c r="AP130" s="24"/>
      <c r="AQ130" s="24"/>
      <c r="AR130" s="24"/>
    </row>
    <row r="131" spans="1:44" ht="15.75" customHeight="1">
      <c r="A131" s="241">
        <f>OVERALL!A60</f>
        <v>57</v>
      </c>
      <c r="B131" s="242" t="str">
        <f>OVERALL!B60</f>
        <v>Leet</v>
      </c>
      <c r="C131" s="243" t="str">
        <f>OVERALL!C60</f>
        <v>Prakriti</v>
      </c>
      <c r="D131" s="113"/>
      <c r="E131" s="113"/>
      <c r="F131" s="113"/>
      <c r="G131" s="113"/>
      <c r="H131" s="113">
        <v>7</v>
      </c>
      <c r="I131" s="113">
        <v>7</v>
      </c>
      <c r="J131" s="113">
        <v>6</v>
      </c>
      <c r="K131" s="113">
        <v>8</v>
      </c>
      <c r="L131" s="113">
        <v>8</v>
      </c>
      <c r="M131" s="113">
        <v>7</v>
      </c>
      <c r="N131" s="113">
        <v>0</v>
      </c>
      <c r="O131" s="113">
        <v>8</v>
      </c>
      <c r="P131" s="113">
        <v>8</v>
      </c>
      <c r="Q131" s="113">
        <v>8</v>
      </c>
      <c r="R131" s="113">
        <v>8</v>
      </c>
      <c r="S131" s="113">
        <v>9</v>
      </c>
      <c r="T131" s="113">
        <v>8</v>
      </c>
      <c r="U131" s="113">
        <v>8</v>
      </c>
      <c r="V131" s="113">
        <v>7</v>
      </c>
      <c r="W131" s="113">
        <v>9</v>
      </c>
      <c r="X131" s="113">
        <v>8</v>
      </c>
      <c r="Y131" s="113">
        <v>8</v>
      </c>
      <c r="Z131" s="113">
        <v>8</v>
      </c>
      <c r="AA131" s="113"/>
      <c r="AB131" s="113"/>
      <c r="AC131" s="24"/>
      <c r="AD131" s="24"/>
      <c r="AE131" s="24"/>
      <c r="AF131" s="24"/>
      <c r="AG131" s="24"/>
      <c r="AH131" s="24"/>
      <c r="AI131" s="24"/>
      <c r="AJ131" s="40"/>
      <c r="AK131" s="24"/>
      <c r="AL131" s="24"/>
      <c r="AM131" s="24"/>
      <c r="AN131" s="24"/>
      <c r="AO131" s="24"/>
      <c r="AP131" s="24"/>
      <c r="AQ131" s="24"/>
      <c r="AR131" s="24"/>
    </row>
    <row r="132" spans="1:44" ht="15.75" customHeight="1">
      <c r="A132" s="241">
        <f>OVERALL!A61</f>
        <v>58</v>
      </c>
      <c r="B132" s="242" t="str">
        <f>OVERALL!B61</f>
        <v>leet</v>
      </c>
      <c r="C132" s="243" t="str">
        <f>OVERALL!C61</f>
        <v>Shubham</v>
      </c>
      <c r="D132" s="113"/>
      <c r="E132" s="113"/>
      <c r="F132" s="113"/>
      <c r="G132" s="113"/>
      <c r="H132" s="113"/>
      <c r="I132" s="113"/>
      <c r="J132" s="113">
        <v>6</v>
      </c>
      <c r="K132" s="113">
        <v>6</v>
      </c>
      <c r="L132" s="113">
        <v>8</v>
      </c>
      <c r="M132" s="113">
        <v>8</v>
      </c>
      <c r="N132" s="113">
        <v>8</v>
      </c>
      <c r="O132" s="113">
        <v>8</v>
      </c>
      <c r="P132" s="113">
        <v>0</v>
      </c>
      <c r="Q132" s="113">
        <v>8</v>
      </c>
      <c r="R132" s="113">
        <v>9</v>
      </c>
      <c r="S132" s="113">
        <v>8</v>
      </c>
      <c r="T132" s="113">
        <v>0</v>
      </c>
      <c r="U132" s="113">
        <v>7</v>
      </c>
      <c r="V132" s="113">
        <v>8</v>
      </c>
      <c r="W132" s="113">
        <v>8</v>
      </c>
      <c r="X132" s="113">
        <v>0</v>
      </c>
      <c r="Y132" s="113">
        <v>8</v>
      </c>
      <c r="Z132" s="113">
        <v>8</v>
      </c>
      <c r="AA132" s="113"/>
      <c r="AB132" s="113"/>
      <c r="AC132" s="24"/>
      <c r="AD132" s="24"/>
      <c r="AE132" s="24"/>
      <c r="AF132" s="24"/>
      <c r="AG132" s="24"/>
      <c r="AH132" s="24"/>
      <c r="AI132" s="24"/>
      <c r="AJ132" s="40"/>
      <c r="AK132" s="24"/>
      <c r="AL132" s="24"/>
      <c r="AM132" s="24"/>
      <c r="AN132" s="24"/>
      <c r="AO132" s="24"/>
      <c r="AP132" s="24"/>
      <c r="AQ132" s="24"/>
      <c r="AR132" s="24"/>
    </row>
    <row r="133" spans="1:44" ht="15.75" customHeight="1">
      <c r="A133" s="52"/>
      <c r="B133" s="184"/>
      <c r="C133" s="134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24"/>
      <c r="AD133" s="24"/>
      <c r="AE133" s="24"/>
      <c r="AF133" s="24"/>
      <c r="AG133" s="24"/>
      <c r="AH133" s="24"/>
      <c r="AI133" s="24"/>
      <c r="AJ133" s="40"/>
      <c r="AK133" s="24"/>
      <c r="AL133" s="24"/>
      <c r="AM133" s="24"/>
      <c r="AN133" s="24"/>
      <c r="AO133" s="24"/>
      <c r="AP133" s="24"/>
      <c r="AQ133" s="24"/>
      <c r="AR133" s="24"/>
    </row>
    <row r="134" spans="1:44" ht="15.75" customHeight="1">
      <c r="A134" s="52"/>
      <c r="B134" s="184"/>
      <c r="C134" s="134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24"/>
      <c r="AD134" s="24"/>
      <c r="AE134" s="24"/>
      <c r="AF134" s="24"/>
      <c r="AG134" s="24"/>
      <c r="AH134" s="24"/>
      <c r="AI134" s="24"/>
      <c r="AJ134" s="40"/>
      <c r="AK134" s="24"/>
      <c r="AL134" s="24"/>
      <c r="AM134" s="24"/>
      <c r="AN134" s="24"/>
      <c r="AO134" s="24"/>
      <c r="AP134" s="24"/>
      <c r="AQ134" s="24"/>
      <c r="AR134" s="24"/>
    </row>
    <row r="135" spans="1:44" ht="15.75" customHeight="1">
      <c r="A135" s="52"/>
      <c r="B135" s="184"/>
      <c r="C135" s="134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24"/>
      <c r="AD135" s="24"/>
      <c r="AE135" s="24"/>
      <c r="AF135" s="24"/>
      <c r="AG135" s="24"/>
      <c r="AH135" s="24"/>
      <c r="AI135" s="24"/>
      <c r="AJ135" s="40"/>
      <c r="AK135" s="24"/>
      <c r="AL135" s="24"/>
      <c r="AM135" s="24"/>
      <c r="AN135" s="24"/>
      <c r="AO135" s="24"/>
      <c r="AP135" s="24"/>
      <c r="AQ135" s="24"/>
      <c r="AR135" s="24"/>
    </row>
    <row r="136" spans="1:44" ht="15.75" customHeight="1">
      <c r="A136" s="52"/>
      <c r="B136" s="184"/>
      <c r="C136" s="134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24"/>
      <c r="AD136" s="24"/>
      <c r="AE136" s="24"/>
      <c r="AF136" s="24"/>
      <c r="AG136" s="24"/>
      <c r="AH136" s="24"/>
      <c r="AI136" s="24"/>
      <c r="AJ136" s="40"/>
      <c r="AK136" s="24"/>
      <c r="AL136" s="24"/>
      <c r="AM136" s="24"/>
      <c r="AN136" s="24"/>
      <c r="AO136" s="24"/>
      <c r="AP136" s="24"/>
      <c r="AQ136" s="24"/>
      <c r="AR136" s="24"/>
    </row>
    <row r="137" spans="1:44" ht="15.75" customHeight="1">
      <c r="A137" s="52"/>
      <c r="B137" s="184"/>
      <c r="C137" s="134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24"/>
      <c r="AD137" s="24"/>
      <c r="AE137" s="24"/>
      <c r="AF137" s="24"/>
      <c r="AG137" s="24"/>
      <c r="AH137" s="24"/>
      <c r="AI137" s="24"/>
      <c r="AJ137" s="40"/>
      <c r="AK137" s="24"/>
      <c r="AL137" s="24"/>
      <c r="AM137" s="24"/>
      <c r="AN137" s="24"/>
      <c r="AO137" s="24"/>
      <c r="AP137" s="24"/>
      <c r="AQ137" s="24"/>
      <c r="AR137" s="24"/>
    </row>
    <row r="138" spans="1:44" ht="15.75" customHeight="1">
      <c r="A138" s="52"/>
      <c r="B138" s="184"/>
      <c r="C138" s="134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24"/>
      <c r="AD138" s="24"/>
      <c r="AE138" s="24"/>
      <c r="AF138" s="24"/>
      <c r="AG138" s="24"/>
      <c r="AH138" s="24"/>
      <c r="AI138" s="24"/>
      <c r="AJ138" s="40"/>
      <c r="AK138" s="24"/>
      <c r="AL138" s="24"/>
      <c r="AM138" s="24"/>
      <c r="AN138" s="24"/>
      <c r="AO138" s="24"/>
      <c r="AP138" s="24"/>
      <c r="AQ138" s="24"/>
      <c r="AR138" s="24"/>
    </row>
    <row r="139" spans="1:44" ht="15.75" customHeight="1">
      <c r="A139" s="52"/>
      <c r="B139" s="184"/>
      <c r="C139" s="134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4"/>
      <c r="AD139" s="24"/>
      <c r="AE139" s="24"/>
      <c r="AF139" s="24"/>
      <c r="AG139" s="24"/>
      <c r="AH139" s="24"/>
      <c r="AI139" s="24"/>
      <c r="AJ139" s="40"/>
      <c r="AK139" s="24"/>
      <c r="AL139" s="24"/>
      <c r="AM139" s="24"/>
      <c r="AN139" s="24"/>
      <c r="AO139" s="24"/>
      <c r="AP139" s="24"/>
      <c r="AQ139" s="24"/>
      <c r="AR139" s="24"/>
    </row>
    <row r="140" spans="1:44" ht="15.75" customHeight="1">
      <c r="A140" s="52"/>
      <c r="B140" s="184"/>
      <c r="C140" s="134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4"/>
      <c r="AD140" s="24"/>
      <c r="AE140" s="24"/>
      <c r="AF140" s="24"/>
      <c r="AG140" s="24"/>
      <c r="AH140" s="24"/>
      <c r="AI140" s="24"/>
      <c r="AJ140" s="40"/>
      <c r="AK140" s="24"/>
      <c r="AL140" s="24"/>
      <c r="AM140" s="24"/>
      <c r="AN140" s="24"/>
      <c r="AO140" s="24"/>
      <c r="AP140" s="24"/>
      <c r="AQ140" s="24"/>
      <c r="AR140" s="24"/>
    </row>
    <row r="141" spans="1:44" ht="15.75" customHeight="1">
      <c r="A141" s="52"/>
      <c r="B141" s="184"/>
      <c r="C141" s="134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4"/>
      <c r="AD141" s="24"/>
      <c r="AE141" s="24"/>
      <c r="AF141" s="24"/>
      <c r="AG141" s="24"/>
      <c r="AH141" s="24"/>
      <c r="AI141" s="24"/>
      <c r="AJ141" s="40"/>
      <c r="AK141" s="24"/>
      <c r="AL141" s="24"/>
      <c r="AM141" s="24"/>
      <c r="AN141" s="24"/>
      <c r="AO141" s="24"/>
      <c r="AP141" s="24"/>
      <c r="AQ141" s="24"/>
      <c r="AR141" s="24"/>
    </row>
    <row r="142" spans="1:44" ht="15.75" customHeight="1">
      <c r="A142" s="52"/>
      <c r="B142" s="184"/>
      <c r="C142" s="134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4"/>
      <c r="AD142" s="24"/>
      <c r="AE142" s="24"/>
      <c r="AF142" s="24"/>
      <c r="AG142" s="24"/>
      <c r="AH142" s="24"/>
      <c r="AI142" s="24"/>
      <c r="AJ142" s="40"/>
      <c r="AK142" s="24"/>
      <c r="AL142" s="24"/>
      <c r="AM142" s="24"/>
      <c r="AN142" s="24"/>
      <c r="AO142" s="24"/>
      <c r="AP142" s="24"/>
      <c r="AQ142" s="24"/>
      <c r="AR142" s="24"/>
    </row>
    <row r="143" spans="1:44" ht="15.75" customHeight="1">
      <c r="A143" s="52"/>
      <c r="B143" s="184"/>
      <c r="C143" s="134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4"/>
      <c r="AD143" s="24"/>
      <c r="AE143" s="24"/>
      <c r="AF143" s="24"/>
      <c r="AG143" s="24"/>
      <c r="AH143" s="24"/>
      <c r="AI143" s="24"/>
      <c r="AJ143" s="40"/>
      <c r="AK143" s="24"/>
      <c r="AL143" s="24"/>
      <c r="AM143" s="24"/>
      <c r="AN143" s="24"/>
      <c r="AO143" s="24"/>
      <c r="AP143" s="24"/>
      <c r="AQ143" s="24"/>
      <c r="AR143" s="24"/>
    </row>
    <row r="144" spans="1:44" ht="15.75" customHeight="1">
      <c r="A144" s="52"/>
      <c r="B144" s="184"/>
      <c r="C144" s="134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4"/>
      <c r="AD144" s="24"/>
      <c r="AE144" s="24"/>
      <c r="AF144" s="24"/>
      <c r="AG144" s="24"/>
      <c r="AH144" s="24"/>
      <c r="AI144" s="24"/>
      <c r="AJ144" s="40"/>
      <c r="AK144" s="24"/>
      <c r="AL144" s="24"/>
      <c r="AM144" s="24"/>
      <c r="AN144" s="24"/>
      <c r="AO144" s="24"/>
      <c r="AP144" s="24"/>
      <c r="AQ144" s="24"/>
      <c r="AR144" s="24"/>
    </row>
    <row r="145" spans="1:44" ht="15.75" customHeight="1">
      <c r="A145" s="52"/>
      <c r="B145" s="184"/>
      <c r="C145" s="134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4"/>
      <c r="AD145" s="24"/>
      <c r="AE145" s="24"/>
      <c r="AF145" s="24"/>
      <c r="AG145" s="24"/>
      <c r="AH145" s="24"/>
      <c r="AI145" s="24"/>
      <c r="AJ145" s="40"/>
      <c r="AK145" s="24"/>
      <c r="AL145" s="24"/>
      <c r="AM145" s="24"/>
      <c r="AN145" s="24"/>
      <c r="AO145" s="24"/>
      <c r="AP145" s="24"/>
      <c r="AQ145" s="24"/>
      <c r="AR145" s="24"/>
    </row>
    <row r="146" spans="1:44" ht="15.75" customHeight="1">
      <c r="A146" s="52"/>
      <c r="B146" s="184"/>
      <c r="C146" s="134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4"/>
      <c r="AD146" s="24"/>
      <c r="AE146" s="24"/>
      <c r="AF146" s="24"/>
      <c r="AG146" s="24"/>
      <c r="AH146" s="24"/>
      <c r="AI146" s="24"/>
      <c r="AJ146" s="40"/>
      <c r="AK146" s="24"/>
      <c r="AL146" s="24"/>
      <c r="AM146" s="24"/>
      <c r="AN146" s="24"/>
      <c r="AO146" s="24"/>
      <c r="AP146" s="24"/>
      <c r="AQ146" s="24"/>
      <c r="AR146" s="24"/>
    </row>
    <row r="147" spans="1:44" ht="15.75" customHeight="1">
      <c r="A147" s="52"/>
      <c r="B147" s="184"/>
      <c r="C147" s="134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4"/>
      <c r="AD147" s="24"/>
      <c r="AE147" s="24"/>
      <c r="AF147" s="24"/>
      <c r="AG147" s="24"/>
      <c r="AH147" s="24"/>
      <c r="AI147" s="24"/>
      <c r="AJ147" s="40"/>
      <c r="AK147" s="24"/>
      <c r="AL147" s="24"/>
      <c r="AM147" s="24"/>
      <c r="AN147" s="24"/>
      <c r="AO147" s="24"/>
      <c r="AP147" s="24"/>
      <c r="AQ147" s="24"/>
      <c r="AR147" s="24"/>
    </row>
    <row r="148" spans="1:44" ht="15.75" customHeight="1">
      <c r="A148" s="52"/>
      <c r="B148" s="184"/>
      <c r="C148" s="134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4"/>
      <c r="AD148" s="24"/>
      <c r="AE148" s="24"/>
      <c r="AF148" s="24"/>
      <c r="AG148" s="24"/>
      <c r="AH148" s="24"/>
      <c r="AI148" s="24"/>
      <c r="AJ148" s="40"/>
      <c r="AK148" s="24"/>
      <c r="AL148" s="24"/>
      <c r="AM148" s="24"/>
      <c r="AN148" s="24"/>
      <c r="AO148" s="24"/>
      <c r="AP148" s="24"/>
      <c r="AQ148" s="24"/>
      <c r="AR148" s="24"/>
    </row>
    <row r="149" spans="1:44" ht="15.75" customHeight="1">
      <c r="A149" s="52"/>
      <c r="B149" s="184"/>
      <c r="C149" s="134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4"/>
      <c r="AD149" s="24"/>
      <c r="AE149" s="24"/>
      <c r="AF149" s="24"/>
      <c r="AG149" s="24"/>
      <c r="AH149" s="24"/>
      <c r="AI149" s="24"/>
      <c r="AJ149" s="40"/>
      <c r="AK149" s="24"/>
      <c r="AL149" s="24"/>
      <c r="AM149" s="24"/>
      <c r="AN149" s="24"/>
      <c r="AO149" s="24"/>
      <c r="AP149" s="24"/>
      <c r="AQ149" s="24"/>
      <c r="AR149" s="24"/>
    </row>
    <row r="150" spans="1:44" ht="15.75" customHeight="1">
      <c r="A150" s="52"/>
      <c r="B150" s="184"/>
      <c r="C150" s="134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4"/>
      <c r="AD150" s="24"/>
      <c r="AE150" s="24"/>
      <c r="AF150" s="24"/>
      <c r="AG150" s="24"/>
      <c r="AH150" s="24"/>
      <c r="AI150" s="24"/>
      <c r="AJ150" s="40"/>
      <c r="AK150" s="24"/>
      <c r="AL150" s="24"/>
      <c r="AM150" s="24"/>
      <c r="AN150" s="24"/>
      <c r="AO150" s="24"/>
      <c r="AP150" s="24"/>
      <c r="AQ150" s="24"/>
      <c r="AR150" s="24"/>
    </row>
    <row r="151" spans="1:44" ht="15.75" customHeight="1">
      <c r="A151" s="52"/>
      <c r="B151" s="184"/>
      <c r="C151" s="134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4"/>
      <c r="AD151" s="24"/>
      <c r="AE151" s="24"/>
      <c r="AF151" s="24"/>
      <c r="AG151" s="24"/>
      <c r="AH151" s="24"/>
      <c r="AI151" s="24"/>
      <c r="AJ151" s="40"/>
      <c r="AK151" s="24"/>
      <c r="AL151" s="24"/>
      <c r="AM151" s="24"/>
      <c r="AN151" s="24"/>
      <c r="AO151" s="24"/>
      <c r="AP151" s="24"/>
      <c r="AQ151" s="24"/>
      <c r="AR151" s="24"/>
    </row>
    <row r="152" spans="1:44" ht="15.75" customHeight="1">
      <c r="A152" s="52"/>
      <c r="B152" s="184"/>
      <c r="C152" s="134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4"/>
      <c r="AD152" s="24"/>
      <c r="AE152" s="24"/>
      <c r="AF152" s="24"/>
      <c r="AG152" s="24"/>
      <c r="AH152" s="24"/>
      <c r="AI152" s="24"/>
      <c r="AJ152" s="40"/>
      <c r="AK152" s="24"/>
      <c r="AL152" s="24"/>
      <c r="AM152" s="24"/>
      <c r="AN152" s="24"/>
      <c r="AO152" s="24"/>
      <c r="AP152" s="24"/>
      <c r="AQ152" s="24"/>
      <c r="AR152" s="24"/>
    </row>
    <row r="153" spans="1:44" ht="15.75" customHeight="1">
      <c r="A153" s="52"/>
      <c r="B153" s="184"/>
      <c r="C153" s="134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4"/>
      <c r="AD153" s="24"/>
      <c r="AE153" s="24"/>
      <c r="AF153" s="24"/>
      <c r="AG153" s="24"/>
      <c r="AH153" s="24"/>
      <c r="AI153" s="24"/>
      <c r="AJ153" s="40"/>
      <c r="AK153" s="24"/>
      <c r="AL153" s="24"/>
      <c r="AM153" s="24"/>
      <c r="AN153" s="24"/>
      <c r="AO153" s="24"/>
      <c r="AP153" s="24"/>
      <c r="AQ153" s="24"/>
      <c r="AR153" s="24"/>
    </row>
    <row r="154" spans="1:44" ht="15.75" customHeight="1">
      <c r="A154" s="52"/>
      <c r="B154" s="184"/>
      <c r="C154" s="134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4"/>
      <c r="AD154" s="24"/>
      <c r="AE154" s="24"/>
      <c r="AF154" s="24"/>
      <c r="AG154" s="24"/>
      <c r="AH154" s="24"/>
      <c r="AI154" s="24"/>
      <c r="AJ154" s="40"/>
      <c r="AK154" s="24"/>
      <c r="AL154" s="24"/>
      <c r="AM154" s="24"/>
      <c r="AN154" s="24"/>
      <c r="AO154" s="24"/>
      <c r="AP154" s="24"/>
      <c r="AQ154" s="24"/>
      <c r="AR154" s="24"/>
    </row>
    <row r="155" spans="1:44" ht="15.75" customHeight="1">
      <c r="A155" s="52"/>
      <c r="B155" s="184"/>
      <c r="C155" s="134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4"/>
      <c r="AD155" s="24"/>
      <c r="AE155" s="24"/>
      <c r="AF155" s="24"/>
      <c r="AG155" s="24"/>
      <c r="AH155" s="24"/>
      <c r="AI155" s="24"/>
      <c r="AJ155" s="40"/>
      <c r="AK155" s="24"/>
      <c r="AL155" s="24"/>
      <c r="AM155" s="24"/>
      <c r="AN155" s="24"/>
      <c r="AO155" s="24"/>
      <c r="AP155" s="24"/>
      <c r="AQ155" s="24"/>
      <c r="AR155" s="24"/>
    </row>
    <row r="156" spans="1:44" ht="15.75" customHeight="1">
      <c r="A156" s="52"/>
      <c r="B156" s="184"/>
      <c r="C156" s="134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4"/>
      <c r="AD156" s="24"/>
      <c r="AE156" s="24"/>
      <c r="AF156" s="24"/>
      <c r="AG156" s="24"/>
      <c r="AH156" s="24"/>
      <c r="AI156" s="24"/>
      <c r="AJ156" s="40"/>
      <c r="AK156" s="24"/>
      <c r="AL156" s="24"/>
      <c r="AM156" s="24"/>
      <c r="AN156" s="24"/>
      <c r="AO156" s="24"/>
      <c r="AP156" s="24"/>
      <c r="AQ156" s="24"/>
      <c r="AR156" s="24"/>
    </row>
    <row r="157" spans="1:44" ht="15.75" customHeight="1">
      <c r="A157" s="52"/>
      <c r="B157" s="184"/>
      <c r="C157" s="134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4"/>
      <c r="AD157" s="24"/>
      <c r="AE157" s="24"/>
      <c r="AF157" s="24"/>
      <c r="AG157" s="24"/>
      <c r="AH157" s="24"/>
      <c r="AI157" s="24"/>
      <c r="AJ157" s="40"/>
      <c r="AK157" s="24"/>
      <c r="AL157" s="24"/>
      <c r="AM157" s="24"/>
      <c r="AN157" s="24"/>
      <c r="AO157" s="24"/>
      <c r="AP157" s="24"/>
      <c r="AQ157" s="24"/>
      <c r="AR157" s="24"/>
    </row>
    <row r="158" spans="1:44" ht="15.75" customHeight="1">
      <c r="A158" s="52"/>
      <c r="B158" s="184"/>
      <c r="C158" s="134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4"/>
      <c r="AD158" s="24"/>
      <c r="AE158" s="24"/>
      <c r="AF158" s="24"/>
      <c r="AG158" s="24"/>
      <c r="AH158" s="24"/>
      <c r="AI158" s="24"/>
      <c r="AJ158" s="40"/>
      <c r="AK158" s="24"/>
      <c r="AL158" s="24"/>
      <c r="AM158" s="24"/>
      <c r="AN158" s="24"/>
      <c r="AO158" s="24"/>
      <c r="AP158" s="24"/>
      <c r="AQ158" s="24"/>
      <c r="AR158" s="24"/>
    </row>
    <row r="159" spans="1:44" ht="15.75" customHeight="1">
      <c r="A159" s="52"/>
      <c r="B159" s="184"/>
      <c r="C159" s="134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4"/>
      <c r="AD159" s="24"/>
      <c r="AE159" s="24"/>
      <c r="AF159" s="24"/>
      <c r="AG159" s="24"/>
      <c r="AH159" s="24"/>
      <c r="AI159" s="24"/>
      <c r="AJ159" s="40"/>
      <c r="AK159" s="24"/>
      <c r="AL159" s="24"/>
      <c r="AM159" s="24"/>
      <c r="AN159" s="24"/>
      <c r="AO159" s="24"/>
      <c r="AP159" s="24"/>
      <c r="AQ159" s="24"/>
      <c r="AR159" s="24"/>
    </row>
    <row r="160" spans="1:44" ht="15.75" customHeight="1">
      <c r="A160" s="52"/>
      <c r="B160" s="184"/>
      <c r="C160" s="134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4"/>
      <c r="AD160" s="24"/>
      <c r="AE160" s="24"/>
      <c r="AF160" s="24"/>
      <c r="AG160" s="24"/>
      <c r="AH160" s="24"/>
      <c r="AI160" s="24"/>
      <c r="AJ160" s="40"/>
      <c r="AK160" s="24"/>
      <c r="AL160" s="24"/>
      <c r="AM160" s="24"/>
      <c r="AN160" s="24"/>
      <c r="AO160" s="24"/>
      <c r="AP160" s="24"/>
      <c r="AQ160" s="24"/>
      <c r="AR160" s="24"/>
    </row>
    <row r="161" spans="1:44" ht="15.75" customHeight="1">
      <c r="A161" s="52"/>
      <c r="B161" s="184"/>
      <c r="C161" s="134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4"/>
      <c r="AD161" s="24"/>
      <c r="AE161" s="24"/>
      <c r="AF161" s="24"/>
      <c r="AG161" s="24"/>
      <c r="AH161" s="24"/>
      <c r="AI161" s="24"/>
      <c r="AJ161" s="40"/>
      <c r="AK161" s="24"/>
      <c r="AL161" s="24"/>
      <c r="AM161" s="24"/>
      <c r="AN161" s="24"/>
      <c r="AO161" s="24"/>
      <c r="AP161" s="24"/>
      <c r="AQ161" s="24"/>
      <c r="AR161" s="24"/>
    </row>
    <row r="162" spans="1:44" ht="15.75" customHeight="1">
      <c r="A162" s="52"/>
      <c r="B162" s="184"/>
      <c r="C162" s="134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4"/>
      <c r="AD162" s="24"/>
      <c r="AE162" s="24"/>
      <c r="AF162" s="24"/>
      <c r="AG162" s="24"/>
      <c r="AH162" s="24"/>
      <c r="AI162" s="24"/>
      <c r="AJ162" s="40"/>
      <c r="AK162" s="24"/>
      <c r="AL162" s="24"/>
      <c r="AM162" s="24"/>
      <c r="AN162" s="24"/>
      <c r="AO162" s="24"/>
      <c r="AP162" s="24"/>
      <c r="AQ162" s="24"/>
      <c r="AR162" s="24"/>
    </row>
    <row r="163" spans="1:44" ht="15.75" customHeight="1">
      <c r="A163" s="52"/>
      <c r="B163" s="184"/>
      <c r="C163" s="134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4"/>
      <c r="AD163" s="24"/>
      <c r="AE163" s="24"/>
      <c r="AF163" s="24"/>
      <c r="AG163" s="24"/>
      <c r="AH163" s="24"/>
      <c r="AI163" s="24"/>
      <c r="AJ163" s="40"/>
      <c r="AK163" s="24"/>
      <c r="AL163" s="24"/>
      <c r="AM163" s="24"/>
      <c r="AN163" s="24"/>
      <c r="AO163" s="24"/>
      <c r="AP163" s="24"/>
      <c r="AQ163" s="24"/>
      <c r="AR163" s="24"/>
    </row>
    <row r="164" spans="1:44" ht="15.75" customHeight="1">
      <c r="A164" s="52"/>
      <c r="B164" s="184"/>
      <c r="C164" s="134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4"/>
      <c r="AD164" s="24"/>
      <c r="AE164" s="24"/>
      <c r="AF164" s="24"/>
      <c r="AG164" s="24"/>
      <c r="AH164" s="24"/>
      <c r="AI164" s="24"/>
      <c r="AJ164" s="40"/>
      <c r="AK164" s="24"/>
      <c r="AL164" s="24"/>
      <c r="AM164" s="24"/>
      <c r="AN164" s="24"/>
      <c r="AO164" s="24"/>
      <c r="AP164" s="24"/>
      <c r="AQ164" s="24"/>
      <c r="AR164" s="24"/>
    </row>
    <row r="165" spans="1:44" ht="15.75" customHeight="1">
      <c r="A165" s="52"/>
      <c r="B165" s="184"/>
      <c r="C165" s="134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4"/>
      <c r="AD165" s="24"/>
      <c r="AE165" s="24"/>
      <c r="AF165" s="24"/>
      <c r="AG165" s="24"/>
      <c r="AH165" s="24"/>
      <c r="AI165" s="24"/>
      <c r="AJ165" s="40"/>
      <c r="AK165" s="24"/>
      <c r="AL165" s="24"/>
      <c r="AM165" s="24"/>
      <c r="AN165" s="24"/>
      <c r="AO165" s="24"/>
      <c r="AP165" s="24"/>
      <c r="AQ165" s="24"/>
      <c r="AR165" s="24"/>
    </row>
    <row r="166" spans="1:44" ht="15.75" customHeight="1">
      <c r="A166" s="52"/>
      <c r="B166" s="184"/>
      <c r="C166" s="134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4"/>
      <c r="AD166" s="24"/>
      <c r="AE166" s="24"/>
      <c r="AF166" s="24"/>
      <c r="AG166" s="24"/>
      <c r="AH166" s="24"/>
      <c r="AI166" s="24"/>
      <c r="AJ166" s="40"/>
      <c r="AK166" s="24"/>
      <c r="AL166" s="24"/>
      <c r="AM166" s="24"/>
      <c r="AN166" s="24"/>
      <c r="AO166" s="24"/>
      <c r="AP166" s="24"/>
      <c r="AQ166" s="24"/>
      <c r="AR166" s="24"/>
    </row>
    <row r="167" spans="1:44" ht="15.75" customHeight="1">
      <c r="A167" s="52"/>
      <c r="B167" s="184"/>
      <c r="C167" s="134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4"/>
      <c r="AD167" s="24"/>
      <c r="AE167" s="24"/>
      <c r="AF167" s="24"/>
      <c r="AG167" s="24"/>
      <c r="AH167" s="24"/>
      <c r="AI167" s="24"/>
      <c r="AJ167" s="40"/>
      <c r="AK167" s="24"/>
      <c r="AL167" s="24"/>
      <c r="AM167" s="24"/>
      <c r="AN167" s="24"/>
      <c r="AO167" s="24"/>
      <c r="AP167" s="24"/>
      <c r="AQ167" s="24"/>
      <c r="AR167" s="24"/>
    </row>
    <row r="168" spans="1:44" ht="15.75" customHeight="1">
      <c r="A168" s="52"/>
      <c r="B168" s="184"/>
      <c r="C168" s="134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4"/>
      <c r="AD168" s="24"/>
      <c r="AE168" s="24"/>
      <c r="AF168" s="24"/>
      <c r="AG168" s="24"/>
      <c r="AH168" s="24"/>
      <c r="AI168" s="24"/>
      <c r="AJ168" s="40"/>
      <c r="AK168" s="24"/>
      <c r="AL168" s="24"/>
      <c r="AM168" s="24"/>
      <c r="AN168" s="24"/>
      <c r="AO168" s="24"/>
      <c r="AP168" s="24"/>
      <c r="AQ168" s="24"/>
      <c r="AR168" s="24"/>
    </row>
    <row r="169" spans="1:44" ht="15.75" customHeight="1">
      <c r="A169" s="52"/>
      <c r="B169" s="184"/>
      <c r="C169" s="134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4"/>
      <c r="AD169" s="24"/>
      <c r="AE169" s="24"/>
      <c r="AF169" s="24"/>
      <c r="AG169" s="24"/>
      <c r="AH169" s="24"/>
      <c r="AI169" s="24"/>
      <c r="AJ169" s="40"/>
      <c r="AK169" s="24"/>
      <c r="AL169" s="24"/>
      <c r="AM169" s="24"/>
      <c r="AN169" s="24"/>
      <c r="AO169" s="24"/>
      <c r="AP169" s="24"/>
      <c r="AQ169" s="24"/>
      <c r="AR169" s="24"/>
    </row>
    <row r="170" spans="1:44" ht="15.75" customHeight="1">
      <c r="A170" s="52"/>
      <c r="B170" s="184"/>
      <c r="C170" s="134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4"/>
      <c r="AD170" s="24"/>
      <c r="AE170" s="24"/>
      <c r="AF170" s="24"/>
      <c r="AG170" s="24"/>
      <c r="AH170" s="24"/>
      <c r="AI170" s="24"/>
      <c r="AJ170" s="40"/>
      <c r="AK170" s="24"/>
      <c r="AL170" s="24"/>
      <c r="AM170" s="24"/>
      <c r="AN170" s="24"/>
      <c r="AO170" s="24"/>
      <c r="AP170" s="24"/>
      <c r="AQ170" s="24"/>
      <c r="AR170" s="24"/>
    </row>
    <row r="171" spans="1:44" ht="15.75" customHeight="1">
      <c r="A171" s="52"/>
      <c r="B171" s="184"/>
      <c r="C171" s="134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4"/>
      <c r="AD171" s="24"/>
      <c r="AE171" s="24"/>
      <c r="AF171" s="24"/>
      <c r="AG171" s="24"/>
      <c r="AH171" s="24"/>
      <c r="AI171" s="24"/>
      <c r="AJ171" s="40"/>
      <c r="AK171" s="24"/>
      <c r="AL171" s="24"/>
      <c r="AM171" s="24"/>
      <c r="AN171" s="24"/>
      <c r="AO171" s="24"/>
      <c r="AP171" s="24"/>
      <c r="AQ171" s="24"/>
      <c r="AR171" s="24"/>
    </row>
    <row r="172" spans="1:44" ht="15.75" customHeight="1">
      <c r="A172" s="52"/>
      <c r="B172" s="184"/>
      <c r="C172" s="134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4"/>
      <c r="AD172" s="24"/>
      <c r="AE172" s="24"/>
      <c r="AF172" s="24"/>
      <c r="AG172" s="24"/>
      <c r="AH172" s="24"/>
      <c r="AI172" s="24"/>
      <c r="AJ172" s="40"/>
      <c r="AK172" s="24"/>
      <c r="AL172" s="24"/>
      <c r="AM172" s="24"/>
      <c r="AN172" s="24"/>
      <c r="AO172" s="24"/>
      <c r="AP172" s="24"/>
      <c r="AQ172" s="24"/>
      <c r="AR172" s="24"/>
    </row>
    <row r="173" spans="1:44" ht="15.75" customHeight="1">
      <c r="A173" s="52"/>
      <c r="B173" s="184"/>
      <c r="C173" s="134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4"/>
      <c r="AD173" s="24"/>
      <c r="AE173" s="24"/>
      <c r="AF173" s="24"/>
      <c r="AG173" s="24"/>
      <c r="AH173" s="24"/>
      <c r="AI173" s="24"/>
      <c r="AJ173" s="40"/>
      <c r="AK173" s="24"/>
      <c r="AL173" s="24"/>
      <c r="AM173" s="24"/>
      <c r="AN173" s="24"/>
      <c r="AO173" s="24"/>
      <c r="AP173" s="24"/>
      <c r="AQ173" s="24"/>
      <c r="AR173" s="24"/>
    </row>
    <row r="174" spans="1:44" ht="15.75" customHeight="1">
      <c r="A174" s="52"/>
      <c r="B174" s="184"/>
      <c r="C174" s="134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4"/>
      <c r="AD174" s="24"/>
      <c r="AE174" s="24"/>
      <c r="AF174" s="24"/>
      <c r="AG174" s="24"/>
      <c r="AH174" s="24"/>
      <c r="AI174" s="24"/>
      <c r="AJ174" s="40"/>
      <c r="AK174" s="24"/>
      <c r="AL174" s="24"/>
      <c r="AM174" s="24"/>
      <c r="AN174" s="24"/>
      <c r="AO174" s="24"/>
      <c r="AP174" s="24"/>
      <c r="AQ174" s="24"/>
      <c r="AR174" s="24"/>
    </row>
    <row r="175" spans="1:44" ht="15.75" customHeight="1">
      <c r="A175" s="52"/>
      <c r="B175" s="184"/>
      <c r="C175" s="134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4"/>
      <c r="AD175" s="24"/>
      <c r="AE175" s="24"/>
      <c r="AF175" s="24"/>
      <c r="AG175" s="24"/>
      <c r="AH175" s="24"/>
      <c r="AI175" s="24"/>
      <c r="AJ175" s="40"/>
      <c r="AK175" s="24"/>
      <c r="AL175" s="24"/>
      <c r="AM175" s="24"/>
      <c r="AN175" s="24"/>
      <c r="AO175" s="24"/>
      <c r="AP175" s="24"/>
      <c r="AQ175" s="24"/>
      <c r="AR175" s="24"/>
    </row>
    <row r="176" spans="1:44" ht="15.75" customHeight="1">
      <c r="A176" s="52"/>
      <c r="B176" s="184"/>
      <c r="C176" s="134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4"/>
      <c r="AD176" s="24"/>
      <c r="AE176" s="24"/>
      <c r="AF176" s="24"/>
      <c r="AG176" s="24"/>
      <c r="AH176" s="24"/>
      <c r="AI176" s="24"/>
      <c r="AJ176" s="40"/>
      <c r="AK176" s="24"/>
      <c r="AL176" s="24"/>
      <c r="AM176" s="24"/>
      <c r="AN176" s="24"/>
      <c r="AO176" s="24"/>
      <c r="AP176" s="24"/>
      <c r="AQ176" s="24"/>
      <c r="AR176" s="24"/>
    </row>
    <row r="177" spans="1:44" ht="15.75" customHeight="1">
      <c r="A177" s="52"/>
      <c r="B177" s="184"/>
      <c r="C177" s="134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4"/>
      <c r="AD177" s="24"/>
      <c r="AE177" s="24"/>
      <c r="AF177" s="24"/>
      <c r="AG177" s="24"/>
      <c r="AH177" s="24"/>
      <c r="AI177" s="24"/>
      <c r="AJ177" s="40"/>
      <c r="AK177" s="24"/>
      <c r="AL177" s="24"/>
      <c r="AM177" s="24"/>
      <c r="AN177" s="24"/>
      <c r="AO177" s="24"/>
      <c r="AP177" s="24"/>
      <c r="AQ177" s="24"/>
      <c r="AR177" s="24"/>
    </row>
    <row r="178" spans="1:44" ht="15.75" customHeight="1">
      <c r="A178" s="52"/>
      <c r="B178" s="184"/>
      <c r="C178" s="134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4"/>
      <c r="AD178" s="24"/>
      <c r="AE178" s="24"/>
      <c r="AF178" s="24"/>
      <c r="AG178" s="24"/>
      <c r="AH178" s="24"/>
      <c r="AI178" s="24"/>
      <c r="AJ178" s="40"/>
      <c r="AK178" s="24"/>
      <c r="AL178" s="24"/>
      <c r="AM178" s="24"/>
      <c r="AN178" s="24"/>
      <c r="AO178" s="24"/>
      <c r="AP178" s="24"/>
      <c r="AQ178" s="24"/>
      <c r="AR178" s="24"/>
    </row>
    <row r="179" spans="1:44" ht="15.75" customHeight="1">
      <c r="A179" s="52"/>
      <c r="B179" s="184"/>
      <c r="C179" s="134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4"/>
      <c r="AD179" s="24"/>
      <c r="AE179" s="24"/>
      <c r="AF179" s="24"/>
      <c r="AG179" s="24"/>
      <c r="AH179" s="24"/>
      <c r="AI179" s="24"/>
      <c r="AJ179" s="40"/>
      <c r="AK179" s="24"/>
      <c r="AL179" s="24"/>
      <c r="AM179" s="24"/>
      <c r="AN179" s="24"/>
      <c r="AO179" s="24"/>
      <c r="AP179" s="24"/>
      <c r="AQ179" s="24"/>
      <c r="AR179" s="24"/>
    </row>
    <row r="180" spans="1:44" ht="15.75" customHeight="1">
      <c r="A180" s="52"/>
      <c r="B180" s="184"/>
      <c r="C180" s="134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4"/>
      <c r="AD180" s="24"/>
      <c r="AE180" s="24"/>
      <c r="AF180" s="24"/>
      <c r="AG180" s="24"/>
      <c r="AH180" s="24"/>
      <c r="AI180" s="24"/>
      <c r="AJ180" s="40"/>
      <c r="AK180" s="24"/>
      <c r="AL180" s="24"/>
      <c r="AM180" s="24"/>
      <c r="AN180" s="24"/>
      <c r="AO180" s="24"/>
      <c r="AP180" s="24"/>
      <c r="AQ180" s="24"/>
      <c r="AR180" s="24"/>
    </row>
    <row r="181" spans="1:44" ht="15.75" customHeight="1">
      <c r="A181" s="52"/>
      <c r="B181" s="184"/>
      <c r="C181" s="134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4"/>
      <c r="AD181" s="24"/>
      <c r="AE181" s="24"/>
      <c r="AF181" s="24"/>
      <c r="AG181" s="24"/>
      <c r="AH181" s="24"/>
      <c r="AI181" s="24"/>
      <c r="AJ181" s="40"/>
      <c r="AK181" s="24"/>
      <c r="AL181" s="24"/>
      <c r="AM181" s="24"/>
      <c r="AN181" s="24"/>
      <c r="AO181" s="24"/>
      <c r="AP181" s="24"/>
      <c r="AQ181" s="24"/>
      <c r="AR181" s="24"/>
    </row>
    <row r="182" spans="1:44" ht="15.75" customHeight="1">
      <c r="A182" s="52"/>
      <c r="B182" s="184"/>
      <c r="C182" s="134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4"/>
      <c r="AD182" s="24"/>
      <c r="AE182" s="24"/>
      <c r="AF182" s="24"/>
      <c r="AG182" s="24"/>
      <c r="AH182" s="24"/>
      <c r="AI182" s="24"/>
      <c r="AJ182" s="40"/>
      <c r="AK182" s="24"/>
      <c r="AL182" s="24"/>
      <c r="AM182" s="24"/>
      <c r="AN182" s="24"/>
      <c r="AO182" s="24"/>
      <c r="AP182" s="24"/>
      <c r="AQ182" s="24"/>
      <c r="AR182" s="24"/>
    </row>
    <row r="183" spans="1:44" ht="15.75" customHeight="1">
      <c r="A183" s="52"/>
      <c r="B183" s="184"/>
      <c r="C183" s="134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4"/>
      <c r="AD183" s="24"/>
      <c r="AE183" s="24"/>
      <c r="AF183" s="24"/>
      <c r="AG183" s="24"/>
      <c r="AH183" s="24"/>
      <c r="AI183" s="24"/>
      <c r="AJ183" s="40"/>
      <c r="AK183" s="24"/>
      <c r="AL183" s="24"/>
      <c r="AM183" s="24"/>
      <c r="AN183" s="24"/>
      <c r="AO183" s="24"/>
      <c r="AP183" s="24"/>
      <c r="AQ183" s="24"/>
      <c r="AR183" s="24"/>
    </row>
    <row r="184" spans="1:44" ht="15.75" customHeight="1">
      <c r="A184" s="52"/>
      <c r="B184" s="184"/>
      <c r="C184" s="134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4"/>
      <c r="AD184" s="24"/>
      <c r="AE184" s="24"/>
      <c r="AF184" s="24"/>
      <c r="AG184" s="24"/>
      <c r="AH184" s="24"/>
      <c r="AI184" s="24"/>
      <c r="AJ184" s="40"/>
      <c r="AK184" s="24"/>
      <c r="AL184" s="24"/>
      <c r="AM184" s="24"/>
      <c r="AN184" s="24"/>
      <c r="AO184" s="24"/>
      <c r="AP184" s="24"/>
      <c r="AQ184" s="24"/>
      <c r="AR184" s="24"/>
    </row>
    <row r="185" spans="1:44" ht="15.75" customHeight="1">
      <c r="A185" s="52"/>
      <c r="B185" s="184"/>
      <c r="C185" s="134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4"/>
      <c r="AD185" s="24"/>
      <c r="AE185" s="24"/>
      <c r="AF185" s="24"/>
      <c r="AG185" s="24"/>
      <c r="AH185" s="24"/>
      <c r="AI185" s="24"/>
      <c r="AJ185" s="40"/>
      <c r="AK185" s="24"/>
      <c r="AL185" s="24"/>
      <c r="AM185" s="24"/>
      <c r="AN185" s="24"/>
      <c r="AO185" s="24"/>
      <c r="AP185" s="24"/>
      <c r="AQ185" s="24"/>
      <c r="AR185" s="24"/>
    </row>
    <row r="186" spans="1:44" ht="15.75" customHeight="1">
      <c r="A186" s="52"/>
      <c r="B186" s="184"/>
      <c r="C186" s="134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4"/>
      <c r="AD186" s="24"/>
      <c r="AE186" s="24"/>
      <c r="AF186" s="24"/>
      <c r="AG186" s="24"/>
      <c r="AH186" s="24"/>
      <c r="AI186" s="24"/>
      <c r="AJ186" s="40"/>
      <c r="AK186" s="24"/>
      <c r="AL186" s="24"/>
      <c r="AM186" s="24"/>
      <c r="AN186" s="24"/>
      <c r="AO186" s="24"/>
      <c r="AP186" s="24"/>
      <c r="AQ186" s="24"/>
      <c r="AR186" s="24"/>
    </row>
    <row r="187" spans="1:44" ht="15.75" customHeight="1">
      <c r="A187" s="52"/>
      <c r="B187" s="184"/>
      <c r="C187" s="134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4"/>
      <c r="AD187" s="24"/>
      <c r="AE187" s="24"/>
      <c r="AF187" s="24"/>
      <c r="AG187" s="24"/>
      <c r="AH187" s="24"/>
      <c r="AI187" s="24"/>
      <c r="AJ187" s="40"/>
      <c r="AK187" s="24"/>
      <c r="AL187" s="24"/>
      <c r="AM187" s="24"/>
      <c r="AN187" s="24"/>
      <c r="AO187" s="24"/>
      <c r="AP187" s="24"/>
      <c r="AQ187" s="24"/>
      <c r="AR187" s="24"/>
    </row>
    <row r="188" spans="1:44" ht="15.75" customHeight="1">
      <c r="A188" s="52"/>
      <c r="B188" s="184"/>
      <c r="C188" s="134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4"/>
      <c r="AD188" s="24"/>
      <c r="AE188" s="24"/>
      <c r="AF188" s="24"/>
      <c r="AG188" s="24"/>
      <c r="AH188" s="24"/>
      <c r="AI188" s="24"/>
      <c r="AJ188" s="40"/>
      <c r="AK188" s="24"/>
      <c r="AL188" s="24"/>
      <c r="AM188" s="24"/>
      <c r="AN188" s="24"/>
      <c r="AO188" s="24"/>
      <c r="AP188" s="24"/>
      <c r="AQ188" s="24"/>
      <c r="AR188" s="24"/>
    </row>
    <row r="189" spans="1:44" ht="15.75" customHeight="1">
      <c r="A189" s="52"/>
      <c r="B189" s="184"/>
      <c r="C189" s="134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4"/>
      <c r="AD189" s="24"/>
      <c r="AE189" s="24"/>
      <c r="AF189" s="24"/>
      <c r="AG189" s="24"/>
      <c r="AH189" s="24"/>
      <c r="AI189" s="24"/>
      <c r="AJ189" s="40"/>
      <c r="AK189" s="24"/>
      <c r="AL189" s="24"/>
      <c r="AM189" s="24"/>
      <c r="AN189" s="24"/>
      <c r="AO189" s="24"/>
      <c r="AP189" s="24"/>
      <c r="AQ189" s="24"/>
      <c r="AR189" s="24"/>
    </row>
    <row r="190" spans="1:44" ht="15.75" customHeight="1">
      <c r="A190" s="52"/>
      <c r="B190" s="184"/>
      <c r="C190" s="134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4"/>
      <c r="AD190" s="24"/>
      <c r="AE190" s="24"/>
      <c r="AF190" s="24"/>
      <c r="AG190" s="24"/>
      <c r="AH190" s="24"/>
      <c r="AI190" s="24"/>
      <c r="AJ190" s="40"/>
      <c r="AK190" s="24"/>
      <c r="AL190" s="24"/>
      <c r="AM190" s="24"/>
      <c r="AN190" s="24"/>
      <c r="AO190" s="24"/>
      <c r="AP190" s="24"/>
      <c r="AQ190" s="24"/>
      <c r="AR190" s="24"/>
    </row>
    <row r="191" spans="1:44" ht="15.75" customHeight="1">
      <c r="A191" s="52"/>
      <c r="B191" s="184"/>
      <c r="C191" s="13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4"/>
      <c r="AD191" s="24"/>
      <c r="AE191" s="24"/>
      <c r="AF191" s="24"/>
      <c r="AG191" s="24"/>
      <c r="AH191" s="24"/>
      <c r="AI191" s="24"/>
      <c r="AJ191" s="40"/>
      <c r="AK191" s="24"/>
      <c r="AL191" s="24"/>
      <c r="AM191" s="24"/>
      <c r="AN191" s="24"/>
      <c r="AO191" s="24"/>
      <c r="AP191" s="24"/>
      <c r="AQ191" s="24"/>
      <c r="AR191" s="24"/>
    </row>
    <row r="192" spans="1:44" ht="15.75" customHeight="1">
      <c r="A192" s="52"/>
      <c r="B192" s="184"/>
      <c r="C192" s="13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4"/>
      <c r="AD192" s="24"/>
      <c r="AE192" s="24"/>
      <c r="AF192" s="24"/>
      <c r="AG192" s="24"/>
      <c r="AH192" s="24"/>
      <c r="AI192" s="24"/>
      <c r="AJ192" s="40"/>
      <c r="AK192" s="24"/>
      <c r="AL192" s="24"/>
      <c r="AM192" s="24"/>
      <c r="AN192" s="24"/>
      <c r="AO192" s="24"/>
      <c r="AP192" s="24"/>
      <c r="AQ192" s="24"/>
      <c r="AR192" s="24"/>
    </row>
    <row r="193" spans="1:44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40"/>
      <c r="AK193" s="24"/>
      <c r="AL193" s="24"/>
      <c r="AM193" s="24"/>
      <c r="AN193" s="24"/>
      <c r="AO193" s="24"/>
      <c r="AP193" s="24"/>
      <c r="AQ193" s="24"/>
      <c r="AR193" s="24"/>
    </row>
    <row r="194" spans="1:4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40"/>
      <c r="AK194" s="24"/>
      <c r="AL194" s="24"/>
      <c r="AM194" s="24"/>
      <c r="AN194" s="24"/>
      <c r="AO194" s="24"/>
      <c r="AP194" s="24"/>
      <c r="AQ194" s="24"/>
      <c r="AR194" s="24"/>
    </row>
    <row r="195" spans="1:44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40"/>
      <c r="AK195" s="24"/>
      <c r="AL195" s="24"/>
      <c r="AM195" s="24"/>
      <c r="AN195" s="24"/>
      <c r="AO195" s="24"/>
      <c r="AP195" s="24"/>
      <c r="AQ195" s="24"/>
      <c r="AR195" s="24"/>
    </row>
    <row r="196" spans="1:44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40"/>
      <c r="AK196" s="24"/>
      <c r="AL196" s="24"/>
      <c r="AM196" s="24"/>
      <c r="AN196" s="24"/>
      <c r="AO196" s="24"/>
      <c r="AP196" s="24"/>
      <c r="AQ196" s="24"/>
      <c r="AR196" s="24"/>
    </row>
    <row r="197" spans="1:44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40"/>
      <c r="AK197" s="24"/>
      <c r="AL197" s="24"/>
      <c r="AM197" s="24"/>
      <c r="AN197" s="24"/>
      <c r="AO197" s="24"/>
      <c r="AP197" s="24"/>
      <c r="AQ197" s="24"/>
      <c r="AR197" s="24"/>
    </row>
    <row r="198" spans="1:44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40"/>
      <c r="AK198" s="24"/>
      <c r="AL198" s="24"/>
      <c r="AM198" s="24"/>
      <c r="AN198" s="24"/>
      <c r="AO198" s="24"/>
      <c r="AP198" s="24"/>
      <c r="AQ198" s="24"/>
      <c r="AR198" s="24"/>
    </row>
    <row r="199" spans="1:44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40"/>
      <c r="AK199" s="24"/>
      <c r="AL199" s="24"/>
      <c r="AM199" s="24"/>
      <c r="AN199" s="24"/>
      <c r="AO199" s="24"/>
      <c r="AP199" s="24"/>
      <c r="AQ199" s="24"/>
      <c r="AR199" s="24"/>
    </row>
    <row r="200" spans="1:44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40"/>
      <c r="AK200" s="24"/>
      <c r="AL200" s="24"/>
      <c r="AM200" s="24"/>
      <c r="AN200" s="24"/>
      <c r="AO200" s="24"/>
      <c r="AP200" s="24"/>
      <c r="AQ200" s="24"/>
      <c r="AR200" s="24"/>
    </row>
    <row r="201" spans="1:44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40"/>
      <c r="AK201" s="24"/>
      <c r="AL201" s="24"/>
      <c r="AM201" s="24"/>
      <c r="AN201" s="24"/>
      <c r="AO201" s="24"/>
      <c r="AP201" s="24"/>
      <c r="AQ201" s="24"/>
      <c r="AR201" s="24"/>
    </row>
    <row r="202" spans="1:44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40"/>
      <c r="AK202" s="24"/>
      <c r="AL202" s="24"/>
      <c r="AM202" s="24"/>
      <c r="AN202" s="24"/>
      <c r="AO202" s="24"/>
      <c r="AP202" s="24"/>
      <c r="AQ202" s="24"/>
      <c r="AR202" s="24"/>
    </row>
    <row r="203" spans="1:44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40"/>
      <c r="AK203" s="24"/>
      <c r="AL203" s="24"/>
      <c r="AM203" s="24"/>
      <c r="AN203" s="24"/>
      <c r="AO203" s="24"/>
      <c r="AP203" s="24"/>
      <c r="AQ203" s="24"/>
      <c r="AR203" s="24"/>
    </row>
    <row r="204" spans="1:4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40"/>
      <c r="AK204" s="24"/>
      <c r="AL204" s="24"/>
      <c r="AM204" s="24"/>
      <c r="AN204" s="24"/>
      <c r="AO204" s="24"/>
      <c r="AP204" s="24"/>
      <c r="AQ204" s="24"/>
      <c r="AR204" s="24"/>
    </row>
    <row r="205" spans="1:44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40"/>
      <c r="AK205" s="24"/>
      <c r="AL205" s="24"/>
      <c r="AM205" s="24"/>
      <c r="AN205" s="24"/>
      <c r="AO205" s="24"/>
      <c r="AP205" s="24"/>
      <c r="AQ205" s="24"/>
      <c r="AR205" s="24"/>
    </row>
    <row r="206" spans="1:44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40"/>
      <c r="AK206" s="24"/>
      <c r="AL206" s="24"/>
      <c r="AM206" s="24"/>
      <c r="AN206" s="24"/>
      <c r="AO206" s="24"/>
      <c r="AP206" s="24"/>
      <c r="AQ206" s="24"/>
      <c r="AR206" s="24"/>
    </row>
    <row r="207" spans="1:44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40"/>
      <c r="AK207" s="24"/>
      <c r="AL207" s="24"/>
      <c r="AM207" s="24"/>
      <c r="AN207" s="24"/>
      <c r="AO207" s="24"/>
      <c r="AP207" s="24"/>
      <c r="AQ207" s="24"/>
      <c r="AR207" s="24"/>
    </row>
    <row r="208" spans="1:44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40"/>
      <c r="AK208" s="24"/>
      <c r="AL208" s="24"/>
      <c r="AM208" s="24"/>
      <c r="AN208" s="24"/>
      <c r="AO208" s="24"/>
      <c r="AP208" s="24"/>
      <c r="AQ208" s="24"/>
      <c r="AR208" s="24"/>
    </row>
    <row r="209" spans="1:44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40"/>
      <c r="AK209" s="24"/>
      <c r="AL209" s="24"/>
      <c r="AM209" s="24"/>
      <c r="AN209" s="24"/>
      <c r="AO209" s="24"/>
      <c r="AP209" s="24"/>
      <c r="AQ209" s="24"/>
      <c r="AR209" s="24"/>
    </row>
    <row r="210" spans="1:44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40"/>
      <c r="AK210" s="24"/>
      <c r="AL210" s="24"/>
      <c r="AM210" s="24"/>
      <c r="AN210" s="24"/>
      <c r="AO210" s="24"/>
      <c r="AP210" s="24"/>
      <c r="AQ210" s="24"/>
      <c r="AR210" s="24"/>
    </row>
    <row r="211" spans="1:44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40"/>
      <c r="AK211" s="24"/>
      <c r="AL211" s="24"/>
      <c r="AM211" s="24"/>
      <c r="AN211" s="24"/>
      <c r="AO211" s="24"/>
      <c r="AP211" s="24"/>
      <c r="AQ211" s="24"/>
      <c r="AR211" s="24"/>
    </row>
    <row r="212" spans="1:44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40"/>
      <c r="AK212" s="24"/>
      <c r="AL212" s="24"/>
      <c r="AM212" s="24"/>
      <c r="AN212" s="24"/>
      <c r="AO212" s="24"/>
      <c r="AP212" s="24"/>
      <c r="AQ212" s="24"/>
      <c r="AR212" s="24"/>
    </row>
    <row r="213" spans="1:44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40"/>
      <c r="AK213" s="24"/>
      <c r="AL213" s="24"/>
      <c r="AM213" s="24"/>
      <c r="AN213" s="24"/>
      <c r="AO213" s="24"/>
      <c r="AP213" s="24"/>
      <c r="AQ213" s="24"/>
      <c r="AR213" s="24"/>
    </row>
    <row r="214" spans="1:4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40"/>
      <c r="AK214" s="24"/>
      <c r="AL214" s="24"/>
      <c r="AM214" s="24"/>
      <c r="AN214" s="24"/>
      <c r="AO214" s="24"/>
      <c r="AP214" s="24"/>
      <c r="AQ214" s="24"/>
      <c r="AR214" s="24"/>
    </row>
    <row r="215" spans="1:44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40"/>
      <c r="AK215" s="24"/>
      <c r="AL215" s="24"/>
      <c r="AM215" s="24"/>
      <c r="AN215" s="24"/>
      <c r="AO215" s="24"/>
      <c r="AP215" s="24"/>
      <c r="AQ215" s="24"/>
      <c r="AR215" s="24"/>
    </row>
    <row r="216" spans="1:44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40"/>
      <c r="AK216" s="24"/>
      <c r="AL216" s="24"/>
      <c r="AM216" s="24"/>
      <c r="AN216" s="24"/>
      <c r="AO216" s="24"/>
      <c r="AP216" s="24"/>
      <c r="AQ216" s="24"/>
      <c r="AR216" s="24"/>
    </row>
    <row r="217" spans="1:44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40"/>
      <c r="AK217" s="24"/>
      <c r="AL217" s="24"/>
      <c r="AM217" s="24"/>
      <c r="AN217" s="24"/>
      <c r="AO217" s="24"/>
      <c r="AP217" s="24"/>
      <c r="AQ217" s="24"/>
      <c r="AR217" s="24"/>
    </row>
    <row r="218" spans="1:44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40"/>
      <c r="AK218" s="24"/>
      <c r="AL218" s="24"/>
      <c r="AM218" s="24"/>
      <c r="AN218" s="24"/>
      <c r="AO218" s="24"/>
      <c r="AP218" s="24"/>
      <c r="AQ218" s="24"/>
      <c r="AR218" s="24"/>
    </row>
    <row r="219" spans="1:44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40"/>
      <c r="AK219" s="24"/>
      <c r="AL219" s="24"/>
      <c r="AM219" s="24"/>
      <c r="AN219" s="24"/>
      <c r="AO219" s="24"/>
      <c r="AP219" s="24"/>
      <c r="AQ219" s="24"/>
      <c r="AR219" s="24"/>
    </row>
    <row r="220" spans="1:44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40"/>
      <c r="AK220" s="24"/>
      <c r="AL220" s="24"/>
      <c r="AM220" s="24"/>
      <c r="AN220" s="24"/>
      <c r="AO220" s="24"/>
      <c r="AP220" s="24"/>
      <c r="AQ220" s="24"/>
      <c r="AR220" s="24"/>
    </row>
    <row r="221" spans="1:44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40"/>
      <c r="AK221" s="24"/>
      <c r="AL221" s="24"/>
      <c r="AM221" s="24"/>
      <c r="AN221" s="24"/>
      <c r="AO221" s="24"/>
      <c r="AP221" s="24"/>
      <c r="AQ221" s="24"/>
      <c r="AR221" s="24"/>
    </row>
    <row r="222" spans="1:44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40"/>
      <c r="AK222" s="24"/>
      <c r="AL222" s="24"/>
      <c r="AM222" s="24"/>
      <c r="AN222" s="24"/>
      <c r="AO222" s="24"/>
      <c r="AP222" s="24"/>
      <c r="AQ222" s="24"/>
      <c r="AR222" s="24"/>
    </row>
    <row r="223" spans="1:44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40"/>
      <c r="AK223" s="24"/>
      <c r="AL223" s="24"/>
      <c r="AM223" s="24"/>
      <c r="AN223" s="24"/>
      <c r="AO223" s="24"/>
      <c r="AP223" s="24"/>
      <c r="AQ223" s="24"/>
      <c r="AR223" s="24"/>
    </row>
    <row r="224" spans="1:4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40"/>
      <c r="AK224" s="24"/>
      <c r="AL224" s="24"/>
      <c r="AM224" s="24"/>
      <c r="AN224" s="24"/>
      <c r="AO224" s="24"/>
      <c r="AP224" s="24"/>
      <c r="AQ224" s="24"/>
      <c r="AR224" s="24"/>
    </row>
    <row r="225" spans="1:44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40"/>
      <c r="AK225" s="24"/>
      <c r="AL225" s="24"/>
      <c r="AM225" s="24"/>
      <c r="AN225" s="24"/>
      <c r="AO225" s="24"/>
      <c r="AP225" s="24"/>
      <c r="AQ225" s="24"/>
      <c r="AR225" s="24"/>
    </row>
    <row r="226" spans="1:44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40"/>
      <c r="AK226" s="24"/>
      <c r="AL226" s="24"/>
      <c r="AM226" s="24"/>
      <c r="AN226" s="24"/>
      <c r="AO226" s="24"/>
      <c r="AP226" s="24"/>
      <c r="AQ226" s="24"/>
      <c r="AR226" s="24"/>
    </row>
    <row r="227" spans="1:44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40"/>
      <c r="AK227" s="24"/>
      <c r="AL227" s="24"/>
      <c r="AM227" s="24"/>
      <c r="AN227" s="24"/>
      <c r="AO227" s="24"/>
      <c r="AP227" s="24"/>
      <c r="AQ227" s="24"/>
      <c r="AR227" s="24"/>
    </row>
    <row r="228" spans="1:44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40"/>
      <c r="AK228" s="24"/>
      <c r="AL228" s="24"/>
      <c r="AM228" s="24"/>
      <c r="AN228" s="24"/>
      <c r="AO228" s="24"/>
      <c r="AP228" s="24"/>
      <c r="AQ228" s="24"/>
      <c r="AR228" s="24"/>
    </row>
    <row r="229" spans="1:44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40"/>
      <c r="AK229" s="24"/>
      <c r="AL229" s="24"/>
      <c r="AM229" s="24"/>
      <c r="AN229" s="24"/>
      <c r="AO229" s="24"/>
      <c r="AP229" s="24"/>
      <c r="AQ229" s="24"/>
      <c r="AR229" s="24"/>
    </row>
    <row r="230" spans="1:44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40"/>
      <c r="AK230" s="24"/>
      <c r="AL230" s="24"/>
      <c r="AM230" s="24"/>
      <c r="AN230" s="24"/>
      <c r="AO230" s="24"/>
      <c r="AP230" s="24"/>
      <c r="AQ230" s="24"/>
      <c r="AR230" s="24"/>
    </row>
    <row r="231" spans="1:44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40"/>
      <c r="AK231" s="24"/>
      <c r="AL231" s="24"/>
      <c r="AM231" s="24"/>
      <c r="AN231" s="24"/>
      <c r="AO231" s="24"/>
      <c r="AP231" s="24"/>
      <c r="AQ231" s="24"/>
      <c r="AR231" s="24"/>
    </row>
    <row r="232" spans="1:44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40"/>
      <c r="AK232" s="24"/>
      <c r="AL232" s="24"/>
      <c r="AM232" s="24"/>
      <c r="AN232" s="24"/>
      <c r="AO232" s="24"/>
      <c r="AP232" s="24"/>
      <c r="AQ232" s="24"/>
      <c r="AR232" s="24"/>
    </row>
    <row r="233" spans="1:44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40"/>
      <c r="AK233" s="24"/>
      <c r="AL233" s="24"/>
      <c r="AM233" s="24"/>
      <c r="AN233" s="24"/>
      <c r="AO233" s="24"/>
      <c r="AP233" s="24"/>
      <c r="AQ233" s="24"/>
      <c r="AR233" s="24"/>
    </row>
    <row r="234" spans="1:4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40"/>
      <c r="AK234" s="24"/>
      <c r="AL234" s="24"/>
      <c r="AM234" s="24"/>
      <c r="AN234" s="24"/>
      <c r="AO234" s="24"/>
      <c r="AP234" s="24"/>
      <c r="AQ234" s="24"/>
      <c r="AR234" s="24"/>
    </row>
    <row r="235" spans="1:44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40"/>
      <c r="AK235" s="24"/>
      <c r="AL235" s="24"/>
      <c r="AM235" s="24"/>
      <c r="AN235" s="24"/>
      <c r="AO235" s="24"/>
      <c r="AP235" s="24"/>
      <c r="AQ235" s="24"/>
      <c r="AR235" s="24"/>
    </row>
    <row r="236" spans="1:44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40"/>
      <c r="AK236" s="24"/>
      <c r="AL236" s="24"/>
      <c r="AM236" s="24"/>
      <c r="AN236" s="24"/>
      <c r="AO236" s="24"/>
      <c r="AP236" s="24"/>
      <c r="AQ236" s="24"/>
      <c r="AR236" s="24"/>
    </row>
    <row r="237" spans="1:44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40"/>
      <c r="AK237" s="24"/>
      <c r="AL237" s="24"/>
      <c r="AM237" s="24"/>
      <c r="AN237" s="24"/>
      <c r="AO237" s="24"/>
      <c r="AP237" s="24"/>
      <c r="AQ237" s="24"/>
      <c r="AR237" s="24"/>
    </row>
    <row r="238" spans="1:44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40"/>
      <c r="AK238" s="24"/>
      <c r="AL238" s="24"/>
      <c r="AM238" s="24"/>
      <c r="AN238" s="24"/>
      <c r="AO238" s="24"/>
      <c r="AP238" s="24"/>
      <c r="AQ238" s="24"/>
      <c r="AR238" s="24"/>
    </row>
    <row r="239" spans="1:44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40"/>
      <c r="AK239" s="24"/>
      <c r="AL239" s="24"/>
      <c r="AM239" s="24"/>
      <c r="AN239" s="24"/>
      <c r="AO239" s="24"/>
      <c r="AP239" s="24"/>
      <c r="AQ239" s="24"/>
      <c r="AR239" s="24"/>
    </row>
    <row r="240" spans="1:44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40"/>
      <c r="AK240" s="24"/>
      <c r="AL240" s="24"/>
      <c r="AM240" s="24"/>
      <c r="AN240" s="24"/>
      <c r="AO240" s="24"/>
      <c r="AP240" s="24"/>
      <c r="AQ240" s="24"/>
      <c r="AR240" s="24"/>
    </row>
    <row r="241" spans="1:44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40"/>
      <c r="AK241" s="24"/>
      <c r="AL241" s="24"/>
      <c r="AM241" s="24"/>
      <c r="AN241" s="24"/>
      <c r="AO241" s="24"/>
      <c r="AP241" s="24"/>
      <c r="AQ241" s="24"/>
      <c r="AR241" s="24"/>
    </row>
    <row r="242" spans="1:44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40"/>
      <c r="AK242" s="24"/>
      <c r="AL242" s="24"/>
      <c r="AM242" s="24"/>
      <c r="AN242" s="24"/>
      <c r="AO242" s="24"/>
      <c r="AP242" s="24"/>
      <c r="AQ242" s="24"/>
      <c r="AR242" s="24"/>
    </row>
    <row r="243" spans="1:44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40"/>
      <c r="AK243" s="24"/>
      <c r="AL243" s="24"/>
      <c r="AM243" s="24"/>
      <c r="AN243" s="24"/>
      <c r="AO243" s="24"/>
      <c r="AP243" s="24"/>
      <c r="AQ243" s="24"/>
      <c r="AR243" s="24"/>
    </row>
    <row r="244" spans="1: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40"/>
      <c r="AK244" s="24"/>
      <c r="AL244" s="24"/>
      <c r="AM244" s="24"/>
      <c r="AN244" s="24"/>
      <c r="AO244" s="24"/>
      <c r="AP244" s="24"/>
      <c r="AQ244" s="24"/>
      <c r="AR244" s="24"/>
    </row>
    <row r="245" spans="1:44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40"/>
      <c r="AK245" s="24"/>
      <c r="AL245" s="24"/>
      <c r="AM245" s="24"/>
      <c r="AN245" s="24"/>
      <c r="AO245" s="24"/>
      <c r="AP245" s="24"/>
      <c r="AQ245" s="24"/>
      <c r="AR245" s="24"/>
    </row>
    <row r="246" spans="1:44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40"/>
      <c r="AK246" s="24"/>
      <c r="AL246" s="24"/>
      <c r="AM246" s="24"/>
      <c r="AN246" s="24"/>
      <c r="AO246" s="24"/>
      <c r="AP246" s="24"/>
      <c r="AQ246" s="24"/>
      <c r="AR246" s="24"/>
    </row>
    <row r="247" spans="1:44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40"/>
      <c r="AK247" s="24"/>
      <c r="AL247" s="24"/>
      <c r="AM247" s="24"/>
      <c r="AN247" s="24"/>
      <c r="AO247" s="24"/>
      <c r="AP247" s="24"/>
      <c r="AQ247" s="24"/>
      <c r="AR247" s="24"/>
    </row>
    <row r="248" spans="1:44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40"/>
      <c r="AK248" s="24"/>
      <c r="AL248" s="24"/>
      <c r="AM248" s="24"/>
      <c r="AN248" s="24"/>
      <c r="AO248" s="24"/>
      <c r="AP248" s="24"/>
      <c r="AQ248" s="24"/>
      <c r="AR248" s="24"/>
    </row>
    <row r="249" spans="1:44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40"/>
      <c r="AK249" s="24"/>
      <c r="AL249" s="24"/>
      <c r="AM249" s="24"/>
      <c r="AN249" s="24"/>
      <c r="AO249" s="24"/>
      <c r="AP249" s="24"/>
      <c r="AQ249" s="24"/>
      <c r="AR249" s="24"/>
    </row>
    <row r="250" spans="1:44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40"/>
      <c r="AK250" s="24"/>
      <c r="AL250" s="24"/>
      <c r="AM250" s="24"/>
      <c r="AN250" s="24"/>
      <c r="AO250" s="24"/>
      <c r="AP250" s="24"/>
      <c r="AQ250" s="24"/>
      <c r="AR250" s="24"/>
    </row>
    <row r="251" spans="1:44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40"/>
      <c r="AK251" s="24"/>
      <c r="AL251" s="24"/>
      <c r="AM251" s="24"/>
      <c r="AN251" s="24"/>
      <c r="AO251" s="24"/>
      <c r="AP251" s="24"/>
      <c r="AQ251" s="24"/>
      <c r="AR251" s="24"/>
    </row>
    <row r="252" spans="1:44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40"/>
      <c r="AK252" s="24"/>
      <c r="AL252" s="24"/>
      <c r="AM252" s="24"/>
      <c r="AN252" s="24"/>
      <c r="AO252" s="24"/>
      <c r="AP252" s="24"/>
      <c r="AQ252" s="24"/>
      <c r="AR252" s="24"/>
    </row>
    <row r="253" spans="1:44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40"/>
      <c r="AK253" s="24"/>
      <c r="AL253" s="24"/>
      <c r="AM253" s="24"/>
      <c r="AN253" s="24"/>
      <c r="AO253" s="24"/>
      <c r="AP253" s="24"/>
      <c r="AQ253" s="24"/>
      <c r="AR253" s="24"/>
    </row>
    <row r="254" spans="1:4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40"/>
      <c r="AK254" s="24"/>
      <c r="AL254" s="24"/>
      <c r="AM254" s="24"/>
      <c r="AN254" s="24"/>
      <c r="AO254" s="24"/>
      <c r="AP254" s="24"/>
      <c r="AQ254" s="24"/>
      <c r="AR254" s="24"/>
    </row>
    <row r="255" spans="1:44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40"/>
      <c r="AK255" s="24"/>
      <c r="AL255" s="24"/>
      <c r="AM255" s="24"/>
      <c r="AN255" s="24"/>
      <c r="AO255" s="24"/>
      <c r="AP255" s="24"/>
      <c r="AQ255" s="24"/>
      <c r="AR255" s="24"/>
    </row>
    <row r="256" spans="1:44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40"/>
      <c r="AK256" s="24"/>
      <c r="AL256" s="24"/>
      <c r="AM256" s="24"/>
      <c r="AN256" s="24"/>
      <c r="AO256" s="24"/>
      <c r="AP256" s="24"/>
      <c r="AQ256" s="24"/>
      <c r="AR256" s="24"/>
    </row>
    <row r="257" spans="1:44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40"/>
      <c r="AK257" s="24"/>
      <c r="AL257" s="24"/>
      <c r="AM257" s="24"/>
      <c r="AN257" s="24"/>
      <c r="AO257" s="24"/>
      <c r="AP257" s="24"/>
      <c r="AQ257" s="24"/>
      <c r="AR257" s="24"/>
    </row>
    <row r="258" spans="1:44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40"/>
      <c r="AK258" s="24"/>
      <c r="AL258" s="24"/>
      <c r="AM258" s="24"/>
      <c r="AN258" s="24"/>
      <c r="AO258" s="24"/>
      <c r="AP258" s="24"/>
      <c r="AQ258" s="24"/>
      <c r="AR258" s="24"/>
    </row>
    <row r="259" spans="1:44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40"/>
      <c r="AK259" s="24"/>
      <c r="AL259" s="24"/>
      <c r="AM259" s="24"/>
      <c r="AN259" s="24"/>
      <c r="AO259" s="24"/>
      <c r="AP259" s="24"/>
      <c r="AQ259" s="24"/>
      <c r="AR259" s="24"/>
    </row>
    <row r="260" spans="1:44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40"/>
      <c r="AK260" s="24"/>
      <c r="AL260" s="24"/>
      <c r="AM260" s="24"/>
      <c r="AN260" s="24"/>
      <c r="AO260" s="24"/>
      <c r="AP260" s="24"/>
      <c r="AQ260" s="24"/>
      <c r="AR260" s="24"/>
    </row>
    <row r="261" spans="1:44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40"/>
      <c r="AK261" s="24"/>
      <c r="AL261" s="24"/>
      <c r="AM261" s="24"/>
      <c r="AN261" s="24"/>
      <c r="AO261" s="24"/>
      <c r="AP261" s="24"/>
      <c r="AQ261" s="24"/>
      <c r="AR261" s="24"/>
    </row>
    <row r="262" spans="1:44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40"/>
      <c r="AK262" s="24"/>
      <c r="AL262" s="24"/>
      <c r="AM262" s="24"/>
      <c r="AN262" s="24"/>
      <c r="AO262" s="24"/>
      <c r="AP262" s="24"/>
      <c r="AQ262" s="24"/>
      <c r="AR262" s="24"/>
    </row>
    <row r="263" spans="1:44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40"/>
      <c r="AK263" s="24"/>
      <c r="AL263" s="24"/>
      <c r="AM263" s="24"/>
      <c r="AN263" s="24"/>
      <c r="AO263" s="24"/>
      <c r="AP263" s="24"/>
      <c r="AQ263" s="24"/>
      <c r="AR263" s="24"/>
    </row>
    <row r="264" spans="1:4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40"/>
      <c r="AK264" s="24"/>
      <c r="AL264" s="24"/>
      <c r="AM264" s="24"/>
      <c r="AN264" s="24"/>
      <c r="AO264" s="24"/>
      <c r="AP264" s="24"/>
      <c r="AQ264" s="24"/>
      <c r="AR264" s="24"/>
    </row>
    <row r="265" spans="1:44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40"/>
      <c r="AK265" s="24"/>
      <c r="AL265" s="24"/>
      <c r="AM265" s="24"/>
      <c r="AN265" s="24"/>
      <c r="AO265" s="24"/>
      <c r="AP265" s="24"/>
      <c r="AQ265" s="24"/>
      <c r="AR265" s="24"/>
    </row>
    <row r="266" spans="1:44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40"/>
      <c r="AK266" s="24"/>
      <c r="AL266" s="24"/>
      <c r="AM266" s="24"/>
      <c r="AN266" s="24"/>
      <c r="AO266" s="24"/>
      <c r="AP266" s="24"/>
      <c r="AQ266" s="24"/>
      <c r="AR266" s="24"/>
    </row>
    <row r="267" spans="1:44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40"/>
      <c r="AK267" s="24"/>
      <c r="AL267" s="24"/>
      <c r="AM267" s="24"/>
      <c r="AN267" s="24"/>
      <c r="AO267" s="24"/>
      <c r="AP267" s="24"/>
      <c r="AQ267" s="24"/>
      <c r="AR267" s="24"/>
    </row>
    <row r="268" spans="1:44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40"/>
      <c r="AK268" s="24"/>
      <c r="AL268" s="24"/>
      <c r="AM268" s="24"/>
      <c r="AN268" s="24"/>
      <c r="AO268" s="24"/>
      <c r="AP268" s="24"/>
      <c r="AQ268" s="24"/>
      <c r="AR268" s="24"/>
    </row>
    <row r="269" spans="1:44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40"/>
      <c r="AK269" s="24"/>
      <c r="AL269" s="24"/>
      <c r="AM269" s="24"/>
      <c r="AN269" s="24"/>
      <c r="AO269" s="24"/>
      <c r="AP269" s="24"/>
      <c r="AQ269" s="24"/>
      <c r="AR269" s="24"/>
    </row>
    <row r="270" spans="1:44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40"/>
      <c r="AK270" s="24"/>
      <c r="AL270" s="24"/>
      <c r="AM270" s="24"/>
      <c r="AN270" s="24"/>
      <c r="AO270" s="24"/>
      <c r="AP270" s="24"/>
      <c r="AQ270" s="24"/>
      <c r="AR270" s="24"/>
    </row>
    <row r="271" spans="1:44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40"/>
      <c r="AK271" s="24"/>
      <c r="AL271" s="24"/>
      <c r="AM271" s="24"/>
      <c r="AN271" s="24"/>
      <c r="AO271" s="24"/>
      <c r="AP271" s="24"/>
      <c r="AQ271" s="24"/>
      <c r="AR271" s="24"/>
    </row>
    <row r="272" spans="1:44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40"/>
      <c r="AK272" s="24"/>
      <c r="AL272" s="24"/>
      <c r="AM272" s="24"/>
      <c r="AN272" s="24"/>
      <c r="AO272" s="24"/>
      <c r="AP272" s="24"/>
      <c r="AQ272" s="24"/>
      <c r="AR272" s="24"/>
    </row>
    <row r="273" spans="1:44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40"/>
      <c r="AK273" s="24"/>
      <c r="AL273" s="24"/>
      <c r="AM273" s="24"/>
      <c r="AN273" s="24"/>
      <c r="AO273" s="24"/>
      <c r="AP273" s="24"/>
      <c r="AQ273" s="24"/>
      <c r="AR273" s="24"/>
    </row>
    <row r="274" spans="1:4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40"/>
      <c r="AK274" s="24"/>
      <c r="AL274" s="24"/>
      <c r="AM274" s="24"/>
      <c r="AN274" s="24"/>
      <c r="AO274" s="24"/>
      <c r="AP274" s="24"/>
      <c r="AQ274" s="24"/>
      <c r="AR274" s="24"/>
    </row>
    <row r="275" spans="1:44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40"/>
      <c r="AK275" s="24"/>
      <c r="AL275" s="24"/>
      <c r="AM275" s="24"/>
      <c r="AN275" s="24"/>
      <c r="AO275" s="24"/>
      <c r="AP275" s="24"/>
      <c r="AQ275" s="24"/>
      <c r="AR275" s="24"/>
    </row>
    <row r="276" spans="1:44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40"/>
      <c r="AK276" s="24"/>
      <c r="AL276" s="24"/>
      <c r="AM276" s="24"/>
      <c r="AN276" s="24"/>
      <c r="AO276" s="24"/>
      <c r="AP276" s="24"/>
      <c r="AQ276" s="24"/>
      <c r="AR276" s="24"/>
    </row>
    <row r="277" spans="1:44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40"/>
      <c r="AK277" s="24"/>
      <c r="AL277" s="24"/>
      <c r="AM277" s="24"/>
      <c r="AN277" s="24"/>
      <c r="AO277" s="24"/>
      <c r="AP277" s="24"/>
      <c r="AQ277" s="24"/>
      <c r="AR277" s="24"/>
    </row>
    <row r="278" spans="1:44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40"/>
      <c r="AK278" s="24"/>
      <c r="AL278" s="24"/>
      <c r="AM278" s="24"/>
      <c r="AN278" s="24"/>
      <c r="AO278" s="24"/>
      <c r="AP278" s="24"/>
      <c r="AQ278" s="24"/>
      <c r="AR278" s="24"/>
    </row>
    <row r="279" spans="1:44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40"/>
      <c r="AK279" s="24"/>
      <c r="AL279" s="24"/>
      <c r="AM279" s="24"/>
      <c r="AN279" s="24"/>
      <c r="AO279" s="24"/>
      <c r="AP279" s="24"/>
      <c r="AQ279" s="24"/>
      <c r="AR279" s="24"/>
    </row>
    <row r="280" spans="1:44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40"/>
      <c r="AK280" s="24"/>
      <c r="AL280" s="24"/>
      <c r="AM280" s="24"/>
      <c r="AN280" s="24"/>
      <c r="AO280" s="24"/>
      <c r="AP280" s="24"/>
      <c r="AQ280" s="24"/>
      <c r="AR280" s="24"/>
    </row>
    <row r="281" spans="1:44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40"/>
      <c r="AK281" s="24"/>
      <c r="AL281" s="24"/>
      <c r="AM281" s="24"/>
      <c r="AN281" s="24"/>
      <c r="AO281" s="24"/>
      <c r="AP281" s="24"/>
      <c r="AQ281" s="24"/>
      <c r="AR281" s="24"/>
    </row>
    <row r="282" spans="1:44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40"/>
      <c r="AK282" s="24"/>
      <c r="AL282" s="24"/>
      <c r="AM282" s="24"/>
      <c r="AN282" s="24"/>
      <c r="AO282" s="24"/>
      <c r="AP282" s="24"/>
      <c r="AQ282" s="24"/>
      <c r="AR282" s="24"/>
    </row>
    <row r="283" spans="1:44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40"/>
      <c r="AK283" s="24"/>
      <c r="AL283" s="24"/>
      <c r="AM283" s="24"/>
      <c r="AN283" s="24"/>
      <c r="AO283" s="24"/>
      <c r="AP283" s="24"/>
      <c r="AQ283" s="24"/>
      <c r="AR283" s="24"/>
    </row>
    <row r="284" spans="1:4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40"/>
      <c r="AK284" s="24"/>
      <c r="AL284" s="24"/>
      <c r="AM284" s="24"/>
      <c r="AN284" s="24"/>
      <c r="AO284" s="24"/>
      <c r="AP284" s="24"/>
      <c r="AQ284" s="24"/>
      <c r="AR284" s="24"/>
    </row>
    <row r="285" spans="1:44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40"/>
      <c r="AK285" s="24"/>
      <c r="AL285" s="24"/>
      <c r="AM285" s="24"/>
      <c r="AN285" s="24"/>
      <c r="AO285" s="24"/>
      <c r="AP285" s="24"/>
      <c r="AQ285" s="24"/>
      <c r="AR285" s="24"/>
    </row>
    <row r="286" spans="1:44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40"/>
      <c r="AK286" s="24"/>
      <c r="AL286" s="24"/>
      <c r="AM286" s="24"/>
      <c r="AN286" s="24"/>
      <c r="AO286" s="24"/>
      <c r="AP286" s="24"/>
      <c r="AQ286" s="24"/>
      <c r="AR286" s="24"/>
    </row>
    <row r="287" spans="1:44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40"/>
      <c r="AK287" s="24"/>
      <c r="AL287" s="24"/>
      <c r="AM287" s="24"/>
      <c r="AN287" s="24"/>
      <c r="AO287" s="24"/>
      <c r="AP287" s="24"/>
      <c r="AQ287" s="24"/>
      <c r="AR287" s="24"/>
    </row>
    <row r="288" spans="1:44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40"/>
      <c r="AK288" s="24"/>
      <c r="AL288" s="24"/>
      <c r="AM288" s="24"/>
      <c r="AN288" s="24"/>
      <c r="AO288" s="24"/>
      <c r="AP288" s="24"/>
      <c r="AQ288" s="24"/>
      <c r="AR288" s="24"/>
    </row>
    <row r="289" spans="1:44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40"/>
      <c r="AK289" s="24"/>
      <c r="AL289" s="24"/>
      <c r="AM289" s="24"/>
      <c r="AN289" s="24"/>
      <c r="AO289" s="24"/>
      <c r="AP289" s="24"/>
      <c r="AQ289" s="24"/>
      <c r="AR289" s="24"/>
    </row>
    <row r="290" spans="1:44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40"/>
      <c r="AK290" s="24"/>
      <c r="AL290" s="24"/>
      <c r="AM290" s="24"/>
      <c r="AN290" s="24"/>
      <c r="AO290" s="24"/>
      <c r="AP290" s="24"/>
      <c r="AQ290" s="24"/>
      <c r="AR290" s="24"/>
    </row>
    <row r="291" spans="1:44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40"/>
      <c r="AK291" s="24"/>
      <c r="AL291" s="24"/>
      <c r="AM291" s="24"/>
      <c r="AN291" s="24"/>
      <c r="AO291" s="24"/>
      <c r="AP291" s="24"/>
      <c r="AQ291" s="24"/>
      <c r="AR291" s="24"/>
    </row>
    <row r="292" spans="1:44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40"/>
      <c r="AK292" s="24"/>
      <c r="AL292" s="24"/>
      <c r="AM292" s="24"/>
      <c r="AN292" s="24"/>
      <c r="AO292" s="24"/>
      <c r="AP292" s="24"/>
      <c r="AQ292" s="24"/>
      <c r="AR292" s="24"/>
    </row>
    <row r="293" spans="1:44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40"/>
      <c r="AK293" s="24"/>
      <c r="AL293" s="24"/>
      <c r="AM293" s="24"/>
      <c r="AN293" s="24"/>
      <c r="AO293" s="24"/>
      <c r="AP293" s="24"/>
      <c r="AQ293" s="24"/>
      <c r="AR293" s="24"/>
    </row>
    <row r="294" spans="1:4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40"/>
      <c r="AK294" s="24"/>
      <c r="AL294" s="24"/>
      <c r="AM294" s="24"/>
      <c r="AN294" s="24"/>
      <c r="AO294" s="24"/>
      <c r="AP294" s="24"/>
      <c r="AQ294" s="24"/>
      <c r="AR294" s="24"/>
    </row>
    <row r="295" spans="1:44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40"/>
      <c r="AK295" s="24"/>
      <c r="AL295" s="24"/>
      <c r="AM295" s="24"/>
      <c r="AN295" s="24"/>
      <c r="AO295" s="24"/>
      <c r="AP295" s="24"/>
      <c r="AQ295" s="24"/>
      <c r="AR295" s="24"/>
    </row>
    <row r="296" spans="1:44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40"/>
      <c r="AK296" s="24"/>
      <c r="AL296" s="24"/>
      <c r="AM296" s="24"/>
      <c r="AN296" s="24"/>
      <c r="AO296" s="24"/>
      <c r="AP296" s="24"/>
      <c r="AQ296" s="24"/>
      <c r="AR296" s="24"/>
    </row>
    <row r="297" spans="1:44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40"/>
      <c r="AK297" s="24"/>
      <c r="AL297" s="24"/>
      <c r="AM297" s="24"/>
      <c r="AN297" s="24"/>
      <c r="AO297" s="24"/>
      <c r="AP297" s="24"/>
      <c r="AQ297" s="24"/>
      <c r="AR297" s="24"/>
    </row>
    <row r="298" spans="1:44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40"/>
      <c r="AK298" s="24"/>
      <c r="AL298" s="24"/>
      <c r="AM298" s="24"/>
      <c r="AN298" s="24"/>
      <c r="AO298" s="24"/>
      <c r="AP298" s="24"/>
      <c r="AQ298" s="24"/>
      <c r="AR298" s="24"/>
    </row>
    <row r="299" spans="1:44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40"/>
      <c r="AK299" s="24"/>
      <c r="AL299" s="24"/>
      <c r="AM299" s="24"/>
      <c r="AN299" s="24"/>
      <c r="AO299" s="24"/>
      <c r="AP299" s="24"/>
      <c r="AQ299" s="24"/>
      <c r="AR299" s="24"/>
    </row>
    <row r="300" spans="1:44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40"/>
      <c r="AK300" s="24"/>
      <c r="AL300" s="24"/>
      <c r="AM300" s="24"/>
      <c r="AN300" s="24"/>
      <c r="AO300" s="24"/>
      <c r="AP300" s="24"/>
      <c r="AQ300" s="24"/>
      <c r="AR300" s="24"/>
    </row>
    <row r="301" spans="1:44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40"/>
      <c r="AK301" s="24"/>
      <c r="AL301" s="24"/>
      <c r="AM301" s="24"/>
      <c r="AN301" s="24"/>
      <c r="AO301" s="24"/>
      <c r="AP301" s="24"/>
      <c r="AQ301" s="24"/>
      <c r="AR301" s="24"/>
    </row>
    <row r="302" spans="1:44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40"/>
      <c r="AK302" s="24"/>
      <c r="AL302" s="24"/>
      <c r="AM302" s="24"/>
      <c r="AN302" s="24"/>
      <c r="AO302" s="24"/>
      <c r="AP302" s="24"/>
      <c r="AQ302" s="24"/>
      <c r="AR302" s="24"/>
    </row>
    <row r="303" spans="1:44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40"/>
      <c r="AK303" s="24"/>
      <c r="AL303" s="24"/>
      <c r="AM303" s="24"/>
      <c r="AN303" s="24"/>
      <c r="AO303" s="24"/>
      <c r="AP303" s="24"/>
      <c r="AQ303" s="24"/>
      <c r="AR303" s="24"/>
    </row>
    <row r="304" spans="1:4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40"/>
      <c r="AK304" s="24"/>
      <c r="AL304" s="24"/>
      <c r="AM304" s="24"/>
      <c r="AN304" s="24"/>
      <c r="AO304" s="24"/>
      <c r="AP304" s="24"/>
      <c r="AQ304" s="24"/>
      <c r="AR304" s="24"/>
    </row>
    <row r="305" spans="1:44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40"/>
      <c r="AK305" s="24"/>
      <c r="AL305" s="24"/>
      <c r="AM305" s="24"/>
      <c r="AN305" s="24"/>
      <c r="AO305" s="24"/>
      <c r="AP305" s="24"/>
      <c r="AQ305" s="24"/>
      <c r="AR305" s="24"/>
    </row>
    <row r="306" spans="1:44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40"/>
      <c r="AK306" s="24"/>
      <c r="AL306" s="24"/>
      <c r="AM306" s="24"/>
      <c r="AN306" s="24"/>
      <c r="AO306" s="24"/>
      <c r="AP306" s="24"/>
      <c r="AQ306" s="24"/>
      <c r="AR306" s="24"/>
    </row>
    <row r="307" spans="1:44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40"/>
      <c r="AK307" s="24"/>
      <c r="AL307" s="24"/>
      <c r="AM307" s="24"/>
      <c r="AN307" s="24"/>
      <c r="AO307" s="24"/>
      <c r="AP307" s="24"/>
      <c r="AQ307" s="24"/>
      <c r="AR307" s="24"/>
    </row>
    <row r="308" spans="1:44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40"/>
      <c r="AK308" s="24"/>
      <c r="AL308" s="24"/>
      <c r="AM308" s="24"/>
      <c r="AN308" s="24"/>
      <c r="AO308" s="24"/>
      <c r="AP308" s="24"/>
      <c r="AQ308" s="24"/>
      <c r="AR308" s="24"/>
    </row>
    <row r="309" spans="1:44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40"/>
      <c r="AK309" s="24"/>
      <c r="AL309" s="24"/>
      <c r="AM309" s="24"/>
      <c r="AN309" s="24"/>
      <c r="AO309" s="24"/>
      <c r="AP309" s="24"/>
      <c r="AQ309" s="24"/>
      <c r="AR309" s="24"/>
    </row>
    <row r="310" spans="1:44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40"/>
      <c r="AK310" s="24"/>
      <c r="AL310" s="24"/>
      <c r="AM310" s="24"/>
      <c r="AN310" s="24"/>
      <c r="AO310" s="24"/>
      <c r="AP310" s="24"/>
      <c r="AQ310" s="24"/>
      <c r="AR310" s="24"/>
    </row>
    <row r="311" spans="1:44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40"/>
      <c r="AK311" s="24"/>
      <c r="AL311" s="24"/>
      <c r="AM311" s="24"/>
      <c r="AN311" s="24"/>
      <c r="AO311" s="24"/>
      <c r="AP311" s="24"/>
      <c r="AQ311" s="24"/>
      <c r="AR311" s="24"/>
    </row>
    <row r="312" spans="1:44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40"/>
      <c r="AK312" s="24"/>
      <c r="AL312" s="24"/>
      <c r="AM312" s="24"/>
      <c r="AN312" s="24"/>
      <c r="AO312" s="24"/>
      <c r="AP312" s="24"/>
      <c r="AQ312" s="24"/>
      <c r="AR312" s="24"/>
    </row>
    <row r="313" spans="1:44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40"/>
      <c r="AK313" s="24"/>
      <c r="AL313" s="24"/>
      <c r="AM313" s="24"/>
      <c r="AN313" s="24"/>
      <c r="AO313" s="24"/>
      <c r="AP313" s="24"/>
      <c r="AQ313" s="24"/>
      <c r="AR313" s="24"/>
    </row>
    <row r="314" spans="1:4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40"/>
      <c r="AK314" s="24"/>
      <c r="AL314" s="24"/>
      <c r="AM314" s="24"/>
      <c r="AN314" s="24"/>
      <c r="AO314" s="24"/>
      <c r="AP314" s="24"/>
      <c r="AQ314" s="24"/>
      <c r="AR314" s="24"/>
    </row>
    <row r="315" spans="1:44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40"/>
      <c r="AK315" s="24"/>
      <c r="AL315" s="24"/>
      <c r="AM315" s="24"/>
      <c r="AN315" s="24"/>
      <c r="AO315" s="24"/>
      <c r="AP315" s="24"/>
      <c r="AQ315" s="24"/>
      <c r="AR315" s="24"/>
    </row>
    <row r="316" spans="1:44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40"/>
      <c r="AK316" s="24"/>
      <c r="AL316" s="24"/>
      <c r="AM316" s="24"/>
      <c r="AN316" s="24"/>
      <c r="AO316" s="24"/>
      <c r="AP316" s="24"/>
      <c r="AQ316" s="24"/>
      <c r="AR316" s="24"/>
    </row>
    <row r="317" spans="1:44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40"/>
      <c r="AK317" s="24"/>
      <c r="AL317" s="24"/>
      <c r="AM317" s="24"/>
      <c r="AN317" s="24"/>
      <c r="AO317" s="24"/>
      <c r="AP317" s="24"/>
      <c r="AQ317" s="24"/>
      <c r="AR317" s="24"/>
    </row>
    <row r="318" spans="1:44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40"/>
      <c r="AK318" s="24"/>
      <c r="AL318" s="24"/>
      <c r="AM318" s="24"/>
      <c r="AN318" s="24"/>
      <c r="AO318" s="24"/>
      <c r="AP318" s="24"/>
      <c r="AQ318" s="24"/>
      <c r="AR318" s="24"/>
    </row>
    <row r="319" spans="1:44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40"/>
      <c r="AK319" s="24"/>
      <c r="AL319" s="24"/>
      <c r="AM319" s="24"/>
      <c r="AN319" s="24"/>
      <c r="AO319" s="24"/>
      <c r="AP319" s="24"/>
      <c r="AQ319" s="24"/>
      <c r="AR319" s="24"/>
    </row>
    <row r="320" spans="1:44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40"/>
      <c r="AK320" s="24"/>
      <c r="AL320" s="24"/>
      <c r="AM320" s="24"/>
      <c r="AN320" s="24"/>
      <c r="AO320" s="24"/>
      <c r="AP320" s="24"/>
      <c r="AQ320" s="24"/>
      <c r="AR320" s="24"/>
    </row>
    <row r="321" spans="1:34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</row>
    <row r="322" spans="1:34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</row>
    <row r="323" spans="1:34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</row>
    <row r="324" spans="1:3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</row>
    <row r="325" spans="1:34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</row>
    <row r="326" spans="1:34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</row>
    <row r="327" spans="1:34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</row>
    <row r="328" spans="1:34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</row>
    <row r="329" spans="1:34" ht="15.75" customHeight="1">
      <c r="AH329" s="24"/>
    </row>
    <row r="330" spans="1:34" ht="15.75" customHeight="1">
      <c r="AH330" s="24"/>
    </row>
    <row r="331" spans="1:34" ht="15.75" customHeight="1"/>
    <row r="332" spans="1:34" ht="15.75" customHeight="1"/>
    <row r="333" spans="1:34" ht="15.75" customHeight="1"/>
    <row r="334" spans="1:34" ht="15.75" customHeight="1"/>
    <row r="335" spans="1:34" ht="15.75" customHeight="1"/>
    <row r="336" spans="1:3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73:AB73"/>
    <mergeCell ref="AS6:AS7"/>
    <mergeCell ref="AE3:AE4"/>
    <mergeCell ref="AF3:AF4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1:AE1"/>
    <mergeCell ref="AI1:AS1"/>
    <mergeCell ref="A2:AE2"/>
    <mergeCell ref="A3:C3"/>
    <mergeCell ref="AC3:AC4"/>
    <mergeCell ref="AD3:AD4"/>
    <mergeCell ref="AG3:AG4"/>
    <mergeCell ref="AI2:AS2"/>
    <mergeCell ref="AI3:AS3"/>
    <mergeCell ref="AI4:AO4"/>
    <mergeCell ref="AP4:AS4"/>
    <mergeCell ref="AI5:AO5"/>
    <mergeCell ref="AP5:AS5"/>
  </mergeCells>
  <conditionalFormatting sqref="G5:I12 G75:K77 G79:K82">
    <cfRule type="containsText" dxfId="3" priority="1" operator="containsText" text="A">
      <formula>NOT(ISERROR(SEARCH(("A"),(G5))))</formula>
    </cfRule>
  </conditionalFormatting>
  <dataValidations count="1">
    <dataValidation type="list" allowBlank="1" showErrorMessage="1" sqref="AK6 AK8:AK65" xr:uid="{00000000-0002-0000-0700-000000000000}">
      <formula1>"Gagan,Harsh thakur,Manisha,Manmohan Singh,Manpreet Kaur,Md Warish Chesam,Mohd Shahid Afridi,Munisha,Name of student,Nikhil Kumar Thakur,Palak Pathania,Pardeep Singh,Parveen Mandal,Payal,Prakriti,Priya,Priyam Puri,Rahul Sharma,Rahulpreet Singh Khinda,Raj K"&amp;"umar,Rajan Sharma,Rajwinder Kaur,RANJIT SHAH KANU,Ravi Bhushan Kumar,Reshma,Richa,Ritesh Kumar Choudhary,Ritesh Thakur,Riya Thakur,Rounit Dhiman,Rubby Kumari,Sakshi Devi,Sanchi Sharma,Sarbjit Singh,Sarif Mayangmayum,Shivam Kumar Chaubey,Shubham,Simba Godf"&amp;"rey,Simran Kaur,Simranjit Singh,Sudip Sunar,Sujal Sharma,Sukhraj Singh,Sukhreet Kaur,Suman Krishna,Sumanyu,Tamana,Tamana Farooq Khanday,Tania,TANISHA,Taniya,Taziko Trakha,TOHIED AHMED,Uday Kumar,Vaibhav Shahi,Vansh Kumar,Vansh Sharma,Vikramjit Singh,Visha"&amp;"vjit Singh"</formula1>
    </dataValidation>
  </dataValidations>
  <pageMargins left="0.25" right="0.25" top="0.75" bottom="0.75" header="0" footer="0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Y995"/>
  <sheetViews>
    <sheetView workbookViewId="0"/>
  </sheetViews>
  <sheetFormatPr defaultColWidth="14.44140625" defaultRowHeight="15" customHeight="1"/>
  <cols>
    <col min="1" max="1" width="5.33203125" customWidth="1"/>
    <col min="2" max="2" width="7.88671875" customWidth="1"/>
    <col min="3" max="3" width="23" customWidth="1"/>
    <col min="4" max="5" width="2.109375" customWidth="1"/>
    <col min="6" max="28" width="4.6640625" customWidth="1"/>
    <col min="29" max="29" width="5" customWidth="1"/>
    <col min="30" max="30" width="6.6640625" customWidth="1"/>
    <col min="31" max="31" width="6.88671875" customWidth="1"/>
    <col min="32" max="32" width="7" customWidth="1"/>
    <col min="33" max="34" width="8.6640625" customWidth="1"/>
    <col min="35" max="35" width="7.33203125" customWidth="1"/>
    <col min="36" max="36" width="17.6640625" customWidth="1"/>
    <col min="37" max="37" width="21.88671875" customWidth="1"/>
    <col min="38" max="38" width="15.44140625" customWidth="1"/>
    <col min="39" max="39" width="18.44140625" customWidth="1"/>
    <col min="40" max="40" width="14.44140625" customWidth="1"/>
    <col min="41" max="41" width="12.109375" customWidth="1"/>
    <col min="42" max="42" width="13.44140625" customWidth="1"/>
    <col min="43" max="43" width="16.5546875" customWidth="1"/>
    <col min="44" max="44" width="16" customWidth="1"/>
  </cols>
  <sheetData>
    <row r="1" spans="1:51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24"/>
      <c r="AG1" s="24"/>
      <c r="AH1" s="24"/>
      <c r="AI1" s="369" t="s">
        <v>93</v>
      </c>
      <c r="AJ1" s="358"/>
      <c r="AK1" s="358"/>
      <c r="AL1" s="358"/>
      <c r="AM1" s="358"/>
      <c r="AN1" s="358"/>
      <c r="AO1" s="358"/>
      <c r="AP1" s="358"/>
      <c r="AQ1" s="358"/>
      <c r="AR1" s="358"/>
      <c r="AS1" s="358"/>
      <c r="AT1" s="165"/>
      <c r="AU1" s="165"/>
      <c r="AV1" s="165"/>
      <c r="AW1" s="165"/>
      <c r="AX1" s="165"/>
      <c r="AY1" s="166"/>
    </row>
    <row r="2" spans="1:51" ht="18">
      <c r="A2" s="397" t="s">
        <v>181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24"/>
      <c r="AG2" s="24"/>
      <c r="AH2" s="24"/>
      <c r="AI2" s="370" t="s">
        <v>101</v>
      </c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165"/>
      <c r="AU2" s="165"/>
      <c r="AV2" s="165"/>
      <c r="AW2" s="165"/>
      <c r="AX2" s="165"/>
      <c r="AY2" s="166"/>
    </row>
    <row r="3" spans="1:51" ht="69.75" customHeight="1">
      <c r="A3" s="375" t="s">
        <v>1</v>
      </c>
      <c r="B3" s="358"/>
      <c r="C3" s="359"/>
      <c r="D3" s="92"/>
      <c r="E3" s="92"/>
      <c r="F3" s="92"/>
      <c r="G3" s="92"/>
      <c r="H3" s="92"/>
      <c r="I3" s="92"/>
      <c r="J3" s="92"/>
      <c r="K3" s="91"/>
      <c r="L3" s="91"/>
      <c r="M3" s="92"/>
      <c r="N3" s="92"/>
      <c r="O3" s="92"/>
      <c r="P3" s="92"/>
      <c r="Q3" s="92"/>
      <c r="R3" s="235"/>
      <c r="S3" s="92"/>
      <c r="T3" s="92"/>
      <c r="U3" s="92"/>
      <c r="V3" s="92"/>
      <c r="W3" s="92"/>
      <c r="X3" s="92"/>
      <c r="Y3" s="92"/>
      <c r="Z3" s="92"/>
      <c r="AA3" s="92" t="s">
        <v>182</v>
      </c>
      <c r="AB3" s="92" t="s">
        <v>183</v>
      </c>
      <c r="AC3" s="376" t="s">
        <v>96</v>
      </c>
      <c r="AD3" s="376" t="s">
        <v>97</v>
      </c>
      <c r="AE3" s="376" t="s">
        <v>98</v>
      </c>
      <c r="AF3" s="376" t="s">
        <v>99</v>
      </c>
      <c r="AG3" s="378" t="s">
        <v>100</v>
      </c>
      <c r="AH3" s="24"/>
      <c r="AI3" s="370" t="s">
        <v>102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165"/>
      <c r="AU3" s="165"/>
      <c r="AV3" s="165"/>
      <c r="AW3" s="165"/>
      <c r="AX3" s="165"/>
      <c r="AY3" s="166"/>
    </row>
    <row r="4" spans="1:51" ht="14.4">
      <c r="A4" s="236" t="s">
        <v>12</v>
      </c>
      <c r="B4" s="237" t="s">
        <v>13</v>
      </c>
      <c r="C4" s="237" t="s">
        <v>14</v>
      </c>
      <c r="D4" s="124">
        <v>1</v>
      </c>
      <c r="E4" s="124">
        <v>2</v>
      </c>
      <c r="F4" s="124">
        <v>3</v>
      </c>
      <c r="G4" s="124">
        <v>4</v>
      </c>
      <c r="H4" s="124">
        <v>5</v>
      </c>
      <c r="I4" s="124">
        <v>6</v>
      </c>
      <c r="J4" s="124">
        <v>7</v>
      </c>
      <c r="K4" s="124">
        <v>8</v>
      </c>
      <c r="L4" s="124">
        <v>9</v>
      </c>
      <c r="M4" s="124">
        <v>10</v>
      </c>
      <c r="N4" s="124">
        <v>11</v>
      </c>
      <c r="O4" s="124">
        <v>12</v>
      </c>
      <c r="P4" s="124">
        <v>13</v>
      </c>
      <c r="Q4" s="124">
        <v>14</v>
      </c>
      <c r="R4" s="124">
        <v>15</v>
      </c>
      <c r="S4" s="124">
        <v>16</v>
      </c>
      <c r="T4" s="124">
        <v>17</v>
      </c>
      <c r="U4" s="124">
        <v>18</v>
      </c>
      <c r="V4" s="124">
        <v>19</v>
      </c>
      <c r="W4" s="124">
        <v>20</v>
      </c>
      <c r="X4" s="124">
        <v>21</v>
      </c>
      <c r="Y4" s="124">
        <v>22</v>
      </c>
      <c r="Z4" s="124">
        <v>23</v>
      </c>
      <c r="AA4" s="124">
        <v>24</v>
      </c>
      <c r="AB4" s="124">
        <v>25</v>
      </c>
      <c r="AC4" s="377"/>
      <c r="AD4" s="377"/>
      <c r="AE4" s="377"/>
      <c r="AF4" s="377"/>
      <c r="AG4" s="377"/>
      <c r="AH4" s="24"/>
      <c r="AI4" s="371" t="s">
        <v>103</v>
      </c>
      <c r="AJ4" s="358"/>
      <c r="AK4" s="358"/>
      <c r="AL4" s="358"/>
      <c r="AM4" s="358"/>
      <c r="AN4" s="358"/>
      <c r="AO4" s="358"/>
      <c r="AP4" s="393" t="s">
        <v>184</v>
      </c>
      <c r="AQ4" s="358"/>
      <c r="AR4" s="358"/>
      <c r="AS4" s="358"/>
      <c r="AT4" s="165"/>
      <c r="AU4" s="165"/>
      <c r="AV4" s="165"/>
      <c r="AW4" s="165"/>
      <c r="AX4" s="165"/>
      <c r="AY4" s="166"/>
    </row>
    <row r="5" spans="1:51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113"/>
      <c r="E5" s="113"/>
      <c r="F5" s="113"/>
      <c r="G5" s="113"/>
      <c r="H5" s="113"/>
      <c r="I5" s="113"/>
      <c r="J5" s="96"/>
      <c r="K5" s="96"/>
      <c r="L5" s="96"/>
      <c r="M5" s="96"/>
      <c r="N5" s="96"/>
      <c r="O5" s="123"/>
      <c r="P5" s="113"/>
      <c r="Q5" s="132"/>
      <c r="R5" s="113"/>
      <c r="S5" s="113"/>
      <c r="T5" s="123"/>
      <c r="U5" s="123"/>
      <c r="V5" s="113"/>
      <c r="W5" s="113"/>
      <c r="X5" s="113"/>
      <c r="Y5" s="113"/>
      <c r="Z5" s="113"/>
      <c r="AA5" s="113">
        <v>15</v>
      </c>
      <c r="AB5" s="113">
        <v>17</v>
      </c>
      <c r="AC5" s="88">
        <v>17</v>
      </c>
      <c r="AD5" s="88">
        <v>3</v>
      </c>
      <c r="AE5" s="88">
        <f t="shared" ref="AE5:AE62" si="0">AC5+AD5</f>
        <v>20</v>
      </c>
      <c r="AF5" s="88">
        <v>48</v>
      </c>
      <c r="AG5" s="101">
        <f t="shared" ref="AG5:AG62" si="1">AE5/AF5</f>
        <v>0.41666666666666669</v>
      </c>
      <c r="AH5" s="24"/>
      <c r="AI5" s="371" t="s">
        <v>185</v>
      </c>
      <c r="AJ5" s="358"/>
      <c r="AK5" s="358"/>
      <c r="AL5" s="358"/>
      <c r="AM5" s="358"/>
      <c r="AN5" s="358"/>
      <c r="AO5" s="359"/>
      <c r="AP5" s="371" t="s">
        <v>186</v>
      </c>
      <c r="AQ5" s="358"/>
      <c r="AR5" s="358"/>
      <c r="AS5" s="359"/>
    </row>
    <row r="6" spans="1:51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113"/>
      <c r="E6" s="113"/>
      <c r="F6" s="113"/>
      <c r="G6" s="113"/>
      <c r="H6" s="113"/>
      <c r="I6" s="113"/>
      <c r="J6" s="96"/>
      <c r="K6" s="96"/>
      <c r="L6" s="96"/>
      <c r="M6" s="96"/>
      <c r="N6" s="96"/>
      <c r="O6" s="156"/>
      <c r="P6" s="186"/>
      <c r="Q6" s="132"/>
      <c r="R6" s="113"/>
      <c r="S6" s="113"/>
      <c r="T6" s="156"/>
      <c r="U6" s="156"/>
      <c r="V6" s="113"/>
      <c r="W6" s="113"/>
      <c r="X6" s="113"/>
      <c r="Y6" s="113"/>
      <c r="Z6" s="113"/>
      <c r="AA6" s="113">
        <v>38</v>
      </c>
      <c r="AB6" s="113">
        <v>40</v>
      </c>
      <c r="AC6" s="88">
        <v>40</v>
      </c>
      <c r="AD6" s="88"/>
      <c r="AE6" s="88">
        <f t="shared" si="0"/>
        <v>40</v>
      </c>
      <c r="AF6" s="88">
        <v>48</v>
      </c>
      <c r="AG6" s="101">
        <f t="shared" si="1"/>
        <v>0.83333333333333337</v>
      </c>
      <c r="AH6" s="24"/>
      <c r="AI6" s="398" t="s">
        <v>169</v>
      </c>
      <c r="AJ6" s="398" t="s">
        <v>170</v>
      </c>
      <c r="AK6" s="398" t="s">
        <v>171</v>
      </c>
      <c r="AL6" s="398" t="s">
        <v>172</v>
      </c>
      <c r="AM6" s="398" t="s">
        <v>173</v>
      </c>
      <c r="AN6" s="398" t="s">
        <v>174</v>
      </c>
      <c r="AO6" s="398" t="s">
        <v>175</v>
      </c>
      <c r="AP6" s="398" t="s">
        <v>176</v>
      </c>
      <c r="AQ6" s="398" t="s">
        <v>177</v>
      </c>
      <c r="AR6" s="398" t="s">
        <v>187</v>
      </c>
      <c r="AS6" s="398" t="s">
        <v>178</v>
      </c>
    </row>
    <row r="7" spans="1:51" ht="45" customHeight="1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113"/>
      <c r="E7" s="113"/>
      <c r="F7" s="113"/>
      <c r="G7" s="113"/>
      <c r="H7" s="113"/>
      <c r="I7" s="113"/>
      <c r="J7" s="96"/>
      <c r="K7" s="96"/>
      <c r="L7" s="96"/>
      <c r="M7" s="96"/>
      <c r="N7" s="96"/>
      <c r="O7" s="156"/>
      <c r="P7" s="186"/>
      <c r="Q7" s="132"/>
      <c r="R7" s="113"/>
      <c r="S7" s="113"/>
      <c r="T7" s="156"/>
      <c r="U7" s="156"/>
      <c r="V7" s="113"/>
      <c r="W7" s="113"/>
      <c r="X7" s="113"/>
      <c r="Y7" s="113"/>
      <c r="Z7" s="113"/>
      <c r="AA7" s="113" t="s">
        <v>123</v>
      </c>
      <c r="AB7" s="113" t="s">
        <v>123</v>
      </c>
      <c r="AC7" s="88">
        <v>31</v>
      </c>
      <c r="AD7" s="88"/>
      <c r="AE7" s="88">
        <f t="shared" si="0"/>
        <v>31</v>
      </c>
      <c r="AF7" s="88">
        <v>48</v>
      </c>
      <c r="AG7" s="101">
        <f t="shared" si="1"/>
        <v>0.64583333333333337</v>
      </c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</row>
    <row r="8" spans="1:51" ht="25.5" customHeight="1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113"/>
      <c r="E8" s="113"/>
      <c r="F8" s="113"/>
      <c r="G8" s="113"/>
      <c r="H8" s="113"/>
      <c r="I8" s="113"/>
      <c r="J8" s="96"/>
      <c r="K8" s="96"/>
      <c r="L8" s="96"/>
      <c r="M8" s="96"/>
      <c r="N8" s="96"/>
      <c r="O8" s="156"/>
      <c r="P8" s="186"/>
      <c r="Q8" s="132"/>
      <c r="R8" s="113"/>
      <c r="S8" s="113"/>
      <c r="T8" s="156"/>
      <c r="U8" s="156"/>
      <c r="V8" s="113"/>
      <c r="W8" s="113"/>
      <c r="X8" s="113"/>
      <c r="Y8" s="113"/>
      <c r="Z8" s="113"/>
      <c r="AA8" s="113" t="s">
        <v>123</v>
      </c>
      <c r="AB8" s="113" t="s">
        <v>123</v>
      </c>
      <c r="AC8" s="88">
        <f>COUNTIF(D8:AB8,"P")*2</f>
        <v>0</v>
      </c>
      <c r="AD8" s="88"/>
      <c r="AE8" s="88">
        <f t="shared" si="0"/>
        <v>0</v>
      </c>
      <c r="AF8" s="88">
        <v>48</v>
      </c>
      <c r="AG8" s="101">
        <f t="shared" si="1"/>
        <v>0</v>
      </c>
      <c r="AI8" s="272">
        <f>OVERALL!A4</f>
        <v>1</v>
      </c>
      <c r="AJ8" s="242">
        <f>OVERALL!B4</f>
        <v>2301236</v>
      </c>
      <c r="AK8" s="243" t="str">
        <f>OVERALL!C4</f>
        <v>Manmohan Singh</v>
      </c>
      <c r="AL8" s="244">
        <f t="shared" ref="AL8:AL65" si="2">AF5</f>
        <v>48</v>
      </c>
      <c r="AM8" s="244">
        <f t="shared" ref="AM8:AM65" si="3">AE5</f>
        <v>20</v>
      </c>
      <c r="AN8" s="245">
        <f t="shared" ref="AN8:AN65" si="4">(AM8/AL8)*100</f>
        <v>41.666666666666671</v>
      </c>
      <c r="AO8" s="107" t="str">
        <f t="shared" ref="AO8:AO65" si="5">IF(AN8&gt;=95.5,"6",IF(AN8&gt;=90.5,"5", IF(AN8&gt;=85.5,"4",IF(AN8&gt;=80.5,"3",IF(AN8&gt;=75.5,"2","0")))))</f>
        <v>0</v>
      </c>
      <c r="AP8" s="246">
        <v>5</v>
      </c>
      <c r="AQ8" s="246">
        <v>5</v>
      </c>
      <c r="AR8" s="245">
        <f t="shared" ref="AR8:AR65" si="6">AVERAGE(D70:AB70)</f>
        <v>2.6</v>
      </c>
      <c r="AS8" s="245">
        <f t="shared" ref="AS8:AS65" si="7">ROUND(AO8+AP8+AQ8+AR8,0)</f>
        <v>13</v>
      </c>
    </row>
    <row r="9" spans="1:51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113"/>
      <c r="E9" s="113"/>
      <c r="F9" s="113"/>
      <c r="G9" s="113"/>
      <c r="H9" s="113"/>
      <c r="I9" s="113"/>
      <c r="J9" s="96"/>
      <c r="K9" s="96"/>
      <c r="L9" s="96"/>
      <c r="M9" s="96"/>
      <c r="N9" s="96"/>
      <c r="O9" s="156"/>
      <c r="P9" s="186"/>
      <c r="Q9" s="132"/>
      <c r="R9" s="113"/>
      <c r="S9" s="113"/>
      <c r="T9" s="156"/>
      <c r="U9" s="156"/>
      <c r="V9" s="113"/>
      <c r="W9" s="113"/>
      <c r="X9" s="113"/>
      <c r="Y9" s="113"/>
      <c r="Z9" s="113"/>
      <c r="AA9" s="113">
        <v>37</v>
      </c>
      <c r="AB9" s="113">
        <v>39</v>
      </c>
      <c r="AC9" s="88">
        <v>39</v>
      </c>
      <c r="AD9" s="88">
        <v>3</v>
      </c>
      <c r="AE9" s="88">
        <f t="shared" si="0"/>
        <v>42</v>
      </c>
      <c r="AF9" s="88">
        <v>48</v>
      </c>
      <c r="AG9" s="101">
        <f t="shared" si="1"/>
        <v>0.875</v>
      </c>
      <c r="AI9" s="272">
        <f>OVERALL!A5</f>
        <v>2</v>
      </c>
      <c r="AJ9" s="247">
        <f>OVERALL!B5</f>
        <v>2301237</v>
      </c>
      <c r="AK9" s="243" t="str">
        <f>OVERALL!C5</f>
        <v>Manpreet Kaur</v>
      </c>
      <c r="AL9" s="244">
        <f t="shared" si="2"/>
        <v>48</v>
      </c>
      <c r="AM9" s="244">
        <f t="shared" si="3"/>
        <v>40</v>
      </c>
      <c r="AN9" s="245">
        <f t="shared" si="4"/>
        <v>83.333333333333343</v>
      </c>
      <c r="AO9" s="107" t="str">
        <f t="shared" si="5"/>
        <v>3</v>
      </c>
      <c r="AP9" s="246">
        <v>6</v>
      </c>
      <c r="AQ9" s="246">
        <v>6</v>
      </c>
      <c r="AR9" s="245">
        <f t="shared" si="6"/>
        <v>7.36</v>
      </c>
      <c r="AS9" s="245">
        <f t="shared" si="7"/>
        <v>22</v>
      </c>
    </row>
    <row r="10" spans="1:51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113"/>
      <c r="E10" s="113"/>
      <c r="F10" s="113"/>
      <c r="G10" s="113"/>
      <c r="H10" s="113"/>
      <c r="I10" s="113"/>
      <c r="J10" s="96"/>
      <c r="K10" s="96"/>
      <c r="L10" s="96"/>
      <c r="M10" s="96"/>
      <c r="N10" s="96"/>
      <c r="O10" s="156"/>
      <c r="P10" s="186"/>
      <c r="Q10" s="132"/>
      <c r="R10" s="113"/>
      <c r="S10" s="113"/>
      <c r="T10" s="156"/>
      <c r="U10" s="156"/>
      <c r="V10" s="113"/>
      <c r="W10" s="113"/>
      <c r="X10" s="113"/>
      <c r="Y10" s="113"/>
      <c r="Z10" s="113"/>
      <c r="AA10" s="113" t="s">
        <v>123</v>
      </c>
      <c r="AB10" s="113">
        <v>43</v>
      </c>
      <c r="AC10" s="88">
        <v>43</v>
      </c>
      <c r="AD10" s="88"/>
      <c r="AE10" s="88">
        <f t="shared" si="0"/>
        <v>43</v>
      </c>
      <c r="AF10" s="88">
        <v>48</v>
      </c>
      <c r="AG10" s="101">
        <f t="shared" si="1"/>
        <v>0.89583333333333337</v>
      </c>
      <c r="AI10" s="272">
        <f>OVERALL!A6</f>
        <v>3</v>
      </c>
      <c r="AJ10" s="247">
        <f>OVERALL!B6</f>
        <v>2301238</v>
      </c>
      <c r="AK10" s="243" t="str">
        <f>OVERALL!C6</f>
        <v>Md Warish Chesam</v>
      </c>
      <c r="AL10" s="244">
        <f t="shared" si="2"/>
        <v>48</v>
      </c>
      <c r="AM10" s="244">
        <f t="shared" si="3"/>
        <v>31</v>
      </c>
      <c r="AN10" s="245">
        <f t="shared" si="4"/>
        <v>64.583333333333343</v>
      </c>
      <c r="AO10" s="107" t="str">
        <f t="shared" si="5"/>
        <v>0</v>
      </c>
      <c r="AP10" s="246">
        <v>6</v>
      </c>
      <c r="AQ10" s="246">
        <v>5</v>
      </c>
      <c r="AR10" s="245">
        <f t="shared" si="6"/>
        <v>6.08</v>
      </c>
      <c r="AS10" s="245">
        <f t="shared" si="7"/>
        <v>17</v>
      </c>
    </row>
    <row r="11" spans="1:51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113"/>
      <c r="E11" s="113"/>
      <c r="F11" s="113"/>
      <c r="G11" s="113"/>
      <c r="H11" s="113"/>
      <c r="I11" s="113"/>
      <c r="J11" s="96"/>
      <c r="K11" s="96"/>
      <c r="L11" s="96"/>
      <c r="M11" s="96"/>
      <c r="N11" s="96"/>
      <c r="O11" s="156"/>
      <c r="P11" s="186"/>
      <c r="Q11" s="132"/>
      <c r="R11" s="113"/>
      <c r="S11" s="113"/>
      <c r="T11" s="156"/>
      <c r="U11" s="156"/>
      <c r="V11" s="113"/>
      <c r="W11" s="113"/>
      <c r="X11" s="113"/>
      <c r="Y11" s="113"/>
      <c r="Z11" s="113"/>
      <c r="AA11" s="113">
        <v>39</v>
      </c>
      <c r="AB11" s="113">
        <v>41</v>
      </c>
      <c r="AC11" s="88">
        <v>41</v>
      </c>
      <c r="AD11" s="88">
        <v>3</v>
      </c>
      <c r="AE11" s="88">
        <f t="shared" si="0"/>
        <v>44</v>
      </c>
      <c r="AF11" s="88">
        <v>48</v>
      </c>
      <c r="AG11" s="101">
        <f t="shared" si="1"/>
        <v>0.91666666666666663</v>
      </c>
      <c r="AI11" s="272">
        <f>OVERALL!A7</f>
        <v>4</v>
      </c>
      <c r="AJ11" s="247">
        <f>OVERALL!B7</f>
        <v>2301239</v>
      </c>
      <c r="AK11" s="243" t="str">
        <f>OVERALL!C7</f>
        <v>Mohd Shahid Afridi</v>
      </c>
      <c r="AL11" s="244">
        <f t="shared" si="2"/>
        <v>48</v>
      </c>
      <c r="AM11" s="244">
        <f t="shared" si="3"/>
        <v>0</v>
      </c>
      <c r="AN11" s="245">
        <f t="shared" si="4"/>
        <v>0</v>
      </c>
      <c r="AO11" s="107" t="str">
        <f t="shared" si="5"/>
        <v>0</v>
      </c>
      <c r="AP11" s="246">
        <v>0</v>
      </c>
      <c r="AQ11" s="246">
        <v>0</v>
      </c>
      <c r="AR11" s="245">
        <f t="shared" si="6"/>
        <v>0</v>
      </c>
      <c r="AS11" s="245">
        <f t="shared" si="7"/>
        <v>0</v>
      </c>
    </row>
    <row r="12" spans="1:51" ht="19.5" customHeight="1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56"/>
      <c r="P12" s="186"/>
      <c r="Q12" s="132"/>
      <c r="R12" s="113"/>
      <c r="S12" s="113"/>
      <c r="T12" s="156"/>
      <c r="U12" s="156"/>
      <c r="V12" s="113"/>
      <c r="W12" s="113"/>
      <c r="X12" s="113"/>
      <c r="Y12" s="113"/>
      <c r="Z12" s="113"/>
      <c r="AA12" s="113" t="s">
        <v>123</v>
      </c>
      <c r="AB12" s="113">
        <v>38</v>
      </c>
      <c r="AC12" s="132">
        <v>38</v>
      </c>
      <c r="AD12" s="132"/>
      <c r="AE12" s="132">
        <f t="shared" si="0"/>
        <v>38</v>
      </c>
      <c r="AF12" s="88">
        <v>48</v>
      </c>
      <c r="AG12" s="101">
        <f t="shared" si="1"/>
        <v>0.79166666666666663</v>
      </c>
      <c r="AI12" s="272">
        <f>OVERALL!A8</f>
        <v>5</v>
      </c>
      <c r="AJ12" s="247">
        <f>OVERALL!B8</f>
        <v>2301240</v>
      </c>
      <c r="AK12" s="243" t="str">
        <f>OVERALL!C8</f>
        <v>Munisha</v>
      </c>
      <c r="AL12" s="244">
        <f t="shared" si="2"/>
        <v>48</v>
      </c>
      <c r="AM12" s="244">
        <f t="shared" si="3"/>
        <v>42</v>
      </c>
      <c r="AN12" s="245">
        <f t="shared" si="4"/>
        <v>87.5</v>
      </c>
      <c r="AO12" s="107" t="str">
        <f t="shared" si="5"/>
        <v>4</v>
      </c>
      <c r="AP12" s="246">
        <v>6</v>
      </c>
      <c r="AQ12" s="246">
        <v>5</v>
      </c>
      <c r="AR12" s="245">
        <f t="shared" si="6"/>
        <v>5.92</v>
      </c>
      <c r="AS12" s="245">
        <f t="shared" si="7"/>
        <v>21</v>
      </c>
    </row>
    <row r="13" spans="1:51" ht="20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56"/>
      <c r="P13" s="186"/>
      <c r="Q13" s="132"/>
      <c r="R13" s="113"/>
      <c r="S13" s="113"/>
      <c r="T13" s="156"/>
      <c r="U13" s="156"/>
      <c r="V13" s="113"/>
      <c r="W13" s="113"/>
      <c r="X13" s="113"/>
      <c r="Y13" s="113"/>
      <c r="Z13" s="113"/>
      <c r="AA13" s="113" t="s">
        <v>123</v>
      </c>
      <c r="AB13" s="113" t="s">
        <v>123</v>
      </c>
      <c r="AC13" s="132">
        <f>COUNTIF(D13:AB13,"P")*2</f>
        <v>0</v>
      </c>
      <c r="AD13" s="132"/>
      <c r="AE13" s="132">
        <f t="shared" si="0"/>
        <v>0</v>
      </c>
      <c r="AF13" s="88">
        <v>48</v>
      </c>
      <c r="AG13" s="101">
        <f t="shared" si="1"/>
        <v>0</v>
      </c>
      <c r="AI13" s="272">
        <f>OVERALL!A9</f>
        <v>6</v>
      </c>
      <c r="AJ13" s="247">
        <f>OVERALL!B9</f>
        <v>2301241</v>
      </c>
      <c r="AK13" s="243" t="str">
        <f>OVERALL!C9</f>
        <v>Nikhil Kumar Thakur</v>
      </c>
      <c r="AL13" s="244">
        <f t="shared" si="2"/>
        <v>48</v>
      </c>
      <c r="AM13" s="244">
        <f t="shared" si="3"/>
        <v>43</v>
      </c>
      <c r="AN13" s="245">
        <f t="shared" si="4"/>
        <v>89.583333333333343</v>
      </c>
      <c r="AO13" s="107" t="str">
        <f t="shared" si="5"/>
        <v>4</v>
      </c>
      <c r="AP13" s="246">
        <v>6</v>
      </c>
      <c r="AQ13" s="246">
        <v>6</v>
      </c>
      <c r="AR13" s="245">
        <f t="shared" si="6"/>
        <v>7.88</v>
      </c>
      <c r="AS13" s="245">
        <f t="shared" si="7"/>
        <v>24</v>
      </c>
    </row>
    <row r="14" spans="1:51" ht="15.6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56"/>
      <c r="P14" s="186"/>
      <c r="Q14" s="132"/>
      <c r="R14" s="113"/>
      <c r="S14" s="113"/>
      <c r="T14" s="156"/>
      <c r="U14" s="156"/>
      <c r="V14" s="132"/>
      <c r="W14" s="132"/>
      <c r="X14" s="132"/>
      <c r="Y14" s="132"/>
      <c r="Z14" s="132"/>
      <c r="AA14" s="132">
        <v>40</v>
      </c>
      <c r="AB14" s="132">
        <v>42</v>
      </c>
      <c r="AC14" s="132">
        <v>42</v>
      </c>
      <c r="AD14" s="132"/>
      <c r="AE14" s="132">
        <f t="shared" si="0"/>
        <v>42</v>
      </c>
      <c r="AF14" s="88">
        <v>48</v>
      </c>
      <c r="AG14" s="101">
        <f t="shared" si="1"/>
        <v>0.875</v>
      </c>
      <c r="AI14" s="272">
        <f>OVERALL!A10</f>
        <v>7</v>
      </c>
      <c r="AJ14" s="247">
        <f>OVERALL!B10</f>
        <v>2301242</v>
      </c>
      <c r="AK14" s="243" t="str">
        <f>OVERALL!C10</f>
        <v>Palak Pathania</v>
      </c>
      <c r="AL14" s="244">
        <f t="shared" si="2"/>
        <v>48</v>
      </c>
      <c r="AM14" s="244">
        <f t="shared" si="3"/>
        <v>44</v>
      </c>
      <c r="AN14" s="245">
        <f t="shared" si="4"/>
        <v>91.666666666666657</v>
      </c>
      <c r="AO14" s="107" t="str">
        <f t="shared" si="5"/>
        <v>5</v>
      </c>
      <c r="AP14" s="246">
        <v>7</v>
      </c>
      <c r="AQ14" s="246">
        <v>6</v>
      </c>
      <c r="AR14" s="245">
        <f t="shared" si="6"/>
        <v>7.48</v>
      </c>
      <c r="AS14" s="245">
        <f t="shared" si="7"/>
        <v>25</v>
      </c>
    </row>
    <row r="15" spans="1:51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56"/>
      <c r="P15" s="186"/>
      <c r="Q15" s="132"/>
      <c r="R15" s="113"/>
      <c r="S15" s="113"/>
      <c r="T15" s="156"/>
      <c r="U15" s="156"/>
      <c r="V15" s="113"/>
      <c r="W15" s="113"/>
      <c r="X15" s="113"/>
      <c r="Y15" s="113"/>
      <c r="Z15" s="113"/>
      <c r="AA15" s="113" t="s">
        <v>123</v>
      </c>
      <c r="AB15" s="113" t="s">
        <v>123</v>
      </c>
      <c r="AC15" s="132">
        <v>23</v>
      </c>
      <c r="AD15" s="132">
        <v>3</v>
      </c>
      <c r="AE15" s="132">
        <f t="shared" si="0"/>
        <v>26</v>
      </c>
      <c r="AF15" s="88">
        <v>48</v>
      </c>
      <c r="AG15" s="101">
        <f t="shared" si="1"/>
        <v>0.54166666666666663</v>
      </c>
      <c r="AI15" s="272">
        <f>OVERALL!A11</f>
        <v>8</v>
      </c>
      <c r="AJ15" s="247">
        <f>OVERALL!B11</f>
        <v>2301243</v>
      </c>
      <c r="AK15" s="243" t="str">
        <f>OVERALL!C11</f>
        <v>Pardeep Singh</v>
      </c>
      <c r="AL15" s="244">
        <f t="shared" si="2"/>
        <v>48</v>
      </c>
      <c r="AM15" s="244">
        <f t="shared" si="3"/>
        <v>38</v>
      </c>
      <c r="AN15" s="245">
        <f t="shared" si="4"/>
        <v>79.166666666666657</v>
      </c>
      <c r="AO15" s="107" t="str">
        <f t="shared" si="5"/>
        <v>2</v>
      </c>
      <c r="AP15" s="246">
        <v>6</v>
      </c>
      <c r="AQ15" s="246">
        <v>5</v>
      </c>
      <c r="AR15" s="245">
        <f t="shared" si="6"/>
        <v>6</v>
      </c>
      <c r="AS15" s="245">
        <f t="shared" si="7"/>
        <v>19</v>
      </c>
    </row>
    <row r="16" spans="1:51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56"/>
      <c r="P16" s="186"/>
      <c r="Q16" s="132"/>
      <c r="R16" s="113"/>
      <c r="S16" s="113"/>
      <c r="T16" s="156"/>
      <c r="U16" s="156"/>
      <c r="V16" s="113"/>
      <c r="W16" s="113"/>
      <c r="X16" s="113"/>
      <c r="Y16" s="113"/>
      <c r="Z16" s="113"/>
      <c r="AA16" s="113" t="s">
        <v>123</v>
      </c>
      <c r="AB16" s="113" t="s">
        <v>123</v>
      </c>
      <c r="AC16" s="132">
        <f>COUNTIF(D16:AB16,"P")*2</f>
        <v>0</v>
      </c>
      <c r="AD16" s="132"/>
      <c r="AE16" s="132">
        <f t="shared" si="0"/>
        <v>0</v>
      </c>
      <c r="AF16" s="88">
        <v>48</v>
      </c>
      <c r="AG16" s="101">
        <f t="shared" si="1"/>
        <v>0</v>
      </c>
      <c r="AI16" s="272">
        <f>OVERALL!A12</f>
        <v>9</v>
      </c>
      <c r="AJ16" s="247">
        <f>OVERALL!B12</f>
        <v>2301244</v>
      </c>
      <c r="AK16" s="243" t="str">
        <f>OVERALL!C12</f>
        <v>Parveen Mandal</v>
      </c>
      <c r="AL16" s="244">
        <f t="shared" si="2"/>
        <v>48</v>
      </c>
      <c r="AM16" s="244">
        <f t="shared" si="3"/>
        <v>0</v>
      </c>
      <c r="AN16" s="245">
        <f t="shared" si="4"/>
        <v>0</v>
      </c>
      <c r="AO16" s="107" t="str">
        <f t="shared" si="5"/>
        <v>0</v>
      </c>
      <c r="AP16" s="246">
        <v>0</v>
      </c>
      <c r="AQ16" s="246">
        <v>0</v>
      </c>
      <c r="AR16" s="245">
        <f t="shared" si="6"/>
        <v>0</v>
      </c>
      <c r="AS16" s="245">
        <f t="shared" si="7"/>
        <v>0</v>
      </c>
    </row>
    <row r="17" spans="1:45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56"/>
      <c r="P17" s="186"/>
      <c r="Q17" s="132"/>
      <c r="R17" s="113"/>
      <c r="S17" s="113"/>
      <c r="T17" s="156"/>
      <c r="U17" s="156"/>
      <c r="V17" s="113"/>
      <c r="W17" s="113"/>
      <c r="X17" s="113"/>
      <c r="Y17" s="113"/>
      <c r="Z17" s="113"/>
      <c r="AA17" s="113">
        <v>26</v>
      </c>
      <c r="AB17" s="113">
        <v>28</v>
      </c>
      <c r="AC17" s="132">
        <v>28</v>
      </c>
      <c r="AD17" s="132">
        <v>4</v>
      </c>
      <c r="AE17" s="132">
        <f t="shared" si="0"/>
        <v>32</v>
      </c>
      <c r="AF17" s="88">
        <v>48</v>
      </c>
      <c r="AG17" s="101">
        <f t="shared" si="1"/>
        <v>0.66666666666666663</v>
      </c>
      <c r="AI17" s="272">
        <f>OVERALL!A13</f>
        <v>10</v>
      </c>
      <c r="AJ17" s="247">
        <f>OVERALL!B13</f>
        <v>2301245</v>
      </c>
      <c r="AK17" s="243" t="str">
        <f>OVERALL!C13</f>
        <v>Payal</v>
      </c>
      <c r="AL17" s="244">
        <f t="shared" si="2"/>
        <v>48</v>
      </c>
      <c r="AM17" s="244">
        <f t="shared" si="3"/>
        <v>42</v>
      </c>
      <c r="AN17" s="245">
        <f t="shared" si="4"/>
        <v>87.5</v>
      </c>
      <c r="AO17" s="107" t="str">
        <f t="shared" si="5"/>
        <v>4</v>
      </c>
      <c r="AP17" s="246">
        <v>7</v>
      </c>
      <c r="AQ17" s="246">
        <v>6</v>
      </c>
      <c r="AR17" s="245">
        <f t="shared" si="6"/>
        <v>7.64</v>
      </c>
      <c r="AS17" s="245">
        <f t="shared" si="7"/>
        <v>25</v>
      </c>
    </row>
    <row r="18" spans="1:45" ht="25.5" customHeight="1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56"/>
      <c r="P18" s="186"/>
      <c r="Q18" s="132"/>
      <c r="R18" s="113"/>
      <c r="S18" s="113"/>
      <c r="T18" s="156"/>
      <c r="U18" s="156"/>
      <c r="V18" s="113"/>
      <c r="W18" s="113"/>
      <c r="X18" s="113"/>
      <c r="Y18" s="113"/>
      <c r="Z18" s="113"/>
      <c r="AA18" s="113">
        <v>23</v>
      </c>
      <c r="AB18" s="113" t="s">
        <v>123</v>
      </c>
      <c r="AC18" s="132">
        <v>23</v>
      </c>
      <c r="AD18" s="132"/>
      <c r="AE18" s="132">
        <f t="shared" si="0"/>
        <v>23</v>
      </c>
      <c r="AF18" s="88">
        <v>48</v>
      </c>
      <c r="AG18" s="101">
        <f t="shared" si="1"/>
        <v>0.47916666666666669</v>
      </c>
      <c r="AI18" s="272">
        <f>OVERALL!A14</f>
        <v>11</v>
      </c>
      <c r="AJ18" s="247">
        <f>OVERALL!B14</f>
        <v>2301247</v>
      </c>
      <c r="AK18" s="243" t="str">
        <f>OVERALL!C14</f>
        <v>Priya</v>
      </c>
      <c r="AL18" s="244">
        <f t="shared" si="2"/>
        <v>48</v>
      </c>
      <c r="AM18" s="244">
        <f t="shared" si="3"/>
        <v>26</v>
      </c>
      <c r="AN18" s="245">
        <f t="shared" si="4"/>
        <v>54.166666666666664</v>
      </c>
      <c r="AO18" s="107" t="str">
        <f t="shared" si="5"/>
        <v>0</v>
      </c>
      <c r="AP18" s="246">
        <v>5</v>
      </c>
      <c r="AQ18" s="246">
        <v>5</v>
      </c>
      <c r="AR18" s="245">
        <f t="shared" si="6"/>
        <v>4.16</v>
      </c>
      <c r="AS18" s="245">
        <f t="shared" si="7"/>
        <v>14</v>
      </c>
    </row>
    <row r="19" spans="1:45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56"/>
      <c r="P19" s="186"/>
      <c r="Q19" s="132"/>
      <c r="R19" s="113"/>
      <c r="S19" s="113"/>
      <c r="T19" s="156"/>
      <c r="U19" s="156"/>
      <c r="V19" s="113"/>
      <c r="W19" s="113"/>
      <c r="X19" s="113"/>
      <c r="Y19" s="113"/>
      <c r="Z19" s="113"/>
      <c r="AA19" s="113">
        <v>29</v>
      </c>
      <c r="AB19" s="113" t="s">
        <v>123</v>
      </c>
      <c r="AC19" s="132">
        <v>29</v>
      </c>
      <c r="AD19" s="132"/>
      <c r="AE19" s="132">
        <f t="shared" si="0"/>
        <v>29</v>
      </c>
      <c r="AF19" s="88">
        <v>48</v>
      </c>
      <c r="AG19" s="101">
        <f t="shared" si="1"/>
        <v>0.60416666666666663</v>
      </c>
      <c r="AI19" s="272">
        <f>OVERALL!A15</f>
        <v>12</v>
      </c>
      <c r="AJ19" s="247">
        <f>OVERALL!B15</f>
        <v>2301248</v>
      </c>
      <c r="AK19" s="243" t="str">
        <f>OVERALL!C15</f>
        <v>Priyam Puri</v>
      </c>
      <c r="AL19" s="244">
        <f t="shared" si="2"/>
        <v>48</v>
      </c>
      <c r="AM19" s="244">
        <f t="shared" si="3"/>
        <v>0</v>
      </c>
      <c r="AN19" s="245">
        <f t="shared" si="4"/>
        <v>0</v>
      </c>
      <c r="AO19" s="107" t="str">
        <f t="shared" si="5"/>
        <v>0</v>
      </c>
      <c r="AP19" s="246">
        <v>0</v>
      </c>
      <c r="AQ19" s="246">
        <v>0</v>
      </c>
      <c r="AR19" s="245">
        <f t="shared" si="6"/>
        <v>0</v>
      </c>
      <c r="AS19" s="245">
        <f t="shared" si="7"/>
        <v>0</v>
      </c>
    </row>
    <row r="20" spans="1:45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56"/>
      <c r="P20" s="186"/>
      <c r="Q20" s="132"/>
      <c r="R20" s="113"/>
      <c r="S20" s="113"/>
      <c r="T20" s="156"/>
      <c r="U20" s="156"/>
      <c r="V20" s="113"/>
      <c r="W20" s="113"/>
      <c r="X20" s="113"/>
      <c r="Y20" s="113"/>
      <c r="Z20" s="113"/>
      <c r="AA20" s="113" t="s">
        <v>123</v>
      </c>
      <c r="AB20" s="113" t="s">
        <v>123</v>
      </c>
      <c r="AC20" s="132">
        <v>39</v>
      </c>
      <c r="AD20" s="132"/>
      <c r="AE20" s="132">
        <f t="shared" si="0"/>
        <v>39</v>
      </c>
      <c r="AF20" s="88">
        <v>48</v>
      </c>
      <c r="AG20" s="101">
        <f t="shared" si="1"/>
        <v>0.8125</v>
      </c>
      <c r="AI20" s="272">
        <f>OVERALL!A16</f>
        <v>13</v>
      </c>
      <c r="AJ20" s="247">
        <f>OVERALL!B16</f>
        <v>2301249</v>
      </c>
      <c r="AK20" s="243" t="str">
        <f>OVERALL!C16</f>
        <v>Rahul Sharma</v>
      </c>
      <c r="AL20" s="244">
        <f t="shared" si="2"/>
        <v>48</v>
      </c>
      <c r="AM20" s="244">
        <f t="shared" si="3"/>
        <v>32</v>
      </c>
      <c r="AN20" s="245">
        <f t="shared" si="4"/>
        <v>66.666666666666657</v>
      </c>
      <c r="AO20" s="107" t="str">
        <f t="shared" si="5"/>
        <v>0</v>
      </c>
      <c r="AP20" s="246">
        <v>6</v>
      </c>
      <c r="AQ20" s="246">
        <v>5</v>
      </c>
      <c r="AR20" s="245">
        <f t="shared" si="6"/>
        <v>5.64</v>
      </c>
      <c r="AS20" s="245">
        <f t="shared" si="7"/>
        <v>17</v>
      </c>
    </row>
    <row r="21" spans="1:45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56"/>
      <c r="P21" s="186"/>
      <c r="Q21" s="132"/>
      <c r="R21" s="113"/>
      <c r="S21" s="113"/>
      <c r="T21" s="156"/>
      <c r="U21" s="156"/>
      <c r="V21" s="113"/>
      <c r="W21" s="113"/>
      <c r="X21" s="113"/>
      <c r="Y21" s="113"/>
      <c r="Z21" s="113"/>
      <c r="AA21" s="113">
        <v>36</v>
      </c>
      <c r="AB21" s="113">
        <v>38</v>
      </c>
      <c r="AC21" s="132">
        <v>38</v>
      </c>
      <c r="AD21" s="132"/>
      <c r="AE21" s="132">
        <f t="shared" si="0"/>
        <v>38</v>
      </c>
      <c r="AF21" s="88">
        <v>48</v>
      </c>
      <c r="AG21" s="101">
        <f t="shared" si="1"/>
        <v>0.79166666666666663</v>
      </c>
      <c r="AI21" s="272">
        <f>OVERALL!A17</f>
        <v>14</v>
      </c>
      <c r="AJ21" s="247">
        <f>OVERALL!B17</f>
        <v>2301250</v>
      </c>
      <c r="AK21" s="243" t="str">
        <f>OVERALL!C17</f>
        <v>Rahulpreet Singh Khinda</v>
      </c>
      <c r="AL21" s="244">
        <f t="shared" si="2"/>
        <v>48</v>
      </c>
      <c r="AM21" s="244">
        <f t="shared" si="3"/>
        <v>23</v>
      </c>
      <c r="AN21" s="245">
        <f t="shared" si="4"/>
        <v>47.916666666666671</v>
      </c>
      <c r="AO21" s="107" t="str">
        <f t="shared" si="5"/>
        <v>0</v>
      </c>
      <c r="AP21" s="246">
        <v>5</v>
      </c>
      <c r="AQ21" s="246">
        <v>5</v>
      </c>
      <c r="AR21" s="245">
        <f t="shared" si="6"/>
        <v>4.4400000000000004</v>
      </c>
      <c r="AS21" s="245">
        <f t="shared" si="7"/>
        <v>14</v>
      </c>
    </row>
    <row r="22" spans="1:45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56"/>
      <c r="P22" s="186"/>
      <c r="Q22" s="132"/>
      <c r="R22" s="113"/>
      <c r="S22" s="113"/>
      <c r="T22" s="156"/>
      <c r="U22" s="156"/>
      <c r="V22" s="113"/>
      <c r="W22" s="113"/>
      <c r="X22" s="113"/>
      <c r="Y22" s="113"/>
      <c r="Z22" s="113"/>
      <c r="AA22" s="113" t="s">
        <v>123</v>
      </c>
      <c r="AB22" s="113" t="s">
        <v>123</v>
      </c>
      <c r="AC22" s="132">
        <f>COUNTIF(D22:AB22,"P")*2</f>
        <v>0</v>
      </c>
      <c r="AD22" s="132"/>
      <c r="AE22" s="132">
        <f t="shared" si="0"/>
        <v>0</v>
      </c>
      <c r="AF22" s="88">
        <v>48</v>
      </c>
      <c r="AG22" s="101">
        <f t="shared" si="1"/>
        <v>0</v>
      </c>
      <c r="AI22" s="272">
        <f>OVERALL!A18</f>
        <v>15</v>
      </c>
      <c r="AJ22" s="247">
        <f>OVERALL!B18</f>
        <v>2301251</v>
      </c>
      <c r="AK22" s="243" t="str">
        <f>OVERALL!C18</f>
        <v>Raj Kumar</v>
      </c>
      <c r="AL22" s="244">
        <f t="shared" si="2"/>
        <v>48</v>
      </c>
      <c r="AM22" s="244">
        <f t="shared" si="3"/>
        <v>29</v>
      </c>
      <c r="AN22" s="245">
        <f t="shared" si="4"/>
        <v>60.416666666666664</v>
      </c>
      <c r="AO22" s="107" t="str">
        <f t="shared" si="5"/>
        <v>0</v>
      </c>
      <c r="AP22" s="246">
        <v>6</v>
      </c>
      <c r="AQ22" s="246">
        <v>5</v>
      </c>
      <c r="AR22" s="245">
        <f t="shared" si="6"/>
        <v>5.48</v>
      </c>
      <c r="AS22" s="245">
        <f t="shared" si="7"/>
        <v>16</v>
      </c>
    </row>
    <row r="23" spans="1:45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56"/>
      <c r="P23" s="186"/>
      <c r="Q23" s="132"/>
      <c r="R23" s="113"/>
      <c r="S23" s="113"/>
      <c r="T23" s="156"/>
      <c r="U23" s="156"/>
      <c r="V23" s="113"/>
      <c r="W23" s="113"/>
      <c r="X23" s="113"/>
      <c r="Y23" s="113"/>
      <c r="Z23" s="113"/>
      <c r="AA23" s="113">
        <v>35</v>
      </c>
      <c r="AB23" s="113">
        <v>37</v>
      </c>
      <c r="AC23" s="132">
        <v>37</v>
      </c>
      <c r="AD23" s="132"/>
      <c r="AE23" s="132">
        <f t="shared" si="0"/>
        <v>37</v>
      </c>
      <c r="AF23" s="88">
        <v>48</v>
      </c>
      <c r="AG23" s="101">
        <f t="shared" si="1"/>
        <v>0.77083333333333337</v>
      </c>
      <c r="AI23" s="272">
        <f>OVERALL!A19</f>
        <v>16</v>
      </c>
      <c r="AJ23" s="247">
        <f>OVERALL!B19</f>
        <v>2301252</v>
      </c>
      <c r="AK23" s="243" t="str">
        <f>OVERALL!C19</f>
        <v>Rajan Sharma</v>
      </c>
      <c r="AL23" s="244">
        <f t="shared" si="2"/>
        <v>48</v>
      </c>
      <c r="AM23" s="244">
        <f t="shared" si="3"/>
        <v>39</v>
      </c>
      <c r="AN23" s="245">
        <f t="shared" si="4"/>
        <v>81.25</v>
      </c>
      <c r="AO23" s="107" t="str">
        <f t="shared" si="5"/>
        <v>3</v>
      </c>
      <c r="AP23" s="246">
        <v>6</v>
      </c>
      <c r="AQ23" s="246">
        <v>5</v>
      </c>
      <c r="AR23" s="245">
        <f t="shared" si="6"/>
        <v>7.24</v>
      </c>
      <c r="AS23" s="245">
        <f t="shared" si="7"/>
        <v>21</v>
      </c>
    </row>
    <row r="24" spans="1:45" ht="15.7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56"/>
      <c r="P24" s="186"/>
      <c r="Q24" s="132"/>
      <c r="R24" s="113"/>
      <c r="S24" s="113"/>
      <c r="T24" s="156"/>
      <c r="U24" s="156"/>
      <c r="V24" s="113"/>
      <c r="W24" s="113"/>
      <c r="X24" s="113"/>
      <c r="Y24" s="113"/>
      <c r="Z24" s="113"/>
      <c r="AA24" s="113">
        <v>38</v>
      </c>
      <c r="AB24" s="113">
        <v>40</v>
      </c>
      <c r="AC24" s="132">
        <v>40</v>
      </c>
      <c r="AD24" s="132"/>
      <c r="AE24" s="132">
        <f t="shared" si="0"/>
        <v>40</v>
      </c>
      <c r="AF24" s="88">
        <v>48</v>
      </c>
      <c r="AG24" s="101">
        <f t="shared" si="1"/>
        <v>0.83333333333333337</v>
      </c>
      <c r="AI24" s="272">
        <f>OVERALL!A20</f>
        <v>17</v>
      </c>
      <c r="AJ24" s="247">
        <f>OVERALL!B20</f>
        <v>2301253</v>
      </c>
      <c r="AK24" s="243" t="str">
        <f>OVERALL!C20</f>
        <v>Rajwinder Kaur</v>
      </c>
      <c r="AL24" s="244">
        <f t="shared" si="2"/>
        <v>48</v>
      </c>
      <c r="AM24" s="244">
        <f t="shared" si="3"/>
        <v>38</v>
      </c>
      <c r="AN24" s="245">
        <f t="shared" si="4"/>
        <v>79.166666666666657</v>
      </c>
      <c r="AO24" s="107" t="str">
        <f t="shared" si="5"/>
        <v>2</v>
      </c>
      <c r="AP24" s="246">
        <v>7</v>
      </c>
      <c r="AQ24" s="246">
        <v>6</v>
      </c>
      <c r="AR24" s="245">
        <f t="shared" si="6"/>
        <v>6.4</v>
      </c>
      <c r="AS24" s="245">
        <f t="shared" si="7"/>
        <v>21</v>
      </c>
    </row>
    <row r="25" spans="1:45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56"/>
      <c r="P25" s="186"/>
      <c r="Q25" s="132"/>
      <c r="R25" s="113"/>
      <c r="S25" s="113"/>
      <c r="T25" s="156"/>
      <c r="U25" s="156"/>
      <c r="V25" s="113"/>
      <c r="W25" s="113"/>
      <c r="X25" s="113"/>
      <c r="Y25" s="113"/>
      <c r="Z25" s="113"/>
      <c r="AA25" s="113" t="s">
        <v>123</v>
      </c>
      <c r="AB25" s="113" t="s">
        <v>123</v>
      </c>
      <c r="AC25" s="132">
        <v>22</v>
      </c>
      <c r="AD25" s="132">
        <v>9</v>
      </c>
      <c r="AE25" s="132">
        <f t="shared" si="0"/>
        <v>31</v>
      </c>
      <c r="AF25" s="88">
        <v>48</v>
      </c>
      <c r="AG25" s="101">
        <f t="shared" si="1"/>
        <v>0.64583333333333337</v>
      </c>
      <c r="AI25" s="272">
        <f>OVERALL!A21</f>
        <v>18</v>
      </c>
      <c r="AJ25" s="247">
        <f>OVERALL!B21</f>
        <v>2301254</v>
      </c>
      <c r="AK25" s="243" t="str">
        <f>OVERALL!C21</f>
        <v>RANJIT SHAH KANU</v>
      </c>
      <c r="AL25" s="244">
        <f t="shared" si="2"/>
        <v>48</v>
      </c>
      <c r="AM25" s="244">
        <f t="shared" si="3"/>
        <v>0</v>
      </c>
      <c r="AN25" s="245">
        <f t="shared" si="4"/>
        <v>0</v>
      </c>
      <c r="AO25" s="107" t="str">
        <f t="shared" si="5"/>
        <v>0</v>
      </c>
      <c r="AP25" s="246">
        <v>0</v>
      </c>
      <c r="AQ25" s="246">
        <v>0</v>
      </c>
      <c r="AR25" s="245">
        <f t="shared" si="6"/>
        <v>0</v>
      </c>
      <c r="AS25" s="245">
        <f t="shared" si="7"/>
        <v>0</v>
      </c>
    </row>
    <row r="26" spans="1:45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56"/>
      <c r="P26" s="186"/>
      <c r="Q26" s="132"/>
      <c r="R26" s="113"/>
      <c r="S26" s="113"/>
      <c r="T26" s="156"/>
      <c r="U26" s="156"/>
      <c r="V26" s="113"/>
      <c r="W26" s="113"/>
      <c r="X26" s="113"/>
      <c r="Y26" s="113"/>
      <c r="Z26" s="113"/>
      <c r="AA26" s="113" t="s">
        <v>123</v>
      </c>
      <c r="AB26" s="113" t="s">
        <v>123</v>
      </c>
      <c r="AC26" s="132">
        <v>12</v>
      </c>
      <c r="AD26" s="132"/>
      <c r="AE26" s="132">
        <f t="shared" si="0"/>
        <v>12</v>
      </c>
      <c r="AF26" s="88">
        <v>48</v>
      </c>
      <c r="AG26" s="101">
        <f t="shared" si="1"/>
        <v>0.25</v>
      </c>
      <c r="AI26" s="272">
        <f>OVERALL!A22</f>
        <v>19</v>
      </c>
      <c r="AJ26" s="247">
        <f>OVERALL!B22</f>
        <v>2301255</v>
      </c>
      <c r="AK26" s="243" t="str">
        <f>OVERALL!C22</f>
        <v>Ravi Bhushan Kumar</v>
      </c>
      <c r="AL26" s="244">
        <f t="shared" si="2"/>
        <v>48</v>
      </c>
      <c r="AM26" s="244">
        <f t="shared" si="3"/>
        <v>37</v>
      </c>
      <c r="AN26" s="245">
        <f t="shared" si="4"/>
        <v>77.083333333333343</v>
      </c>
      <c r="AO26" s="107" t="str">
        <f t="shared" si="5"/>
        <v>2</v>
      </c>
      <c r="AP26" s="246">
        <v>7</v>
      </c>
      <c r="AQ26" s="246">
        <v>7</v>
      </c>
      <c r="AR26" s="245">
        <f t="shared" si="6"/>
        <v>7.12</v>
      </c>
      <c r="AS26" s="245">
        <f t="shared" si="7"/>
        <v>23</v>
      </c>
    </row>
    <row r="27" spans="1:45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56"/>
      <c r="P27" s="186"/>
      <c r="Q27" s="132"/>
      <c r="R27" s="113"/>
      <c r="S27" s="113"/>
      <c r="T27" s="156"/>
      <c r="U27" s="156"/>
      <c r="V27" s="113"/>
      <c r="W27" s="113"/>
      <c r="X27" s="113"/>
      <c r="Y27" s="113"/>
      <c r="Z27" s="113"/>
      <c r="AA27" s="113" t="s">
        <v>123</v>
      </c>
      <c r="AB27" s="113" t="s">
        <v>123</v>
      </c>
      <c r="AC27" s="132">
        <v>31</v>
      </c>
      <c r="AD27" s="132"/>
      <c r="AE27" s="132">
        <f t="shared" si="0"/>
        <v>31</v>
      </c>
      <c r="AF27" s="88">
        <v>48</v>
      </c>
      <c r="AG27" s="101">
        <f t="shared" si="1"/>
        <v>0.64583333333333337</v>
      </c>
      <c r="AI27" s="272">
        <f>OVERALL!A23</f>
        <v>20</v>
      </c>
      <c r="AJ27" s="247">
        <f>OVERALL!B23</f>
        <v>2301256</v>
      </c>
      <c r="AK27" s="243" t="str">
        <f>OVERALL!C23</f>
        <v>Reshma</v>
      </c>
      <c r="AL27" s="244">
        <f t="shared" si="2"/>
        <v>48</v>
      </c>
      <c r="AM27" s="244">
        <f t="shared" si="3"/>
        <v>40</v>
      </c>
      <c r="AN27" s="245">
        <f t="shared" si="4"/>
        <v>83.333333333333343</v>
      </c>
      <c r="AO27" s="107" t="str">
        <f t="shared" si="5"/>
        <v>3</v>
      </c>
      <c r="AP27" s="246">
        <v>6</v>
      </c>
      <c r="AQ27" s="246">
        <v>6</v>
      </c>
      <c r="AR27" s="245">
        <f t="shared" si="6"/>
        <v>5.92</v>
      </c>
      <c r="AS27" s="245">
        <f t="shared" si="7"/>
        <v>21</v>
      </c>
    </row>
    <row r="28" spans="1:45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56"/>
      <c r="P28" s="186"/>
      <c r="Q28" s="132"/>
      <c r="R28" s="113"/>
      <c r="S28" s="113"/>
      <c r="T28" s="156"/>
      <c r="U28" s="156"/>
      <c r="V28" s="113"/>
      <c r="W28" s="113"/>
      <c r="X28" s="113"/>
      <c r="Y28" s="113"/>
      <c r="Z28" s="113"/>
      <c r="AA28" s="113" t="s">
        <v>123</v>
      </c>
      <c r="AB28" s="113" t="s">
        <v>123</v>
      </c>
      <c r="AC28" s="132">
        <v>27</v>
      </c>
      <c r="AD28" s="132">
        <v>2</v>
      </c>
      <c r="AE28" s="132">
        <f t="shared" si="0"/>
        <v>29</v>
      </c>
      <c r="AF28" s="88">
        <v>48</v>
      </c>
      <c r="AG28" s="101">
        <f t="shared" si="1"/>
        <v>0.60416666666666663</v>
      </c>
      <c r="AI28" s="272">
        <f>OVERALL!A24</f>
        <v>21</v>
      </c>
      <c r="AJ28" s="247">
        <f>OVERALL!B24</f>
        <v>2301257</v>
      </c>
      <c r="AK28" s="243" t="str">
        <f>OVERALL!C24</f>
        <v>Ritesh Kumar Choudhary</v>
      </c>
      <c r="AL28" s="244">
        <f t="shared" si="2"/>
        <v>48</v>
      </c>
      <c r="AM28" s="244">
        <f t="shared" si="3"/>
        <v>31</v>
      </c>
      <c r="AN28" s="245">
        <f t="shared" si="4"/>
        <v>64.583333333333343</v>
      </c>
      <c r="AO28" s="107" t="str">
        <f t="shared" si="5"/>
        <v>0</v>
      </c>
      <c r="AP28" s="246">
        <v>5</v>
      </c>
      <c r="AQ28" s="246">
        <v>5</v>
      </c>
      <c r="AR28" s="245">
        <f t="shared" si="6"/>
        <v>3.76</v>
      </c>
      <c r="AS28" s="245">
        <f t="shared" si="7"/>
        <v>14</v>
      </c>
    </row>
    <row r="29" spans="1:45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113"/>
      <c r="E29" s="113"/>
      <c r="F29" s="113"/>
      <c r="G29" s="113"/>
      <c r="H29" s="113"/>
      <c r="I29" s="113"/>
      <c r="J29" s="96"/>
      <c r="K29" s="96"/>
      <c r="L29" s="96"/>
      <c r="M29" s="96"/>
      <c r="N29" s="96"/>
      <c r="O29" s="156"/>
      <c r="P29" s="186"/>
      <c r="Q29" s="132"/>
      <c r="R29" s="113"/>
      <c r="S29" s="113"/>
      <c r="T29" s="156"/>
      <c r="U29" s="156"/>
      <c r="V29" s="113"/>
      <c r="W29" s="113"/>
      <c r="X29" s="113"/>
      <c r="Y29" s="113"/>
      <c r="Z29" s="113"/>
      <c r="AA29" s="113">
        <v>24</v>
      </c>
      <c r="AB29" s="113" t="s">
        <v>123</v>
      </c>
      <c r="AC29" s="88">
        <v>24</v>
      </c>
      <c r="AD29" s="88"/>
      <c r="AE29" s="88">
        <f t="shared" si="0"/>
        <v>24</v>
      </c>
      <c r="AF29" s="88">
        <v>48</v>
      </c>
      <c r="AG29" s="101">
        <f t="shared" si="1"/>
        <v>0.5</v>
      </c>
      <c r="AI29" s="272">
        <f>OVERALL!A25</f>
        <v>22</v>
      </c>
      <c r="AJ29" s="247">
        <f>OVERALL!B25</f>
        <v>2301258</v>
      </c>
      <c r="AK29" s="243" t="str">
        <f>OVERALL!C25</f>
        <v>Ritesh Thakur</v>
      </c>
      <c r="AL29" s="244">
        <f t="shared" si="2"/>
        <v>48</v>
      </c>
      <c r="AM29" s="244">
        <f t="shared" si="3"/>
        <v>12</v>
      </c>
      <c r="AN29" s="245">
        <f t="shared" si="4"/>
        <v>25</v>
      </c>
      <c r="AO29" s="107" t="str">
        <f t="shared" si="5"/>
        <v>0</v>
      </c>
      <c r="AP29" s="246">
        <v>0</v>
      </c>
      <c r="AQ29" s="246">
        <v>0</v>
      </c>
      <c r="AR29" s="245">
        <f t="shared" si="6"/>
        <v>1.88</v>
      </c>
      <c r="AS29" s="245">
        <f t="shared" si="7"/>
        <v>2</v>
      </c>
    </row>
    <row r="30" spans="1:45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113"/>
      <c r="E30" s="113"/>
      <c r="F30" s="113"/>
      <c r="G30" s="113"/>
      <c r="H30" s="113"/>
      <c r="I30" s="113"/>
      <c r="J30" s="96"/>
      <c r="K30" s="96"/>
      <c r="L30" s="96"/>
      <c r="M30" s="96"/>
      <c r="N30" s="96"/>
      <c r="O30" s="156"/>
      <c r="P30" s="186"/>
      <c r="Q30" s="132"/>
      <c r="R30" s="113"/>
      <c r="S30" s="113"/>
      <c r="T30" s="156"/>
      <c r="U30" s="156"/>
      <c r="V30" s="113"/>
      <c r="W30" s="113"/>
      <c r="X30" s="113"/>
      <c r="Y30" s="113"/>
      <c r="Z30" s="113"/>
      <c r="AA30" s="113" t="s">
        <v>123</v>
      </c>
      <c r="AB30" s="113" t="s">
        <v>123</v>
      </c>
      <c r="AC30" s="88">
        <v>28</v>
      </c>
      <c r="AD30" s="88"/>
      <c r="AE30" s="88">
        <f t="shared" si="0"/>
        <v>28</v>
      </c>
      <c r="AF30" s="88">
        <v>48</v>
      </c>
      <c r="AG30" s="101">
        <f t="shared" si="1"/>
        <v>0.58333333333333337</v>
      </c>
      <c r="AI30" s="272">
        <f>OVERALL!A26</f>
        <v>23</v>
      </c>
      <c r="AJ30" s="247">
        <f>OVERALL!B26</f>
        <v>2301259</v>
      </c>
      <c r="AK30" s="243" t="str">
        <f>OVERALL!C26</f>
        <v>Riya Thakur</v>
      </c>
      <c r="AL30" s="244">
        <f t="shared" si="2"/>
        <v>48</v>
      </c>
      <c r="AM30" s="244">
        <f t="shared" si="3"/>
        <v>31</v>
      </c>
      <c r="AN30" s="245">
        <f t="shared" si="4"/>
        <v>64.583333333333343</v>
      </c>
      <c r="AO30" s="107" t="str">
        <f t="shared" si="5"/>
        <v>0</v>
      </c>
      <c r="AP30" s="246">
        <v>5</v>
      </c>
      <c r="AQ30" s="246">
        <v>5</v>
      </c>
      <c r="AR30" s="245">
        <f t="shared" si="6"/>
        <v>5.68</v>
      </c>
      <c r="AS30" s="245">
        <f t="shared" si="7"/>
        <v>16</v>
      </c>
    </row>
    <row r="31" spans="1:45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56"/>
      <c r="P31" s="186"/>
      <c r="Q31" s="132"/>
      <c r="R31" s="113"/>
      <c r="S31" s="113"/>
      <c r="T31" s="156"/>
      <c r="U31" s="156"/>
      <c r="V31" s="113"/>
      <c r="W31" s="113"/>
      <c r="X31" s="113"/>
      <c r="Y31" s="113"/>
      <c r="Z31" s="113"/>
      <c r="AA31" s="113">
        <v>46</v>
      </c>
      <c r="AB31" s="113">
        <v>48</v>
      </c>
      <c r="AC31" s="132">
        <v>48</v>
      </c>
      <c r="AD31" s="132"/>
      <c r="AE31" s="88">
        <f t="shared" si="0"/>
        <v>48</v>
      </c>
      <c r="AF31" s="88">
        <v>48</v>
      </c>
      <c r="AG31" s="101">
        <f t="shared" si="1"/>
        <v>1</v>
      </c>
      <c r="AI31" s="272">
        <f>OVERALL!A27</f>
        <v>24</v>
      </c>
      <c r="AJ31" s="247">
        <f>OVERALL!B27</f>
        <v>2301260</v>
      </c>
      <c r="AK31" s="243" t="str">
        <f>OVERALL!C27</f>
        <v>Rounit Dhiman</v>
      </c>
      <c r="AL31" s="244">
        <f t="shared" si="2"/>
        <v>48</v>
      </c>
      <c r="AM31" s="244">
        <f t="shared" si="3"/>
        <v>29</v>
      </c>
      <c r="AN31" s="245">
        <f t="shared" si="4"/>
        <v>60.416666666666664</v>
      </c>
      <c r="AO31" s="107" t="str">
        <f t="shared" si="5"/>
        <v>0</v>
      </c>
      <c r="AP31" s="246">
        <v>5</v>
      </c>
      <c r="AQ31" s="246">
        <v>6</v>
      </c>
      <c r="AR31" s="245">
        <f t="shared" si="6"/>
        <v>4.16</v>
      </c>
      <c r="AS31" s="245">
        <f t="shared" si="7"/>
        <v>15</v>
      </c>
    </row>
    <row r="32" spans="1:45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56"/>
      <c r="P32" s="186"/>
      <c r="Q32" s="132"/>
      <c r="R32" s="113"/>
      <c r="S32" s="113"/>
      <c r="T32" s="156"/>
      <c r="U32" s="156"/>
      <c r="V32" s="113"/>
      <c r="W32" s="113"/>
      <c r="X32" s="113"/>
      <c r="Y32" s="113"/>
      <c r="Z32" s="113"/>
      <c r="AA32" s="113" t="s">
        <v>123</v>
      </c>
      <c r="AB32" s="113" t="s">
        <v>123</v>
      </c>
      <c r="AC32" s="132">
        <v>13</v>
      </c>
      <c r="AD32" s="132"/>
      <c r="AE32" s="88">
        <f t="shared" si="0"/>
        <v>13</v>
      </c>
      <c r="AF32" s="88">
        <v>48</v>
      </c>
      <c r="AG32" s="101">
        <f t="shared" si="1"/>
        <v>0.27083333333333331</v>
      </c>
      <c r="AI32" s="272">
        <f>OVERALL!A28</f>
        <v>25</v>
      </c>
      <c r="AJ32" s="247">
        <f>OVERALL!B28</f>
        <v>2301261</v>
      </c>
      <c r="AK32" s="243" t="str">
        <f>OVERALL!C28</f>
        <v>Rubby Kumari</v>
      </c>
      <c r="AL32" s="244">
        <f t="shared" si="2"/>
        <v>48</v>
      </c>
      <c r="AM32" s="244">
        <f t="shared" si="3"/>
        <v>24</v>
      </c>
      <c r="AN32" s="245">
        <f t="shared" si="4"/>
        <v>50</v>
      </c>
      <c r="AO32" s="107" t="str">
        <f t="shared" si="5"/>
        <v>0</v>
      </c>
      <c r="AP32" s="246">
        <v>5</v>
      </c>
      <c r="AQ32" s="246">
        <v>5</v>
      </c>
      <c r="AR32" s="245">
        <f t="shared" si="6"/>
        <v>3.92</v>
      </c>
      <c r="AS32" s="245">
        <f t="shared" si="7"/>
        <v>14</v>
      </c>
    </row>
    <row r="33" spans="1:45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56"/>
      <c r="P33" s="186"/>
      <c r="Q33" s="132"/>
      <c r="R33" s="113"/>
      <c r="S33" s="113"/>
      <c r="T33" s="156"/>
      <c r="U33" s="156"/>
      <c r="V33" s="113"/>
      <c r="W33" s="113"/>
      <c r="X33" s="113"/>
      <c r="Y33" s="113"/>
      <c r="Z33" s="113"/>
      <c r="AA33" s="113">
        <v>24</v>
      </c>
      <c r="AB33" s="113">
        <v>26</v>
      </c>
      <c r="AC33" s="132">
        <v>26</v>
      </c>
      <c r="AD33" s="132">
        <v>7</v>
      </c>
      <c r="AE33" s="88">
        <f t="shared" si="0"/>
        <v>33</v>
      </c>
      <c r="AF33" s="88">
        <v>48</v>
      </c>
      <c r="AG33" s="101">
        <f t="shared" si="1"/>
        <v>0.6875</v>
      </c>
      <c r="AI33" s="272">
        <f>OVERALL!A29</f>
        <v>26</v>
      </c>
      <c r="AJ33" s="247">
        <f>OVERALL!B29</f>
        <v>2301262</v>
      </c>
      <c r="AK33" s="243" t="str">
        <f>OVERALL!C29</f>
        <v>Sakshi Devi</v>
      </c>
      <c r="AL33" s="244">
        <f t="shared" si="2"/>
        <v>48</v>
      </c>
      <c r="AM33" s="244">
        <f t="shared" si="3"/>
        <v>28</v>
      </c>
      <c r="AN33" s="245">
        <f t="shared" si="4"/>
        <v>58.333333333333336</v>
      </c>
      <c r="AO33" s="107" t="str">
        <f t="shared" si="5"/>
        <v>0</v>
      </c>
      <c r="AP33" s="246">
        <v>6</v>
      </c>
      <c r="AQ33" s="246">
        <v>5</v>
      </c>
      <c r="AR33" s="245">
        <f t="shared" si="6"/>
        <v>5.16</v>
      </c>
      <c r="AS33" s="245">
        <f t="shared" si="7"/>
        <v>16</v>
      </c>
    </row>
    <row r="34" spans="1:45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56"/>
      <c r="P34" s="186"/>
      <c r="Q34" s="132"/>
      <c r="R34" s="113"/>
      <c r="S34" s="113"/>
      <c r="T34" s="156"/>
      <c r="U34" s="156"/>
      <c r="V34" s="113"/>
      <c r="W34" s="113"/>
      <c r="X34" s="113"/>
      <c r="Y34" s="113"/>
      <c r="Z34" s="113"/>
      <c r="AA34" s="113">
        <v>39</v>
      </c>
      <c r="AB34" s="113" t="s">
        <v>123</v>
      </c>
      <c r="AC34" s="132">
        <v>39</v>
      </c>
      <c r="AD34" s="132"/>
      <c r="AE34" s="88">
        <f t="shared" si="0"/>
        <v>39</v>
      </c>
      <c r="AF34" s="88">
        <v>48</v>
      </c>
      <c r="AG34" s="101">
        <f t="shared" si="1"/>
        <v>0.8125</v>
      </c>
      <c r="AI34" s="272">
        <f>OVERALL!A30</f>
        <v>27</v>
      </c>
      <c r="AJ34" s="247">
        <f>OVERALL!B30</f>
        <v>2301263</v>
      </c>
      <c r="AK34" s="243" t="str">
        <f>OVERALL!C30</f>
        <v>Sanchi Sharma</v>
      </c>
      <c r="AL34" s="244">
        <f t="shared" si="2"/>
        <v>48</v>
      </c>
      <c r="AM34" s="244">
        <f t="shared" si="3"/>
        <v>48</v>
      </c>
      <c r="AN34" s="245">
        <f t="shared" si="4"/>
        <v>100</v>
      </c>
      <c r="AO34" s="107" t="str">
        <f t="shared" si="5"/>
        <v>6</v>
      </c>
      <c r="AP34" s="246">
        <v>6</v>
      </c>
      <c r="AQ34" s="246">
        <v>6</v>
      </c>
      <c r="AR34" s="245">
        <f t="shared" si="6"/>
        <v>7.8</v>
      </c>
      <c r="AS34" s="245">
        <f t="shared" si="7"/>
        <v>26</v>
      </c>
    </row>
    <row r="35" spans="1:45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56"/>
      <c r="P35" s="186"/>
      <c r="Q35" s="132"/>
      <c r="R35" s="113"/>
      <c r="S35" s="113"/>
      <c r="T35" s="156"/>
      <c r="U35" s="156"/>
      <c r="V35" s="113"/>
      <c r="W35" s="113"/>
      <c r="X35" s="113"/>
      <c r="Y35" s="113"/>
      <c r="Z35" s="113"/>
      <c r="AA35" s="113">
        <v>27</v>
      </c>
      <c r="AB35" s="113">
        <v>29</v>
      </c>
      <c r="AC35" s="132">
        <v>29</v>
      </c>
      <c r="AD35" s="132"/>
      <c r="AE35" s="88">
        <f t="shared" si="0"/>
        <v>29</v>
      </c>
      <c r="AF35" s="88">
        <v>48</v>
      </c>
      <c r="AG35" s="101">
        <f t="shared" si="1"/>
        <v>0.60416666666666663</v>
      </c>
      <c r="AI35" s="272">
        <f>OVERALL!A31</f>
        <v>28</v>
      </c>
      <c r="AJ35" s="247">
        <f>OVERALL!B31</f>
        <v>2301264</v>
      </c>
      <c r="AK35" s="243" t="str">
        <f>OVERALL!C31</f>
        <v>Sarbjit Singh</v>
      </c>
      <c r="AL35" s="244">
        <f t="shared" si="2"/>
        <v>48</v>
      </c>
      <c r="AM35" s="244">
        <f t="shared" si="3"/>
        <v>13</v>
      </c>
      <c r="AN35" s="245">
        <f t="shared" si="4"/>
        <v>27.083333333333332</v>
      </c>
      <c r="AO35" s="107" t="str">
        <f t="shared" si="5"/>
        <v>0</v>
      </c>
      <c r="AP35" s="246">
        <v>0</v>
      </c>
      <c r="AQ35" s="246">
        <v>0</v>
      </c>
      <c r="AR35" s="245">
        <f t="shared" si="6"/>
        <v>3.08</v>
      </c>
      <c r="AS35" s="245">
        <f t="shared" si="7"/>
        <v>3</v>
      </c>
    </row>
    <row r="36" spans="1:45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56"/>
      <c r="P36" s="186"/>
      <c r="Q36" s="132"/>
      <c r="R36" s="113"/>
      <c r="S36" s="113"/>
      <c r="T36" s="156"/>
      <c r="U36" s="156"/>
      <c r="V36" s="113"/>
      <c r="W36" s="113"/>
      <c r="X36" s="113"/>
      <c r="Y36" s="113"/>
      <c r="Z36" s="113"/>
      <c r="AA36" s="113" t="s">
        <v>123</v>
      </c>
      <c r="AB36" s="113" t="s">
        <v>123</v>
      </c>
      <c r="AC36" s="132">
        <v>32</v>
      </c>
      <c r="AD36" s="132"/>
      <c r="AE36" s="88">
        <f t="shared" si="0"/>
        <v>32</v>
      </c>
      <c r="AF36" s="88">
        <v>48</v>
      </c>
      <c r="AG36" s="101">
        <f t="shared" si="1"/>
        <v>0.66666666666666663</v>
      </c>
      <c r="AI36" s="272">
        <f>OVERALL!A32</f>
        <v>29</v>
      </c>
      <c r="AJ36" s="247">
        <f>OVERALL!B32</f>
        <v>2301265</v>
      </c>
      <c r="AK36" s="243" t="str">
        <f>OVERALL!C32</f>
        <v>Sarif Mayangmayum</v>
      </c>
      <c r="AL36" s="244">
        <f t="shared" si="2"/>
        <v>48</v>
      </c>
      <c r="AM36" s="244">
        <f t="shared" si="3"/>
        <v>33</v>
      </c>
      <c r="AN36" s="245">
        <f t="shared" si="4"/>
        <v>68.75</v>
      </c>
      <c r="AO36" s="107" t="str">
        <f t="shared" si="5"/>
        <v>0</v>
      </c>
      <c r="AP36" s="246">
        <v>6</v>
      </c>
      <c r="AQ36" s="246">
        <v>7</v>
      </c>
      <c r="AR36" s="245">
        <f t="shared" si="6"/>
        <v>5.44</v>
      </c>
      <c r="AS36" s="245">
        <f t="shared" si="7"/>
        <v>18</v>
      </c>
    </row>
    <row r="37" spans="1:45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56"/>
      <c r="P37" s="186"/>
      <c r="Q37" s="132"/>
      <c r="R37" s="113"/>
      <c r="S37" s="113"/>
      <c r="T37" s="156"/>
      <c r="U37" s="156"/>
      <c r="V37" s="113"/>
      <c r="W37" s="113"/>
      <c r="X37" s="113"/>
      <c r="Y37" s="113"/>
      <c r="Z37" s="113"/>
      <c r="AA37" s="113">
        <v>30</v>
      </c>
      <c r="AB37" s="113">
        <v>32</v>
      </c>
      <c r="AC37" s="132">
        <v>32</v>
      </c>
      <c r="AD37" s="132">
        <v>3</v>
      </c>
      <c r="AE37" s="88">
        <f t="shared" si="0"/>
        <v>35</v>
      </c>
      <c r="AF37" s="88">
        <v>48</v>
      </c>
      <c r="AG37" s="101">
        <f t="shared" si="1"/>
        <v>0.72916666666666663</v>
      </c>
      <c r="AI37" s="272">
        <f>OVERALL!A33</f>
        <v>30</v>
      </c>
      <c r="AJ37" s="247">
        <f>OVERALL!B33</f>
        <v>2301267</v>
      </c>
      <c r="AK37" s="243" t="str">
        <f>OVERALL!C33</f>
        <v>Shivam Kumar Chaubey</v>
      </c>
      <c r="AL37" s="244">
        <f t="shared" si="2"/>
        <v>48</v>
      </c>
      <c r="AM37" s="244">
        <f t="shared" si="3"/>
        <v>39</v>
      </c>
      <c r="AN37" s="245">
        <f t="shared" si="4"/>
        <v>81.25</v>
      </c>
      <c r="AO37" s="107" t="str">
        <f t="shared" si="5"/>
        <v>3</v>
      </c>
      <c r="AP37" s="246">
        <v>6</v>
      </c>
      <c r="AQ37" s="246">
        <v>6</v>
      </c>
      <c r="AR37" s="245">
        <f t="shared" si="6"/>
        <v>6.72</v>
      </c>
      <c r="AS37" s="245">
        <f t="shared" si="7"/>
        <v>22</v>
      </c>
    </row>
    <row r="38" spans="1:45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56"/>
      <c r="P38" s="186"/>
      <c r="Q38" s="132"/>
      <c r="R38" s="113"/>
      <c r="S38" s="113"/>
      <c r="T38" s="156"/>
      <c r="U38" s="156"/>
      <c r="V38" s="113"/>
      <c r="W38" s="113"/>
      <c r="X38" s="113"/>
      <c r="Y38" s="113"/>
      <c r="Z38" s="113"/>
      <c r="AA38" s="113">
        <v>23</v>
      </c>
      <c r="AB38" s="113">
        <v>25</v>
      </c>
      <c r="AC38" s="132">
        <v>25</v>
      </c>
      <c r="AD38" s="132"/>
      <c r="AE38" s="88">
        <f t="shared" si="0"/>
        <v>25</v>
      </c>
      <c r="AF38" s="88">
        <v>48</v>
      </c>
      <c r="AG38" s="101">
        <f t="shared" si="1"/>
        <v>0.52083333333333337</v>
      </c>
      <c r="AI38" s="272">
        <f>OVERALL!A34</f>
        <v>31</v>
      </c>
      <c r="AJ38" s="247">
        <f>OVERALL!B34</f>
        <v>2301268</v>
      </c>
      <c r="AK38" s="243" t="str">
        <f>OVERALL!C34</f>
        <v>Simba Godfrey</v>
      </c>
      <c r="AL38" s="244">
        <f t="shared" si="2"/>
        <v>48</v>
      </c>
      <c r="AM38" s="244">
        <f t="shared" si="3"/>
        <v>29</v>
      </c>
      <c r="AN38" s="245">
        <f t="shared" si="4"/>
        <v>60.416666666666664</v>
      </c>
      <c r="AO38" s="107" t="str">
        <f t="shared" si="5"/>
        <v>0</v>
      </c>
      <c r="AP38" s="255">
        <v>6</v>
      </c>
      <c r="AQ38" s="255">
        <v>5</v>
      </c>
      <c r="AR38" s="245">
        <f t="shared" si="6"/>
        <v>4.76</v>
      </c>
      <c r="AS38" s="245">
        <f t="shared" si="7"/>
        <v>16</v>
      </c>
    </row>
    <row r="39" spans="1:45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56"/>
      <c r="P39" s="186"/>
      <c r="Q39" s="132"/>
      <c r="R39" s="113"/>
      <c r="S39" s="113"/>
      <c r="T39" s="156"/>
      <c r="U39" s="156"/>
      <c r="V39" s="113"/>
      <c r="W39" s="113"/>
      <c r="X39" s="113"/>
      <c r="Y39" s="113"/>
      <c r="Z39" s="113"/>
      <c r="AA39" s="113" t="s">
        <v>123</v>
      </c>
      <c r="AB39" s="113" t="s">
        <v>123</v>
      </c>
      <c r="AC39" s="132">
        <v>1</v>
      </c>
      <c r="AD39" s="132"/>
      <c r="AE39" s="88">
        <f t="shared" si="0"/>
        <v>1</v>
      </c>
      <c r="AF39" s="88">
        <v>48</v>
      </c>
      <c r="AG39" s="101">
        <f t="shared" si="1"/>
        <v>2.0833333333333332E-2</v>
      </c>
      <c r="AI39" s="272">
        <f>OVERALL!A35</f>
        <v>32</v>
      </c>
      <c r="AJ39" s="247">
        <f>OVERALL!B35</f>
        <v>2301269</v>
      </c>
      <c r="AK39" s="243" t="str">
        <f>OVERALL!C35</f>
        <v>Simran Kaur</v>
      </c>
      <c r="AL39" s="244">
        <f t="shared" si="2"/>
        <v>48</v>
      </c>
      <c r="AM39" s="244">
        <f t="shared" si="3"/>
        <v>32</v>
      </c>
      <c r="AN39" s="245">
        <f t="shared" si="4"/>
        <v>66.666666666666657</v>
      </c>
      <c r="AO39" s="107" t="str">
        <f t="shared" si="5"/>
        <v>0</v>
      </c>
      <c r="AP39" s="255">
        <v>6</v>
      </c>
      <c r="AQ39" s="255">
        <v>5</v>
      </c>
      <c r="AR39" s="245">
        <f t="shared" si="6"/>
        <v>6.68</v>
      </c>
      <c r="AS39" s="245">
        <f t="shared" si="7"/>
        <v>18</v>
      </c>
    </row>
    <row r="40" spans="1:45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56"/>
      <c r="P40" s="186"/>
      <c r="Q40" s="132"/>
      <c r="R40" s="113"/>
      <c r="S40" s="113"/>
      <c r="T40" s="156"/>
      <c r="U40" s="156"/>
      <c r="V40" s="113"/>
      <c r="W40" s="113"/>
      <c r="X40" s="113"/>
      <c r="Y40" s="113"/>
      <c r="Z40" s="113"/>
      <c r="AA40" s="113" t="s">
        <v>123</v>
      </c>
      <c r="AB40" s="113" t="s">
        <v>123</v>
      </c>
      <c r="AC40" s="132">
        <v>17</v>
      </c>
      <c r="AD40" s="132"/>
      <c r="AE40" s="88">
        <f t="shared" si="0"/>
        <v>17</v>
      </c>
      <c r="AF40" s="88">
        <v>48</v>
      </c>
      <c r="AG40" s="101">
        <f t="shared" si="1"/>
        <v>0.35416666666666669</v>
      </c>
      <c r="AI40" s="272">
        <f>OVERALL!A36</f>
        <v>33</v>
      </c>
      <c r="AJ40" s="247">
        <f>OVERALL!B36</f>
        <v>2301270</v>
      </c>
      <c r="AK40" s="243" t="str">
        <f>OVERALL!C36</f>
        <v>Simranjit Singh</v>
      </c>
      <c r="AL40" s="244">
        <f t="shared" si="2"/>
        <v>48</v>
      </c>
      <c r="AM40" s="244">
        <f t="shared" si="3"/>
        <v>35</v>
      </c>
      <c r="AN40" s="245">
        <f t="shared" si="4"/>
        <v>72.916666666666657</v>
      </c>
      <c r="AO40" s="107" t="str">
        <f t="shared" si="5"/>
        <v>0</v>
      </c>
      <c r="AP40" s="255">
        <v>6</v>
      </c>
      <c r="AQ40" s="255">
        <v>5</v>
      </c>
      <c r="AR40" s="245">
        <f t="shared" si="6"/>
        <v>5.08</v>
      </c>
      <c r="AS40" s="245">
        <f t="shared" si="7"/>
        <v>16</v>
      </c>
    </row>
    <row r="41" spans="1:45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56"/>
      <c r="P41" s="186"/>
      <c r="Q41" s="132"/>
      <c r="R41" s="113"/>
      <c r="S41" s="113"/>
      <c r="T41" s="156"/>
      <c r="U41" s="156"/>
      <c r="V41" s="113"/>
      <c r="W41" s="113"/>
      <c r="X41" s="113"/>
      <c r="Y41" s="113"/>
      <c r="Z41" s="113"/>
      <c r="AA41" s="113" t="s">
        <v>123</v>
      </c>
      <c r="AB41" s="113" t="s">
        <v>123</v>
      </c>
      <c r="AC41" s="132">
        <v>28</v>
      </c>
      <c r="AD41" s="132"/>
      <c r="AE41" s="88">
        <f t="shared" si="0"/>
        <v>28</v>
      </c>
      <c r="AF41" s="88">
        <v>48</v>
      </c>
      <c r="AG41" s="101">
        <f t="shared" si="1"/>
        <v>0.58333333333333337</v>
      </c>
      <c r="AI41" s="272">
        <f>OVERALL!A37</f>
        <v>34</v>
      </c>
      <c r="AJ41" s="247">
        <f>OVERALL!B37</f>
        <v>2301271</v>
      </c>
      <c r="AK41" s="243" t="str">
        <f>OVERALL!C37</f>
        <v>Sudip Sunar</v>
      </c>
      <c r="AL41" s="244">
        <f t="shared" si="2"/>
        <v>48</v>
      </c>
      <c r="AM41" s="244">
        <f t="shared" si="3"/>
        <v>25</v>
      </c>
      <c r="AN41" s="245">
        <f t="shared" si="4"/>
        <v>52.083333333333336</v>
      </c>
      <c r="AO41" s="107" t="str">
        <f t="shared" si="5"/>
        <v>0</v>
      </c>
      <c r="AP41" s="255">
        <v>6</v>
      </c>
      <c r="AQ41" s="255">
        <v>5</v>
      </c>
      <c r="AR41" s="245">
        <f t="shared" si="6"/>
        <v>4.92</v>
      </c>
      <c r="AS41" s="245">
        <f t="shared" si="7"/>
        <v>16</v>
      </c>
    </row>
    <row r="42" spans="1:45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56"/>
      <c r="P42" s="186"/>
      <c r="Q42" s="132"/>
      <c r="R42" s="113"/>
      <c r="S42" s="113"/>
      <c r="T42" s="156"/>
      <c r="U42" s="156"/>
      <c r="V42" s="113"/>
      <c r="W42" s="113"/>
      <c r="X42" s="113"/>
      <c r="Y42" s="113"/>
      <c r="Z42" s="113"/>
      <c r="AA42" s="113">
        <v>26</v>
      </c>
      <c r="AB42" s="113">
        <v>28</v>
      </c>
      <c r="AC42" s="132">
        <v>28</v>
      </c>
      <c r="AD42" s="132">
        <v>4</v>
      </c>
      <c r="AE42" s="88">
        <f t="shared" si="0"/>
        <v>32</v>
      </c>
      <c r="AF42" s="88">
        <v>48</v>
      </c>
      <c r="AG42" s="101">
        <f t="shared" si="1"/>
        <v>0.66666666666666663</v>
      </c>
      <c r="AI42" s="272">
        <f>OVERALL!A38</f>
        <v>35</v>
      </c>
      <c r="AJ42" s="247">
        <f>OVERALL!B38</f>
        <v>2301272</v>
      </c>
      <c r="AK42" s="243" t="str">
        <f>OVERALL!C38</f>
        <v>Sujal Sharma</v>
      </c>
      <c r="AL42" s="244">
        <f t="shared" si="2"/>
        <v>48</v>
      </c>
      <c r="AM42" s="244">
        <f t="shared" si="3"/>
        <v>1</v>
      </c>
      <c r="AN42" s="245">
        <f t="shared" si="4"/>
        <v>2.083333333333333</v>
      </c>
      <c r="AO42" s="107" t="str">
        <f t="shared" si="5"/>
        <v>0</v>
      </c>
      <c r="AP42" s="255">
        <v>0</v>
      </c>
      <c r="AQ42" s="255">
        <v>0</v>
      </c>
      <c r="AR42" s="245">
        <f t="shared" si="6"/>
        <v>0.36</v>
      </c>
      <c r="AS42" s="245">
        <f t="shared" si="7"/>
        <v>0</v>
      </c>
    </row>
    <row r="43" spans="1:45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86"/>
      <c r="P43" s="186"/>
      <c r="Q43" s="113"/>
      <c r="R43" s="113"/>
      <c r="S43" s="113"/>
      <c r="T43" s="156"/>
      <c r="U43" s="156"/>
      <c r="V43" s="113"/>
      <c r="W43" s="113"/>
      <c r="X43" s="113"/>
      <c r="Y43" s="113"/>
      <c r="Z43" s="113"/>
      <c r="AA43" s="113" t="s">
        <v>123</v>
      </c>
      <c r="AB43" s="113" t="s">
        <v>123</v>
      </c>
      <c r="AC43" s="132">
        <f>COUNTIF(D43:AB43,"P")*2</f>
        <v>0</v>
      </c>
      <c r="AD43" s="132"/>
      <c r="AE43" s="88">
        <f t="shared" si="0"/>
        <v>0</v>
      </c>
      <c r="AF43" s="88">
        <v>48</v>
      </c>
      <c r="AG43" s="101">
        <f t="shared" si="1"/>
        <v>0</v>
      </c>
      <c r="AI43" s="272">
        <f>OVERALL!A39</f>
        <v>36</v>
      </c>
      <c r="AJ43" s="247">
        <f>OVERALL!B39</f>
        <v>2301273</v>
      </c>
      <c r="AK43" s="243" t="str">
        <f>OVERALL!C39</f>
        <v>Sukhraj Singh</v>
      </c>
      <c r="AL43" s="244">
        <f t="shared" si="2"/>
        <v>48</v>
      </c>
      <c r="AM43" s="244">
        <f t="shared" si="3"/>
        <v>17</v>
      </c>
      <c r="AN43" s="245">
        <f t="shared" si="4"/>
        <v>35.416666666666671</v>
      </c>
      <c r="AO43" s="107" t="str">
        <f t="shared" si="5"/>
        <v>0</v>
      </c>
      <c r="AP43" s="255">
        <v>5</v>
      </c>
      <c r="AQ43" s="255">
        <v>5</v>
      </c>
      <c r="AR43" s="245">
        <f t="shared" si="6"/>
        <v>3.68</v>
      </c>
      <c r="AS43" s="245">
        <f t="shared" si="7"/>
        <v>14</v>
      </c>
    </row>
    <row r="44" spans="1:45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86"/>
      <c r="P44" s="186"/>
      <c r="Q44" s="113"/>
      <c r="R44" s="113"/>
      <c r="S44" s="113"/>
      <c r="T44" s="156"/>
      <c r="U44" s="156"/>
      <c r="V44" s="113"/>
      <c r="W44" s="113"/>
      <c r="X44" s="113"/>
      <c r="Y44" s="113"/>
      <c r="Z44" s="113"/>
      <c r="AA44" s="113">
        <v>26</v>
      </c>
      <c r="AB44" s="113">
        <v>28</v>
      </c>
      <c r="AC44" s="132">
        <v>28</v>
      </c>
      <c r="AD44" s="132"/>
      <c r="AE44" s="88">
        <f t="shared" si="0"/>
        <v>28</v>
      </c>
      <c r="AF44" s="88">
        <v>48</v>
      </c>
      <c r="AG44" s="101">
        <f t="shared" si="1"/>
        <v>0.58333333333333337</v>
      </c>
      <c r="AI44" s="272">
        <f>OVERALL!A40</f>
        <v>37</v>
      </c>
      <c r="AJ44" s="247">
        <f>OVERALL!B40</f>
        <v>2301274</v>
      </c>
      <c r="AK44" s="243" t="str">
        <f>OVERALL!C40</f>
        <v>Sukhreet Kaur</v>
      </c>
      <c r="AL44" s="244">
        <f t="shared" si="2"/>
        <v>48</v>
      </c>
      <c r="AM44" s="244">
        <f t="shared" si="3"/>
        <v>28</v>
      </c>
      <c r="AN44" s="245">
        <f t="shared" si="4"/>
        <v>58.333333333333336</v>
      </c>
      <c r="AO44" s="107" t="str">
        <f t="shared" si="5"/>
        <v>0</v>
      </c>
      <c r="AP44" s="255">
        <v>7</v>
      </c>
      <c r="AQ44" s="255">
        <v>6</v>
      </c>
      <c r="AR44" s="245">
        <f t="shared" si="6"/>
        <v>5.92</v>
      </c>
      <c r="AS44" s="245">
        <f t="shared" si="7"/>
        <v>19</v>
      </c>
    </row>
    <row r="45" spans="1:45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86"/>
      <c r="P45" s="186"/>
      <c r="Q45" s="113"/>
      <c r="R45" s="113"/>
      <c r="S45" s="113"/>
      <c r="T45" s="156"/>
      <c r="U45" s="156"/>
      <c r="V45" s="113"/>
      <c r="W45" s="113"/>
      <c r="X45" s="113"/>
      <c r="Y45" s="113"/>
      <c r="Z45" s="113"/>
      <c r="AA45" s="113" t="s">
        <v>123</v>
      </c>
      <c r="AB45" s="113" t="s">
        <v>123</v>
      </c>
      <c r="AC45" s="132">
        <v>21</v>
      </c>
      <c r="AD45" s="132">
        <v>4</v>
      </c>
      <c r="AE45" s="88">
        <f t="shared" si="0"/>
        <v>25</v>
      </c>
      <c r="AF45" s="88">
        <v>48</v>
      </c>
      <c r="AG45" s="101">
        <f t="shared" si="1"/>
        <v>0.52083333333333337</v>
      </c>
      <c r="AI45" s="272">
        <f>OVERALL!A41</f>
        <v>38</v>
      </c>
      <c r="AJ45" s="247">
        <f>OVERALL!B41</f>
        <v>2301275</v>
      </c>
      <c r="AK45" s="243" t="str">
        <f>OVERALL!C41</f>
        <v>Suman Krishna</v>
      </c>
      <c r="AL45" s="244">
        <f t="shared" si="2"/>
        <v>48</v>
      </c>
      <c r="AM45" s="244">
        <f t="shared" si="3"/>
        <v>32</v>
      </c>
      <c r="AN45" s="245">
        <f t="shared" si="4"/>
        <v>66.666666666666657</v>
      </c>
      <c r="AO45" s="107" t="str">
        <f t="shared" si="5"/>
        <v>0</v>
      </c>
      <c r="AP45" s="255">
        <v>6</v>
      </c>
      <c r="AQ45" s="255">
        <v>6</v>
      </c>
      <c r="AR45" s="245">
        <f t="shared" si="6"/>
        <v>3.68</v>
      </c>
      <c r="AS45" s="245">
        <f t="shared" si="7"/>
        <v>16</v>
      </c>
    </row>
    <row r="46" spans="1:45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86"/>
      <c r="P46" s="186"/>
      <c r="Q46" s="113"/>
      <c r="R46" s="113"/>
      <c r="S46" s="113"/>
      <c r="T46" s="156"/>
      <c r="U46" s="156"/>
      <c r="V46" s="113"/>
      <c r="W46" s="113"/>
      <c r="X46" s="113"/>
      <c r="Y46" s="113"/>
      <c r="Z46" s="113"/>
      <c r="AA46" s="113">
        <v>36</v>
      </c>
      <c r="AB46" s="113">
        <v>38</v>
      </c>
      <c r="AC46" s="132">
        <v>38</v>
      </c>
      <c r="AD46" s="132">
        <v>4</v>
      </c>
      <c r="AE46" s="88">
        <f t="shared" si="0"/>
        <v>42</v>
      </c>
      <c r="AF46" s="88">
        <v>48</v>
      </c>
      <c r="AG46" s="101">
        <f t="shared" si="1"/>
        <v>0.875</v>
      </c>
      <c r="AI46" s="272">
        <f>OVERALL!A42</f>
        <v>39</v>
      </c>
      <c r="AJ46" s="247">
        <f>OVERALL!B42</f>
        <v>2301276</v>
      </c>
      <c r="AK46" s="243" t="str">
        <f>OVERALL!C42</f>
        <v>Sumanyu</v>
      </c>
      <c r="AL46" s="244">
        <f t="shared" si="2"/>
        <v>48</v>
      </c>
      <c r="AM46" s="244">
        <f t="shared" si="3"/>
        <v>0</v>
      </c>
      <c r="AN46" s="245">
        <f t="shared" si="4"/>
        <v>0</v>
      </c>
      <c r="AO46" s="107" t="str">
        <f t="shared" si="5"/>
        <v>0</v>
      </c>
      <c r="AP46" s="255">
        <v>0</v>
      </c>
      <c r="AQ46" s="255">
        <v>0</v>
      </c>
      <c r="AR46" s="245">
        <f t="shared" si="6"/>
        <v>0</v>
      </c>
      <c r="AS46" s="245">
        <f t="shared" si="7"/>
        <v>0</v>
      </c>
    </row>
    <row r="47" spans="1:45" ht="15.75" customHeight="1">
      <c r="A47" s="217">
        <f>OVERALL!A46</f>
        <v>43</v>
      </c>
      <c r="B47" s="217">
        <f>OVERALL!B46</f>
        <v>2301280</v>
      </c>
      <c r="C47" s="218" t="str">
        <f>OVERALL!C46</f>
        <v>Taniya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86"/>
      <c r="P47" s="186"/>
      <c r="Q47" s="113"/>
      <c r="R47" s="113"/>
      <c r="S47" s="113"/>
      <c r="T47" s="156"/>
      <c r="U47" s="156"/>
      <c r="V47" s="113"/>
      <c r="W47" s="113"/>
      <c r="X47" s="113"/>
      <c r="Y47" s="113"/>
      <c r="Z47" s="113"/>
      <c r="AA47" s="113">
        <v>12</v>
      </c>
      <c r="AB47" s="113">
        <v>14</v>
      </c>
      <c r="AC47" s="132">
        <v>14</v>
      </c>
      <c r="AD47" s="132"/>
      <c r="AE47" s="88">
        <f t="shared" si="0"/>
        <v>14</v>
      </c>
      <c r="AF47" s="88">
        <v>48</v>
      </c>
      <c r="AG47" s="101">
        <f t="shared" si="1"/>
        <v>0.29166666666666669</v>
      </c>
      <c r="AI47" s="272">
        <f>OVERALL!A43</f>
        <v>40</v>
      </c>
      <c r="AJ47" s="247">
        <f>OVERALL!B43</f>
        <v>2301277</v>
      </c>
      <c r="AK47" s="243" t="str">
        <f>OVERALL!C43</f>
        <v>Tamana</v>
      </c>
      <c r="AL47" s="244">
        <f t="shared" si="2"/>
        <v>48</v>
      </c>
      <c r="AM47" s="244">
        <f t="shared" si="3"/>
        <v>28</v>
      </c>
      <c r="AN47" s="245">
        <f t="shared" si="4"/>
        <v>58.333333333333336</v>
      </c>
      <c r="AO47" s="107" t="str">
        <f t="shared" si="5"/>
        <v>0</v>
      </c>
      <c r="AP47" s="255">
        <v>6</v>
      </c>
      <c r="AQ47" s="255">
        <v>6</v>
      </c>
      <c r="AR47" s="245">
        <f t="shared" si="6"/>
        <v>4.8</v>
      </c>
      <c r="AS47" s="245">
        <f t="shared" si="7"/>
        <v>17</v>
      </c>
    </row>
    <row r="48" spans="1:45" ht="15.75" customHeight="1">
      <c r="A48" s="105">
        <f>OVERALL!A47</f>
        <v>44</v>
      </c>
      <c r="B48" s="105">
        <f>OVERALL!B47</f>
        <v>2301281</v>
      </c>
      <c r="C48" s="106" t="str">
        <f>OVERALL!C47</f>
        <v>Taziko Trakha</v>
      </c>
      <c r="D48" s="12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86"/>
      <c r="P48" s="186"/>
      <c r="Q48" s="113"/>
      <c r="R48" s="113"/>
      <c r="S48" s="113"/>
      <c r="T48" s="156"/>
      <c r="U48" s="156"/>
      <c r="V48" s="113"/>
      <c r="W48" s="113"/>
      <c r="X48" s="113"/>
      <c r="Y48" s="113"/>
      <c r="Z48" s="113"/>
      <c r="AA48" s="113">
        <v>18</v>
      </c>
      <c r="AB48" s="113">
        <v>20</v>
      </c>
      <c r="AC48" s="132">
        <v>20</v>
      </c>
      <c r="AD48" s="132">
        <v>7</v>
      </c>
      <c r="AE48" s="88">
        <f t="shared" si="0"/>
        <v>27</v>
      </c>
      <c r="AF48" s="88">
        <v>48</v>
      </c>
      <c r="AG48" s="101">
        <f t="shared" si="1"/>
        <v>0.5625</v>
      </c>
      <c r="AI48" s="272">
        <f>OVERALL!A44</f>
        <v>41</v>
      </c>
      <c r="AJ48" s="247">
        <f>OVERALL!B44</f>
        <v>2301278</v>
      </c>
      <c r="AK48" s="243" t="str">
        <f>OVERALL!C44</f>
        <v>Tamana Farooq Khanday</v>
      </c>
      <c r="AL48" s="244">
        <f t="shared" si="2"/>
        <v>48</v>
      </c>
      <c r="AM48" s="244">
        <f t="shared" si="3"/>
        <v>25</v>
      </c>
      <c r="AN48" s="245">
        <f t="shared" si="4"/>
        <v>52.083333333333336</v>
      </c>
      <c r="AO48" s="107" t="str">
        <f t="shared" si="5"/>
        <v>0</v>
      </c>
      <c r="AP48" s="255">
        <v>6</v>
      </c>
      <c r="AQ48" s="255">
        <v>5</v>
      </c>
      <c r="AR48" s="245">
        <f t="shared" si="6"/>
        <v>2.6</v>
      </c>
      <c r="AS48" s="245">
        <f t="shared" si="7"/>
        <v>14</v>
      </c>
    </row>
    <row r="49" spans="1:45" ht="15.75" customHeight="1">
      <c r="A49" s="122">
        <v>45</v>
      </c>
      <c r="B49" s="105">
        <f>OVERALL!B48</f>
        <v>2301282</v>
      </c>
      <c r="C49" s="106" t="str">
        <f>OVERALL!C48</f>
        <v>Uday Kumar</v>
      </c>
      <c r="D49" s="113"/>
      <c r="E49" s="113"/>
      <c r="F49" s="113"/>
      <c r="G49" s="113"/>
      <c r="H49" s="113"/>
      <c r="I49" s="113"/>
      <c r="J49" s="96"/>
      <c r="K49" s="96"/>
      <c r="L49" s="96"/>
      <c r="M49" s="96"/>
      <c r="N49" s="96"/>
      <c r="O49" s="186"/>
      <c r="P49" s="186"/>
      <c r="Q49" s="113"/>
      <c r="R49" s="113"/>
      <c r="S49" s="113"/>
      <c r="T49" s="156"/>
      <c r="U49" s="156"/>
      <c r="V49" s="113"/>
      <c r="W49" s="113"/>
      <c r="X49" s="113"/>
      <c r="Y49" s="113"/>
      <c r="Z49" s="113"/>
      <c r="AA49" s="113" t="s">
        <v>123</v>
      </c>
      <c r="AB49" s="113" t="s">
        <v>123</v>
      </c>
      <c r="AC49" s="88">
        <v>12</v>
      </c>
      <c r="AD49" s="88"/>
      <c r="AE49" s="88">
        <f t="shared" si="0"/>
        <v>12</v>
      </c>
      <c r="AF49" s="88">
        <v>48</v>
      </c>
      <c r="AG49" s="101">
        <f t="shared" si="1"/>
        <v>0.25</v>
      </c>
      <c r="AI49" s="272">
        <f>OVERALL!A45</f>
        <v>42</v>
      </c>
      <c r="AJ49" s="247">
        <f>OVERALL!B45</f>
        <v>2301279</v>
      </c>
      <c r="AK49" s="243" t="str">
        <f>OVERALL!C45</f>
        <v>Tania</v>
      </c>
      <c r="AL49" s="244">
        <f t="shared" si="2"/>
        <v>48</v>
      </c>
      <c r="AM49" s="244">
        <f t="shared" si="3"/>
        <v>42</v>
      </c>
      <c r="AN49" s="245">
        <f t="shared" si="4"/>
        <v>87.5</v>
      </c>
      <c r="AO49" s="107" t="str">
        <f t="shared" si="5"/>
        <v>4</v>
      </c>
      <c r="AP49" s="255">
        <v>5</v>
      </c>
      <c r="AQ49" s="255">
        <v>5</v>
      </c>
      <c r="AR49" s="245">
        <f t="shared" si="6"/>
        <v>5.24</v>
      </c>
      <c r="AS49" s="245">
        <f t="shared" si="7"/>
        <v>19</v>
      </c>
    </row>
    <row r="50" spans="1:45" ht="15.75" customHeight="1">
      <c r="A50" s="122">
        <v>46</v>
      </c>
      <c r="B50" s="105">
        <f>OVERALL!B49</f>
        <v>2301283</v>
      </c>
      <c r="C50" s="106" t="str">
        <f>OVERALL!C49</f>
        <v>Vaibhav Shahi</v>
      </c>
      <c r="D50" s="113"/>
      <c r="E50" s="113"/>
      <c r="F50" s="113"/>
      <c r="G50" s="113"/>
      <c r="H50" s="113"/>
      <c r="I50" s="113"/>
      <c r="J50" s="96"/>
      <c r="K50" s="96"/>
      <c r="L50" s="96"/>
      <c r="M50" s="96"/>
      <c r="N50" s="96"/>
      <c r="O50" s="186"/>
      <c r="P50" s="186"/>
      <c r="Q50" s="113"/>
      <c r="R50" s="113"/>
      <c r="S50" s="113"/>
      <c r="T50" s="156"/>
      <c r="U50" s="156"/>
      <c r="V50" s="113"/>
      <c r="W50" s="113"/>
      <c r="X50" s="113"/>
      <c r="Y50" s="113"/>
      <c r="Z50" s="113"/>
      <c r="AA50" s="113">
        <v>22</v>
      </c>
      <c r="AB50" s="113" t="s">
        <v>123</v>
      </c>
      <c r="AC50" s="88">
        <v>22</v>
      </c>
      <c r="AD50" s="88"/>
      <c r="AE50" s="88">
        <f t="shared" si="0"/>
        <v>22</v>
      </c>
      <c r="AF50" s="88">
        <v>48</v>
      </c>
      <c r="AG50" s="101">
        <f t="shared" si="1"/>
        <v>0.45833333333333331</v>
      </c>
      <c r="AI50" s="273">
        <f>OVERALL!A46</f>
        <v>43</v>
      </c>
      <c r="AJ50" s="250">
        <f>OVERALL!B46</f>
        <v>2301280</v>
      </c>
      <c r="AK50" s="251" t="str">
        <f>OVERALL!C46</f>
        <v>Taniya</v>
      </c>
      <c r="AL50" s="252">
        <f t="shared" si="2"/>
        <v>48</v>
      </c>
      <c r="AM50" s="252">
        <f t="shared" si="3"/>
        <v>14</v>
      </c>
      <c r="AN50" s="253">
        <f t="shared" si="4"/>
        <v>29.166666666666668</v>
      </c>
      <c r="AO50" s="128" t="str">
        <f t="shared" si="5"/>
        <v>0</v>
      </c>
      <c r="AP50" s="255">
        <v>6</v>
      </c>
      <c r="AQ50" s="255">
        <v>6</v>
      </c>
      <c r="AR50" s="245">
        <f t="shared" si="6"/>
        <v>1.44</v>
      </c>
      <c r="AS50" s="253">
        <f t="shared" si="7"/>
        <v>13</v>
      </c>
    </row>
    <row r="51" spans="1:45" ht="15.75" customHeight="1">
      <c r="A51" s="122">
        <v>47</v>
      </c>
      <c r="B51" s="105">
        <f>OVERALL!B50</f>
        <v>2301284</v>
      </c>
      <c r="C51" s="106" t="str">
        <f>OVERALL!C50</f>
        <v>Vansh Kumar</v>
      </c>
      <c r="D51" s="113"/>
      <c r="E51" s="113"/>
      <c r="F51" s="113"/>
      <c r="G51" s="113"/>
      <c r="H51" s="113"/>
      <c r="I51" s="113"/>
      <c r="J51" s="96"/>
      <c r="K51" s="96"/>
      <c r="L51" s="96"/>
      <c r="M51" s="96"/>
      <c r="N51" s="96"/>
      <c r="O51" s="186"/>
      <c r="P51" s="186"/>
      <c r="Q51" s="113"/>
      <c r="R51" s="113"/>
      <c r="S51" s="113"/>
      <c r="T51" s="156"/>
      <c r="U51" s="156"/>
      <c r="V51" s="113"/>
      <c r="W51" s="113"/>
      <c r="X51" s="113"/>
      <c r="Y51" s="113"/>
      <c r="Z51" s="113"/>
      <c r="AA51" s="113" t="s">
        <v>123</v>
      </c>
      <c r="AB51" s="113" t="s">
        <v>123</v>
      </c>
      <c r="AC51" s="88">
        <f>COUNTIF(A51:Y51, "=P")*2+COUNTIF(A51:Y51,"=A")*2</f>
        <v>0</v>
      </c>
      <c r="AD51" s="88"/>
      <c r="AE51" s="88">
        <f t="shared" si="0"/>
        <v>0</v>
      </c>
      <c r="AF51" s="88">
        <v>48</v>
      </c>
      <c r="AG51" s="101">
        <f t="shared" si="1"/>
        <v>0</v>
      </c>
      <c r="AI51" s="272">
        <f>OVERALL!A47</f>
        <v>44</v>
      </c>
      <c r="AJ51" s="242">
        <f>OVERALL!B47</f>
        <v>2301281</v>
      </c>
      <c r="AK51" s="243" t="str">
        <f>OVERALL!C47</f>
        <v>Taziko Trakha</v>
      </c>
      <c r="AL51" s="254">
        <f t="shared" si="2"/>
        <v>48</v>
      </c>
      <c r="AM51" s="254">
        <f t="shared" si="3"/>
        <v>27</v>
      </c>
      <c r="AN51" s="248">
        <f t="shared" si="4"/>
        <v>56.25</v>
      </c>
      <c r="AO51" s="255" t="str">
        <f t="shared" si="5"/>
        <v>0</v>
      </c>
      <c r="AP51" s="255">
        <v>6</v>
      </c>
      <c r="AQ51" s="255">
        <v>5</v>
      </c>
      <c r="AR51" s="245">
        <f t="shared" si="6"/>
        <v>3.56</v>
      </c>
      <c r="AS51" s="256">
        <f t="shared" si="7"/>
        <v>15</v>
      </c>
    </row>
    <row r="52" spans="1:45" ht="15.75" customHeight="1">
      <c r="A52" s="122">
        <v>48</v>
      </c>
      <c r="B52" s="105">
        <f>OVERALL!B51</f>
        <v>2301285</v>
      </c>
      <c r="C52" s="106" t="str">
        <f>OVERALL!C51</f>
        <v>Vansh Sharma</v>
      </c>
      <c r="D52" s="113"/>
      <c r="E52" s="113"/>
      <c r="F52" s="113"/>
      <c r="G52" s="113"/>
      <c r="H52" s="113"/>
      <c r="I52" s="113"/>
      <c r="J52" s="96"/>
      <c r="K52" s="96"/>
      <c r="L52" s="96"/>
      <c r="M52" s="96"/>
      <c r="N52" s="96"/>
      <c r="O52" s="186"/>
      <c r="P52" s="186"/>
      <c r="Q52" s="113"/>
      <c r="R52" s="113"/>
      <c r="S52" s="113"/>
      <c r="T52" s="156"/>
      <c r="U52" s="156"/>
      <c r="V52" s="113"/>
      <c r="W52" s="113"/>
      <c r="X52" s="113"/>
      <c r="Y52" s="113"/>
      <c r="Z52" s="113"/>
      <c r="AA52" s="113">
        <v>29</v>
      </c>
      <c r="AB52" s="113" t="s">
        <v>123</v>
      </c>
      <c r="AC52" s="88">
        <v>29</v>
      </c>
      <c r="AD52" s="88"/>
      <c r="AE52" s="88">
        <f t="shared" si="0"/>
        <v>29</v>
      </c>
      <c r="AF52" s="88">
        <v>48</v>
      </c>
      <c r="AG52" s="101">
        <f t="shared" si="1"/>
        <v>0.60416666666666663</v>
      </c>
      <c r="AI52" s="272">
        <f>OVERALL!A48</f>
        <v>45</v>
      </c>
      <c r="AJ52" s="242">
        <f>OVERALL!B48</f>
        <v>2301282</v>
      </c>
      <c r="AK52" s="243" t="str">
        <f>OVERALL!C48</f>
        <v>Uday Kumar</v>
      </c>
      <c r="AL52" s="254">
        <f t="shared" si="2"/>
        <v>48</v>
      </c>
      <c r="AM52" s="254">
        <f t="shared" si="3"/>
        <v>12</v>
      </c>
      <c r="AN52" s="248">
        <f t="shared" si="4"/>
        <v>25</v>
      </c>
      <c r="AO52" s="255" t="str">
        <f t="shared" si="5"/>
        <v>0</v>
      </c>
      <c r="AP52" s="255">
        <v>0</v>
      </c>
      <c r="AQ52" s="255">
        <v>0</v>
      </c>
      <c r="AR52" s="245">
        <f t="shared" si="6"/>
        <v>2.72</v>
      </c>
      <c r="AS52" s="256">
        <f t="shared" si="7"/>
        <v>3</v>
      </c>
    </row>
    <row r="53" spans="1:45" ht="15.75" customHeight="1">
      <c r="A53" s="122">
        <v>49</v>
      </c>
      <c r="B53" s="105">
        <f>OVERALL!B52</f>
        <v>2301286</v>
      </c>
      <c r="C53" s="106" t="str">
        <f>OVERALL!C52</f>
        <v>Vikramjit Singh</v>
      </c>
      <c r="D53" s="113"/>
      <c r="E53" s="113"/>
      <c r="F53" s="113"/>
      <c r="G53" s="113"/>
      <c r="H53" s="113"/>
      <c r="I53" s="113"/>
      <c r="J53" s="96"/>
      <c r="K53" s="96"/>
      <c r="L53" s="96"/>
      <c r="M53" s="96"/>
      <c r="N53" s="96"/>
      <c r="O53" s="186"/>
      <c r="P53" s="186"/>
      <c r="Q53" s="113"/>
      <c r="R53" s="113"/>
      <c r="S53" s="113"/>
      <c r="T53" s="156"/>
      <c r="U53" s="156"/>
      <c r="V53" s="113"/>
      <c r="W53" s="113"/>
      <c r="X53" s="113"/>
      <c r="Y53" s="113"/>
      <c r="Z53" s="113"/>
      <c r="AA53" s="113" t="s">
        <v>123</v>
      </c>
      <c r="AB53" s="113" t="s">
        <v>123</v>
      </c>
      <c r="AC53" s="88">
        <v>2</v>
      </c>
      <c r="AD53" s="88"/>
      <c r="AE53" s="88">
        <f t="shared" si="0"/>
        <v>2</v>
      </c>
      <c r="AF53" s="88">
        <v>48</v>
      </c>
      <c r="AG53" s="101">
        <f t="shared" si="1"/>
        <v>4.1666666666666664E-2</v>
      </c>
      <c r="AI53" s="272">
        <f>OVERALL!A49</f>
        <v>46</v>
      </c>
      <c r="AJ53" s="242">
        <f>OVERALL!B49</f>
        <v>2301283</v>
      </c>
      <c r="AK53" s="243" t="str">
        <f>OVERALL!C49</f>
        <v>Vaibhav Shahi</v>
      </c>
      <c r="AL53" s="254">
        <f t="shared" si="2"/>
        <v>48</v>
      </c>
      <c r="AM53" s="254">
        <f t="shared" si="3"/>
        <v>22</v>
      </c>
      <c r="AN53" s="248">
        <f t="shared" si="4"/>
        <v>45.833333333333329</v>
      </c>
      <c r="AO53" s="255" t="str">
        <f t="shared" si="5"/>
        <v>0</v>
      </c>
      <c r="AP53" s="255">
        <v>6</v>
      </c>
      <c r="AQ53" s="255">
        <v>5</v>
      </c>
      <c r="AR53" s="245">
        <f t="shared" si="6"/>
        <v>4.2</v>
      </c>
      <c r="AS53" s="256">
        <f t="shared" si="7"/>
        <v>15</v>
      </c>
    </row>
    <row r="54" spans="1:45" ht="15.75" customHeight="1">
      <c r="A54" s="122">
        <v>50</v>
      </c>
      <c r="B54" s="105">
        <f>OVERALL!B53</f>
        <v>2301287</v>
      </c>
      <c r="C54" s="106" t="str">
        <f>OVERALL!C53</f>
        <v>Vishavjit Singh</v>
      </c>
      <c r="D54" s="113"/>
      <c r="E54" s="113"/>
      <c r="F54" s="113"/>
      <c r="G54" s="113"/>
      <c r="H54" s="113"/>
      <c r="I54" s="113"/>
      <c r="J54" s="96"/>
      <c r="K54" s="96"/>
      <c r="L54" s="96"/>
      <c r="M54" s="96"/>
      <c r="N54" s="96"/>
      <c r="O54" s="186"/>
      <c r="P54" s="186"/>
      <c r="Q54" s="113"/>
      <c r="R54" s="113"/>
      <c r="S54" s="113"/>
      <c r="T54" s="156"/>
      <c r="U54" s="156"/>
      <c r="V54" s="113"/>
      <c r="W54" s="113"/>
      <c r="X54" s="113"/>
      <c r="Y54" s="113"/>
      <c r="Z54" s="113"/>
      <c r="AA54" s="113" t="s">
        <v>123</v>
      </c>
      <c r="AB54" s="113" t="s">
        <v>123</v>
      </c>
      <c r="AC54" s="88">
        <v>2</v>
      </c>
      <c r="AD54" s="88"/>
      <c r="AE54" s="88">
        <f t="shared" si="0"/>
        <v>2</v>
      </c>
      <c r="AF54" s="88">
        <v>48</v>
      </c>
      <c r="AG54" s="101">
        <f t="shared" si="1"/>
        <v>4.1666666666666664E-2</v>
      </c>
      <c r="AI54" s="272">
        <f>OVERALL!A50</f>
        <v>47</v>
      </c>
      <c r="AJ54" s="242">
        <f>OVERALL!B50</f>
        <v>2301284</v>
      </c>
      <c r="AK54" s="243" t="str">
        <f>OVERALL!C50</f>
        <v>Vansh Kumar</v>
      </c>
      <c r="AL54" s="254">
        <f t="shared" si="2"/>
        <v>48</v>
      </c>
      <c r="AM54" s="254">
        <f t="shared" si="3"/>
        <v>0</v>
      </c>
      <c r="AN54" s="248">
        <f t="shared" si="4"/>
        <v>0</v>
      </c>
      <c r="AO54" s="255" t="str">
        <f t="shared" si="5"/>
        <v>0</v>
      </c>
      <c r="AP54" s="255">
        <v>0</v>
      </c>
      <c r="AQ54" s="255">
        <v>0</v>
      </c>
      <c r="AR54" s="245">
        <f t="shared" si="6"/>
        <v>0</v>
      </c>
      <c r="AS54" s="256">
        <f t="shared" si="7"/>
        <v>0</v>
      </c>
    </row>
    <row r="55" spans="1:45" ht="15.75" customHeight="1">
      <c r="A55" s="122">
        <v>51</v>
      </c>
      <c r="B55" s="105">
        <f>OVERALL!B54</f>
        <v>2339508</v>
      </c>
      <c r="C55" s="106" t="str">
        <f>OVERALL!C54</f>
        <v>TANISHA</v>
      </c>
      <c r="D55" s="113"/>
      <c r="E55" s="113"/>
      <c r="F55" s="113"/>
      <c r="G55" s="113"/>
      <c r="H55" s="113"/>
      <c r="I55" s="113"/>
      <c r="J55" s="96"/>
      <c r="K55" s="96"/>
      <c r="L55" s="96"/>
      <c r="M55" s="96"/>
      <c r="N55" s="96"/>
      <c r="O55" s="186"/>
      <c r="P55" s="186"/>
      <c r="Q55" s="113"/>
      <c r="R55" s="113"/>
      <c r="S55" s="113"/>
      <c r="T55" s="156"/>
      <c r="U55" s="156"/>
      <c r="V55" s="113"/>
      <c r="W55" s="113"/>
      <c r="X55" s="113"/>
      <c r="Y55" s="113"/>
      <c r="Z55" s="113"/>
      <c r="AA55" s="113">
        <v>38</v>
      </c>
      <c r="AB55" s="113">
        <v>40</v>
      </c>
      <c r="AC55" s="88">
        <v>40</v>
      </c>
      <c r="AD55" s="88"/>
      <c r="AE55" s="88">
        <f t="shared" si="0"/>
        <v>40</v>
      </c>
      <c r="AF55" s="88">
        <v>48</v>
      </c>
      <c r="AG55" s="101">
        <f t="shared" si="1"/>
        <v>0.83333333333333337</v>
      </c>
      <c r="AI55" s="272">
        <f>OVERALL!A51</f>
        <v>48</v>
      </c>
      <c r="AJ55" s="242">
        <f>OVERALL!B51</f>
        <v>2301285</v>
      </c>
      <c r="AK55" s="243" t="str">
        <f>OVERALL!C51</f>
        <v>Vansh Sharma</v>
      </c>
      <c r="AL55" s="254">
        <f t="shared" si="2"/>
        <v>48</v>
      </c>
      <c r="AM55" s="254">
        <f t="shared" si="3"/>
        <v>29</v>
      </c>
      <c r="AN55" s="248">
        <f t="shared" si="4"/>
        <v>60.416666666666664</v>
      </c>
      <c r="AO55" s="255" t="str">
        <f t="shared" si="5"/>
        <v>0</v>
      </c>
      <c r="AP55" s="255">
        <v>6</v>
      </c>
      <c r="AQ55" s="255">
        <v>5</v>
      </c>
      <c r="AR55" s="245">
        <f t="shared" si="6"/>
        <v>5.4</v>
      </c>
      <c r="AS55" s="256">
        <f t="shared" si="7"/>
        <v>16</v>
      </c>
    </row>
    <row r="56" spans="1:45" ht="15.75" customHeight="1">
      <c r="A56" s="122">
        <v>52</v>
      </c>
      <c r="B56" s="105">
        <f>OVERALL!B55</f>
        <v>2339509</v>
      </c>
      <c r="C56" s="106" t="str">
        <f>OVERALL!C55</f>
        <v>TOHIED AHMED</v>
      </c>
      <c r="D56" s="113"/>
      <c r="E56" s="113"/>
      <c r="F56" s="113"/>
      <c r="G56" s="113"/>
      <c r="H56" s="113"/>
      <c r="I56" s="113"/>
      <c r="J56" s="96"/>
      <c r="K56" s="96"/>
      <c r="L56" s="96"/>
      <c r="M56" s="96"/>
      <c r="N56" s="96"/>
      <c r="O56" s="186"/>
      <c r="P56" s="186"/>
      <c r="Q56" s="113"/>
      <c r="R56" s="113"/>
      <c r="S56" s="113"/>
      <c r="T56" s="156"/>
      <c r="U56" s="156"/>
      <c r="V56" s="113"/>
      <c r="W56" s="113"/>
      <c r="X56" s="113"/>
      <c r="Y56" s="113"/>
      <c r="Z56" s="113"/>
      <c r="AA56" s="113" t="s">
        <v>123</v>
      </c>
      <c r="AB56" s="113" t="s">
        <v>123</v>
      </c>
      <c r="AC56" s="88">
        <f t="shared" ref="AC56:AC57" si="8">COUNTIF(A56:Y56, "=P")*2+COUNTIF(A56:Y56,"=A")*2</f>
        <v>0</v>
      </c>
      <c r="AD56" s="88"/>
      <c r="AE56" s="88">
        <f t="shared" si="0"/>
        <v>0</v>
      </c>
      <c r="AF56" s="88">
        <v>48</v>
      </c>
      <c r="AG56" s="101">
        <f t="shared" si="1"/>
        <v>0</v>
      </c>
      <c r="AI56" s="272">
        <f>OVERALL!A52</f>
        <v>49</v>
      </c>
      <c r="AJ56" s="242">
        <f>OVERALL!B52</f>
        <v>2301286</v>
      </c>
      <c r="AK56" s="243" t="str">
        <f>OVERALL!C52</f>
        <v>Vikramjit Singh</v>
      </c>
      <c r="AL56" s="254">
        <f t="shared" si="2"/>
        <v>48</v>
      </c>
      <c r="AM56" s="254">
        <f t="shared" si="3"/>
        <v>2</v>
      </c>
      <c r="AN56" s="248">
        <f t="shared" si="4"/>
        <v>4.1666666666666661</v>
      </c>
      <c r="AO56" s="255" t="str">
        <f t="shared" si="5"/>
        <v>0</v>
      </c>
      <c r="AP56" s="255">
        <v>0</v>
      </c>
      <c r="AQ56" s="255">
        <v>0</v>
      </c>
      <c r="AR56" s="245">
        <f t="shared" si="6"/>
        <v>0.32</v>
      </c>
      <c r="AS56" s="256">
        <f t="shared" si="7"/>
        <v>0</v>
      </c>
    </row>
    <row r="57" spans="1:45" ht="15.75" customHeight="1">
      <c r="A57" s="122">
        <v>53</v>
      </c>
      <c r="B57" s="105">
        <f>OVERALL!B56</f>
        <v>2301207</v>
      </c>
      <c r="C57" s="106" t="str">
        <f>OVERALL!C56</f>
        <v>Harsh thakur</v>
      </c>
      <c r="D57" s="113"/>
      <c r="E57" s="113"/>
      <c r="F57" s="113"/>
      <c r="G57" s="113"/>
      <c r="H57" s="113"/>
      <c r="I57" s="113"/>
      <c r="J57" s="96"/>
      <c r="K57" s="96"/>
      <c r="L57" s="96"/>
      <c r="M57" s="96"/>
      <c r="N57" s="96"/>
      <c r="O57" s="186"/>
      <c r="P57" s="186"/>
      <c r="Q57" s="113"/>
      <c r="R57" s="113"/>
      <c r="S57" s="113"/>
      <c r="T57" s="156"/>
      <c r="U57" s="156"/>
      <c r="V57" s="113"/>
      <c r="W57" s="113"/>
      <c r="X57" s="113"/>
      <c r="Y57" s="113"/>
      <c r="Z57" s="113"/>
      <c r="AA57" s="113" t="s">
        <v>123</v>
      </c>
      <c r="AB57" s="113" t="s">
        <v>123</v>
      </c>
      <c r="AC57" s="88">
        <f t="shared" si="8"/>
        <v>0</v>
      </c>
      <c r="AD57" s="88"/>
      <c r="AE57" s="88">
        <f t="shared" si="0"/>
        <v>0</v>
      </c>
      <c r="AF57" s="88">
        <v>48</v>
      </c>
      <c r="AG57" s="101">
        <f t="shared" si="1"/>
        <v>0</v>
      </c>
      <c r="AI57" s="272">
        <f>OVERALL!A53</f>
        <v>50</v>
      </c>
      <c r="AJ57" s="242">
        <f>OVERALL!B53</f>
        <v>2301287</v>
      </c>
      <c r="AK57" s="243" t="str">
        <f>OVERALL!C53</f>
        <v>Vishavjit Singh</v>
      </c>
      <c r="AL57" s="254">
        <f t="shared" si="2"/>
        <v>48</v>
      </c>
      <c r="AM57" s="254">
        <f t="shared" si="3"/>
        <v>2</v>
      </c>
      <c r="AN57" s="248">
        <f t="shared" si="4"/>
        <v>4.1666666666666661</v>
      </c>
      <c r="AO57" s="255" t="str">
        <f t="shared" si="5"/>
        <v>0</v>
      </c>
      <c r="AP57" s="255">
        <v>0</v>
      </c>
      <c r="AQ57" s="255">
        <v>0</v>
      </c>
      <c r="AR57" s="245">
        <f t="shared" si="6"/>
        <v>0.28000000000000003</v>
      </c>
      <c r="AS57" s="256">
        <f t="shared" si="7"/>
        <v>0</v>
      </c>
    </row>
    <row r="58" spans="1:45" ht="15.75" customHeight="1">
      <c r="A58" s="122">
        <v>54</v>
      </c>
      <c r="B58" s="105" t="str">
        <f>OVERALL!B57</f>
        <v>Leet</v>
      </c>
      <c r="C58" s="106" t="str">
        <f>OVERALL!C57</f>
        <v>Gagan</v>
      </c>
      <c r="D58" s="113"/>
      <c r="E58" s="113"/>
      <c r="F58" s="113"/>
      <c r="G58" s="113"/>
      <c r="H58" s="113"/>
      <c r="I58" s="113"/>
      <c r="J58" s="96"/>
      <c r="K58" s="96"/>
      <c r="L58" s="96"/>
      <c r="M58" s="96"/>
      <c r="N58" s="96"/>
      <c r="O58" s="186"/>
      <c r="P58" s="186"/>
      <c r="Q58" s="113"/>
      <c r="R58" s="113"/>
      <c r="S58" s="113"/>
      <c r="T58" s="156"/>
      <c r="U58" s="156"/>
      <c r="V58" s="113"/>
      <c r="W58" s="113"/>
      <c r="X58" s="113"/>
      <c r="Y58" s="113"/>
      <c r="Z58" s="113"/>
      <c r="AA58" s="113" t="s">
        <v>123</v>
      </c>
      <c r="AB58" s="113">
        <v>32</v>
      </c>
      <c r="AC58" s="88">
        <v>32</v>
      </c>
      <c r="AD58" s="88"/>
      <c r="AE58" s="88">
        <f t="shared" si="0"/>
        <v>32</v>
      </c>
      <c r="AF58" s="88">
        <v>48</v>
      </c>
      <c r="AG58" s="101">
        <f t="shared" si="1"/>
        <v>0.66666666666666663</v>
      </c>
      <c r="AI58" s="272">
        <f>OVERALL!A54</f>
        <v>51</v>
      </c>
      <c r="AJ58" s="242">
        <f>OVERALL!B54</f>
        <v>2339508</v>
      </c>
      <c r="AK58" s="243" t="str">
        <f>OVERALL!C54</f>
        <v>TANISHA</v>
      </c>
      <c r="AL58" s="254">
        <f t="shared" si="2"/>
        <v>48</v>
      </c>
      <c r="AM58" s="254">
        <f t="shared" si="3"/>
        <v>40</v>
      </c>
      <c r="AN58" s="248">
        <f t="shared" si="4"/>
        <v>83.333333333333343</v>
      </c>
      <c r="AO58" s="255" t="str">
        <f t="shared" si="5"/>
        <v>3</v>
      </c>
      <c r="AP58" s="255">
        <v>5</v>
      </c>
      <c r="AQ58" s="255">
        <v>5</v>
      </c>
      <c r="AR58" s="245">
        <f t="shared" si="6"/>
        <v>7.16</v>
      </c>
      <c r="AS58" s="256">
        <f t="shared" si="7"/>
        <v>20</v>
      </c>
    </row>
    <row r="59" spans="1:45" ht="15.75" customHeight="1">
      <c r="A59" s="122">
        <v>55</v>
      </c>
      <c r="B59" s="105" t="str">
        <f>OVERALL!B58</f>
        <v>Leet</v>
      </c>
      <c r="C59" s="106" t="str">
        <f>OVERALL!C58</f>
        <v>Manisha</v>
      </c>
      <c r="D59" s="113"/>
      <c r="E59" s="113"/>
      <c r="F59" s="113"/>
      <c r="G59" s="113"/>
      <c r="H59" s="113"/>
      <c r="I59" s="113"/>
      <c r="J59" s="96"/>
      <c r="K59" s="96"/>
      <c r="L59" s="96"/>
      <c r="M59" s="96"/>
      <c r="N59" s="96"/>
      <c r="O59" s="186"/>
      <c r="P59" s="186"/>
      <c r="Q59" s="113"/>
      <c r="R59" s="113"/>
      <c r="S59" s="113"/>
      <c r="T59" s="156"/>
      <c r="U59" s="156"/>
      <c r="V59" s="113"/>
      <c r="W59" s="113"/>
      <c r="X59" s="113"/>
      <c r="Y59" s="113"/>
      <c r="Z59" s="113"/>
      <c r="AA59" s="113">
        <v>39</v>
      </c>
      <c r="AB59" s="113">
        <v>41</v>
      </c>
      <c r="AC59" s="88">
        <v>41</v>
      </c>
      <c r="AD59" s="88"/>
      <c r="AE59" s="88">
        <f t="shared" si="0"/>
        <v>41</v>
      </c>
      <c r="AF59" s="88">
        <v>48</v>
      </c>
      <c r="AG59" s="101">
        <f t="shared" si="1"/>
        <v>0.85416666666666663</v>
      </c>
      <c r="AI59" s="272">
        <f>OVERALL!A55</f>
        <v>52</v>
      </c>
      <c r="AJ59" s="242">
        <f>OVERALL!B55</f>
        <v>2339509</v>
      </c>
      <c r="AK59" s="243" t="str">
        <f>OVERALL!C55</f>
        <v>TOHIED AHMED</v>
      </c>
      <c r="AL59" s="254">
        <f t="shared" si="2"/>
        <v>48</v>
      </c>
      <c r="AM59" s="254">
        <f t="shared" si="3"/>
        <v>0</v>
      </c>
      <c r="AN59" s="248">
        <f t="shared" si="4"/>
        <v>0</v>
      </c>
      <c r="AO59" s="255" t="str">
        <f t="shared" si="5"/>
        <v>0</v>
      </c>
      <c r="AP59" s="255">
        <v>0</v>
      </c>
      <c r="AQ59" s="255">
        <v>0</v>
      </c>
      <c r="AR59" s="245">
        <f t="shared" si="6"/>
        <v>0</v>
      </c>
      <c r="AS59" s="256">
        <f t="shared" si="7"/>
        <v>0</v>
      </c>
    </row>
    <row r="60" spans="1:45" ht="15.75" customHeight="1">
      <c r="A60" s="122">
        <v>56</v>
      </c>
      <c r="B60" s="105" t="str">
        <f>OVERALL!B59</f>
        <v>Leet</v>
      </c>
      <c r="C60" s="106" t="str">
        <f>OVERALL!C59</f>
        <v>Richa</v>
      </c>
      <c r="D60" s="113"/>
      <c r="E60" s="113"/>
      <c r="F60" s="113"/>
      <c r="G60" s="113"/>
      <c r="H60" s="113"/>
      <c r="I60" s="113"/>
      <c r="J60" s="96"/>
      <c r="K60" s="96"/>
      <c r="L60" s="96"/>
      <c r="M60" s="96"/>
      <c r="N60" s="96"/>
      <c r="O60" s="186"/>
      <c r="P60" s="186"/>
      <c r="Q60" s="113"/>
      <c r="R60" s="113"/>
      <c r="S60" s="113"/>
      <c r="T60" s="156"/>
      <c r="U60" s="156"/>
      <c r="V60" s="113"/>
      <c r="W60" s="113"/>
      <c r="X60" s="113"/>
      <c r="Y60" s="113"/>
      <c r="Z60" s="113"/>
      <c r="AA60" s="113">
        <v>40</v>
      </c>
      <c r="AB60" s="113">
        <v>42</v>
      </c>
      <c r="AC60" s="88">
        <v>42</v>
      </c>
      <c r="AD60" s="88"/>
      <c r="AE60" s="88">
        <f t="shared" si="0"/>
        <v>42</v>
      </c>
      <c r="AF60" s="88">
        <v>48</v>
      </c>
      <c r="AG60" s="101">
        <f t="shared" si="1"/>
        <v>0.875</v>
      </c>
      <c r="AI60" s="272">
        <f>OVERALL!A56</f>
        <v>53</v>
      </c>
      <c r="AJ60" s="242">
        <f>OVERALL!B56</f>
        <v>2301207</v>
      </c>
      <c r="AK60" s="243" t="str">
        <f>OVERALL!C56</f>
        <v>Harsh thakur</v>
      </c>
      <c r="AL60" s="254">
        <f t="shared" si="2"/>
        <v>48</v>
      </c>
      <c r="AM60" s="254">
        <f t="shared" si="3"/>
        <v>0</v>
      </c>
      <c r="AN60" s="248">
        <f t="shared" si="4"/>
        <v>0</v>
      </c>
      <c r="AO60" s="255" t="str">
        <f t="shared" si="5"/>
        <v>0</v>
      </c>
      <c r="AP60" s="255">
        <v>0</v>
      </c>
      <c r="AQ60" s="255">
        <v>0</v>
      </c>
      <c r="AR60" s="245">
        <f t="shared" si="6"/>
        <v>0</v>
      </c>
      <c r="AS60" s="256">
        <f t="shared" si="7"/>
        <v>0</v>
      </c>
    </row>
    <row r="61" spans="1:45" ht="15.75" customHeight="1">
      <c r="A61" s="122">
        <v>57</v>
      </c>
      <c r="B61" s="105" t="str">
        <f>OVERALL!B60</f>
        <v>Leet</v>
      </c>
      <c r="C61" s="106" t="str">
        <f>OVERALL!C60</f>
        <v>Prakriti</v>
      </c>
      <c r="D61" s="113"/>
      <c r="E61" s="113"/>
      <c r="F61" s="113"/>
      <c r="G61" s="113"/>
      <c r="H61" s="113"/>
      <c r="I61" s="113"/>
      <c r="J61" s="96"/>
      <c r="K61" s="96"/>
      <c r="L61" s="96"/>
      <c r="M61" s="96"/>
      <c r="N61" s="96"/>
      <c r="O61" s="186"/>
      <c r="P61" s="186"/>
      <c r="Q61" s="113"/>
      <c r="R61" s="113"/>
      <c r="S61" s="113"/>
      <c r="T61" s="156"/>
      <c r="U61" s="156"/>
      <c r="V61" s="113"/>
      <c r="W61" s="113"/>
      <c r="X61" s="113"/>
      <c r="Y61" s="113"/>
      <c r="Z61" s="113"/>
      <c r="AA61" s="113">
        <v>27</v>
      </c>
      <c r="AB61" s="113">
        <v>29</v>
      </c>
      <c r="AC61" s="88">
        <v>29</v>
      </c>
      <c r="AD61" s="88"/>
      <c r="AE61" s="88">
        <f t="shared" si="0"/>
        <v>29</v>
      </c>
      <c r="AF61" s="88">
        <v>30</v>
      </c>
      <c r="AG61" s="101">
        <f t="shared" si="1"/>
        <v>0.96666666666666667</v>
      </c>
      <c r="AI61" s="272">
        <f>OVERALL!A57</f>
        <v>54</v>
      </c>
      <c r="AJ61" s="242" t="str">
        <f>OVERALL!B57</f>
        <v>Leet</v>
      </c>
      <c r="AK61" s="243" t="str">
        <f>OVERALL!C57</f>
        <v>Gagan</v>
      </c>
      <c r="AL61" s="254">
        <f t="shared" si="2"/>
        <v>48</v>
      </c>
      <c r="AM61" s="254">
        <f t="shared" si="3"/>
        <v>32</v>
      </c>
      <c r="AN61" s="248">
        <f t="shared" si="4"/>
        <v>66.666666666666657</v>
      </c>
      <c r="AO61" s="255" t="str">
        <f t="shared" si="5"/>
        <v>0</v>
      </c>
      <c r="AP61" s="255">
        <v>6</v>
      </c>
      <c r="AQ61" s="255">
        <v>5</v>
      </c>
      <c r="AR61" s="245">
        <f t="shared" si="6"/>
        <v>6</v>
      </c>
      <c r="AS61" s="256">
        <f t="shared" si="7"/>
        <v>17</v>
      </c>
    </row>
    <row r="62" spans="1:45" ht="15.75" customHeight="1">
      <c r="A62" s="122">
        <v>58</v>
      </c>
      <c r="B62" s="105" t="str">
        <f>OVERALL!B61</f>
        <v>leet</v>
      </c>
      <c r="C62" s="106" t="str">
        <f>OVERALL!C61</f>
        <v>Shubham</v>
      </c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86"/>
      <c r="P62" s="186"/>
      <c r="Q62" s="113"/>
      <c r="R62" s="113"/>
      <c r="S62" s="113"/>
      <c r="T62" s="156"/>
      <c r="U62" s="156"/>
      <c r="V62" s="113"/>
      <c r="W62" s="113"/>
      <c r="X62" s="113"/>
      <c r="Y62" s="113"/>
      <c r="Z62" s="113"/>
      <c r="AA62" s="113" t="s">
        <v>123</v>
      </c>
      <c r="AB62" s="113">
        <v>21</v>
      </c>
      <c r="AC62" s="88">
        <v>21</v>
      </c>
      <c r="AD62" s="132"/>
      <c r="AE62" s="88">
        <f t="shared" si="0"/>
        <v>21</v>
      </c>
      <c r="AF62" s="88">
        <v>22</v>
      </c>
      <c r="AG62" s="101">
        <f t="shared" si="1"/>
        <v>0.95454545454545459</v>
      </c>
      <c r="AI62" s="272">
        <f>OVERALL!A58</f>
        <v>55</v>
      </c>
      <c r="AJ62" s="242" t="str">
        <f>OVERALL!B58</f>
        <v>Leet</v>
      </c>
      <c r="AK62" s="243" t="str">
        <f>OVERALL!C58</f>
        <v>Manisha</v>
      </c>
      <c r="AL62" s="254">
        <f t="shared" si="2"/>
        <v>48</v>
      </c>
      <c r="AM62" s="254">
        <f t="shared" si="3"/>
        <v>41</v>
      </c>
      <c r="AN62" s="248">
        <f t="shared" si="4"/>
        <v>85.416666666666657</v>
      </c>
      <c r="AO62" s="255" t="str">
        <f t="shared" si="5"/>
        <v>3</v>
      </c>
      <c r="AP62" s="255">
        <v>6</v>
      </c>
      <c r="AQ62" s="255">
        <v>6</v>
      </c>
      <c r="AR62" s="245">
        <f t="shared" si="6"/>
        <v>7.48</v>
      </c>
      <c r="AS62" s="256">
        <f t="shared" si="7"/>
        <v>22</v>
      </c>
    </row>
    <row r="63" spans="1:45" ht="15.75" customHeight="1">
      <c r="A63" s="260"/>
      <c r="B63" s="259"/>
      <c r="C63" s="106">
        <f>OVERALL!C62</f>
        <v>0</v>
      </c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86"/>
      <c r="P63" s="186"/>
      <c r="Q63" s="113"/>
      <c r="R63" s="113"/>
      <c r="S63" s="113"/>
      <c r="T63" s="156"/>
      <c r="U63" s="156"/>
      <c r="V63" s="113"/>
      <c r="W63" s="113"/>
      <c r="X63" s="113"/>
      <c r="Y63" s="113"/>
      <c r="Z63" s="113"/>
      <c r="AA63" s="113"/>
      <c r="AB63" s="113"/>
      <c r="AC63" s="132"/>
      <c r="AD63" s="132"/>
      <c r="AE63" s="88"/>
      <c r="AF63" s="132"/>
      <c r="AG63" s="101"/>
      <c r="AI63" s="272">
        <f>OVERALL!A59</f>
        <v>56</v>
      </c>
      <c r="AJ63" s="242" t="str">
        <f>OVERALL!B59</f>
        <v>Leet</v>
      </c>
      <c r="AK63" s="243" t="str">
        <f>OVERALL!C59</f>
        <v>Richa</v>
      </c>
      <c r="AL63" s="254">
        <f t="shared" si="2"/>
        <v>48</v>
      </c>
      <c r="AM63" s="254">
        <f t="shared" si="3"/>
        <v>42</v>
      </c>
      <c r="AN63" s="248">
        <f t="shared" si="4"/>
        <v>87.5</v>
      </c>
      <c r="AO63" s="255" t="str">
        <f t="shared" si="5"/>
        <v>4</v>
      </c>
      <c r="AP63" s="255">
        <v>7</v>
      </c>
      <c r="AQ63" s="255">
        <v>7</v>
      </c>
      <c r="AR63" s="245">
        <f t="shared" si="6"/>
        <v>7.28</v>
      </c>
      <c r="AS63" s="256">
        <f t="shared" si="7"/>
        <v>25</v>
      </c>
    </row>
    <row r="64" spans="1:45" ht="15.75" customHeight="1">
      <c r="A64" s="260"/>
      <c r="B64" s="259"/>
      <c r="C64" s="261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86"/>
      <c r="P64" s="186"/>
      <c r="Q64" s="113"/>
      <c r="R64" s="113"/>
      <c r="S64" s="113"/>
      <c r="T64" s="156"/>
      <c r="U64" s="156"/>
      <c r="V64" s="113"/>
      <c r="W64" s="113"/>
      <c r="X64" s="113"/>
      <c r="Y64" s="113"/>
      <c r="Z64" s="113"/>
      <c r="AA64" s="113"/>
      <c r="AB64" s="113"/>
      <c r="AC64" s="132"/>
      <c r="AD64" s="132"/>
      <c r="AE64" s="132"/>
      <c r="AF64" s="132"/>
      <c r="AG64" s="101"/>
      <c r="AI64" s="272">
        <f>OVERALL!A60</f>
        <v>57</v>
      </c>
      <c r="AJ64" s="242" t="str">
        <f>OVERALL!B60</f>
        <v>Leet</v>
      </c>
      <c r="AK64" s="243" t="str">
        <f>OVERALL!C60</f>
        <v>Prakriti</v>
      </c>
      <c r="AL64" s="254">
        <f t="shared" si="2"/>
        <v>30</v>
      </c>
      <c r="AM64" s="254">
        <f t="shared" si="3"/>
        <v>29</v>
      </c>
      <c r="AN64" s="248">
        <f t="shared" si="4"/>
        <v>96.666666666666671</v>
      </c>
      <c r="AO64" s="255" t="str">
        <f t="shared" si="5"/>
        <v>6</v>
      </c>
      <c r="AP64" s="255">
        <v>6</v>
      </c>
      <c r="AQ64" s="255">
        <v>6</v>
      </c>
      <c r="AR64" s="245">
        <f t="shared" si="6"/>
        <v>6.9411764705882355</v>
      </c>
      <c r="AS64" s="256">
        <f t="shared" si="7"/>
        <v>25</v>
      </c>
    </row>
    <row r="65" spans="1:45" ht="15.75" customHeight="1">
      <c r="A65" s="260"/>
      <c r="B65" s="259"/>
      <c r="C65" s="261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86"/>
      <c r="P65" s="186"/>
      <c r="Q65" s="113"/>
      <c r="R65" s="113"/>
      <c r="S65" s="113"/>
      <c r="T65" s="156"/>
      <c r="U65" s="156"/>
      <c r="V65" s="113"/>
      <c r="W65" s="113"/>
      <c r="X65" s="113"/>
      <c r="Y65" s="113"/>
      <c r="Z65" s="113"/>
      <c r="AA65" s="113"/>
      <c r="AB65" s="113"/>
      <c r="AC65" s="132"/>
      <c r="AD65" s="132"/>
      <c r="AE65" s="132"/>
      <c r="AF65" s="132"/>
      <c r="AG65" s="101"/>
      <c r="AI65" s="272">
        <f>OVERALL!A61</f>
        <v>58</v>
      </c>
      <c r="AJ65" s="242" t="str">
        <f>OVERALL!B61</f>
        <v>leet</v>
      </c>
      <c r="AK65" s="243" t="str">
        <f>OVERALL!C61</f>
        <v>Shubham</v>
      </c>
      <c r="AL65" s="254">
        <f t="shared" si="2"/>
        <v>22</v>
      </c>
      <c r="AM65" s="254">
        <f t="shared" si="3"/>
        <v>21</v>
      </c>
      <c r="AN65" s="248">
        <f t="shared" si="4"/>
        <v>95.454545454545453</v>
      </c>
      <c r="AO65" s="255" t="str">
        <f t="shared" si="5"/>
        <v>5</v>
      </c>
      <c r="AP65" s="224">
        <v>5</v>
      </c>
      <c r="AQ65" s="224">
        <v>5</v>
      </c>
      <c r="AR65" s="245">
        <f t="shared" si="6"/>
        <v>6.3076923076923075</v>
      </c>
      <c r="AS65" s="256">
        <f t="shared" si="7"/>
        <v>21</v>
      </c>
    </row>
    <row r="66" spans="1:45" ht="15.75" customHeight="1">
      <c r="A66" s="134"/>
      <c r="B66" s="184"/>
      <c r="C66" s="13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51"/>
      <c r="AF66" s="24"/>
      <c r="AG66" s="24"/>
      <c r="AI66" s="160"/>
      <c r="AJ66" s="159"/>
      <c r="AK66" s="162"/>
      <c r="AL66" s="244"/>
      <c r="AM66" s="244"/>
      <c r="AN66" s="245"/>
      <c r="AO66" s="107"/>
      <c r="AP66" s="246"/>
      <c r="AQ66" s="246"/>
      <c r="AR66" s="245"/>
      <c r="AS66" s="245"/>
    </row>
    <row r="67" spans="1:45" ht="15.75" customHeight="1">
      <c r="A67" s="134"/>
      <c r="B67" s="184"/>
      <c r="C67" s="13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51"/>
      <c r="AF67" s="24"/>
      <c r="AG67" s="24"/>
      <c r="AI67" s="46"/>
      <c r="AJ67" s="40"/>
    </row>
    <row r="68" spans="1:45" ht="15.75" customHeight="1">
      <c r="A68" s="400" t="s">
        <v>180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355"/>
      <c r="AB68" s="356"/>
      <c r="AC68" s="24"/>
      <c r="AD68" s="24"/>
      <c r="AE68" s="24"/>
      <c r="AF68" s="24"/>
      <c r="AG68" s="24"/>
      <c r="AI68" s="46"/>
      <c r="AJ68" s="40"/>
    </row>
    <row r="69" spans="1:45" ht="15.75" customHeight="1">
      <c r="A69" s="267" t="s">
        <v>12</v>
      </c>
      <c r="B69" s="268" t="s">
        <v>13</v>
      </c>
      <c r="C69" s="269" t="s">
        <v>14</v>
      </c>
      <c r="D69" s="96">
        <v>1</v>
      </c>
      <c r="E69" s="96">
        <v>2</v>
      </c>
      <c r="F69" s="96">
        <v>3</v>
      </c>
      <c r="G69" s="96">
        <v>4</v>
      </c>
      <c r="H69" s="96">
        <v>5</v>
      </c>
      <c r="I69" s="96">
        <v>6</v>
      </c>
      <c r="J69" s="96">
        <v>7</v>
      </c>
      <c r="K69" s="96">
        <v>8</v>
      </c>
      <c r="L69" s="96">
        <v>9</v>
      </c>
      <c r="M69" s="96">
        <v>10</v>
      </c>
      <c r="N69" s="96">
        <v>11</v>
      </c>
      <c r="O69" s="96">
        <v>12</v>
      </c>
      <c r="P69" s="96">
        <v>13</v>
      </c>
      <c r="Q69" s="96">
        <v>14</v>
      </c>
      <c r="R69" s="96">
        <v>15</v>
      </c>
      <c r="S69" s="96">
        <v>16</v>
      </c>
      <c r="T69" s="96">
        <v>17</v>
      </c>
      <c r="U69" s="96">
        <v>18</v>
      </c>
      <c r="V69" s="96">
        <v>19</v>
      </c>
      <c r="W69" s="96">
        <v>20</v>
      </c>
      <c r="X69" s="96">
        <v>21</v>
      </c>
      <c r="Y69" s="96">
        <v>22</v>
      </c>
      <c r="Z69" s="96">
        <v>23</v>
      </c>
      <c r="AA69" s="96">
        <v>24</v>
      </c>
      <c r="AB69" s="96">
        <v>25</v>
      </c>
      <c r="AC69" s="24"/>
      <c r="AD69" s="24"/>
      <c r="AE69" s="24"/>
      <c r="AF69" s="24"/>
      <c r="AG69" s="24"/>
      <c r="AI69" s="46"/>
      <c r="AJ69" s="40"/>
    </row>
    <row r="70" spans="1:45" ht="15.75" customHeight="1">
      <c r="A70" s="241">
        <f>OVERALL!A4</f>
        <v>1</v>
      </c>
      <c r="B70" s="242">
        <f>OVERALL!B4</f>
        <v>2301236</v>
      </c>
      <c r="C70" s="243" t="str">
        <f>OVERALL!C4</f>
        <v>Manmohan Singh</v>
      </c>
      <c r="D70" s="113">
        <v>0</v>
      </c>
      <c r="E70" s="113">
        <v>0</v>
      </c>
      <c r="F70" s="274">
        <v>0</v>
      </c>
      <c r="G70" s="113">
        <v>7</v>
      </c>
      <c r="H70" s="113">
        <v>0</v>
      </c>
      <c r="I70" s="113">
        <v>8</v>
      </c>
      <c r="J70" s="113">
        <v>0</v>
      </c>
      <c r="K70" s="113">
        <v>7</v>
      </c>
      <c r="L70" s="113">
        <v>7</v>
      </c>
      <c r="M70" s="113">
        <v>8</v>
      </c>
      <c r="N70" s="113">
        <v>8</v>
      </c>
      <c r="O70" s="123">
        <v>7</v>
      </c>
      <c r="P70" s="113">
        <v>6</v>
      </c>
      <c r="Q70" s="123">
        <v>0</v>
      </c>
      <c r="R70" s="123">
        <v>0</v>
      </c>
      <c r="S70" s="123">
        <v>0</v>
      </c>
      <c r="T70" s="113">
        <v>0</v>
      </c>
      <c r="U70" s="113">
        <v>0</v>
      </c>
      <c r="V70" s="113">
        <v>0</v>
      </c>
      <c r="W70" s="113">
        <v>7</v>
      </c>
      <c r="X70" s="113">
        <v>0</v>
      </c>
      <c r="Y70" s="113">
        <v>0</v>
      </c>
      <c r="Z70" s="113">
        <v>0</v>
      </c>
      <c r="AA70" s="113">
        <v>0</v>
      </c>
      <c r="AB70" s="113">
        <v>0</v>
      </c>
      <c r="AC70" s="24"/>
      <c r="AD70" s="24"/>
      <c r="AE70" s="24"/>
      <c r="AF70" s="24"/>
      <c r="AG70" s="24"/>
      <c r="AI70" s="46"/>
      <c r="AJ70" s="40"/>
    </row>
    <row r="71" spans="1:45" ht="15.75" customHeight="1">
      <c r="A71" s="241">
        <f>OVERALL!A5</f>
        <v>2</v>
      </c>
      <c r="B71" s="242">
        <f>OVERALL!B5</f>
        <v>2301237</v>
      </c>
      <c r="C71" s="243" t="str">
        <f>OVERALL!C5</f>
        <v>Manpreet Kaur</v>
      </c>
      <c r="D71" s="113">
        <v>7</v>
      </c>
      <c r="E71" s="113">
        <v>8</v>
      </c>
      <c r="F71" s="113">
        <v>9</v>
      </c>
      <c r="G71" s="113">
        <v>8</v>
      </c>
      <c r="H71" s="113">
        <v>8</v>
      </c>
      <c r="I71" s="113">
        <v>8</v>
      </c>
      <c r="J71" s="113">
        <v>7</v>
      </c>
      <c r="K71" s="113">
        <v>8</v>
      </c>
      <c r="L71" s="113">
        <v>8</v>
      </c>
      <c r="M71" s="113">
        <v>9</v>
      </c>
      <c r="N71" s="113">
        <v>9</v>
      </c>
      <c r="O71" s="156">
        <v>8</v>
      </c>
      <c r="P71" s="186">
        <v>9</v>
      </c>
      <c r="Q71" s="156">
        <v>9</v>
      </c>
      <c r="R71" s="156">
        <v>8</v>
      </c>
      <c r="S71" s="156">
        <v>0</v>
      </c>
      <c r="T71" s="186">
        <v>9</v>
      </c>
      <c r="U71" s="113">
        <v>8</v>
      </c>
      <c r="V71" s="113">
        <v>7</v>
      </c>
      <c r="W71" s="113">
        <v>8</v>
      </c>
      <c r="X71" s="113">
        <v>7</v>
      </c>
      <c r="Y71" s="113">
        <v>7</v>
      </c>
      <c r="Z71" s="113">
        <v>8</v>
      </c>
      <c r="AA71" s="113">
        <v>0</v>
      </c>
      <c r="AB71" s="113">
        <v>7</v>
      </c>
      <c r="AC71" s="24"/>
      <c r="AD71" s="24"/>
      <c r="AE71" s="24"/>
      <c r="AF71" s="24"/>
      <c r="AG71" s="24"/>
      <c r="AI71" s="46"/>
      <c r="AJ71" s="40"/>
    </row>
    <row r="72" spans="1:45" ht="15.75" customHeight="1">
      <c r="A72" s="241">
        <f>OVERALL!A6</f>
        <v>3</v>
      </c>
      <c r="B72" s="242">
        <f>OVERALL!B6</f>
        <v>2301238</v>
      </c>
      <c r="C72" s="243" t="str">
        <f>OVERALL!C6</f>
        <v>Md Warish Chesam</v>
      </c>
      <c r="D72" s="113">
        <v>0</v>
      </c>
      <c r="E72" s="113">
        <v>0</v>
      </c>
      <c r="F72" s="113">
        <v>0</v>
      </c>
      <c r="G72" s="113">
        <v>7</v>
      </c>
      <c r="H72" s="113">
        <v>7</v>
      </c>
      <c r="I72" s="113">
        <v>8</v>
      </c>
      <c r="J72" s="113">
        <v>7</v>
      </c>
      <c r="K72" s="113">
        <v>8</v>
      </c>
      <c r="L72" s="113">
        <v>8</v>
      </c>
      <c r="M72" s="113">
        <v>9</v>
      </c>
      <c r="N72" s="113">
        <v>8</v>
      </c>
      <c r="O72" s="156">
        <v>7</v>
      </c>
      <c r="P72" s="186">
        <v>0</v>
      </c>
      <c r="Q72" s="156">
        <v>0</v>
      </c>
      <c r="R72" s="156">
        <v>8</v>
      </c>
      <c r="S72" s="156">
        <v>8</v>
      </c>
      <c r="T72" s="186">
        <v>7</v>
      </c>
      <c r="U72" s="113">
        <v>8</v>
      </c>
      <c r="V72" s="113">
        <v>7</v>
      </c>
      <c r="W72" s="113">
        <v>7</v>
      </c>
      <c r="X72" s="113">
        <v>8</v>
      </c>
      <c r="Y72" s="113">
        <v>7</v>
      </c>
      <c r="Z72" s="113">
        <v>8</v>
      </c>
      <c r="AA72" s="113">
        <v>8</v>
      </c>
      <c r="AB72" s="113">
        <v>7</v>
      </c>
      <c r="AC72" s="24"/>
      <c r="AD72" s="24"/>
      <c r="AE72" s="24"/>
      <c r="AF72" s="24"/>
      <c r="AG72" s="24"/>
      <c r="AI72" s="46"/>
      <c r="AJ72" s="40"/>
    </row>
    <row r="73" spans="1:45" ht="15.75" customHeight="1">
      <c r="A73" s="241">
        <f>OVERALL!A7</f>
        <v>4</v>
      </c>
      <c r="B73" s="242">
        <f>OVERALL!B7</f>
        <v>2301239</v>
      </c>
      <c r="C73" s="243" t="str">
        <f>OVERALL!C7</f>
        <v>Mohd Shahid Afridi</v>
      </c>
      <c r="D73" s="113">
        <v>0</v>
      </c>
      <c r="E73" s="113">
        <v>0</v>
      </c>
      <c r="F73" s="113">
        <v>0</v>
      </c>
      <c r="G73" s="113">
        <v>0</v>
      </c>
      <c r="H73" s="113">
        <v>0</v>
      </c>
      <c r="I73" s="113">
        <v>0</v>
      </c>
      <c r="J73" s="113">
        <v>0</v>
      </c>
      <c r="K73" s="113">
        <v>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0</v>
      </c>
      <c r="Z73" s="113">
        <v>0</v>
      </c>
      <c r="AA73" s="113">
        <v>0</v>
      </c>
      <c r="AB73" s="113">
        <v>0</v>
      </c>
      <c r="AC73" s="24"/>
      <c r="AD73" s="24"/>
      <c r="AE73" s="24"/>
      <c r="AF73" s="24"/>
      <c r="AG73" s="24"/>
      <c r="AI73" s="46"/>
      <c r="AJ73" s="40"/>
    </row>
    <row r="74" spans="1:45" ht="15.75" customHeight="1">
      <c r="A74" s="241">
        <f>OVERALL!A8</f>
        <v>5</v>
      </c>
      <c r="B74" s="242">
        <f>OVERALL!B8</f>
        <v>2301240</v>
      </c>
      <c r="C74" s="243" t="str">
        <f>OVERALL!C8</f>
        <v>Munisha</v>
      </c>
      <c r="D74" s="113">
        <v>7</v>
      </c>
      <c r="E74" s="113">
        <v>8</v>
      </c>
      <c r="F74" s="113">
        <v>8</v>
      </c>
      <c r="G74" s="113">
        <v>8</v>
      </c>
      <c r="H74" s="113">
        <v>8</v>
      </c>
      <c r="I74" s="113">
        <v>8</v>
      </c>
      <c r="J74" s="113">
        <v>8</v>
      </c>
      <c r="K74" s="113">
        <v>8</v>
      </c>
      <c r="L74" s="113">
        <v>8</v>
      </c>
      <c r="M74" s="113">
        <v>9</v>
      </c>
      <c r="N74" s="113">
        <v>8</v>
      </c>
      <c r="O74" s="156">
        <v>7</v>
      </c>
      <c r="P74" s="186">
        <v>7</v>
      </c>
      <c r="Q74" s="156">
        <v>6</v>
      </c>
      <c r="R74" s="156">
        <v>0</v>
      </c>
      <c r="S74" s="156">
        <v>0</v>
      </c>
      <c r="T74" s="186">
        <v>0</v>
      </c>
      <c r="U74" s="186">
        <v>8</v>
      </c>
      <c r="V74" s="186">
        <v>0</v>
      </c>
      <c r="W74" s="186">
        <v>0</v>
      </c>
      <c r="X74" s="186">
        <v>0</v>
      </c>
      <c r="Y74" s="186">
        <v>7</v>
      </c>
      <c r="Z74" s="186">
        <v>8</v>
      </c>
      <c r="AA74" s="186">
        <v>9</v>
      </c>
      <c r="AB74" s="186">
        <v>8</v>
      </c>
      <c r="AC74" s="24"/>
      <c r="AD74" s="24"/>
      <c r="AE74" s="24"/>
      <c r="AF74" s="24"/>
      <c r="AG74" s="24"/>
      <c r="AI74" s="46"/>
      <c r="AJ74" s="40"/>
    </row>
    <row r="75" spans="1:45" ht="15.75" customHeight="1">
      <c r="A75" s="241">
        <f>OVERALL!A9</f>
        <v>6</v>
      </c>
      <c r="B75" s="242">
        <f>OVERALL!B9</f>
        <v>2301241</v>
      </c>
      <c r="C75" s="243" t="str">
        <f>OVERALL!C9</f>
        <v>Nikhil Kumar Thakur</v>
      </c>
      <c r="D75" s="113">
        <v>8</v>
      </c>
      <c r="E75" s="113">
        <v>7</v>
      </c>
      <c r="F75" s="113">
        <v>8</v>
      </c>
      <c r="G75" s="113">
        <v>9</v>
      </c>
      <c r="H75" s="113">
        <v>8</v>
      </c>
      <c r="I75" s="113">
        <v>9</v>
      </c>
      <c r="J75" s="113">
        <v>8</v>
      </c>
      <c r="K75" s="113">
        <v>8</v>
      </c>
      <c r="L75" s="113">
        <v>9</v>
      </c>
      <c r="M75" s="113">
        <v>8</v>
      </c>
      <c r="N75" s="113">
        <v>7</v>
      </c>
      <c r="O75" s="156">
        <v>9</v>
      </c>
      <c r="P75" s="186">
        <v>8</v>
      </c>
      <c r="Q75" s="156">
        <v>9</v>
      </c>
      <c r="R75" s="156">
        <v>9</v>
      </c>
      <c r="S75" s="156">
        <v>9</v>
      </c>
      <c r="T75" s="186">
        <v>8</v>
      </c>
      <c r="U75" s="113">
        <v>7</v>
      </c>
      <c r="V75" s="113">
        <v>9</v>
      </c>
      <c r="W75" s="113">
        <v>8</v>
      </c>
      <c r="X75" s="113">
        <v>8</v>
      </c>
      <c r="Y75" s="113">
        <v>7</v>
      </c>
      <c r="Z75" s="113">
        <v>9</v>
      </c>
      <c r="AA75" s="113">
        <v>8</v>
      </c>
      <c r="AB75" s="113">
        <v>0</v>
      </c>
      <c r="AC75" s="24"/>
      <c r="AD75" s="24"/>
      <c r="AE75" s="24"/>
      <c r="AF75" s="24"/>
      <c r="AG75" s="24"/>
      <c r="AH75" s="270"/>
      <c r="AI75" s="46"/>
      <c r="AJ75" s="40"/>
    </row>
    <row r="76" spans="1:45" ht="15.75" customHeight="1">
      <c r="A76" s="241">
        <f>OVERALL!A10</f>
        <v>7</v>
      </c>
      <c r="B76" s="242">
        <f>OVERALL!B10</f>
        <v>2301242</v>
      </c>
      <c r="C76" s="243" t="str">
        <f>OVERALL!C10</f>
        <v>Palak Pathania</v>
      </c>
      <c r="D76" s="113">
        <v>8</v>
      </c>
      <c r="E76" s="113">
        <v>7</v>
      </c>
      <c r="F76" s="113">
        <v>8</v>
      </c>
      <c r="G76" s="113">
        <v>9</v>
      </c>
      <c r="H76" s="113">
        <v>8</v>
      </c>
      <c r="I76" s="113">
        <v>8</v>
      </c>
      <c r="J76" s="113">
        <v>8</v>
      </c>
      <c r="K76" s="113">
        <v>8</v>
      </c>
      <c r="L76" s="113">
        <v>9</v>
      </c>
      <c r="M76" s="113">
        <v>9</v>
      </c>
      <c r="N76" s="113">
        <v>9</v>
      </c>
      <c r="O76" s="156">
        <v>9</v>
      </c>
      <c r="P76" s="186">
        <v>0</v>
      </c>
      <c r="Q76" s="156">
        <v>0</v>
      </c>
      <c r="R76" s="156">
        <v>10</v>
      </c>
      <c r="S76" s="156">
        <v>0</v>
      </c>
      <c r="T76" s="186">
        <v>9</v>
      </c>
      <c r="U76" s="113">
        <v>8</v>
      </c>
      <c r="V76" s="113">
        <v>8</v>
      </c>
      <c r="W76" s="113">
        <v>8</v>
      </c>
      <c r="X76" s="113">
        <v>8</v>
      </c>
      <c r="Y76" s="113">
        <v>9</v>
      </c>
      <c r="Z76" s="113">
        <v>9</v>
      </c>
      <c r="AA76" s="113">
        <v>9</v>
      </c>
      <c r="AB76" s="156">
        <v>9</v>
      </c>
      <c r="AC76" s="24"/>
      <c r="AD76" s="24"/>
      <c r="AE76" s="24"/>
      <c r="AF76" s="24"/>
      <c r="AG76" s="24"/>
      <c r="AH76" s="270"/>
      <c r="AI76" s="46"/>
      <c r="AJ76" s="40"/>
    </row>
    <row r="77" spans="1:45" ht="15.75" customHeight="1">
      <c r="A77" s="241">
        <f>OVERALL!A11</f>
        <v>8</v>
      </c>
      <c r="B77" s="242">
        <f>OVERALL!B11</f>
        <v>2301243</v>
      </c>
      <c r="C77" s="243" t="str">
        <f>OVERALL!C11</f>
        <v>Pardeep Singh</v>
      </c>
      <c r="D77" s="113">
        <v>8</v>
      </c>
      <c r="E77" s="113">
        <v>0</v>
      </c>
      <c r="F77" s="113">
        <v>8</v>
      </c>
      <c r="G77" s="113">
        <v>0</v>
      </c>
      <c r="H77" s="113">
        <v>8</v>
      </c>
      <c r="I77" s="113">
        <v>7</v>
      </c>
      <c r="J77" s="113">
        <v>7</v>
      </c>
      <c r="K77" s="113">
        <v>8</v>
      </c>
      <c r="L77" s="113">
        <v>8</v>
      </c>
      <c r="M77" s="113">
        <v>0</v>
      </c>
      <c r="N77" s="113">
        <v>0</v>
      </c>
      <c r="O77" s="156">
        <v>8</v>
      </c>
      <c r="P77" s="186">
        <v>6</v>
      </c>
      <c r="Q77" s="156">
        <v>7</v>
      </c>
      <c r="R77" s="156">
        <v>8</v>
      </c>
      <c r="S77" s="156">
        <v>7</v>
      </c>
      <c r="T77" s="186">
        <v>8</v>
      </c>
      <c r="U77" s="156">
        <v>8</v>
      </c>
      <c r="V77" s="186">
        <v>6</v>
      </c>
      <c r="W77" s="156">
        <v>7</v>
      </c>
      <c r="X77" s="156">
        <v>8</v>
      </c>
      <c r="Y77" s="156">
        <v>7</v>
      </c>
      <c r="Z77" s="186">
        <v>8</v>
      </c>
      <c r="AA77" s="113">
        <v>8</v>
      </c>
      <c r="AB77" s="113">
        <v>0</v>
      </c>
      <c r="AC77" s="24"/>
      <c r="AD77" s="24"/>
      <c r="AE77" s="24"/>
      <c r="AF77" s="24"/>
      <c r="AG77" s="24"/>
      <c r="AH77" s="270"/>
      <c r="AI77" s="46"/>
      <c r="AJ77" s="40"/>
    </row>
    <row r="78" spans="1:45" ht="15.75" customHeight="1">
      <c r="A78" s="241">
        <f>OVERALL!A12</f>
        <v>9</v>
      </c>
      <c r="B78" s="242">
        <f>OVERALL!B12</f>
        <v>2301244</v>
      </c>
      <c r="C78" s="243" t="str">
        <f>OVERALL!C12</f>
        <v>Parveen Mandal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  <c r="O78" s="113">
        <v>0</v>
      </c>
      <c r="P78" s="113">
        <v>0</v>
      </c>
      <c r="Q78" s="113">
        <v>0</v>
      </c>
      <c r="R78" s="113">
        <v>0</v>
      </c>
      <c r="S78" s="113">
        <v>0</v>
      </c>
      <c r="T78" s="113">
        <v>0</v>
      </c>
      <c r="U78" s="113">
        <v>0</v>
      </c>
      <c r="V78" s="113">
        <v>0</v>
      </c>
      <c r="W78" s="113">
        <v>0</v>
      </c>
      <c r="X78" s="113">
        <v>0</v>
      </c>
      <c r="Y78" s="113">
        <v>0</v>
      </c>
      <c r="Z78" s="113">
        <v>0</v>
      </c>
      <c r="AA78" s="113">
        <v>0</v>
      </c>
      <c r="AB78" s="113">
        <v>0</v>
      </c>
      <c r="AC78" s="24"/>
      <c r="AD78" s="24"/>
      <c r="AE78" s="24"/>
      <c r="AF78" s="24"/>
      <c r="AG78" s="24"/>
      <c r="AH78" s="270"/>
      <c r="AI78" s="46"/>
      <c r="AJ78" s="40"/>
    </row>
    <row r="79" spans="1:45" ht="15.75" customHeight="1">
      <c r="A79" s="241">
        <f>OVERALL!A13</f>
        <v>10</v>
      </c>
      <c r="B79" s="242">
        <f>OVERALL!B13</f>
        <v>2301245</v>
      </c>
      <c r="C79" s="243" t="str">
        <f>OVERALL!C13</f>
        <v>Payal</v>
      </c>
      <c r="D79" s="113">
        <v>8</v>
      </c>
      <c r="E79" s="113">
        <v>8</v>
      </c>
      <c r="F79" s="113">
        <v>9</v>
      </c>
      <c r="G79" s="113">
        <v>9</v>
      </c>
      <c r="H79" s="113">
        <v>9</v>
      </c>
      <c r="I79" s="113">
        <v>9</v>
      </c>
      <c r="J79" s="113">
        <v>7</v>
      </c>
      <c r="K79" s="113">
        <v>8</v>
      </c>
      <c r="L79" s="113">
        <v>8</v>
      </c>
      <c r="M79" s="113">
        <v>0</v>
      </c>
      <c r="N79" s="113">
        <v>8</v>
      </c>
      <c r="O79" s="156">
        <v>9</v>
      </c>
      <c r="P79" s="186">
        <v>9</v>
      </c>
      <c r="Q79" s="156">
        <v>9</v>
      </c>
      <c r="R79" s="156">
        <v>10</v>
      </c>
      <c r="S79" s="156">
        <v>8</v>
      </c>
      <c r="T79" s="186">
        <v>10</v>
      </c>
      <c r="U79" s="113">
        <v>8</v>
      </c>
      <c r="V79" s="113">
        <v>0</v>
      </c>
      <c r="W79" s="113">
        <v>0</v>
      </c>
      <c r="X79" s="156">
        <v>9</v>
      </c>
      <c r="Y79" s="156">
        <v>10</v>
      </c>
      <c r="Z79" s="156">
        <v>8</v>
      </c>
      <c r="AA79" s="186">
        <v>10</v>
      </c>
      <c r="AB79" s="113">
        <v>8</v>
      </c>
      <c r="AC79" s="24"/>
      <c r="AD79" s="24"/>
      <c r="AE79" s="24"/>
      <c r="AF79" s="24"/>
      <c r="AG79" s="24"/>
      <c r="AH79" s="40"/>
      <c r="AI79" s="46"/>
      <c r="AJ79" s="40"/>
    </row>
    <row r="80" spans="1:45" ht="15.75" customHeight="1">
      <c r="A80" s="241">
        <f>OVERALL!A14</f>
        <v>11</v>
      </c>
      <c r="B80" s="242">
        <f>OVERALL!B14</f>
        <v>2301247</v>
      </c>
      <c r="C80" s="243" t="str">
        <f>OVERALL!C14</f>
        <v>Priya</v>
      </c>
      <c r="D80" s="113">
        <v>7</v>
      </c>
      <c r="E80" s="113">
        <v>8</v>
      </c>
      <c r="F80" s="113">
        <v>0</v>
      </c>
      <c r="G80" s="113">
        <v>8</v>
      </c>
      <c r="H80" s="113">
        <v>8</v>
      </c>
      <c r="I80" s="113">
        <v>8</v>
      </c>
      <c r="J80" s="113">
        <v>9</v>
      </c>
      <c r="K80" s="113">
        <v>8</v>
      </c>
      <c r="L80" s="113">
        <v>8</v>
      </c>
      <c r="M80" s="113">
        <v>9</v>
      </c>
      <c r="N80" s="113">
        <v>8</v>
      </c>
      <c r="O80" s="156">
        <v>9</v>
      </c>
      <c r="P80" s="186">
        <v>8</v>
      </c>
      <c r="Q80" s="156">
        <v>0</v>
      </c>
      <c r="R80" s="156">
        <v>0</v>
      </c>
      <c r="S80" s="156">
        <v>6</v>
      </c>
      <c r="T80" s="186">
        <v>0</v>
      </c>
      <c r="U80" s="186">
        <v>0</v>
      </c>
      <c r="V80" s="186">
        <v>0</v>
      </c>
      <c r="W80" s="186">
        <v>0</v>
      </c>
      <c r="X80" s="186">
        <v>0</v>
      </c>
      <c r="Y80" s="186">
        <v>0</v>
      </c>
      <c r="Z80" s="186">
        <v>0</v>
      </c>
      <c r="AA80" s="186">
        <v>0</v>
      </c>
      <c r="AB80" s="186">
        <v>0</v>
      </c>
      <c r="AC80" s="24"/>
      <c r="AD80" s="24"/>
      <c r="AE80" s="24"/>
      <c r="AF80" s="24"/>
      <c r="AG80" s="24"/>
      <c r="AH80" s="40"/>
      <c r="AI80" s="46"/>
      <c r="AJ80" s="40"/>
    </row>
    <row r="81" spans="1:36" ht="15.75" customHeight="1">
      <c r="A81" s="241">
        <f>OVERALL!A15</f>
        <v>12</v>
      </c>
      <c r="B81" s="242">
        <f>OVERALL!B15</f>
        <v>2301248</v>
      </c>
      <c r="C81" s="243" t="str">
        <f>OVERALL!C15</f>
        <v>Priyam Puri</v>
      </c>
      <c r="D81" s="113">
        <v>0</v>
      </c>
      <c r="E81" s="113">
        <v>0</v>
      </c>
      <c r="F81" s="113">
        <v>0</v>
      </c>
      <c r="G81" s="113">
        <v>0</v>
      </c>
      <c r="H81" s="113">
        <v>0</v>
      </c>
      <c r="I81" s="113">
        <v>0</v>
      </c>
      <c r="J81" s="113">
        <v>0</v>
      </c>
      <c r="K81" s="113">
        <v>0</v>
      </c>
      <c r="L81" s="113">
        <v>0</v>
      </c>
      <c r="M81" s="113">
        <v>0</v>
      </c>
      <c r="N81" s="113">
        <v>0</v>
      </c>
      <c r="O81" s="113">
        <v>0</v>
      </c>
      <c r="P81" s="113">
        <v>0</v>
      </c>
      <c r="Q81" s="113">
        <v>0</v>
      </c>
      <c r="R81" s="113">
        <v>0</v>
      </c>
      <c r="S81" s="113">
        <v>0</v>
      </c>
      <c r="T81" s="113">
        <v>0</v>
      </c>
      <c r="U81" s="113">
        <v>0</v>
      </c>
      <c r="V81" s="113">
        <v>0</v>
      </c>
      <c r="W81" s="113">
        <v>0</v>
      </c>
      <c r="X81" s="113">
        <v>0</v>
      </c>
      <c r="Y81" s="113">
        <v>0</v>
      </c>
      <c r="Z81" s="113">
        <v>0</v>
      </c>
      <c r="AA81" s="113">
        <v>0</v>
      </c>
      <c r="AB81" s="113">
        <v>0</v>
      </c>
      <c r="AC81" s="24"/>
      <c r="AD81" s="24"/>
      <c r="AE81" s="24"/>
      <c r="AF81" s="24"/>
      <c r="AG81" s="24"/>
      <c r="AH81" s="40"/>
      <c r="AI81" s="46"/>
      <c r="AJ81" s="40"/>
    </row>
    <row r="82" spans="1:36" ht="15.75" customHeight="1">
      <c r="A82" s="241">
        <f>OVERALL!A16</f>
        <v>13</v>
      </c>
      <c r="B82" s="242">
        <f>OVERALL!B16</f>
        <v>2301249</v>
      </c>
      <c r="C82" s="243" t="str">
        <f>OVERALL!C16</f>
        <v>Rahul Sharma</v>
      </c>
      <c r="D82" s="113">
        <v>0</v>
      </c>
      <c r="E82" s="113">
        <v>8</v>
      </c>
      <c r="F82" s="113">
        <v>8</v>
      </c>
      <c r="G82" s="113">
        <v>8</v>
      </c>
      <c r="H82" s="113">
        <v>8</v>
      </c>
      <c r="I82" s="113">
        <v>8</v>
      </c>
      <c r="J82" s="113">
        <v>7</v>
      </c>
      <c r="K82" s="113">
        <v>0</v>
      </c>
      <c r="L82" s="113">
        <v>8</v>
      </c>
      <c r="M82" s="113">
        <v>0</v>
      </c>
      <c r="N82" s="113">
        <v>0</v>
      </c>
      <c r="O82" s="156">
        <v>8</v>
      </c>
      <c r="P82" s="186">
        <v>7</v>
      </c>
      <c r="Q82" s="156">
        <v>9</v>
      </c>
      <c r="R82" s="156">
        <v>8</v>
      </c>
      <c r="S82" s="156">
        <v>7</v>
      </c>
      <c r="T82" s="186">
        <v>8</v>
      </c>
      <c r="U82" s="113">
        <v>0</v>
      </c>
      <c r="V82" s="156">
        <v>8</v>
      </c>
      <c r="W82" s="186">
        <v>7</v>
      </c>
      <c r="X82" s="156">
        <v>9</v>
      </c>
      <c r="Y82" s="156">
        <v>8</v>
      </c>
      <c r="Z82" s="156">
        <v>7</v>
      </c>
      <c r="AA82" s="113">
        <v>0</v>
      </c>
      <c r="AB82" s="113">
        <v>0</v>
      </c>
      <c r="AC82" s="24"/>
      <c r="AD82" s="24"/>
      <c r="AE82" s="24"/>
      <c r="AF82" s="24"/>
      <c r="AG82" s="24"/>
      <c r="AH82" s="24"/>
      <c r="AI82" s="46"/>
      <c r="AJ82" s="40"/>
    </row>
    <row r="83" spans="1:36" ht="15.75" customHeight="1">
      <c r="A83" s="241">
        <f>OVERALL!A17</f>
        <v>14</v>
      </c>
      <c r="B83" s="242">
        <f>OVERALL!B17</f>
        <v>2301250</v>
      </c>
      <c r="C83" s="243" t="str">
        <f>OVERALL!C17</f>
        <v>Rahulpreet Singh Khinda</v>
      </c>
      <c r="D83" s="113">
        <v>0</v>
      </c>
      <c r="E83" s="113">
        <v>0</v>
      </c>
      <c r="F83" s="113">
        <v>0</v>
      </c>
      <c r="G83" s="113">
        <v>0</v>
      </c>
      <c r="H83" s="113">
        <v>0</v>
      </c>
      <c r="I83" s="113">
        <v>0</v>
      </c>
      <c r="J83" s="113">
        <v>8</v>
      </c>
      <c r="K83" s="113">
        <v>8</v>
      </c>
      <c r="L83" s="113">
        <v>8</v>
      </c>
      <c r="M83" s="113">
        <v>0</v>
      </c>
      <c r="N83" s="113">
        <v>0</v>
      </c>
      <c r="O83" s="156">
        <v>0</v>
      </c>
      <c r="P83" s="186">
        <v>7</v>
      </c>
      <c r="Q83" s="156">
        <v>7</v>
      </c>
      <c r="R83" s="156">
        <v>9</v>
      </c>
      <c r="S83" s="156">
        <v>9</v>
      </c>
      <c r="T83" s="186">
        <v>8</v>
      </c>
      <c r="U83" s="113">
        <v>0</v>
      </c>
      <c r="V83" s="156">
        <v>8</v>
      </c>
      <c r="W83" s="186">
        <v>7</v>
      </c>
      <c r="X83" s="156">
        <v>9</v>
      </c>
      <c r="Y83" s="156">
        <v>8</v>
      </c>
      <c r="Z83" s="156">
        <v>7</v>
      </c>
      <c r="AA83" s="113">
        <v>8</v>
      </c>
      <c r="AB83" s="113">
        <v>0</v>
      </c>
      <c r="AC83" s="24"/>
      <c r="AD83" s="24"/>
      <c r="AE83" s="24"/>
      <c r="AF83" s="24"/>
      <c r="AG83" s="24"/>
      <c r="AH83" s="24"/>
      <c r="AI83" s="46"/>
      <c r="AJ83" s="40"/>
    </row>
    <row r="84" spans="1:36" ht="15.75" customHeight="1">
      <c r="A84" s="241">
        <f>OVERALL!A18</f>
        <v>15</v>
      </c>
      <c r="B84" s="242">
        <f>OVERALL!B18</f>
        <v>2301251</v>
      </c>
      <c r="C84" s="243" t="str">
        <f>OVERALL!C18</f>
        <v>Raj Kumar</v>
      </c>
      <c r="D84" s="113">
        <v>0</v>
      </c>
      <c r="E84" s="113">
        <v>0</v>
      </c>
      <c r="F84" s="113">
        <v>0</v>
      </c>
      <c r="G84" s="113">
        <v>0</v>
      </c>
      <c r="H84" s="113">
        <v>0</v>
      </c>
      <c r="I84" s="113">
        <v>0</v>
      </c>
      <c r="J84" s="113">
        <v>7</v>
      </c>
      <c r="K84" s="113">
        <v>8</v>
      </c>
      <c r="L84" s="113">
        <v>8</v>
      </c>
      <c r="M84" s="113">
        <v>7</v>
      </c>
      <c r="N84" s="113">
        <v>9</v>
      </c>
      <c r="O84" s="156">
        <v>7</v>
      </c>
      <c r="P84" s="186">
        <v>8</v>
      </c>
      <c r="Q84" s="156">
        <v>8</v>
      </c>
      <c r="R84" s="156">
        <v>0</v>
      </c>
      <c r="S84" s="156">
        <v>7</v>
      </c>
      <c r="T84" s="186">
        <v>8</v>
      </c>
      <c r="U84" s="113">
        <v>8</v>
      </c>
      <c r="V84" s="113">
        <v>7</v>
      </c>
      <c r="W84" s="113">
        <v>7</v>
      </c>
      <c r="X84" s="113">
        <v>8</v>
      </c>
      <c r="Y84" s="113">
        <v>7</v>
      </c>
      <c r="Z84" s="113">
        <v>9</v>
      </c>
      <c r="AA84" s="113">
        <v>6</v>
      </c>
      <c r="AB84" s="113">
        <v>8</v>
      </c>
      <c r="AC84" s="24"/>
      <c r="AD84" s="24"/>
      <c r="AE84" s="24"/>
      <c r="AF84" s="24"/>
      <c r="AG84" s="24"/>
      <c r="AH84" s="24"/>
      <c r="AI84" s="46"/>
      <c r="AJ84" s="40"/>
    </row>
    <row r="85" spans="1:36" ht="15.75" customHeight="1">
      <c r="A85" s="241">
        <f>OVERALL!A19</f>
        <v>16</v>
      </c>
      <c r="B85" s="242">
        <f>OVERALL!B19</f>
        <v>2301252</v>
      </c>
      <c r="C85" s="243" t="str">
        <f>OVERALL!C19</f>
        <v>Rajan Sharma</v>
      </c>
      <c r="D85" s="113">
        <v>7</v>
      </c>
      <c r="E85" s="113">
        <v>8</v>
      </c>
      <c r="F85" s="113">
        <v>8</v>
      </c>
      <c r="G85" s="113">
        <v>8</v>
      </c>
      <c r="H85" s="113">
        <v>7</v>
      </c>
      <c r="I85" s="113">
        <v>7</v>
      </c>
      <c r="J85" s="113">
        <v>8</v>
      </c>
      <c r="K85" s="113">
        <v>0</v>
      </c>
      <c r="L85" s="113">
        <v>0</v>
      </c>
      <c r="M85" s="113">
        <v>8</v>
      </c>
      <c r="N85" s="113">
        <v>8</v>
      </c>
      <c r="O85" s="156">
        <v>9</v>
      </c>
      <c r="P85" s="186">
        <v>9</v>
      </c>
      <c r="Q85" s="156">
        <v>9</v>
      </c>
      <c r="R85" s="156">
        <v>10</v>
      </c>
      <c r="S85" s="156">
        <v>10</v>
      </c>
      <c r="T85" s="186">
        <v>9</v>
      </c>
      <c r="U85" s="113">
        <v>8</v>
      </c>
      <c r="V85" s="113">
        <v>7</v>
      </c>
      <c r="W85" s="113">
        <v>8</v>
      </c>
      <c r="X85" s="113">
        <v>8</v>
      </c>
      <c r="Y85" s="113">
        <v>9</v>
      </c>
      <c r="Z85" s="113">
        <v>0</v>
      </c>
      <c r="AA85" s="113">
        <v>8</v>
      </c>
      <c r="AB85" s="113">
        <v>8</v>
      </c>
      <c r="AC85" s="24"/>
      <c r="AD85" s="24"/>
      <c r="AE85" s="24"/>
      <c r="AF85" s="24"/>
      <c r="AG85" s="24"/>
      <c r="AH85" s="24"/>
      <c r="AI85" s="46"/>
      <c r="AJ85" s="40"/>
    </row>
    <row r="86" spans="1:36" ht="15.75" customHeight="1">
      <c r="A86" s="241">
        <f>OVERALL!A20</f>
        <v>17</v>
      </c>
      <c r="B86" s="242">
        <f>OVERALL!B20</f>
        <v>2301253</v>
      </c>
      <c r="C86" s="243" t="str">
        <f>OVERALL!C20</f>
        <v>Rajwinder Kaur</v>
      </c>
      <c r="D86" s="113">
        <v>9</v>
      </c>
      <c r="E86" s="113">
        <v>7</v>
      </c>
      <c r="F86" s="113">
        <v>8</v>
      </c>
      <c r="G86" s="113">
        <v>0</v>
      </c>
      <c r="H86" s="113">
        <v>9</v>
      </c>
      <c r="I86" s="113">
        <v>8</v>
      </c>
      <c r="J86" s="113">
        <v>8</v>
      </c>
      <c r="K86" s="113">
        <v>8</v>
      </c>
      <c r="L86" s="113">
        <v>8</v>
      </c>
      <c r="M86" s="113">
        <v>9</v>
      </c>
      <c r="N86" s="113">
        <v>7</v>
      </c>
      <c r="O86" s="156">
        <v>9</v>
      </c>
      <c r="P86" s="186">
        <v>0</v>
      </c>
      <c r="Q86" s="156">
        <v>0</v>
      </c>
      <c r="R86" s="156">
        <v>0</v>
      </c>
      <c r="S86" s="156">
        <v>10</v>
      </c>
      <c r="T86" s="186">
        <v>0</v>
      </c>
      <c r="U86" s="113">
        <v>8</v>
      </c>
      <c r="V86" s="113">
        <v>9</v>
      </c>
      <c r="W86" s="113">
        <v>0</v>
      </c>
      <c r="X86" s="156">
        <v>8</v>
      </c>
      <c r="Y86" s="186">
        <v>9</v>
      </c>
      <c r="Z86" s="156">
        <v>9</v>
      </c>
      <c r="AA86" s="156">
        <v>8</v>
      </c>
      <c r="AB86" s="156">
        <v>9</v>
      </c>
      <c r="AC86" s="24"/>
      <c r="AD86" s="24"/>
      <c r="AE86" s="24"/>
      <c r="AF86" s="24"/>
      <c r="AG86" s="24"/>
      <c r="AH86" s="24"/>
      <c r="AI86" s="46"/>
      <c r="AJ86" s="40"/>
    </row>
    <row r="87" spans="1:36" ht="15.75" customHeight="1">
      <c r="A87" s="241">
        <f>OVERALL!A21</f>
        <v>18</v>
      </c>
      <c r="B87" s="242">
        <f>OVERALL!B21</f>
        <v>2301254</v>
      </c>
      <c r="C87" s="243" t="str">
        <f>OVERALL!C21</f>
        <v>RANJIT SHAH KANU</v>
      </c>
      <c r="D87" s="113">
        <v>0</v>
      </c>
      <c r="E87" s="113">
        <v>0</v>
      </c>
      <c r="F87" s="113">
        <v>0</v>
      </c>
      <c r="G87" s="113">
        <v>0</v>
      </c>
      <c r="H87" s="113">
        <v>0</v>
      </c>
      <c r="I87" s="113">
        <v>0</v>
      </c>
      <c r="J87" s="113">
        <v>0</v>
      </c>
      <c r="K87" s="113">
        <v>0</v>
      </c>
      <c r="L87" s="113">
        <v>0</v>
      </c>
      <c r="M87" s="113">
        <v>0</v>
      </c>
      <c r="N87" s="113">
        <v>0</v>
      </c>
      <c r="O87" s="113">
        <v>0</v>
      </c>
      <c r="P87" s="113">
        <v>0</v>
      </c>
      <c r="Q87" s="113">
        <v>0</v>
      </c>
      <c r="R87" s="113">
        <v>0</v>
      </c>
      <c r="S87" s="113">
        <v>0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0</v>
      </c>
      <c r="Z87" s="113">
        <v>0</v>
      </c>
      <c r="AA87" s="113">
        <v>0</v>
      </c>
      <c r="AB87" s="113">
        <v>0</v>
      </c>
      <c r="AC87" s="24"/>
      <c r="AD87" s="24"/>
      <c r="AE87" s="24"/>
      <c r="AF87" s="24"/>
      <c r="AG87" s="24"/>
      <c r="AH87" s="24"/>
      <c r="AI87" s="46"/>
      <c r="AJ87" s="40"/>
    </row>
    <row r="88" spans="1:36" ht="15.75" customHeight="1">
      <c r="A88" s="241">
        <f>OVERALL!A22</f>
        <v>19</v>
      </c>
      <c r="B88" s="242">
        <f>OVERALL!B22</f>
        <v>2301255</v>
      </c>
      <c r="C88" s="243" t="str">
        <f>OVERALL!C22</f>
        <v>Ravi Bhushan Kumar</v>
      </c>
      <c r="D88" s="113">
        <v>0</v>
      </c>
      <c r="E88" s="113">
        <v>0</v>
      </c>
      <c r="F88" s="113">
        <v>0</v>
      </c>
      <c r="G88" s="113">
        <v>7</v>
      </c>
      <c r="H88" s="113">
        <v>9</v>
      </c>
      <c r="I88" s="113">
        <v>9</v>
      </c>
      <c r="J88" s="113">
        <v>9</v>
      </c>
      <c r="K88" s="113">
        <v>8</v>
      </c>
      <c r="L88" s="113">
        <v>9</v>
      </c>
      <c r="M88" s="113">
        <v>9</v>
      </c>
      <c r="N88" s="113">
        <v>8</v>
      </c>
      <c r="O88" s="156">
        <v>9</v>
      </c>
      <c r="P88" s="186">
        <v>9</v>
      </c>
      <c r="Q88" s="156">
        <v>10</v>
      </c>
      <c r="R88" s="156">
        <v>9</v>
      </c>
      <c r="S88" s="156">
        <v>10</v>
      </c>
      <c r="T88" s="186">
        <v>10</v>
      </c>
      <c r="U88" s="113">
        <v>0</v>
      </c>
      <c r="V88" s="113">
        <v>9</v>
      </c>
      <c r="W88" s="113">
        <v>9</v>
      </c>
      <c r="X88" s="113">
        <v>8</v>
      </c>
      <c r="Y88" s="113">
        <v>9</v>
      </c>
      <c r="Z88" s="113">
        <v>9</v>
      </c>
      <c r="AA88" s="113">
        <v>9</v>
      </c>
      <c r="AB88" s="113">
        <v>0</v>
      </c>
      <c r="AC88" s="24"/>
      <c r="AD88" s="24"/>
      <c r="AE88" s="24"/>
      <c r="AF88" s="24"/>
      <c r="AG88" s="24"/>
      <c r="AH88" s="24"/>
      <c r="AI88" s="46"/>
      <c r="AJ88" s="40"/>
    </row>
    <row r="89" spans="1:36" ht="15.75" customHeight="1">
      <c r="A89" s="241">
        <f>OVERALL!A23</f>
        <v>20</v>
      </c>
      <c r="B89" s="242">
        <f>OVERALL!B23</f>
        <v>2301256</v>
      </c>
      <c r="C89" s="243" t="str">
        <f>OVERALL!C23</f>
        <v>Reshma</v>
      </c>
      <c r="D89" s="113">
        <v>8</v>
      </c>
      <c r="E89" s="113">
        <v>7</v>
      </c>
      <c r="F89" s="113">
        <v>8</v>
      </c>
      <c r="G89" s="113">
        <v>8</v>
      </c>
      <c r="H89" s="113">
        <v>8</v>
      </c>
      <c r="I89" s="113">
        <v>8</v>
      </c>
      <c r="J89" s="113">
        <v>7</v>
      </c>
      <c r="K89" s="113">
        <v>8</v>
      </c>
      <c r="L89" s="113">
        <v>8</v>
      </c>
      <c r="M89" s="113">
        <v>9</v>
      </c>
      <c r="N89" s="113">
        <v>9</v>
      </c>
      <c r="O89" s="156">
        <v>7</v>
      </c>
      <c r="P89" s="186">
        <v>7</v>
      </c>
      <c r="Q89" s="156">
        <v>6</v>
      </c>
      <c r="R89" s="156">
        <v>0</v>
      </c>
      <c r="S89" s="156">
        <v>0</v>
      </c>
      <c r="T89" s="186">
        <v>0</v>
      </c>
      <c r="U89" s="113">
        <v>0</v>
      </c>
      <c r="V89" s="113">
        <v>0</v>
      </c>
      <c r="W89" s="113">
        <v>0</v>
      </c>
      <c r="X89" s="113">
        <v>7</v>
      </c>
      <c r="Y89" s="113">
        <v>8</v>
      </c>
      <c r="Z89" s="113">
        <v>9</v>
      </c>
      <c r="AA89" s="113">
        <v>8</v>
      </c>
      <c r="AB89" s="113">
        <v>8</v>
      </c>
      <c r="AC89" s="24"/>
      <c r="AD89" s="24"/>
      <c r="AE89" s="24"/>
      <c r="AF89" s="24"/>
      <c r="AG89" s="24"/>
      <c r="AH89" s="24"/>
      <c r="AI89" s="46"/>
      <c r="AJ89" s="40"/>
    </row>
    <row r="90" spans="1:36" ht="15.75" customHeight="1">
      <c r="A90" s="241">
        <f>OVERALL!A24</f>
        <v>21</v>
      </c>
      <c r="B90" s="242">
        <f>OVERALL!B24</f>
        <v>2301257</v>
      </c>
      <c r="C90" s="243" t="str">
        <f>OVERALL!C24</f>
        <v>Ritesh Kumar Choudhary</v>
      </c>
      <c r="D90" s="113">
        <v>7</v>
      </c>
      <c r="E90" s="113">
        <v>0</v>
      </c>
      <c r="F90" s="113">
        <v>0</v>
      </c>
      <c r="G90" s="113">
        <v>9</v>
      </c>
      <c r="H90" s="113">
        <v>8</v>
      </c>
      <c r="I90" s="113">
        <v>7</v>
      </c>
      <c r="J90" s="113">
        <v>8</v>
      </c>
      <c r="K90" s="113">
        <v>0</v>
      </c>
      <c r="L90" s="113">
        <v>0</v>
      </c>
      <c r="M90" s="113">
        <v>0</v>
      </c>
      <c r="N90" s="113">
        <v>0</v>
      </c>
      <c r="O90" s="156">
        <v>7</v>
      </c>
      <c r="P90" s="186">
        <v>8</v>
      </c>
      <c r="Q90" s="156">
        <v>7</v>
      </c>
      <c r="R90" s="156">
        <v>0</v>
      </c>
      <c r="S90" s="156">
        <v>0</v>
      </c>
      <c r="T90" s="186">
        <v>0</v>
      </c>
      <c r="U90" s="113">
        <v>0</v>
      </c>
      <c r="V90" s="113">
        <v>0</v>
      </c>
      <c r="W90" s="113">
        <v>0</v>
      </c>
      <c r="X90" s="113">
        <v>0</v>
      </c>
      <c r="Y90" s="113">
        <v>8</v>
      </c>
      <c r="Z90" s="113">
        <v>8</v>
      </c>
      <c r="AA90" s="113">
        <v>9</v>
      </c>
      <c r="AB90" s="113">
        <v>8</v>
      </c>
      <c r="AC90" s="24"/>
      <c r="AD90" s="24"/>
      <c r="AE90" s="24"/>
      <c r="AF90" s="24"/>
      <c r="AG90" s="24"/>
      <c r="AH90" s="24"/>
      <c r="AI90" s="46"/>
      <c r="AJ90" s="40"/>
    </row>
    <row r="91" spans="1:36" ht="15.75" customHeight="1">
      <c r="A91" s="241">
        <f>OVERALL!A25</f>
        <v>22</v>
      </c>
      <c r="B91" s="242">
        <f>OVERALL!B25</f>
        <v>2301258</v>
      </c>
      <c r="C91" s="243" t="str">
        <f>OVERALL!C25</f>
        <v>Ritesh Thakur</v>
      </c>
      <c r="D91" s="113">
        <v>7</v>
      </c>
      <c r="E91" s="113">
        <v>0</v>
      </c>
      <c r="F91" s="113">
        <v>9</v>
      </c>
      <c r="G91" s="113">
        <v>8</v>
      </c>
      <c r="H91" s="113">
        <v>0</v>
      </c>
      <c r="I91" s="113">
        <v>0</v>
      </c>
      <c r="J91" s="113">
        <v>0</v>
      </c>
      <c r="K91" s="113">
        <v>0</v>
      </c>
      <c r="L91" s="113">
        <v>9</v>
      </c>
      <c r="M91" s="113">
        <v>0</v>
      </c>
      <c r="N91" s="113">
        <v>0</v>
      </c>
      <c r="O91" s="156">
        <v>7</v>
      </c>
      <c r="P91" s="186">
        <v>7</v>
      </c>
      <c r="Q91" s="156">
        <v>0</v>
      </c>
      <c r="R91" s="156">
        <v>0</v>
      </c>
      <c r="S91" s="156">
        <v>0</v>
      </c>
      <c r="T91" s="186">
        <v>0</v>
      </c>
      <c r="U91" s="186">
        <v>0</v>
      </c>
      <c r="V91" s="186">
        <v>0</v>
      </c>
      <c r="W91" s="186">
        <v>0</v>
      </c>
      <c r="X91" s="186">
        <v>0</v>
      </c>
      <c r="Y91" s="186">
        <v>0</v>
      </c>
      <c r="Z91" s="186">
        <v>0</v>
      </c>
      <c r="AA91" s="186">
        <v>0</v>
      </c>
      <c r="AB91" s="186">
        <v>0</v>
      </c>
      <c r="AC91" s="24"/>
      <c r="AD91" s="24"/>
      <c r="AE91" s="24"/>
      <c r="AF91" s="24"/>
      <c r="AG91" s="24"/>
      <c r="AH91" s="24"/>
      <c r="AI91" s="46"/>
      <c r="AJ91" s="40"/>
    </row>
    <row r="92" spans="1:36" ht="15.75" customHeight="1">
      <c r="A92" s="241">
        <f>OVERALL!A26</f>
        <v>23</v>
      </c>
      <c r="B92" s="242">
        <f>OVERALL!B26</f>
        <v>2301259</v>
      </c>
      <c r="C92" s="243" t="str">
        <f>OVERALL!C26</f>
        <v>Riya Thakur</v>
      </c>
      <c r="D92" s="113">
        <v>0</v>
      </c>
      <c r="E92" s="113">
        <v>8</v>
      </c>
      <c r="F92" s="113">
        <v>8</v>
      </c>
      <c r="G92" s="113">
        <v>8</v>
      </c>
      <c r="H92" s="113">
        <v>7</v>
      </c>
      <c r="I92" s="113">
        <v>8</v>
      </c>
      <c r="J92" s="113">
        <v>8</v>
      </c>
      <c r="K92" s="113">
        <v>8</v>
      </c>
      <c r="L92" s="113">
        <v>8</v>
      </c>
      <c r="M92" s="113">
        <v>8</v>
      </c>
      <c r="N92" s="113">
        <v>8</v>
      </c>
      <c r="O92" s="156">
        <v>8</v>
      </c>
      <c r="P92" s="186">
        <v>6</v>
      </c>
      <c r="Q92" s="156">
        <v>9</v>
      </c>
      <c r="R92" s="156">
        <v>9</v>
      </c>
      <c r="S92" s="156">
        <v>8</v>
      </c>
      <c r="T92" s="186">
        <v>0</v>
      </c>
      <c r="U92" s="113">
        <v>8</v>
      </c>
      <c r="V92" s="113">
        <v>0</v>
      </c>
      <c r="W92" s="113">
        <v>0</v>
      </c>
      <c r="X92" s="113">
        <v>8</v>
      </c>
      <c r="Y92" s="113">
        <v>0</v>
      </c>
      <c r="Z92" s="113">
        <v>7</v>
      </c>
      <c r="AA92" s="113">
        <v>0</v>
      </c>
      <c r="AB92" s="113">
        <v>0</v>
      </c>
      <c r="AC92" s="24"/>
      <c r="AD92" s="24"/>
      <c r="AE92" s="24"/>
      <c r="AF92" s="24"/>
      <c r="AG92" s="24"/>
      <c r="AH92" s="24"/>
      <c r="AI92" s="46"/>
      <c r="AJ92" s="40"/>
    </row>
    <row r="93" spans="1:36" ht="15.75" customHeight="1">
      <c r="A93" s="241">
        <f>OVERALL!A27</f>
        <v>24</v>
      </c>
      <c r="B93" s="242">
        <f>OVERALL!B27</f>
        <v>2301260</v>
      </c>
      <c r="C93" s="243" t="str">
        <f>OVERALL!C27</f>
        <v>Rounit Dhiman</v>
      </c>
      <c r="D93" s="113">
        <v>0</v>
      </c>
      <c r="E93" s="113">
        <v>0</v>
      </c>
      <c r="F93" s="113">
        <v>0</v>
      </c>
      <c r="G93" s="113">
        <v>0</v>
      </c>
      <c r="H93" s="113">
        <v>0</v>
      </c>
      <c r="I93" s="113">
        <v>0</v>
      </c>
      <c r="J93" s="113">
        <v>8</v>
      </c>
      <c r="K93" s="113">
        <v>8</v>
      </c>
      <c r="L93" s="113">
        <v>8</v>
      </c>
      <c r="M93" s="113">
        <v>0</v>
      </c>
      <c r="N93" s="113">
        <v>9</v>
      </c>
      <c r="O93" s="156">
        <v>8</v>
      </c>
      <c r="P93" s="186">
        <v>7</v>
      </c>
      <c r="Q93" s="156">
        <v>7</v>
      </c>
      <c r="R93" s="156">
        <v>0</v>
      </c>
      <c r="S93" s="156">
        <v>0</v>
      </c>
      <c r="T93" s="186">
        <v>8</v>
      </c>
      <c r="U93" s="113">
        <v>7</v>
      </c>
      <c r="V93" s="113">
        <v>9</v>
      </c>
      <c r="W93" s="113">
        <v>8</v>
      </c>
      <c r="X93" s="113">
        <v>8</v>
      </c>
      <c r="Y93" s="113">
        <v>9</v>
      </c>
      <c r="Z93" s="113">
        <v>0</v>
      </c>
      <c r="AA93" s="113">
        <v>0</v>
      </c>
      <c r="AB93" s="113">
        <v>0</v>
      </c>
      <c r="AC93" s="24"/>
      <c r="AD93" s="24"/>
      <c r="AE93" s="24"/>
      <c r="AF93" s="24"/>
      <c r="AG93" s="24"/>
      <c r="AH93" s="24"/>
      <c r="AI93" s="46"/>
      <c r="AJ93" s="40"/>
    </row>
    <row r="94" spans="1:36" ht="15.75" customHeight="1">
      <c r="A94" s="241">
        <f>OVERALL!A28</f>
        <v>25</v>
      </c>
      <c r="B94" s="242">
        <f>OVERALL!B28</f>
        <v>2301261</v>
      </c>
      <c r="C94" s="243" t="str">
        <f>OVERALL!C28</f>
        <v>Rubby Kumari</v>
      </c>
      <c r="D94" s="113">
        <v>0</v>
      </c>
      <c r="E94" s="113">
        <v>8</v>
      </c>
      <c r="F94" s="113">
        <v>0</v>
      </c>
      <c r="G94" s="113">
        <v>7</v>
      </c>
      <c r="H94" s="113">
        <v>0</v>
      </c>
      <c r="I94" s="113">
        <v>8</v>
      </c>
      <c r="J94" s="113">
        <v>9</v>
      </c>
      <c r="K94" s="113">
        <v>0</v>
      </c>
      <c r="L94" s="113">
        <v>7</v>
      </c>
      <c r="M94" s="113">
        <v>0</v>
      </c>
      <c r="N94" s="113">
        <v>0</v>
      </c>
      <c r="O94" s="156">
        <v>0</v>
      </c>
      <c r="P94" s="186">
        <v>0</v>
      </c>
      <c r="Q94" s="156">
        <v>8</v>
      </c>
      <c r="R94" s="156">
        <v>9</v>
      </c>
      <c r="S94" s="156">
        <v>9</v>
      </c>
      <c r="T94" s="186">
        <v>8</v>
      </c>
      <c r="U94" s="113">
        <v>0</v>
      </c>
      <c r="V94" s="113">
        <v>0</v>
      </c>
      <c r="W94" s="113">
        <v>8</v>
      </c>
      <c r="X94" s="113">
        <v>9</v>
      </c>
      <c r="Y94" s="113">
        <v>0</v>
      </c>
      <c r="Z94" s="113">
        <v>0</v>
      </c>
      <c r="AA94" s="113">
        <v>8</v>
      </c>
      <c r="AB94" s="113">
        <v>0</v>
      </c>
      <c r="AC94" s="24"/>
      <c r="AD94" s="24"/>
      <c r="AE94" s="24"/>
      <c r="AF94" s="24"/>
      <c r="AG94" s="24"/>
      <c r="AH94" s="24"/>
      <c r="AI94" s="46"/>
      <c r="AJ94" s="40"/>
    </row>
    <row r="95" spans="1:36" ht="15.75" customHeight="1">
      <c r="A95" s="241">
        <f>OVERALL!A29</f>
        <v>26</v>
      </c>
      <c r="B95" s="242">
        <f>OVERALL!B29</f>
        <v>2301262</v>
      </c>
      <c r="C95" s="243" t="str">
        <f>OVERALL!C29</f>
        <v>Sakshi Devi</v>
      </c>
      <c r="D95" s="113">
        <v>0</v>
      </c>
      <c r="E95" s="113">
        <v>0</v>
      </c>
      <c r="F95" s="113">
        <v>0</v>
      </c>
      <c r="G95" s="113">
        <v>7</v>
      </c>
      <c r="H95" s="113">
        <v>8</v>
      </c>
      <c r="I95" s="113">
        <v>0</v>
      </c>
      <c r="J95" s="113">
        <v>8</v>
      </c>
      <c r="K95" s="113">
        <v>7</v>
      </c>
      <c r="L95" s="113">
        <v>9</v>
      </c>
      <c r="M95" s="113">
        <v>8</v>
      </c>
      <c r="N95" s="113">
        <v>0</v>
      </c>
      <c r="O95" s="156">
        <v>8</v>
      </c>
      <c r="P95" s="186">
        <v>6</v>
      </c>
      <c r="Q95" s="156">
        <v>9</v>
      </c>
      <c r="R95" s="156">
        <v>9</v>
      </c>
      <c r="S95" s="156">
        <v>10</v>
      </c>
      <c r="T95" s="186">
        <v>9</v>
      </c>
      <c r="U95" s="113">
        <v>8</v>
      </c>
      <c r="V95" s="113">
        <v>8</v>
      </c>
      <c r="W95" s="113">
        <v>7</v>
      </c>
      <c r="X95" s="113">
        <v>0</v>
      </c>
      <c r="Y95" s="113">
        <v>0</v>
      </c>
      <c r="Z95" s="113">
        <v>8</v>
      </c>
      <c r="AA95" s="113">
        <v>0</v>
      </c>
      <c r="AB95" s="113">
        <v>0</v>
      </c>
      <c r="AC95" s="24"/>
      <c r="AD95" s="24"/>
      <c r="AE95" s="24"/>
      <c r="AF95" s="24"/>
      <c r="AG95" s="24"/>
      <c r="AH95" s="24"/>
      <c r="AI95" s="46"/>
      <c r="AJ95" s="40"/>
    </row>
    <row r="96" spans="1:36" ht="15.75" customHeight="1">
      <c r="A96" s="241">
        <f>OVERALL!A30</f>
        <v>27</v>
      </c>
      <c r="B96" s="242">
        <f>OVERALL!B30</f>
        <v>2301263</v>
      </c>
      <c r="C96" s="243" t="str">
        <f>OVERALL!C30</f>
        <v>Sanchi Sharma</v>
      </c>
      <c r="D96" s="113">
        <v>8</v>
      </c>
      <c r="E96" s="113">
        <v>8</v>
      </c>
      <c r="F96" s="113">
        <v>9</v>
      </c>
      <c r="G96" s="113">
        <v>8</v>
      </c>
      <c r="H96" s="113">
        <v>8</v>
      </c>
      <c r="I96" s="113">
        <v>9</v>
      </c>
      <c r="J96" s="113">
        <v>8</v>
      </c>
      <c r="K96" s="113">
        <v>7</v>
      </c>
      <c r="L96" s="113">
        <v>8</v>
      </c>
      <c r="M96" s="113">
        <v>8</v>
      </c>
      <c r="N96" s="113">
        <v>8</v>
      </c>
      <c r="O96" s="156">
        <v>8</v>
      </c>
      <c r="P96" s="186">
        <v>7</v>
      </c>
      <c r="Q96" s="156">
        <v>7</v>
      </c>
      <c r="R96" s="156">
        <v>9</v>
      </c>
      <c r="S96" s="156">
        <v>6</v>
      </c>
      <c r="T96" s="186">
        <v>8</v>
      </c>
      <c r="U96" s="113">
        <v>8</v>
      </c>
      <c r="V96" s="156">
        <v>8</v>
      </c>
      <c r="W96" s="186">
        <v>7</v>
      </c>
      <c r="X96" s="156">
        <v>7</v>
      </c>
      <c r="Y96" s="156">
        <v>9</v>
      </c>
      <c r="Z96" s="156">
        <v>6</v>
      </c>
      <c r="AA96" s="186">
        <v>8</v>
      </c>
      <c r="AB96" s="113">
        <v>8</v>
      </c>
      <c r="AC96" s="24"/>
      <c r="AD96" s="24"/>
      <c r="AE96" s="24"/>
      <c r="AF96" s="24"/>
      <c r="AG96" s="24"/>
      <c r="AH96" s="24"/>
      <c r="AI96" s="46"/>
      <c r="AJ96" s="40"/>
    </row>
    <row r="97" spans="1:36" ht="15.75" customHeight="1">
      <c r="A97" s="241">
        <f>OVERALL!A31</f>
        <v>28</v>
      </c>
      <c r="B97" s="242">
        <f>OVERALL!B31</f>
        <v>2301264</v>
      </c>
      <c r="C97" s="243" t="str">
        <f>OVERALL!C31</f>
        <v>Sarbjit Singh</v>
      </c>
      <c r="D97" s="113">
        <v>0</v>
      </c>
      <c r="E97" s="113">
        <v>0</v>
      </c>
      <c r="F97" s="113">
        <v>0</v>
      </c>
      <c r="G97" s="113">
        <v>0</v>
      </c>
      <c r="H97" s="113">
        <v>8</v>
      </c>
      <c r="I97" s="113">
        <v>8</v>
      </c>
      <c r="J97" s="113">
        <v>0</v>
      </c>
      <c r="K97" s="113">
        <v>8</v>
      </c>
      <c r="L97" s="113">
        <v>8</v>
      </c>
      <c r="M97" s="113">
        <v>9</v>
      </c>
      <c r="N97" s="113">
        <v>8</v>
      </c>
      <c r="O97" s="156">
        <v>7</v>
      </c>
      <c r="P97" s="186">
        <v>6</v>
      </c>
      <c r="Q97" s="156">
        <v>7</v>
      </c>
      <c r="R97" s="156">
        <v>0</v>
      </c>
      <c r="S97" s="156">
        <v>0</v>
      </c>
      <c r="T97" s="186">
        <v>0</v>
      </c>
      <c r="U97" s="113">
        <v>8</v>
      </c>
      <c r="V97" s="113">
        <v>0</v>
      </c>
      <c r="W97" s="113">
        <v>0</v>
      </c>
      <c r="X97" s="113">
        <v>0</v>
      </c>
      <c r="Y97" s="113">
        <v>0</v>
      </c>
      <c r="Z97" s="113">
        <v>0</v>
      </c>
      <c r="AA97" s="113">
        <v>0</v>
      </c>
      <c r="AB97" s="113">
        <v>0</v>
      </c>
      <c r="AC97" s="24"/>
      <c r="AD97" s="24"/>
      <c r="AE97" s="24"/>
      <c r="AF97" s="24"/>
      <c r="AG97" s="24"/>
      <c r="AH97" s="24"/>
      <c r="AI97" s="46"/>
      <c r="AJ97" s="40"/>
    </row>
    <row r="98" spans="1:36" ht="15.75" customHeight="1">
      <c r="A98" s="241">
        <f>OVERALL!A32</f>
        <v>29</v>
      </c>
      <c r="B98" s="242">
        <f>OVERALL!B32</f>
        <v>2301265</v>
      </c>
      <c r="C98" s="243" t="str">
        <f>OVERALL!C32</f>
        <v>Sarif Mayangmayum</v>
      </c>
      <c r="D98" s="113">
        <v>0</v>
      </c>
      <c r="E98" s="113">
        <v>0</v>
      </c>
      <c r="F98" s="113">
        <v>0</v>
      </c>
      <c r="G98" s="113">
        <v>8</v>
      </c>
      <c r="H98" s="113">
        <v>7</v>
      </c>
      <c r="I98" s="113">
        <v>8</v>
      </c>
      <c r="J98" s="113">
        <v>7</v>
      </c>
      <c r="K98" s="113">
        <v>8</v>
      </c>
      <c r="L98" s="113">
        <v>8</v>
      </c>
      <c r="M98" s="113">
        <v>8</v>
      </c>
      <c r="N98" s="113">
        <v>9</v>
      </c>
      <c r="O98" s="156">
        <v>8</v>
      </c>
      <c r="P98" s="186">
        <v>0</v>
      </c>
      <c r="Q98" s="156">
        <v>8</v>
      </c>
      <c r="R98" s="156">
        <v>9</v>
      </c>
      <c r="S98" s="156">
        <v>0</v>
      </c>
      <c r="T98" s="186">
        <v>8</v>
      </c>
      <c r="U98" s="113">
        <v>0</v>
      </c>
      <c r="V98" s="113">
        <v>0</v>
      </c>
      <c r="W98" s="113">
        <v>0</v>
      </c>
      <c r="X98" s="113">
        <v>8</v>
      </c>
      <c r="Y98" s="113">
        <v>9</v>
      </c>
      <c r="Z98" s="113">
        <v>8</v>
      </c>
      <c r="AA98" s="113">
        <v>7</v>
      </c>
      <c r="AB98" s="113">
        <v>8</v>
      </c>
      <c r="AC98" s="24"/>
      <c r="AD98" s="24"/>
      <c r="AE98" s="24"/>
      <c r="AF98" s="24"/>
      <c r="AG98" s="24"/>
      <c r="AH98" s="24"/>
      <c r="AI98" s="46"/>
      <c r="AJ98" s="40"/>
    </row>
    <row r="99" spans="1:36" ht="15.75" customHeight="1">
      <c r="A99" s="241">
        <f>OVERALL!A33</f>
        <v>30</v>
      </c>
      <c r="B99" s="242">
        <f>OVERALL!B33</f>
        <v>2301267</v>
      </c>
      <c r="C99" s="243" t="str">
        <f>OVERALL!C33</f>
        <v>Shivam Kumar Chaubey</v>
      </c>
      <c r="D99" s="113">
        <v>0</v>
      </c>
      <c r="E99" s="113">
        <v>8</v>
      </c>
      <c r="F99" s="113">
        <v>7</v>
      </c>
      <c r="G99" s="113">
        <v>8</v>
      </c>
      <c r="H99" s="113">
        <v>9</v>
      </c>
      <c r="I99" s="113">
        <v>8</v>
      </c>
      <c r="J99" s="113">
        <v>0</v>
      </c>
      <c r="K99" s="113">
        <v>8</v>
      </c>
      <c r="L99" s="113">
        <v>8</v>
      </c>
      <c r="M99" s="113">
        <v>8</v>
      </c>
      <c r="N99" s="113">
        <v>9</v>
      </c>
      <c r="O99" s="156">
        <v>8</v>
      </c>
      <c r="P99" s="186">
        <v>7</v>
      </c>
      <c r="Q99" s="156">
        <v>8</v>
      </c>
      <c r="R99" s="156">
        <v>9</v>
      </c>
      <c r="S99" s="156">
        <v>8</v>
      </c>
      <c r="T99" s="186">
        <v>0</v>
      </c>
      <c r="U99" s="113">
        <v>8</v>
      </c>
      <c r="V99" s="113">
        <v>0</v>
      </c>
      <c r="W99" s="156">
        <v>8</v>
      </c>
      <c r="X99" s="186">
        <v>7</v>
      </c>
      <c r="Y99" s="156">
        <v>9</v>
      </c>
      <c r="Z99" s="156">
        <v>8</v>
      </c>
      <c r="AA99" s="156">
        <v>7</v>
      </c>
      <c r="AB99" s="113">
        <v>8</v>
      </c>
      <c r="AC99" s="24"/>
      <c r="AD99" s="24"/>
      <c r="AE99" s="24"/>
      <c r="AF99" s="24"/>
      <c r="AG99" s="24"/>
      <c r="AH99" s="24"/>
      <c r="AI99" s="46"/>
      <c r="AJ99" s="40"/>
    </row>
    <row r="100" spans="1:36" ht="15.75" customHeight="1">
      <c r="A100" s="241">
        <f>OVERALL!A34</f>
        <v>31</v>
      </c>
      <c r="B100" s="242">
        <f>OVERALL!B34</f>
        <v>2301268</v>
      </c>
      <c r="C100" s="243" t="str">
        <f>OVERALL!C34</f>
        <v>Simba Godfrey</v>
      </c>
      <c r="D100" s="113">
        <v>9</v>
      </c>
      <c r="E100" s="113">
        <v>0</v>
      </c>
      <c r="F100" s="113">
        <v>9</v>
      </c>
      <c r="G100" s="113">
        <v>8</v>
      </c>
      <c r="H100" s="113">
        <v>9</v>
      </c>
      <c r="I100" s="113">
        <v>8</v>
      </c>
      <c r="J100" s="113">
        <v>9</v>
      </c>
      <c r="K100" s="113">
        <v>8</v>
      </c>
      <c r="L100" s="113">
        <v>9</v>
      </c>
      <c r="M100" s="113">
        <v>0</v>
      </c>
      <c r="N100" s="113">
        <v>0</v>
      </c>
      <c r="O100" s="156">
        <v>0</v>
      </c>
      <c r="P100" s="186">
        <v>9</v>
      </c>
      <c r="Q100" s="156">
        <v>7</v>
      </c>
      <c r="R100" s="156">
        <v>0</v>
      </c>
      <c r="S100" s="156">
        <v>8</v>
      </c>
      <c r="T100" s="186">
        <v>0</v>
      </c>
      <c r="U100" s="113">
        <v>9</v>
      </c>
      <c r="V100" s="113">
        <v>8</v>
      </c>
      <c r="W100" s="113">
        <v>0</v>
      </c>
      <c r="X100" s="113">
        <v>0</v>
      </c>
      <c r="Y100" s="113">
        <v>0</v>
      </c>
      <c r="Z100" s="113">
        <v>9</v>
      </c>
      <c r="AA100" s="113">
        <v>0</v>
      </c>
      <c r="AB100" s="113">
        <v>0</v>
      </c>
      <c r="AC100" s="24"/>
      <c r="AD100" s="24"/>
      <c r="AE100" s="24"/>
      <c r="AF100" s="24"/>
      <c r="AG100" s="24"/>
      <c r="AH100" s="24"/>
      <c r="AI100" s="46"/>
      <c r="AJ100" s="40"/>
    </row>
    <row r="101" spans="1:36" ht="15.75" customHeight="1">
      <c r="A101" s="241">
        <f>OVERALL!A35</f>
        <v>32</v>
      </c>
      <c r="B101" s="242">
        <f>OVERALL!B35</f>
        <v>2301269</v>
      </c>
      <c r="C101" s="243" t="str">
        <f>OVERALL!C35</f>
        <v>Simran Kaur</v>
      </c>
      <c r="D101" s="113">
        <v>8</v>
      </c>
      <c r="E101" s="113">
        <v>7</v>
      </c>
      <c r="F101" s="113">
        <v>8</v>
      </c>
      <c r="G101" s="113">
        <v>7</v>
      </c>
      <c r="H101" s="113">
        <v>8</v>
      </c>
      <c r="I101" s="113">
        <v>7</v>
      </c>
      <c r="J101" s="113">
        <v>8</v>
      </c>
      <c r="K101" s="113">
        <v>8</v>
      </c>
      <c r="L101" s="113">
        <v>7</v>
      </c>
      <c r="M101" s="113">
        <v>9</v>
      </c>
      <c r="N101" s="113">
        <v>8</v>
      </c>
      <c r="O101" s="156">
        <v>8</v>
      </c>
      <c r="P101" s="186">
        <v>9</v>
      </c>
      <c r="Q101" s="156">
        <v>8</v>
      </c>
      <c r="R101" s="156">
        <v>0</v>
      </c>
      <c r="S101" s="156">
        <v>7</v>
      </c>
      <c r="T101" s="186">
        <v>0</v>
      </c>
      <c r="U101" s="113">
        <v>8</v>
      </c>
      <c r="V101" s="113">
        <v>9</v>
      </c>
      <c r="W101" s="113">
        <v>8</v>
      </c>
      <c r="X101" s="113">
        <v>8</v>
      </c>
      <c r="Y101" s="113">
        <v>9</v>
      </c>
      <c r="Z101" s="113">
        <v>8</v>
      </c>
      <c r="AA101" s="113">
        <v>0</v>
      </c>
      <c r="AB101" s="113">
        <v>0</v>
      </c>
      <c r="AC101" s="24"/>
      <c r="AD101" s="24"/>
      <c r="AE101" s="24"/>
      <c r="AF101" s="24"/>
      <c r="AG101" s="24"/>
      <c r="AH101" s="24"/>
      <c r="AI101" s="46"/>
      <c r="AJ101" s="40"/>
    </row>
    <row r="102" spans="1:36" ht="15.75" customHeight="1">
      <c r="A102" s="241">
        <f>OVERALL!A36</f>
        <v>33</v>
      </c>
      <c r="B102" s="242">
        <f>OVERALL!B36</f>
        <v>2301270</v>
      </c>
      <c r="C102" s="243" t="str">
        <f>OVERALL!C36</f>
        <v>Simranjit Singh</v>
      </c>
      <c r="D102" s="113">
        <v>8</v>
      </c>
      <c r="E102" s="113">
        <v>7</v>
      </c>
      <c r="F102" s="113">
        <v>8</v>
      </c>
      <c r="G102" s="113">
        <v>8</v>
      </c>
      <c r="H102" s="113">
        <v>7</v>
      </c>
      <c r="I102" s="113">
        <v>0</v>
      </c>
      <c r="J102" s="113">
        <v>8</v>
      </c>
      <c r="K102" s="113">
        <v>0</v>
      </c>
      <c r="L102" s="113">
        <v>8</v>
      </c>
      <c r="M102" s="113">
        <v>0</v>
      </c>
      <c r="N102" s="113">
        <v>0</v>
      </c>
      <c r="O102" s="156">
        <v>7</v>
      </c>
      <c r="P102" s="186">
        <v>8</v>
      </c>
      <c r="Q102" s="156">
        <v>8</v>
      </c>
      <c r="R102" s="156">
        <v>9</v>
      </c>
      <c r="S102" s="156">
        <v>8</v>
      </c>
      <c r="T102" s="186">
        <v>8</v>
      </c>
      <c r="U102" s="113">
        <v>0</v>
      </c>
      <c r="V102" s="113">
        <v>0</v>
      </c>
      <c r="W102" s="113">
        <v>0</v>
      </c>
      <c r="X102" s="113">
        <v>9</v>
      </c>
      <c r="Y102" s="113">
        <v>8</v>
      </c>
      <c r="Z102" s="113">
        <v>0</v>
      </c>
      <c r="AA102" s="113">
        <v>0</v>
      </c>
      <c r="AB102" s="113">
        <v>8</v>
      </c>
      <c r="AC102" s="24"/>
      <c r="AD102" s="24"/>
      <c r="AE102" s="24"/>
      <c r="AF102" s="24"/>
      <c r="AG102" s="24"/>
      <c r="AH102" s="24"/>
      <c r="AI102" s="46"/>
      <c r="AJ102" s="40"/>
    </row>
    <row r="103" spans="1:36" ht="15.75" customHeight="1">
      <c r="A103" s="241">
        <f>OVERALL!A37</f>
        <v>34</v>
      </c>
      <c r="B103" s="242">
        <f>OVERALL!B37</f>
        <v>2301271</v>
      </c>
      <c r="C103" s="243" t="str">
        <f>OVERALL!C37</f>
        <v>Sudip Sunar</v>
      </c>
      <c r="D103" s="113">
        <v>0</v>
      </c>
      <c r="E103" s="113">
        <v>0</v>
      </c>
      <c r="F103" s="113">
        <v>0</v>
      </c>
      <c r="G103" s="113">
        <v>0</v>
      </c>
      <c r="H103" s="113">
        <v>8</v>
      </c>
      <c r="I103" s="113">
        <v>7</v>
      </c>
      <c r="J103" s="113">
        <v>8</v>
      </c>
      <c r="K103" s="113">
        <v>8</v>
      </c>
      <c r="L103" s="113">
        <v>8</v>
      </c>
      <c r="M103" s="113">
        <v>7</v>
      </c>
      <c r="N103" s="113">
        <v>9</v>
      </c>
      <c r="O103" s="156">
        <v>6</v>
      </c>
      <c r="P103" s="186">
        <v>0</v>
      </c>
      <c r="Q103" s="156">
        <v>7</v>
      </c>
      <c r="R103" s="156">
        <v>8</v>
      </c>
      <c r="S103" s="156">
        <v>7</v>
      </c>
      <c r="T103" s="186">
        <v>0</v>
      </c>
      <c r="U103" s="113">
        <v>8</v>
      </c>
      <c r="V103" s="113">
        <v>8</v>
      </c>
      <c r="W103" s="113">
        <v>0</v>
      </c>
      <c r="X103" s="113">
        <v>8</v>
      </c>
      <c r="Y103" s="113">
        <v>8</v>
      </c>
      <c r="Z103" s="113">
        <v>8</v>
      </c>
      <c r="AA103" s="113">
        <v>0</v>
      </c>
      <c r="AB103" s="113">
        <v>0</v>
      </c>
      <c r="AC103" s="24"/>
      <c r="AD103" s="24"/>
      <c r="AE103" s="24"/>
      <c r="AF103" s="24"/>
      <c r="AG103" s="24"/>
      <c r="AH103" s="24"/>
      <c r="AI103" s="46"/>
      <c r="AJ103" s="40"/>
    </row>
    <row r="104" spans="1:36" ht="15.75" customHeight="1">
      <c r="A104" s="241">
        <f>OVERALL!A38</f>
        <v>35</v>
      </c>
      <c r="B104" s="242">
        <f>OVERALL!B38</f>
        <v>2301272</v>
      </c>
      <c r="C104" s="243" t="str">
        <f>OVERALL!C38</f>
        <v>Sujal Sharma</v>
      </c>
      <c r="D104" s="113">
        <v>0</v>
      </c>
      <c r="E104" s="113">
        <v>0</v>
      </c>
      <c r="F104" s="113">
        <v>0</v>
      </c>
      <c r="G104" s="113">
        <v>0</v>
      </c>
      <c r="H104" s="113">
        <v>0</v>
      </c>
      <c r="I104" s="113">
        <v>9</v>
      </c>
      <c r="J104" s="113">
        <v>0</v>
      </c>
      <c r="K104" s="113">
        <v>0</v>
      </c>
      <c r="L104" s="113">
        <v>0</v>
      </c>
      <c r="M104" s="113">
        <v>0</v>
      </c>
      <c r="N104" s="113">
        <v>0</v>
      </c>
      <c r="O104" s="113">
        <v>0</v>
      </c>
      <c r="P104" s="113">
        <v>0</v>
      </c>
      <c r="Q104" s="113">
        <v>0</v>
      </c>
      <c r="R104" s="113">
        <v>0</v>
      </c>
      <c r="S104" s="113">
        <v>0</v>
      </c>
      <c r="T104" s="113">
        <v>0</v>
      </c>
      <c r="U104" s="113">
        <v>0</v>
      </c>
      <c r="V104" s="113">
        <v>0</v>
      </c>
      <c r="W104" s="113">
        <v>0</v>
      </c>
      <c r="X104" s="113">
        <v>0</v>
      </c>
      <c r="Y104" s="113">
        <v>0</v>
      </c>
      <c r="Z104" s="113">
        <v>0</v>
      </c>
      <c r="AA104" s="113">
        <v>0</v>
      </c>
      <c r="AB104" s="113">
        <v>0</v>
      </c>
      <c r="AC104" s="24"/>
      <c r="AD104" s="24"/>
      <c r="AE104" s="24"/>
      <c r="AF104" s="24"/>
      <c r="AG104" s="24"/>
      <c r="AH104" s="24"/>
      <c r="AI104" s="46"/>
      <c r="AJ104" s="40"/>
    </row>
    <row r="105" spans="1:36" ht="15.75" customHeight="1">
      <c r="A105" s="241">
        <f>OVERALL!A39</f>
        <v>36</v>
      </c>
      <c r="B105" s="242">
        <f>OVERALL!B39</f>
        <v>2301273</v>
      </c>
      <c r="C105" s="243" t="str">
        <f>OVERALL!C39</f>
        <v>Sukhraj Singh</v>
      </c>
      <c r="D105" s="113">
        <v>8</v>
      </c>
      <c r="E105" s="113">
        <v>0</v>
      </c>
      <c r="F105" s="113">
        <v>9</v>
      </c>
      <c r="G105" s="113">
        <v>0</v>
      </c>
      <c r="H105" s="113">
        <v>8</v>
      </c>
      <c r="I105" s="113">
        <v>7</v>
      </c>
      <c r="J105" s="113">
        <v>7</v>
      </c>
      <c r="K105" s="113">
        <v>6</v>
      </c>
      <c r="L105" s="113">
        <v>0</v>
      </c>
      <c r="M105" s="113">
        <v>8</v>
      </c>
      <c r="N105" s="113">
        <v>8</v>
      </c>
      <c r="O105" s="156">
        <v>8</v>
      </c>
      <c r="P105" s="186">
        <v>0</v>
      </c>
      <c r="Q105" s="156">
        <v>0</v>
      </c>
      <c r="R105" s="156">
        <v>7</v>
      </c>
      <c r="S105" s="156">
        <v>0</v>
      </c>
      <c r="T105" s="186">
        <v>0</v>
      </c>
      <c r="U105" s="113">
        <v>0</v>
      </c>
      <c r="V105" s="113">
        <v>8</v>
      </c>
      <c r="W105" s="113">
        <v>8</v>
      </c>
      <c r="X105" s="113">
        <v>0</v>
      </c>
      <c r="Y105" s="113">
        <v>0</v>
      </c>
      <c r="Z105" s="113">
        <v>0</v>
      </c>
      <c r="AA105" s="113">
        <v>0</v>
      </c>
      <c r="AB105" s="113">
        <v>0</v>
      </c>
      <c r="AC105" s="24"/>
      <c r="AD105" s="24"/>
      <c r="AE105" s="24"/>
      <c r="AF105" s="24"/>
      <c r="AG105" s="24"/>
      <c r="AH105" s="24"/>
      <c r="AI105" s="46"/>
      <c r="AJ105" s="40"/>
    </row>
    <row r="106" spans="1:36" ht="15.75" customHeight="1">
      <c r="A106" s="241">
        <f>OVERALL!A40</f>
        <v>37</v>
      </c>
      <c r="B106" s="242">
        <f>OVERALL!B40</f>
        <v>2301274</v>
      </c>
      <c r="C106" s="243" t="str">
        <f>OVERALL!C40</f>
        <v>Sukhreet Kaur</v>
      </c>
      <c r="D106" s="113">
        <v>8</v>
      </c>
      <c r="E106" s="113">
        <v>8</v>
      </c>
      <c r="F106" s="113">
        <v>9</v>
      </c>
      <c r="G106" s="113">
        <v>8</v>
      </c>
      <c r="H106" s="113">
        <v>9</v>
      </c>
      <c r="I106" s="113">
        <v>8</v>
      </c>
      <c r="J106" s="113">
        <v>8</v>
      </c>
      <c r="K106" s="113">
        <v>8</v>
      </c>
      <c r="L106" s="113">
        <v>8</v>
      </c>
      <c r="M106" s="113">
        <v>8</v>
      </c>
      <c r="N106" s="113">
        <v>9</v>
      </c>
      <c r="O106" s="156">
        <v>7</v>
      </c>
      <c r="P106" s="186">
        <v>8</v>
      </c>
      <c r="Q106" s="156">
        <v>8</v>
      </c>
      <c r="R106" s="156">
        <v>8</v>
      </c>
      <c r="S106" s="156">
        <v>9</v>
      </c>
      <c r="T106" s="186">
        <v>9</v>
      </c>
      <c r="U106" s="113">
        <v>8</v>
      </c>
      <c r="V106" s="113">
        <v>0</v>
      </c>
      <c r="W106" s="113">
        <v>0</v>
      </c>
      <c r="X106" s="113">
        <v>0</v>
      </c>
      <c r="Y106" s="113">
        <v>0</v>
      </c>
      <c r="Z106" s="113">
        <v>0</v>
      </c>
      <c r="AA106" s="113">
        <v>0</v>
      </c>
      <c r="AB106" s="113">
        <v>0</v>
      </c>
      <c r="AC106" s="24"/>
      <c r="AD106" s="24"/>
      <c r="AE106" s="24"/>
      <c r="AF106" s="24"/>
      <c r="AG106" s="24"/>
      <c r="AH106" s="24"/>
      <c r="AI106" s="46"/>
      <c r="AJ106" s="40"/>
    </row>
    <row r="107" spans="1:36" ht="15.75" customHeight="1">
      <c r="A107" s="241">
        <f>OVERALL!A41</f>
        <v>38</v>
      </c>
      <c r="B107" s="242">
        <f>OVERALL!B41</f>
        <v>2301275</v>
      </c>
      <c r="C107" s="243" t="str">
        <f>OVERALL!C41</f>
        <v>Suman Krishna</v>
      </c>
      <c r="D107" s="113">
        <v>0</v>
      </c>
      <c r="E107" s="113">
        <v>0</v>
      </c>
      <c r="F107" s="113">
        <v>0</v>
      </c>
      <c r="G107" s="113">
        <v>0</v>
      </c>
      <c r="H107" s="113">
        <v>0</v>
      </c>
      <c r="I107" s="113">
        <v>0</v>
      </c>
      <c r="J107" s="113">
        <v>0</v>
      </c>
      <c r="K107" s="113">
        <v>0</v>
      </c>
      <c r="L107" s="113">
        <v>8</v>
      </c>
      <c r="M107" s="113">
        <v>8</v>
      </c>
      <c r="N107" s="113">
        <v>9</v>
      </c>
      <c r="O107" s="156">
        <v>8</v>
      </c>
      <c r="P107" s="186">
        <v>8</v>
      </c>
      <c r="Q107" s="156">
        <v>0</v>
      </c>
      <c r="R107" s="156">
        <v>0</v>
      </c>
      <c r="S107" s="156">
        <v>8</v>
      </c>
      <c r="T107" s="186">
        <v>0</v>
      </c>
      <c r="U107" s="113">
        <v>9</v>
      </c>
      <c r="V107" s="113">
        <v>0</v>
      </c>
      <c r="W107" s="113">
        <v>9</v>
      </c>
      <c r="X107" s="113">
        <v>0</v>
      </c>
      <c r="Y107" s="113">
        <v>0</v>
      </c>
      <c r="Z107" s="113">
        <v>8</v>
      </c>
      <c r="AA107" s="113">
        <v>9</v>
      </c>
      <c r="AB107" s="113">
        <v>8</v>
      </c>
      <c r="AC107" s="24"/>
      <c r="AD107" s="24"/>
      <c r="AE107" s="24"/>
      <c r="AF107" s="24"/>
      <c r="AG107" s="24"/>
      <c r="AH107" s="24"/>
      <c r="AI107" s="46"/>
      <c r="AJ107" s="40"/>
    </row>
    <row r="108" spans="1:36" ht="15.75" customHeight="1">
      <c r="A108" s="241">
        <f>OVERALL!A42</f>
        <v>39</v>
      </c>
      <c r="B108" s="242">
        <f>OVERALL!B42</f>
        <v>2301276</v>
      </c>
      <c r="C108" s="243" t="str">
        <f>OVERALL!C42</f>
        <v>Sumanyu</v>
      </c>
      <c r="D108" s="113">
        <v>0</v>
      </c>
      <c r="E108" s="113">
        <v>0</v>
      </c>
      <c r="F108" s="113">
        <v>0</v>
      </c>
      <c r="G108" s="113">
        <v>0</v>
      </c>
      <c r="H108" s="113">
        <v>0</v>
      </c>
      <c r="I108" s="113">
        <v>0</v>
      </c>
      <c r="J108" s="113">
        <v>0</v>
      </c>
      <c r="K108" s="113"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  <c r="Q108" s="113">
        <v>0</v>
      </c>
      <c r="R108" s="113">
        <v>0</v>
      </c>
      <c r="S108" s="113">
        <v>0</v>
      </c>
      <c r="T108" s="113">
        <v>0</v>
      </c>
      <c r="U108" s="113">
        <v>0</v>
      </c>
      <c r="V108" s="113">
        <v>0</v>
      </c>
      <c r="W108" s="113">
        <v>0</v>
      </c>
      <c r="X108" s="113">
        <v>0</v>
      </c>
      <c r="Y108" s="113">
        <v>0</v>
      </c>
      <c r="Z108" s="113">
        <v>0</v>
      </c>
      <c r="AA108" s="113">
        <v>0</v>
      </c>
      <c r="AB108" s="113">
        <v>0</v>
      </c>
      <c r="AC108" s="24"/>
      <c r="AD108" s="24"/>
      <c r="AE108" s="24"/>
      <c r="AF108" s="24"/>
      <c r="AG108" s="24"/>
      <c r="AH108" s="24"/>
      <c r="AI108" s="46"/>
      <c r="AJ108" s="40"/>
    </row>
    <row r="109" spans="1:36" ht="15.75" customHeight="1">
      <c r="A109" s="241">
        <f>OVERALL!A43</f>
        <v>40</v>
      </c>
      <c r="B109" s="242">
        <f>OVERALL!B43</f>
        <v>2301277</v>
      </c>
      <c r="C109" s="243" t="str">
        <f>OVERALL!C43</f>
        <v>Tamana</v>
      </c>
      <c r="D109" s="113">
        <v>0</v>
      </c>
      <c r="E109" s="113">
        <v>7</v>
      </c>
      <c r="F109" s="113">
        <v>8</v>
      </c>
      <c r="G109" s="113">
        <v>8</v>
      </c>
      <c r="H109" s="113">
        <v>7</v>
      </c>
      <c r="I109" s="113">
        <v>8</v>
      </c>
      <c r="J109" s="113">
        <v>8</v>
      </c>
      <c r="K109" s="113">
        <v>0</v>
      </c>
      <c r="L109" s="113">
        <v>9</v>
      </c>
      <c r="M109" s="113">
        <v>8</v>
      </c>
      <c r="N109" s="113">
        <v>9</v>
      </c>
      <c r="O109" s="156">
        <v>8</v>
      </c>
      <c r="P109" s="186">
        <v>8</v>
      </c>
      <c r="Q109" s="156">
        <v>8</v>
      </c>
      <c r="R109" s="156">
        <v>0</v>
      </c>
      <c r="S109" s="156">
        <v>8</v>
      </c>
      <c r="T109" s="113">
        <v>0</v>
      </c>
      <c r="U109" s="113">
        <v>8</v>
      </c>
      <c r="V109" s="113">
        <v>8</v>
      </c>
      <c r="W109" s="113">
        <v>0</v>
      </c>
      <c r="X109" s="113">
        <v>0</v>
      </c>
      <c r="Y109" s="113">
        <v>0</v>
      </c>
      <c r="Z109" s="113">
        <v>0</v>
      </c>
      <c r="AA109" s="113">
        <v>0</v>
      </c>
      <c r="AB109" s="113">
        <v>0</v>
      </c>
      <c r="AC109" s="24"/>
      <c r="AD109" s="24"/>
      <c r="AE109" s="24"/>
      <c r="AF109" s="24"/>
      <c r="AG109" s="24"/>
      <c r="AH109" s="24"/>
      <c r="AI109" s="46"/>
      <c r="AJ109" s="40"/>
    </row>
    <row r="110" spans="1:36" ht="15.75" customHeight="1">
      <c r="A110" s="241">
        <f>OVERALL!A44</f>
        <v>41</v>
      </c>
      <c r="B110" s="242">
        <f>OVERALL!B44</f>
        <v>2301278</v>
      </c>
      <c r="C110" s="243" t="str">
        <f>OVERALL!C44</f>
        <v>Tamana Farooq Khanday</v>
      </c>
      <c r="D110" s="113">
        <v>8</v>
      </c>
      <c r="E110" s="113">
        <v>0</v>
      </c>
      <c r="F110" s="113">
        <v>0</v>
      </c>
      <c r="G110" s="113">
        <v>0</v>
      </c>
      <c r="H110" s="113">
        <v>0</v>
      </c>
      <c r="I110" s="113">
        <v>0</v>
      </c>
      <c r="J110" s="113">
        <v>0</v>
      </c>
      <c r="K110" s="113">
        <v>0</v>
      </c>
      <c r="L110" s="113">
        <v>0</v>
      </c>
      <c r="M110" s="113">
        <v>0</v>
      </c>
      <c r="N110" s="113">
        <v>8</v>
      </c>
      <c r="O110" s="156">
        <v>0</v>
      </c>
      <c r="P110" s="186">
        <v>0</v>
      </c>
      <c r="Q110" s="156">
        <v>7</v>
      </c>
      <c r="R110" s="156">
        <v>0</v>
      </c>
      <c r="S110" s="156">
        <v>8</v>
      </c>
      <c r="T110" s="113">
        <v>0</v>
      </c>
      <c r="U110" s="113">
        <v>9</v>
      </c>
      <c r="V110" s="113">
        <v>0</v>
      </c>
      <c r="W110" s="113">
        <v>8</v>
      </c>
      <c r="X110" s="113">
        <v>0</v>
      </c>
      <c r="Y110" s="113">
        <v>0</v>
      </c>
      <c r="Z110" s="113">
        <v>8</v>
      </c>
      <c r="AA110" s="113">
        <v>0</v>
      </c>
      <c r="AB110" s="113">
        <v>9</v>
      </c>
      <c r="AC110" s="24"/>
      <c r="AD110" s="24"/>
      <c r="AE110" s="24"/>
      <c r="AF110" s="24"/>
      <c r="AG110" s="24"/>
      <c r="AH110" s="24"/>
      <c r="AI110" s="46"/>
      <c r="AJ110" s="40"/>
    </row>
    <row r="111" spans="1:36" ht="15.75" customHeight="1">
      <c r="A111" s="241">
        <f>OVERALL!A45</f>
        <v>42</v>
      </c>
      <c r="B111" s="242">
        <f>OVERALL!B45</f>
        <v>2301279</v>
      </c>
      <c r="C111" s="243" t="str">
        <f>OVERALL!C45</f>
        <v>Tania</v>
      </c>
      <c r="D111" s="113">
        <v>7</v>
      </c>
      <c r="E111" s="113">
        <v>8</v>
      </c>
      <c r="F111" s="113">
        <v>9</v>
      </c>
      <c r="G111" s="113">
        <v>8</v>
      </c>
      <c r="H111" s="113">
        <v>8</v>
      </c>
      <c r="I111" s="113">
        <v>7</v>
      </c>
      <c r="J111" s="113">
        <v>8</v>
      </c>
      <c r="K111" s="113">
        <v>8</v>
      </c>
      <c r="L111" s="113">
        <v>0</v>
      </c>
      <c r="M111" s="113">
        <v>9</v>
      </c>
      <c r="N111" s="113">
        <v>0</v>
      </c>
      <c r="O111" s="156">
        <v>0</v>
      </c>
      <c r="P111" s="186">
        <v>0</v>
      </c>
      <c r="Q111" s="156">
        <v>0</v>
      </c>
      <c r="R111" s="156">
        <v>0</v>
      </c>
      <c r="S111" s="156">
        <v>9</v>
      </c>
      <c r="T111" s="113">
        <v>0</v>
      </c>
      <c r="U111" s="113">
        <v>8</v>
      </c>
      <c r="V111" s="113">
        <v>8</v>
      </c>
      <c r="W111" s="113">
        <v>9</v>
      </c>
      <c r="X111" s="113">
        <v>0</v>
      </c>
      <c r="Y111" s="113">
        <v>0</v>
      </c>
      <c r="Z111" s="113">
        <v>9</v>
      </c>
      <c r="AA111" s="113">
        <v>8</v>
      </c>
      <c r="AB111" s="113">
        <v>8</v>
      </c>
      <c r="AC111" s="24"/>
      <c r="AD111" s="24"/>
      <c r="AE111" s="24"/>
      <c r="AF111" s="24"/>
      <c r="AG111" s="24"/>
      <c r="AH111" s="24"/>
      <c r="AI111" s="46"/>
      <c r="AJ111" s="40"/>
    </row>
    <row r="112" spans="1:36" ht="15.75" customHeight="1">
      <c r="A112" s="241">
        <f>OVERALL!A46</f>
        <v>43</v>
      </c>
      <c r="B112" s="242">
        <f>OVERALL!B46</f>
        <v>2301280</v>
      </c>
      <c r="C112" s="243" t="str">
        <f>OVERALL!C46</f>
        <v>Taniya</v>
      </c>
      <c r="D112" s="113">
        <v>0</v>
      </c>
      <c r="E112" s="113">
        <v>0</v>
      </c>
      <c r="F112" s="113">
        <v>0</v>
      </c>
      <c r="G112" s="113">
        <v>0</v>
      </c>
      <c r="H112" s="113">
        <v>0</v>
      </c>
      <c r="I112" s="113">
        <v>7</v>
      </c>
      <c r="J112" s="113">
        <v>0</v>
      </c>
      <c r="K112" s="113">
        <v>0</v>
      </c>
      <c r="L112" s="113">
        <v>0</v>
      </c>
      <c r="M112" s="113">
        <v>0</v>
      </c>
      <c r="N112" s="113">
        <v>6</v>
      </c>
      <c r="O112" s="156">
        <v>7</v>
      </c>
      <c r="P112" s="186">
        <v>0</v>
      </c>
      <c r="Q112" s="156">
        <v>0</v>
      </c>
      <c r="R112" s="156">
        <v>0</v>
      </c>
      <c r="S112" s="156">
        <v>0</v>
      </c>
      <c r="T112" s="113">
        <v>0</v>
      </c>
      <c r="U112" s="113">
        <v>0</v>
      </c>
      <c r="V112" s="113">
        <v>8</v>
      </c>
      <c r="W112" s="113">
        <v>8</v>
      </c>
      <c r="X112" s="113">
        <v>0</v>
      </c>
      <c r="Y112" s="113">
        <v>0</v>
      </c>
      <c r="Z112" s="113">
        <v>0</v>
      </c>
      <c r="AA112" s="113">
        <v>0</v>
      </c>
      <c r="AB112" s="113">
        <v>0</v>
      </c>
      <c r="AC112" s="24"/>
      <c r="AD112" s="24"/>
      <c r="AE112" s="24"/>
      <c r="AF112" s="24"/>
      <c r="AG112" s="24"/>
      <c r="AH112" s="24"/>
      <c r="AI112" s="46"/>
      <c r="AJ112" s="40"/>
    </row>
    <row r="113" spans="1:36" ht="15.75" customHeight="1">
      <c r="A113" s="241">
        <f>OVERALL!A47</f>
        <v>44</v>
      </c>
      <c r="B113" s="242">
        <f>OVERALL!B47</f>
        <v>2301281</v>
      </c>
      <c r="C113" s="243" t="str">
        <f>OVERALL!C47</f>
        <v>Taziko Trakha</v>
      </c>
      <c r="D113" s="113">
        <v>0</v>
      </c>
      <c r="E113" s="113">
        <v>0</v>
      </c>
      <c r="F113" s="113">
        <v>0</v>
      </c>
      <c r="G113" s="113">
        <v>8</v>
      </c>
      <c r="H113" s="113">
        <v>8</v>
      </c>
      <c r="I113" s="113">
        <v>9</v>
      </c>
      <c r="J113" s="113">
        <v>8</v>
      </c>
      <c r="K113" s="113">
        <v>8</v>
      </c>
      <c r="L113" s="113">
        <v>7</v>
      </c>
      <c r="M113" s="113">
        <v>9</v>
      </c>
      <c r="N113" s="113">
        <v>0</v>
      </c>
      <c r="O113" s="156">
        <v>0</v>
      </c>
      <c r="P113" s="186">
        <v>8</v>
      </c>
      <c r="Q113" s="156">
        <v>7</v>
      </c>
      <c r="R113" s="156">
        <v>0</v>
      </c>
      <c r="S113" s="156">
        <v>0</v>
      </c>
      <c r="T113" s="113">
        <v>0</v>
      </c>
      <c r="U113" s="113">
        <v>0</v>
      </c>
      <c r="V113" s="113">
        <v>0</v>
      </c>
      <c r="W113" s="113">
        <v>0</v>
      </c>
      <c r="X113" s="113">
        <v>0</v>
      </c>
      <c r="Y113" s="113">
        <v>8</v>
      </c>
      <c r="Z113" s="113">
        <v>9</v>
      </c>
      <c r="AA113" s="113">
        <v>0</v>
      </c>
      <c r="AB113" s="113">
        <v>0</v>
      </c>
      <c r="AC113" s="24"/>
      <c r="AD113" s="24"/>
      <c r="AE113" s="24"/>
      <c r="AF113" s="24"/>
      <c r="AG113" s="24"/>
      <c r="AH113" s="24"/>
      <c r="AI113" s="46"/>
      <c r="AJ113" s="40"/>
    </row>
    <row r="114" spans="1:36" ht="15.75" customHeight="1">
      <c r="A114" s="241">
        <f>OVERALL!A48</f>
        <v>45</v>
      </c>
      <c r="B114" s="242">
        <f>OVERALL!B48</f>
        <v>2301282</v>
      </c>
      <c r="C114" s="243" t="str">
        <f>OVERALL!C48</f>
        <v>Uday Kumar</v>
      </c>
      <c r="D114" s="113">
        <v>0</v>
      </c>
      <c r="E114" s="113">
        <v>8</v>
      </c>
      <c r="F114" s="113">
        <v>0</v>
      </c>
      <c r="G114" s="113">
        <v>8</v>
      </c>
      <c r="H114" s="113">
        <v>7</v>
      </c>
      <c r="I114" s="113">
        <v>7</v>
      </c>
      <c r="J114" s="113">
        <v>8</v>
      </c>
      <c r="K114" s="113">
        <v>0</v>
      </c>
      <c r="L114" s="113">
        <v>0</v>
      </c>
      <c r="M114" s="113">
        <v>0</v>
      </c>
      <c r="N114" s="113">
        <v>0</v>
      </c>
      <c r="O114" s="156">
        <v>0</v>
      </c>
      <c r="P114" s="186">
        <v>0</v>
      </c>
      <c r="Q114" s="156">
        <v>0</v>
      </c>
      <c r="R114" s="156">
        <v>0</v>
      </c>
      <c r="S114" s="156">
        <v>6</v>
      </c>
      <c r="T114" s="113">
        <v>0</v>
      </c>
      <c r="U114" s="113">
        <v>8</v>
      </c>
      <c r="V114" s="113">
        <v>8</v>
      </c>
      <c r="W114" s="113">
        <v>8</v>
      </c>
      <c r="X114" s="113">
        <v>0</v>
      </c>
      <c r="Y114" s="113">
        <v>0</v>
      </c>
      <c r="Z114" s="113">
        <v>0</v>
      </c>
      <c r="AA114" s="113">
        <v>0</v>
      </c>
      <c r="AB114" s="113">
        <v>0</v>
      </c>
      <c r="AC114" s="24"/>
      <c r="AD114" s="24"/>
      <c r="AE114" s="24"/>
      <c r="AF114" s="24"/>
      <c r="AG114" s="24"/>
      <c r="AH114" s="24"/>
      <c r="AI114" s="46"/>
      <c r="AJ114" s="40"/>
    </row>
    <row r="115" spans="1:36" ht="15.75" customHeight="1">
      <c r="A115" s="241">
        <f>OVERALL!A49</f>
        <v>46</v>
      </c>
      <c r="B115" s="242">
        <f>OVERALL!B49</f>
        <v>2301283</v>
      </c>
      <c r="C115" s="243" t="str">
        <f>OVERALL!C49</f>
        <v>Vaibhav Shahi</v>
      </c>
      <c r="D115" s="113">
        <v>0</v>
      </c>
      <c r="E115" s="113">
        <v>7</v>
      </c>
      <c r="F115" s="113">
        <v>0</v>
      </c>
      <c r="G115" s="113">
        <v>8</v>
      </c>
      <c r="H115" s="113">
        <v>8</v>
      </c>
      <c r="I115" s="113">
        <v>8</v>
      </c>
      <c r="J115" s="113">
        <v>8</v>
      </c>
      <c r="K115" s="113">
        <v>0</v>
      </c>
      <c r="L115" s="113">
        <v>0</v>
      </c>
      <c r="M115" s="113">
        <v>8</v>
      </c>
      <c r="N115" s="113">
        <v>0</v>
      </c>
      <c r="O115" s="156">
        <v>8</v>
      </c>
      <c r="P115" s="186">
        <v>8</v>
      </c>
      <c r="Q115" s="156">
        <v>8</v>
      </c>
      <c r="R115" s="156">
        <v>0</v>
      </c>
      <c r="S115" s="156">
        <v>8</v>
      </c>
      <c r="T115" s="113">
        <v>0</v>
      </c>
      <c r="U115" s="113">
        <v>9</v>
      </c>
      <c r="V115" s="113">
        <v>9</v>
      </c>
      <c r="W115" s="113">
        <v>8</v>
      </c>
      <c r="X115" s="113">
        <v>0</v>
      </c>
      <c r="Y115" s="113">
        <v>0</v>
      </c>
      <c r="Z115" s="113">
        <v>0</v>
      </c>
      <c r="AA115" s="113">
        <v>0</v>
      </c>
      <c r="AB115" s="113">
        <v>0</v>
      </c>
      <c r="AC115" s="24"/>
      <c r="AD115" s="24"/>
      <c r="AE115" s="24"/>
      <c r="AF115" s="24"/>
      <c r="AG115" s="24"/>
      <c r="AH115" s="24"/>
      <c r="AI115" s="46"/>
      <c r="AJ115" s="40"/>
    </row>
    <row r="116" spans="1:36" ht="15.75" customHeight="1">
      <c r="A116" s="241">
        <f>OVERALL!A50</f>
        <v>47</v>
      </c>
      <c r="B116" s="242">
        <f>OVERALL!B50</f>
        <v>2301284</v>
      </c>
      <c r="C116" s="243" t="str">
        <f>OVERALL!C50</f>
        <v>Vansh Kumar</v>
      </c>
      <c r="D116" s="113">
        <v>0</v>
      </c>
      <c r="E116" s="113">
        <v>0</v>
      </c>
      <c r="F116" s="113">
        <v>0</v>
      </c>
      <c r="G116" s="113">
        <v>0</v>
      </c>
      <c r="H116" s="113">
        <v>0</v>
      </c>
      <c r="I116" s="113">
        <v>0</v>
      </c>
      <c r="J116" s="113">
        <v>0</v>
      </c>
      <c r="K116" s="113"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  <c r="Q116" s="113">
        <v>0</v>
      </c>
      <c r="R116" s="113">
        <v>0</v>
      </c>
      <c r="S116" s="113">
        <v>0</v>
      </c>
      <c r="T116" s="113">
        <v>0</v>
      </c>
      <c r="U116" s="113">
        <v>0</v>
      </c>
      <c r="V116" s="113">
        <v>0</v>
      </c>
      <c r="W116" s="113">
        <v>0</v>
      </c>
      <c r="X116" s="113">
        <v>0</v>
      </c>
      <c r="Y116" s="113">
        <v>0</v>
      </c>
      <c r="Z116" s="113">
        <v>0</v>
      </c>
      <c r="AA116" s="113">
        <v>0</v>
      </c>
      <c r="AB116" s="113">
        <v>0</v>
      </c>
      <c r="AC116" s="24"/>
      <c r="AD116" s="24"/>
      <c r="AE116" s="24"/>
      <c r="AF116" s="24"/>
      <c r="AG116" s="24"/>
      <c r="AH116" s="24"/>
      <c r="AI116" s="46"/>
      <c r="AJ116" s="40"/>
    </row>
    <row r="117" spans="1:36" ht="15.75" customHeight="1">
      <c r="A117" s="241">
        <f>OVERALL!A51</f>
        <v>48</v>
      </c>
      <c r="B117" s="242">
        <f>OVERALL!B51</f>
        <v>2301285</v>
      </c>
      <c r="C117" s="243" t="str">
        <f>OVERALL!C51</f>
        <v>Vansh Sharma</v>
      </c>
      <c r="D117" s="113">
        <v>0</v>
      </c>
      <c r="E117" s="113">
        <v>8</v>
      </c>
      <c r="F117" s="113">
        <v>7</v>
      </c>
      <c r="G117" s="113">
        <v>8</v>
      </c>
      <c r="H117" s="113">
        <v>8</v>
      </c>
      <c r="I117" s="113">
        <v>9</v>
      </c>
      <c r="J117" s="113">
        <v>8</v>
      </c>
      <c r="K117" s="113">
        <v>0</v>
      </c>
      <c r="L117" s="113">
        <v>0</v>
      </c>
      <c r="M117" s="113">
        <v>0</v>
      </c>
      <c r="N117" s="113">
        <v>0</v>
      </c>
      <c r="O117" s="156">
        <v>7</v>
      </c>
      <c r="P117" s="186">
        <v>7</v>
      </c>
      <c r="Q117" s="156">
        <v>7</v>
      </c>
      <c r="R117" s="156">
        <v>8</v>
      </c>
      <c r="S117" s="156">
        <v>8</v>
      </c>
      <c r="T117" s="186">
        <v>8</v>
      </c>
      <c r="U117" s="113">
        <v>8</v>
      </c>
      <c r="V117" s="113">
        <v>8</v>
      </c>
      <c r="W117" s="113">
        <v>8</v>
      </c>
      <c r="X117" s="113">
        <v>9</v>
      </c>
      <c r="Y117" s="113">
        <v>9</v>
      </c>
      <c r="Z117" s="113">
        <v>0</v>
      </c>
      <c r="AA117" s="113">
        <v>0</v>
      </c>
      <c r="AB117" s="113">
        <v>0</v>
      </c>
      <c r="AC117" s="24"/>
      <c r="AD117" s="24"/>
      <c r="AE117" s="24"/>
      <c r="AF117" s="24"/>
      <c r="AG117" s="24"/>
      <c r="AH117" s="24"/>
      <c r="AI117" s="46"/>
      <c r="AJ117" s="40"/>
    </row>
    <row r="118" spans="1:36" ht="15.75" customHeight="1">
      <c r="A118" s="241">
        <f>OVERALL!A52</f>
        <v>49</v>
      </c>
      <c r="B118" s="242">
        <f>OVERALL!B52</f>
        <v>2301286</v>
      </c>
      <c r="C118" s="243" t="str">
        <f>OVERALL!C52</f>
        <v>Vikramjit Singh</v>
      </c>
      <c r="D118" s="113">
        <v>0</v>
      </c>
      <c r="E118" s="113">
        <v>0</v>
      </c>
      <c r="F118" s="113">
        <v>8</v>
      </c>
      <c r="G118" s="113">
        <v>0</v>
      </c>
      <c r="H118" s="113">
        <v>0</v>
      </c>
      <c r="I118" s="113">
        <v>0</v>
      </c>
      <c r="J118" s="113">
        <v>0</v>
      </c>
      <c r="K118" s="113"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  <c r="Q118" s="113">
        <v>0</v>
      </c>
      <c r="R118" s="113">
        <v>0</v>
      </c>
      <c r="S118" s="113">
        <v>0</v>
      </c>
      <c r="T118" s="113">
        <v>0</v>
      </c>
      <c r="U118" s="113">
        <v>0</v>
      </c>
      <c r="V118" s="113">
        <v>0</v>
      </c>
      <c r="W118" s="113">
        <v>0</v>
      </c>
      <c r="X118" s="113">
        <v>0</v>
      </c>
      <c r="Y118" s="113">
        <v>0</v>
      </c>
      <c r="Z118" s="113">
        <v>0</v>
      </c>
      <c r="AA118" s="113">
        <v>0</v>
      </c>
      <c r="AB118" s="113">
        <v>0</v>
      </c>
      <c r="AC118" s="24"/>
      <c r="AD118" s="24"/>
      <c r="AE118" s="24"/>
      <c r="AF118" s="24"/>
      <c r="AG118" s="24"/>
      <c r="AH118" s="24"/>
      <c r="AI118" s="46"/>
      <c r="AJ118" s="40"/>
    </row>
    <row r="119" spans="1:36" ht="15.75" customHeight="1">
      <c r="A119" s="241">
        <f>OVERALL!A53</f>
        <v>50</v>
      </c>
      <c r="B119" s="242">
        <f>OVERALL!B53</f>
        <v>2301287</v>
      </c>
      <c r="C119" s="243" t="str">
        <f>OVERALL!C53</f>
        <v>Vishavjit Singh</v>
      </c>
      <c r="D119" s="113">
        <v>0</v>
      </c>
      <c r="E119" s="113">
        <v>0</v>
      </c>
      <c r="F119" s="113">
        <v>7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>
        <v>0</v>
      </c>
      <c r="AB119" s="113">
        <v>0</v>
      </c>
      <c r="AC119" s="24"/>
      <c r="AD119" s="24"/>
      <c r="AE119" s="24"/>
      <c r="AF119" s="24"/>
      <c r="AG119" s="24"/>
      <c r="AH119" s="24"/>
      <c r="AI119" s="46"/>
      <c r="AJ119" s="40"/>
    </row>
    <row r="120" spans="1:36" ht="15.75" customHeight="1">
      <c r="A120" s="241">
        <f>OVERALL!A54</f>
        <v>51</v>
      </c>
      <c r="B120" s="242">
        <f>OVERALL!B54</f>
        <v>2339508</v>
      </c>
      <c r="C120" s="243" t="str">
        <f>OVERALL!C54</f>
        <v>TANISHA</v>
      </c>
      <c r="D120" s="113">
        <v>7</v>
      </c>
      <c r="E120" s="113">
        <v>9</v>
      </c>
      <c r="F120" s="113">
        <v>8</v>
      </c>
      <c r="G120" s="113">
        <v>8</v>
      </c>
      <c r="H120" s="113">
        <v>9</v>
      </c>
      <c r="I120" s="113">
        <v>8</v>
      </c>
      <c r="J120" s="113">
        <v>8</v>
      </c>
      <c r="K120" s="113">
        <v>0</v>
      </c>
      <c r="L120" s="113">
        <v>7</v>
      </c>
      <c r="M120" s="113">
        <v>0</v>
      </c>
      <c r="N120" s="113">
        <v>0</v>
      </c>
      <c r="O120" s="156">
        <v>8</v>
      </c>
      <c r="P120" s="186">
        <v>8</v>
      </c>
      <c r="Q120" s="156">
        <v>8</v>
      </c>
      <c r="R120" s="156">
        <v>8</v>
      </c>
      <c r="S120" s="156">
        <v>9</v>
      </c>
      <c r="T120" s="186">
        <v>8</v>
      </c>
      <c r="U120" s="113">
        <v>8</v>
      </c>
      <c r="V120" s="113">
        <v>8</v>
      </c>
      <c r="W120" s="113">
        <v>8</v>
      </c>
      <c r="X120" s="113">
        <v>9</v>
      </c>
      <c r="Y120" s="113">
        <v>9</v>
      </c>
      <c r="Z120" s="113">
        <v>8</v>
      </c>
      <c r="AA120" s="113">
        <v>8</v>
      </c>
      <c r="AB120" s="113">
        <v>8</v>
      </c>
      <c r="AC120" s="24"/>
      <c r="AD120" s="24"/>
      <c r="AE120" s="24"/>
      <c r="AF120" s="24"/>
      <c r="AG120" s="24"/>
      <c r="AH120" s="24"/>
      <c r="AI120" s="46"/>
      <c r="AJ120" s="40"/>
    </row>
    <row r="121" spans="1:36" ht="15.75" customHeight="1">
      <c r="A121" s="241">
        <f>OVERALL!A55</f>
        <v>52</v>
      </c>
      <c r="B121" s="242">
        <f>OVERALL!B55</f>
        <v>2339509</v>
      </c>
      <c r="C121" s="243" t="str">
        <f>OVERALL!C55</f>
        <v>TOHIED AHMED</v>
      </c>
      <c r="D121" s="113">
        <v>0</v>
      </c>
      <c r="E121" s="113">
        <v>0</v>
      </c>
      <c r="F121" s="113">
        <v>0</v>
      </c>
      <c r="G121" s="113">
        <v>0</v>
      </c>
      <c r="H121" s="113">
        <v>0</v>
      </c>
      <c r="I121" s="113">
        <v>0</v>
      </c>
      <c r="J121" s="113">
        <v>0</v>
      </c>
      <c r="K121" s="113"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  <c r="Q121" s="113">
        <v>0</v>
      </c>
      <c r="R121" s="113">
        <v>0</v>
      </c>
      <c r="S121" s="113">
        <v>0</v>
      </c>
      <c r="T121" s="113">
        <v>0</v>
      </c>
      <c r="U121" s="113">
        <v>0</v>
      </c>
      <c r="V121" s="113">
        <v>0</v>
      </c>
      <c r="W121" s="113">
        <v>0</v>
      </c>
      <c r="X121" s="113">
        <v>0</v>
      </c>
      <c r="Y121" s="113">
        <v>0</v>
      </c>
      <c r="Z121" s="113">
        <v>0</v>
      </c>
      <c r="AA121" s="113">
        <v>0</v>
      </c>
      <c r="AB121" s="113">
        <v>0</v>
      </c>
      <c r="AC121" s="24"/>
      <c r="AD121" s="24"/>
      <c r="AE121" s="24"/>
      <c r="AF121" s="24"/>
      <c r="AG121" s="24"/>
      <c r="AH121" s="24"/>
      <c r="AI121" s="46"/>
      <c r="AJ121" s="40"/>
    </row>
    <row r="122" spans="1:36" ht="15.75" customHeight="1">
      <c r="A122" s="241">
        <f>OVERALL!A56</f>
        <v>53</v>
      </c>
      <c r="B122" s="242">
        <f>OVERALL!B56</f>
        <v>2301207</v>
      </c>
      <c r="C122" s="243" t="str">
        <f>OVERALL!C56</f>
        <v>Harsh thakur</v>
      </c>
      <c r="D122" s="113">
        <v>0</v>
      </c>
      <c r="E122" s="113">
        <v>0</v>
      </c>
      <c r="F122" s="113">
        <v>0</v>
      </c>
      <c r="G122" s="113">
        <v>0</v>
      </c>
      <c r="H122" s="113">
        <v>0</v>
      </c>
      <c r="I122" s="113">
        <v>0</v>
      </c>
      <c r="J122" s="113">
        <v>0</v>
      </c>
      <c r="K122" s="113"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  <c r="Q122" s="113">
        <v>0</v>
      </c>
      <c r="R122" s="113">
        <v>0</v>
      </c>
      <c r="S122" s="113">
        <v>0</v>
      </c>
      <c r="T122" s="113">
        <v>0</v>
      </c>
      <c r="U122" s="113">
        <v>0</v>
      </c>
      <c r="V122" s="113">
        <v>0</v>
      </c>
      <c r="W122" s="113">
        <v>0</v>
      </c>
      <c r="X122" s="113">
        <v>0</v>
      </c>
      <c r="Y122" s="113">
        <v>0</v>
      </c>
      <c r="Z122" s="113">
        <v>0</v>
      </c>
      <c r="AA122" s="113">
        <v>0</v>
      </c>
      <c r="AB122" s="113">
        <v>0</v>
      </c>
      <c r="AC122" s="24"/>
      <c r="AD122" s="24"/>
      <c r="AE122" s="24"/>
      <c r="AF122" s="24"/>
      <c r="AG122" s="24"/>
      <c r="AH122" s="24"/>
      <c r="AI122" s="46"/>
      <c r="AJ122" s="40"/>
    </row>
    <row r="123" spans="1:36" ht="15.75" customHeight="1">
      <c r="A123" s="241">
        <f>OVERALL!A57</f>
        <v>54</v>
      </c>
      <c r="B123" s="242" t="str">
        <f>OVERALL!B57</f>
        <v>Leet</v>
      </c>
      <c r="C123" s="243" t="str">
        <f>OVERALL!C57</f>
        <v>Gagan</v>
      </c>
      <c r="D123" s="113">
        <v>0</v>
      </c>
      <c r="E123" s="113">
        <v>8</v>
      </c>
      <c r="F123" s="113">
        <v>8</v>
      </c>
      <c r="G123" s="113">
        <v>0</v>
      </c>
      <c r="H123" s="113">
        <v>8</v>
      </c>
      <c r="I123" s="113">
        <v>0</v>
      </c>
      <c r="J123" s="113">
        <v>7</v>
      </c>
      <c r="K123" s="113">
        <v>7</v>
      </c>
      <c r="L123" s="113">
        <v>8</v>
      </c>
      <c r="M123" s="113">
        <v>0</v>
      </c>
      <c r="N123" s="113">
        <v>0</v>
      </c>
      <c r="O123" s="156">
        <v>7</v>
      </c>
      <c r="P123" s="186">
        <v>7</v>
      </c>
      <c r="Q123" s="156">
        <v>8</v>
      </c>
      <c r="R123" s="156">
        <v>8</v>
      </c>
      <c r="S123" s="156">
        <v>8</v>
      </c>
      <c r="T123" s="186">
        <v>8</v>
      </c>
      <c r="U123" s="113">
        <v>8</v>
      </c>
      <c r="V123" s="113">
        <v>8</v>
      </c>
      <c r="W123" s="113">
        <v>8</v>
      </c>
      <c r="X123" s="113">
        <v>9</v>
      </c>
      <c r="Y123" s="113">
        <v>9</v>
      </c>
      <c r="Z123" s="113">
        <v>8</v>
      </c>
      <c r="AA123" s="113">
        <v>8</v>
      </c>
      <c r="AB123" s="113">
        <v>0</v>
      </c>
      <c r="AC123" s="24"/>
      <c r="AD123" s="24"/>
      <c r="AE123" s="24"/>
      <c r="AF123" s="24"/>
      <c r="AG123" s="24"/>
      <c r="AH123" s="24"/>
      <c r="AI123" s="46"/>
      <c r="AJ123" s="40"/>
    </row>
    <row r="124" spans="1:36" ht="15.75" customHeight="1">
      <c r="A124" s="241">
        <f>OVERALL!A58</f>
        <v>55</v>
      </c>
      <c r="B124" s="242" t="str">
        <f>OVERALL!B58</f>
        <v>Leet</v>
      </c>
      <c r="C124" s="243" t="str">
        <f>OVERALL!C58</f>
        <v>Manisha</v>
      </c>
      <c r="D124" s="113">
        <v>0</v>
      </c>
      <c r="E124" s="113">
        <v>8</v>
      </c>
      <c r="F124" s="113">
        <v>8</v>
      </c>
      <c r="G124" s="113">
        <v>0</v>
      </c>
      <c r="H124" s="113">
        <v>7</v>
      </c>
      <c r="I124" s="113">
        <v>8</v>
      </c>
      <c r="J124" s="113">
        <v>7</v>
      </c>
      <c r="K124" s="113">
        <v>8</v>
      </c>
      <c r="L124" s="113">
        <v>8</v>
      </c>
      <c r="M124" s="113">
        <v>9</v>
      </c>
      <c r="N124" s="113">
        <v>8</v>
      </c>
      <c r="O124" s="156">
        <v>7</v>
      </c>
      <c r="P124" s="186">
        <v>7</v>
      </c>
      <c r="Q124" s="156">
        <v>8</v>
      </c>
      <c r="R124" s="156">
        <v>8</v>
      </c>
      <c r="S124" s="156">
        <v>8</v>
      </c>
      <c r="T124" s="186">
        <v>9</v>
      </c>
      <c r="U124" s="113">
        <v>9</v>
      </c>
      <c r="V124" s="113">
        <v>8</v>
      </c>
      <c r="W124" s="113">
        <v>9</v>
      </c>
      <c r="X124" s="113">
        <v>8</v>
      </c>
      <c r="Y124" s="113">
        <v>9</v>
      </c>
      <c r="Z124" s="113">
        <v>9</v>
      </c>
      <c r="AA124" s="113">
        <v>8</v>
      </c>
      <c r="AB124" s="113">
        <v>9</v>
      </c>
      <c r="AC124" s="24"/>
      <c r="AD124" s="24"/>
      <c r="AE124" s="24"/>
      <c r="AF124" s="24"/>
      <c r="AG124" s="24"/>
      <c r="AH124" s="24"/>
      <c r="AI124" s="46"/>
      <c r="AJ124" s="40"/>
    </row>
    <row r="125" spans="1:36" ht="15.75" customHeight="1">
      <c r="A125" s="241">
        <f>OVERALL!A59</f>
        <v>56</v>
      </c>
      <c r="B125" s="242" t="str">
        <f>OVERALL!B59</f>
        <v>Leet</v>
      </c>
      <c r="C125" s="243" t="str">
        <f>OVERALL!C59</f>
        <v>Richa</v>
      </c>
      <c r="D125" s="113">
        <v>0</v>
      </c>
      <c r="E125" s="113">
        <v>8</v>
      </c>
      <c r="F125" s="113">
        <v>9</v>
      </c>
      <c r="G125" s="113">
        <v>9</v>
      </c>
      <c r="H125" s="113">
        <v>8</v>
      </c>
      <c r="I125" s="113">
        <v>9</v>
      </c>
      <c r="J125" s="113">
        <v>8</v>
      </c>
      <c r="K125" s="113">
        <v>0</v>
      </c>
      <c r="L125" s="113">
        <v>9</v>
      </c>
      <c r="M125" s="113">
        <v>8</v>
      </c>
      <c r="N125" s="113">
        <v>7</v>
      </c>
      <c r="O125" s="156">
        <v>6</v>
      </c>
      <c r="P125" s="186">
        <v>8</v>
      </c>
      <c r="Q125" s="156">
        <v>9</v>
      </c>
      <c r="R125" s="156">
        <v>9</v>
      </c>
      <c r="S125" s="156">
        <v>8</v>
      </c>
      <c r="T125" s="186">
        <v>9</v>
      </c>
      <c r="U125" s="113">
        <v>8</v>
      </c>
      <c r="V125" s="113">
        <v>8</v>
      </c>
      <c r="W125" s="113">
        <v>9</v>
      </c>
      <c r="X125" s="113">
        <v>0</v>
      </c>
      <c r="Y125" s="113">
        <v>9</v>
      </c>
      <c r="Z125" s="113">
        <v>8</v>
      </c>
      <c r="AA125" s="113">
        <v>8</v>
      </c>
      <c r="AB125" s="113">
        <v>8</v>
      </c>
      <c r="AC125" s="24"/>
      <c r="AD125" s="24"/>
      <c r="AE125" s="24"/>
      <c r="AF125" s="24"/>
      <c r="AG125" s="24"/>
      <c r="AH125" s="24"/>
      <c r="AI125" s="46"/>
      <c r="AJ125" s="40"/>
    </row>
    <row r="126" spans="1:36" ht="15.75" customHeight="1">
      <c r="A126" s="241">
        <f>OVERALL!A60</f>
        <v>57</v>
      </c>
      <c r="B126" s="242" t="str">
        <f>OVERALL!B60</f>
        <v>Leet</v>
      </c>
      <c r="C126" s="243" t="str">
        <f>OVERALL!C60</f>
        <v>Prakriti</v>
      </c>
      <c r="D126" s="113"/>
      <c r="E126" s="113"/>
      <c r="F126" s="113"/>
      <c r="G126" s="113"/>
      <c r="H126" s="113"/>
      <c r="I126" s="113"/>
      <c r="J126" s="113"/>
      <c r="K126" s="113"/>
      <c r="L126" s="113">
        <v>7</v>
      </c>
      <c r="M126" s="113">
        <v>8</v>
      </c>
      <c r="N126" s="113">
        <v>7</v>
      </c>
      <c r="O126" s="156">
        <v>8</v>
      </c>
      <c r="P126" s="186">
        <v>8</v>
      </c>
      <c r="Q126" s="156">
        <v>7</v>
      </c>
      <c r="R126" s="156">
        <v>7</v>
      </c>
      <c r="S126" s="156">
        <v>9</v>
      </c>
      <c r="T126" s="186">
        <v>8</v>
      </c>
      <c r="U126" s="113">
        <v>9</v>
      </c>
      <c r="V126" s="113">
        <v>0</v>
      </c>
      <c r="W126" s="113">
        <v>8</v>
      </c>
      <c r="X126" s="113">
        <v>0</v>
      </c>
      <c r="Y126" s="113">
        <v>8</v>
      </c>
      <c r="Z126" s="113">
        <v>8</v>
      </c>
      <c r="AA126" s="113">
        <v>8</v>
      </c>
      <c r="AB126" s="113">
        <v>8</v>
      </c>
      <c r="AC126" s="24"/>
      <c r="AD126" s="24"/>
      <c r="AE126" s="24"/>
      <c r="AF126" s="24"/>
      <c r="AG126" s="24"/>
      <c r="AH126" s="24"/>
      <c r="AI126" s="46"/>
      <c r="AJ126" s="40"/>
    </row>
    <row r="127" spans="1:36" ht="15.75" customHeight="1">
      <c r="A127" s="241">
        <f>OVERALL!A61</f>
        <v>58</v>
      </c>
      <c r="B127" s="242" t="str">
        <f>OVERALL!B61</f>
        <v>leet</v>
      </c>
      <c r="C127" s="243" t="str">
        <f>OVERALL!C61</f>
        <v>Shubham</v>
      </c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56"/>
      <c r="P127" s="186">
        <v>7</v>
      </c>
      <c r="Q127" s="156">
        <v>6</v>
      </c>
      <c r="R127" s="156">
        <v>6</v>
      </c>
      <c r="S127" s="156">
        <v>8</v>
      </c>
      <c r="T127" s="186">
        <v>8</v>
      </c>
      <c r="U127" s="113">
        <v>8</v>
      </c>
      <c r="V127" s="113">
        <v>8</v>
      </c>
      <c r="W127" s="113">
        <v>7</v>
      </c>
      <c r="X127" s="113">
        <v>0</v>
      </c>
      <c r="Y127" s="113">
        <v>8</v>
      </c>
      <c r="Z127" s="113">
        <v>8</v>
      </c>
      <c r="AA127" s="113">
        <v>8</v>
      </c>
      <c r="AB127" s="113">
        <v>0</v>
      </c>
      <c r="AC127" s="24"/>
      <c r="AD127" s="24"/>
      <c r="AE127" s="24"/>
      <c r="AF127" s="24"/>
      <c r="AG127" s="24"/>
      <c r="AH127" s="24"/>
      <c r="AI127" s="46"/>
      <c r="AJ127" s="40"/>
    </row>
    <row r="128" spans="1:36" ht="15.75" customHeight="1">
      <c r="A128" s="260"/>
      <c r="B128" s="259"/>
      <c r="C128" s="24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56"/>
      <c r="P128" s="186"/>
      <c r="Q128" s="156"/>
      <c r="R128" s="156"/>
      <c r="S128" s="156"/>
      <c r="T128" s="186"/>
      <c r="U128" s="113"/>
      <c r="V128" s="113"/>
      <c r="W128" s="113"/>
      <c r="X128" s="113"/>
      <c r="Y128" s="113"/>
      <c r="Z128" s="113"/>
      <c r="AA128" s="113"/>
      <c r="AB128" s="113"/>
      <c r="AC128" s="24"/>
      <c r="AD128" s="24"/>
      <c r="AE128" s="24"/>
      <c r="AF128" s="24"/>
      <c r="AG128" s="24"/>
      <c r="AH128" s="24"/>
      <c r="AI128" s="46"/>
      <c r="AJ128" s="40"/>
    </row>
    <row r="129" spans="1:44" ht="15.75" customHeight="1">
      <c r="A129" s="260"/>
      <c r="B129" s="259"/>
      <c r="C129" s="24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56"/>
      <c r="P129" s="186"/>
      <c r="Q129" s="156"/>
      <c r="R129" s="156"/>
      <c r="S129" s="156"/>
      <c r="T129" s="186"/>
      <c r="U129" s="113"/>
      <c r="V129" s="113"/>
      <c r="W129" s="113"/>
      <c r="X129" s="113"/>
      <c r="Y129" s="113"/>
      <c r="Z129" s="113"/>
      <c r="AA129" s="113"/>
      <c r="AB129" s="113"/>
      <c r="AC129" s="24"/>
      <c r="AD129" s="24"/>
      <c r="AE129" s="24"/>
      <c r="AF129" s="24"/>
      <c r="AG129" s="24"/>
      <c r="AH129" s="24"/>
      <c r="AI129" s="46"/>
      <c r="AJ129" s="40"/>
    </row>
    <row r="130" spans="1:44" ht="15.75" customHeight="1">
      <c r="A130" s="260"/>
      <c r="B130" s="259"/>
      <c r="C130" s="261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56"/>
      <c r="P130" s="186"/>
      <c r="Q130" s="156"/>
      <c r="R130" s="156"/>
      <c r="S130" s="156"/>
      <c r="T130" s="186"/>
      <c r="U130" s="113"/>
      <c r="V130" s="113"/>
      <c r="W130" s="113"/>
      <c r="X130" s="113"/>
      <c r="Y130" s="113"/>
      <c r="Z130" s="113"/>
      <c r="AA130" s="113"/>
      <c r="AB130" s="113"/>
      <c r="AC130" s="24"/>
      <c r="AD130" s="24"/>
      <c r="AE130" s="24"/>
      <c r="AF130" s="24"/>
      <c r="AG130" s="24"/>
      <c r="AH130" s="24"/>
      <c r="AI130" s="46"/>
      <c r="AJ130" s="40"/>
    </row>
    <row r="131" spans="1:44" ht="15.75" customHeight="1">
      <c r="A131" s="260"/>
      <c r="B131" s="262"/>
      <c r="C131" s="262"/>
      <c r="D131" s="113"/>
      <c r="E131" s="271"/>
      <c r="F131" s="113"/>
      <c r="G131" s="113"/>
      <c r="H131" s="113"/>
      <c r="I131" s="113"/>
      <c r="J131" s="113"/>
      <c r="K131" s="113"/>
      <c r="L131" s="113"/>
      <c r="M131" s="113"/>
      <c r="N131" s="113"/>
      <c r="O131" s="156"/>
      <c r="P131" s="186"/>
      <c r="Q131" s="156"/>
      <c r="R131" s="156"/>
      <c r="S131" s="156"/>
      <c r="T131" s="186"/>
      <c r="U131" s="113"/>
      <c r="V131" s="113"/>
      <c r="W131" s="113"/>
      <c r="X131" s="113"/>
      <c r="Y131" s="113"/>
      <c r="Z131" s="113"/>
      <c r="AA131" s="113"/>
      <c r="AB131" s="113"/>
      <c r="AC131" s="24"/>
      <c r="AD131" s="24"/>
      <c r="AE131" s="24"/>
      <c r="AF131" s="24"/>
      <c r="AG131" s="24"/>
      <c r="AH131" s="24"/>
      <c r="AI131" s="46"/>
      <c r="AJ131" s="40"/>
    </row>
    <row r="132" spans="1:44" ht="15.75" customHeight="1">
      <c r="A132" s="260"/>
      <c r="B132" s="262"/>
      <c r="C132" s="262"/>
      <c r="D132" s="121"/>
      <c r="E132" s="121"/>
      <c r="F132" s="121"/>
      <c r="G132" s="121"/>
      <c r="H132" s="121"/>
      <c r="I132" s="121"/>
      <c r="J132" s="113"/>
      <c r="K132" s="113"/>
      <c r="L132" s="113"/>
      <c r="M132" s="113"/>
      <c r="N132" s="113"/>
      <c r="O132" s="156"/>
      <c r="P132" s="186"/>
      <c r="Q132" s="156"/>
      <c r="R132" s="156"/>
      <c r="S132" s="156"/>
      <c r="T132" s="186"/>
      <c r="U132" s="113"/>
      <c r="V132" s="113"/>
      <c r="W132" s="113"/>
      <c r="X132" s="113"/>
      <c r="Y132" s="113"/>
      <c r="Z132" s="113"/>
      <c r="AA132" s="113"/>
      <c r="AB132" s="113"/>
      <c r="AC132" s="24"/>
      <c r="AD132" s="24"/>
      <c r="AE132" s="24"/>
      <c r="AF132" s="24"/>
      <c r="AG132" s="24"/>
      <c r="AH132" s="24"/>
      <c r="AI132" s="46"/>
      <c r="AJ132" s="40"/>
    </row>
    <row r="133" spans="1:44" ht="15.75" customHeight="1">
      <c r="A133" s="260"/>
      <c r="B133" s="262"/>
      <c r="C133" s="262"/>
      <c r="D133" s="113"/>
      <c r="E133" s="113"/>
      <c r="F133" s="113"/>
      <c r="G133" s="113"/>
      <c r="H133" s="113"/>
      <c r="I133" s="113"/>
      <c r="J133" s="113"/>
      <c r="K133" s="113"/>
      <c r="L133" s="121"/>
      <c r="M133" s="121"/>
      <c r="N133" s="121"/>
      <c r="O133" s="156"/>
      <c r="P133" s="186"/>
      <c r="Q133" s="156"/>
      <c r="R133" s="156"/>
      <c r="S133" s="156"/>
      <c r="T133" s="186"/>
      <c r="U133" s="113"/>
      <c r="V133" s="113"/>
      <c r="W133" s="113"/>
      <c r="X133" s="113"/>
      <c r="Y133" s="113"/>
      <c r="Z133" s="113"/>
      <c r="AA133" s="113"/>
      <c r="AB133" s="113"/>
      <c r="AC133" s="24"/>
      <c r="AD133" s="24"/>
      <c r="AE133" s="24"/>
      <c r="AF133" s="24"/>
      <c r="AG133" s="24"/>
      <c r="AH133" s="24"/>
      <c r="AI133" s="46"/>
      <c r="AJ133" s="40"/>
    </row>
    <row r="134" spans="1:44" ht="15.75" customHeight="1">
      <c r="A134" s="52"/>
      <c r="B134" s="184"/>
      <c r="C134" s="134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24"/>
      <c r="AD134" s="24"/>
      <c r="AE134" s="24"/>
      <c r="AF134" s="24"/>
      <c r="AG134" s="24"/>
      <c r="AH134" s="24"/>
      <c r="AI134" s="46"/>
      <c r="AJ134" s="40"/>
    </row>
    <row r="135" spans="1:44" ht="15.75" customHeight="1">
      <c r="A135" s="52"/>
      <c r="B135" s="184"/>
      <c r="C135" s="134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24"/>
      <c r="AD135" s="24"/>
      <c r="AE135" s="24"/>
      <c r="AF135" s="24"/>
      <c r="AG135" s="24"/>
      <c r="AH135" s="24"/>
      <c r="AI135" s="46"/>
      <c r="AJ135" s="40"/>
    </row>
    <row r="136" spans="1:44" ht="15.75" customHeight="1">
      <c r="A136" s="52"/>
      <c r="B136" s="184"/>
      <c r="C136" s="134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24"/>
      <c r="AD136" s="24"/>
      <c r="AE136" s="24"/>
      <c r="AF136" s="24"/>
      <c r="AG136" s="24"/>
      <c r="AH136" s="24"/>
      <c r="AI136" s="46"/>
      <c r="AJ136" s="40"/>
    </row>
    <row r="137" spans="1:44" ht="15.75" customHeight="1">
      <c r="A137" s="52"/>
      <c r="B137" s="184"/>
      <c r="C137" s="134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24"/>
      <c r="AD137" s="24"/>
      <c r="AE137" s="24"/>
      <c r="AF137" s="24"/>
      <c r="AG137" s="24"/>
      <c r="AH137" s="24"/>
      <c r="AI137" s="46"/>
      <c r="AJ137" s="40"/>
    </row>
    <row r="138" spans="1:44" ht="15.75" customHeight="1">
      <c r="A138" s="52"/>
      <c r="B138" s="184"/>
      <c r="C138" s="134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24"/>
      <c r="AD138" s="24"/>
      <c r="AE138" s="24"/>
      <c r="AF138" s="24"/>
      <c r="AG138" s="24"/>
      <c r="AH138" s="24"/>
      <c r="AI138" s="46"/>
      <c r="AJ138" s="40"/>
    </row>
    <row r="139" spans="1:44" ht="15.75" customHeight="1">
      <c r="A139" s="52"/>
      <c r="B139" s="184"/>
      <c r="C139" s="134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4"/>
      <c r="AD139" s="24"/>
      <c r="AE139" s="24"/>
      <c r="AF139" s="24"/>
      <c r="AG139" s="24"/>
      <c r="AH139" s="24"/>
      <c r="AI139" s="46"/>
      <c r="AJ139" s="40"/>
    </row>
    <row r="140" spans="1:44" ht="15.75" customHeight="1">
      <c r="A140" s="52"/>
      <c r="B140" s="184"/>
      <c r="C140" s="134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4"/>
      <c r="AD140" s="24"/>
      <c r="AE140" s="24"/>
      <c r="AF140" s="24"/>
      <c r="AG140" s="24"/>
      <c r="AH140" s="24"/>
      <c r="AI140" s="40"/>
      <c r="AJ140" s="40"/>
      <c r="AK140" s="24"/>
      <c r="AL140" s="24"/>
      <c r="AM140" s="24"/>
      <c r="AN140" s="24"/>
      <c r="AO140" s="24"/>
      <c r="AP140" s="24"/>
      <c r="AQ140" s="24"/>
      <c r="AR140" s="24"/>
    </row>
    <row r="141" spans="1:44" ht="15.75" customHeight="1">
      <c r="A141" s="52"/>
      <c r="B141" s="184"/>
      <c r="C141" s="134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4"/>
      <c r="AD141" s="24"/>
      <c r="AE141" s="24"/>
      <c r="AF141" s="24"/>
      <c r="AG141" s="24"/>
      <c r="AH141" s="24"/>
      <c r="AI141" s="40"/>
      <c r="AJ141" s="40"/>
      <c r="AK141" s="24"/>
      <c r="AL141" s="24"/>
      <c r="AM141" s="24"/>
      <c r="AN141" s="24"/>
      <c r="AO141" s="24"/>
      <c r="AP141" s="24"/>
      <c r="AQ141" s="24"/>
      <c r="AR141" s="24"/>
    </row>
    <row r="142" spans="1:44" ht="15.75" customHeight="1">
      <c r="A142" s="52"/>
      <c r="B142" s="184"/>
      <c r="C142" s="134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4"/>
      <c r="AD142" s="24"/>
      <c r="AE142" s="24"/>
      <c r="AF142" s="24"/>
      <c r="AG142" s="24"/>
      <c r="AH142" s="24"/>
      <c r="AI142" s="40"/>
      <c r="AJ142" s="40"/>
      <c r="AK142" s="24"/>
      <c r="AL142" s="24"/>
      <c r="AM142" s="24"/>
      <c r="AN142" s="24"/>
      <c r="AO142" s="24"/>
      <c r="AP142" s="24"/>
      <c r="AQ142" s="24"/>
      <c r="AR142" s="24"/>
    </row>
    <row r="143" spans="1:44" ht="15.75" customHeight="1">
      <c r="A143" s="52"/>
      <c r="B143" s="184"/>
      <c r="C143" s="134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4"/>
      <c r="AD143" s="24"/>
      <c r="AE143" s="24"/>
      <c r="AF143" s="24"/>
      <c r="AG143" s="24"/>
      <c r="AH143" s="24"/>
      <c r="AI143" s="40"/>
      <c r="AJ143" s="40"/>
      <c r="AK143" s="24"/>
      <c r="AL143" s="24"/>
      <c r="AM143" s="24"/>
      <c r="AN143" s="24"/>
      <c r="AO143" s="24"/>
      <c r="AP143" s="24"/>
      <c r="AQ143" s="24"/>
      <c r="AR143" s="24"/>
    </row>
    <row r="144" spans="1:44" ht="15.75" customHeight="1">
      <c r="A144" s="52"/>
      <c r="B144" s="184"/>
      <c r="C144" s="134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4"/>
      <c r="AD144" s="24"/>
      <c r="AE144" s="24"/>
      <c r="AF144" s="24"/>
      <c r="AG144" s="24"/>
      <c r="AH144" s="24"/>
      <c r="AI144" s="40"/>
      <c r="AJ144" s="40"/>
      <c r="AK144" s="24"/>
      <c r="AL144" s="24"/>
      <c r="AM144" s="24"/>
      <c r="AN144" s="24"/>
      <c r="AO144" s="24"/>
      <c r="AP144" s="24"/>
      <c r="AQ144" s="24"/>
      <c r="AR144" s="24"/>
    </row>
    <row r="145" spans="1:44" ht="15.75" customHeight="1">
      <c r="A145" s="52"/>
      <c r="B145" s="184"/>
      <c r="C145" s="134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4"/>
      <c r="AD145" s="24"/>
      <c r="AE145" s="24"/>
      <c r="AF145" s="24"/>
      <c r="AG145" s="24"/>
      <c r="AH145" s="24"/>
      <c r="AI145" s="40"/>
      <c r="AJ145" s="40"/>
      <c r="AK145" s="24"/>
      <c r="AL145" s="24"/>
      <c r="AM145" s="24"/>
      <c r="AN145" s="24"/>
      <c r="AO145" s="24"/>
      <c r="AP145" s="24"/>
      <c r="AQ145" s="24"/>
      <c r="AR145" s="24"/>
    </row>
    <row r="146" spans="1:44" ht="15.75" customHeight="1">
      <c r="A146" s="52"/>
      <c r="B146" s="184"/>
      <c r="C146" s="134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4"/>
      <c r="AD146" s="24"/>
      <c r="AE146" s="24"/>
      <c r="AF146" s="24"/>
      <c r="AG146" s="24"/>
      <c r="AH146" s="24"/>
      <c r="AI146" s="40"/>
      <c r="AJ146" s="40"/>
      <c r="AK146" s="24"/>
      <c r="AL146" s="24"/>
      <c r="AM146" s="24"/>
      <c r="AN146" s="24"/>
      <c r="AO146" s="24"/>
      <c r="AP146" s="24"/>
      <c r="AQ146" s="24"/>
      <c r="AR146" s="24"/>
    </row>
    <row r="147" spans="1:44" ht="15.75" customHeight="1">
      <c r="A147" s="52"/>
      <c r="B147" s="184"/>
      <c r="C147" s="134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4"/>
      <c r="AD147" s="24"/>
      <c r="AE147" s="24"/>
      <c r="AF147" s="24"/>
      <c r="AG147" s="24"/>
      <c r="AH147" s="24"/>
      <c r="AI147" s="40"/>
      <c r="AJ147" s="40"/>
      <c r="AK147" s="24"/>
      <c r="AL147" s="24"/>
      <c r="AM147" s="24"/>
      <c r="AN147" s="24"/>
      <c r="AO147" s="24"/>
      <c r="AP147" s="24"/>
      <c r="AQ147" s="24"/>
      <c r="AR147" s="24"/>
    </row>
    <row r="148" spans="1:44" ht="15.75" customHeight="1">
      <c r="A148" s="52"/>
      <c r="B148" s="184"/>
      <c r="C148" s="134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4"/>
      <c r="AD148" s="24"/>
      <c r="AE148" s="24"/>
      <c r="AF148" s="24"/>
      <c r="AG148" s="24"/>
      <c r="AH148" s="24"/>
      <c r="AI148" s="40"/>
      <c r="AJ148" s="40"/>
      <c r="AK148" s="24"/>
      <c r="AL148" s="24"/>
      <c r="AM148" s="24"/>
      <c r="AN148" s="24"/>
      <c r="AO148" s="24"/>
      <c r="AP148" s="24"/>
      <c r="AQ148" s="24"/>
      <c r="AR148" s="24"/>
    </row>
    <row r="149" spans="1:44" ht="15.75" customHeight="1">
      <c r="A149" s="52"/>
      <c r="B149" s="184"/>
      <c r="C149" s="134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4"/>
      <c r="AD149" s="24"/>
      <c r="AE149" s="24"/>
      <c r="AF149" s="24"/>
      <c r="AG149" s="24"/>
      <c r="AH149" s="24"/>
      <c r="AI149" s="40"/>
      <c r="AJ149" s="40"/>
      <c r="AK149" s="24"/>
      <c r="AL149" s="24"/>
      <c r="AM149" s="24"/>
      <c r="AN149" s="24"/>
      <c r="AO149" s="24"/>
      <c r="AP149" s="24"/>
      <c r="AQ149" s="24"/>
      <c r="AR149" s="24"/>
    </row>
    <row r="150" spans="1:44" ht="15.75" customHeight="1">
      <c r="A150" s="52"/>
      <c r="B150" s="184"/>
      <c r="C150" s="134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4"/>
      <c r="AD150" s="24"/>
      <c r="AE150" s="24"/>
      <c r="AF150" s="24"/>
      <c r="AG150" s="24"/>
      <c r="AH150" s="24"/>
      <c r="AI150" s="40"/>
      <c r="AJ150" s="40"/>
      <c r="AK150" s="24"/>
      <c r="AL150" s="24"/>
      <c r="AM150" s="24"/>
      <c r="AN150" s="24"/>
      <c r="AO150" s="24"/>
      <c r="AP150" s="24"/>
      <c r="AQ150" s="24"/>
      <c r="AR150" s="24"/>
    </row>
    <row r="151" spans="1:44" ht="15.75" customHeight="1">
      <c r="A151" s="52"/>
      <c r="B151" s="184"/>
      <c r="C151" s="134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4"/>
      <c r="AD151" s="24"/>
      <c r="AE151" s="24"/>
      <c r="AF151" s="24"/>
      <c r="AG151" s="24"/>
      <c r="AH151" s="24"/>
      <c r="AI151" s="40"/>
      <c r="AJ151" s="40"/>
      <c r="AK151" s="24"/>
      <c r="AL151" s="24"/>
      <c r="AM151" s="24"/>
      <c r="AN151" s="24"/>
      <c r="AO151" s="24"/>
      <c r="AP151" s="24"/>
      <c r="AQ151" s="24"/>
      <c r="AR151" s="24"/>
    </row>
    <row r="152" spans="1:44" ht="15.75" customHeight="1">
      <c r="A152" s="52"/>
      <c r="B152" s="184"/>
      <c r="C152" s="134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4"/>
      <c r="AD152" s="24"/>
      <c r="AE152" s="24"/>
      <c r="AF152" s="24"/>
      <c r="AG152" s="24"/>
      <c r="AH152" s="24"/>
      <c r="AI152" s="40"/>
      <c r="AJ152" s="40"/>
      <c r="AK152" s="24"/>
      <c r="AL152" s="24"/>
      <c r="AM152" s="24"/>
      <c r="AN152" s="24"/>
      <c r="AO152" s="24"/>
      <c r="AP152" s="24"/>
      <c r="AQ152" s="24"/>
      <c r="AR152" s="24"/>
    </row>
    <row r="153" spans="1:44" ht="15.75" customHeight="1">
      <c r="A153" s="52"/>
      <c r="B153" s="184"/>
      <c r="C153" s="134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4"/>
      <c r="AD153" s="24"/>
      <c r="AE153" s="24"/>
      <c r="AF153" s="24"/>
      <c r="AG153" s="24"/>
      <c r="AH153" s="24"/>
      <c r="AI153" s="40"/>
      <c r="AJ153" s="40"/>
      <c r="AK153" s="24"/>
      <c r="AL153" s="24"/>
      <c r="AM153" s="24"/>
      <c r="AN153" s="24"/>
      <c r="AO153" s="24"/>
      <c r="AP153" s="24"/>
      <c r="AQ153" s="24"/>
      <c r="AR153" s="24"/>
    </row>
    <row r="154" spans="1:44" ht="15.75" customHeight="1">
      <c r="A154" s="52"/>
      <c r="B154" s="184"/>
      <c r="C154" s="134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4"/>
      <c r="AD154" s="24"/>
      <c r="AE154" s="24"/>
      <c r="AF154" s="24"/>
      <c r="AG154" s="24"/>
      <c r="AH154" s="24"/>
      <c r="AI154" s="40"/>
      <c r="AJ154" s="40"/>
      <c r="AK154" s="24"/>
      <c r="AL154" s="24"/>
      <c r="AM154" s="24"/>
      <c r="AN154" s="24"/>
      <c r="AO154" s="24"/>
      <c r="AP154" s="24"/>
      <c r="AQ154" s="24"/>
      <c r="AR154" s="24"/>
    </row>
    <row r="155" spans="1:44" ht="15.75" customHeight="1">
      <c r="A155" s="52"/>
      <c r="B155" s="184"/>
      <c r="C155" s="134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4"/>
      <c r="AD155" s="24"/>
      <c r="AE155" s="24"/>
      <c r="AF155" s="24"/>
      <c r="AG155" s="24"/>
      <c r="AH155" s="24"/>
      <c r="AI155" s="40"/>
      <c r="AJ155" s="40"/>
      <c r="AK155" s="24"/>
      <c r="AL155" s="24"/>
      <c r="AM155" s="24"/>
      <c r="AN155" s="24"/>
      <c r="AO155" s="24"/>
      <c r="AP155" s="24"/>
      <c r="AQ155" s="24"/>
      <c r="AR155" s="24"/>
    </row>
    <row r="156" spans="1:44" ht="15.75" customHeight="1">
      <c r="A156" s="52"/>
      <c r="B156" s="184"/>
      <c r="C156" s="134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4"/>
      <c r="AD156" s="24"/>
      <c r="AE156" s="24"/>
      <c r="AF156" s="24"/>
      <c r="AG156" s="24"/>
      <c r="AH156" s="24"/>
      <c r="AI156" s="40"/>
      <c r="AJ156" s="40"/>
      <c r="AK156" s="24"/>
      <c r="AL156" s="24"/>
      <c r="AM156" s="24"/>
      <c r="AN156" s="24"/>
      <c r="AO156" s="24"/>
      <c r="AP156" s="24"/>
      <c r="AQ156" s="24"/>
      <c r="AR156" s="24"/>
    </row>
    <row r="157" spans="1:44" ht="15.75" customHeight="1">
      <c r="A157" s="52"/>
      <c r="B157" s="184"/>
      <c r="C157" s="134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4"/>
      <c r="AD157" s="24"/>
      <c r="AE157" s="24"/>
      <c r="AF157" s="24"/>
      <c r="AG157" s="24"/>
      <c r="AH157" s="24"/>
      <c r="AI157" s="40"/>
      <c r="AJ157" s="40"/>
      <c r="AK157" s="24"/>
      <c r="AL157" s="24"/>
      <c r="AM157" s="24"/>
      <c r="AN157" s="24"/>
      <c r="AO157" s="24"/>
      <c r="AP157" s="24"/>
      <c r="AQ157" s="24"/>
      <c r="AR157" s="24"/>
    </row>
    <row r="158" spans="1:44" ht="15.75" customHeight="1">
      <c r="A158" s="52"/>
      <c r="B158" s="184"/>
      <c r="C158" s="134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4"/>
      <c r="AD158" s="24"/>
      <c r="AE158" s="24"/>
      <c r="AF158" s="24"/>
      <c r="AG158" s="24"/>
      <c r="AH158" s="24"/>
      <c r="AI158" s="40"/>
      <c r="AJ158" s="40"/>
      <c r="AK158" s="24"/>
      <c r="AL158" s="24"/>
      <c r="AM158" s="24"/>
      <c r="AN158" s="24"/>
      <c r="AO158" s="24"/>
      <c r="AP158" s="24"/>
      <c r="AQ158" s="24"/>
      <c r="AR158" s="24"/>
    </row>
    <row r="159" spans="1:44" ht="15.75" customHeight="1">
      <c r="A159" s="52"/>
      <c r="B159" s="184"/>
      <c r="C159" s="134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4"/>
      <c r="AD159" s="24"/>
      <c r="AE159" s="24"/>
      <c r="AF159" s="24"/>
      <c r="AG159" s="24"/>
      <c r="AH159" s="24"/>
      <c r="AI159" s="40"/>
      <c r="AJ159" s="40"/>
      <c r="AK159" s="24"/>
      <c r="AL159" s="24"/>
      <c r="AM159" s="24"/>
      <c r="AN159" s="24"/>
      <c r="AO159" s="24"/>
      <c r="AP159" s="24"/>
      <c r="AQ159" s="24"/>
      <c r="AR159" s="24"/>
    </row>
    <row r="160" spans="1:44" ht="15.75" customHeight="1">
      <c r="A160" s="52"/>
      <c r="B160" s="184"/>
      <c r="C160" s="134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4"/>
      <c r="AD160" s="24"/>
      <c r="AE160" s="24"/>
      <c r="AF160" s="24"/>
      <c r="AG160" s="24"/>
      <c r="AH160" s="24"/>
      <c r="AI160" s="40"/>
      <c r="AJ160" s="40"/>
      <c r="AK160" s="24"/>
      <c r="AL160" s="24"/>
      <c r="AM160" s="24"/>
      <c r="AN160" s="24"/>
      <c r="AO160" s="24"/>
      <c r="AP160" s="24"/>
      <c r="AQ160" s="24"/>
      <c r="AR160" s="24"/>
    </row>
    <row r="161" spans="1:44" ht="15.75" customHeight="1">
      <c r="A161" s="52"/>
      <c r="B161" s="184"/>
      <c r="C161" s="134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4"/>
      <c r="AD161" s="24"/>
      <c r="AE161" s="24"/>
      <c r="AF161" s="24"/>
      <c r="AG161" s="24"/>
      <c r="AH161" s="24"/>
      <c r="AI161" s="40"/>
      <c r="AJ161" s="40"/>
      <c r="AK161" s="24"/>
      <c r="AL161" s="24"/>
      <c r="AM161" s="24"/>
      <c r="AN161" s="24"/>
      <c r="AO161" s="24"/>
      <c r="AP161" s="24"/>
      <c r="AQ161" s="24"/>
      <c r="AR161" s="24"/>
    </row>
    <row r="162" spans="1:44" ht="15.75" customHeight="1">
      <c r="A162" s="52"/>
      <c r="B162" s="184"/>
      <c r="C162" s="134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4"/>
      <c r="AD162" s="24"/>
      <c r="AE162" s="24"/>
      <c r="AF162" s="24"/>
      <c r="AG162" s="24"/>
      <c r="AH162" s="24"/>
      <c r="AI162" s="40"/>
      <c r="AJ162" s="40"/>
      <c r="AK162" s="24"/>
      <c r="AL162" s="24"/>
      <c r="AM162" s="24"/>
      <c r="AN162" s="24"/>
      <c r="AO162" s="24"/>
      <c r="AP162" s="24"/>
      <c r="AQ162" s="24"/>
      <c r="AR162" s="24"/>
    </row>
    <row r="163" spans="1:44" ht="15.75" customHeight="1">
      <c r="A163" s="52"/>
      <c r="B163" s="184"/>
      <c r="C163" s="134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4"/>
      <c r="AD163" s="24"/>
      <c r="AE163" s="24"/>
      <c r="AF163" s="24"/>
      <c r="AG163" s="24"/>
      <c r="AH163" s="24"/>
      <c r="AI163" s="40"/>
      <c r="AJ163" s="40"/>
      <c r="AK163" s="24"/>
      <c r="AL163" s="24"/>
      <c r="AM163" s="24"/>
      <c r="AN163" s="24"/>
      <c r="AO163" s="24"/>
      <c r="AP163" s="24"/>
      <c r="AQ163" s="24"/>
      <c r="AR163" s="24"/>
    </row>
    <row r="164" spans="1:44" ht="15.75" customHeight="1">
      <c r="A164" s="52"/>
      <c r="B164" s="184"/>
      <c r="C164" s="134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4"/>
      <c r="AD164" s="24"/>
      <c r="AE164" s="24"/>
      <c r="AF164" s="24"/>
      <c r="AG164" s="24"/>
      <c r="AH164" s="24"/>
      <c r="AI164" s="40"/>
      <c r="AJ164" s="40"/>
      <c r="AK164" s="24"/>
      <c r="AL164" s="24"/>
      <c r="AM164" s="24"/>
      <c r="AN164" s="24"/>
      <c r="AO164" s="24"/>
      <c r="AP164" s="24"/>
      <c r="AQ164" s="24"/>
      <c r="AR164" s="24"/>
    </row>
    <row r="165" spans="1:44" ht="15.75" customHeight="1">
      <c r="A165" s="52"/>
      <c r="B165" s="184"/>
      <c r="C165" s="134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4"/>
      <c r="AD165" s="24"/>
      <c r="AE165" s="24"/>
      <c r="AF165" s="24"/>
      <c r="AG165" s="24"/>
      <c r="AH165" s="24"/>
      <c r="AI165" s="40"/>
      <c r="AJ165" s="40"/>
      <c r="AK165" s="24"/>
      <c r="AL165" s="24"/>
      <c r="AM165" s="24"/>
      <c r="AN165" s="24"/>
      <c r="AO165" s="24"/>
      <c r="AP165" s="24"/>
      <c r="AQ165" s="24"/>
      <c r="AR165" s="24"/>
    </row>
    <row r="166" spans="1:44" ht="15.75" customHeight="1">
      <c r="A166" s="52"/>
      <c r="B166" s="184"/>
      <c r="C166" s="134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4"/>
      <c r="AD166" s="24"/>
      <c r="AE166" s="24"/>
      <c r="AF166" s="24"/>
      <c r="AG166" s="24"/>
      <c r="AH166" s="24"/>
      <c r="AI166" s="40"/>
      <c r="AJ166" s="40"/>
      <c r="AK166" s="24"/>
      <c r="AL166" s="24"/>
      <c r="AM166" s="24"/>
      <c r="AN166" s="24"/>
      <c r="AO166" s="24"/>
      <c r="AP166" s="24"/>
      <c r="AQ166" s="24"/>
      <c r="AR166" s="24"/>
    </row>
    <row r="167" spans="1:44" ht="15.75" customHeight="1">
      <c r="A167" s="52"/>
      <c r="B167" s="184"/>
      <c r="C167" s="134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4"/>
      <c r="AD167" s="24"/>
      <c r="AE167" s="24"/>
      <c r="AF167" s="24"/>
      <c r="AG167" s="24"/>
      <c r="AH167" s="24"/>
      <c r="AI167" s="40"/>
      <c r="AJ167" s="40"/>
      <c r="AK167" s="24"/>
      <c r="AL167" s="24"/>
      <c r="AM167" s="24"/>
      <c r="AN167" s="24"/>
      <c r="AO167" s="24"/>
      <c r="AP167" s="24"/>
      <c r="AQ167" s="24"/>
      <c r="AR167" s="24"/>
    </row>
    <row r="168" spans="1:44" ht="15.75" customHeight="1">
      <c r="A168" s="52"/>
      <c r="B168" s="184"/>
      <c r="C168" s="134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4"/>
      <c r="AD168" s="24"/>
      <c r="AE168" s="24"/>
      <c r="AF168" s="24"/>
      <c r="AG168" s="24"/>
      <c r="AH168" s="24"/>
      <c r="AI168" s="40"/>
      <c r="AJ168" s="40"/>
      <c r="AK168" s="24"/>
      <c r="AL168" s="24"/>
      <c r="AM168" s="24"/>
      <c r="AN168" s="24"/>
      <c r="AO168" s="24"/>
      <c r="AP168" s="24"/>
      <c r="AQ168" s="24"/>
      <c r="AR168" s="24"/>
    </row>
    <row r="169" spans="1:44" ht="15.75" customHeight="1">
      <c r="A169" s="52"/>
      <c r="B169" s="184"/>
      <c r="C169" s="134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4"/>
      <c r="AD169" s="24"/>
      <c r="AE169" s="24"/>
      <c r="AF169" s="24"/>
      <c r="AG169" s="24"/>
      <c r="AH169" s="24"/>
      <c r="AI169" s="40"/>
      <c r="AJ169" s="40"/>
      <c r="AK169" s="24"/>
      <c r="AL169" s="24"/>
      <c r="AM169" s="24"/>
      <c r="AN169" s="24"/>
      <c r="AO169" s="24"/>
      <c r="AP169" s="24"/>
      <c r="AQ169" s="24"/>
      <c r="AR169" s="24"/>
    </row>
    <row r="170" spans="1:44" ht="15.75" customHeight="1">
      <c r="A170" s="52"/>
      <c r="B170" s="184"/>
      <c r="C170" s="134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4"/>
      <c r="AD170" s="24"/>
      <c r="AE170" s="24"/>
      <c r="AF170" s="24"/>
      <c r="AG170" s="24"/>
      <c r="AH170" s="24"/>
      <c r="AI170" s="40"/>
      <c r="AJ170" s="40"/>
      <c r="AK170" s="24"/>
      <c r="AL170" s="24"/>
      <c r="AM170" s="24"/>
      <c r="AN170" s="24"/>
      <c r="AO170" s="24"/>
      <c r="AP170" s="24"/>
      <c r="AQ170" s="24"/>
      <c r="AR170" s="24"/>
    </row>
    <row r="171" spans="1:44" ht="15.75" customHeight="1">
      <c r="A171" s="52"/>
      <c r="B171" s="184"/>
      <c r="C171" s="134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4"/>
      <c r="AD171" s="24"/>
      <c r="AE171" s="24"/>
      <c r="AF171" s="24"/>
      <c r="AG171" s="24"/>
      <c r="AH171" s="24"/>
      <c r="AI171" s="40"/>
      <c r="AJ171" s="40"/>
      <c r="AK171" s="24"/>
      <c r="AL171" s="24"/>
      <c r="AM171" s="24"/>
      <c r="AN171" s="24"/>
      <c r="AO171" s="24"/>
      <c r="AP171" s="24"/>
      <c r="AQ171" s="24"/>
      <c r="AR171" s="24"/>
    </row>
    <row r="172" spans="1:44" ht="15.75" customHeight="1">
      <c r="A172" s="52"/>
      <c r="B172" s="184"/>
      <c r="C172" s="134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4"/>
      <c r="AD172" s="24"/>
      <c r="AE172" s="24"/>
      <c r="AF172" s="24"/>
      <c r="AG172" s="24"/>
      <c r="AH172" s="24"/>
      <c r="AI172" s="40"/>
      <c r="AJ172" s="40"/>
      <c r="AK172" s="24"/>
      <c r="AL172" s="24"/>
      <c r="AM172" s="24"/>
      <c r="AN172" s="24"/>
      <c r="AO172" s="24"/>
      <c r="AP172" s="24"/>
      <c r="AQ172" s="24"/>
      <c r="AR172" s="24"/>
    </row>
    <row r="173" spans="1:44" ht="15.75" customHeight="1">
      <c r="A173" s="52"/>
      <c r="B173" s="184"/>
      <c r="C173" s="134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4"/>
      <c r="AD173" s="24"/>
      <c r="AE173" s="24"/>
      <c r="AF173" s="24"/>
      <c r="AG173" s="24"/>
      <c r="AH173" s="24"/>
      <c r="AI173" s="40"/>
      <c r="AJ173" s="40"/>
      <c r="AK173" s="24"/>
      <c r="AL173" s="24"/>
      <c r="AM173" s="24"/>
      <c r="AN173" s="24"/>
      <c r="AO173" s="24"/>
      <c r="AP173" s="24"/>
      <c r="AQ173" s="24"/>
      <c r="AR173" s="24"/>
    </row>
    <row r="174" spans="1:44" ht="15.75" customHeight="1">
      <c r="A174" s="52"/>
      <c r="B174" s="184"/>
      <c r="C174" s="134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4"/>
      <c r="AD174" s="24"/>
      <c r="AE174" s="24"/>
      <c r="AF174" s="24"/>
      <c r="AG174" s="24"/>
      <c r="AH174" s="24"/>
      <c r="AI174" s="40"/>
      <c r="AJ174" s="40"/>
      <c r="AK174" s="24"/>
      <c r="AL174" s="24"/>
      <c r="AM174" s="24"/>
      <c r="AN174" s="24"/>
      <c r="AO174" s="24"/>
      <c r="AP174" s="24"/>
      <c r="AQ174" s="24"/>
      <c r="AR174" s="24"/>
    </row>
    <row r="175" spans="1:44" ht="15.75" customHeight="1">
      <c r="A175" s="52"/>
      <c r="B175" s="184"/>
      <c r="C175" s="134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4"/>
      <c r="AD175" s="24"/>
      <c r="AE175" s="24"/>
      <c r="AF175" s="24"/>
      <c r="AG175" s="24"/>
      <c r="AH175" s="24"/>
      <c r="AI175" s="40"/>
      <c r="AJ175" s="40"/>
      <c r="AK175" s="24"/>
      <c r="AL175" s="24"/>
      <c r="AM175" s="24"/>
      <c r="AN175" s="24"/>
      <c r="AO175" s="24"/>
      <c r="AP175" s="24"/>
      <c r="AQ175" s="24"/>
      <c r="AR175" s="24"/>
    </row>
    <row r="176" spans="1:44" ht="15.75" customHeight="1">
      <c r="A176" s="52"/>
      <c r="B176" s="184"/>
      <c r="C176" s="134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4"/>
      <c r="AD176" s="24"/>
      <c r="AE176" s="24"/>
      <c r="AF176" s="24"/>
      <c r="AG176" s="24"/>
      <c r="AH176" s="24"/>
      <c r="AI176" s="40"/>
      <c r="AJ176" s="40"/>
      <c r="AK176" s="24"/>
      <c r="AL176" s="24"/>
      <c r="AM176" s="24"/>
      <c r="AN176" s="24"/>
      <c r="AO176" s="24"/>
      <c r="AP176" s="24"/>
      <c r="AQ176" s="24"/>
      <c r="AR176" s="24"/>
    </row>
    <row r="177" spans="1:44" ht="15.75" customHeight="1">
      <c r="A177" s="52"/>
      <c r="B177" s="184"/>
      <c r="C177" s="134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4"/>
      <c r="AD177" s="24"/>
      <c r="AE177" s="24"/>
      <c r="AF177" s="24"/>
      <c r="AG177" s="24"/>
      <c r="AH177" s="24"/>
      <c r="AI177" s="40"/>
      <c r="AJ177" s="40"/>
      <c r="AK177" s="24"/>
      <c r="AL177" s="24"/>
      <c r="AM177" s="24"/>
      <c r="AN177" s="24"/>
      <c r="AO177" s="24"/>
      <c r="AP177" s="24"/>
      <c r="AQ177" s="24"/>
      <c r="AR177" s="24"/>
    </row>
    <row r="178" spans="1:44" ht="15.75" customHeight="1">
      <c r="A178" s="52"/>
      <c r="B178" s="184"/>
      <c r="C178" s="134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4"/>
      <c r="AD178" s="24"/>
      <c r="AE178" s="24"/>
      <c r="AF178" s="24"/>
      <c r="AG178" s="24"/>
      <c r="AH178" s="24"/>
      <c r="AI178" s="40"/>
      <c r="AJ178" s="40"/>
      <c r="AK178" s="24"/>
      <c r="AL178" s="24"/>
      <c r="AM178" s="24"/>
      <c r="AN178" s="24"/>
      <c r="AO178" s="24"/>
      <c r="AP178" s="24"/>
      <c r="AQ178" s="24"/>
      <c r="AR178" s="24"/>
    </row>
    <row r="179" spans="1:44" ht="15.75" customHeight="1">
      <c r="A179" s="52"/>
      <c r="B179" s="184"/>
      <c r="C179" s="134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4"/>
      <c r="AD179" s="24"/>
      <c r="AE179" s="24"/>
      <c r="AF179" s="24"/>
      <c r="AG179" s="24"/>
      <c r="AH179" s="24"/>
      <c r="AI179" s="40"/>
      <c r="AJ179" s="40"/>
      <c r="AK179" s="24"/>
      <c r="AL179" s="24"/>
      <c r="AM179" s="24"/>
      <c r="AN179" s="24"/>
      <c r="AO179" s="24"/>
      <c r="AP179" s="24"/>
      <c r="AQ179" s="24"/>
      <c r="AR179" s="24"/>
    </row>
    <row r="180" spans="1:44" ht="15.75" customHeight="1">
      <c r="A180" s="52"/>
      <c r="B180" s="184"/>
      <c r="C180" s="134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4"/>
      <c r="AD180" s="24"/>
      <c r="AE180" s="24"/>
      <c r="AF180" s="24"/>
      <c r="AG180" s="24"/>
      <c r="AH180" s="24"/>
      <c r="AI180" s="40"/>
      <c r="AJ180" s="40"/>
      <c r="AK180" s="24"/>
      <c r="AL180" s="24"/>
      <c r="AM180" s="24"/>
      <c r="AN180" s="24"/>
      <c r="AO180" s="24"/>
      <c r="AP180" s="24"/>
      <c r="AQ180" s="24"/>
      <c r="AR180" s="24"/>
    </row>
    <row r="181" spans="1:44" ht="15.75" customHeight="1">
      <c r="A181" s="52"/>
      <c r="B181" s="184"/>
      <c r="C181" s="134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4"/>
      <c r="AD181" s="24"/>
      <c r="AE181" s="24"/>
      <c r="AF181" s="24"/>
      <c r="AG181" s="24"/>
      <c r="AH181" s="24"/>
      <c r="AI181" s="40"/>
      <c r="AJ181" s="40"/>
      <c r="AK181" s="24"/>
      <c r="AL181" s="24"/>
      <c r="AM181" s="24"/>
      <c r="AN181" s="24"/>
      <c r="AO181" s="24"/>
      <c r="AP181" s="24"/>
      <c r="AQ181" s="24"/>
      <c r="AR181" s="24"/>
    </row>
    <row r="182" spans="1:44" ht="15.75" customHeight="1">
      <c r="A182" s="52"/>
      <c r="B182" s="184"/>
      <c r="C182" s="134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4"/>
      <c r="AD182" s="24"/>
      <c r="AE182" s="24"/>
      <c r="AF182" s="24"/>
      <c r="AG182" s="24"/>
      <c r="AH182" s="24"/>
      <c r="AI182" s="40"/>
      <c r="AJ182" s="40"/>
      <c r="AK182" s="24"/>
      <c r="AL182" s="24"/>
      <c r="AM182" s="24"/>
      <c r="AN182" s="24"/>
      <c r="AO182" s="24"/>
      <c r="AP182" s="24"/>
      <c r="AQ182" s="24"/>
      <c r="AR182" s="24"/>
    </row>
    <row r="183" spans="1:44" ht="15.75" customHeight="1">
      <c r="A183" s="52"/>
      <c r="B183" s="184"/>
      <c r="C183" s="134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4"/>
      <c r="AD183" s="24"/>
      <c r="AE183" s="24"/>
      <c r="AF183" s="24"/>
      <c r="AG183" s="24"/>
      <c r="AH183" s="24"/>
      <c r="AI183" s="40"/>
      <c r="AJ183" s="40"/>
      <c r="AK183" s="24"/>
      <c r="AL183" s="24"/>
      <c r="AM183" s="24"/>
      <c r="AN183" s="24"/>
      <c r="AO183" s="24"/>
      <c r="AP183" s="24"/>
      <c r="AQ183" s="24"/>
      <c r="AR183" s="24"/>
    </row>
    <row r="184" spans="1:44" ht="15.75" customHeight="1">
      <c r="A184" s="52"/>
      <c r="B184" s="184"/>
      <c r="C184" s="134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4"/>
      <c r="AD184" s="24"/>
      <c r="AE184" s="24"/>
      <c r="AF184" s="24"/>
      <c r="AG184" s="24"/>
      <c r="AH184" s="24"/>
      <c r="AI184" s="40"/>
      <c r="AJ184" s="40"/>
      <c r="AK184" s="24"/>
      <c r="AL184" s="24"/>
      <c r="AM184" s="24"/>
      <c r="AN184" s="24"/>
      <c r="AO184" s="24"/>
      <c r="AP184" s="24"/>
      <c r="AQ184" s="24"/>
      <c r="AR184" s="24"/>
    </row>
    <row r="185" spans="1:44" ht="15.75" customHeight="1">
      <c r="A185" s="52"/>
      <c r="B185" s="184"/>
      <c r="C185" s="134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4"/>
      <c r="AD185" s="24"/>
      <c r="AE185" s="24"/>
      <c r="AF185" s="24"/>
      <c r="AG185" s="24"/>
      <c r="AH185" s="24"/>
      <c r="AI185" s="40"/>
      <c r="AJ185" s="40"/>
      <c r="AK185" s="24"/>
      <c r="AL185" s="24"/>
      <c r="AM185" s="24"/>
      <c r="AN185" s="24"/>
      <c r="AO185" s="24"/>
      <c r="AP185" s="24"/>
      <c r="AQ185" s="24"/>
      <c r="AR185" s="24"/>
    </row>
    <row r="186" spans="1:44" ht="15.75" customHeight="1">
      <c r="A186" s="52"/>
      <c r="B186" s="184"/>
      <c r="C186" s="134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4"/>
      <c r="AD186" s="24"/>
      <c r="AE186" s="24"/>
      <c r="AF186" s="24"/>
      <c r="AG186" s="24"/>
      <c r="AH186" s="24"/>
      <c r="AI186" s="40"/>
      <c r="AJ186" s="40"/>
      <c r="AK186" s="24"/>
      <c r="AL186" s="24"/>
      <c r="AM186" s="24"/>
      <c r="AN186" s="24"/>
      <c r="AO186" s="24"/>
      <c r="AP186" s="24"/>
      <c r="AQ186" s="24"/>
      <c r="AR186" s="24"/>
    </row>
    <row r="187" spans="1:44" ht="15.75" customHeight="1">
      <c r="A187" s="52"/>
      <c r="B187" s="184"/>
      <c r="C187" s="134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4"/>
      <c r="AD187" s="24"/>
      <c r="AE187" s="24"/>
      <c r="AF187" s="24"/>
      <c r="AG187" s="24"/>
      <c r="AH187" s="24"/>
      <c r="AI187" s="40"/>
      <c r="AJ187" s="40"/>
      <c r="AK187" s="24"/>
      <c r="AL187" s="24"/>
      <c r="AM187" s="24"/>
      <c r="AN187" s="24"/>
      <c r="AO187" s="24"/>
      <c r="AP187" s="24"/>
      <c r="AQ187" s="24"/>
      <c r="AR187" s="24"/>
    </row>
    <row r="188" spans="1:44" ht="15.75" customHeight="1">
      <c r="A188" s="52"/>
      <c r="B188" s="184"/>
      <c r="C188" s="134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4"/>
      <c r="AD188" s="24"/>
      <c r="AE188" s="24"/>
      <c r="AF188" s="24"/>
      <c r="AG188" s="24"/>
      <c r="AH188" s="24"/>
      <c r="AI188" s="40"/>
      <c r="AJ188" s="40"/>
      <c r="AK188" s="24"/>
      <c r="AL188" s="24"/>
      <c r="AM188" s="24"/>
      <c r="AN188" s="24"/>
      <c r="AO188" s="24"/>
      <c r="AP188" s="24"/>
      <c r="AQ188" s="24"/>
      <c r="AR188" s="24"/>
    </row>
    <row r="189" spans="1:44" ht="15.75" customHeight="1">
      <c r="A189" s="52"/>
      <c r="B189" s="184"/>
      <c r="C189" s="134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4"/>
      <c r="AD189" s="24"/>
      <c r="AE189" s="24"/>
      <c r="AF189" s="24"/>
      <c r="AG189" s="24"/>
      <c r="AH189" s="24"/>
      <c r="AI189" s="40"/>
      <c r="AJ189" s="40"/>
      <c r="AK189" s="24"/>
      <c r="AL189" s="24"/>
      <c r="AM189" s="24"/>
      <c r="AN189" s="24"/>
      <c r="AO189" s="24"/>
      <c r="AP189" s="24"/>
      <c r="AQ189" s="24"/>
      <c r="AR189" s="24"/>
    </row>
    <row r="190" spans="1:44" ht="15.75" customHeight="1">
      <c r="A190" s="52"/>
      <c r="B190" s="184"/>
      <c r="C190" s="134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4"/>
      <c r="AD190" s="24"/>
      <c r="AE190" s="24"/>
      <c r="AF190" s="24"/>
      <c r="AG190" s="24"/>
      <c r="AH190" s="24"/>
      <c r="AI190" s="40"/>
      <c r="AJ190" s="40"/>
      <c r="AK190" s="24"/>
      <c r="AL190" s="24"/>
      <c r="AM190" s="24"/>
      <c r="AN190" s="24"/>
      <c r="AO190" s="24"/>
      <c r="AP190" s="24"/>
      <c r="AQ190" s="24"/>
      <c r="AR190" s="24"/>
    </row>
    <row r="191" spans="1:44" ht="15.75" customHeight="1">
      <c r="A191" s="52"/>
      <c r="B191" s="184"/>
      <c r="C191" s="134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4"/>
      <c r="AD191" s="24"/>
      <c r="AE191" s="24"/>
      <c r="AF191" s="24"/>
      <c r="AG191" s="24"/>
      <c r="AH191" s="24"/>
      <c r="AI191" s="40"/>
      <c r="AJ191" s="40"/>
      <c r="AK191" s="24"/>
      <c r="AL191" s="24"/>
      <c r="AM191" s="24"/>
      <c r="AN191" s="24"/>
      <c r="AO191" s="24"/>
      <c r="AP191" s="24"/>
      <c r="AQ191" s="24"/>
      <c r="AR191" s="24"/>
    </row>
    <row r="192" spans="1:44" ht="15.75" customHeight="1">
      <c r="A192" s="52"/>
      <c r="B192" s="184"/>
      <c r="C192" s="134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4"/>
      <c r="AD192" s="24"/>
      <c r="AE192" s="24"/>
      <c r="AF192" s="24"/>
      <c r="AG192" s="24"/>
      <c r="AH192" s="24"/>
      <c r="AI192" s="40"/>
      <c r="AJ192" s="40"/>
      <c r="AK192" s="24"/>
      <c r="AL192" s="24"/>
      <c r="AM192" s="24"/>
      <c r="AN192" s="24"/>
      <c r="AO192" s="24"/>
      <c r="AP192" s="24"/>
      <c r="AQ192" s="24"/>
      <c r="AR192" s="24"/>
    </row>
    <row r="193" spans="1:44" ht="15.75" customHeight="1">
      <c r="A193" s="52"/>
      <c r="B193" s="184"/>
      <c r="C193" s="134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24"/>
      <c r="AD193" s="24"/>
      <c r="AE193" s="24"/>
      <c r="AF193" s="24"/>
      <c r="AG193" s="24"/>
      <c r="AH193" s="24"/>
      <c r="AI193" s="40"/>
      <c r="AJ193" s="40"/>
      <c r="AK193" s="24"/>
      <c r="AL193" s="24"/>
      <c r="AM193" s="24"/>
      <c r="AN193" s="24"/>
      <c r="AO193" s="24"/>
      <c r="AP193" s="24"/>
      <c r="AQ193" s="24"/>
      <c r="AR193" s="24"/>
    </row>
    <row r="194" spans="1:44" ht="15.75" customHeight="1">
      <c r="A194" s="52"/>
      <c r="B194" s="184"/>
      <c r="C194" s="134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24"/>
      <c r="AD194" s="24"/>
      <c r="AE194" s="24"/>
      <c r="AF194" s="24"/>
      <c r="AG194" s="24"/>
      <c r="AH194" s="24"/>
      <c r="AI194" s="40"/>
      <c r="AJ194" s="40"/>
      <c r="AK194" s="24"/>
      <c r="AL194" s="24"/>
      <c r="AM194" s="24"/>
      <c r="AN194" s="24"/>
      <c r="AO194" s="24"/>
      <c r="AP194" s="24"/>
      <c r="AQ194" s="24"/>
      <c r="AR194" s="24"/>
    </row>
    <row r="195" spans="1:44" ht="15.75" customHeight="1">
      <c r="A195" s="52"/>
      <c r="B195" s="184"/>
      <c r="C195" s="134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24"/>
      <c r="AD195" s="24"/>
      <c r="AE195" s="24"/>
      <c r="AF195" s="24"/>
      <c r="AG195" s="24"/>
      <c r="AH195" s="24"/>
      <c r="AI195" s="40"/>
      <c r="AJ195" s="40"/>
      <c r="AK195" s="24"/>
      <c r="AL195" s="24"/>
      <c r="AM195" s="24"/>
      <c r="AN195" s="24"/>
      <c r="AO195" s="24"/>
      <c r="AP195" s="24"/>
      <c r="AQ195" s="24"/>
      <c r="AR195" s="24"/>
    </row>
    <row r="196" spans="1:44" ht="15.75" customHeight="1">
      <c r="A196" s="52"/>
      <c r="B196" s="184"/>
      <c r="C196" s="13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24"/>
      <c r="AD196" s="24"/>
      <c r="AE196" s="24"/>
      <c r="AF196" s="24"/>
      <c r="AG196" s="24"/>
      <c r="AH196" s="24"/>
      <c r="AI196" s="40"/>
      <c r="AJ196" s="40"/>
      <c r="AK196" s="24"/>
      <c r="AL196" s="24"/>
      <c r="AM196" s="24"/>
      <c r="AN196" s="24"/>
      <c r="AO196" s="24"/>
      <c r="AP196" s="24"/>
      <c r="AQ196" s="24"/>
      <c r="AR196" s="24"/>
    </row>
    <row r="197" spans="1:44" ht="15.75" customHeight="1">
      <c r="A197" s="52"/>
      <c r="B197" s="184"/>
      <c r="C197" s="13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24"/>
      <c r="AD197" s="24"/>
      <c r="AE197" s="24"/>
      <c r="AF197" s="24"/>
      <c r="AG197" s="24"/>
      <c r="AH197" s="24"/>
      <c r="AI197" s="40"/>
      <c r="AJ197" s="40"/>
      <c r="AK197" s="24"/>
      <c r="AL197" s="24"/>
      <c r="AM197" s="24"/>
      <c r="AN197" s="24"/>
      <c r="AO197" s="24"/>
      <c r="AP197" s="24"/>
      <c r="AQ197" s="24"/>
      <c r="AR197" s="24"/>
    </row>
    <row r="198" spans="1:44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40"/>
      <c r="AJ198" s="40"/>
      <c r="AK198" s="24"/>
      <c r="AL198" s="24"/>
      <c r="AM198" s="24"/>
      <c r="AN198" s="24"/>
      <c r="AO198" s="24"/>
      <c r="AP198" s="24"/>
      <c r="AQ198" s="24"/>
      <c r="AR198" s="24"/>
    </row>
    <row r="199" spans="1:44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40"/>
      <c r="AJ199" s="40"/>
      <c r="AK199" s="24"/>
      <c r="AL199" s="24"/>
      <c r="AM199" s="24"/>
      <c r="AN199" s="24"/>
      <c r="AO199" s="24"/>
      <c r="AP199" s="24"/>
      <c r="AQ199" s="24"/>
      <c r="AR199" s="24"/>
    </row>
    <row r="200" spans="1:44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40"/>
      <c r="AJ200" s="40"/>
      <c r="AK200" s="24"/>
      <c r="AL200" s="24"/>
      <c r="AM200" s="24"/>
      <c r="AN200" s="24"/>
      <c r="AO200" s="24"/>
      <c r="AP200" s="24"/>
      <c r="AQ200" s="24"/>
      <c r="AR200" s="24"/>
    </row>
    <row r="201" spans="1:44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40"/>
      <c r="AJ201" s="40"/>
      <c r="AK201" s="24"/>
      <c r="AL201" s="24"/>
      <c r="AM201" s="24"/>
      <c r="AN201" s="24"/>
      <c r="AO201" s="24"/>
      <c r="AP201" s="24"/>
      <c r="AQ201" s="24"/>
      <c r="AR201" s="24"/>
    </row>
    <row r="202" spans="1:44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40"/>
      <c r="AJ202" s="40"/>
      <c r="AK202" s="24"/>
      <c r="AL202" s="24"/>
      <c r="AM202" s="24"/>
      <c r="AN202" s="24"/>
      <c r="AO202" s="24"/>
      <c r="AP202" s="24"/>
      <c r="AQ202" s="24"/>
      <c r="AR202" s="24"/>
    </row>
    <row r="203" spans="1:44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40"/>
      <c r="AJ203" s="40"/>
      <c r="AK203" s="24"/>
      <c r="AL203" s="24"/>
      <c r="AM203" s="24"/>
      <c r="AN203" s="24"/>
      <c r="AO203" s="24"/>
      <c r="AP203" s="24"/>
      <c r="AQ203" s="24"/>
      <c r="AR203" s="24"/>
    </row>
    <row r="204" spans="1:4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40"/>
      <c r="AJ204" s="40"/>
      <c r="AK204" s="24"/>
      <c r="AL204" s="24"/>
      <c r="AM204" s="24"/>
      <c r="AN204" s="24"/>
      <c r="AO204" s="24"/>
      <c r="AP204" s="24"/>
      <c r="AQ204" s="24"/>
      <c r="AR204" s="24"/>
    </row>
    <row r="205" spans="1:44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40"/>
      <c r="AJ205" s="40"/>
      <c r="AK205" s="24"/>
      <c r="AL205" s="24"/>
      <c r="AM205" s="24"/>
      <c r="AN205" s="24"/>
      <c r="AO205" s="24"/>
      <c r="AP205" s="24"/>
      <c r="AQ205" s="24"/>
      <c r="AR205" s="24"/>
    </row>
    <row r="206" spans="1:44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40"/>
      <c r="AJ206" s="40"/>
      <c r="AK206" s="24"/>
      <c r="AL206" s="24"/>
      <c r="AM206" s="24"/>
      <c r="AN206" s="24"/>
      <c r="AO206" s="24"/>
      <c r="AP206" s="24"/>
      <c r="AQ206" s="24"/>
      <c r="AR206" s="24"/>
    </row>
    <row r="207" spans="1:44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40"/>
      <c r="AJ207" s="40"/>
      <c r="AK207" s="24"/>
      <c r="AL207" s="24"/>
      <c r="AM207" s="24"/>
      <c r="AN207" s="24"/>
      <c r="AO207" s="24"/>
      <c r="AP207" s="24"/>
      <c r="AQ207" s="24"/>
      <c r="AR207" s="24"/>
    </row>
    <row r="208" spans="1:44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40"/>
      <c r="AJ208" s="40"/>
      <c r="AK208" s="24"/>
      <c r="AL208" s="24"/>
      <c r="AM208" s="24"/>
      <c r="AN208" s="24"/>
      <c r="AO208" s="24"/>
      <c r="AP208" s="24"/>
      <c r="AQ208" s="24"/>
      <c r="AR208" s="24"/>
    </row>
    <row r="209" spans="1:44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40"/>
      <c r="AJ209" s="40"/>
      <c r="AK209" s="24"/>
      <c r="AL209" s="24"/>
      <c r="AM209" s="24"/>
      <c r="AN209" s="24"/>
      <c r="AO209" s="24"/>
      <c r="AP209" s="24"/>
      <c r="AQ209" s="24"/>
      <c r="AR209" s="24"/>
    </row>
    <row r="210" spans="1:44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40"/>
      <c r="AJ210" s="40"/>
      <c r="AK210" s="24"/>
      <c r="AL210" s="24"/>
      <c r="AM210" s="24"/>
      <c r="AN210" s="24"/>
      <c r="AO210" s="24"/>
      <c r="AP210" s="24"/>
      <c r="AQ210" s="24"/>
      <c r="AR210" s="24"/>
    </row>
    <row r="211" spans="1:44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40"/>
      <c r="AJ211" s="40"/>
      <c r="AK211" s="24"/>
      <c r="AL211" s="24"/>
      <c r="AM211" s="24"/>
      <c r="AN211" s="24"/>
      <c r="AO211" s="24"/>
      <c r="AP211" s="24"/>
      <c r="AQ211" s="24"/>
      <c r="AR211" s="24"/>
    </row>
    <row r="212" spans="1:44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40"/>
      <c r="AJ212" s="40"/>
      <c r="AK212" s="24"/>
      <c r="AL212" s="24"/>
      <c r="AM212" s="24"/>
      <c r="AN212" s="24"/>
      <c r="AO212" s="24"/>
      <c r="AP212" s="24"/>
      <c r="AQ212" s="24"/>
      <c r="AR212" s="24"/>
    </row>
    <row r="213" spans="1:44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40"/>
      <c r="AJ213" s="40"/>
      <c r="AK213" s="24"/>
      <c r="AL213" s="24"/>
      <c r="AM213" s="24"/>
      <c r="AN213" s="24"/>
      <c r="AO213" s="24"/>
      <c r="AP213" s="24"/>
      <c r="AQ213" s="24"/>
      <c r="AR213" s="24"/>
    </row>
    <row r="214" spans="1:4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40"/>
      <c r="AJ214" s="40"/>
      <c r="AK214" s="24"/>
      <c r="AL214" s="24"/>
      <c r="AM214" s="24"/>
      <c r="AN214" s="24"/>
      <c r="AO214" s="24"/>
      <c r="AP214" s="24"/>
      <c r="AQ214" s="24"/>
      <c r="AR214" s="24"/>
    </row>
    <row r="215" spans="1:44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40"/>
      <c r="AJ215" s="40"/>
      <c r="AK215" s="24"/>
      <c r="AL215" s="24"/>
      <c r="AM215" s="24"/>
      <c r="AN215" s="24"/>
      <c r="AO215" s="24"/>
      <c r="AP215" s="24"/>
      <c r="AQ215" s="24"/>
      <c r="AR215" s="24"/>
    </row>
    <row r="216" spans="1:44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40"/>
      <c r="AJ216" s="40"/>
      <c r="AK216" s="24"/>
      <c r="AL216" s="24"/>
      <c r="AM216" s="24"/>
      <c r="AN216" s="24"/>
      <c r="AO216" s="24"/>
      <c r="AP216" s="24"/>
      <c r="AQ216" s="24"/>
      <c r="AR216" s="24"/>
    </row>
    <row r="217" spans="1:44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40"/>
      <c r="AJ217" s="40"/>
      <c r="AK217" s="24"/>
      <c r="AL217" s="24"/>
      <c r="AM217" s="24"/>
      <c r="AN217" s="24"/>
      <c r="AO217" s="24"/>
      <c r="AP217" s="24"/>
      <c r="AQ217" s="24"/>
      <c r="AR217" s="24"/>
    </row>
    <row r="218" spans="1:44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40"/>
      <c r="AJ218" s="40"/>
      <c r="AK218" s="24"/>
      <c r="AL218" s="24"/>
      <c r="AM218" s="24"/>
      <c r="AN218" s="24"/>
      <c r="AO218" s="24"/>
      <c r="AP218" s="24"/>
      <c r="AQ218" s="24"/>
      <c r="AR218" s="24"/>
    </row>
    <row r="219" spans="1:44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40"/>
      <c r="AJ219" s="40"/>
      <c r="AK219" s="24"/>
      <c r="AL219" s="24"/>
      <c r="AM219" s="24"/>
      <c r="AN219" s="24"/>
      <c r="AO219" s="24"/>
      <c r="AP219" s="24"/>
      <c r="AQ219" s="24"/>
      <c r="AR219" s="24"/>
    </row>
    <row r="220" spans="1:44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40"/>
      <c r="AJ220" s="40"/>
      <c r="AK220" s="24"/>
      <c r="AL220" s="24"/>
      <c r="AM220" s="24"/>
      <c r="AN220" s="24"/>
      <c r="AO220" s="24"/>
      <c r="AP220" s="24"/>
      <c r="AQ220" s="24"/>
      <c r="AR220" s="24"/>
    </row>
    <row r="221" spans="1:44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40"/>
      <c r="AJ221" s="40"/>
      <c r="AK221" s="24"/>
      <c r="AL221" s="24"/>
      <c r="AM221" s="24"/>
      <c r="AN221" s="24"/>
      <c r="AO221" s="24"/>
      <c r="AP221" s="24"/>
      <c r="AQ221" s="24"/>
      <c r="AR221" s="24"/>
    </row>
    <row r="222" spans="1:44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40"/>
      <c r="AJ222" s="40"/>
      <c r="AK222" s="24"/>
      <c r="AL222" s="24"/>
      <c r="AM222" s="24"/>
      <c r="AN222" s="24"/>
      <c r="AO222" s="24"/>
      <c r="AP222" s="24"/>
      <c r="AQ222" s="24"/>
      <c r="AR222" s="24"/>
    </row>
    <row r="223" spans="1:44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40"/>
      <c r="AJ223" s="40"/>
      <c r="AK223" s="24"/>
      <c r="AL223" s="24"/>
      <c r="AM223" s="24"/>
      <c r="AN223" s="24"/>
      <c r="AO223" s="24"/>
      <c r="AP223" s="24"/>
      <c r="AQ223" s="24"/>
      <c r="AR223" s="24"/>
    </row>
    <row r="224" spans="1:4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40"/>
      <c r="AJ224" s="40"/>
      <c r="AK224" s="24"/>
      <c r="AL224" s="24"/>
      <c r="AM224" s="24"/>
      <c r="AN224" s="24"/>
      <c r="AO224" s="24"/>
      <c r="AP224" s="24"/>
      <c r="AQ224" s="24"/>
      <c r="AR224" s="24"/>
    </row>
    <row r="225" spans="1:44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40"/>
      <c r="AJ225" s="40"/>
      <c r="AK225" s="24"/>
      <c r="AL225" s="24"/>
      <c r="AM225" s="24"/>
      <c r="AN225" s="24"/>
      <c r="AO225" s="24"/>
      <c r="AP225" s="24"/>
      <c r="AQ225" s="24"/>
      <c r="AR225" s="24"/>
    </row>
    <row r="226" spans="1:44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40"/>
      <c r="AJ226" s="40"/>
      <c r="AK226" s="24"/>
      <c r="AL226" s="24"/>
      <c r="AM226" s="24"/>
      <c r="AN226" s="24"/>
      <c r="AO226" s="24"/>
      <c r="AP226" s="24"/>
      <c r="AQ226" s="24"/>
      <c r="AR226" s="24"/>
    </row>
    <row r="227" spans="1:44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40"/>
      <c r="AJ227" s="40"/>
      <c r="AK227" s="24"/>
      <c r="AL227" s="24"/>
      <c r="AM227" s="24"/>
      <c r="AN227" s="24"/>
      <c r="AO227" s="24"/>
      <c r="AP227" s="24"/>
      <c r="AQ227" s="24"/>
      <c r="AR227" s="24"/>
    </row>
    <row r="228" spans="1:44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40"/>
      <c r="AJ228" s="40"/>
      <c r="AK228" s="24"/>
      <c r="AL228" s="24"/>
      <c r="AM228" s="24"/>
      <c r="AN228" s="24"/>
      <c r="AO228" s="24"/>
      <c r="AP228" s="24"/>
      <c r="AQ228" s="24"/>
      <c r="AR228" s="24"/>
    </row>
    <row r="229" spans="1:44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40"/>
      <c r="AJ229" s="40"/>
      <c r="AK229" s="24"/>
      <c r="AL229" s="24"/>
      <c r="AM229" s="24"/>
      <c r="AN229" s="24"/>
      <c r="AO229" s="24"/>
      <c r="AP229" s="24"/>
      <c r="AQ229" s="24"/>
      <c r="AR229" s="24"/>
    </row>
    <row r="230" spans="1:44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40"/>
      <c r="AJ230" s="40"/>
      <c r="AK230" s="24"/>
      <c r="AL230" s="24"/>
      <c r="AM230" s="24"/>
      <c r="AN230" s="24"/>
      <c r="AO230" s="24"/>
      <c r="AP230" s="24"/>
      <c r="AQ230" s="24"/>
      <c r="AR230" s="24"/>
    </row>
    <row r="231" spans="1:44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40"/>
      <c r="AJ231" s="40"/>
      <c r="AK231" s="24"/>
      <c r="AL231" s="24"/>
      <c r="AM231" s="24"/>
      <c r="AN231" s="24"/>
      <c r="AO231" s="24"/>
      <c r="AP231" s="24"/>
      <c r="AQ231" s="24"/>
      <c r="AR231" s="24"/>
    </row>
    <row r="232" spans="1:44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40"/>
      <c r="AJ232" s="40"/>
      <c r="AK232" s="24"/>
      <c r="AL232" s="24"/>
      <c r="AM232" s="24"/>
      <c r="AN232" s="24"/>
      <c r="AO232" s="24"/>
      <c r="AP232" s="24"/>
      <c r="AQ232" s="24"/>
      <c r="AR232" s="24"/>
    </row>
    <row r="233" spans="1:44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40"/>
      <c r="AJ233" s="40"/>
      <c r="AK233" s="24"/>
      <c r="AL233" s="24"/>
      <c r="AM233" s="24"/>
      <c r="AN233" s="24"/>
      <c r="AO233" s="24"/>
      <c r="AP233" s="24"/>
      <c r="AQ233" s="24"/>
      <c r="AR233" s="24"/>
    </row>
    <row r="234" spans="1:4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40"/>
      <c r="AJ234" s="40"/>
      <c r="AK234" s="24"/>
      <c r="AL234" s="24"/>
      <c r="AM234" s="24"/>
      <c r="AN234" s="24"/>
      <c r="AO234" s="24"/>
      <c r="AP234" s="24"/>
      <c r="AQ234" s="24"/>
      <c r="AR234" s="24"/>
    </row>
    <row r="235" spans="1:44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40"/>
      <c r="AJ235" s="40"/>
      <c r="AK235" s="24"/>
      <c r="AL235" s="24"/>
      <c r="AM235" s="24"/>
      <c r="AN235" s="24"/>
      <c r="AO235" s="24"/>
      <c r="AP235" s="24"/>
      <c r="AQ235" s="24"/>
      <c r="AR235" s="24"/>
    </row>
    <row r="236" spans="1:44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40"/>
      <c r="AJ236" s="40"/>
      <c r="AK236" s="24"/>
      <c r="AL236" s="24"/>
      <c r="AM236" s="24"/>
      <c r="AN236" s="24"/>
      <c r="AO236" s="24"/>
      <c r="AP236" s="24"/>
      <c r="AQ236" s="24"/>
      <c r="AR236" s="24"/>
    </row>
    <row r="237" spans="1:44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40"/>
      <c r="AJ237" s="40"/>
      <c r="AK237" s="24"/>
      <c r="AL237" s="24"/>
      <c r="AM237" s="24"/>
      <c r="AN237" s="24"/>
      <c r="AO237" s="24"/>
      <c r="AP237" s="24"/>
      <c r="AQ237" s="24"/>
      <c r="AR237" s="24"/>
    </row>
    <row r="238" spans="1:44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40"/>
      <c r="AJ238" s="40"/>
      <c r="AK238" s="24"/>
      <c r="AL238" s="24"/>
      <c r="AM238" s="24"/>
      <c r="AN238" s="24"/>
      <c r="AO238" s="24"/>
      <c r="AP238" s="24"/>
      <c r="AQ238" s="24"/>
      <c r="AR238" s="24"/>
    </row>
    <row r="239" spans="1:44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40"/>
      <c r="AJ239" s="40"/>
      <c r="AK239" s="24"/>
      <c r="AL239" s="24"/>
      <c r="AM239" s="24"/>
      <c r="AN239" s="24"/>
      <c r="AO239" s="24"/>
      <c r="AP239" s="24"/>
      <c r="AQ239" s="24"/>
      <c r="AR239" s="24"/>
    </row>
    <row r="240" spans="1:44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40"/>
      <c r="AJ240" s="40"/>
      <c r="AK240" s="24"/>
      <c r="AL240" s="24"/>
      <c r="AM240" s="24"/>
      <c r="AN240" s="24"/>
      <c r="AO240" s="24"/>
      <c r="AP240" s="24"/>
      <c r="AQ240" s="24"/>
      <c r="AR240" s="24"/>
    </row>
    <row r="241" spans="1:44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40"/>
      <c r="AJ241" s="40"/>
      <c r="AK241" s="24"/>
      <c r="AL241" s="24"/>
      <c r="AM241" s="24"/>
      <c r="AN241" s="24"/>
      <c r="AO241" s="24"/>
      <c r="AP241" s="24"/>
      <c r="AQ241" s="24"/>
      <c r="AR241" s="24"/>
    </row>
    <row r="242" spans="1:44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40"/>
      <c r="AJ242" s="40"/>
      <c r="AK242" s="24"/>
      <c r="AL242" s="24"/>
      <c r="AM242" s="24"/>
      <c r="AN242" s="24"/>
      <c r="AO242" s="24"/>
      <c r="AP242" s="24"/>
      <c r="AQ242" s="24"/>
      <c r="AR242" s="24"/>
    </row>
    <row r="243" spans="1:44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40"/>
      <c r="AJ243" s="40"/>
      <c r="AK243" s="24"/>
      <c r="AL243" s="24"/>
      <c r="AM243" s="24"/>
      <c r="AN243" s="24"/>
      <c r="AO243" s="24"/>
      <c r="AP243" s="24"/>
      <c r="AQ243" s="24"/>
      <c r="AR243" s="24"/>
    </row>
    <row r="244" spans="1: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40"/>
      <c r="AJ244" s="40"/>
      <c r="AK244" s="24"/>
      <c r="AL244" s="24"/>
      <c r="AM244" s="24"/>
      <c r="AN244" s="24"/>
      <c r="AO244" s="24"/>
      <c r="AP244" s="24"/>
      <c r="AQ244" s="24"/>
      <c r="AR244" s="24"/>
    </row>
    <row r="245" spans="1:44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40"/>
      <c r="AJ245" s="40"/>
      <c r="AK245" s="24"/>
      <c r="AL245" s="24"/>
      <c r="AM245" s="24"/>
      <c r="AN245" s="24"/>
      <c r="AO245" s="24"/>
      <c r="AP245" s="24"/>
      <c r="AQ245" s="24"/>
      <c r="AR245" s="24"/>
    </row>
    <row r="246" spans="1:44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40"/>
      <c r="AJ246" s="40"/>
      <c r="AK246" s="24"/>
      <c r="AL246" s="24"/>
      <c r="AM246" s="24"/>
      <c r="AN246" s="24"/>
      <c r="AO246" s="24"/>
      <c r="AP246" s="24"/>
      <c r="AQ246" s="24"/>
      <c r="AR246" s="24"/>
    </row>
    <row r="247" spans="1:44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40"/>
      <c r="AJ247" s="40"/>
      <c r="AK247" s="24"/>
      <c r="AL247" s="24"/>
      <c r="AM247" s="24"/>
      <c r="AN247" s="24"/>
      <c r="AO247" s="24"/>
      <c r="AP247" s="24"/>
      <c r="AQ247" s="24"/>
      <c r="AR247" s="24"/>
    </row>
    <row r="248" spans="1:44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40"/>
      <c r="AJ248" s="40"/>
      <c r="AK248" s="24"/>
      <c r="AL248" s="24"/>
      <c r="AM248" s="24"/>
      <c r="AN248" s="24"/>
      <c r="AO248" s="24"/>
      <c r="AP248" s="24"/>
      <c r="AQ248" s="24"/>
      <c r="AR248" s="24"/>
    </row>
    <row r="249" spans="1:44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40"/>
      <c r="AJ249" s="40"/>
      <c r="AK249" s="24"/>
      <c r="AL249" s="24"/>
      <c r="AM249" s="24"/>
      <c r="AN249" s="24"/>
      <c r="AO249" s="24"/>
      <c r="AP249" s="24"/>
      <c r="AQ249" s="24"/>
      <c r="AR249" s="24"/>
    </row>
    <row r="250" spans="1:44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40"/>
      <c r="AJ250" s="40"/>
      <c r="AK250" s="24"/>
      <c r="AL250" s="24"/>
      <c r="AM250" s="24"/>
      <c r="AN250" s="24"/>
      <c r="AO250" s="24"/>
      <c r="AP250" s="24"/>
      <c r="AQ250" s="24"/>
      <c r="AR250" s="24"/>
    </row>
    <row r="251" spans="1:44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40"/>
      <c r="AJ251" s="40"/>
      <c r="AK251" s="24"/>
      <c r="AL251" s="24"/>
      <c r="AM251" s="24"/>
      <c r="AN251" s="24"/>
      <c r="AO251" s="24"/>
      <c r="AP251" s="24"/>
      <c r="AQ251" s="24"/>
      <c r="AR251" s="24"/>
    </row>
    <row r="252" spans="1:44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40"/>
      <c r="AJ252" s="40"/>
      <c r="AK252" s="24"/>
      <c r="AL252" s="24"/>
      <c r="AM252" s="24"/>
      <c r="AN252" s="24"/>
      <c r="AO252" s="24"/>
      <c r="AP252" s="24"/>
      <c r="AQ252" s="24"/>
      <c r="AR252" s="24"/>
    </row>
    <row r="253" spans="1:44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40"/>
      <c r="AJ253" s="40"/>
      <c r="AK253" s="24"/>
      <c r="AL253" s="24"/>
      <c r="AM253" s="24"/>
      <c r="AN253" s="24"/>
      <c r="AO253" s="24"/>
      <c r="AP253" s="24"/>
      <c r="AQ253" s="24"/>
      <c r="AR253" s="24"/>
    </row>
    <row r="254" spans="1:4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40"/>
      <c r="AJ254" s="40"/>
      <c r="AK254" s="24"/>
      <c r="AL254" s="24"/>
      <c r="AM254" s="24"/>
      <c r="AN254" s="24"/>
      <c r="AO254" s="24"/>
      <c r="AP254" s="24"/>
      <c r="AQ254" s="24"/>
      <c r="AR254" s="24"/>
    </row>
    <row r="255" spans="1:44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40"/>
      <c r="AJ255" s="40"/>
      <c r="AK255" s="24"/>
      <c r="AL255" s="24"/>
      <c r="AM255" s="24"/>
      <c r="AN255" s="24"/>
      <c r="AO255" s="24"/>
      <c r="AP255" s="24"/>
      <c r="AQ255" s="24"/>
      <c r="AR255" s="24"/>
    </row>
    <row r="256" spans="1:44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40"/>
      <c r="AJ256" s="40"/>
      <c r="AK256" s="24"/>
      <c r="AL256" s="24"/>
      <c r="AM256" s="24"/>
      <c r="AN256" s="24"/>
      <c r="AO256" s="24"/>
      <c r="AP256" s="24"/>
      <c r="AQ256" s="24"/>
      <c r="AR256" s="24"/>
    </row>
    <row r="257" spans="1:44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40"/>
      <c r="AJ257" s="40"/>
      <c r="AK257" s="24"/>
      <c r="AL257" s="24"/>
      <c r="AM257" s="24"/>
      <c r="AN257" s="24"/>
      <c r="AO257" s="24"/>
      <c r="AP257" s="24"/>
      <c r="AQ257" s="24"/>
      <c r="AR257" s="24"/>
    </row>
    <row r="258" spans="1:44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40"/>
      <c r="AJ258" s="40"/>
      <c r="AK258" s="24"/>
      <c r="AL258" s="24"/>
      <c r="AM258" s="24"/>
      <c r="AN258" s="24"/>
      <c r="AO258" s="24"/>
      <c r="AP258" s="24"/>
      <c r="AQ258" s="24"/>
      <c r="AR258" s="24"/>
    </row>
    <row r="259" spans="1:44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40"/>
      <c r="AJ259" s="40"/>
      <c r="AK259" s="24"/>
      <c r="AL259" s="24"/>
      <c r="AM259" s="24"/>
      <c r="AN259" s="24"/>
      <c r="AO259" s="24"/>
      <c r="AP259" s="24"/>
      <c r="AQ259" s="24"/>
      <c r="AR259" s="24"/>
    </row>
    <row r="260" spans="1:44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40"/>
      <c r="AJ260" s="40"/>
      <c r="AK260" s="24"/>
      <c r="AL260" s="24"/>
      <c r="AM260" s="24"/>
      <c r="AN260" s="24"/>
      <c r="AO260" s="24"/>
      <c r="AP260" s="24"/>
      <c r="AQ260" s="24"/>
      <c r="AR260" s="24"/>
    </row>
    <row r="261" spans="1:44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40"/>
      <c r="AJ261" s="40"/>
      <c r="AK261" s="24"/>
      <c r="AL261" s="24"/>
      <c r="AM261" s="24"/>
      <c r="AN261" s="24"/>
      <c r="AO261" s="24"/>
      <c r="AP261" s="24"/>
      <c r="AQ261" s="24"/>
      <c r="AR261" s="24"/>
    </row>
    <row r="262" spans="1:44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40"/>
      <c r="AJ262" s="40"/>
      <c r="AK262" s="24"/>
      <c r="AL262" s="24"/>
      <c r="AM262" s="24"/>
      <c r="AN262" s="24"/>
      <c r="AO262" s="24"/>
      <c r="AP262" s="24"/>
      <c r="AQ262" s="24"/>
      <c r="AR262" s="24"/>
    </row>
    <row r="263" spans="1:44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40"/>
      <c r="AJ263" s="40"/>
      <c r="AK263" s="24"/>
      <c r="AL263" s="24"/>
      <c r="AM263" s="24"/>
      <c r="AN263" s="24"/>
      <c r="AO263" s="24"/>
      <c r="AP263" s="24"/>
      <c r="AQ263" s="24"/>
      <c r="AR263" s="24"/>
    </row>
    <row r="264" spans="1:4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40"/>
      <c r="AJ264" s="40"/>
      <c r="AK264" s="24"/>
      <c r="AL264" s="24"/>
      <c r="AM264" s="24"/>
      <c r="AN264" s="24"/>
      <c r="AO264" s="24"/>
      <c r="AP264" s="24"/>
      <c r="AQ264" s="24"/>
      <c r="AR264" s="24"/>
    </row>
    <row r="265" spans="1:44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40"/>
      <c r="AJ265" s="40"/>
      <c r="AK265" s="24"/>
      <c r="AL265" s="24"/>
      <c r="AM265" s="24"/>
      <c r="AN265" s="24"/>
      <c r="AO265" s="24"/>
      <c r="AP265" s="24"/>
      <c r="AQ265" s="24"/>
      <c r="AR265" s="24"/>
    </row>
    <row r="266" spans="1:44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40"/>
      <c r="AJ266" s="40"/>
      <c r="AK266" s="24"/>
      <c r="AL266" s="24"/>
      <c r="AM266" s="24"/>
      <c r="AN266" s="24"/>
      <c r="AO266" s="24"/>
      <c r="AP266" s="24"/>
      <c r="AQ266" s="24"/>
      <c r="AR266" s="24"/>
    </row>
    <row r="267" spans="1:44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40"/>
      <c r="AJ267" s="40"/>
      <c r="AK267" s="24"/>
      <c r="AL267" s="24"/>
      <c r="AM267" s="24"/>
      <c r="AN267" s="24"/>
      <c r="AO267" s="24"/>
      <c r="AP267" s="24"/>
      <c r="AQ267" s="24"/>
      <c r="AR267" s="24"/>
    </row>
    <row r="268" spans="1:44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40"/>
      <c r="AJ268" s="40"/>
      <c r="AK268" s="24"/>
      <c r="AL268" s="24"/>
      <c r="AM268" s="24"/>
      <c r="AN268" s="24"/>
      <c r="AO268" s="24"/>
      <c r="AP268" s="24"/>
      <c r="AQ268" s="24"/>
      <c r="AR268" s="24"/>
    </row>
    <row r="269" spans="1:44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40"/>
      <c r="AJ269" s="40"/>
      <c r="AK269" s="24"/>
      <c r="AL269" s="24"/>
      <c r="AM269" s="24"/>
      <c r="AN269" s="24"/>
      <c r="AO269" s="24"/>
      <c r="AP269" s="24"/>
      <c r="AQ269" s="24"/>
      <c r="AR269" s="24"/>
    </row>
    <row r="270" spans="1:44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40"/>
      <c r="AJ270" s="40"/>
      <c r="AK270" s="24"/>
      <c r="AL270" s="24"/>
      <c r="AM270" s="24"/>
      <c r="AN270" s="24"/>
      <c r="AO270" s="24"/>
      <c r="AP270" s="24"/>
      <c r="AQ270" s="24"/>
      <c r="AR270" s="24"/>
    </row>
    <row r="271" spans="1:44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40"/>
      <c r="AJ271" s="40"/>
      <c r="AK271" s="24"/>
      <c r="AL271" s="24"/>
      <c r="AM271" s="24"/>
      <c r="AN271" s="24"/>
      <c r="AO271" s="24"/>
      <c r="AP271" s="24"/>
      <c r="AQ271" s="24"/>
      <c r="AR271" s="24"/>
    </row>
    <row r="272" spans="1:44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40"/>
      <c r="AJ272" s="40"/>
      <c r="AK272" s="24"/>
      <c r="AL272" s="24"/>
      <c r="AM272" s="24"/>
      <c r="AN272" s="24"/>
      <c r="AO272" s="24"/>
      <c r="AP272" s="24"/>
      <c r="AQ272" s="24"/>
      <c r="AR272" s="24"/>
    </row>
    <row r="273" spans="1:44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40"/>
      <c r="AJ273" s="40"/>
      <c r="AK273" s="24"/>
      <c r="AL273" s="24"/>
      <c r="AM273" s="24"/>
      <c r="AN273" s="24"/>
      <c r="AO273" s="24"/>
      <c r="AP273" s="24"/>
      <c r="AQ273" s="24"/>
      <c r="AR273" s="24"/>
    </row>
    <row r="274" spans="1:4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40"/>
      <c r="AJ274" s="40"/>
      <c r="AK274" s="24"/>
      <c r="AL274" s="24"/>
      <c r="AM274" s="24"/>
      <c r="AN274" s="24"/>
      <c r="AO274" s="24"/>
      <c r="AP274" s="24"/>
      <c r="AQ274" s="24"/>
      <c r="AR274" s="24"/>
    </row>
    <row r="275" spans="1:44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40"/>
      <c r="AJ275" s="40"/>
      <c r="AK275" s="24"/>
      <c r="AL275" s="24"/>
      <c r="AM275" s="24"/>
      <c r="AN275" s="24"/>
      <c r="AO275" s="24"/>
      <c r="AP275" s="24"/>
      <c r="AQ275" s="24"/>
      <c r="AR275" s="24"/>
    </row>
    <row r="276" spans="1:44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40"/>
      <c r="AJ276" s="40"/>
      <c r="AK276" s="24"/>
      <c r="AL276" s="24"/>
      <c r="AM276" s="24"/>
      <c r="AN276" s="24"/>
      <c r="AO276" s="24"/>
      <c r="AP276" s="24"/>
      <c r="AQ276" s="24"/>
      <c r="AR276" s="24"/>
    </row>
    <row r="277" spans="1:44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40"/>
      <c r="AJ277" s="40"/>
      <c r="AK277" s="24"/>
      <c r="AL277" s="24"/>
      <c r="AM277" s="24"/>
      <c r="AN277" s="24"/>
      <c r="AO277" s="24"/>
      <c r="AP277" s="24"/>
      <c r="AQ277" s="24"/>
      <c r="AR277" s="24"/>
    </row>
    <row r="278" spans="1:44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40"/>
      <c r="AJ278" s="40"/>
      <c r="AK278" s="24"/>
      <c r="AL278" s="24"/>
      <c r="AM278" s="24"/>
      <c r="AN278" s="24"/>
      <c r="AO278" s="24"/>
      <c r="AP278" s="24"/>
      <c r="AQ278" s="24"/>
      <c r="AR278" s="24"/>
    </row>
    <row r="279" spans="1:44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40"/>
      <c r="AJ279" s="40"/>
      <c r="AK279" s="24"/>
      <c r="AL279" s="24"/>
      <c r="AM279" s="24"/>
      <c r="AN279" s="24"/>
      <c r="AO279" s="24"/>
      <c r="AP279" s="24"/>
      <c r="AQ279" s="24"/>
      <c r="AR279" s="24"/>
    </row>
    <row r="280" spans="1:44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40"/>
      <c r="AJ280" s="40"/>
      <c r="AK280" s="24"/>
      <c r="AL280" s="24"/>
      <c r="AM280" s="24"/>
      <c r="AN280" s="24"/>
      <c r="AO280" s="24"/>
      <c r="AP280" s="24"/>
      <c r="AQ280" s="24"/>
      <c r="AR280" s="24"/>
    </row>
    <row r="281" spans="1:44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40"/>
      <c r="AJ281" s="40"/>
      <c r="AK281" s="24"/>
      <c r="AL281" s="24"/>
      <c r="AM281" s="24"/>
      <c r="AN281" s="24"/>
      <c r="AO281" s="24"/>
      <c r="AP281" s="24"/>
      <c r="AQ281" s="24"/>
      <c r="AR281" s="24"/>
    </row>
    <row r="282" spans="1:44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40"/>
      <c r="AJ282" s="40"/>
      <c r="AK282" s="24"/>
      <c r="AL282" s="24"/>
      <c r="AM282" s="24"/>
      <c r="AN282" s="24"/>
      <c r="AO282" s="24"/>
      <c r="AP282" s="24"/>
      <c r="AQ282" s="24"/>
      <c r="AR282" s="24"/>
    </row>
    <row r="283" spans="1:44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40"/>
      <c r="AJ283" s="40"/>
      <c r="AK283" s="24"/>
      <c r="AL283" s="24"/>
      <c r="AM283" s="24"/>
      <c r="AN283" s="24"/>
      <c r="AO283" s="24"/>
      <c r="AP283" s="24"/>
      <c r="AQ283" s="24"/>
      <c r="AR283" s="24"/>
    </row>
    <row r="284" spans="1:4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40"/>
      <c r="AJ284" s="40"/>
      <c r="AK284" s="24"/>
      <c r="AL284" s="24"/>
      <c r="AM284" s="24"/>
      <c r="AN284" s="24"/>
      <c r="AO284" s="24"/>
      <c r="AP284" s="24"/>
      <c r="AQ284" s="24"/>
      <c r="AR284" s="24"/>
    </row>
    <row r="285" spans="1:44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40"/>
      <c r="AJ285" s="40"/>
      <c r="AK285" s="24"/>
      <c r="AL285" s="24"/>
      <c r="AM285" s="24"/>
      <c r="AN285" s="24"/>
      <c r="AO285" s="24"/>
      <c r="AP285" s="24"/>
      <c r="AQ285" s="24"/>
      <c r="AR285" s="24"/>
    </row>
    <row r="286" spans="1:44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40"/>
      <c r="AJ286" s="40"/>
      <c r="AK286" s="24"/>
      <c r="AL286" s="24"/>
      <c r="AM286" s="24"/>
      <c r="AN286" s="24"/>
      <c r="AO286" s="24"/>
      <c r="AP286" s="24"/>
      <c r="AQ286" s="24"/>
      <c r="AR286" s="24"/>
    </row>
    <row r="287" spans="1:44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40"/>
      <c r="AJ287" s="40"/>
      <c r="AK287" s="24"/>
      <c r="AL287" s="24"/>
      <c r="AM287" s="24"/>
      <c r="AN287" s="24"/>
      <c r="AO287" s="24"/>
      <c r="AP287" s="24"/>
      <c r="AQ287" s="24"/>
      <c r="AR287" s="24"/>
    </row>
    <row r="288" spans="1:44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40"/>
      <c r="AJ288" s="40"/>
      <c r="AK288" s="24"/>
      <c r="AL288" s="24"/>
      <c r="AM288" s="24"/>
      <c r="AN288" s="24"/>
      <c r="AO288" s="24"/>
      <c r="AP288" s="24"/>
      <c r="AQ288" s="24"/>
      <c r="AR288" s="24"/>
    </row>
    <row r="289" spans="1:44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40"/>
      <c r="AJ289" s="40"/>
      <c r="AK289" s="24"/>
      <c r="AL289" s="24"/>
      <c r="AM289" s="24"/>
      <c r="AN289" s="24"/>
      <c r="AO289" s="24"/>
      <c r="AP289" s="24"/>
      <c r="AQ289" s="24"/>
      <c r="AR289" s="24"/>
    </row>
    <row r="290" spans="1:44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40"/>
      <c r="AJ290" s="40"/>
      <c r="AK290" s="24"/>
      <c r="AL290" s="24"/>
      <c r="AM290" s="24"/>
      <c r="AN290" s="24"/>
      <c r="AO290" s="24"/>
      <c r="AP290" s="24"/>
      <c r="AQ290" s="24"/>
      <c r="AR290" s="24"/>
    </row>
    <row r="291" spans="1:44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40"/>
      <c r="AJ291" s="40"/>
      <c r="AK291" s="24"/>
      <c r="AL291" s="24"/>
      <c r="AM291" s="24"/>
      <c r="AN291" s="24"/>
      <c r="AO291" s="24"/>
      <c r="AP291" s="24"/>
      <c r="AQ291" s="24"/>
      <c r="AR291" s="24"/>
    </row>
    <row r="292" spans="1:44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40"/>
      <c r="AJ292" s="40"/>
      <c r="AK292" s="24"/>
      <c r="AL292" s="24"/>
      <c r="AM292" s="24"/>
      <c r="AN292" s="24"/>
      <c r="AO292" s="24"/>
      <c r="AP292" s="24"/>
      <c r="AQ292" s="24"/>
      <c r="AR292" s="24"/>
    </row>
    <row r="293" spans="1:44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40"/>
      <c r="AJ293" s="40"/>
      <c r="AK293" s="24"/>
      <c r="AL293" s="24"/>
      <c r="AM293" s="24"/>
      <c r="AN293" s="24"/>
      <c r="AO293" s="24"/>
      <c r="AP293" s="24"/>
      <c r="AQ293" s="24"/>
      <c r="AR293" s="24"/>
    </row>
    <row r="294" spans="1:4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40"/>
      <c r="AJ294" s="40"/>
      <c r="AK294" s="24"/>
      <c r="AL294" s="24"/>
      <c r="AM294" s="24"/>
      <c r="AN294" s="24"/>
      <c r="AO294" s="24"/>
      <c r="AP294" s="24"/>
      <c r="AQ294" s="24"/>
      <c r="AR294" s="24"/>
    </row>
    <row r="295" spans="1:44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40"/>
      <c r="AJ295" s="40"/>
      <c r="AK295" s="24"/>
      <c r="AL295" s="24"/>
      <c r="AM295" s="24"/>
      <c r="AN295" s="24"/>
      <c r="AO295" s="24"/>
      <c r="AP295" s="24"/>
      <c r="AQ295" s="24"/>
      <c r="AR295" s="24"/>
    </row>
    <row r="296" spans="1:44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40"/>
      <c r="AJ296" s="40"/>
      <c r="AK296" s="24"/>
      <c r="AL296" s="24"/>
      <c r="AM296" s="24"/>
      <c r="AN296" s="24"/>
      <c r="AO296" s="24"/>
      <c r="AP296" s="24"/>
      <c r="AQ296" s="24"/>
      <c r="AR296" s="24"/>
    </row>
    <row r="297" spans="1:44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40"/>
      <c r="AJ297" s="40"/>
      <c r="AK297" s="24"/>
      <c r="AL297" s="24"/>
      <c r="AM297" s="24"/>
      <c r="AN297" s="24"/>
      <c r="AO297" s="24"/>
      <c r="AP297" s="24"/>
      <c r="AQ297" s="24"/>
      <c r="AR297" s="24"/>
    </row>
    <row r="298" spans="1:44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40"/>
      <c r="AJ298" s="40"/>
      <c r="AK298" s="24"/>
      <c r="AL298" s="24"/>
      <c r="AM298" s="24"/>
      <c r="AN298" s="24"/>
      <c r="AO298" s="24"/>
      <c r="AP298" s="24"/>
      <c r="AQ298" s="24"/>
      <c r="AR298" s="24"/>
    </row>
    <row r="299" spans="1:44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40"/>
      <c r="AJ299" s="40"/>
      <c r="AK299" s="24"/>
      <c r="AL299" s="24"/>
      <c r="AM299" s="24"/>
      <c r="AN299" s="24"/>
      <c r="AO299" s="24"/>
      <c r="AP299" s="24"/>
      <c r="AQ299" s="24"/>
      <c r="AR299" s="24"/>
    </row>
    <row r="300" spans="1:44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40"/>
      <c r="AJ300" s="40"/>
      <c r="AK300" s="24"/>
      <c r="AL300" s="24"/>
      <c r="AM300" s="24"/>
      <c r="AN300" s="24"/>
      <c r="AO300" s="24"/>
      <c r="AP300" s="24"/>
      <c r="AQ300" s="24"/>
      <c r="AR300" s="24"/>
    </row>
    <row r="301" spans="1:44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40"/>
      <c r="AJ301" s="40"/>
      <c r="AK301" s="24"/>
      <c r="AL301" s="24"/>
      <c r="AM301" s="24"/>
      <c r="AN301" s="24"/>
      <c r="AO301" s="24"/>
      <c r="AP301" s="24"/>
      <c r="AQ301" s="24"/>
      <c r="AR301" s="24"/>
    </row>
    <row r="302" spans="1:44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40"/>
      <c r="AJ302" s="40"/>
      <c r="AK302" s="24"/>
      <c r="AL302" s="24"/>
      <c r="AM302" s="24"/>
      <c r="AN302" s="24"/>
      <c r="AO302" s="24"/>
      <c r="AP302" s="24"/>
      <c r="AQ302" s="24"/>
      <c r="AR302" s="24"/>
    </row>
    <row r="303" spans="1:44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40"/>
      <c r="AJ303" s="40"/>
      <c r="AK303" s="24"/>
      <c r="AL303" s="24"/>
      <c r="AM303" s="24"/>
      <c r="AN303" s="24"/>
      <c r="AO303" s="24"/>
      <c r="AP303" s="24"/>
      <c r="AQ303" s="24"/>
      <c r="AR303" s="24"/>
    </row>
    <row r="304" spans="1:4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40"/>
      <c r="AJ304" s="40"/>
      <c r="AK304" s="24"/>
      <c r="AL304" s="24"/>
      <c r="AM304" s="24"/>
      <c r="AN304" s="24"/>
      <c r="AO304" s="24"/>
      <c r="AP304" s="24"/>
      <c r="AQ304" s="24"/>
      <c r="AR304" s="24"/>
    </row>
    <row r="305" spans="1:44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40"/>
      <c r="AJ305" s="40"/>
      <c r="AK305" s="24"/>
      <c r="AL305" s="24"/>
      <c r="AM305" s="24"/>
      <c r="AN305" s="24"/>
      <c r="AO305" s="24"/>
      <c r="AP305" s="24"/>
      <c r="AQ305" s="24"/>
      <c r="AR305" s="24"/>
    </row>
    <row r="306" spans="1:44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40"/>
      <c r="AJ306" s="40"/>
      <c r="AK306" s="24"/>
      <c r="AL306" s="24"/>
      <c r="AM306" s="24"/>
      <c r="AN306" s="24"/>
      <c r="AO306" s="24"/>
      <c r="AP306" s="24"/>
      <c r="AQ306" s="24"/>
      <c r="AR306" s="24"/>
    </row>
    <row r="307" spans="1:44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40"/>
      <c r="AJ307" s="40"/>
      <c r="AK307" s="24"/>
      <c r="AL307" s="24"/>
      <c r="AM307" s="24"/>
      <c r="AN307" s="24"/>
      <c r="AO307" s="24"/>
      <c r="AP307" s="24"/>
      <c r="AQ307" s="24"/>
      <c r="AR307" s="24"/>
    </row>
    <row r="308" spans="1:44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40"/>
      <c r="AJ308" s="40"/>
      <c r="AK308" s="24"/>
      <c r="AL308" s="24"/>
      <c r="AM308" s="24"/>
      <c r="AN308" s="24"/>
      <c r="AO308" s="24"/>
      <c r="AP308" s="24"/>
      <c r="AQ308" s="24"/>
      <c r="AR308" s="24"/>
    </row>
    <row r="309" spans="1:44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40"/>
      <c r="AJ309" s="40"/>
      <c r="AK309" s="24"/>
      <c r="AL309" s="24"/>
      <c r="AM309" s="24"/>
      <c r="AN309" s="24"/>
      <c r="AO309" s="24"/>
      <c r="AP309" s="24"/>
      <c r="AQ309" s="24"/>
      <c r="AR309" s="24"/>
    </row>
    <row r="310" spans="1:44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40"/>
      <c r="AJ310" s="40"/>
      <c r="AK310" s="24"/>
      <c r="AL310" s="24"/>
      <c r="AM310" s="24"/>
      <c r="AN310" s="24"/>
      <c r="AO310" s="24"/>
      <c r="AP310" s="24"/>
      <c r="AQ310" s="24"/>
      <c r="AR310" s="24"/>
    </row>
    <row r="311" spans="1:44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40"/>
      <c r="AJ311" s="40"/>
      <c r="AK311" s="24"/>
      <c r="AL311" s="24"/>
      <c r="AM311" s="24"/>
      <c r="AN311" s="24"/>
      <c r="AO311" s="24"/>
      <c r="AP311" s="24"/>
      <c r="AQ311" s="24"/>
      <c r="AR311" s="24"/>
    </row>
    <row r="312" spans="1:44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40"/>
      <c r="AJ312" s="40"/>
      <c r="AK312" s="24"/>
      <c r="AL312" s="24"/>
      <c r="AM312" s="24"/>
      <c r="AN312" s="24"/>
      <c r="AO312" s="24"/>
      <c r="AP312" s="24"/>
      <c r="AQ312" s="24"/>
      <c r="AR312" s="24"/>
    </row>
    <row r="313" spans="1:44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40"/>
      <c r="AJ313" s="40"/>
      <c r="AK313" s="24"/>
      <c r="AL313" s="24"/>
      <c r="AM313" s="24"/>
      <c r="AN313" s="24"/>
      <c r="AO313" s="24"/>
      <c r="AP313" s="24"/>
      <c r="AQ313" s="24"/>
      <c r="AR313" s="24"/>
    </row>
    <row r="314" spans="1:4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40"/>
      <c r="AJ314" s="40"/>
      <c r="AK314" s="24"/>
      <c r="AL314" s="24"/>
      <c r="AM314" s="24"/>
      <c r="AN314" s="24"/>
      <c r="AO314" s="24"/>
      <c r="AP314" s="24"/>
      <c r="AQ314" s="24"/>
      <c r="AR314" s="24"/>
    </row>
    <row r="315" spans="1:44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40"/>
      <c r="AJ315" s="40"/>
      <c r="AK315" s="24"/>
      <c r="AL315" s="24"/>
      <c r="AM315" s="24"/>
      <c r="AN315" s="24"/>
      <c r="AO315" s="24"/>
      <c r="AP315" s="24"/>
      <c r="AQ315" s="24"/>
      <c r="AR315" s="24"/>
    </row>
    <row r="316" spans="1:44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40"/>
      <c r="AJ316" s="40"/>
      <c r="AK316" s="24"/>
      <c r="AL316" s="24"/>
      <c r="AM316" s="24"/>
      <c r="AN316" s="24"/>
      <c r="AO316" s="24"/>
      <c r="AP316" s="24"/>
      <c r="AQ316" s="24"/>
      <c r="AR316" s="24"/>
    </row>
    <row r="317" spans="1:44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40"/>
      <c r="AJ317" s="40"/>
      <c r="AK317" s="24"/>
      <c r="AL317" s="24"/>
      <c r="AM317" s="24"/>
      <c r="AN317" s="24"/>
      <c r="AO317" s="24"/>
      <c r="AP317" s="24"/>
      <c r="AQ317" s="24"/>
      <c r="AR317" s="24"/>
    </row>
    <row r="318" spans="1:44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40"/>
      <c r="AJ318" s="40"/>
      <c r="AK318" s="24"/>
      <c r="AL318" s="24"/>
      <c r="AM318" s="24"/>
      <c r="AN318" s="24"/>
      <c r="AO318" s="24"/>
      <c r="AP318" s="24"/>
      <c r="AQ318" s="24"/>
      <c r="AR318" s="24"/>
    </row>
    <row r="319" spans="1:44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40"/>
      <c r="AJ319" s="40"/>
      <c r="AK319" s="24"/>
      <c r="AL319" s="24"/>
      <c r="AM319" s="24"/>
      <c r="AN319" s="24"/>
      <c r="AO319" s="24"/>
      <c r="AP319" s="24"/>
      <c r="AQ319" s="24"/>
      <c r="AR319" s="24"/>
    </row>
    <row r="320" spans="1:44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40"/>
      <c r="AJ320" s="40"/>
      <c r="AK320" s="24"/>
      <c r="AL320" s="24"/>
      <c r="AM320" s="24"/>
      <c r="AN320" s="24"/>
      <c r="AO320" s="24"/>
      <c r="AP320" s="24"/>
      <c r="AQ320" s="24"/>
      <c r="AR320" s="24"/>
    </row>
    <row r="321" spans="1:44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40"/>
      <c r="AJ321" s="40"/>
      <c r="AK321" s="24"/>
      <c r="AL321" s="24"/>
      <c r="AM321" s="24"/>
      <c r="AN321" s="24"/>
      <c r="AO321" s="24"/>
      <c r="AP321" s="24"/>
      <c r="AQ321" s="24"/>
      <c r="AR321" s="24"/>
    </row>
    <row r="322" spans="1:44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40"/>
      <c r="AJ322" s="40"/>
      <c r="AK322" s="24"/>
      <c r="AL322" s="24"/>
      <c r="AM322" s="24"/>
      <c r="AN322" s="24"/>
      <c r="AO322" s="24"/>
      <c r="AP322" s="24"/>
      <c r="AQ322" s="24"/>
      <c r="AR322" s="24"/>
    </row>
    <row r="323" spans="1:44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40"/>
      <c r="AJ323" s="40"/>
      <c r="AK323" s="24"/>
      <c r="AL323" s="24"/>
      <c r="AM323" s="24"/>
      <c r="AN323" s="24"/>
      <c r="AO323" s="24"/>
      <c r="AP323" s="24"/>
      <c r="AQ323" s="24"/>
      <c r="AR323" s="24"/>
    </row>
    <row r="324" spans="1:4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40"/>
      <c r="AJ324" s="40"/>
      <c r="AK324" s="24"/>
      <c r="AL324" s="24"/>
      <c r="AM324" s="24"/>
      <c r="AN324" s="24"/>
      <c r="AO324" s="24"/>
      <c r="AP324" s="24"/>
      <c r="AQ324" s="24"/>
      <c r="AR324" s="24"/>
    </row>
    <row r="325" spans="1:44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40"/>
      <c r="AJ325" s="40"/>
      <c r="AK325" s="24"/>
      <c r="AL325" s="24"/>
      <c r="AM325" s="24"/>
      <c r="AN325" s="24"/>
      <c r="AO325" s="24"/>
      <c r="AP325" s="24"/>
      <c r="AQ325" s="24"/>
      <c r="AR325" s="24"/>
    </row>
    <row r="326" spans="1:44" ht="15.75" customHeight="1">
      <c r="AI326" s="46"/>
    </row>
    <row r="327" spans="1:44" ht="15.75" customHeight="1">
      <c r="AI327" s="46"/>
    </row>
    <row r="328" spans="1:44" ht="15.75" customHeight="1">
      <c r="AI328" s="46"/>
    </row>
    <row r="329" spans="1:44" ht="15.75" customHeight="1">
      <c r="AI329" s="46"/>
    </row>
    <row r="330" spans="1:44" ht="15.75" customHeight="1">
      <c r="AI330" s="46"/>
    </row>
    <row r="331" spans="1:44" ht="15.75" customHeight="1">
      <c r="AI331" s="46"/>
    </row>
    <row r="332" spans="1:44" ht="15.75" customHeight="1">
      <c r="AI332" s="46"/>
    </row>
    <row r="333" spans="1:44" ht="15.75" customHeight="1">
      <c r="AI333" s="46"/>
    </row>
    <row r="334" spans="1:44" ht="15.75" customHeight="1">
      <c r="AI334" s="46"/>
    </row>
    <row r="335" spans="1:44" ht="15.75" customHeight="1">
      <c r="AI335" s="46"/>
    </row>
    <row r="336" spans="1:44" ht="15.75" customHeight="1">
      <c r="AI336" s="46"/>
    </row>
    <row r="337" spans="35:35" ht="15.75" customHeight="1">
      <c r="AI337" s="46"/>
    </row>
    <row r="338" spans="35:35" ht="15.75" customHeight="1">
      <c r="AI338" s="46"/>
    </row>
    <row r="339" spans="35:35" ht="15.75" customHeight="1">
      <c r="AI339" s="46"/>
    </row>
    <row r="340" spans="35:35" ht="15.75" customHeight="1">
      <c r="AI340" s="46"/>
    </row>
    <row r="341" spans="35:35" ht="15.75" customHeight="1">
      <c r="AI341" s="46"/>
    </row>
    <row r="342" spans="35:35" ht="15.75" customHeight="1">
      <c r="AI342" s="46"/>
    </row>
    <row r="343" spans="35:35" ht="15.75" customHeight="1">
      <c r="AI343" s="46"/>
    </row>
    <row r="344" spans="35:35" ht="15.75" customHeight="1">
      <c r="AI344" s="46"/>
    </row>
    <row r="345" spans="35:35" ht="15.75" customHeight="1">
      <c r="AI345" s="46"/>
    </row>
    <row r="346" spans="35:35" ht="15.75" customHeight="1">
      <c r="AI346" s="46"/>
    </row>
    <row r="347" spans="35:35" ht="15.75" customHeight="1">
      <c r="AI347" s="46"/>
    </row>
    <row r="348" spans="35:35" ht="15.75" customHeight="1">
      <c r="AI348" s="46"/>
    </row>
    <row r="349" spans="35:35" ht="15.75" customHeight="1">
      <c r="AI349" s="46"/>
    </row>
    <row r="350" spans="35:35" ht="15.75" customHeight="1">
      <c r="AI350" s="46"/>
    </row>
    <row r="351" spans="35:35" ht="15.75" customHeight="1">
      <c r="AI351" s="46"/>
    </row>
    <row r="352" spans="35:35" ht="15.75" customHeight="1">
      <c r="AI352" s="46"/>
    </row>
    <row r="353" spans="35:35" ht="15.75" customHeight="1">
      <c r="AI353" s="46"/>
    </row>
    <row r="354" spans="35:35" ht="15.75" customHeight="1">
      <c r="AI354" s="46"/>
    </row>
    <row r="355" spans="35:35" ht="15.75" customHeight="1">
      <c r="AI355" s="46"/>
    </row>
    <row r="356" spans="35:35" ht="15.75" customHeight="1">
      <c r="AI356" s="46"/>
    </row>
    <row r="357" spans="35:35" ht="15.75" customHeight="1">
      <c r="AI357" s="46"/>
    </row>
    <row r="358" spans="35:35" ht="15.75" customHeight="1">
      <c r="AI358" s="46"/>
    </row>
    <row r="359" spans="35:35" ht="15.75" customHeight="1">
      <c r="AI359" s="46"/>
    </row>
    <row r="360" spans="35:35" ht="15.75" customHeight="1">
      <c r="AI360" s="46"/>
    </row>
    <row r="361" spans="35:35" ht="15.75" customHeight="1">
      <c r="AI361" s="46"/>
    </row>
    <row r="362" spans="35:35" ht="15.75" customHeight="1">
      <c r="AI362" s="46"/>
    </row>
    <row r="363" spans="35:35" ht="15.75" customHeight="1">
      <c r="AI363" s="46"/>
    </row>
    <row r="364" spans="35:35" ht="15.75" customHeight="1">
      <c r="AI364" s="46"/>
    </row>
    <row r="365" spans="35:35" ht="15.75" customHeight="1">
      <c r="AI365" s="46"/>
    </row>
    <row r="366" spans="35:35" ht="15.75" customHeight="1">
      <c r="AI366" s="46"/>
    </row>
    <row r="367" spans="35:35" ht="15.75" customHeight="1">
      <c r="AI367" s="46"/>
    </row>
    <row r="368" spans="35:35" ht="15.75" customHeight="1">
      <c r="AI368" s="46"/>
    </row>
    <row r="369" spans="35:35" ht="15.75" customHeight="1">
      <c r="AI369" s="46"/>
    </row>
    <row r="370" spans="35:35" ht="15.75" customHeight="1">
      <c r="AI370" s="46"/>
    </row>
    <row r="371" spans="35:35" ht="15.75" customHeight="1">
      <c r="AI371" s="46"/>
    </row>
    <row r="372" spans="35:35" ht="15.75" customHeight="1">
      <c r="AI372" s="46"/>
    </row>
    <row r="373" spans="35:35" ht="15.75" customHeight="1">
      <c r="AI373" s="46"/>
    </row>
    <row r="374" spans="35:35" ht="15.75" customHeight="1">
      <c r="AI374" s="46"/>
    </row>
    <row r="375" spans="35:35" ht="15.75" customHeight="1">
      <c r="AI375" s="46"/>
    </row>
    <row r="376" spans="35:35" ht="15.75" customHeight="1">
      <c r="AI376" s="46"/>
    </row>
    <row r="377" spans="35:35" ht="15.75" customHeight="1">
      <c r="AI377" s="46"/>
    </row>
    <row r="378" spans="35:35" ht="15.75" customHeight="1">
      <c r="AI378" s="46"/>
    </row>
    <row r="379" spans="35:35" ht="15.75" customHeight="1">
      <c r="AI379" s="46"/>
    </row>
    <row r="380" spans="35:35" ht="15.75" customHeight="1">
      <c r="AI380" s="46"/>
    </row>
    <row r="381" spans="35:35" ht="15.75" customHeight="1">
      <c r="AI381" s="46"/>
    </row>
    <row r="382" spans="35:35" ht="15.75" customHeight="1">
      <c r="AI382" s="46"/>
    </row>
    <row r="383" spans="35:35" ht="15.75" customHeight="1">
      <c r="AI383" s="46"/>
    </row>
    <row r="384" spans="35:35" ht="15.75" customHeight="1">
      <c r="AI384" s="46"/>
    </row>
    <row r="385" spans="35:35" ht="15.75" customHeight="1">
      <c r="AI385" s="46"/>
    </row>
    <row r="386" spans="35:35" ht="15.75" customHeight="1">
      <c r="AI386" s="46"/>
    </row>
    <row r="387" spans="35:35" ht="15.75" customHeight="1">
      <c r="AI387" s="46"/>
    </row>
    <row r="388" spans="35:35" ht="15.75" customHeight="1">
      <c r="AI388" s="46"/>
    </row>
    <row r="389" spans="35:35" ht="15.75" customHeight="1">
      <c r="AI389" s="46"/>
    </row>
    <row r="390" spans="35:35" ht="15.75" customHeight="1">
      <c r="AI390" s="46"/>
    </row>
    <row r="391" spans="35:35" ht="15.75" customHeight="1">
      <c r="AI391" s="46"/>
    </row>
    <row r="392" spans="35:35" ht="15.75" customHeight="1">
      <c r="AI392" s="46"/>
    </row>
    <row r="393" spans="35:35" ht="15.75" customHeight="1">
      <c r="AI393" s="46"/>
    </row>
    <row r="394" spans="35:35" ht="15.75" customHeight="1">
      <c r="AI394" s="46"/>
    </row>
    <row r="395" spans="35:35" ht="15.75" customHeight="1">
      <c r="AI395" s="46"/>
    </row>
    <row r="396" spans="35:35" ht="15.75" customHeight="1">
      <c r="AI396" s="46"/>
    </row>
    <row r="397" spans="35:35" ht="15.75" customHeight="1">
      <c r="AI397" s="46"/>
    </row>
    <row r="398" spans="35:35" ht="15.75" customHeight="1">
      <c r="AI398" s="46"/>
    </row>
    <row r="399" spans="35:35" ht="15.75" customHeight="1">
      <c r="AI399" s="46"/>
    </row>
    <row r="400" spans="35:35" ht="15.75" customHeight="1">
      <c r="AI400" s="46"/>
    </row>
    <row r="401" spans="35:35" ht="15.75" customHeight="1">
      <c r="AI401" s="46"/>
    </row>
    <row r="402" spans="35:35" ht="15.75" customHeight="1">
      <c r="AI402" s="46"/>
    </row>
    <row r="403" spans="35:35" ht="15.75" customHeight="1">
      <c r="AI403" s="46"/>
    </row>
    <row r="404" spans="35:35" ht="15.75" customHeight="1">
      <c r="AI404" s="46"/>
    </row>
    <row r="405" spans="35:35" ht="15.75" customHeight="1">
      <c r="AI405" s="46"/>
    </row>
    <row r="406" spans="35:35" ht="15.75" customHeight="1">
      <c r="AI406" s="46"/>
    </row>
    <row r="407" spans="35:35" ht="15.75" customHeight="1">
      <c r="AI407" s="46"/>
    </row>
    <row r="408" spans="35:35" ht="15.75" customHeight="1">
      <c r="AI408" s="46"/>
    </row>
    <row r="409" spans="35:35" ht="15.75" customHeight="1">
      <c r="AI409" s="46"/>
    </row>
    <row r="410" spans="35:35" ht="15.75" customHeight="1">
      <c r="AI410" s="46"/>
    </row>
    <row r="411" spans="35:35" ht="15.75" customHeight="1">
      <c r="AI411" s="46"/>
    </row>
    <row r="412" spans="35:35" ht="15.75" customHeight="1">
      <c r="AI412" s="46"/>
    </row>
    <row r="413" spans="35:35" ht="15.75" customHeight="1">
      <c r="AI413" s="46"/>
    </row>
    <row r="414" spans="35:35" ht="15.75" customHeight="1">
      <c r="AI414" s="46"/>
    </row>
    <row r="415" spans="35:35" ht="15.75" customHeight="1">
      <c r="AI415" s="46"/>
    </row>
    <row r="416" spans="35:35" ht="15.75" customHeight="1">
      <c r="AI416" s="46"/>
    </row>
    <row r="417" spans="35:35" ht="15.75" customHeight="1">
      <c r="AI417" s="46"/>
    </row>
    <row r="418" spans="35:35" ht="15.75" customHeight="1">
      <c r="AI418" s="46"/>
    </row>
    <row r="419" spans="35:35" ht="15.75" customHeight="1">
      <c r="AI419" s="46"/>
    </row>
    <row r="420" spans="35:35" ht="15.75" customHeight="1">
      <c r="AI420" s="46"/>
    </row>
    <row r="421" spans="35:35" ht="15.75" customHeight="1">
      <c r="AI421" s="46"/>
    </row>
    <row r="422" spans="35:35" ht="15.75" customHeight="1">
      <c r="AI422" s="46"/>
    </row>
    <row r="423" spans="35:35" ht="15.75" customHeight="1">
      <c r="AI423" s="46"/>
    </row>
    <row r="424" spans="35:35" ht="15.75" customHeight="1">
      <c r="AI424" s="46"/>
    </row>
    <row r="425" spans="35:35" ht="15.75" customHeight="1">
      <c r="AI425" s="46"/>
    </row>
    <row r="426" spans="35:35" ht="15.75" customHeight="1">
      <c r="AI426" s="46"/>
    </row>
    <row r="427" spans="35:35" ht="15.75" customHeight="1">
      <c r="AI427" s="46"/>
    </row>
    <row r="428" spans="35:35" ht="15.75" customHeight="1">
      <c r="AI428" s="46"/>
    </row>
    <row r="429" spans="35:35" ht="15.75" customHeight="1">
      <c r="AI429" s="46"/>
    </row>
    <row r="430" spans="35:35" ht="15.75" customHeight="1">
      <c r="AI430" s="46"/>
    </row>
    <row r="431" spans="35:35" ht="15.75" customHeight="1">
      <c r="AI431" s="46"/>
    </row>
    <row r="432" spans="35:35" ht="15.75" customHeight="1">
      <c r="AI432" s="46"/>
    </row>
    <row r="433" spans="35:35" ht="15.75" customHeight="1">
      <c r="AI433" s="46"/>
    </row>
    <row r="434" spans="35:35" ht="15.75" customHeight="1">
      <c r="AI434" s="46"/>
    </row>
    <row r="435" spans="35:35" ht="15.75" customHeight="1">
      <c r="AI435" s="46"/>
    </row>
    <row r="436" spans="35:35" ht="15.75" customHeight="1">
      <c r="AI436" s="46"/>
    </row>
    <row r="437" spans="35:35" ht="15.75" customHeight="1">
      <c r="AI437" s="46"/>
    </row>
    <row r="438" spans="35:35" ht="15.75" customHeight="1">
      <c r="AI438" s="46"/>
    </row>
    <row r="439" spans="35:35" ht="15.75" customHeight="1">
      <c r="AI439" s="46"/>
    </row>
    <row r="440" spans="35:35" ht="15.75" customHeight="1">
      <c r="AI440" s="46"/>
    </row>
    <row r="441" spans="35:35" ht="15.75" customHeight="1">
      <c r="AI441" s="46"/>
    </row>
    <row r="442" spans="35:35" ht="15.75" customHeight="1">
      <c r="AI442" s="46"/>
    </row>
    <row r="443" spans="35:35" ht="15.75" customHeight="1">
      <c r="AI443" s="46"/>
    </row>
    <row r="444" spans="35:35" ht="15.75" customHeight="1">
      <c r="AI444" s="46"/>
    </row>
    <row r="445" spans="35:35" ht="15.75" customHeight="1">
      <c r="AI445" s="46"/>
    </row>
    <row r="446" spans="35:35" ht="15.75" customHeight="1">
      <c r="AI446" s="46"/>
    </row>
    <row r="447" spans="35:35" ht="15.75" customHeight="1">
      <c r="AI447" s="46"/>
    </row>
    <row r="448" spans="35:35" ht="15.75" customHeight="1">
      <c r="AI448" s="46"/>
    </row>
    <row r="449" spans="35:35" ht="15.75" customHeight="1">
      <c r="AI449" s="46"/>
    </row>
    <row r="450" spans="35:35" ht="15.75" customHeight="1">
      <c r="AI450" s="46"/>
    </row>
    <row r="451" spans="35:35" ht="15.75" customHeight="1">
      <c r="AI451" s="46"/>
    </row>
    <row r="452" spans="35:35" ht="15.75" customHeight="1">
      <c r="AI452" s="46"/>
    </row>
    <row r="453" spans="35:35" ht="15.75" customHeight="1">
      <c r="AI453" s="46"/>
    </row>
    <row r="454" spans="35:35" ht="15.75" customHeight="1">
      <c r="AI454" s="46"/>
    </row>
    <row r="455" spans="35:35" ht="15.75" customHeight="1">
      <c r="AI455" s="46"/>
    </row>
    <row r="456" spans="35:35" ht="15.75" customHeight="1">
      <c r="AI456" s="46"/>
    </row>
    <row r="457" spans="35:35" ht="15.75" customHeight="1">
      <c r="AI457" s="46"/>
    </row>
    <row r="458" spans="35:35" ht="15.75" customHeight="1">
      <c r="AI458" s="46"/>
    </row>
    <row r="459" spans="35:35" ht="15.75" customHeight="1">
      <c r="AI459" s="46"/>
    </row>
    <row r="460" spans="35:35" ht="15.75" customHeight="1">
      <c r="AI460" s="46"/>
    </row>
    <row r="461" spans="35:35" ht="15.75" customHeight="1">
      <c r="AI461" s="46"/>
    </row>
    <row r="462" spans="35:35" ht="15.75" customHeight="1">
      <c r="AI462" s="46"/>
    </row>
    <row r="463" spans="35:35" ht="15.75" customHeight="1">
      <c r="AI463" s="46"/>
    </row>
    <row r="464" spans="35:35" ht="15.75" customHeight="1">
      <c r="AI464" s="46"/>
    </row>
    <row r="465" spans="35:35" ht="15.75" customHeight="1">
      <c r="AI465" s="46"/>
    </row>
    <row r="466" spans="35:35" ht="15.75" customHeight="1">
      <c r="AI466" s="46"/>
    </row>
    <row r="467" spans="35:35" ht="15.75" customHeight="1">
      <c r="AI467" s="46"/>
    </row>
    <row r="468" spans="35:35" ht="15.75" customHeight="1">
      <c r="AI468" s="46"/>
    </row>
    <row r="469" spans="35:35" ht="15.75" customHeight="1">
      <c r="AI469" s="46"/>
    </row>
    <row r="470" spans="35:35" ht="15.75" customHeight="1">
      <c r="AI470" s="46"/>
    </row>
    <row r="471" spans="35:35" ht="15.75" customHeight="1">
      <c r="AI471" s="46"/>
    </row>
    <row r="472" spans="35:35" ht="15.75" customHeight="1">
      <c r="AI472" s="46"/>
    </row>
    <row r="473" spans="35:35" ht="15.75" customHeight="1">
      <c r="AI473" s="46"/>
    </row>
    <row r="474" spans="35:35" ht="15.75" customHeight="1">
      <c r="AI474" s="46"/>
    </row>
    <row r="475" spans="35:35" ht="15.75" customHeight="1">
      <c r="AI475" s="46"/>
    </row>
    <row r="476" spans="35:35" ht="15.75" customHeight="1">
      <c r="AI476" s="46"/>
    </row>
    <row r="477" spans="35:35" ht="15.75" customHeight="1">
      <c r="AI477" s="46"/>
    </row>
    <row r="478" spans="35:35" ht="15.75" customHeight="1">
      <c r="AI478" s="46"/>
    </row>
    <row r="479" spans="35:35" ht="15.75" customHeight="1">
      <c r="AI479" s="46"/>
    </row>
    <row r="480" spans="35:35" ht="15.75" customHeight="1">
      <c r="AI480" s="46"/>
    </row>
    <row r="481" spans="35:35" ht="15.75" customHeight="1">
      <c r="AI481" s="46"/>
    </row>
    <row r="482" spans="35:35" ht="15.75" customHeight="1">
      <c r="AI482" s="46"/>
    </row>
    <row r="483" spans="35:35" ht="15.75" customHeight="1">
      <c r="AI483" s="46"/>
    </row>
    <row r="484" spans="35:35" ht="15.75" customHeight="1">
      <c r="AI484" s="46"/>
    </row>
    <row r="485" spans="35:35" ht="15.75" customHeight="1">
      <c r="AI485" s="46"/>
    </row>
    <row r="486" spans="35:35" ht="15.75" customHeight="1">
      <c r="AI486" s="46"/>
    </row>
    <row r="487" spans="35:35" ht="15.75" customHeight="1">
      <c r="AI487" s="46"/>
    </row>
    <row r="488" spans="35:35" ht="15.75" customHeight="1">
      <c r="AI488" s="46"/>
    </row>
    <row r="489" spans="35:35" ht="15.75" customHeight="1">
      <c r="AI489" s="46"/>
    </row>
    <row r="490" spans="35:35" ht="15.75" customHeight="1">
      <c r="AI490" s="46"/>
    </row>
    <row r="491" spans="35:35" ht="15.75" customHeight="1">
      <c r="AI491" s="46"/>
    </row>
    <row r="492" spans="35:35" ht="15.75" customHeight="1">
      <c r="AI492" s="46"/>
    </row>
    <row r="493" spans="35:35" ht="15.75" customHeight="1">
      <c r="AI493" s="46"/>
    </row>
    <row r="494" spans="35:35" ht="15.75" customHeight="1">
      <c r="AI494" s="46"/>
    </row>
    <row r="495" spans="35:35" ht="15.75" customHeight="1">
      <c r="AI495" s="46"/>
    </row>
    <row r="496" spans="35:35" ht="15.75" customHeight="1">
      <c r="AI496" s="46"/>
    </row>
    <row r="497" spans="35:35" ht="15.75" customHeight="1">
      <c r="AI497" s="46"/>
    </row>
    <row r="498" spans="35:35" ht="15.75" customHeight="1">
      <c r="AI498" s="46"/>
    </row>
    <row r="499" spans="35:35" ht="15.75" customHeight="1">
      <c r="AI499" s="46"/>
    </row>
    <row r="500" spans="35:35" ht="15.75" customHeight="1">
      <c r="AI500" s="46"/>
    </row>
    <row r="501" spans="35:35" ht="15.75" customHeight="1">
      <c r="AI501" s="46"/>
    </row>
    <row r="502" spans="35:35" ht="15.75" customHeight="1">
      <c r="AI502" s="46"/>
    </row>
    <row r="503" spans="35:35" ht="15.75" customHeight="1">
      <c r="AI503" s="46"/>
    </row>
    <row r="504" spans="35:35" ht="15.75" customHeight="1">
      <c r="AI504" s="46"/>
    </row>
    <row r="505" spans="35:35" ht="15.75" customHeight="1">
      <c r="AI505" s="46"/>
    </row>
    <row r="506" spans="35:35" ht="15.75" customHeight="1">
      <c r="AI506" s="46"/>
    </row>
    <row r="507" spans="35:35" ht="15.75" customHeight="1">
      <c r="AI507" s="46"/>
    </row>
    <row r="508" spans="35:35" ht="15.75" customHeight="1">
      <c r="AI508" s="46"/>
    </row>
    <row r="509" spans="35:35" ht="15.75" customHeight="1">
      <c r="AI509" s="46"/>
    </row>
    <row r="510" spans="35:35" ht="15.75" customHeight="1">
      <c r="AI510" s="46"/>
    </row>
    <row r="511" spans="35:35" ht="15.75" customHeight="1">
      <c r="AI511" s="46"/>
    </row>
    <row r="512" spans="35:35" ht="15.75" customHeight="1">
      <c r="AI512" s="46"/>
    </row>
    <row r="513" spans="35:35" ht="15.75" customHeight="1">
      <c r="AI513" s="46"/>
    </row>
    <row r="514" spans="35:35" ht="15.75" customHeight="1">
      <c r="AI514" s="46"/>
    </row>
    <row r="515" spans="35:35" ht="15.75" customHeight="1">
      <c r="AI515" s="46"/>
    </row>
    <row r="516" spans="35:35" ht="15.75" customHeight="1">
      <c r="AI516" s="46"/>
    </row>
    <row r="517" spans="35:35" ht="15.75" customHeight="1">
      <c r="AI517" s="46"/>
    </row>
    <row r="518" spans="35:35" ht="15.75" customHeight="1">
      <c r="AI518" s="46"/>
    </row>
    <row r="519" spans="35:35" ht="15.75" customHeight="1">
      <c r="AI519" s="46"/>
    </row>
    <row r="520" spans="35:35" ht="15.75" customHeight="1">
      <c r="AI520" s="46"/>
    </row>
    <row r="521" spans="35:35" ht="15.75" customHeight="1">
      <c r="AI521" s="46"/>
    </row>
    <row r="522" spans="35:35" ht="15.75" customHeight="1">
      <c r="AI522" s="46"/>
    </row>
    <row r="523" spans="35:35" ht="15.75" customHeight="1">
      <c r="AI523" s="46"/>
    </row>
    <row r="524" spans="35:35" ht="15.75" customHeight="1">
      <c r="AI524" s="46"/>
    </row>
    <row r="525" spans="35:35" ht="15.75" customHeight="1">
      <c r="AI525" s="46"/>
    </row>
    <row r="526" spans="35:35" ht="15.75" customHeight="1">
      <c r="AI526" s="46"/>
    </row>
    <row r="527" spans="35:35" ht="15.75" customHeight="1">
      <c r="AI527" s="46"/>
    </row>
    <row r="528" spans="35:35" ht="15.75" customHeight="1">
      <c r="AI528" s="46"/>
    </row>
    <row r="529" spans="35:35" ht="15.75" customHeight="1">
      <c r="AI529" s="46"/>
    </row>
    <row r="530" spans="35:35" ht="15.75" customHeight="1">
      <c r="AI530" s="46"/>
    </row>
    <row r="531" spans="35:35" ht="15.75" customHeight="1">
      <c r="AI531" s="46"/>
    </row>
    <row r="532" spans="35:35" ht="15.75" customHeight="1">
      <c r="AI532" s="46"/>
    </row>
    <row r="533" spans="35:35" ht="15.75" customHeight="1">
      <c r="AI533" s="46"/>
    </row>
    <row r="534" spans="35:35" ht="15.75" customHeight="1">
      <c r="AI534" s="46"/>
    </row>
    <row r="535" spans="35:35" ht="15.75" customHeight="1">
      <c r="AI535" s="46"/>
    </row>
    <row r="536" spans="35:35" ht="15.75" customHeight="1">
      <c r="AI536" s="46"/>
    </row>
    <row r="537" spans="35:35" ht="15.75" customHeight="1">
      <c r="AI537" s="46"/>
    </row>
    <row r="538" spans="35:35" ht="15.75" customHeight="1">
      <c r="AI538" s="46"/>
    </row>
    <row r="539" spans="35:35" ht="15.75" customHeight="1">
      <c r="AI539" s="46"/>
    </row>
    <row r="540" spans="35:35" ht="15.75" customHeight="1">
      <c r="AI540" s="46"/>
    </row>
    <row r="541" spans="35:35" ht="15.75" customHeight="1">
      <c r="AI541" s="46"/>
    </row>
    <row r="542" spans="35:35" ht="15.75" customHeight="1">
      <c r="AI542" s="46"/>
    </row>
    <row r="543" spans="35:35" ht="15.75" customHeight="1">
      <c r="AI543" s="46"/>
    </row>
    <row r="544" spans="35:35" ht="15.75" customHeight="1">
      <c r="AI544" s="46"/>
    </row>
    <row r="545" spans="35:35" ht="15.75" customHeight="1">
      <c r="AI545" s="46"/>
    </row>
    <row r="546" spans="35:35" ht="15.75" customHeight="1">
      <c r="AI546" s="46"/>
    </row>
    <row r="547" spans="35:35" ht="15.75" customHeight="1">
      <c r="AI547" s="46"/>
    </row>
    <row r="548" spans="35:35" ht="15.75" customHeight="1">
      <c r="AI548" s="46"/>
    </row>
    <row r="549" spans="35:35" ht="15.75" customHeight="1">
      <c r="AI549" s="46"/>
    </row>
    <row r="550" spans="35:35" ht="15.75" customHeight="1">
      <c r="AI550" s="46"/>
    </row>
    <row r="551" spans="35:35" ht="15.75" customHeight="1">
      <c r="AI551" s="46"/>
    </row>
    <row r="552" spans="35:35" ht="15.75" customHeight="1">
      <c r="AI552" s="46"/>
    </row>
    <row r="553" spans="35:35" ht="15.75" customHeight="1">
      <c r="AI553" s="46"/>
    </row>
    <row r="554" spans="35:35" ht="15.75" customHeight="1">
      <c r="AI554" s="46"/>
    </row>
    <row r="555" spans="35:35" ht="15.75" customHeight="1">
      <c r="AI555" s="46"/>
    </row>
    <row r="556" spans="35:35" ht="15.75" customHeight="1">
      <c r="AI556" s="46"/>
    </row>
    <row r="557" spans="35:35" ht="15.75" customHeight="1">
      <c r="AI557" s="46"/>
    </row>
    <row r="558" spans="35:35" ht="15.75" customHeight="1">
      <c r="AI558" s="46"/>
    </row>
    <row r="559" spans="35:35" ht="15.75" customHeight="1">
      <c r="AI559" s="46"/>
    </row>
    <row r="560" spans="35:35" ht="15.75" customHeight="1">
      <c r="AI560" s="46"/>
    </row>
    <row r="561" spans="35:35" ht="15.75" customHeight="1">
      <c r="AI561" s="46"/>
    </row>
    <row r="562" spans="35:35" ht="15.75" customHeight="1">
      <c r="AI562" s="46"/>
    </row>
    <row r="563" spans="35:35" ht="15.75" customHeight="1">
      <c r="AI563" s="46"/>
    </row>
    <row r="564" spans="35:35" ht="15.75" customHeight="1">
      <c r="AI564" s="46"/>
    </row>
    <row r="565" spans="35:35" ht="15.75" customHeight="1">
      <c r="AI565" s="46"/>
    </row>
    <row r="566" spans="35:35" ht="15.75" customHeight="1">
      <c r="AI566" s="46"/>
    </row>
    <row r="567" spans="35:35" ht="15.75" customHeight="1">
      <c r="AI567" s="46"/>
    </row>
    <row r="568" spans="35:35" ht="15.75" customHeight="1">
      <c r="AI568" s="46"/>
    </row>
    <row r="569" spans="35:35" ht="15.75" customHeight="1">
      <c r="AI569" s="46"/>
    </row>
    <row r="570" spans="35:35" ht="15.75" customHeight="1">
      <c r="AI570" s="46"/>
    </row>
    <row r="571" spans="35:35" ht="15.75" customHeight="1">
      <c r="AI571" s="46"/>
    </row>
    <row r="572" spans="35:35" ht="15.75" customHeight="1">
      <c r="AI572" s="46"/>
    </row>
    <row r="573" spans="35:35" ht="15.75" customHeight="1">
      <c r="AI573" s="46"/>
    </row>
    <row r="574" spans="35:35" ht="15.75" customHeight="1">
      <c r="AI574" s="46"/>
    </row>
    <row r="575" spans="35:35" ht="15.75" customHeight="1">
      <c r="AI575" s="46"/>
    </row>
    <row r="576" spans="35:35" ht="15.75" customHeight="1">
      <c r="AI576" s="46"/>
    </row>
    <row r="577" spans="35:35" ht="15.75" customHeight="1">
      <c r="AI577" s="46"/>
    </row>
    <row r="578" spans="35:35" ht="15.75" customHeight="1">
      <c r="AI578" s="46"/>
    </row>
    <row r="579" spans="35:35" ht="15.75" customHeight="1">
      <c r="AI579" s="46"/>
    </row>
    <row r="580" spans="35:35" ht="15.75" customHeight="1">
      <c r="AI580" s="46"/>
    </row>
    <row r="581" spans="35:35" ht="15.75" customHeight="1">
      <c r="AI581" s="46"/>
    </row>
    <row r="582" spans="35:35" ht="15.75" customHeight="1">
      <c r="AI582" s="46"/>
    </row>
    <row r="583" spans="35:35" ht="15.75" customHeight="1">
      <c r="AI583" s="46"/>
    </row>
    <row r="584" spans="35:35" ht="15.75" customHeight="1">
      <c r="AI584" s="46"/>
    </row>
    <row r="585" spans="35:35" ht="15.75" customHeight="1">
      <c r="AI585" s="46"/>
    </row>
    <row r="586" spans="35:35" ht="15.75" customHeight="1">
      <c r="AI586" s="46"/>
    </row>
    <row r="587" spans="35:35" ht="15.75" customHeight="1">
      <c r="AI587" s="46"/>
    </row>
    <row r="588" spans="35:35" ht="15.75" customHeight="1">
      <c r="AI588" s="46"/>
    </row>
    <row r="589" spans="35:35" ht="15.75" customHeight="1">
      <c r="AI589" s="46"/>
    </row>
    <row r="590" spans="35:35" ht="15.75" customHeight="1">
      <c r="AI590" s="46"/>
    </row>
    <row r="591" spans="35:35" ht="15.75" customHeight="1">
      <c r="AI591" s="46"/>
    </row>
    <row r="592" spans="35:35" ht="15.75" customHeight="1">
      <c r="AI592" s="46"/>
    </row>
    <row r="593" spans="35:35" ht="15.75" customHeight="1">
      <c r="AI593" s="46"/>
    </row>
    <row r="594" spans="35:35" ht="15.75" customHeight="1">
      <c r="AI594" s="46"/>
    </row>
    <row r="595" spans="35:35" ht="15.75" customHeight="1">
      <c r="AI595" s="46"/>
    </row>
    <row r="596" spans="35:35" ht="15.75" customHeight="1">
      <c r="AI596" s="46"/>
    </row>
    <row r="597" spans="35:35" ht="15.75" customHeight="1">
      <c r="AI597" s="46"/>
    </row>
    <row r="598" spans="35:35" ht="15.75" customHeight="1">
      <c r="AI598" s="46"/>
    </row>
    <row r="599" spans="35:35" ht="15.75" customHeight="1">
      <c r="AI599" s="46"/>
    </row>
    <row r="600" spans="35:35" ht="15.75" customHeight="1">
      <c r="AI600" s="46"/>
    </row>
    <row r="601" spans="35:35" ht="15.75" customHeight="1">
      <c r="AI601" s="46"/>
    </row>
    <row r="602" spans="35:35" ht="15.75" customHeight="1">
      <c r="AI602" s="46"/>
    </row>
    <row r="603" spans="35:35" ht="15.75" customHeight="1">
      <c r="AI603" s="46"/>
    </row>
    <row r="604" spans="35:35" ht="15.75" customHeight="1">
      <c r="AI604" s="46"/>
    </row>
    <row r="605" spans="35:35" ht="15.75" customHeight="1">
      <c r="AI605" s="46"/>
    </row>
    <row r="606" spans="35:35" ht="15.75" customHeight="1">
      <c r="AI606" s="46"/>
    </row>
    <row r="607" spans="35:35" ht="15.75" customHeight="1">
      <c r="AI607" s="46"/>
    </row>
    <row r="608" spans="35:35" ht="15.75" customHeight="1">
      <c r="AI608" s="46"/>
    </row>
    <row r="609" spans="35:35" ht="15.75" customHeight="1">
      <c r="AI609" s="46"/>
    </row>
    <row r="610" spans="35:35" ht="15.75" customHeight="1">
      <c r="AI610" s="46"/>
    </row>
    <row r="611" spans="35:35" ht="15.75" customHeight="1">
      <c r="AI611" s="46"/>
    </row>
    <row r="612" spans="35:35" ht="15.75" customHeight="1">
      <c r="AI612" s="46"/>
    </row>
    <row r="613" spans="35:35" ht="15.75" customHeight="1">
      <c r="AI613" s="46"/>
    </row>
    <row r="614" spans="35:35" ht="15.75" customHeight="1">
      <c r="AI614" s="46"/>
    </row>
    <row r="615" spans="35:35" ht="15.75" customHeight="1">
      <c r="AI615" s="46"/>
    </row>
    <row r="616" spans="35:35" ht="15.75" customHeight="1">
      <c r="AI616" s="46"/>
    </row>
    <row r="617" spans="35:35" ht="15.75" customHeight="1">
      <c r="AI617" s="46"/>
    </row>
    <row r="618" spans="35:35" ht="15.75" customHeight="1">
      <c r="AI618" s="46"/>
    </row>
    <row r="619" spans="35:35" ht="15.75" customHeight="1">
      <c r="AI619" s="46"/>
    </row>
    <row r="620" spans="35:35" ht="15.75" customHeight="1">
      <c r="AI620" s="46"/>
    </row>
    <row r="621" spans="35:35" ht="15.75" customHeight="1">
      <c r="AI621" s="46"/>
    </row>
    <row r="622" spans="35:35" ht="15.75" customHeight="1">
      <c r="AI622" s="46"/>
    </row>
    <row r="623" spans="35:35" ht="15.75" customHeight="1">
      <c r="AI623" s="46"/>
    </row>
    <row r="624" spans="35:35" ht="15.75" customHeight="1">
      <c r="AI624" s="46"/>
    </row>
    <row r="625" spans="35:35" ht="15.75" customHeight="1">
      <c r="AI625" s="46"/>
    </row>
    <row r="626" spans="35:35" ht="15.75" customHeight="1">
      <c r="AI626" s="46"/>
    </row>
    <row r="627" spans="35:35" ht="15.75" customHeight="1">
      <c r="AI627" s="46"/>
    </row>
    <row r="628" spans="35:35" ht="15.75" customHeight="1">
      <c r="AI628" s="46"/>
    </row>
    <row r="629" spans="35:35" ht="15.75" customHeight="1">
      <c r="AI629" s="46"/>
    </row>
    <row r="630" spans="35:35" ht="15.75" customHeight="1">
      <c r="AI630" s="46"/>
    </row>
    <row r="631" spans="35:35" ht="15.75" customHeight="1">
      <c r="AI631" s="46"/>
    </row>
    <row r="632" spans="35:35" ht="15.75" customHeight="1">
      <c r="AI632" s="46"/>
    </row>
    <row r="633" spans="35:35" ht="15.75" customHeight="1">
      <c r="AI633" s="46"/>
    </row>
    <row r="634" spans="35:35" ht="15.75" customHeight="1">
      <c r="AI634" s="46"/>
    </row>
    <row r="635" spans="35:35" ht="15.75" customHeight="1">
      <c r="AI635" s="46"/>
    </row>
    <row r="636" spans="35:35" ht="15.75" customHeight="1">
      <c r="AI636" s="46"/>
    </row>
    <row r="637" spans="35:35" ht="15.75" customHeight="1">
      <c r="AI637" s="46"/>
    </row>
    <row r="638" spans="35:35" ht="15.75" customHeight="1">
      <c r="AI638" s="46"/>
    </row>
    <row r="639" spans="35:35" ht="15.75" customHeight="1">
      <c r="AI639" s="46"/>
    </row>
    <row r="640" spans="35:35" ht="15.75" customHeight="1">
      <c r="AI640" s="46"/>
    </row>
    <row r="641" spans="35:35" ht="15.75" customHeight="1">
      <c r="AI641" s="46"/>
    </row>
    <row r="642" spans="35:35" ht="15.75" customHeight="1">
      <c r="AI642" s="46"/>
    </row>
    <row r="643" spans="35:35" ht="15.75" customHeight="1">
      <c r="AI643" s="46"/>
    </row>
    <row r="644" spans="35:35" ht="15.75" customHeight="1">
      <c r="AI644" s="46"/>
    </row>
    <row r="645" spans="35:35" ht="15.75" customHeight="1">
      <c r="AI645" s="46"/>
    </row>
    <row r="646" spans="35:35" ht="15.75" customHeight="1">
      <c r="AI646" s="46"/>
    </row>
    <row r="647" spans="35:35" ht="15.75" customHeight="1">
      <c r="AI647" s="46"/>
    </row>
    <row r="648" spans="35:35" ht="15.75" customHeight="1">
      <c r="AI648" s="46"/>
    </row>
    <row r="649" spans="35:35" ht="15.75" customHeight="1">
      <c r="AI649" s="46"/>
    </row>
    <row r="650" spans="35:35" ht="15.75" customHeight="1">
      <c r="AI650" s="46"/>
    </row>
    <row r="651" spans="35:35" ht="15.75" customHeight="1">
      <c r="AI651" s="46"/>
    </row>
    <row r="652" spans="35:35" ht="15.75" customHeight="1">
      <c r="AI652" s="46"/>
    </row>
    <row r="653" spans="35:35" ht="15.75" customHeight="1">
      <c r="AI653" s="46"/>
    </row>
    <row r="654" spans="35:35" ht="15.75" customHeight="1">
      <c r="AI654" s="46"/>
    </row>
    <row r="655" spans="35:35" ht="15.75" customHeight="1">
      <c r="AI655" s="46"/>
    </row>
    <row r="656" spans="35:35" ht="15.75" customHeight="1">
      <c r="AI656" s="46"/>
    </row>
    <row r="657" spans="35:35" ht="15.75" customHeight="1">
      <c r="AI657" s="46"/>
    </row>
    <row r="658" spans="35:35" ht="15.75" customHeight="1">
      <c r="AI658" s="46"/>
    </row>
    <row r="659" spans="35:35" ht="15.75" customHeight="1">
      <c r="AI659" s="46"/>
    </row>
    <row r="660" spans="35:35" ht="15.75" customHeight="1">
      <c r="AI660" s="46"/>
    </row>
    <row r="661" spans="35:35" ht="15.75" customHeight="1">
      <c r="AI661" s="46"/>
    </row>
    <row r="662" spans="35:35" ht="15.75" customHeight="1">
      <c r="AI662" s="46"/>
    </row>
    <row r="663" spans="35:35" ht="15.75" customHeight="1">
      <c r="AI663" s="46"/>
    </row>
    <row r="664" spans="35:35" ht="15.75" customHeight="1">
      <c r="AI664" s="46"/>
    </row>
    <row r="665" spans="35:35" ht="15.75" customHeight="1">
      <c r="AI665" s="46"/>
    </row>
    <row r="666" spans="35:35" ht="15.75" customHeight="1">
      <c r="AI666" s="46"/>
    </row>
    <row r="667" spans="35:35" ht="15.75" customHeight="1">
      <c r="AI667" s="46"/>
    </row>
    <row r="668" spans="35:35" ht="15.75" customHeight="1">
      <c r="AI668" s="46"/>
    </row>
    <row r="669" spans="35:35" ht="15.75" customHeight="1">
      <c r="AI669" s="46"/>
    </row>
    <row r="670" spans="35:35" ht="15.75" customHeight="1">
      <c r="AI670" s="46"/>
    </row>
    <row r="671" spans="35:35" ht="15.75" customHeight="1">
      <c r="AI671" s="46"/>
    </row>
    <row r="672" spans="35:35" ht="15.75" customHeight="1">
      <c r="AI672" s="46"/>
    </row>
    <row r="673" spans="35:35" ht="15.75" customHeight="1">
      <c r="AI673" s="46"/>
    </row>
    <row r="674" spans="35:35" ht="15.75" customHeight="1">
      <c r="AI674" s="46"/>
    </row>
    <row r="675" spans="35:35" ht="15.75" customHeight="1">
      <c r="AI675" s="46"/>
    </row>
    <row r="676" spans="35:35" ht="15.75" customHeight="1">
      <c r="AI676" s="46"/>
    </row>
    <row r="677" spans="35:35" ht="15.75" customHeight="1">
      <c r="AI677" s="46"/>
    </row>
    <row r="678" spans="35:35" ht="15.75" customHeight="1">
      <c r="AI678" s="46"/>
    </row>
    <row r="679" spans="35:35" ht="15.75" customHeight="1">
      <c r="AI679" s="46"/>
    </row>
    <row r="680" spans="35:35" ht="15.75" customHeight="1">
      <c r="AI680" s="46"/>
    </row>
    <row r="681" spans="35:35" ht="15.75" customHeight="1">
      <c r="AI681" s="46"/>
    </row>
    <row r="682" spans="35:35" ht="15.75" customHeight="1">
      <c r="AI682" s="46"/>
    </row>
    <row r="683" spans="35:35" ht="15.75" customHeight="1">
      <c r="AI683" s="46"/>
    </row>
    <row r="684" spans="35:35" ht="15.75" customHeight="1">
      <c r="AI684" s="46"/>
    </row>
    <row r="685" spans="35:35" ht="15.75" customHeight="1">
      <c r="AI685" s="46"/>
    </row>
    <row r="686" spans="35:35" ht="15.75" customHeight="1">
      <c r="AI686" s="46"/>
    </row>
    <row r="687" spans="35:35" ht="15.75" customHeight="1">
      <c r="AI687" s="46"/>
    </row>
    <row r="688" spans="35:35" ht="15.75" customHeight="1">
      <c r="AI688" s="46"/>
    </row>
    <row r="689" spans="35:35" ht="15.75" customHeight="1">
      <c r="AI689" s="46"/>
    </row>
    <row r="690" spans="35:35" ht="15.75" customHeight="1">
      <c r="AI690" s="46"/>
    </row>
    <row r="691" spans="35:35" ht="15.75" customHeight="1">
      <c r="AI691" s="46"/>
    </row>
    <row r="692" spans="35:35" ht="15.75" customHeight="1">
      <c r="AI692" s="46"/>
    </row>
    <row r="693" spans="35:35" ht="15.75" customHeight="1">
      <c r="AI693" s="46"/>
    </row>
    <row r="694" spans="35:35" ht="15.75" customHeight="1">
      <c r="AI694" s="46"/>
    </row>
    <row r="695" spans="35:35" ht="15.75" customHeight="1">
      <c r="AI695" s="46"/>
    </row>
    <row r="696" spans="35:35" ht="15.75" customHeight="1">
      <c r="AI696" s="46"/>
    </row>
    <row r="697" spans="35:35" ht="15.75" customHeight="1">
      <c r="AI697" s="46"/>
    </row>
    <row r="698" spans="35:35" ht="15.75" customHeight="1">
      <c r="AI698" s="46"/>
    </row>
    <row r="699" spans="35:35" ht="15.75" customHeight="1">
      <c r="AI699" s="46"/>
    </row>
    <row r="700" spans="35:35" ht="15.75" customHeight="1">
      <c r="AI700" s="46"/>
    </row>
    <row r="701" spans="35:35" ht="15.75" customHeight="1">
      <c r="AI701" s="46"/>
    </row>
    <row r="702" spans="35:35" ht="15.75" customHeight="1">
      <c r="AI702" s="46"/>
    </row>
    <row r="703" spans="35:35" ht="15.75" customHeight="1">
      <c r="AI703" s="46"/>
    </row>
    <row r="704" spans="35:35" ht="15.75" customHeight="1">
      <c r="AI704" s="46"/>
    </row>
    <row r="705" spans="35:35" ht="15.75" customHeight="1">
      <c r="AI705" s="46"/>
    </row>
    <row r="706" spans="35:35" ht="15.75" customHeight="1">
      <c r="AI706" s="46"/>
    </row>
    <row r="707" spans="35:35" ht="15.75" customHeight="1">
      <c r="AI707" s="46"/>
    </row>
    <row r="708" spans="35:35" ht="15.75" customHeight="1">
      <c r="AI708" s="46"/>
    </row>
    <row r="709" spans="35:35" ht="15.75" customHeight="1">
      <c r="AI709" s="46"/>
    </row>
    <row r="710" spans="35:35" ht="15.75" customHeight="1">
      <c r="AI710" s="46"/>
    </row>
    <row r="711" spans="35:35" ht="15.75" customHeight="1">
      <c r="AI711" s="46"/>
    </row>
    <row r="712" spans="35:35" ht="15.75" customHeight="1">
      <c r="AI712" s="46"/>
    </row>
    <row r="713" spans="35:35" ht="15.75" customHeight="1">
      <c r="AI713" s="46"/>
    </row>
    <row r="714" spans="35:35" ht="15.75" customHeight="1">
      <c r="AI714" s="46"/>
    </row>
    <row r="715" spans="35:35" ht="15.75" customHeight="1">
      <c r="AI715" s="46"/>
    </row>
    <row r="716" spans="35:35" ht="15.75" customHeight="1">
      <c r="AI716" s="46"/>
    </row>
    <row r="717" spans="35:35" ht="15.75" customHeight="1">
      <c r="AI717" s="46"/>
    </row>
    <row r="718" spans="35:35" ht="15.75" customHeight="1">
      <c r="AI718" s="46"/>
    </row>
    <row r="719" spans="35:35" ht="15.75" customHeight="1">
      <c r="AI719" s="46"/>
    </row>
    <row r="720" spans="35:35" ht="15.75" customHeight="1">
      <c r="AI720" s="46"/>
    </row>
    <row r="721" spans="35:35" ht="15.75" customHeight="1">
      <c r="AI721" s="46"/>
    </row>
    <row r="722" spans="35:35" ht="15.75" customHeight="1">
      <c r="AI722" s="46"/>
    </row>
    <row r="723" spans="35:35" ht="15.75" customHeight="1">
      <c r="AI723" s="46"/>
    </row>
    <row r="724" spans="35:35" ht="15.75" customHeight="1">
      <c r="AI724" s="46"/>
    </row>
    <row r="725" spans="35:35" ht="15.75" customHeight="1">
      <c r="AI725" s="46"/>
    </row>
    <row r="726" spans="35:35" ht="15.75" customHeight="1">
      <c r="AI726" s="46"/>
    </row>
    <row r="727" spans="35:35" ht="15.75" customHeight="1">
      <c r="AI727" s="46"/>
    </row>
    <row r="728" spans="35:35" ht="15.75" customHeight="1">
      <c r="AI728" s="46"/>
    </row>
    <row r="729" spans="35:35" ht="15.75" customHeight="1">
      <c r="AI729" s="46"/>
    </row>
    <row r="730" spans="35:35" ht="15.75" customHeight="1">
      <c r="AI730" s="46"/>
    </row>
    <row r="731" spans="35:35" ht="15.75" customHeight="1">
      <c r="AI731" s="46"/>
    </row>
    <row r="732" spans="35:35" ht="15.75" customHeight="1">
      <c r="AI732" s="46"/>
    </row>
    <row r="733" spans="35:35" ht="15.75" customHeight="1">
      <c r="AI733" s="46"/>
    </row>
    <row r="734" spans="35:35" ht="15.75" customHeight="1">
      <c r="AI734" s="46"/>
    </row>
    <row r="735" spans="35:35" ht="15.75" customHeight="1">
      <c r="AI735" s="46"/>
    </row>
    <row r="736" spans="35:35" ht="15.75" customHeight="1">
      <c r="AI736" s="46"/>
    </row>
    <row r="737" spans="35:35" ht="15.75" customHeight="1">
      <c r="AI737" s="46"/>
    </row>
    <row r="738" spans="35:35" ht="15.75" customHeight="1">
      <c r="AI738" s="46"/>
    </row>
    <row r="739" spans="35:35" ht="15.75" customHeight="1">
      <c r="AI739" s="46"/>
    </row>
    <row r="740" spans="35:35" ht="15.75" customHeight="1">
      <c r="AI740" s="46"/>
    </row>
    <row r="741" spans="35:35" ht="15.75" customHeight="1">
      <c r="AI741" s="46"/>
    </row>
    <row r="742" spans="35:35" ht="15.75" customHeight="1">
      <c r="AI742" s="46"/>
    </row>
    <row r="743" spans="35:35" ht="15.75" customHeight="1">
      <c r="AI743" s="46"/>
    </row>
    <row r="744" spans="35:35" ht="15.75" customHeight="1">
      <c r="AI744" s="46"/>
    </row>
    <row r="745" spans="35:35" ht="15.75" customHeight="1">
      <c r="AI745" s="46"/>
    </row>
    <row r="746" spans="35:35" ht="15.75" customHeight="1">
      <c r="AI746" s="46"/>
    </row>
    <row r="747" spans="35:35" ht="15.75" customHeight="1">
      <c r="AI747" s="46"/>
    </row>
    <row r="748" spans="35:35" ht="15.75" customHeight="1">
      <c r="AI748" s="46"/>
    </row>
    <row r="749" spans="35:35" ht="15.75" customHeight="1">
      <c r="AI749" s="46"/>
    </row>
    <row r="750" spans="35:35" ht="15.75" customHeight="1">
      <c r="AI750" s="46"/>
    </row>
    <row r="751" spans="35:35" ht="15.75" customHeight="1">
      <c r="AI751" s="46"/>
    </row>
    <row r="752" spans="35:35" ht="15.75" customHeight="1">
      <c r="AI752" s="46"/>
    </row>
    <row r="753" spans="35:35" ht="15.75" customHeight="1">
      <c r="AI753" s="46"/>
    </row>
    <row r="754" spans="35:35" ht="15.75" customHeight="1">
      <c r="AI754" s="46"/>
    </row>
    <row r="755" spans="35:35" ht="15.75" customHeight="1">
      <c r="AI755" s="46"/>
    </row>
    <row r="756" spans="35:35" ht="15.75" customHeight="1">
      <c r="AI756" s="46"/>
    </row>
    <row r="757" spans="35:35" ht="15.75" customHeight="1">
      <c r="AI757" s="46"/>
    </row>
    <row r="758" spans="35:35" ht="15.75" customHeight="1">
      <c r="AI758" s="46"/>
    </row>
    <row r="759" spans="35:35" ht="15.75" customHeight="1">
      <c r="AI759" s="46"/>
    </row>
    <row r="760" spans="35:35" ht="15.75" customHeight="1">
      <c r="AI760" s="46"/>
    </row>
    <row r="761" spans="35:35" ht="15.75" customHeight="1">
      <c r="AI761" s="46"/>
    </row>
    <row r="762" spans="35:35" ht="15.75" customHeight="1">
      <c r="AI762" s="46"/>
    </row>
    <row r="763" spans="35:35" ht="15.75" customHeight="1">
      <c r="AI763" s="46"/>
    </row>
    <row r="764" spans="35:35" ht="15.75" customHeight="1">
      <c r="AI764" s="46"/>
    </row>
    <row r="765" spans="35:35" ht="15.75" customHeight="1">
      <c r="AI765" s="46"/>
    </row>
    <row r="766" spans="35:35" ht="15.75" customHeight="1">
      <c r="AI766" s="46"/>
    </row>
    <row r="767" spans="35:35" ht="15.75" customHeight="1">
      <c r="AI767" s="46"/>
    </row>
    <row r="768" spans="35:35" ht="15.75" customHeight="1">
      <c r="AI768" s="46"/>
    </row>
    <row r="769" spans="35:35" ht="15.75" customHeight="1">
      <c r="AI769" s="46"/>
    </row>
    <row r="770" spans="35:35" ht="15.75" customHeight="1">
      <c r="AI770" s="46"/>
    </row>
    <row r="771" spans="35:35" ht="15.75" customHeight="1">
      <c r="AI771" s="46"/>
    </row>
    <row r="772" spans="35:35" ht="15.75" customHeight="1">
      <c r="AI772" s="46"/>
    </row>
    <row r="773" spans="35:35" ht="15.75" customHeight="1">
      <c r="AI773" s="46"/>
    </row>
    <row r="774" spans="35:35" ht="15.75" customHeight="1">
      <c r="AI774" s="46"/>
    </row>
    <row r="775" spans="35:35" ht="15.75" customHeight="1">
      <c r="AI775" s="46"/>
    </row>
    <row r="776" spans="35:35" ht="15.75" customHeight="1">
      <c r="AI776" s="46"/>
    </row>
    <row r="777" spans="35:35" ht="15.75" customHeight="1">
      <c r="AI777" s="46"/>
    </row>
    <row r="778" spans="35:35" ht="15.75" customHeight="1">
      <c r="AI778" s="46"/>
    </row>
    <row r="779" spans="35:35" ht="15.75" customHeight="1">
      <c r="AI779" s="46"/>
    </row>
    <row r="780" spans="35:35" ht="15.75" customHeight="1">
      <c r="AI780" s="46"/>
    </row>
    <row r="781" spans="35:35" ht="15.75" customHeight="1">
      <c r="AI781" s="46"/>
    </row>
    <row r="782" spans="35:35" ht="15.75" customHeight="1">
      <c r="AI782" s="46"/>
    </row>
    <row r="783" spans="35:35" ht="15.75" customHeight="1">
      <c r="AI783" s="46"/>
    </row>
    <row r="784" spans="35:35" ht="15.75" customHeight="1">
      <c r="AI784" s="46"/>
    </row>
    <row r="785" spans="35:35" ht="15.75" customHeight="1">
      <c r="AI785" s="46"/>
    </row>
    <row r="786" spans="35:35" ht="15.75" customHeight="1">
      <c r="AI786" s="46"/>
    </row>
    <row r="787" spans="35:35" ht="15.75" customHeight="1">
      <c r="AI787" s="46"/>
    </row>
    <row r="788" spans="35:35" ht="15.75" customHeight="1">
      <c r="AI788" s="46"/>
    </row>
    <row r="789" spans="35:35" ht="15.75" customHeight="1">
      <c r="AI789" s="46"/>
    </row>
    <row r="790" spans="35:35" ht="15.75" customHeight="1">
      <c r="AI790" s="46"/>
    </row>
    <row r="791" spans="35:35" ht="15.75" customHeight="1">
      <c r="AI791" s="46"/>
    </row>
    <row r="792" spans="35:35" ht="15.75" customHeight="1">
      <c r="AI792" s="46"/>
    </row>
    <row r="793" spans="35:35" ht="15.75" customHeight="1">
      <c r="AI793" s="46"/>
    </row>
    <row r="794" spans="35:35" ht="15.75" customHeight="1">
      <c r="AI794" s="46"/>
    </row>
    <row r="795" spans="35:35" ht="15.75" customHeight="1">
      <c r="AI795" s="46"/>
    </row>
    <row r="796" spans="35:35" ht="15.75" customHeight="1">
      <c r="AI796" s="46"/>
    </row>
    <row r="797" spans="35:35" ht="15.75" customHeight="1">
      <c r="AI797" s="46"/>
    </row>
    <row r="798" spans="35:35" ht="15.75" customHeight="1">
      <c r="AI798" s="46"/>
    </row>
    <row r="799" spans="35:35" ht="15.75" customHeight="1">
      <c r="AI799" s="46"/>
    </row>
    <row r="800" spans="35:35" ht="15.75" customHeight="1">
      <c r="AI800" s="46"/>
    </row>
    <row r="801" spans="35:35" ht="15.75" customHeight="1">
      <c r="AI801" s="46"/>
    </row>
    <row r="802" spans="35:35" ht="15.75" customHeight="1">
      <c r="AI802" s="46"/>
    </row>
    <row r="803" spans="35:35" ht="15.75" customHeight="1">
      <c r="AI803" s="46"/>
    </row>
    <row r="804" spans="35:35" ht="15.75" customHeight="1">
      <c r="AI804" s="46"/>
    </row>
    <row r="805" spans="35:35" ht="15.75" customHeight="1">
      <c r="AI805" s="46"/>
    </row>
    <row r="806" spans="35:35" ht="15.75" customHeight="1">
      <c r="AI806" s="46"/>
    </row>
    <row r="807" spans="35:35" ht="15.75" customHeight="1">
      <c r="AI807" s="46"/>
    </row>
    <row r="808" spans="35:35" ht="15.75" customHeight="1">
      <c r="AI808" s="46"/>
    </row>
    <row r="809" spans="35:35" ht="15.75" customHeight="1">
      <c r="AI809" s="46"/>
    </row>
    <row r="810" spans="35:35" ht="15.75" customHeight="1">
      <c r="AI810" s="46"/>
    </row>
    <row r="811" spans="35:35" ht="15.75" customHeight="1">
      <c r="AI811" s="46"/>
    </row>
    <row r="812" spans="35:35" ht="15.75" customHeight="1">
      <c r="AI812" s="46"/>
    </row>
    <row r="813" spans="35:35" ht="15.75" customHeight="1">
      <c r="AI813" s="46"/>
    </row>
    <row r="814" spans="35:35" ht="15.75" customHeight="1">
      <c r="AI814" s="46"/>
    </row>
    <row r="815" spans="35:35" ht="15.75" customHeight="1">
      <c r="AI815" s="46"/>
    </row>
    <row r="816" spans="35:35" ht="15.75" customHeight="1">
      <c r="AI816" s="46"/>
    </row>
    <row r="817" spans="35:35" ht="15.75" customHeight="1">
      <c r="AI817" s="46"/>
    </row>
    <row r="818" spans="35:35" ht="15.75" customHeight="1">
      <c r="AI818" s="46"/>
    </row>
    <row r="819" spans="35:35" ht="15.75" customHeight="1">
      <c r="AI819" s="46"/>
    </row>
    <row r="820" spans="35:35" ht="15.75" customHeight="1">
      <c r="AI820" s="46"/>
    </row>
    <row r="821" spans="35:35" ht="15.75" customHeight="1">
      <c r="AI821" s="46"/>
    </row>
    <row r="822" spans="35:35" ht="15.75" customHeight="1">
      <c r="AI822" s="46"/>
    </row>
    <row r="823" spans="35:35" ht="15.75" customHeight="1">
      <c r="AI823" s="46"/>
    </row>
    <row r="824" spans="35:35" ht="15.75" customHeight="1">
      <c r="AI824" s="46"/>
    </row>
    <row r="825" spans="35:35" ht="15.75" customHeight="1">
      <c r="AI825" s="46"/>
    </row>
    <row r="826" spans="35:35" ht="15.75" customHeight="1">
      <c r="AI826" s="46"/>
    </row>
    <row r="827" spans="35:35" ht="15.75" customHeight="1">
      <c r="AI827" s="46"/>
    </row>
    <row r="828" spans="35:35" ht="15.75" customHeight="1">
      <c r="AI828" s="46"/>
    </row>
    <row r="829" spans="35:35" ht="15.75" customHeight="1">
      <c r="AI829" s="46"/>
    </row>
    <row r="830" spans="35:35" ht="15.75" customHeight="1">
      <c r="AI830" s="46"/>
    </row>
    <row r="831" spans="35:35" ht="15.75" customHeight="1">
      <c r="AI831" s="46"/>
    </row>
    <row r="832" spans="35:35" ht="15.75" customHeight="1">
      <c r="AI832" s="46"/>
    </row>
    <row r="833" spans="35:35" ht="15.75" customHeight="1">
      <c r="AI833" s="46"/>
    </row>
    <row r="834" spans="35:35" ht="15.75" customHeight="1">
      <c r="AI834" s="46"/>
    </row>
    <row r="835" spans="35:35" ht="15.75" customHeight="1">
      <c r="AI835" s="46"/>
    </row>
    <row r="836" spans="35:35" ht="15.75" customHeight="1">
      <c r="AI836" s="46"/>
    </row>
    <row r="837" spans="35:35" ht="15.75" customHeight="1">
      <c r="AI837" s="46"/>
    </row>
    <row r="838" spans="35:35" ht="15.75" customHeight="1">
      <c r="AI838" s="46"/>
    </row>
    <row r="839" spans="35:35" ht="15.75" customHeight="1">
      <c r="AI839" s="46"/>
    </row>
    <row r="840" spans="35:35" ht="15.75" customHeight="1">
      <c r="AI840" s="46"/>
    </row>
    <row r="841" spans="35:35" ht="15.75" customHeight="1">
      <c r="AI841" s="46"/>
    </row>
    <row r="842" spans="35:35" ht="15.75" customHeight="1">
      <c r="AI842" s="46"/>
    </row>
    <row r="843" spans="35:35" ht="15.75" customHeight="1">
      <c r="AI843" s="46"/>
    </row>
    <row r="844" spans="35:35" ht="15.75" customHeight="1">
      <c r="AI844" s="46"/>
    </row>
    <row r="845" spans="35:35" ht="15.75" customHeight="1">
      <c r="AI845" s="46"/>
    </row>
    <row r="846" spans="35:35" ht="15.75" customHeight="1">
      <c r="AI846" s="46"/>
    </row>
    <row r="847" spans="35:35" ht="15.75" customHeight="1">
      <c r="AI847" s="46"/>
    </row>
    <row r="848" spans="35:35" ht="15.75" customHeight="1">
      <c r="AI848" s="46"/>
    </row>
    <row r="849" spans="35:35" ht="15.75" customHeight="1">
      <c r="AI849" s="46"/>
    </row>
    <row r="850" spans="35:35" ht="15.75" customHeight="1">
      <c r="AI850" s="46"/>
    </row>
    <row r="851" spans="35:35" ht="15.75" customHeight="1">
      <c r="AI851" s="46"/>
    </row>
    <row r="852" spans="35:35" ht="15.75" customHeight="1">
      <c r="AI852" s="46"/>
    </row>
    <row r="853" spans="35:35" ht="15.75" customHeight="1">
      <c r="AI853" s="46"/>
    </row>
    <row r="854" spans="35:35" ht="15.75" customHeight="1">
      <c r="AI854" s="46"/>
    </row>
    <row r="855" spans="35:35" ht="15.75" customHeight="1">
      <c r="AI855" s="46"/>
    </row>
    <row r="856" spans="35:35" ht="15.75" customHeight="1">
      <c r="AI856" s="46"/>
    </row>
    <row r="857" spans="35:35" ht="15.75" customHeight="1">
      <c r="AI857" s="46"/>
    </row>
    <row r="858" spans="35:35" ht="15.75" customHeight="1">
      <c r="AI858" s="46"/>
    </row>
    <row r="859" spans="35:35" ht="15.75" customHeight="1">
      <c r="AI859" s="46"/>
    </row>
    <row r="860" spans="35:35" ht="15.75" customHeight="1">
      <c r="AI860" s="46"/>
    </row>
    <row r="861" spans="35:35" ht="15.75" customHeight="1">
      <c r="AI861" s="46"/>
    </row>
    <row r="862" spans="35:35" ht="15.75" customHeight="1">
      <c r="AI862" s="46"/>
    </row>
    <row r="863" spans="35:35" ht="15.75" customHeight="1">
      <c r="AI863" s="46"/>
    </row>
    <row r="864" spans="35:35" ht="15.75" customHeight="1">
      <c r="AI864" s="46"/>
    </row>
    <row r="865" spans="35:35" ht="15.75" customHeight="1">
      <c r="AI865" s="46"/>
    </row>
    <row r="866" spans="35:35" ht="15.75" customHeight="1">
      <c r="AI866" s="46"/>
    </row>
    <row r="867" spans="35:35" ht="15.75" customHeight="1">
      <c r="AI867" s="46"/>
    </row>
    <row r="868" spans="35:35" ht="15.75" customHeight="1">
      <c r="AI868" s="46"/>
    </row>
    <row r="869" spans="35:35" ht="15.75" customHeight="1">
      <c r="AI869" s="46"/>
    </row>
    <row r="870" spans="35:35" ht="15.75" customHeight="1">
      <c r="AI870" s="46"/>
    </row>
    <row r="871" spans="35:35" ht="15.75" customHeight="1">
      <c r="AI871" s="46"/>
    </row>
    <row r="872" spans="35:35" ht="15.75" customHeight="1">
      <c r="AI872" s="46"/>
    </row>
    <row r="873" spans="35:35" ht="15.75" customHeight="1">
      <c r="AI873" s="46"/>
    </row>
    <row r="874" spans="35:35" ht="15.75" customHeight="1">
      <c r="AI874" s="46"/>
    </row>
    <row r="875" spans="35:35" ht="15.75" customHeight="1">
      <c r="AI875" s="46"/>
    </row>
    <row r="876" spans="35:35" ht="15.75" customHeight="1">
      <c r="AI876" s="46"/>
    </row>
    <row r="877" spans="35:35" ht="15.75" customHeight="1">
      <c r="AI877" s="46"/>
    </row>
    <row r="878" spans="35:35" ht="15.75" customHeight="1">
      <c r="AI878" s="46"/>
    </row>
    <row r="879" spans="35:35" ht="15.75" customHeight="1">
      <c r="AI879" s="46"/>
    </row>
    <row r="880" spans="35:35" ht="15.75" customHeight="1">
      <c r="AI880" s="46"/>
    </row>
    <row r="881" spans="35:35" ht="15.75" customHeight="1">
      <c r="AI881" s="46"/>
    </row>
    <row r="882" spans="35:35" ht="15.75" customHeight="1">
      <c r="AI882" s="46"/>
    </row>
    <row r="883" spans="35:35" ht="15.75" customHeight="1">
      <c r="AI883" s="46"/>
    </row>
    <row r="884" spans="35:35" ht="15.75" customHeight="1">
      <c r="AI884" s="46"/>
    </row>
    <row r="885" spans="35:35" ht="15.75" customHeight="1">
      <c r="AI885" s="46"/>
    </row>
    <row r="886" spans="35:35" ht="15.75" customHeight="1">
      <c r="AI886" s="46"/>
    </row>
    <row r="887" spans="35:35" ht="15.75" customHeight="1">
      <c r="AI887" s="46"/>
    </row>
    <row r="888" spans="35:35" ht="15.75" customHeight="1">
      <c r="AI888" s="46"/>
    </row>
    <row r="889" spans="35:35" ht="15.75" customHeight="1">
      <c r="AI889" s="46"/>
    </row>
    <row r="890" spans="35:35" ht="15.75" customHeight="1">
      <c r="AI890" s="46"/>
    </row>
    <row r="891" spans="35:35" ht="15.75" customHeight="1">
      <c r="AI891" s="46"/>
    </row>
    <row r="892" spans="35:35" ht="15.75" customHeight="1">
      <c r="AI892" s="46"/>
    </row>
    <row r="893" spans="35:35" ht="15.75" customHeight="1">
      <c r="AI893" s="46"/>
    </row>
    <row r="894" spans="35:35" ht="15.75" customHeight="1">
      <c r="AI894" s="46"/>
    </row>
    <row r="895" spans="35:35" ht="15.75" customHeight="1">
      <c r="AI895" s="46"/>
    </row>
    <row r="896" spans="35:35" ht="15.75" customHeight="1">
      <c r="AI896" s="46"/>
    </row>
    <row r="897" spans="35:35" ht="15.75" customHeight="1">
      <c r="AI897" s="46"/>
    </row>
    <row r="898" spans="35:35" ht="15.75" customHeight="1">
      <c r="AI898" s="46"/>
    </row>
    <row r="899" spans="35:35" ht="15.75" customHeight="1">
      <c r="AI899" s="46"/>
    </row>
    <row r="900" spans="35:35" ht="15.75" customHeight="1">
      <c r="AI900" s="46"/>
    </row>
    <row r="901" spans="35:35" ht="15.75" customHeight="1">
      <c r="AI901" s="46"/>
    </row>
    <row r="902" spans="35:35" ht="15.75" customHeight="1">
      <c r="AI902" s="46"/>
    </row>
    <row r="903" spans="35:35" ht="15.75" customHeight="1">
      <c r="AI903" s="46"/>
    </row>
    <row r="904" spans="35:35" ht="15.75" customHeight="1">
      <c r="AI904" s="46"/>
    </row>
    <row r="905" spans="35:35" ht="15.75" customHeight="1">
      <c r="AI905" s="46"/>
    </row>
    <row r="906" spans="35:35" ht="15.75" customHeight="1">
      <c r="AI906" s="46"/>
    </row>
    <row r="907" spans="35:35" ht="15.75" customHeight="1">
      <c r="AI907" s="46"/>
    </row>
    <row r="908" spans="35:35" ht="15.75" customHeight="1">
      <c r="AI908" s="46"/>
    </row>
    <row r="909" spans="35:35" ht="15.75" customHeight="1">
      <c r="AI909" s="46"/>
    </row>
    <row r="910" spans="35:35" ht="15.75" customHeight="1">
      <c r="AI910" s="46"/>
    </row>
    <row r="911" spans="35:35" ht="15.75" customHeight="1">
      <c r="AI911" s="46"/>
    </row>
    <row r="912" spans="35:35" ht="15.75" customHeight="1">
      <c r="AI912" s="46"/>
    </row>
    <row r="913" spans="35:35" ht="15.75" customHeight="1">
      <c r="AI913" s="46"/>
    </row>
    <row r="914" spans="35:35" ht="15.75" customHeight="1">
      <c r="AI914" s="46"/>
    </row>
    <row r="915" spans="35:35" ht="15.75" customHeight="1">
      <c r="AI915" s="46"/>
    </row>
    <row r="916" spans="35:35" ht="15.75" customHeight="1">
      <c r="AI916" s="46"/>
    </row>
    <row r="917" spans="35:35" ht="15.75" customHeight="1">
      <c r="AI917" s="46"/>
    </row>
    <row r="918" spans="35:35" ht="15.75" customHeight="1">
      <c r="AI918" s="46"/>
    </row>
    <row r="919" spans="35:35" ht="15.75" customHeight="1">
      <c r="AI919" s="46"/>
    </row>
    <row r="920" spans="35:35" ht="15.75" customHeight="1">
      <c r="AI920" s="46"/>
    </row>
    <row r="921" spans="35:35" ht="15.75" customHeight="1">
      <c r="AI921" s="46"/>
    </row>
    <row r="922" spans="35:35" ht="15.75" customHeight="1">
      <c r="AI922" s="46"/>
    </row>
    <row r="923" spans="35:35" ht="15.75" customHeight="1">
      <c r="AI923" s="46"/>
    </row>
    <row r="924" spans="35:35" ht="15.75" customHeight="1">
      <c r="AI924" s="46"/>
    </row>
    <row r="925" spans="35:35" ht="15.75" customHeight="1">
      <c r="AI925" s="46"/>
    </row>
    <row r="926" spans="35:35" ht="15.75" customHeight="1">
      <c r="AI926" s="46"/>
    </row>
    <row r="927" spans="35:35" ht="15.75" customHeight="1">
      <c r="AI927" s="46"/>
    </row>
    <row r="928" spans="35:35" ht="15.75" customHeight="1">
      <c r="AI928" s="46"/>
    </row>
    <row r="929" spans="35:35" ht="15.75" customHeight="1">
      <c r="AI929" s="46"/>
    </row>
    <row r="930" spans="35:35" ht="15.75" customHeight="1">
      <c r="AI930" s="46"/>
    </row>
    <row r="931" spans="35:35" ht="15.75" customHeight="1">
      <c r="AI931" s="46"/>
    </row>
    <row r="932" spans="35:35" ht="15.75" customHeight="1">
      <c r="AI932" s="46"/>
    </row>
    <row r="933" spans="35:35" ht="15.75" customHeight="1">
      <c r="AI933" s="46"/>
    </row>
    <row r="934" spans="35:35" ht="15.75" customHeight="1">
      <c r="AI934" s="46"/>
    </row>
    <row r="935" spans="35:35" ht="15.75" customHeight="1">
      <c r="AI935" s="46"/>
    </row>
    <row r="936" spans="35:35" ht="15.75" customHeight="1">
      <c r="AI936" s="46"/>
    </row>
    <row r="937" spans="35:35" ht="15.75" customHeight="1">
      <c r="AI937" s="46"/>
    </row>
    <row r="938" spans="35:35" ht="15.75" customHeight="1">
      <c r="AI938" s="46"/>
    </row>
    <row r="939" spans="35:35" ht="15.75" customHeight="1">
      <c r="AI939" s="46"/>
    </row>
    <row r="940" spans="35:35" ht="15.75" customHeight="1">
      <c r="AI940" s="46"/>
    </row>
    <row r="941" spans="35:35" ht="15.75" customHeight="1">
      <c r="AI941" s="46"/>
    </row>
    <row r="942" spans="35:35" ht="15.75" customHeight="1">
      <c r="AI942" s="46"/>
    </row>
    <row r="943" spans="35:35" ht="15.75" customHeight="1">
      <c r="AI943" s="46"/>
    </row>
    <row r="944" spans="35:35" ht="15.75" customHeight="1">
      <c r="AI944" s="46"/>
    </row>
    <row r="945" spans="35:35" ht="15.75" customHeight="1">
      <c r="AI945" s="46"/>
    </row>
    <row r="946" spans="35:35" ht="15.75" customHeight="1">
      <c r="AI946" s="46"/>
    </row>
    <row r="947" spans="35:35" ht="15.75" customHeight="1">
      <c r="AI947" s="46"/>
    </row>
    <row r="948" spans="35:35" ht="15.75" customHeight="1">
      <c r="AI948" s="46"/>
    </row>
    <row r="949" spans="35:35" ht="15.75" customHeight="1">
      <c r="AI949" s="46"/>
    </row>
    <row r="950" spans="35:35" ht="15.75" customHeight="1">
      <c r="AI950" s="46"/>
    </row>
    <row r="951" spans="35:35" ht="15.75" customHeight="1">
      <c r="AI951" s="46"/>
    </row>
    <row r="952" spans="35:35" ht="15.75" customHeight="1">
      <c r="AI952" s="46"/>
    </row>
    <row r="953" spans="35:35" ht="15.75" customHeight="1">
      <c r="AI953" s="46"/>
    </row>
    <row r="954" spans="35:35" ht="15.75" customHeight="1">
      <c r="AI954" s="46"/>
    </row>
    <row r="955" spans="35:35" ht="15.75" customHeight="1">
      <c r="AI955" s="46"/>
    </row>
    <row r="956" spans="35:35" ht="15.75" customHeight="1">
      <c r="AI956" s="46"/>
    </row>
    <row r="957" spans="35:35" ht="15.75" customHeight="1">
      <c r="AI957" s="46"/>
    </row>
    <row r="958" spans="35:35" ht="15.75" customHeight="1">
      <c r="AI958" s="46"/>
    </row>
    <row r="959" spans="35:35" ht="15.75" customHeight="1">
      <c r="AI959" s="46"/>
    </row>
    <row r="960" spans="35:35" ht="15.75" customHeight="1">
      <c r="AI960" s="46"/>
    </row>
    <row r="961" spans="35:35" ht="15.75" customHeight="1">
      <c r="AI961" s="46"/>
    </row>
    <row r="962" spans="35:35" ht="15.75" customHeight="1">
      <c r="AI962" s="46"/>
    </row>
    <row r="963" spans="35:35" ht="15.75" customHeight="1">
      <c r="AI963" s="46"/>
    </row>
    <row r="964" spans="35:35" ht="15.75" customHeight="1">
      <c r="AI964" s="46"/>
    </row>
    <row r="965" spans="35:35" ht="15.75" customHeight="1">
      <c r="AI965" s="46"/>
    </row>
    <row r="966" spans="35:35" ht="15.75" customHeight="1">
      <c r="AI966" s="46"/>
    </row>
    <row r="967" spans="35:35" ht="15.75" customHeight="1">
      <c r="AI967" s="46"/>
    </row>
    <row r="968" spans="35:35" ht="15.75" customHeight="1">
      <c r="AI968" s="46"/>
    </row>
    <row r="969" spans="35:35" ht="15.75" customHeight="1">
      <c r="AI969" s="46"/>
    </row>
    <row r="970" spans="35:35" ht="15.75" customHeight="1">
      <c r="AI970" s="46"/>
    </row>
    <row r="971" spans="35:35" ht="15.75" customHeight="1">
      <c r="AI971" s="46"/>
    </row>
    <row r="972" spans="35:35" ht="15.75" customHeight="1">
      <c r="AI972" s="46"/>
    </row>
    <row r="973" spans="35:35" ht="15.75" customHeight="1">
      <c r="AI973" s="46"/>
    </row>
    <row r="974" spans="35:35" ht="15.75" customHeight="1">
      <c r="AI974" s="46"/>
    </row>
    <row r="975" spans="35:35" ht="15.75" customHeight="1">
      <c r="AI975" s="46"/>
    </row>
    <row r="976" spans="35:35" ht="15.75" customHeight="1">
      <c r="AI976" s="46"/>
    </row>
    <row r="977" spans="35:35" ht="15.75" customHeight="1">
      <c r="AI977" s="46"/>
    </row>
    <row r="978" spans="35:35" ht="15.75" customHeight="1">
      <c r="AI978" s="46"/>
    </row>
    <row r="979" spans="35:35" ht="15.75" customHeight="1">
      <c r="AI979" s="46"/>
    </row>
    <row r="980" spans="35:35" ht="15.75" customHeight="1">
      <c r="AI980" s="46"/>
    </row>
    <row r="981" spans="35:35" ht="15.75" customHeight="1">
      <c r="AI981" s="46"/>
    </row>
    <row r="982" spans="35:35" ht="15.75" customHeight="1">
      <c r="AI982" s="46"/>
    </row>
    <row r="983" spans="35:35" ht="15.75" customHeight="1">
      <c r="AI983" s="46"/>
    </row>
    <row r="984" spans="35:35" ht="15.75" customHeight="1">
      <c r="AI984" s="46"/>
    </row>
    <row r="985" spans="35:35" ht="15.75" customHeight="1">
      <c r="AI985" s="46"/>
    </row>
    <row r="986" spans="35:35" ht="15.75" customHeight="1">
      <c r="AI986" s="46"/>
    </row>
    <row r="987" spans="35:35" ht="15.75" customHeight="1">
      <c r="AI987" s="46"/>
    </row>
    <row r="988" spans="35:35" ht="15.75" customHeight="1">
      <c r="AI988" s="46"/>
    </row>
    <row r="989" spans="35:35" ht="15.75" customHeight="1">
      <c r="AI989" s="46"/>
    </row>
    <row r="990" spans="35:35" ht="15.75" customHeight="1">
      <c r="AI990" s="46"/>
    </row>
    <row r="991" spans="35:35" ht="15.75" customHeight="1">
      <c r="AI991" s="46"/>
    </row>
    <row r="992" spans="35:35" ht="15.75" customHeight="1">
      <c r="AI992" s="46"/>
    </row>
    <row r="993" spans="35:35" ht="15.75" customHeight="1">
      <c r="AI993" s="46"/>
    </row>
    <row r="994" spans="35:35" ht="15.75" customHeight="1">
      <c r="AI994" s="46"/>
    </row>
    <row r="995" spans="35:35" ht="15.75" customHeight="1">
      <c r="AI995" s="46"/>
    </row>
  </sheetData>
  <mergeCells count="27">
    <mergeCell ref="A68:AB68"/>
    <mergeCell ref="AS6:AS7"/>
    <mergeCell ref="AE3:AE4"/>
    <mergeCell ref="AF3:AF4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1:AE1"/>
    <mergeCell ref="AI1:AS1"/>
    <mergeCell ref="A2:AE2"/>
    <mergeCell ref="A3:C3"/>
    <mergeCell ref="AC3:AC4"/>
    <mergeCell ref="AD3:AD4"/>
    <mergeCell ref="AG3:AG4"/>
    <mergeCell ref="AI2:AS2"/>
    <mergeCell ref="AI3:AS3"/>
    <mergeCell ref="AI4:AO4"/>
    <mergeCell ref="AP4:AS4"/>
    <mergeCell ref="AI5:AO5"/>
    <mergeCell ref="AP5:AS5"/>
  </mergeCells>
  <conditionalFormatting sqref="G5:I12 L70 G70:K72 G74:K77 U76:X76">
    <cfRule type="containsText" dxfId="2" priority="1" operator="containsText" text="A">
      <formula>NOT(ISERROR(SEARCH(("A"),(G5))))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1000"/>
  <sheetViews>
    <sheetView workbookViewId="0"/>
  </sheetViews>
  <sheetFormatPr defaultColWidth="14.44140625" defaultRowHeight="15" customHeight="1"/>
  <cols>
    <col min="1" max="1" width="5.33203125" customWidth="1"/>
    <col min="2" max="2" width="19" customWidth="1"/>
    <col min="3" max="3" width="23" customWidth="1"/>
    <col min="4" max="4" width="7.33203125" hidden="1" customWidth="1"/>
    <col min="5" max="36" width="4.6640625" hidden="1" customWidth="1"/>
    <col min="37" max="37" width="5" customWidth="1"/>
    <col min="38" max="38" width="6.6640625" customWidth="1"/>
    <col min="39" max="39" width="6.88671875" customWidth="1"/>
    <col min="40" max="40" width="7" customWidth="1"/>
    <col min="41" max="43" width="8.6640625" customWidth="1"/>
    <col min="44" max="44" width="17.6640625" customWidth="1"/>
    <col min="45" max="45" width="26.6640625" customWidth="1"/>
    <col min="46" max="46" width="18.109375" customWidth="1"/>
    <col min="47" max="47" width="21.6640625" customWidth="1"/>
    <col min="48" max="48" width="14.44140625" customWidth="1"/>
    <col min="49" max="49" width="14" customWidth="1"/>
    <col min="50" max="50" width="13.44140625" customWidth="1"/>
    <col min="51" max="51" width="19.88671875" customWidth="1"/>
    <col min="52" max="52" width="18.33203125" customWidth="1"/>
  </cols>
  <sheetData>
    <row r="1" spans="1:59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24"/>
      <c r="AO1" s="24"/>
      <c r="AP1" s="24"/>
      <c r="AQ1" s="405" t="s">
        <v>93</v>
      </c>
      <c r="AR1" s="402"/>
      <c r="AS1" s="402"/>
      <c r="AT1" s="402"/>
      <c r="AU1" s="402"/>
      <c r="AV1" s="402"/>
      <c r="AW1" s="402"/>
      <c r="AX1" s="402"/>
      <c r="AY1" s="402"/>
      <c r="AZ1" s="402"/>
      <c r="BA1" s="403"/>
      <c r="BB1" s="165"/>
      <c r="BC1" s="165"/>
      <c r="BD1" s="165"/>
      <c r="BE1" s="165"/>
      <c r="BF1" s="165"/>
      <c r="BG1" s="166"/>
    </row>
    <row r="2" spans="1:59" ht="18">
      <c r="A2" s="397" t="s">
        <v>166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24"/>
      <c r="AO2" s="24"/>
      <c r="AP2" s="24"/>
      <c r="AQ2" s="401" t="s">
        <v>101</v>
      </c>
      <c r="AR2" s="402"/>
      <c r="AS2" s="402"/>
      <c r="AT2" s="402"/>
      <c r="AU2" s="402"/>
      <c r="AV2" s="402"/>
      <c r="AW2" s="402"/>
      <c r="AX2" s="402"/>
      <c r="AY2" s="402"/>
      <c r="AZ2" s="402"/>
      <c r="BA2" s="403"/>
      <c r="BB2" s="165"/>
      <c r="BC2" s="165"/>
      <c r="BD2" s="165"/>
      <c r="BE2" s="165"/>
      <c r="BF2" s="165"/>
      <c r="BG2" s="166"/>
    </row>
    <row r="3" spans="1:59" ht="69.75" customHeight="1">
      <c r="A3" s="375" t="s">
        <v>1</v>
      </c>
      <c r="B3" s="358"/>
      <c r="C3" s="359"/>
      <c r="D3" s="275">
        <v>45490</v>
      </c>
      <c r="E3" s="275">
        <v>45492</v>
      </c>
      <c r="F3" s="275">
        <v>45497</v>
      </c>
      <c r="G3" s="275">
        <v>45499</v>
      </c>
      <c r="H3" s="275">
        <v>45504</v>
      </c>
      <c r="I3" s="275">
        <v>45506</v>
      </c>
      <c r="J3" s="275">
        <v>45511</v>
      </c>
      <c r="K3" s="276">
        <v>45513</v>
      </c>
      <c r="L3" s="276">
        <v>45518</v>
      </c>
      <c r="M3" s="275">
        <v>45520</v>
      </c>
      <c r="N3" s="275">
        <v>45525</v>
      </c>
      <c r="O3" s="275">
        <v>45527</v>
      </c>
      <c r="P3" s="275">
        <v>45532</v>
      </c>
      <c r="Q3" s="277">
        <v>45539</v>
      </c>
      <c r="R3" s="277">
        <v>45541</v>
      </c>
      <c r="S3" s="277">
        <v>45546</v>
      </c>
      <c r="T3" s="277">
        <v>45553</v>
      </c>
      <c r="U3" s="277">
        <v>45555</v>
      </c>
      <c r="V3" s="277">
        <v>45560</v>
      </c>
      <c r="W3" s="277">
        <v>45562</v>
      </c>
      <c r="X3" s="277">
        <v>45569</v>
      </c>
      <c r="Y3" s="277"/>
      <c r="Z3" s="277"/>
      <c r="AA3" s="277"/>
      <c r="AB3" s="277"/>
      <c r="AC3" s="277"/>
      <c r="AD3" s="277"/>
      <c r="AE3" s="277"/>
      <c r="AF3" s="278"/>
      <c r="AG3" s="279"/>
      <c r="AH3" s="279"/>
      <c r="AI3" s="279"/>
      <c r="AJ3" s="279"/>
      <c r="AK3" s="376" t="s">
        <v>96</v>
      </c>
      <c r="AL3" s="376" t="s">
        <v>97</v>
      </c>
      <c r="AM3" s="376" t="s">
        <v>98</v>
      </c>
      <c r="AN3" s="376" t="s">
        <v>99</v>
      </c>
      <c r="AO3" s="378" t="s">
        <v>100</v>
      </c>
      <c r="AP3" s="24"/>
      <c r="AQ3" s="401" t="s">
        <v>102</v>
      </c>
      <c r="AR3" s="402"/>
      <c r="AS3" s="402"/>
      <c r="AT3" s="402"/>
      <c r="AU3" s="402"/>
      <c r="AV3" s="402"/>
      <c r="AW3" s="402"/>
      <c r="AX3" s="402"/>
      <c r="AY3" s="402"/>
      <c r="AZ3" s="402"/>
      <c r="BA3" s="403"/>
      <c r="BB3" s="165"/>
      <c r="BC3" s="165"/>
      <c r="BD3" s="165"/>
      <c r="BE3" s="165"/>
      <c r="BF3" s="165"/>
      <c r="BG3" s="166"/>
    </row>
    <row r="4" spans="1:59" ht="14.4">
      <c r="A4" s="236" t="s">
        <v>12</v>
      </c>
      <c r="B4" s="237" t="s">
        <v>13</v>
      </c>
      <c r="C4" s="237" t="s">
        <v>14</v>
      </c>
      <c r="D4" s="124">
        <v>1</v>
      </c>
      <c r="E4" s="124">
        <v>2</v>
      </c>
      <c r="F4" s="124">
        <v>3</v>
      </c>
      <c r="G4" s="124">
        <v>4</v>
      </c>
      <c r="H4" s="124">
        <v>5</v>
      </c>
      <c r="I4" s="124">
        <v>6</v>
      </c>
      <c r="J4" s="124">
        <v>7</v>
      </c>
      <c r="K4" s="124">
        <v>8</v>
      </c>
      <c r="L4" s="124">
        <v>9</v>
      </c>
      <c r="M4" s="124">
        <v>10</v>
      </c>
      <c r="N4" s="124">
        <v>11</v>
      </c>
      <c r="O4" s="124">
        <v>12</v>
      </c>
      <c r="P4" s="124">
        <v>13</v>
      </c>
      <c r="Q4" s="124">
        <v>14</v>
      </c>
      <c r="R4" s="124">
        <v>15</v>
      </c>
      <c r="S4" s="124">
        <v>16</v>
      </c>
      <c r="T4" s="124">
        <v>17</v>
      </c>
      <c r="U4" s="124">
        <v>18</v>
      </c>
      <c r="V4" s="124">
        <v>19</v>
      </c>
      <c r="W4" s="124">
        <v>20</v>
      </c>
      <c r="X4" s="124">
        <v>21</v>
      </c>
      <c r="Y4" s="124">
        <v>22</v>
      </c>
      <c r="Z4" s="124">
        <v>23</v>
      </c>
      <c r="AA4" s="124">
        <v>24</v>
      </c>
      <c r="AB4" s="124">
        <v>25</v>
      </c>
      <c r="AC4" s="124">
        <v>26</v>
      </c>
      <c r="AD4" s="124">
        <v>27</v>
      </c>
      <c r="AE4" s="124">
        <v>28</v>
      </c>
      <c r="AF4" s="124">
        <v>29</v>
      </c>
      <c r="AG4" s="124">
        <v>30</v>
      </c>
      <c r="AH4" s="124">
        <v>31</v>
      </c>
      <c r="AI4" s="124">
        <v>32</v>
      </c>
      <c r="AJ4" s="124">
        <v>33</v>
      </c>
      <c r="AK4" s="377"/>
      <c r="AL4" s="377"/>
      <c r="AM4" s="377"/>
      <c r="AN4" s="377"/>
      <c r="AO4" s="377"/>
      <c r="AP4" s="24"/>
      <c r="AQ4" s="404" t="s">
        <v>103</v>
      </c>
      <c r="AR4" s="402"/>
      <c r="AS4" s="402"/>
      <c r="AT4" s="402"/>
      <c r="AU4" s="402"/>
      <c r="AV4" s="402"/>
      <c r="AW4" s="403"/>
      <c r="AX4" s="404" t="s">
        <v>188</v>
      </c>
      <c r="AY4" s="402"/>
      <c r="AZ4" s="402"/>
      <c r="BA4" s="403"/>
      <c r="BB4" s="165"/>
      <c r="BC4" s="165"/>
      <c r="BD4" s="165"/>
      <c r="BE4" s="165"/>
      <c r="BF4" s="165"/>
      <c r="BG4" s="166"/>
    </row>
    <row r="5" spans="1:59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225" t="s">
        <v>123</v>
      </c>
      <c r="E5" s="226" t="s">
        <v>124</v>
      </c>
      <c r="F5" s="226" t="s">
        <v>123</v>
      </c>
      <c r="G5" s="225" t="s">
        <v>123</v>
      </c>
      <c r="H5" s="225" t="s">
        <v>123</v>
      </c>
      <c r="I5" s="225" t="s">
        <v>123</v>
      </c>
      <c r="J5" s="226" t="s">
        <v>123</v>
      </c>
      <c r="K5" s="226" t="s">
        <v>123</v>
      </c>
      <c r="L5" s="226" t="s">
        <v>123</v>
      </c>
      <c r="M5" s="226" t="s">
        <v>124</v>
      </c>
      <c r="N5" s="226" t="s">
        <v>123</v>
      </c>
      <c r="O5" s="226" t="s">
        <v>123</v>
      </c>
      <c r="P5" s="226" t="s">
        <v>124</v>
      </c>
      <c r="Q5" s="225" t="s">
        <v>124</v>
      </c>
      <c r="R5" s="225" t="s">
        <v>124</v>
      </c>
      <c r="S5" s="225" t="s">
        <v>123</v>
      </c>
      <c r="T5" s="225" t="s">
        <v>123</v>
      </c>
      <c r="U5" s="225" t="s">
        <v>123</v>
      </c>
      <c r="V5" s="225" t="s">
        <v>123</v>
      </c>
      <c r="W5" s="225" t="s">
        <v>123</v>
      </c>
      <c r="X5" s="225" t="s">
        <v>124</v>
      </c>
      <c r="Y5" s="225"/>
      <c r="Z5" s="225"/>
      <c r="AA5" s="225"/>
      <c r="AB5" s="225"/>
      <c r="AC5" s="225"/>
      <c r="AD5" s="225"/>
      <c r="AE5" s="225"/>
      <c r="AF5" s="234"/>
      <c r="AG5" s="113"/>
      <c r="AH5" s="113"/>
      <c r="AI5" s="113"/>
      <c r="AJ5" s="113"/>
      <c r="AK5" s="280">
        <v>8</v>
      </c>
      <c r="AL5" s="225">
        <v>5</v>
      </c>
      <c r="AM5" s="280">
        <f t="shared" ref="AM5:AM62" si="0">AK5+AL5</f>
        <v>13</v>
      </c>
      <c r="AN5" s="281">
        <v>33</v>
      </c>
      <c r="AO5" s="101">
        <f t="shared" ref="AO5:AO62" si="1">AM5/AN5</f>
        <v>0.39393939393939392</v>
      </c>
      <c r="AP5" s="24"/>
      <c r="AQ5" s="404" t="s">
        <v>189</v>
      </c>
      <c r="AR5" s="402"/>
      <c r="AS5" s="402"/>
      <c r="AT5" s="402"/>
      <c r="AU5" s="402"/>
      <c r="AV5" s="402"/>
      <c r="AW5" s="403"/>
      <c r="AX5" s="404" t="s">
        <v>190</v>
      </c>
      <c r="AY5" s="402"/>
      <c r="AZ5" s="402"/>
      <c r="BA5" s="403"/>
    </row>
    <row r="6" spans="1:59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181" t="s">
        <v>124</v>
      </c>
      <c r="E6" s="182" t="s">
        <v>124</v>
      </c>
      <c r="F6" s="182" t="s">
        <v>124</v>
      </c>
      <c r="G6" s="182" t="s">
        <v>124</v>
      </c>
      <c r="H6" s="182" t="s">
        <v>124</v>
      </c>
      <c r="I6" s="181" t="s">
        <v>124</v>
      </c>
      <c r="J6" s="182" t="s">
        <v>124</v>
      </c>
      <c r="K6" s="182" t="s">
        <v>124</v>
      </c>
      <c r="L6" s="182" t="s">
        <v>124</v>
      </c>
      <c r="M6" s="182" t="s">
        <v>124</v>
      </c>
      <c r="N6" s="182" t="s">
        <v>124</v>
      </c>
      <c r="O6" s="182" t="s">
        <v>124</v>
      </c>
      <c r="P6" s="182" t="s">
        <v>124</v>
      </c>
      <c r="Q6" s="225" t="s">
        <v>124</v>
      </c>
      <c r="R6" s="225" t="s">
        <v>123</v>
      </c>
      <c r="S6" s="225" t="s">
        <v>124</v>
      </c>
      <c r="T6" s="225" t="s">
        <v>124</v>
      </c>
      <c r="U6" s="225" t="s">
        <v>123</v>
      </c>
      <c r="V6" s="225" t="s">
        <v>123</v>
      </c>
      <c r="W6" s="225" t="s">
        <v>124</v>
      </c>
      <c r="X6" s="225" t="s">
        <v>124</v>
      </c>
      <c r="Y6" s="225"/>
      <c r="Z6" s="225"/>
      <c r="AA6" s="225"/>
      <c r="AB6" s="225"/>
      <c r="AC6" s="225"/>
      <c r="AD6" s="225"/>
      <c r="AE6" s="225"/>
      <c r="AF6" s="234"/>
      <c r="AG6" s="113"/>
      <c r="AH6" s="113"/>
      <c r="AI6" s="113"/>
      <c r="AJ6" s="113"/>
      <c r="AK6" s="146">
        <v>25</v>
      </c>
      <c r="AL6" s="181"/>
      <c r="AM6" s="280">
        <f t="shared" si="0"/>
        <v>25</v>
      </c>
      <c r="AN6" s="281">
        <v>33</v>
      </c>
      <c r="AO6" s="101">
        <f t="shared" si="1"/>
        <v>0.75757575757575757</v>
      </c>
      <c r="AP6" s="24"/>
      <c r="AQ6" s="406" t="s">
        <v>169</v>
      </c>
      <c r="AR6" s="406" t="s">
        <v>170</v>
      </c>
      <c r="AS6" s="406" t="s">
        <v>171</v>
      </c>
      <c r="AT6" s="406" t="s">
        <v>172</v>
      </c>
      <c r="AU6" s="406" t="s">
        <v>173</v>
      </c>
      <c r="AV6" s="406" t="s">
        <v>174</v>
      </c>
      <c r="AW6" s="406" t="s">
        <v>175</v>
      </c>
      <c r="AX6" s="406" t="s">
        <v>176</v>
      </c>
      <c r="AY6" s="406" t="s">
        <v>177</v>
      </c>
      <c r="AZ6" s="406" t="s">
        <v>187</v>
      </c>
      <c r="BA6" s="406" t="s">
        <v>178</v>
      </c>
    </row>
    <row r="7" spans="1:59" ht="45" customHeight="1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181" t="s">
        <v>123</v>
      </c>
      <c r="E7" s="182" t="s">
        <v>123</v>
      </c>
      <c r="F7" s="182" t="s">
        <v>123</v>
      </c>
      <c r="G7" s="182" t="s">
        <v>124</v>
      </c>
      <c r="H7" s="182" t="s">
        <v>124</v>
      </c>
      <c r="I7" s="182" t="s">
        <v>124</v>
      </c>
      <c r="J7" s="182" t="s">
        <v>124</v>
      </c>
      <c r="K7" s="182" t="s">
        <v>124</v>
      </c>
      <c r="L7" s="182" t="s">
        <v>123</v>
      </c>
      <c r="M7" s="182" t="s">
        <v>124</v>
      </c>
      <c r="N7" s="182" t="s">
        <v>124</v>
      </c>
      <c r="O7" s="182" t="s">
        <v>123</v>
      </c>
      <c r="P7" s="182" t="s">
        <v>124</v>
      </c>
      <c r="Q7" s="225" t="s">
        <v>124</v>
      </c>
      <c r="R7" s="225" t="s">
        <v>123</v>
      </c>
      <c r="S7" s="225" t="s">
        <v>123</v>
      </c>
      <c r="T7" s="225" t="s">
        <v>124</v>
      </c>
      <c r="U7" s="225" t="s">
        <v>123</v>
      </c>
      <c r="V7" s="225" t="s">
        <v>124</v>
      </c>
      <c r="W7" s="225" t="s">
        <v>123</v>
      </c>
      <c r="X7" s="225" t="s">
        <v>123</v>
      </c>
      <c r="Y7" s="225"/>
      <c r="Z7" s="225"/>
      <c r="AA7" s="225"/>
      <c r="AB7" s="225"/>
      <c r="AC7" s="225"/>
      <c r="AD7" s="225"/>
      <c r="AE7" s="225"/>
      <c r="AF7" s="234"/>
      <c r="AG7" s="113"/>
      <c r="AH7" s="113"/>
      <c r="AI7" s="113"/>
      <c r="AJ7" s="113"/>
      <c r="AK7" s="146">
        <v>20</v>
      </c>
      <c r="AL7" s="181"/>
      <c r="AM7" s="280">
        <f t="shared" si="0"/>
        <v>20</v>
      </c>
      <c r="AN7" s="281">
        <v>33</v>
      </c>
      <c r="AO7" s="101">
        <f t="shared" si="1"/>
        <v>0.60606060606060608</v>
      </c>
      <c r="AQ7" s="407"/>
      <c r="AR7" s="407"/>
      <c r="AS7" s="407"/>
      <c r="AT7" s="407"/>
      <c r="AU7" s="407"/>
      <c r="AV7" s="407"/>
      <c r="AW7" s="407"/>
      <c r="AX7" s="407"/>
      <c r="AY7" s="407"/>
      <c r="AZ7" s="407"/>
      <c r="BA7" s="407"/>
    </row>
    <row r="8" spans="1:59" ht="25.5" customHeight="1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142" t="s">
        <v>123</v>
      </c>
      <c r="E8" s="282" t="s">
        <v>123</v>
      </c>
      <c r="F8" s="282" t="s">
        <v>123</v>
      </c>
      <c r="G8" s="282" t="s">
        <v>123</v>
      </c>
      <c r="H8" s="282" t="s">
        <v>123</v>
      </c>
      <c r="I8" s="182" t="s">
        <v>123</v>
      </c>
      <c r="J8" s="182" t="s">
        <v>123</v>
      </c>
      <c r="K8" s="182" t="s">
        <v>123</v>
      </c>
      <c r="L8" s="182" t="s">
        <v>123</v>
      </c>
      <c r="M8" s="182" t="s">
        <v>123</v>
      </c>
      <c r="N8" s="182" t="s">
        <v>123</v>
      </c>
      <c r="O8" s="182" t="s">
        <v>123</v>
      </c>
      <c r="P8" s="182" t="s">
        <v>123</v>
      </c>
      <c r="Q8" s="225" t="s">
        <v>123</v>
      </c>
      <c r="R8" s="225" t="s">
        <v>123</v>
      </c>
      <c r="S8" s="225" t="s">
        <v>123</v>
      </c>
      <c r="T8" s="225" t="s">
        <v>123</v>
      </c>
      <c r="U8" s="225" t="s">
        <v>123</v>
      </c>
      <c r="V8" s="225" t="s">
        <v>123</v>
      </c>
      <c r="W8" s="225" t="s">
        <v>123</v>
      </c>
      <c r="X8" s="225" t="s">
        <v>123</v>
      </c>
      <c r="Y8" s="225"/>
      <c r="Z8" s="225"/>
      <c r="AA8" s="225"/>
      <c r="AB8" s="225"/>
      <c r="AC8" s="225"/>
      <c r="AD8" s="225"/>
      <c r="AE8" s="225"/>
      <c r="AF8" s="234"/>
      <c r="AG8" s="113"/>
      <c r="AH8" s="113"/>
      <c r="AI8" s="113"/>
      <c r="AJ8" s="113"/>
      <c r="AK8" s="146">
        <v>0</v>
      </c>
      <c r="AL8" s="181"/>
      <c r="AM8" s="280">
        <f t="shared" si="0"/>
        <v>0</v>
      </c>
      <c r="AN8" s="281">
        <v>33</v>
      </c>
      <c r="AO8" s="101">
        <f t="shared" si="1"/>
        <v>0</v>
      </c>
      <c r="AQ8" s="283">
        <f>OVERALL!A4</f>
        <v>1</v>
      </c>
      <c r="AR8" s="283">
        <f>OVERALL!B4</f>
        <v>2301236</v>
      </c>
      <c r="AS8" s="284" t="str">
        <f>OVERALL!C4</f>
        <v>Manmohan Singh</v>
      </c>
      <c r="AT8" s="285">
        <f t="shared" ref="AT8:AT65" si="2">AN5</f>
        <v>33</v>
      </c>
      <c r="AU8" s="285">
        <f t="shared" ref="AU8:AU65" si="3">AM5</f>
        <v>13</v>
      </c>
      <c r="AV8" s="286">
        <f t="shared" ref="AV8:AV65" si="4">(AU8/AT8)*100</f>
        <v>39.393939393939391</v>
      </c>
      <c r="AW8" s="287" t="str">
        <f t="shared" ref="AW8:AW65" si="5">IF(AV8&gt;=95.5,"6",IF(AV8&gt;=90.5,"5", IF(AV8&gt;=85.5,"4",IF(AV8&gt;=80.5,"3",IF(AV8&gt;=75.5,"2","0")))))</f>
        <v>0</v>
      </c>
      <c r="AX8" s="288">
        <v>5</v>
      </c>
      <c r="AY8" s="289">
        <v>3</v>
      </c>
      <c r="AZ8" s="286">
        <f t="shared" ref="AZ8:AZ65" si="6">AVERAGE(D75:AJ75)</f>
        <v>2.0526315789473686</v>
      </c>
      <c r="BA8" s="286">
        <f t="shared" ref="BA8:BA65" si="7">ROUND(AW8+AX8+AY8+AZ8,0)</f>
        <v>10</v>
      </c>
    </row>
    <row r="9" spans="1:59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181" t="s">
        <v>123</v>
      </c>
      <c r="E9" s="182" t="s">
        <v>124</v>
      </c>
      <c r="F9" s="182" t="s">
        <v>124</v>
      </c>
      <c r="G9" s="182" t="s">
        <v>124</v>
      </c>
      <c r="H9" s="182" t="s">
        <v>124</v>
      </c>
      <c r="I9" s="182" t="s">
        <v>124</v>
      </c>
      <c r="J9" s="182" t="s">
        <v>124</v>
      </c>
      <c r="K9" s="182" t="s">
        <v>124</v>
      </c>
      <c r="L9" s="182" t="s">
        <v>123</v>
      </c>
      <c r="M9" s="182" t="s">
        <v>124</v>
      </c>
      <c r="N9" s="182" t="s">
        <v>123</v>
      </c>
      <c r="O9" s="182" t="s">
        <v>123</v>
      </c>
      <c r="P9" s="182" t="s">
        <v>124</v>
      </c>
      <c r="Q9" s="225" t="s">
        <v>124</v>
      </c>
      <c r="R9" s="225" t="s">
        <v>124</v>
      </c>
      <c r="S9" s="225" t="s">
        <v>124</v>
      </c>
      <c r="T9" s="225" t="s">
        <v>124</v>
      </c>
      <c r="U9" s="225" t="s">
        <v>123</v>
      </c>
      <c r="V9" s="225" t="s">
        <v>124</v>
      </c>
      <c r="W9" s="225" t="s">
        <v>123</v>
      </c>
      <c r="X9" s="225" t="s">
        <v>123</v>
      </c>
      <c r="Y9" s="225"/>
      <c r="Z9" s="225"/>
      <c r="AA9" s="225"/>
      <c r="AB9" s="225"/>
      <c r="AC9" s="225"/>
      <c r="AD9" s="225"/>
      <c r="AE9" s="225"/>
      <c r="AF9" s="234"/>
      <c r="AG9" s="113"/>
      <c r="AH9" s="113"/>
      <c r="AI9" s="113"/>
      <c r="AJ9" s="113"/>
      <c r="AK9" s="146">
        <v>26</v>
      </c>
      <c r="AL9" s="181">
        <v>5</v>
      </c>
      <c r="AM9" s="280">
        <f t="shared" si="0"/>
        <v>31</v>
      </c>
      <c r="AN9" s="281">
        <v>33</v>
      </c>
      <c r="AO9" s="101">
        <f t="shared" si="1"/>
        <v>0.93939393939393945</v>
      </c>
      <c r="AQ9" s="283">
        <f>OVERALL!A5</f>
        <v>2</v>
      </c>
      <c r="AR9" s="283">
        <f>OVERALL!B5</f>
        <v>2301237</v>
      </c>
      <c r="AS9" s="284" t="str">
        <f>OVERALL!C5</f>
        <v>Manpreet Kaur</v>
      </c>
      <c r="AT9" s="285">
        <f t="shared" si="2"/>
        <v>33</v>
      </c>
      <c r="AU9" s="285">
        <f t="shared" si="3"/>
        <v>25</v>
      </c>
      <c r="AV9" s="286">
        <f t="shared" si="4"/>
        <v>75.757575757575751</v>
      </c>
      <c r="AW9" s="287" t="str">
        <f t="shared" si="5"/>
        <v>2</v>
      </c>
      <c r="AX9" s="288">
        <v>7</v>
      </c>
      <c r="AY9" s="289">
        <v>6</v>
      </c>
      <c r="AZ9" s="286">
        <f t="shared" si="6"/>
        <v>6.6842105263157894</v>
      </c>
      <c r="BA9" s="286">
        <f t="shared" si="7"/>
        <v>22</v>
      </c>
    </row>
    <row r="10" spans="1:59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181" t="s">
        <v>124</v>
      </c>
      <c r="E10" s="182" t="s">
        <v>124</v>
      </c>
      <c r="F10" s="182" t="s">
        <v>124</v>
      </c>
      <c r="G10" s="182" t="s">
        <v>124</v>
      </c>
      <c r="H10" s="182" t="s">
        <v>124</v>
      </c>
      <c r="I10" s="182" t="s">
        <v>124</v>
      </c>
      <c r="J10" s="182" t="s">
        <v>124</v>
      </c>
      <c r="K10" s="182" t="s">
        <v>124</v>
      </c>
      <c r="L10" s="182" t="s">
        <v>124</v>
      </c>
      <c r="M10" s="182" t="s">
        <v>124</v>
      </c>
      <c r="N10" s="182" t="s">
        <v>124</v>
      </c>
      <c r="O10" s="182" t="s">
        <v>124</v>
      </c>
      <c r="P10" s="182" t="s">
        <v>124</v>
      </c>
      <c r="Q10" s="225" t="s">
        <v>124</v>
      </c>
      <c r="R10" s="225" t="s">
        <v>124</v>
      </c>
      <c r="S10" s="225" t="s">
        <v>124</v>
      </c>
      <c r="T10" s="225" t="s">
        <v>124</v>
      </c>
      <c r="U10" s="225" t="s">
        <v>124</v>
      </c>
      <c r="V10" s="225" t="s">
        <v>124</v>
      </c>
      <c r="W10" s="225" t="s">
        <v>124</v>
      </c>
      <c r="X10" s="225" t="s">
        <v>124</v>
      </c>
      <c r="Y10" s="225"/>
      <c r="Z10" s="225"/>
      <c r="AA10" s="225"/>
      <c r="AB10" s="225"/>
      <c r="AC10" s="225"/>
      <c r="AD10" s="225"/>
      <c r="AE10" s="225"/>
      <c r="AF10" s="234"/>
      <c r="AG10" s="113"/>
      <c r="AH10" s="113"/>
      <c r="AI10" s="113"/>
      <c r="AJ10" s="113"/>
      <c r="AK10" s="146">
        <v>31</v>
      </c>
      <c r="AL10" s="181"/>
      <c r="AM10" s="280">
        <f t="shared" si="0"/>
        <v>31</v>
      </c>
      <c r="AN10" s="281">
        <v>33</v>
      </c>
      <c r="AO10" s="101">
        <f t="shared" si="1"/>
        <v>0.93939393939393945</v>
      </c>
      <c r="AQ10" s="283">
        <f>OVERALL!A6</f>
        <v>3</v>
      </c>
      <c r="AR10" s="283">
        <f>OVERALL!B6</f>
        <v>2301238</v>
      </c>
      <c r="AS10" s="284" t="str">
        <f>OVERALL!C6</f>
        <v>Md Warish Chesam</v>
      </c>
      <c r="AT10" s="285">
        <f t="shared" si="2"/>
        <v>33</v>
      </c>
      <c r="AU10" s="285">
        <f t="shared" si="3"/>
        <v>20</v>
      </c>
      <c r="AV10" s="286">
        <f t="shared" si="4"/>
        <v>60.606060606060609</v>
      </c>
      <c r="AW10" s="287" t="str">
        <f t="shared" si="5"/>
        <v>0</v>
      </c>
      <c r="AX10" s="288">
        <v>7</v>
      </c>
      <c r="AY10" s="289">
        <v>5</v>
      </c>
      <c r="AZ10" s="286">
        <f t="shared" si="6"/>
        <v>4.2105263157894735</v>
      </c>
      <c r="BA10" s="286">
        <f t="shared" si="7"/>
        <v>16</v>
      </c>
    </row>
    <row r="11" spans="1:59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181" t="s">
        <v>124</v>
      </c>
      <c r="E11" s="182" t="s">
        <v>123</v>
      </c>
      <c r="F11" s="182" t="s">
        <v>124</v>
      </c>
      <c r="G11" s="182" t="s">
        <v>124</v>
      </c>
      <c r="H11" s="182" t="s">
        <v>124</v>
      </c>
      <c r="I11" s="182" t="s">
        <v>123</v>
      </c>
      <c r="J11" s="182" t="s">
        <v>124</v>
      </c>
      <c r="K11" s="182" t="s">
        <v>123</v>
      </c>
      <c r="L11" s="182" t="s">
        <v>123</v>
      </c>
      <c r="M11" s="182" t="s">
        <v>124</v>
      </c>
      <c r="N11" s="182" t="s">
        <v>124</v>
      </c>
      <c r="O11" s="182" t="s">
        <v>124</v>
      </c>
      <c r="P11" s="182" t="s">
        <v>124</v>
      </c>
      <c r="Q11" s="225" t="s">
        <v>124</v>
      </c>
      <c r="R11" s="225" t="s">
        <v>123</v>
      </c>
      <c r="S11" s="225" t="s">
        <v>123</v>
      </c>
      <c r="T11" s="225" t="s">
        <v>123</v>
      </c>
      <c r="U11" s="225" t="s">
        <v>123</v>
      </c>
      <c r="V11" s="225" t="s">
        <v>124</v>
      </c>
      <c r="W11" s="225" t="s">
        <v>124</v>
      </c>
      <c r="X11" s="225" t="s">
        <v>124</v>
      </c>
      <c r="Y11" s="225"/>
      <c r="Z11" s="225"/>
      <c r="AA11" s="225"/>
      <c r="AB11" s="225"/>
      <c r="AC11" s="225"/>
      <c r="AD11" s="225"/>
      <c r="AE11" s="225"/>
      <c r="AF11" s="234"/>
      <c r="AG11" s="113"/>
      <c r="AH11" s="113"/>
      <c r="AI11" s="113"/>
      <c r="AJ11" s="113"/>
      <c r="AK11" s="146">
        <v>16</v>
      </c>
      <c r="AL11" s="181">
        <v>3</v>
      </c>
      <c r="AM11" s="280">
        <f t="shared" si="0"/>
        <v>19</v>
      </c>
      <c r="AN11" s="281">
        <v>33</v>
      </c>
      <c r="AO11" s="101">
        <f t="shared" si="1"/>
        <v>0.5757575757575758</v>
      </c>
      <c r="AQ11" s="283">
        <f>OVERALL!A7</f>
        <v>4</v>
      </c>
      <c r="AR11" s="283">
        <f>OVERALL!B7</f>
        <v>2301239</v>
      </c>
      <c r="AS11" s="284" t="str">
        <f>OVERALL!C7</f>
        <v>Mohd Shahid Afridi</v>
      </c>
      <c r="AT11" s="285">
        <f t="shared" si="2"/>
        <v>33</v>
      </c>
      <c r="AU11" s="285">
        <f t="shared" si="3"/>
        <v>0</v>
      </c>
      <c r="AV11" s="286">
        <f t="shared" si="4"/>
        <v>0</v>
      </c>
      <c r="AW11" s="287" t="str">
        <f t="shared" si="5"/>
        <v>0</v>
      </c>
      <c r="AX11" s="288">
        <v>0</v>
      </c>
      <c r="AY11" s="290">
        <v>0</v>
      </c>
      <c r="AZ11" s="286">
        <f t="shared" si="6"/>
        <v>0</v>
      </c>
      <c r="BA11" s="286">
        <f t="shared" si="7"/>
        <v>0</v>
      </c>
    </row>
    <row r="12" spans="1:59" ht="19.5" customHeight="1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181" t="s">
        <v>123</v>
      </c>
      <c r="E12" s="182" t="s">
        <v>124</v>
      </c>
      <c r="F12" s="182" t="s">
        <v>123</v>
      </c>
      <c r="G12" s="182" t="s">
        <v>124</v>
      </c>
      <c r="H12" s="182" t="s">
        <v>124</v>
      </c>
      <c r="I12" s="182" t="s">
        <v>123</v>
      </c>
      <c r="J12" s="182" t="s">
        <v>124</v>
      </c>
      <c r="K12" s="182" t="s">
        <v>124</v>
      </c>
      <c r="L12" s="182" t="s">
        <v>123</v>
      </c>
      <c r="M12" s="182" t="s">
        <v>124</v>
      </c>
      <c r="N12" s="182" t="s">
        <v>124</v>
      </c>
      <c r="O12" s="182" t="s">
        <v>123</v>
      </c>
      <c r="P12" s="182" t="s">
        <v>124</v>
      </c>
      <c r="Q12" s="225" t="s">
        <v>124</v>
      </c>
      <c r="R12" s="225" t="s">
        <v>123</v>
      </c>
      <c r="S12" s="225" t="s">
        <v>124</v>
      </c>
      <c r="T12" s="225" t="s">
        <v>124</v>
      </c>
      <c r="U12" s="225" t="s">
        <v>124</v>
      </c>
      <c r="V12" s="225" t="s">
        <v>124</v>
      </c>
      <c r="W12" s="225" t="s">
        <v>124</v>
      </c>
      <c r="X12" s="225" t="s">
        <v>124</v>
      </c>
      <c r="Y12" s="225"/>
      <c r="Z12" s="225"/>
      <c r="AA12" s="225"/>
      <c r="AB12" s="225"/>
      <c r="AC12" s="225"/>
      <c r="AD12" s="225"/>
      <c r="AE12" s="225"/>
      <c r="AF12" s="234"/>
      <c r="AG12" s="113"/>
      <c r="AH12" s="113"/>
      <c r="AI12" s="113"/>
      <c r="AJ12" s="113"/>
      <c r="AK12" s="291">
        <v>21</v>
      </c>
      <c r="AL12" s="171"/>
      <c r="AM12" s="280">
        <f t="shared" si="0"/>
        <v>21</v>
      </c>
      <c r="AN12" s="281">
        <v>33</v>
      </c>
      <c r="AO12" s="101">
        <f t="shared" si="1"/>
        <v>0.63636363636363635</v>
      </c>
      <c r="AQ12" s="283">
        <f>OVERALL!A8</f>
        <v>5</v>
      </c>
      <c r="AR12" s="283">
        <f>OVERALL!B8</f>
        <v>2301240</v>
      </c>
      <c r="AS12" s="284" t="str">
        <f>OVERALL!C8</f>
        <v>Munisha</v>
      </c>
      <c r="AT12" s="285">
        <f t="shared" si="2"/>
        <v>33</v>
      </c>
      <c r="AU12" s="285">
        <f t="shared" si="3"/>
        <v>31</v>
      </c>
      <c r="AV12" s="286">
        <f t="shared" si="4"/>
        <v>93.939393939393938</v>
      </c>
      <c r="AW12" s="287" t="str">
        <f t="shared" si="5"/>
        <v>5</v>
      </c>
      <c r="AX12" s="288">
        <v>7</v>
      </c>
      <c r="AY12" s="290">
        <v>6</v>
      </c>
      <c r="AZ12" s="286">
        <f t="shared" si="6"/>
        <v>6.2105263157894735</v>
      </c>
      <c r="BA12" s="286">
        <f t="shared" si="7"/>
        <v>24</v>
      </c>
    </row>
    <row r="13" spans="1:59" ht="20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142"/>
      <c r="E13" s="282"/>
      <c r="F13" s="282"/>
      <c r="G13" s="282"/>
      <c r="H13" s="282"/>
      <c r="I13" s="181" t="s">
        <v>123</v>
      </c>
      <c r="J13" s="182" t="s">
        <v>123</v>
      </c>
      <c r="K13" s="182" t="s">
        <v>123</v>
      </c>
      <c r="L13" s="182" t="s">
        <v>123</v>
      </c>
      <c r="M13" s="182" t="s">
        <v>123</v>
      </c>
      <c r="N13" s="182" t="s">
        <v>123</v>
      </c>
      <c r="O13" s="182" t="s">
        <v>123</v>
      </c>
      <c r="P13" s="182" t="s">
        <v>123</v>
      </c>
      <c r="Q13" s="225" t="s">
        <v>123</v>
      </c>
      <c r="R13" s="225" t="s">
        <v>123</v>
      </c>
      <c r="S13" s="225" t="s">
        <v>123</v>
      </c>
      <c r="T13" s="225" t="s">
        <v>123</v>
      </c>
      <c r="U13" s="225" t="s">
        <v>123</v>
      </c>
      <c r="V13" s="225" t="s">
        <v>123</v>
      </c>
      <c r="W13" s="225" t="s">
        <v>123</v>
      </c>
      <c r="X13" s="225" t="s">
        <v>123</v>
      </c>
      <c r="Y13" s="225"/>
      <c r="Z13" s="225"/>
      <c r="AA13" s="225"/>
      <c r="AB13" s="225"/>
      <c r="AC13" s="225"/>
      <c r="AD13" s="225"/>
      <c r="AE13" s="225"/>
      <c r="AF13" s="234"/>
      <c r="AG13" s="113"/>
      <c r="AH13" s="113"/>
      <c r="AI13" s="113"/>
      <c r="AJ13" s="113"/>
      <c r="AK13" s="291">
        <v>0</v>
      </c>
      <c r="AL13" s="171"/>
      <c r="AM13" s="280">
        <f t="shared" si="0"/>
        <v>0</v>
      </c>
      <c r="AN13" s="281">
        <v>33</v>
      </c>
      <c r="AO13" s="101">
        <f t="shared" si="1"/>
        <v>0</v>
      </c>
      <c r="AQ13" s="283">
        <f>OVERALL!A9</f>
        <v>6</v>
      </c>
      <c r="AR13" s="283">
        <f>OVERALL!B9</f>
        <v>2301241</v>
      </c>
      <c r="AS13" s="284" t="str">
        <f>OVERALL!C9</f>
        <v>Nikhil Kumar Thakur</v>
      </c>
      <c r="AT13" s="285">
        <f t="shared" si="2"/>
        <v>33</v>
      </c>
      <c r="AU13" s="285">
        <f t="shared" si="3"/>
        <v>31</v>
      </c>
      <c r="AV13" s="286">
        <f t="shared" si="4"/>
        <v>93.939393939393938</v>
      </c>
      <c r="AW13" s="287" t="str">
        <f t="shared" si="5"/>
        <v>5</v>
      </c>
      <c r="AX13" s="288">
        <v>7</v>
      </c>
      <c r="AY13" s="290">
        <v>6</v>
      </c>
      <c r="AZ13" s="286">
        <f t="shared" si="6"/>
        <v>8.6842105263157894</v>
      </c>
      <c r="BA13" s="286">
        <f t="shared" si="7"/>
        <v>27</v>
      </c>
    </row>
    <row r="14" spans="1:59" ht="15.6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181" t="s">
        <v>124</v>
      </c>
      <c r="E14" s="182" t="s">
        <v>124</v>
      </c>
      <c r="F14" s="182" t="s">
        <v>124</v>
      </c>
      <c r="G14" s="182" t="s">
        <v>124</v>
      </c>
      <c r="H14" s="182" t="s">
        <v>124</v>
      </c>
      <c r="I14" s="181" t="s">
        <v>124</v>
      </c>
      <c r="J14" s="182" t="s">
        <v>124</v>
      </c>
      <c r="K14" s="182" t="s">
        <v>124</v>
      </c>
      <c r="L14" s="182" t="s">
        <v>124</v>
      </c>
      <c r="M14" s="182" t="s">
        <v>124</v>
      </c>
      <c r="N14" s="182" t="s">
        <v>124</v>
      </c>
      <c r="O14" s="182" t="s">
        <v>124</v>
      </c>
      <c r="P14" s="182" t="s">
        <v>124</v>
      </c>
      <c r="Q14" s="225" t="s">
        <v>124</v>
      </c>
      <c r="R14" s="225" t="s">
        <v>124</v>
      </c>
      <c r="S14" s="225" t="s">
        <v>124</v>
      </c>
      <c r="T14" s="225" t="s">
        <v>124</v>
      </c>
      <c r="U14" s="225" t="s">
        <v>124</v>
      </c>
      <c r="V14" s="225" t="s">
        <v>124</v>
      </c>
      <c r="W14" s="225" t="s">
        <v>124</v>
      </c>
      <c r="X14" s="225" t="s">
        <v>124</v>
      </c>
      <c r="Y14" s="225"/>
      <c r="Z14" s="225"/>
      <c r="AA14" s="225"/>
      <c r="AB14" s="225"/>
      <c r="AC14" s="225"/>
      <c r="AD14" s="225"/>
      <c r="AE14" s="225"/>
      <c r="AF14" s="234"/>
      <c r="AG14" s="132"/>
      <c r="AH14" s="132"/>
      <c r="AI14" s="132"/>
      <c r="AJ14" s="132"/>
      <c r="AK14" s="291">
        <v>30</v>
      </c>
      <c r="AL14" s="171">
        <v>2</v>
      </c>
      <c r="AM14" s="280">
        <f t="shared" si="0"/>
        <v>32</v>
      </c>
      <c r="AN14" s="281">
        <v>33</v>
      </c>
      <c r="AO14" s="101">
        <f t="shared" si="1"/>
        <v>0.96969696969696972</v>
      </c>
      <c r="AQ14" s="283">
        <f>OVERALL!A10</f>
        <v>7</v>
      </c>
      <c r="AR14" s="283">
        <f>OVERALL!B10</f>
        <v>2301242</v>
      </c>
      <c r="AS14" s="284" t="str">
        <f>OVERALL!C10</f>
        <v>Palak Pathania</v>
      </c>
      <c r="AT14" s="285">
        <f t="shared" si="2"/>
        <v>33</v>
      </c>
      <c r="AU14" s="285">
        <f t="shared" si="3"/>
        <v>19</v>
      </c>
      <c r="AV14" s="286">
        <f t="shared" si="4"/>
        <v>57.575757575757578</v>
      </c>
      <c r="AW14" s="287" t="str">
        <f t="shared" si="5"/>
        <v>0</v>
      </c>
      <c r="AX14" s="288">
        <v>6</v>
      </c>
      <c r="AY14" s="290">
        <v>5</v>
      </c>
      <c r="AZ14" s="286">
        <f t="shared" si="6"/>
        <v>4.8947368421052628</v>
      </c>
      <c r="BA14" s="286">
        <f t="shared" si="7"/>
        <v>16</v>
      </c>
    </row>
    <row r="15" spans="1:59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181" t="s">
        <v>124</v>
      </c>
      <c r="E15" s="182" t="s">
        <v>124</v>
      </c>
      <c r="F15" s="182" t="s">
        <v>124</v>
      </c>
      <c r="G15" s="182" t="s">
        <v>124</v>
      </c>
      <c r="H15" s="182" t="s">
        <v>124</v>
      </c>
      <c r="I15" s="181" t="s">
        <v>124</v>
      </c>
      <c r="J15" s="182" t="s">
        <v>124</v>
      </c>
      <c r="K15" s="182" t="s">
        <v>124</v>
      </c>
      <c r="L15" s="182" t="s">
        <v>124</v>
      </c>
      <c r="M15" s="182" t="s">
        <v>124</v>
      </c>
      <c r="N15" s="182" t="s">
        <v>124</v>
      </c>
      <c r="O15" s="182" t="s">
        <v>124</v>
      </c>
      <c r="P15" s="182" t="s">
        <v>124</v>
      </c>
      <c r="Q15" s="225" t="s">
        <v>124</v>
      </c>
      <c r="R15" s="225" t="s">
        <v>123</v>
      </c>
      <c r="S15" s="225" t="s">
        <v>124</v>
      </c>
      <c r="T15" s="225" t="s">
        <v>124</v>
      </c>
      <c r="U15" s="225" t="s">
        <v>123</v>
      </c>
      <c r="V15" s="225" t="s">
        <v>124</v>
      </c>
      <c r="W15" s="225" t="s">
        <v>124</v>
      </c>
      <c r="X15" s="225" t="s">
        <v>123</v>
      </c>
      <c r="Y15" s="225"/>
      <c r="Z15" s="225"/>
      <c r="AA15" s="225"/>
      <c r="AB15" s="225"/>
      <c r="AC15" s="225"/>
      <c r="AD15" s="225"/>
      <c r="AE15" s="225"/>
      <c r="AF15" s="234"/>
      <c r="AG15" s="113"/>
      <c r="AH15" s="113"/>
      <c r="AI15" s="113"/>
      <c r="AJ15" s="113"/>
      <c r="AK15" s="291">
        <v>22</v>
      </c>
      <c r="AL15" s="171">
        <v>4</v>
      </c>
      <c r="AM15" s="280">
        <f t="shared" si="0"/>
        <v>26</v>
      </c>
      <c r="AN15" s="281">
        <v>33</v>
      </c>
      <c r="AO15" s="101">
        <f t="shared" si="1"/>
        <v>0.78787878787878785</v>
      </c>
      <c r="AQ15" s="283">
        <f>OVERALL!A11</f>
        <v>8</v>
      </c>
      <c r="AR15" s="283">
        <f>OVERALL!B11</f>
        <v>2301243</v>
      </c>
      <c r="AS15" s="284" t="str">
        <f>OVERALL!C11</f>
        <v>Pardeep Singh</v>
      </c>
      <c r="AT15" s="285">
        <f t="shared" si="2"/>
        <v>33</v>
      </c>
      <c r="AU15" s="285">
        <f t="shared" si="3"/>
        <v>21</v>
      </c>
      <c r="AV15" s="286">
        <f t="shared" si="4"/>
        <v>63.636363636363633</v>
      </c>
      <c r="AW15" s="287" t="str">
        <f t="shared" si="5"/>
        <v>0</v>
      </c>
      <c r="AX15" s="288">
        <v>6</v>
      </c>
      <c r="AY15" s="290">
        <v>4</v>
      </c>
      <c r="AZ15" s="286">
        <f t="shared" si="6"/>
        <v>5.2105263157894735</v>
      </c>
      <c r="BA15" s="286">
        <f t="shared" si="7"/>
        <v>15</v>
      </c>
    </row>
    <row r="16" spans="1:59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142" t="s">
        <v>123</v>
      </c>
      <c r="E16" s="142" t="s">
        <v>123</v>
      </c>
      <c r="F16" s="142" t="s">
        <v>123</v>
      </c>
      <c r="G16" s="142" t="s">
        <v>123</v>
      </c>
      <c r="H16" s="142" t="s">
        <v>123</v>
      </c>
      <c r="I16" s="181" t="s">
        <v>123</v>
      </c>
      <c r="J16" s="182" t="s">
        <v>123</v>
      </c>
      <c r="K16" s="182" t="s">
        <v>123</v>
      </c>
      <c r="L16" s="182" t="s">
        <v>123</v>
      </c>
      <c r="M16" s="182" t="s">
        <v>123</v>
      </c>
      <c r="N16" s="182" t="s">
        <v>123</v>
      </c>
      <c r="O16" s="182" t="s">
        <v>123</v>
      </c>
      <c r="P16" s="182" t="s">
        <v>123</v>
      </c>
      <c r="Q16" s="225" t="s">
        <v>123</v>
      </c>
      <c r="R16" s="225" t="s">
        <v>123</v>
      </c>
      <c r="S16" s="225" t="s">
        <v>123</v>
      </c>
      <c r="T16" s="225" t="s">
        <v>123</v>
      </c>
      <c r="U16" s="225" t="s">
        <v>123</v>
      </c>
      <c r="V16" s="225" t="s">
        <v>123</v>
      </c>
      <c r="W16" s="225" t="s">
        <v>123</v>
      </c>
      <c r="X16" s="225" t="s">
        <v>123</v>
      </c>
      <c r="Y16" s="225"/>
      <c r="Z16" s="225"/>
      <c r="AA16" s="225"/>
      <c r="AB16" s="225"/>
      <c r="AC16" s="225"/>
      <c r="AD16" s="225"/>
      <c r="AE16" s="225"/>
      <c r="AF16" s="234"/>
      <c r="AG16" s="113"/>
      <c r="AH16" s="113"/>
      <c r="AI16" s="113"/>
      <c r="AJ16" s="113"/>
      <c r="AK16" s="291">
        <v>0</v>
      </c>
      <c r="AL16" s="171"/>
      <c r="AM16" s="280">
        <f t="shared" si="0"/>
        <v>0</v>
      </c>
      <c r="AN16" s="281">
        <v>33</v>
      </c>
      <c r="AO16" s="101">
        <f t="shared" si="1"/>
        <v>0</v>
      </c>
      <c r="AQ16" s="283">
        <f>OVERALL!A12</f>
        <v>9</v>
      </c>
      <c r="AR16" s="283">
        <f>OVERALL!B12</f>
        <v>2301244</v>
      </c>
      <c r="AS16" s="284" t="str">
        <f>OVERALL!C12</f>
        <v>Parveen Mandal</v>
      </c>
      <c r="AT16" s="285">
        <f t="shared" si="2"/>
        <v>33</v>
      </c>
      <c r="AU16" s="285">
        <f t="shared" si="3"/>
        <v>0</v>
      </c>
      <c r="AV16" s="286">
        <f t="shared" si="4"/>
        <v>0</v>
      </c>
      <c r="AW16" s="287" t="str">
        <f t="shared" si="5"/>
        <v>0</v>
      </c>
      <c r="AX16" s="288">
        <v>0</v>
      </c>
      <c r="AY16" s="290">
        <v>0</v>
      </c>
      <c r="AZ16" s="286">
        <f t="shared" si="6"/>
        <v>0</v>
      </c>
      <c r="BA16" s="286">
        <f t="shared" si="7"/>
        <v>0</v>
      </c>
    </row>
    <row r="17" spans="1:53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181" t="s">
        <v>123</v>
      </c>
      <c r="E17" s="182" t="s">
        <v>124</v>
      </c>
      <c r="F17" s="182" t="s">
        <v>124</v>
      </c>
      <c r="G17" s="182" t="s">
        <v>124</v>
      </c>
      <c r="H17" s="182" t="s">
        <v>124</v>
      </c>
      <c r="I17" s="181" t="s">
        <v>124</v>
      </c>
      <c r="J17" s="182" t="s">
        <v>124</v>
      </c>
      <c r="K17" s="182" t="s">
        <v>124</v>
      </c>
      <c r="L17" s="182" t="s">
        <v>124</v>
      </c>
      <c r="M17" s="182" t="s">
        <v>123</v>
      </c>
      <c r="N17" s="182" t="s">
        <v>124</v>
      </c>
      <c r="O17" s="182" t="s">
        <v>124</v>
      </c>
      <c r="P17" s="182" t="s">
        <v>124</v>
      </c>
      <c r="Q17" s="225" t="s">
        <v>124</v>
      </c>
      <c r="R17" s="225" t="s">
        <v>123</v>
      </c>
      <c r="S17" s="225" t="s">
        <v>124</v>
      </c>
      <c r="T17" s="225" t="s">
        <v>124</v>
      </c>
      <c r="U17" s="225" t="s">
        <v>124</v>
      </c>
      <c r="V17" s="225" t="s">
        <v>124</v>
      </c>
      <c r="W17" s="225" t="s">
        <v>124</v>
      </c>
      <c r="X17" s="225" t="s">
        <v>124</v>
      </c>
      <c r="Y17" s="225"/>
      <c r="Z17" s="225"/>
      <c r="AA17" s="225"/>
      <c r="AB17" s="225"/>
      <c r="AC17" s="225"/>
      <c r="AD17" s="225"/>
      <c r="AE17" s="225"/>
      <c r="AF17" s="234"/>
      <c r="AG17" s="113"/>
      <c r="AH17" s="113"/>
      <c r="AI17" s="113"/>
      <c r="AJ17" s="113"/>
      <c r="AK17" s="291">
        <v>25</v>
      </c>
      <c r="AL17" s="171">
        <v>6</v>
      </c>
      <c r="AM17" s="280">
        <f t="shared" si="0"/>
        <v>31</v>
      </c>
      <c r="AN17" s="281">
        <v>33</v>
      </c>
      <c r="AO17" s="101">
        <f t="shared" si="1"/>
        <v>0.93939393939393945</v>
      </c>
      <c r="AQ17" s="283">
        <f>OVERALL!A13</f>
        <v>10</v>
      </c>
      <c r="AR17" s="283">
        <f>OVERALL!B13</f>
        <v>2301245</v>
      </c>
      <c r="AS17" s="284" t="str">
        <f>OVERALL!C13</f>
        <v>Payal</v>
      </c>
      <c r="AT17" s="285">
        <f t="shared" si="2"/>
        <v>33</v>
      </c>
      <c r="AU17" s="285">
        <f t="shared" si="3"/>
        <v>32</v>
      </c>
      <c r="AV17" s="286">
        <f t="shared" si="4"/>
        <v>96.969696969696969</v>
      </c>
      <c r="AW17" s="287" t="str">
        <f t="shared" si="5"/>
        <v>6</v>
      </c>
      <c r="AX17" s="288">
        <v>7</v>
      </c>
      <c r="AY17" s="290">
        <v>6</v>
      </c>
      <c r="AZ17" s="286">
        <f t="shared" si="6"/>
        <v>8.2105263157894743</v>
      </c>
      <c r="BA17" s="286">
        <f t="shared" si="7"/>
        <v>27</v>
      </c>
    </row>
    <row r="18" spans="1:53" ht="25.5" customHeight="1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181" t="s">
        <v>124</v>
      </c>
      <c r="E18" s="182" t="s">
        <v>123</v>
      </c>
      <c r="F18" s="182" t="s">
        <v>123</v>
      </c>
      <c r="G18" s="182" t="s">
        <v>123</v>
      </c>
      <c r="H18" s="182" t="s">
        <v>123</v>
      </c>
      <c r="I18" s="181" t="s">
        <v>123</v>
      </c>
      <c r="J18" s="182" t="s">
        <v>123</v>
      </c>
      <c r="K18" s="182" t="s">
        <v>124</v>
      </c>
      <c r="L18" s="182" t="s">
        <v>124</v>
      </c>
      <c r="M18" s="182" t="s">
        <v>123</v>
      </c>
      <c r="N18" s="182" t="s">
        <v>124</v>
      </c>
      <c r="O18" s="182" t="s">
        <v>124</v>
      </c>
      <c r="P18" s="182" t="s">
        <v>124</v>
      </c>
      <c r="Q18" s="225" t="s">
        <v>124</v>
      </c>
      <c r="R18" s="225" t="s">
        <v>124</v>
      </c>
      <c r="S18" s="225" t="s">
        <v>124</v>
      </c>
      <c r="T18" s="225" t="s">
        <v>124</v>
      </c>
      <c r="U18" s="225" t="s">
        <v>124</v>
      </c>
      <c r="V18" s="225" t="s">
        <v>123</v>
      </c>
      <c r="W18" s="225" t="s">
        <v>123</v>
      </c>
      <c r="X18" s="225" t="s">
        <v>124</v>
      </c>
      <c r="Y18" s="225"/>
      <c r="Z18" s="225"/>
      <c r="AA18" s="225"/>
      <c r="AB18" s="225"/>
      <c r="AC18" s="225"/>
      <c r="AD18" s="225"/>
      <c r="AE18" s="225"/>
      <c r="AF18" s="234"/>
      <c r="AG18" s="113"/>
      <c r="AH18" s="113"/>
      <c r="AI18" s="113"/>
      <c r="AJ18" s="113"/>
      <c r="AK18" s="291">
        <v>18</v>
      </c>
      <c r="AL18" s="171"/>
      <c r="AM18" s="280">
        <f t="shared" si="0"/>
        <v>18</v>
      </c>
      <c r="AN18" s="281">
        <v>33</v>
      </c>
      <c r="AO18" s="101">
        <f t="shared" si="1"/>
        <v>0.54545454545454541</v>
      </c>
      <c r="AQ18" s="283">
        <f>OVERALL!A14</f>
        <v>11</v>
      </c>
      <c r="AR18" s="283">
        <f>OVERALL!B14</f>
        <v>2301247</v>
      </c>
      <c r="AS18" s="284" t="str">
        <f>OVERALL!C14</f>
        <v>Priya</v>
      </c>
      <c r="AT18" s="285">
        <f t="shared" si="2"/>
        <v>33</v>
      </c>
      <c r="AU18" s="285">
        <f t="shared" si="3"/>
        <v>26</v>
      </c>
      <c r="AV18" s="286">
        <f t="shared" si="4"/>
        <v>78.787878787878782</v>
      </c>
      <c r="AW18" s="287" t="str">
        <f t="shared" si="5"/>
        <v>2</v>
      </c>
      <c r="AX18" s="288">
        <v>6</v>
      </c>
      <c r="AY18" s="290">
        <v>5</v>
      </c>
      <c r="AZ18" s="286">
        <f t="shared" si="6"/>
        <v>7.1052631578947372</v>
      </c>
      <c r="BA18" s="286">
        <f t="shared" si="7"/>
        <v>20</v>
      </c>
    </row>
    <row r="19" spans="1:53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181" t="s">
        <v>123</v>
      </c>
      <c r="E19" s="182" t="s">
        <v>123</v>
      </c>
      <c r="F19" s="182" t="s">
        <v>123</v>
      </c>
      <c r="G19" s="182" t="s">
        <v>123</v>
      </c>
      <c r="H19" s="182" t="s">
        <v>123</v>
      </c>
      <c r="I19" s="181" t="s">
        <v>124</v>
      </c>
      <c r="J19" s="182" t="s">
        <v>124</v>
      </c>
      <c r="K19" s="182" t="s">
        <v>124</v>
      </c>
      <c r="L19" s="182" t="s">
        <v>124</v>
      </c>
      <c r="M19" s="182" t="s">
        <v>123</v>
      </c>
      <c r="N19" s="182" t="s">
        <v>123</v>
      </c>
      <c r="O19" s="182" t="s">
        <v>123</v>
      </c>
      <c r="P19" s="182" t="s">
        <v>124</v>
      </c>
      <c r="Q19" s="225" t="s">
        <v>124</v>
      </c>
      <c r="R19" s="225" t="s">
        <v>123</v>
      </c>
      <c r="S19" s="225" t="s">
        <v>124</v>
      </c>
      <c r="T19" s="225" t="s">
        <v>123</v>
      </c>
      <c r="U19" s="225" t="s">
        <v>123</v>
      </c>
      <c r="V19" s="225" t="s">
        <v>124</v>
      </c>
      <c r="W19" s="225" t="s">
        <v>124</v>
      </c>
      <c r="X19" s="225" t="s">
        <v>123</v>
      </c>
      <c r="Y19" s="225"/>
      <c r="Z19" s="225"/>
      <c r="AA19" s="225"/>
      <c r="AB19" s="225"/>
      <c r="AC19" s="225"/>
      <c r="AD19" s="225"/>
      <c r="AE19" s="225"/>
      <c r="AF19" s="234"/>
      <c r="AG19" s="113"/>
      <c r="AH19" s="113"/>
      <c r="AI19" s="113"/>
      <c r="AJ19" s="113"/>
      <c r="AK19" s="291">
        <v>18</v>
      </c>
      <c r="AL19" s="171"/>
      <c r="AM19" s="280">
        <f t="shared" si="0"/>
        <v>18</v>
      </c>
      <c r="AN19" s="281">
        <v>33</v>
      </c>
      <c r="AO19" s="101">
        <f t="shared" si="1"/>
        <v>0.54545454545454541</v>
      </c>
      <c r="AQ19" s="283">
        <f>OVERALL!A15</f>
        <v>12</v>
      </c>
      <c r="AR19" s="283">
        <f>OVERALL!B15</f>
        <v>2301248</v>
      </c>
      <c r="AS19" s="284" t="str">
        <f>OVERALL!C15</f>
        <v>Priyam Puri</v>
      </c>
      <c r="AT19" s="285">
        <f t="shared" si="2"/>
        <v>33</v>
      </c>
      <c r="AU19" s="285">
        <f t="shared" si="3"/>
        <v>0</v>
      </c>
      <c r="AV19" s="286">
        <f t="shared" si="4"/>
        <v>0</v>
      </c>
      <c r="AW19" s="287" t="str">
        <f t="shared" si="5"/>
        <v>0</v>
      </c>
      <c r="AX19" s="288"/>
      <c r="AY19" s="290">
        <v>0</v>
      </c>
      <c r="AZ19" s="286">
        <f t="shared" si="6"/>
        <v>0</v>
      </c>
      <c r="BA19" s="286">
        <f t="shared" si="7"/>
        <v>0</v>
      </c>
    </row>
    <row r="20" spans="1:53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181" t="s">
        <v>123</v>
      </c>
      <c r="E20" s="182" t="s">
        <v>124</v>
      </c>
      <c r="F20" s="182" t="s">
        <v>124</v>
      </c>
      <c r="G20" s="182" t="s">
        <v>124</v>
      </c>
      <c r="H20" s="182" t="s">
        <v>124</v>
      </c>
      <c r="I20" s="181" t="s">
        <v>123</v>
      </c>
      <c r="J20" s="182" t="s">
        <v>124</v>
      </c>
      <c r="K20" s="182" t="s">
        <v>124</v>
      </c>
      <c r="L20" s="182" t="s">
        <v>124</v>
      </c>
      <c r="M20" s="182" t="s">
        <v>124</v>
      </c>
      <c r="N20" s="182" t="s">
        <v>124</v>
      </c>
      <c r="O20" s="182" t="s">
        <v>124</v>
      </c>
      <c r="P20" s="182" t="s">
        <v>124</v>
      </c>
      <c r="Q20" s="225" t="s">
        <v>124</v>
      </c>
      <c r="R20" s="225" t="s">
        <v>123</v>
      </c>
      <c r="S20" s="225" t="s">
        <v>124</v>
      </c>
      <c r="T20" s="225" t="s">
        <v>124</v>
      </c>
      <c r="U20" s="225" t="s">
        <v>123</v>
      </c>
      <c r="V20" s="225" t="s">
        <v>124</v>
      </c>
      <c r="W20" s="225" t="s">
        <v>124</v>
      </c>
      <c r="X20" s="225" t="s">
        <v>124</v>
      </c>
      <c r="Y20" s="225"/>
      <c r="Z20" s="225"/>
      <c r="AA20" s="225"/>
      <c r="AB20" s="225"/>
      <c r="AC20" s="225"/>
      <c r="AD20" s="225"/>
      <c r="AE20" s="225"/>
      <c r="AF20" s="234"/>
      <c r="AG20" s="113"/>
      <c r="AH20" s="113"/>
      <c r="AI20" s="113"/>
      <c r="AJ20" s="113"/>
      <c r="AK20" s="291">
        <v>22</v>
      </c>
      <c r="AL20" s="171"/>
      <c r="AM20" s="280">
        <f t="shared" si="0"/>
        <v>22</v>
      </c>
      <c r="AN20" s="281">
        <v>33</v>
      </c>
      <c r="AO20" s="101">
        <f t="shared" si="1"/>
        <v>0.66666666666666663</v>
      </c>
      <c r="AQ20" s="283">
        <f>OVERALL!A16</f>
        <v>13</v>
      </c>
      <c r="AR20" s="283">
        <f>OVERALL!B16</f>
        <v>2301249</v>
      </c>
      <c r="AS20" s="284" t="str">
        <f>OVERALL!C16</f>
        <v>Rahul Sharma</v>
      </c>
      <c r="AT20" s="285">
        <f t="shared" si="2"/>
        <v>33</v>
      </c>
      <c r="AU20" s="285">
        <f t="shared" si="3"/>
        <v>31</v>
      </c>
      <c r="AV20" s="286">
        <f t="shared" si="4"/>
        <v>93.939393939393938</v>
      </c>
      <c r="AW20" s="287" t="str">
        <f t="shared" si="5"/>
        <v>5</v>
      </c>
      <c r="AX20" s="288">
        <v>6</v>
      </c>
      <c r="AY20" s="290">
        <v>5</v>
      </c>
      <c r="AZ20" s="286">
        <f t="shared" si="6"/>
        <v>6.2105263157894735</v>
      </c>
      <c r="BA20" s="286">
        <f t="shared" si="7"/>
        <v>22</v>
      </c>
    </row>
    <row r="21" spans="1:53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181" t="s">
        <v>123</v>
      </c>
      <c r="E21" s="182" t="s">
        <v>124</v>
      </c>
      <c r="F21" s="182" t="s">
        <v>123</v>
      </c>
      <c r="G21" s="182" t="s">
        <v>124</v>
      </c>
      <c r="H21" s="182" t="s">
        <v>124</v>
      </c>
      <c r="I21" s="181" t="s">
        <v>123</v>
      </c>
      <c r="J21" s="182" t="s">
        <v>124</v>
      </c>
      <c r="K21" s="182" t="s">
        <v>124</v>
      </c>
      <c r="L21" s="182" t="s">
        <v>124</v>
      </c>
      <c r="M21" s="182" t="s">
        <v>124</v>
      </c>
      <c r="N21" s="182" t="s">
        <v>124</v>
      </c>
      <c r="O21" s="182" t="s">
        <v>124</v>
      </c>
      <c r="P21" s="182" t="s">
        <v>123</v>
      </c>
      <c r="Q21" s="225" t="s">
        <v>123</v>
      </c>
      <c r="R21" s="225" t="s">
        <v>123</v>
      </c>
      <c r="S21" s="225" t="s">
        <v>124</v>
      </c>
      <c r="T21" s="225" t="s">
        <v>124</v>
      </c>
      <c r="U21" s="225" t="s">
        <v>124</v>
      </c>
      <c r="V21" s="225" t="s">
        <v>124</v>
      </c>
      <c r="W21" s="225" t="s">
        <v>123</v>
      </c>
      <c r="X21" s="225" t="s">
        <v>124</v>
      </c>
      <c r="Y21" s="225"/>
      <c r="Z21" s="225"/>
      <c r="AA21" s="225"/>
      <c r="AB21" s="225"/>
      <c r="AC21" s="225"/>
      <c r="AD21" s="225"/>
      <c r="AE21" s="225"/>
      <c r="AF21" s="234"/>
      <c r="AG21" s="113"/>
      <c r="AH21" s="113"/>
      <c r="AI21" s="113"/>
      <c r="AJ21" s="113"/>
      <c r="AK21" s="291">
        <v>19</v>
      </c>
      <c r="AL21" s="171">
        <v>3</v>
      </c>
      <c r="AM21" s="280">
        <f t="shared" si="0"/>
        <v>22</v>
      </c>
      <c r="AN21" s="281">
        <v>33</v>
      </c>
      <c r="AO21" s="101">
        <f t="shared" si="1"/>
        <v>0.66666666666666663</v>
      </c>
      <c r="AQ21" s="283">
        <f>OVERALL!A17</f>
        <v>14</v>
      </c>
      <c r="AR21" s="283">
        <f>OVERALL!B17</f>
        <v>2301250</v>
      </c>
      <c r="AS21" s="284" t="str">
        <f>OVERALL!C17</f>
        <v>Rahulpreet Singh Khinda</v>
      </c>
      <c r="AT21" s="285">
        <f t="shared" si="2"/>
        <v>33</v>
      </c>
      <c r="AU21" s="285">
        <f t="shared" si="3"/>
        <v>18</v>
      </c>
      <c r="AV21" s="286">
        <f t="shared" si="4"/>
        <v>54.54545454545454</v>
      </c>
      <c r="AW21" s="287" t="str">
        <f t="shared" si="5"/>
        <v>0</v>
      </c>
      <c r="AX21" s="288">
        <v>6</v>
      </c>
      <c r="AY21" s="290">
        <v>4</v>
      </c>
      <c r="AZ21" s="286">
        <f t="shared" si="6"/>
        <v>5</v>
      </c>
      <c r="BA21" s="286">
        <f t="shared" si="7"/>
        <v>15</v>
      </c>
    </row>
    <row r="22" spans="1:53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142"/>
      <c r="E22" s="282"/>
      <c r="F22" s="282"/>
      <c r="G22" s="282"/>
      <c r="H22" s="282"/>
      <c r="I22" s="181" t="s">
        <v>123</v>
      </c>
      <c r="J22" s="182" t="s">
        <v>123</v>
      </c>
      <c r="K22" s="182" t="s">
        <v>123</v>
      </c>
      <c r="L22" s="182" t="s">
        <v>123</v>
      </c>
      <c r="M22" s="182" t="s">
        <v>123</v>
      </c>
      <c r="N22" s="182" t="s">
        <v>123</v>
      </c>
      <c r="O22" s="182" t="s">
        <v>123</v>
      </c>
      <c r="P22" s="182" t="s">
        <v>123</v>
      </c>
      <c r="Q22" s="225" t="s">
        <v>123</v>
      </c>
      <c r="R22" s="225" t="s">
        <v>123</v>
      </c>
      <c r="S22" s="225" t="s">
        <v>123</v>
      </c>
      <c r="T22" s="225" t="s">
        <v>123</v>
      </c>
      <c r="U22" s="225" t="s">
        <v>123</v>
      </c>
      <c r="V22" s="225" t="s">
        <v>123</v>
      </c>
      <c r="W22" s="225" t="s">
        <v>123</v>
      </c>
      <c r="X22" s="225" t="s">
        <v>123</v>
      </c>
      <c r="Y22" s="225"/>
      <c r="Z22" s="225"/>
      <c r="AA22" s="225"/>
      <c r="AB22" s="225"/>
      <c r="AC22" s="225"/>
      <c r="AD22" s="225"/>
      <c r="AE22" s="225"/>
      <c r="AF22" s="234"/>
      <c r="AG22" s="113"/>
      <c r="AH22" s="113"/>
      <c r="AI22" s="113"/>
      <c r="AJ22" s="113"/>
      <c r="AK22" s="291">
        <v>0</v>
      </c>
      <c r="AL22" s="171"/>
      <c r="AM22" s="280">
        <f t="shared" si="0"/>
        <v>0</v>
      </c>
      <c r="AN22" s="281">
        <v>33</v>
      </c>
      <c r="AO22" s="101">
        <f t="shared" si="1"/>
        <v>0</v>
      </c>
      <c r="AQ22" s="283">
        <f>OVERALL!A18</f>
        <v>15</v>
      </c>
      <c r="AR22" s="283">
        <f>OVERALL!B18</f>
        <v>2301251</v>
      </c>
      <c r="AS22" s="284" t="str">
        <f>OVERALL!C18</f>
        <v>Raj Kumar</v>
      </c>
      <c r="AT22" s="285">
        <f t="shared" si="2"/>
        <v>33</v>
      </c>
      <c r="AU22" s="285">
        <f t="shared" si="3"/>
        <v>18</v>
      </c>
      <c r="AV22" s="286">
        <f t="shared" si="4"/>
        <v>54.54545454545454</v>
      </c>
      <c r="AW22" s="287" t="str">
        <f t="shared" si="5"/>
        <v>0</v>
      </c>
      <c r="AX22" s="288">
        <v>7</v>
      </c>
      <c r="AY22" s="290">
        <v>5</v>
      </c>
      <c r="AZ22" s="286">
        <f t="shared" si="6"/>
        <v>4.3157894736842106</v>
      </c>
      <c r="BA22" s="286">
        <f t="shared" si="7"/>
        <v>16</v>
      </c>
    </row>
    <row r="23" spans="1:53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181" t="s">
        <v>123</v>
      </c>
      <c r="E23" s="182" t="s">
        <v>123</v>
      </c>
      <c r="F23" s="182" t="s">
        <v>123</v>
      </c>
      <c r="G23" s="182" t="s">
        <v>124</v>
      </c>
      <c r="H23" s="182" t="s">
        <v>124</v>
      </c>
      <c r="I23" s="181" t="s">
        <v>124</v>
      </c>
      <c r="J23" s="182" t="s">
        <v>124</v>
      </c>
      <c r="K23" s="182" t="s">
        <v>124</v>
      </c>
      <c r="L23" s="182" t="s">
        <v>124</v>
      </c>
      <c r="M23" s="182" t="s">
        <v>124</v>
      </c>
      <c r="N23" s="182" t="s">
        <v>124</v>
      </c>
      <c r="O23" s="182" t="s">
        <v>124</v>
      </c>
      <c r="P23" s="182" t="s">
        <v>124</v>
      </c>
      <c r="Q23" s="225" t="s">
        <v>124</v>
      </c>
      <c r="R23" s="225" t="s">
        <v>124</v>
      </c>
      <c r="S23" s="225" t="s">
        <v>124</v>
      </c>
      <c r="T23" s="225" t="s">
        <v>124</v>
      </c>
      <c r="U23" s="225" t="s">
        <v>124</v>
      </c>
      <c r="V23" s="225" t="s">
        <v>123</v>
      </c>
      <c r="W23" s="225" t="s">
        <v>124</v>
      </c>
      <c r="X23" s="225" t="s">
        <v>123</v>
      </c>
      <c r="Y23" s="225"/>
      <c r="Z23" s="225"/>
      <c r="AA23" s="225"/>
      <c r="AB23" s="225"/>
      <c r="AC23" s="225"/>
      <c r="AD23" s="225"/>
      <c r="AE23" s="225"/>
      <c r="AF23" s="234"/>
      <c r="AG23" s="113"/>
      <c r="AH23" s="113"/>
      <c r="AI23" s="113"/>
      <c r="AJ23" s="113"/>
      <c r="AK23" s="291">
        <v>29</v>
      </c>
      <c r="AL23" s="171"/>
      <c r="AM23" s="280">
        <f t="shared" si="0"/>
        <v>29</v>
      </c>
      <c r="AN23" s="281">
        <v>33</v>
      </c>
      <c r="AO23" s="101">
        <f t="shared" si="1"/>
        <v>0.87878787878787878</v>
      </c>
      <c r="AQ23" s="283">
        <f>OVERALL!A19</f>
        <v>16</v>
      </c>
      <c r="AR23" s="283">
        <f>OVERALL!B19</f>
        <v>2301252</v>
      </c>
      <c r="AS23" s="284" t="str">
        <f>OVERALL!C19</f>
        <v>Rajan Sharma</v>
      </c>
      <c r="AT23" s="285">
        <f t="shared" si="2"/>
        <v>33</v>
      </c>
      <c r="AU23" s="285">
        <f t="shared" si="3"/>
        <v>22</v>
      </c>
      <c r="AV23" s="286">
        <f t="shared" si="4"/>
        <v>66.666666666666657</v>
      </c>
      <c r="AW23" s="287" t="str">
        <f t="shared" si="5"/>
        <v>0</v>
      </c>
      <c r="AX23" s="288">
        <v>5</v>
      </c>
      <c r="AY23" s="290">
        <v>5</v>
      </c>
      <c r="AZ23" s="286">
        <f t="shared" si="6"/>
        <v>6.4210526315789478</v>
      </c>
      <c r="BA23" s="286">
        <f t="shared" si="7"/>
        <v>16</v>
      </c>
    </row>
    <row r="24" spans="1:53" ht="15.7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81" t="s">
        <v>123</v>
      </c>
      <c r="E24" s="182" t="s">
        <v>124</v>
      </c>
      <c r="F24" s="182" t="s">
        <v>124</v>
      </c>
      <c r="G24" s="182" t="s">
        <v>124</v>
      </c>
      <c r="H24" s="182" t="s">
        <v>124</v>
      </c>
      <c r="I24" s="181" t="s">
        <v>124</v>
      </c>
      <c r="J24" s="182" t="s">
        <v>124</v>
      </c>
      <c r="K24" s="182" t="s">
        <v>124</v>
      </c>
      <c r="L24" s="182" t="s">
        <v>123</v>
      </c>
      <c r="M24" s="182" t="s">
        <v>123</v>
      </c>
      <c r="N24" s="182" t="s">
        <v>123</v>
      </c>
      <c r="O24" s="182" t="s">
        <v>123</v>
      </c>
      <c r="P24" s="182" t="s">
        <v>124</v>
      </c>
      <c r="Q24" s="225" t="s">
        <v>124</v>
      </c>
      <c r="R24" s="225" t="s">
        <v>123</v>
      </c>
      <c r="S24" s="225" t="s">
        <v>124</v>
      </c>
      <c r="T24" s="225" t="s">
        <v>124</v>
      </c>
      <c r="U24" s="225" t="s">
        <v>123</v>
      </c>
      <c r="V24" s="225" t="s">
        <v>124</v>
      </c>
      <c r="W24" s="225" t="s">
        <v>123</v>
      </c>
      <c r="X24" s="225" t="s">
        <v>123</v>
      </c>
      <c r="Y24" s="225"/>
      <c r="Z24" s="225"/>
      <c r="AA24" s="225"/>
      <c r="AB24" s="225"/>
      <c r="AC24" s="225"/>
      <c r="AD24" s="225"/>
      <c r="AE24" s="225"/>
      <c r="AF24" s="234"/>
      <c r="AG24" s="113"/>
      <c r="AH24" s="113"/>
      <c r="AI24" s="113"/>
      <c r="AJ24" s="113"/>
      <c r="AK24" s="291">
        <v>21</v>
      </c>
      <c r="AL24" s="171">
        <v>4</v>
      </c>
      <c r="AM24" s="280">
        <f t="shared" si="0"/>
        <v>25</v>
      </c>
      <c r="AN24" s="281">
        <v>33</v>
      </c>
      <c r="AO24" s="101">
        <f t="shared" si="1"/>
        <v>0.75757575757575757</v>
      </c>
      <c r="AQ24" s="283">
        <f>OVERALL!A20</f>
        <v>17</v>
      </c>
      <c r="AR24" s="283">
        <f>OVERALL!B20</f>
        <v>2301253</v>
      </c>
      <c r="AS24" s="284" t="str">
        <f>OVERALL!C20</f>
        <v>Rajwinder Kaur</v>
      </c>
      <c r="AT24" s="285">
        <f t="shared" si="2"/>
        <v>33</v>
      </c>
      <c r="AU24" s="285">
        <f t="shared" si="3"/>
        <v>22</v>
      </c>
      <c r="AV24" s="286">
        <f t="shared" si="4"/>
        <v>66.666666666666657</v>
      </c>
      <c r="AW24" s="287" t="str">
        <f t="shared" si="5"/>
        <v>0</v>
      </c>
      <c r="AX24" s="288">
        <v>6</v>
      </c>
      <c r="AY24" s="290">
        <v>5</v>
      </c>
      <c r="AZ24" s="286">
        <f t="shared" si="6"/>
        <v>3.7894736842105261</v>
      </c>
      <c r="BA24" s="286">
        <f t="shared" si="7"/>
        <v>15</v>
      </c>
    </row>
    <row r="25" spans="1:53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181" t="s">
        <v>123</v>
      </c>
      <c r="E25" s="182" t="s">
        <v>123</v>
      </c>
      <c r="F25" s="182" t="s">
        <v>123</v>
      </c>
      <c r="G25" s="182" t="s">
        <v>123</v>
      </c>
      <c r="H25" s="182" t="s">
        <v>123</v>
      </c>
      <c r="I25" s="181" t="s">
        <v>124</v>
      </c>
      <c r="J25" s="182" t="s">
        <v>124</v>
      </c>
      <c r="K25" s="182" t="s">
        <v>123</v>
      </c>
      <c r="L25" s="182" t="s">
        <v>124</v>
      </c>
      <c r="M25" s="182" t="s">
        <v>123</v>
      </c>
      <c r="N25" s="182" t="s">
        <v>124</v>
      </c>
      <c r="O25" s="182" t="s">
        <v>124</v>
      </c>
      <c r="P25" s="182" t="s">
        <v>124</v>
      </c>
      <c r="Q25" s="225" t="s">
        <v>124</v>
      </c>
      <c r="R25" s="225" t="s">
        <v>123</v>
      </c>
      <c r="S25" s="225" t="s">
        <v>124</v>
      </c>
      <c r="T25" s="225" t="s">
        <v>123</v>
      </c>
      <c r="U25" s="225" t="s">
        <v>124</v>
      </c>
      <c r="V25" s="225" t="s">
        <v>123</v>
      </c>
      <c r="W25" s="225" t="s">
        <v>123</v>
      </c>
      <c r="X25" s="225" t="s">
        <v>124</v>
      </c>
      <c r="Y25" s="225"/>
      <c r="Z25" s="225"/>
      <c r="AA25" s="225"/>
      <c r="AB25" s="225"/>
      <c r="AC25" s="225"/>
      <c r="AD25" s="225"/>
      <c r="AE25" s="225"/>
      <c r="AF25" s="234"/>
      <c r="AG25" s="113"/>
      <c r="AH25" s="113"/>
      <c r="AI25" s="113"/>
      <c r="AJ25" s="113"/>
      <c r="AK25" s="291">
        <v>17</v>
      </c>
      <c r="AL25" s="171">
        <v>6</v>
      </c>
      <c r="AM25" s="280">
        <f t="shared" si="0"/>
        <v>23</v>
      </c>
      <c r="AN25" s="281">
        <v>33</v>
      </c>
      <c r="AO25" s="101">
        <f t="shared" si="1"/>
        <v>0.69696969696969702</v>
      </c>
      <c r="AQ25" s="283">
        <f>OVERALL!A21</f>
        <v>18</v>
      </c>
      <c r="AR25" s="283">
        <f>OVERALL!B21</f>
        <v>2301254</v>
      </c>
      <c r="AS25" s="284" t="str">
        <f>OVERALL!C21</f>
        <v>RANJIT SHAH KANU</v>
      </c>
      <c r="AT25" s="285">
        <f t="shared" si="2"/>
        <v>33</v>
      </c>
      <c r="AU25" s="285">
        <f t="shared" si="3"/>
        <v>0</v>
      </c>
      <c r="AV25" s="286">
        <f t="shared" si="4"/>
        <v>0</v>
      </c>
      <c r="AW25" s="287" t="str">
        <f t="shared" si="5"/>
        <v>0</v>
      </c>
      <c r="AX25" s="288">
        <v>0</v>
      </c>
      <c r="AY25" s="290">
        <v>0</v>
      </c>
      <c r="AZ25" s="286">
        <f t="shared" si="6"/>
        <v>0</v>
      </c>
      <c r="BA25" s="286">
        <f t="shared" si="7"/>
        <v>0</v>
      </c>
    </row>
    <row r="26" spans="1:53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181" t="s">
        <v>124</v>
      </c>
      <c r="E26" s="182" t="s">
        <v>124</v>
      </c>
      <c r="F26" s="182" t="s">
        <v>123</v>
      </c>
      <c r="G26" s="182" t="s">
        <v>124</v>
      </c>
      <c r="H26" s="182" t="s">
        <v>124</v>
      </c>
      <c r="I26" s="181" t="s">
        <v>123</v>
      </c>
      <c r="J26" s="182" t="s">
        <v>124</v>
      </c>
      <c r="K26" s="182" t="s">
        <v>123</v>
      </c>
      <c r="L26" s="182" t="s">
        <v>123</v>
      </c>
      <c r="M26" s="182" t="s">
        <v>123</v>
      </c>
      <c r="N26" s="182" t="s">
        <v>123</v>
      </c>
      <c r="O26" s="182" t="s">
        <v>123</v>
      </c>
      <c r="P26" s="182" t="s">
        <v>123</v>
      </c>
      <c r="Q26" s="225" t="s">
        <v>123</v>
      </c>
      <c r="R26" s="225" t="s">
        <v>123</v>
      </c>
      <c r="S26" s="225" t="s">
        <v>123</v>
      </c>
      <c r="T26" s="225" t="s">
        <v>123</v>
      </c>
      <c r="U26" s="225" t="s">
        <v>123</v>
      </c>
      <c r="V26" s="225" t="s">
        <v>123</v>
      </c>
      <c r="W26" s="225" t="s">
        <v>123</v>
      </c>
      <c r="X26" s="225" t="s">
        <v>124</v>
      </c>
      <c r="Y26" s="225"/>
      <c r="Z26" s="225"/>
      <c r="AA26" s="225"/>
      <c r="AB26" s="225"/>
      <c r="AC26" s="225"/>
      <c r="AD26" s="225"/>
      <c r="AE26" s="225"/>
      <c r="AF26" s="234"/>
      <c r="AG26" s="113"/>
      <c r="AH26" s="113"/>
      <c r="AI26" s="113"/>
      <c r="AJ26" s="113"/>
      <c r="AK26" s="291">
        <v>6</v>
      </c>
      <c r="AL26" s="171">
        <v>4</v>
      </c>
      <c r="AM26" s="280">
        <f t="shared" si="0"/>
        <v>10</v>
      </c>
      <c r="AN26" s="281">
        <v>33</v>
      </c>
      <c r="AO26" s="101">
        <f t="shared" si="1"/>
        <v>0.30303030303030304</v>
      </c>
      <c r="AQ26" s="283">
        <f>OVERALL!A22</f>
        <v>19</v>
      </c>
      <c r="AR26" s="283">
        <f>OVERALL!B22</f>
        <v>2301255</v>
      </c>
      <c r="AS26" s="284" t="str">
        <f>OVERALL!C22</f>
        <v>Ravi Bhushan Kumar</v>
      </c>
      <c r="AT26" s="285">
        <f t="shared" si="2"/>
        <v>33</v>
      </c>
      <c r="AU26" s="285">
        <f t="shared" si="3"/>
        <v>29</v>
      </c>
      <c r="AV26" s="286">
        <f t="shared" si="4"/>
        <v>87.878787878787875</v>
      </c>
      <c r="AW26" s="287" t="str">
        <f t="shared" si="5"/>
        <v>4</v>
      </c>
      <c r="AX26" s="288">
        <v>7</v>
      </c>
      <c r="AY26" s="290">
        <v>6</v>
      </c>
      <c r="AZ26" s="286">
        <f t="shared" si="6"/>
        <v>7.5789473684210522</v>
      </c>
      <c r="BA26" s="286">
        <f t="shared" si="7"/>
        <v>25</v>
      </c>
    </row>
    <row r="27" spans="1:53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181" t="s">
        <v>123</v>
      </c>
      <c r="E27" s="182" t="s">
        <v>124</v>
      </c>
      <c r="F27" s="182" t="s">
        <v>124</v>
      </c>
      <c r="G27" s="182" t="s">
        <v>124</v>
      </c>
      <c r="H27" s="182" t="s">
        <v>124</v>
      </c>
      <c r="I27" s="181" t="s">
        <v>124</v>
      </c>
      <c r="J27" s="182" t="s">
        <v>124</v>
      </c>
      <c r="K27" s="182" t="s">
        <v>124</v>
      </c>
      <c r="L27" s="182" t="s">
        <v>124</v>
      </c>
      <c r="M27" s="182" t="s">
        <v>124</v>
      </c>
      <c r="N27" s="182" t="s">
        <v>124</v>
      </c>
      <c r="O27" s="182" t="s">
        <v>124</v>
      </c>
      <c r="P27" s="182" t="s">
        <v>124</v>
      </c>
      <c r="Q27" s="225" t="s">
        <v>124</v>
      </c>
      <c r="R27" s="225" t="s">
        <v>123</v>
      </c>
      <c r="S27" s="225" t="s">
        <v>124</v>
      </c>
      <c r="T27" s="225" t="s">
        <v>124</v>
      </c>
      <c r="U27" s="225" t="s">
        <v>124</v>
      </c>
      <c r="V27" s="225" t="s">
        <v>124</v>
      </c>
      <c r="W27" s="225" t="s">
        <v>124</v>
      </c>
      <c r="X27" s="225" t="s">
        <v>123</v>
      </c>
      <c r="Y27" s="225"/>
      <c r="Z27" s="225"/>
      <c r="AA27" s="225"/>
      <c r="AB27" s="225"/>
      <c r="AC27" s="225"/>
      <c r="AD27" s="225"/>
      <c r="AE27" s="225"/>
      <c r="AF27" s="234"/>
      <c r="AG27" s="113"/>
      <c r="AH27" s="113"/>
      <c r="AI27" s="113"/>
      <c r="AJ27" s="113"/>
      <c r="AK27" s="291">
        <v>23</v>
      </c>
      <c r="AL27" s="171"/>
      <c r="AM27" s="280">
        <f t="shared" si="0"/>
        <v>23</v>
      </c>
      <c r="AN27" s="281">
        <v>33</v>
      </c>
      <c r="AO27" s="101">
        <f t="shared" si="1"/>
        <v>0.69696969696969702</v>
      </c>
      <c r="AQ27" s="283">
        <f>OVERALL!A23</f>
        <v>20</v>
      </c>
      <c r="AR27" s="283">
        <f>OVERALL!B23</f>
        <v>2301256</v>
      </c>
      <c r="AS27" s="284" t="str">
        <f>OVERALL!C23</f>
        <v>Reshma</v>
      </c>
      <c r="AT27" s="285">
        <f t="shared" si="2"/>
        <v>33</v>
      </c>
      <c r="AU27" s="285">
        <f t="shared" si="3"/>
        <v>25</v>
      </c>
      <c r="AV27" s="286">
        <f t="shared" si="4"/>
        <v>75.757575757575751</v>
      </c>
      <c r="AW27" s="287" t="str">
        <f t="shared" si="5"/>
        <v>2</v>
      </c>
      <c r="AX27" s="288">
        <v>7</v>
      </c>
      <c r="AY27" s="290">
        <v>6</v>
      </c>
      <c r="AZ27" s="286">
        <f t="shared" si="6"/>
        <v>4.5789473684210522</v>
      </c>
      <c r="BA27" s="286">
        <f t="shared" si="7"/>
        <v>20</v>
      </c>
    </row>
    <row r="28" spans="1:53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181" t="s">
        <v>124</v>
      </c>
      <c r="E28" s="182" t="s">
        <v>123</v>
      </c>
      <c r="F28" s="182" t="s">
        <v>123</v>
      </c>
      <c r="G28" s="182" t="s">
        <v>123</v>
      </c>
      <c r="H28" s="182" t="s">
        <v>123</v>
      </c>
      <c r="I28" s="181" t="s">
        <v>124</v>
      </c>
      <c r="J28" s="182" t="s">
        <v>124</v>
      </c>
      <c r="K28" s="182" t="s">
        <v>124</v>
      </c>
      <c r="L28" s="182" t="s">
        <v>124</v>
      </c>
      <c r="M28" s="182" t="s">
        <v>124</v>
      </c>
      <c r="N28" s="182" t="s">
        <v>123</v>
      </c>
      <c r="O28" s="182" t="s">
        <v>124</v>
      </c>
      <c r="P28" s="182" t="s">
        <v>124</v>
      </c>
      <c r="Q28" s="225" t="s">
        <v>124</v>
      </c>
      <c r="R28" s="225" t="s">
        <v>124</v>
      </c>
      <c r="S28" s="225" t="s">
        <v>124</v>
      </c>
      <c r="T28" s="225" t="s">
        <v>124</v>
      </c>
      <c r="U28" s="225" t="s">
        <v>124</v>
      </c>
      <c r="V28" s="225" t="s">
        <v>123</v>
      </c>
      <c r="W28" s="225" t="s">
        <v>124</v>
      </c>
      <c r="X28" s="225" t="s">
        <v>124</v>
      </c>
      <c r="Y28" s="225"/>
      <c r="Z28" s="225"/>
      <c r="AA28" s="225"/>
      <c r="AB28" s="225"/>
      <c r="AC28" s="225"/>
      <c r="AD28" s="225"/>
      <c r="AE28" s="225"/>
      <c r="AF28" s="234"/>
      <c r="AG28" s="113"/>
      <c r="AH28" s="113"/>
      <c r="AI28" s="113"/>
      <c r="AJ28" s="113"/>
      <c r="AK28" s="291">
        <v>25</v>
      </c>
      <c r="AL28" s="171">
        <v>1</v>
      </c>
      <c r="AM28" s="280">
        <f t="shared" si="0"/>
        <v>26</v>
      </c>
      <c r="AN28" s="281">
        <v>33</v>
      </c>
      <c r="AO28" s="101">
        <f t="shared" si="1"/>
        <v>0.78787878787878785</v>
      </c>
      <c r="AQ28" s="283">
        <f>OVERALL!A24</f>
        <v>21</v>
      </c>
      <c r="AR28" s="283">
        <f>OVERALL!B24</f>
        <v>2301257</v>
      </c>
      <c r="AS28" s="284" t="str">
        <f>OVERALL!C24</f>
        <v>Ritesh Kumar Choudhary</v>
      </c>
      <c r="AT28" s="285">
        <f t="shared" si="2"/>
        <v>33</v>
      </c>
      <c r="AU28" s="285">
        <f t="shared" si="3"/>
        <v>23</v>
      </c>
      <c r="AV28" s="286">
        <f t="shared" si="4"/>
        <v>69.696969696969703</v>
      </c>
      <c r="AW28" s="287" t="str">
        <f t="shared" si="5"/>
        <v>0</v>
      </c>
      <c r="AX28" s="288">
        <v>6</v>
      </c>
      <c r="AY28" s="290">
        <v>5</v>
      </c>
      <c r="AZ28" s="286">
        <f t="shared" si="6"/>
        <v>4.4210526315789478</v>
      </c>
      <c r="BA28" s="286">
        <f t="shared" si="7"/>
        <v>15</v>
      </c>
    </row>
    <row r="29" spans="1:53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181" t="s">
        <v>124</v>
      </c>
      <c r="E29" s="182" t="s">
        <v>123</v>
      </c>
      <c r="F29" s="182" t="s">
        <v>123</v>
      </c>
      <c r="G29" s="182" t="s">
        <v>124</v>
      </c>
      <c r="H29" s="182" t="s">
        <v>124</v>
      </c>
      <c r="I29" s="181" t="s">
        <v>123</v>
      </c>
      <c r="J29" s="182" t="s">
        <v>124</v>
      </c>
      <c r="K29" s="182" t="s">
        <v>123</v>
      </c>
      <c r="L29" s="182" t="s">
        <v>123</v>
      </c>
      <c r="M29" s="182" t="s">
        <v>123</v>
      </c>
      <c r="N29" s="182" t="s">
        <v>123</v>
      </c>
      <c r="O29" s="182" t="s">
        <v>124</v>
      </c>
      <c r="P29" s="182" t="s">
        <v>124</v>
      </c>
      <c r="Q29" s="225" t="s">
        <v>124</v>
      </c>
      <c r="R29" s="225" t="s">
        <v>124</v>
      </c>
      <c r="S29" s="225" t="s">
        <v>123</v>
      </c>
      <c r="T29" s="225" t="s">
        <v>123</v>
      </c>
      <c r="U29" s="225" t="s">
        <v>124</v>
      </c>
      <c r="V29" s="225" t="s">
        <v>124</v>
      </c>
      <c r="W29" s="225" t="s">
        <v>123</v>
      </c>
      <c r="X29" s="225" t="s">
        <v>124</v>
      </c>
      <c r="Y29" s="225"/>
      <c r="Z29" s="225"/>
      <c r="AA29" s="225"/>
      <c r="AB29" s="225"/>
      <c r="AC29" s="225"/>
      <c r="AD29" s="225"/>
      <c r="AE29" s="225"/>
      <c r="AF29" s="234"/>
      <c r="AG29" s="113"/>
      <c r="AH29" s="113"/>
      <c r="AI29" s="113"/>
      <c r="AJ29" s="113"/>
      <c r="AK29" s="146">
        <v>17</v>
      </c>
      <c r="AL29" s="181">
        <v>3</v>
      </c>
      <c r="AM29" s="280">
        <f t="shared" si="0"/>
        <v>20</v>
      </c>
      <c r="AN29" s="281">
        <v>33</v>
      </c>
      <c r="AO29" s="101">
        <f t="shared" si="1"/>
        <v>0.60606060606060608</v>
      </c>
      <c r="AQ29" s="283">
        <f>OVERALL!A25</f>
        <v>22</v>
      </c>
      <c r="AR29" s="283">
        <f>OVERALL!B25</f>
        <v>2301258</v>
      </c>
      <c r="AS29" s="284" t="str">
        <f>OVERALL!C25</f>
        <v>Ritesh Thakur</v>
      </c>
      <c r="AT29" s="285">
        <f t="shared" si="2"/>
        <v>33</v>
      </c>
      <c r="AU29" s="285">
        <f t="shared" si="3"/>
        <v>10</v>
      </c>
      <c r="AV29" s="286">
        <f t="shared" si="4"/>
        <v>30.303030303030305</v>
      </c>
      <c r="AW29" s="287" t="str">
        <f t="shared" si="5"/>
        <v>0</v>
      </c>
      <c r="AX29" s="288">
        <v>0</v>
      </c>
      <c r="AY29" s="290">
        <v>0</v>
      </c>
      <c r="AZ29" s="286">
        <f t="shared" si="6"/>
        <v>2.1578947368421053</v>
      </c>
      <c r="BA29" s="286">
        <f t="shared" si="7"/>
        <v>2</v>
      </c>
    </row>
    <row r="30" spans="1:53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181" t="s">
        <v>124</v>
      </c>
      <c r="E30" s="182" t="s">
        <v>123</v>
      </c>
      <c r="F30" s="182" t="s">
        <v>124</v>
      </c>
      <c r="G30" s="182" t="s">
        <v>124</v>
      </c>
      <c r="H30" s="182" t="s">
        <v>124</v>
      </c>
      <c r="I30" s="181" t="s">
        <v>124</v>
      </c>
      <c r="J30" s="182" t="s">
        <v>124</v>
      </c>
      <c r="K30" s="182" t="s">
        <v>124</v>
      </c>
      <c r="L30" s="182" t="s">
        <v>124</v>
      </c>
      <c r="M30" s="182" t="s">
        <v>123</v>
      </c>
      <c r="N30" s="182" t="s">
        <v>124</v>
      </c>
      <c r="O30" s="182" t="s">
        <v>124</v>
      </c>
      <c r="P30" s="182" t="s">
        <v>124</v>
      </c>
      <c r="Q30" s="225" t="s">
        <v>124</v>
      </c>
      <c r="R30" s="225" t="s">
        <v>124</v>
      </c>
      <c r="S30" s="225" t="s">
        <v>124</v>
      </c>
      <c r="T30" s="225" t="s">
        <v>124</v>
      </c>
      <c r="U30" s="225" t="s">
        <v>124</v>
      </c>
      <c r="V30" s="225" t="s">
        <v>124</v>
      </c>
      <c r="W30" s="225" t="s">
        <v>124</v>
      </c>
      <c r="X30" s="225" t="s">
        <v>124</v>
      </c>
      <c r="Y30" s="225"/>
      <c r="Z30" s="225"/>
      <c r="AA30" s="225"/>
      <c r="AB30" s="225"/>
      <c r="AC30" s="225"/>
      <c r="AD30" s="225"/>
      <c r="AE30" s="225"/>
      <c r="AF30" s="234"/>
      <c r="AG30" s="113"/>
      <c r="AH30" s="113"/>
      <c r="AI30" s="113"/>
      <c r="AJ30" s="113"/>
      <c r="AK30" s="146">
        <v>25</v>
      </c>
      <c r="AL30" s="181"/>
      <c r="AM30" s="280">
        <f t="shared" si="0"/>
        <v>25</v>
      </c>
      <c r="AN30" s="281">
        <v>33</v>
      </c>
      <c r="AO30" s="101">
        <f t="shared" si="1"/>
        <v>0.75757575757575757</v>
      </c>
      <c r="AQ30" s="283">
        <f>OVERALL!A26</f>
        <v>23</v>
      </c>
      <c r="AR30" s="283">
        <f>OVERALL!B26</f>
        <v>2301259</v>
      </c>
      <c r="AS30" s="284" t="str">
        <f>OVERALL!C26</f>
        <v>Riya Thakur</v>
      </c>
      <c r="AT30" s="285">
        <f t="shared" si="2"/>
        <v>33</v>
      </c>
      <c r="AU30" s="285">
        <f t="shared" si="3"/>
        <v>23</v>
      </c>
      <c r="AV30" s="286">
        <f t="shared" si="4"/>
        <v>69.696969696969703</v>
      </c>
      <c r="AW30" s="287" t="str">
        <f t="shared" si="5"/>
        <v>0</v>
      </c>
      <c r="AX30" s="288">
        <v>6</v>
      </c>
      <c r="AY30" s="290">
        <v>6</v>
      </c>
      <c r="AZ30" s="286">
        <f t="shared" si="6"/>
        <v>6.4736842105263159</v>
      </c>
      <c r="BA30" s="286">
        <f t="shared" si="7"/>
        <v>18</v>
      </c>
    </row>
    <row r="31" spans="1:53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181" t="s">
        <v>124</v>
      </c>
      <c r="E31" s="182" t="s">
        <v>124</v>
      </c>
      <c r="F31" s="182" t="s">
        <v>124</v>
      </c>
      <c r="G31" s="182" t="s">
        <v>124</v>
      </c>
      <c r="H31" s="182" t="s">
        <v>124</v>
      </c>
      <c r="I31" s="181" t="s">
        <v>124</v>
      </c>
      <c r="J31" s="182" t="s">
        <v>124</v>
      </c>
      <c r="K31" s="182" t="s">
        <v>124</v>
      </c>
      <c r="L31" s="182" t="s">
        <v>124</v>
      </c>
      <c r="M31" s="182" t="s">
        <v>124</v>
      </c>
      <c r="N31" s="182" t="s">
        <v>124</v>
      </c>
      <c r="O31" s="182" t="s">
        <v>124</v>
      </c>
      <c r="P31" s="182" t="s">
        <v>124</v>
      </c>
      <c r="Q31" s="225" t="s">
        <v>124</v>
      </c>
      <c r="R31" s="225" t="s">
        <v>124</v>
      </c>
      <c r="S31" s="225" t="s">
        <v>123</v>
      </c>
      <c r="T31" s="225" t="s">
        <v>124</v>
      </c>
      <c r="U31" s="225" t="s">
        <v>124</v>
      </c>
      <c r="V31" s="225" t="s">
        <v>124</v>
      </c>
      <c r="W31" s="225" t="s">
        <v>124</v>
      </c>
      <c r="X31" s="225" t="s">
        <v>124</v>
      </c>
      <c r="Y31" s="225"/>
      <c r="Z31" s="225"/>
      <c r="AA31" s="225"/>
      <c r="AB31" s="225"/>
      <c r="AC31" s="225"/>
      <c r="AD31" s="225"/>
      <c r="AE31" s="225"/>
      <c r="AF31" s="234"/>
      <c r="AG31" s="113"/>
      <c r="AH31" s="113"/>
      <c r="AI31" s="113"/>
      <c r="AJ31" s="113"/>
      <c r="AK31" s="291">
        <v>31</v>
      </c>
      <c r="AL31" s="171"/>
      <c r="AM31" s="280">
        <f t="shared" si="0"/>
        <v>31</v>
      </c>
      <c r="AN31" s="281">
        <v>33</v>
      </c>
      <c r="AO31" s="101">
        <f t="shared" si="1"/>
        <v>0.93939393939393945</v>
      </c>
      <c r="AQ31" s="283">
        <f>OVERALL!A27</f>
        <v>24</v>
      </c>
      <c r="AR31" s="283">
        <f>OVERALL!B27</f>
        <v>2301260</v>
      </c>
      <c r="AS31" s="284" t="str">
        <f>OVERALL!C27</f>
        <v>Rounit Dhiman</v>
      </c>
      <c r="AT31" s="285">
        <f t="shared" si="2"/>
        <v>33</v>
      </c>
      <c r="AU31" s="285">
        <f t="shared" si="3"/>
        <v>26</v>
      </c>
      <c r="AV31" s="286">
        <f t="shared" si="4"/>
        <v>78.787878787878782</v>
      </c>
      <c r="AW31" s="287" t="str">
        <f t="shared" si="5"/>
        <v>2</v>
      </c>
      <c r="AX31" s="288">
        <v>7</v>
      </c>
      <c r="AY31" s="290">
        <v>6</v>
      </c>
      <c r="AZ31" s="286">
        <f t="shared" si="6"/>
        <v>5.7894736842105265</v>
      </c>
      <c r="BA31" s="286">
        <f t="shared" si="7"/>
        <v>21</v>
      </c>
    </row>
    <row r="32" spans="1:53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181" t="s">
        <v>123</v>
      </c>
      <c r="E32" s="182" t="s">
        <v>123</v>
      </c>
      <c r="F32" s="182" t="s">
        <v>123</v>
      </c>
      <c r="G32" s="182" t="s">
        <v>124</v>
      </c>
      <c r="H32" s="182" t="s">
        <v>124</v>
      </c>
      <c r="I32" s="181" t="s">
        <v>124</v>
      </c>
      <c r="J32" s="182" t="s">
        <v>124</v>
      </c>
      <c r="K32" s="182" t="s">
        <v>124</v>
      </c>
      <c r="L32" s="182" t="s">
        <v>123</v>
      </c>
      <c r="M32" s="182" t="s">
        <v>123</v>
      </c>
      <c r="N32" s="182" t="s">
        <v>123</v>
      </c>
      <c r="O32" s="182" t="s">
        <v>123</v>
      </c>
      <c r="P32" s="182" t="s">
        <v>123</v>
      </c>
      <c r="Q32" s="225" t="s">
        <v>123</v>
      </c>
      <c r="R32" s="225" t="s">
        <v>123</v>
      </c>
      <c r="S32" s="225" t="s">
        <v>124</v>
      </c>
      <c r="T32" s="225" t="s">
        <v>123</v>
      </c>
      <c r="U32" s="225" t="s">
        <v>123</v>
      </c>
      <c r="V32" s="225" t="s">
        <v>124</v>
      </c>
      <c r="W32" s="225" t="s">
        <v>124</v>
      </c>
      <c r="X32" s="225" t="s">
        <v>123</v>
      </c>
      <c r="Y32" s="225"/>
      <c r="Z32" s="225"/>
      <c r="AA32" s="225"/>
      <c r="AB32" s="225"/>
      <c r="AC32" s="225"/>
      <c r="AD32" s="225"/>
      <c r="AE32" s="225"/>
      <c r="AF32" s="234"/>
      <c r="AG32" s="113"/>
      <c r="AH32" s="113"/>
      <c r="AI32" s="113"/>
      <c r="AJ32" s="113"/>
      <c r="AK32" s="291">
        <v>10</v>
      </c>
      <c r="AL32" s="171"/>
      <c r="AM32" s="280">
        <f t="shared" si="0"/>
        <v>10</v>
      </c>
      <c r="AN32" s="281">
        <v>33</v>
      </c>
      <c r="AO32" s="101">
        <f t="shared" si="1"/>
        <v>0.30303030303030304</v>
      </c>
      <c r="AQ32" s="283">
        <f>OVERALL!A28</f>
        <v>25</v>
      </c>
      <c r="AR32" s="283">
        <f>OVERALL!B28</f>
        <v>2301261</v>
      </c>
      <c r="AS32" s="284" t="str">
        <f>OVERALL!C28</f>
        <v>Rubby Kumari</v>
      </c>
      <c r="AT32" s="285">
        <f t="shared" si="2"/>
        <v>33</v>
      </c>
      <c r="AU32" s="285">
        <f t="shared" si="3"/>
        <v>20</v>
      </c>
      <c r="AV32" s="286">
        <f t="shared" si="4"/>
        <v>60.606060606060609</v>
      </c>
      <c r="AW32" s="287" t="str">
        <f t="shared" si="5"/>
        <v>0</v>
      </c>
      <c r="AX32" s="288">
        <v>5</v>
      </c>
      <c r="AY32" s="290">
        <v>6</v>
      </c>
      <c r="AZ32" s="286">
        <f t="shared" si="6"/>
        <v>4.3684210526315788</v>
      </c>
      <c r="BA32" s="286">
        <f t="shared" si="7"/>
        <v>15</v>
      </c>
    </row>
    <row r="33" spans="1:53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181" t="s">
        <v>123</v>
      </c>
      <c r="E33" s="182" t="s">
        <v>123</v>
      </c>
      <c r="F33" s="182" t="s">
        <v>123</v>
      </c>
      <c r="G33" s="182" t="s">
        <v>124</v>
      </c>
      <c r="H33" s="182" t="s">
        <v>124</v>
      </c>
      <c r="I33" s="181" t="s">
        <v>124</v>
      </c>
      <c r="J33" s="182" t="s">
        <v>124</v>
      </c>
      <c r="K33" s="182" t="s">
        <v>124</v>
      </c>
      <c r="L33" s="182" t="s">
        <v>123</v>
      </c>
      <c r="M33" s="182" t="s">
        <v>124</v>
      </c>
      <c r="N33" s="182" t="s">
        <v>124</v>
      </c>
      <c r="O33" s="182" t="s">
        <v>123</v>
      </c>
      <c r="P33" s="182" t="s">
        <v>124</v>
      </c>
      <c r="Q33" s="225" t="s">
        <v>123</v>
      </c>
      <c r="R33" s="225" t="s">
        <v>123</v>
      </c>
      <c r="S33" s="225" t="s">
        <v>123</v>
      </c>
      <c r="T33" s="225" t="s">
        <v>124</v>
      </c>
      <c r="U33" s="225" t="s">
        <v>123</v>
      </c>
      <c r="V33" s="225" t="s">
        <v>123</v>
      </c>
      <c r="W33" s="225" t="s">
        <v>123</v>
      </c>
      <c r="X33" s="225" t="s">
        <v>123</v>
      </c>
      <c r="Y33" s="225"/>
      <c r="Z33" s="225"/>
      <c r="AA33" s="225"/>
      <c r="AB33" s="225"/>
      <c r="AC33" s="225"/>
      <c r="AD33" s="225"/>
      <c r="AE33" s="225"/>
      <c r="AF33" s="234"/>
      <c r="AG33" s="113"/>
      <c r="AH33" s="113"/>
      <c r="AI33" s="113"/>
      <c r="AJ33" s="113"/>
      <c r="AK33" s="291">
        <v>14</v>
      </c>
      <c r="AL33" s="171">
        <v>1</v>
      </c>
      <c r="AM33" s="280">
        <f t="shared" si="0"/>
        <v>15</v>
      </c>
      <c r="AN33" s="281">
        <v>33</v>
      </c>
      <c r="AO33" s="101">
        <f t="shared" si="1"/>
        <v>0.45454545454545453</v>
      </c>
      <c r="AQ33" s="283">
        <f>OVERALL!A29</f>
        <v>26</v>
      </c>
      <c r="AR33" s="283">
        <f>OVERALL!B29</f>
        <v>2301262</v>
      </c>
      <c r="AS33" s="284" t="str">
        <f>OVERALL!C29</f>
        <v>Sakshi Devi</v>
      </c>
      <c r="AT33" s="285">
        <f t="shared" si="2"/>
        <v>33</v>
      </c>
      <c r="AU33" s="285">
        <f t="shared" si="3"/>
        <v>25</v>
      </c>
      <c r="AV33" s="286">
        <f t="shared" si="4"/>
        <v>75.757575757575751</v>
      </c>
      <c r="AW33" s="287" t="str">
        <f t="shared" si="5"/>
        <v>2</v>
      </c>
      <c r="AX33" s="288">
        <v>6</v>
      </c>
      <c r="AY33" s="290">
        <v>5</v>
      </c>
      <c r="AZ33" s="286">
        <f t="shared" si="6"/>
        <v>6.8421052631578947</v>
      </c>
      <c r="BA33" s="286">
        <f t="shared" si="7"/>
        <v>20</v>
      </c>
    </row>
    <row r="34" spans="1:53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181" t="s">
        <v>123</v>
      </c>
      <c r="E34" s="182" t="s">
        <v>124</v>
      </c>
      <c r="F34" s="182" t="s">
        <v>124</v>
      </c>
      <c r="G34" s="182" t="s">
        <v>124</v>
      </c>
      <c r="H34" s="182" t="s">
        <v>124</v>
      </c>
      <c r="I34" s="181" t="s">
        <v>124</v>
      </c>
      <c r="J34" s="182" t="s">
        <v>124</v>
      </c>
      <c r="K34" s="182" t="s">
        <v>123</v>
      </c>
      <c r="L34" s="182" t="s">
        <v>123</v>
      </c>
      <c r="M34" s="182" t="s">
        <v>124</v>
      </c>
      <c r="N34" s="182" t="s">
        <v>124</v>
      </c>
      <c r="O34" s="182" t="s">
        <v>124</v>
      </c>
      <c r="P34" s="182" t="s">
        <v>124</v>
      </c>
      <c r="Q34" s="225" t="s">
        <v>124</v>
      </c>
      <c r="R34" s="225" t="s">
        <v>124</v>
      </c>
      <c r="S34" s="225" t="s">
        <v>124</v>
      </c>
      <c r="T34" s="225" t="s">
        <v>124</v>
      </c>
      <c r="U34" s="225" t="s">
        <v>124</v>
      </c>
      <c r="V34" s="225" t="s">
        <v>124</v>
      </c>
      <c r="W34" s="225" t="s">
        <v>124</v>
      </c>
      <c r="X34" s="225" t="s">
        <v>124</v>
      </c>
      <c r="Y34" s="225"/>
      <c r="Z34" s="225"/>
      <c r="AA34" s="225"/>
      <c r="AB34" s="225"/>
      <c r="AC34" s="225"/>
      <c r="AD34" s="225"/>
      <c r="AE34" s="225"/>
      <c r="AF34" s="234"/>
      <c r="AG34" s="113"/>
      <c r="AH34" s="113"/>
      <c r="AI34" s="113"/>
      <c r="AJ34" s="113"/>
      <c r="AK34" s="291">
        <v>26</v>
      </c>
      <c r="AL34" s="171"/>
      <c r="AM34" s="280">
        <f t="shared" si="0"/>
        <v>26</v>
      </c>
      <c r="AN34" s="281">
        <v>33</v>
      </c>
      <c r="AO34" s="101">
        <f t="shared" si="1"/>
        <v>0.78787878787878785</v>
      </c>
      <c r="AQ34" s="283">
        <f>OVERALL!A30</f>
        <v>27</v>
      </c>
      <c r="AR34" s="283">
        <f>OVERALL!B30</f>
        <v>2301263</v>
      </c>
      <c r="AS34" s="284" t="str">
        <f>OVERALL!C30</f>
        <v>Sanchi Sharma</v>
      </c>
      <c r="AT34" s="285">
        <f t="shared" si="2"/>
        <v>33</v>
      </c>
      <c r="AU34" s="285">
        <f t="shared" si="3"/>
        <v>31</v>
      </c>
      <c r="AV34" s="286">
        <f t="shared" si="4"/>
        <v>93.939393939393938</v>
      </c>
      <c r="AW34" s="287" t="str">
        <f t="shared" si="5"/>
        <v>5</v>
      </c>
      <c r="AX34" s="288">
        <v>7</v>
      </c>
      <c r="AY34" s="290">
        <v>6</v>
      </c>
      <c r="AZ34" s="286">
        <f t="shared" si="6"/>
        <v>8.473684210526315</v>
      </c>
      <c r="BA34" s="286">
        <f t="shared" si="7"/>
        <v>26</v>
      </c>
    </row>
    <row r="35" spans="1:53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181" t="s">
        <v>123</v>
      </c>
      <c r="E35" s="182" t="s">
        <v>123</v>
      </c>
      <c r="F35" s="182" t="s">
        <v>123</v>
      </c>
      <c r="G35" s="182" t="s">
        <v>124</v>
      </c>
      <c r="H35" s="182" t="s">
        <v>124</v>
      </c>
      <c r="I35" s="181" t="s">
        <v>123</v>
      </c>
      <c r="J35" s="182" t="s">
        <v>124</v>
      </c>
      <c r="K35" s="182" t="s">
        <v>123</v>
      </c>
      <c r="L35" s="182" t="s">
        <v>124</v>
      </c>
      <c r="M35" s="182" t="s">
        <v>124</v>
      </c>
      <c r="N35" s="182" t="s">
        <v>124</v>
      </c>
      <c r="O35" s="182" t="s">
        <v>124</v>
      </c>
      <c r="P35" s="182" t="s">
        <v>123</v>
      </c>
      <c r="Q35" s="225" t="s">
        <v>123</v>
      </c>
      <c r="R35" s="225" t="s">
        <v>123</v>
      </c>
      <c r="S35" s="225" t="s">
        <v>124</v>
      </c>
      <c r="T35" s="225" t="s">
        <v>124</v>
      </c>
      <c r="U35" s="225" t="s">
        <v>124</v>
      </c>
      <c r="V35" s="225" t="s">
        <v>124</v>
      </c>
      <c r="W35" s="225" t="s">
        <v>124</v>
      </c>
      <c r="X35" s="225" t="s">
        <v>123</v>
      </c>
      <c r="Y35" s="225"/>
      <c r="Z35" s="225"/>
      <c r="AA35" s="225"/>
      <c r="AB35" s="225"/>
      <c r="AC35" s="225"/>
      <c r="AD35" s="225"/>
      <c r="AE35" s="225"/>
      <c r="AF35" s="234"/>
      <c r="AG35" s="113"/>
      <c r="AH35" s="113"/>
      <c r="AI35" s="113"/>
      <c r="AJ35" s="113"/>
      <c r="AK35" s="291">
        <v>20</v>
      </c>
      <c r="AL35" s="171"/>
      <c r="AM35" s="280">
        <f t="shared" si="0"/>
        <v>20</v>
      </c>
      <c r="AN35" s="281">
        <v>33</v>
      </c>
      <c r="AO35" s="101">
        <f t="shared" si="1"/>
        <v>0.60606060606060608</v>
      </c>
      <c r="AQ35" s="283">
        <f>OVERALL!A31</f>
        <v>28</v>
      </c>
      <c r="AR35" s="283">
        <f>OVERALL!B31</f>
        <v>2301264</v>
      </c>
      <c r="AS35" s="284" t="str">
        <f>OVERALL!C31</f>
        <v>Sarbjit Singh</v>
      </c>
      <c r="AT35" s="285">
        <f t="shared" si="2"/>
        <v>33</v>
      </c>
      <c r="AU35" s="285">
        <f t="shared" si="3"/>
        <v>10</v>
      </c>
      <c r="AV35" s="286">
        <f t="shared" si="4"/>
        <v>30.303030303030305</v>
      </c>
      <c r="AW35" s="287" t="str">
        <f t="shared" si="5"/>
        <v>0</v>
      </c>
      <c r="AX35" s="288">
        <v>6</v>
      </c>
      <c r="AY35" s="290">
        <v>0</v>
      </c>
      <c r="AZ35" s="286">
        <f t="shared" si="6"/>
        <v>2.4736842105263159</v>
      </c>
      <c r="BA35" s="286">
        <f t="shared" si="7"/>
        <v>8</v>
      </c>
    </row>
    <row r="36" spans="1:53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181" t="s">
        <v>124</v>
      </c>
      <c r="E36" s="182" t="s">
        <v>124</v>
      </c>
      <c r="F36" s="182" t="s">
        <v>124</v>
      </c>
      <c r="G36" s="182" t="s">
        <v>124</v>
      </c>
      <c r="H36" s="182" t="s">
        <v>124</v>
      </c>
      <c r="I36" s="181" t="s">
        <v>124</v>
      </c>
      <c r="J36" s="182" t="s">
        <v>124</v>
      </c>
      <c r="K36" s="182" t="s">
        <v>124</v>
      </c>
      <c r="L36" s="182" t="s">
        <v>124</v>
      </c>
      <c r="M36" s="182" t="s">
        <v>124</v>
      </c>
      <c r="N36" s="182" t="s">
        <v>124</v>
      </c>
      <c r="O36" s="182" t="s">
        <v>124</v>
      </c>
      <c r="P36" s="182" t="s">
        <v>124</v>
      </c>
      <c r="Q36" s="225" t="s">
        <v>124</v>
      </c>
      <c r="R36" s="225" t="s">
        <v>124</v>
      </c>
      <c r="S36" s="225" t="s">
        <v>124</v>
      </c>
      <c r="T36" s="225" t="s">
        <v>123</v>
      </c>
      <c r="U36" s="225" t="s">
        <v>123</v>
      </c>
      <c r="V36" s="225" t="s">
        <v>124</v>
      </c>
      <c r="W36" s="225" t="s">
        <v>124</v>
      </c>
      <c r="X36" s="225" t="s">
        <v>124</v>
      </c>
      <c r="Y36" s="225"/>
      <c r="Z36" s="225"/>
      <c r="AA36" s="225"/>
      <c r="AB36" s="225"/>
      <c r="AC36" s="225"/>
      <c r="AD36" s="225"/>
      <c r="AE36" s="225"/>
      <c r="AF36" s="234"/>
      <c r="AG36" s="113"/>
      <c r="AH36" s="113"/>
      <c r="AI36" s="113"/>
      <c r="AJ36" s="113"/>
      <c r="AK36" s="291">
        <v>28</v>
      </c>
      <c r="AL36" s="171"/>
      <c r="AM36" s="280">
        <f t="shared" si="0"/>
        <v>28</v>
      </c>
      <c r="AN36" s="281">
        <v>33</v>
      </c>
      <c r="AO36" s="101">
        <f t="shared" si="1"/>
        <v>0.84848484848484851</v>
      </c>
      <c r="AQ36" s="283">
        <f>OVERALL!A32</f>
        <v>29</v>
      </c>
      <c r="AR36" s="283">
        <f>OVERALL!B32</f>
        <v>2301265</v>
      </c>
      <c r="AS36" s="284" t="str">
        <f>OVERALL!C32</f>
        <v>Sarif Mayangmayum</v>
      </c>
      <c r="AT36" s="285">
        <f t="shared" si="2"/>
        <v>33</v>
      </c>
      <c r="AU36" s="285">
        <f t="shared" si="3"/>
        <v>15</v>
      </c>
      <c r="AV36" s="286">
        <f t="shared" si="4"/>
        <v>45.454545454545453</v>
      </c>
      <c r="AW36" s="287" t="str">
        <f t="shared" si="5"/>
        <v>0</v>
      </c>
      <c r="AX36" s="288">
        <v>7</v>
      </c>
      <c r="AY36" s="290">
        <v>5</v>
      </c>
      <c r="AZ36" s="286">
        <f t="shared" si="6"/>
        <v>3.5789473684210527</v>
      </c>
      <c r="BA36" s="286">
        <f t="shared" si="7"/>
        <v>16</v>
      </c>
    </row>
    <row r="37" spans="1:53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181" t="s">
        <v>123</v>
      </c>
      <c r="E37" s="182" t="s">
        <v>124</v>
      </c>
      <c r="F37" s="182" t="s">
        <v>124</v>
      </c>
      <c r="G37" s="182" t="s">
        <v>123</v>
      </c>
      <c r="H37" s="182" t="s">
        <v>123</v>
      </c>
      <c r="I37" s="181" t="s">
        <v>123</v>
      </c>
      <c r="J37" s="182" t="s">
        <v>124</v>
      </c>
      <c r="K37" s="182" t="s">
        <v>124</v>
      </c>
      <c r="L37" s="182" t="s">
        <v>124</v>
      </c>
      <c r="M37" s="182" t="s">
        <v>124</v>
      </c>
      <c r="N37" s="182" t="s">
        <v>124</v>
      </c>
      <c r="O37" s="182" t="s">
        <v>124</v>
      </c>
      <c r="P37" s="182" t="s">
        <v>124</v>
      </c>
      <c r="Q37" s="225" t="s">
        <v>124</v>
      </c>
      <c r="R37" s="225" t="s">
        <v>123</v>
      </c>
      <c r="S37" s="225" t="s">
        <v>124</v>
      </c>
      <c r="T37" s="225" t="s">
        <v>124</v>
      </c>
      <c r="U37" s="225" t="s">
        <v>124</v>
      </c>
      <c r="V37" s="225" t="s">
        <v>124</v>
      </c>
      <c r="W37" s="225" t="s">
        <v>124</v>
      </c>
      <c r="X37" s="225" t="s">
        <v>124</v>
      </c>
      <c r="Y37" s="225"/>
      <c r="Z37" s="225"/>
      <c r="AA37" s="225"/>
      <c r="AB37" s="225"/>
      <c r="AC37" s="225"/>
      <c r="AD37" s="225"/>
      <c r="AE37" s="225"/>
      <c r="AF37" s="234"/>
      <c r="AG37" s="113"/>
      <c r="AH37" s="113"/>
      <c r="AI37" s="113"/>
      <c r="AJ37" s="113"/>
      <c r="AK37" s="291">
        <v>22</v>
      </c>
      <c r="AL37" s="171">
        <v>1</v>
      </c>
      <c r="AM37" s="280">
        <f t="shared" si="0"/>
        <v>23</v>
      </c>
      <c r="AN37" s="281">
        <v>33</v>
      </c>
      <c r="AO37" s="101">
        <f t="shared" si="1"/>
        <v>0.69696969696969702</v>
      </c>
      <c r="AQ37" s="283">
        <f>OVERALL!A33</f>
        <v>30</v>
      </c>
      <c r="AR37" s="283">
        <f>OVERALL!B33</f>
        <v>2301267</v>
      </c>
      <c r="AS37" s="284" t="str">
        <f>OVERALL!C33</f>
        <v>Shivam Kumar Chaubey</v>
      </c>
      <c r="AT37" s="285">
        <f t="shared" si="2"/>
        <v>33</v>
      </c>
      <c r="AU37" s="285">
        <f t="shared" si="3"/>
        <v>26</v>
      </c>
      <c r="AV37" s="286">
        <f t="shared" si="4"/>
        <v>78.787878787878782</v>
      </c>
      <c r="AW37" s="287" t="str">
        <f t="shared" si="5"/>
        <v>2</v>
      </c>
      <c r="AX37" s="288">
        <v>7</v>
      </c>
      <c r="AY37" s="290">
        <v>5</v>
      </c>
      <c r="AZ37" s="286">
        <f t="shared" si="6"/>
        <v>7.4736842105263159</v>
      </c>
      <c r="BA37" s="286">
        <f t="shared" si="7"/>
        <v>21</v>
      </c>
    </row>
    <row r="38" spans="1:53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181" t="s">
        <v>123</v>
      </c>
      <c r="E38" s="182" t="s">
        <v>123</v>
      </c>
      <c r="F38" s="182" t="s">
        <v>123</v>
      </c>
      <c r="G38" s="182" t="s">
        <v>124</v>
      </c>
      <c r="H38" s="182" t="s">
        <v>124</v>
      </c>
      <c r="I38" s="181" t="s">
        <v>124</v>
      </c>
      <c r="J38" s="182" t="s">
        <v>124</v>
      </c>
      <c r="K38" s="182" t="s">
        <v>124</v>
      </c>
      <c r="L38" s="182" t="s">
        <v>124</v>
      </c>
      <c r="M38" s="182" t="s">
        <v>123</v>
      </c>
      <c r="N38" s="182" t="s">
        <v>124</v>
      </c>
      <c r="O38" s="182" t="s">
        <v>123</v>
      </c>
      <c r="P38" s="182" t="s">
        <v>124</v>
      </c>
      <c r="Q38" s="225" t="s">
        <v>124</v>
      </c>
      <c r="R38" s="225" t="s">
        <v>123</v>
      </c>
      <c r="S38" s="225" t="s">
        <v>123</v>
      </c>
      <c r="T38" s="225" t="s">
        <v>124</v>
      </c>
      <c r="U38" s="225" t="s">
        <v>124</v>
      </c>
      <c r="V38" s="225" t="s">
        <v>124</v>
      </c>
      <c r="W38" s="225" t="s">
        <v>124</v>
      </c>
      <c r="X38" s="225" t="s">
        <v>123</v>
      </c>
      <c r="Y38" s="225"/>
      <c r="Z38" s="225"/>
      <c r="AA38" s="225"/>
      <c r="AB38" s="225"/>
      <c r="AC38" s="225"/>
      <c r="AD38" s="225"/>
      <c r="AE38" s="225"/>
      <c r="AF38" s="234"/>
      <c r="AG38" s="113"/>
      <c r="AH38" s="113"/>
      <c r="AI38" s="113"/>
      <c r="AJ38" s="113"/>
      <c r="AK38" s="291">
        <v>23</v>
      </c>
      <c r="AL38" s="171"/>
      <c r="AM38" s="280">
        <f t="shared" si="0"/>
        <v>23</v>
      </c>
      <c r="AN38" s="281">
        <v>33</v>
      </c>
      <c r="AO38" s="101">
        <f t="shared" si="1"/>
        <v>0.69696969696969702</v>
      </c>
      <c r="AQ38" s="283">
        <f>OVERALL!A34</f>
        <v>31</v>
      </c>
      <c r="AR38" s="283">
        <f>OVERALL!B34</f>
        <v>2301268</v>
      </c>
      <c r="AS38" s="284" t="str">
        <f>OVERALL!C34</f>
        <v>Simba Godfrey</v>
      </c>
      <c r="AT38" s="285">
        <f t="shared" si="2"/>
        <v>33</v>
      </c>
      <c r="AU38" s="285">
        <f t="shared" si="3"/>
        <v>20</v>
      </c>
      <c r="AV38" s="286">
        <f t="shared" si="4"/>
        <v>60.606060606060609</v>
      </c>
      <c r="AW38" s="287" t="str">
        <f t="shared" si="5"/>
        <v>0</v>
      </c>
      <c r="AX38" s="288">
        <v>7</v>
      </c>
      <c r="AY38" s="290">
        <v>6</v>
      </c>
      <c r="AZ38" s="286">
        <f t="shared" si="6"/>
        <v>4.4736842105263159</v>
      </c>
      <c r="BA38" s="286">
        <f t="shared" si="7"/>
        <v>17</v>
      </c>
    </row>
    <row r="39" spans="1:53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181" t="s">
        <v>123</v>
      </c>
      <c r="E39" s="182" t="s">
        <v>123</v>
      </c>
      <c r="F39" s="182" t="s">
        <v>123</v>
      </c>
      <c r="G39" s="182" t="s">
        <v>123</v>
      </c>
      <c r="H39" s="182" t="s">
        <v>123</v>
      </c>
      <c r="I39" s="181" t="s">
        <v>123</v>
      </c>
      <c r="J39" s="182" t="s">
        <v>123</v>
      </c>
      <c r="K39" s="182" t="s">
        <v>123</v>
      </c>
      <c r="L39" s="182" t="s">
        <v>123</v>
      </c>
      <c r="M39" s="182" t="s">
        <v>123</v>
      </c>
      <c r="N39" s="182" t="s">
        <v>124</v>
      </c>
      <c r="O39" s="182" t="s">
        <v>123</v>
      </c>
      <c r="P39" s="182" t="s">
        <v>124</v>
      </c>
      <c r="Q39" s="225" t="s">
        <v>124</v>
      </c>
      <c r="R39" s="225" t="s">
        <v>123</v>
      </c>
      <c r="S39" s="225" t="s">
        <v>123</v>
      </c>
      <c r="T39" s="225" t="s">
        <v>123</v>
      </c>
      <c r="U39" s="225" t="s">
        <v>123</v>
      </c>
      <c r="V39" s="225" t="s">
        <v>123</v>
      </c>
      <c r="W39" s="225" t="s">
        <v>123</v>
      </c>
      <c r="X39" s="225" t="s">
        <v>123</v>
      </c>
      <c r="Y39" s="225"/>
      <c r="Z39" s="225"/>
      <c r="AA39" s="225"/>
      <c r="AB39" s="225"/>
      <c r="AC39" s="225"/>
      <c r="AD39" s="225"/>
      <c r="AE39" s="225"/>
      <c r="AF39" s="234"/>
      <c r="AG39" s="113"/>
      <c r="AH39" s="113"/>
      <c r="AI39" s="113"/>
      <c r="AJ39" s="113"/>
      <c r="AK39" s="291">
        <v>3</v>
      </c>
      <c r="AL39" s="171"/>
      <c r="AM39" s="280">
        <f t="shared" si="0"/>
        <v>3</v>
      </c>
      <c r="AN39" s="281">
        <v>33</v>
      </c>
      <c r="AO39" s="101">
        <f t="shared" si="1"/>
        <v>9.0909090909090912E-2</v>
      </c>
      <c r="AQ39" s="283">
        <f>OVERALL!A35</f>
        <v>32</v>
      </c>
      <c r="AR39" s="283">
        <f>OVERALL!B35</f>
        <v>2301269</v>
      </c>
      <c r="AS39" s="284" t="str">
        <f>OVERALL!C35</f>
        <v>Simran Kaur</v>
      </c>
      <c r="AT39" s="285">
        <f t="shared" si="2"/>
        <v>33</v>
      </c>
      <c r="AU39" s="285">
        <f t="shared" si="3"/>
        <v>28</v>
      </c>
      <c r="AV39" s="286">
        <f t="shared" si="4"/>
        <v>84.848484848484844</v>
      </c>
      <c r="AW39" s="287" t="str">
        <f t="shared" si="5"/>
        <v>3</v>
      </c>
      <c r="AX39" s="288">
        <v>6</v>
      </c>
      <c r="AY39" s="290">
        <v>5</v>
      </c>
      <c r="AZ39" s="286">
        <f t="shared" si="6"/>
        <v>8.1578947368421044</v>
      </c>
      <c r="BA39" s="286">
        <f t="shared" si="7"/>
        <v>22</v>
      </c>
    </row>
    <row r="40" spans="1:53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181" t="s">
        <v>124</v>
      </c>
      <c r="E40" s="182" t="s">
        <v>124</v>
      </c>
      <c r="F40" s="182" t="s">
        <v>124</v>
      </c>
      <c r="G40" s="182" t="s">
        <v>123</v>
      </c>
      <c r="H40" s="182" t="s">
        <v>123</v>
      </c>
      <c r="I40" s="181" t="s">
        <v>124</v>
      </c>
      <c r="J40" s="182" t="s">
        <v>123</v>
      </c>
      <c r="K40" s="182" t="s">
        <v>123</v>
      </c>
      <c r="L40" s="182" t="s">
        <v>124</v>
      </c>
      <c r="M40" s="182" t="s">
        <v>123</v>
      </c>
      <c r="N40" s="182" t="s">
        <v>123</v>
      </c>
      <c r="O40" s="182" t="s">
        <v>123</v>
      </c>
      <c r="P40" s="182" t="s">
        <v>123</v>
      </c>
      <c r="Q40" s="225" t="s">
        <v>123</v>
      </c>
      <c r="R40" s="225" t="s">
        <v>123</v>
      </c>
      <c r="S40" s="225" t="s">
        <v>123</v>
      </c>
      <c r="T40" s="225" t="s">
        <v>123</v>
      </c>
      <c r="U40" s="225" t="s">
        <v>123</v>
      </c>
      <c r="V40" s="225" t="s">
        <v>124</v>
      </c>
      <c r="W40" s="225" t="s">
        <v>123</v>
      </c>
      <c r="X40" s="225" t="s">
        <v>124</v>
      </c>
      <c r="Y40" s="225"/>
      <c r="Z40" s="225"/>
      <c r="AA40" s="225"/>
      <c r="AB40" s="225"/>
      <c r="AC40" s="225"/>
      <c r="AD40" s="225"/>
      <c r="AE40" s="225"/>
      <c r="AF40" s="234"/>
      <c r="AG40" s="113"/>
      <c r="AH40" s="113"/>
      <c r="AI40" s="113"/>
      <c r="AJ40" s="113"/>
      <c r="AK40" s="291">
        <v>8</v>
      </c>
      <c r="AL40" s="171"/>
      <c r="AM40" s="280">
        <f t="shared" si="0"/>
        <v>8</v>
      </c>
      <c r="AN40" s="281">
        <v>33</v>
      </c>
      <c r="AO40" s="101">
        <f t="shared" si="1"/>
        <v>0.24242424242424243</v>
      </c>
      <c r="AQ40" s="283">
        <f>OVERALL!A36</f>
        <v>33</v>
      </c>
      <c r="AR40" s="283">
        <f>OVERALL!B36</f>
        <v>2301270</v>
      </c>
      <c r="AS40" s="284" t="str">
        <f>OVERALL!C36</f>
        <v>Simranjit Singh</v>
      </c>
      <c r="AT40" s="285">
        <f t="shared" si="2"/>
        <v>33</v>
      </c>
      <c r="AU40" s="285">
        <f t="shared" si="3"/>
        <v>23</v>
      </c>
      <c r="AV40" s="286">
        <f t="shared" si="4"/>
        <v>69.696969696969703</v>
      </c>
      <c r="AW40" s="287" t="str">
        <f t="shared" si="5"/>
        <v>0</v>
      </c>
      <c r="AX40" s="288">
        <v>7</v>
      </c>
      <c r="AY40" s="290">
        <v>4</v>
      </c>
      <c r="AZ40" s="286">
        <f t="shared" si="6"/>
        <v>4.8421052631578947</v>
      </c>
      <c r="BA40" s="286">
        <f t="shared" si="7"/>
        <v>16</v>
      </c>
    </row>
    <row r="41" spans="1:53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181" t="s">
        <v>124</v>
      </c>
      <c r="E41" s="182" t="s">
        <v>124</v>
      </c>
      <c r="F41" s="182" t="s">
        <v>124</v>
      </c>
      <c r="G41" s="182" t="s">
        <v>124</v>
      </c>
      <c r="H41" s="182" t="s">
        <v>124</v>
      </c>
      <c r="I41" s="181" t="s">
        <v>124</v>
      </c>
      <c r="J41" s="182" t="s">
        <v>124</v>
      </c>
      <c r="K41" s="182" t="s">
        <v>124</v>
      </c>
      <c r="L41" s="182" t="s">
        <v>124</v>
      </c>
      <c r="M41" s="182" t="s">
        <v>124</v>
      </c>
      <c r="N41" s="182" t="s">
        <v>124</v>
      </c>
      <c r="O41" s="182" t="s">
        <v>124</v>
      </c>
      <c r="P41" s="182" t="s">
        <v>124</v>
      </c>
      <c r="Q41" s="225" t="s">
        <v>124</v>
      </c>
      <c r="R41" s="225" t="s">
        <v>124</v>
      </c>
      <c r="S41" s="225" t="s">
        <v>124</v>
      </c>
      <c r="T41" s="225" t="s">
        <v>124</v>
      </c>
      <c r="U41" s="225" t="s">
        <v>124</v>
      </c>
      <c r="V41" s="225" t="s">
        <v>124</v>
      </c>
      <c r="W41" s="225" t="s">
        <v>124</v>
      </c>
      <c r="X41" s="225" t="s">
        <v>124</v>
      </c>
      <c r="Y41" s="225"/>
      <c r="Z41" s="225"/>
      <c r="AA41" s="225"/>
      <c r="AB41" s="225"/>
      <c r="AC41" s="225"/>
      <c r="AD41" s="225"/>
      <c r="AE41" s="225"/>
      <c r="AF41" s="234"/>
      <c r="AG41" s="113"/>
      <c r="AH41" s="113"/>
      <c r="AI41" s="113"/>
      <c r="AJ41" s="113"/>
      <c r="AK41" s="291">
        <v>21</v>
      </c>
      <c r="AL41" s="171"/>
      <c r="AM41" s="280">
        <f t="shared" si="0"/>
        <v>21</v>
      </c>
      <c r="AN41" s="281">
        <v>33</v>
      </c>
      <c r="AO41" s="101">
        <f t="shared" si="1"/>
        <v>0.63636363636363635</v>
      </c>
      <c r="AQ41" s="283">
        <f>OVERALL!A37</f>
        <v>34</v>
      </c>
      <c r="AR41" s="283">
        <f>OVERALL!B37</f>
        <v>2301271</v>
      </c>
      <c r="AS41" s="284" t="str">
        <f>OVERALL!C37</f>
        <v>Sudip Sunar</v>
      </c>
      <c r="AT41" s="285">
        <f t="shared" si="2"/>
        <v>33</v>
      </c>
      <c r="AU41" s="285">
        <f t="shared" si="3"/>
        <v>23</v>
      </c>
      <c r="AV41" s="286">
        <f t="shared" si="4"/>
        <v>69.696969696969703</v>
      </c>
      <c r="AW41" s="287" t="str">
        <f t="shared" si="5"/>
        <v>0</v>
      </c>
      <c r="AX41" s="288">
        <v>7</v>
      </c>
      <c r="AY41" s="290">
        <v>6</v>
      </c>
      <c r="AZ41" s="286">
        <f t="shared" si="6"/>
        <v>5.1578947368421053</v>
      </c>
      <c r="BA41" s="286">
        <f t="shared" si="7"/>
        <v>18</v>
      </c>
    </row>
    <row r="42" spans="1:53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181" t="s">
        <v>123</v>
      </c>
      <c r="E42" s="182" t="s">
        <v>123</v>
      </c>
      <c r="F42" s="182" t="s">
        <v>123</v>
      </c>
      <c r="G42" s="182" t="s">
        <v>123</v>
      </c>
      <c r="H42" s="182" t="s">
        <v>123</v>
      </c>
      <c r="I42" s="181" t="s">
        <v>123</v>
      </c>
      <c r="J42" s="182" t="s">
        <v>123</v>
      </c>
      <c r="K42" s="182" t="s">
        <v>124</v>
      </c>
      <c r="L42" s="182" t="s">
        <v>123</v>
      </c>
      <c r="M42" s="182" t="s">
        <v>124</v>
      </c>
      <c r="N42" s="182" t="s">
        <v>124</v>
      </c>
      <c r="O42" s="182" t="s">
        <v>124</v>
      </c>
      <c r="P42" s="182" t="s">
        <v>124</v>
      </c>
      <c r="Q42" s="225" t="s">
        <v>124</v>
      </c>
      <c r="R42" s="225" t="s">
        <v>124</v>
      </c>
      <c r="S42" s="225" t="s">
        <v>124</v>
      </c>
      <c r="T42" s="225" t="s">
        <v>124</v>
      </c>
      <c r="U42" s="225" t="s">
        <v>124</v>
      </c>
      <c r="V42" s="225" t="s">
        <v>124</v>
      </c>
      <c r="W42" s="225" t="s">
        <v>124</v>
      </c>
      <c r="X42" s="225" t="s">
        <v>124</v>
      </c>
      <c r="Y42" s="225"/>
      <c r="Z42" s="225"/>
      <c r="AA42" s="225"/>
      <c r="AB42" s="225"/>
      <c r="AC42" s="225"/>
      <c r="AD42" s="225"/>
      <c r="AE42" s="225"/>
      <c r="AF42" s="234"/>
      <c r="AG42" s="113"/>
      <c r="AH42" s="113"/>
      <c r="AI42" s="113"/>
      <c r="AJ42" s="113"/>
      <c r="AK42" s="291">
        <v>20</v>
      </c>
      <c r="AL42" s="171">
        <v>1</v>
      </c>
      <c r="AM42" s="280">
        <f t="shared" si="0"/>
        <v>21</v>
      </c>
      <c r="AN42" s="281">
        <v>33</v>
      </c>
      <c r="AO42" s="101">
        <f t="shared" si="1"/>
        <v>0.63636363636363635</v>
      </c>
      <c r="AQ42" s="283">
        <f>OVERALL!A38</f>
        <v>35</v>
      </c>
      <c r="AR42" s="283">
        <f>OVERALL!B38</f>
        <v>2301272</v>
      </c>
      <c r="AS42" s="284" t="str">
        <f>OVERALL!C38</f>
        <v>Sujal Sharma</v>
      </c>
      <c r="AT42" s="285">
        <f t="shared" si="2"/>
        <v>33</v>
      </c>
      <c r="AU42" s="285">
        <f t="shared" si="3"/>
        <v>3</v>
      </c>
      <c r="AV42" s="286">
        <f t="shared" si="4"/>
        <v>9.0909090909090917</v>
      </c>
      <c r="AW42" s="287" t="str">
        <f t="shared" si="5"/>
        <v>0</v>
      </c>
      <c r="AX42" s="288">
        <v>0</v>
      </c>
      <c r="AY42" s="290">
        <v>0</v>
      </c>
      <c r="AZ42" s="286">
        <f t="shared" si="6"/>
        <v>1.2105263157894737</v>
      </c>
      <c r="BA42" s="286">
        <f t="shared" si="7"/>
        <v>1</v>
      </c>
    </row>
    <row r="43" spans="1:53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142"/>
      <c r="E43" s="282"/>
      <c r="F43" s="282"/>
      <c r="G43" s="282"/>
      <c r="H43" s="282"/>
      <c r="I43" s="181" t="s">
        <v>123</v>
      </c>
      <c r="J43" s="182" t="s">
        <v>123</v>
      </c>
      <c r="K43" s="182" t="s">
        <v>123</v>
      </c>
      <c r="L43" s="182" t="s">
        <v>123</v>
      </c>
      <c r="M43" s="182" t="s">
        <v>123</v>
      </c>
      <c r="N43" s="182" t="s">
        <v>123</v>
      </c>
      <c r="O43" s="182" t="s">
        <v>123</v>
      </c>
      <c r="P43" s="182" t="s">
        <v>123</v>
      </c>
      <c r="Q43" s="225" t="s">
        <v>123</v>
      </c>
      <c r="R43" s="225" t="s">
        <v>123</v>
      </c>
      <c r="S43" s="225" t="s">
        <v>123</v>
      </c>
      <c r="T43" s="225" t="s">
        <v>123</v>
      </c>
      <c r="U43" s="225" t="s">
        <v>123</v>
      </c>
      <c r="V43" s="225" t="s">
        <v>123</v>
      </c>
      <c r="W43" s="225" t="s">
        <v>123</v>
      </c>
      <c r="X43" s="225" t="s">
        <v>123</v>
      </c>
      <c r="Y43" s="225"/>
      <c r="Z43" s="225"/>
      <c r="AA43" s="225"/>
      <c r="AB43" s="225"/>
      <c r="AC43" s="225"/>
      <c r="AD43" s="225"/>
      <c r="AE43" s="225"/>
      <c r="AF43" s="234"/>
      <c r="AG43" s="113"/>
      <c r="AH43" s="113"/>
      <c r="AI43" s="113"/>
      <c r="AJ43" s="113"/>
      <c r="AK43" s="291">
        <v>0</v>
      </c>
      <c r="AL43" s="171"/>
      <c r="AM43" s="280">
        <f t="shared" si="0"/>
        <v>0</v>
      </c>
      <c r="AN43" s="281">
        <v>33</v>
      </c>
      <c r="AO43" s="101">
        <f t="shared" si="1"/>
        <v>0</v>
      </c>
      <c r="AQ43" s="283">
        <f>OVERALL!A39</f>
        <v>36</v>
      </c>
      <c r="AR43" s="283">
        <f>OVERALL!B39</f>
        <v>2301273</v>
      </c>
      <c r="AS43" s="284" t="str">
        <f>OVERALL!C39</f>
        <v>Sukhraj Singh</v>
      </c>
      <c r="AT43" s="285">
        <f t="shared" si="2"/>
        <v>33</v>
      </c>
      <c r="AU43" s="285">
        <f t="shared" si="3"/>
        <v>8</v>
      </c>
      <c r="AV43" s="286">
        <f t="shared" si="4"/>
        <v>24.242424242424242</v>
      </c>
      <c r="AW43" s="287" t="str">
        <f t="shared" si="5"/>
        <v>0</v>
      </c>
      <c r="AX43" s="288">
        <v>0</v>
      </c>
      <c r="AY43" s="290">
        <v>5</v>
      </c>
      <c r="AZ43" s="286">
        <f t="shared" si="6"/>
        <v>1.8421052631578947</v>
      </c>
      <c r="BA43" s="286">
        <f t="shared" si="7"/>
        <v>7</v>
      </c>
    </row>
    <row r="44" spans="1:53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181" t="s">
        <v>123</v>
      </c>
      <c r="E44" s="182" t="s">
        <v>124</v>
      </c>
      <c r="F44" s="182" t="s">
        <v>124</v>
      </c>
      <c r="G44" s="182" t="s">
        <v>124</v>
      </c>
      <c r="H44" s="182" t="s">
        <v>124</v>
      </c>
      <c r="I44" s="181" t="s">
        <v>124</v>
      </c>
      <c r="J44" s="182" t="s">
        <v>124</v>
      </c>
      <c r="K44" s="182" t="s">
        <v>124</v>
      </c>
      <c r="L44" s="182" t="s">
        <v>124</v>
      </c>
      <c r="M44" s="182" t="s">
        <v>123</v>
      </c>
      <c r="N44" s="182" t="s">
        <v>124</v>
      </c>
      <c r="O44" s="182" t="s">
        <v>124</v>
      </c>
      <c r="P44" s="182" t="s">
        <v>124</v>
      </c>
      <c r="Q44" s="225" t="s">
        <v>124</v>
      </c>
      <c r="R44" s="225" t="s">
        <v>123</v>
      </c>
      <c r="S44" s="225" t="s">
        <v>124</v>
      </c>
      <c r="T44" s="225" t="s">
        <v>123</v>
      </c>
      <c r="U44" s="225" t="s">
        <v>123</v>
      </c>
      <c r="V44" s="225" t="s">
        <v>124</v>
      </c>
      <c r="W44" s="225" t="s">
        <v>124</v>
      </c>
      <c r="X44" s="225" t="s">
        <v>124</v>
      </c>
      <c r="Y44" s="225"/>
      <c r="Z44" s="225"/>
      <c r="AA44" s="225"/>
      <c r="AB44" s="225"/>
      <c r="AC44" s="225"/>
      <c r="AD44" s="225"/>
      <c r="AE44" s="225"/>
      <c r="AF44" s="234"/>
      <c r="AG44" s="113"/>
      <c r="AH44" s="113"/>
      <c r="AI44" s="113"/>
      <c r="AJ44" s="113"/>
      <c r="AK44" s="291">
        <v>22</v>
      </c>
      <c r="AL44" s="171"/>
      <c r="AM44" s="280">
        <f t="shared" si="0"/>
        <v>22</v>
      </c>
      <c r="AN44" s="281">
        <v>33</v>
      </c>
      <c r="AO44" s="101">
        <f t="shared" si="1"/>
        <v>0.66666666666666663</v>
      </c>
      <c r="AQ44" s="283">
        <f>OVERALL!A40</f>
        <v>37</v>
      </c>
      <c r="AR44" s="283">
        <f>OVERALL!B40</f>
        <v>2301274</v>
      </c>
      <c r="AS44" s="284" t="str">
        <f>OVERALL!C40</f>
        <v>Sukhreet Kaur</v>
      </c>
      <c r="AT44" s="285">
        <f t="shared" si="2"/>
        <v>33</v>
      </c>
      <c r="AU44" s="285">
        <f t="shared" si="3"/>
        <v>21</v>
      </c>
      <c r="AV44" s="286">
        <f t="shared" si="4"/>
        <v>63.636363636363633</v>
      </c>
      <c r="AW44" s="287" t="str">
        <f t="shared" si="5"/>
        <v>0</v>
      </c>
      <c r="AX44" s="288">
        <v>7</v>
      </c>
      <c r="AY44" s="290">
        <v>6</v>
      </c>
      <c r="AZ44" s="286">
        <f t="shared" si="6"/>
        <v>8.3157894736842106</v>
      </c>
      <c r="BA44" s="286">
        <f t="shared" si="7"/>
        <v>21</v>
      </c>
    </row>
    <row r="45" spans="1:53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181" t="s">
        <v>124</v>
      </c>
      <c r="E45" s="182" t="s">
        <v>123</v>
      </c>
      <c r="F45" s="182" t="s">
        <v>123</v>
      </c>
      <c r="G45" s="182" t="s">
        <v>123</v>
      </c>
      <c r="H45" s="182" t="s">
        <v>123</v>
      </c>
      <c r="I45" s="181" t="s">
        <v>123</v>
      </c>
      <c r="J45" s="182" t="s">
        <v>123</v>
      </c>
      <c r="K45" s="182" t="s">
        <v>123</v>
      </c>
      <c r="L45" s="182" t="s">
        <v>123</v>
      </c>
      <c r="M45" s="182" t="s">
        <v>123</v>
      </c>
      <c r="N45" s="182" t="s">
        <v>123</v>
      </c>
      <c r="O45" s="182" t="s">
        <v>123</v>
      </c>
      <c r="P45" s="182" t="s">
        <v>124</v>
      </c>
      <c r="Q45" s="225" t="s">
        <v>124</v>
      </c>
      <c r="R45" s="225" t="s">
        <v>124</v>
      </c>
      <c r="S45" s="225" t="s">
        <v>124</v>
      </c>
      <c r="T45" s="225" t="s">
        <v>124</v>
      </c>
      <c r="U45" s="225" t="s">
        <v>124</v>
      </c>
      <c r="V45" s="225" t="s">
        <v>123</v>
      </c>
      <c r="W45" s="225" t="s">
        <v>123</v>
      </c>
      <c r="X45" s="225" t="s">
        <v>123</v>
      </c>
      <c r="Y45" s="225"/>
      <c r="Z45" s="225"/>
      <c r="AA45" s="225"/>
      <c r="AB45" s="225"/>
      <c r="AC45" s="225"/>
      <c r="AD45" s="225"/>
      <c r="AE45" s="225"/>
      <c r="AF45" s="234"/>
      <c r="AG45" s="113"/>
      <c r="AH45" s="113"/>
      <c r="AI45" s="113"/>
      <c r="AJ45" s="113"/>
      <c r="AK45" s="291">
        <v>14</v>
      </c>
      <c r="AL45" s="171">
        <v>2</v>
      </c>
      <c r="AM45" s="280">
        <f t="shared" si="0"/>
        <v>16</v>
      </c>
      <c r="AN45" s="281">
        <v>33</v>
      </c>
      <c r="AO45" s="101">
        <f t="shared" si="1"/>
        <v>0.48484848484848486</v>
      </c>
      <c r="AQ45" s="283">
        <f>OVERALL!A41</f>
        <v>38</v>
      </c>
      <c r="AR45" s="283">
        <f>OVERALL!B41</f>
        <v>2301275</v>
      </c>
      <c r="AS45" s="284" t="str">
        <f>OVERALL!C41</f>
        <v>Suman Krishna</v>
      </c>
      <c r="AT45" s="285">
        <f t="shared" si="2"/>
        <v>33</v>
      </c>
      <c r="AU45" s="285">
        <f t="shared" si="3"/>
        <v>21</v>
      </c>
      <c r="AV45" s="286">
        <f t="shared" si="4"/>
        <v>63.636363636363633</v>
      </c>
      <c r="AW45" s="287" t="str">
        <f t="shared" si="5"/>
        <v>0</v>
      </c>
      <c r="AX45" s="288">
        <v>7</v>
      </c>
      <c r="AY45" s="290">
        <v>6</v>
      </c>
      <c r="AZ45" s="286">
        <f t="shared" si="6"/>
        <v>4.7368421052631575</v>
      </c>
      <c r="BA45" s="286">
        <f t="shared" si="7"/>
        <v>18</v>
      </c>
    </row>
    <row r="46" spans="1:53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81" t="s">
        <v>124</v>
      </c>
      <c r="E46" s="182" t="s">
        <v>124</v>
      </c>
      <c r="F46" s="182" t="s">
        <v>124</v>
      </c>
      <c r="G46" s="182" t="s">
        <v>124</v>
      </c>
      <c r="H46" s="182" t="s">
        <v>124</v>
      </c>
      <c r="I46" s="181" t="s">
        <v>124</v>
      </c>
      <c r="J46" s="182" t="s">
        <v>124</v>
      </c>
      <c r="K46" s="182" t="s">
        <v>124</v>
      </c>
      <c r="L46" s="182" t="s">
        <v>123</v>
      </c>
      <c r="M46" s="182" t="s">
        <v>123</v>
      </c>
      <c r="N46" s="182" t="s">
        <v>124</v>
      </c>
      <c r="O46" s="182" t="s">
        <v>123</v>
      </c>
      <c r="P46" s="182" t="s">
        <v>124</v>
      </c>
      <c r="Q46" s="225" t="s">
        <v>124</v>
      </c>
      <c r="R46" s="225" t="s">
        <v>124</v>
      </c>
      <c r="S46" s="225" t="s">
        <v>124</v>
      </c>
      <c r="T46" s="225" t="s">
        <v>124</v>
      </c>
      <c r="U46" s="225" t="s">
        <v>124</v>
      </c>
      <c r="V46" s="225" t="s">
        <v>124</v>
      </c>
      <c r="W46" s="225" t="s">
        <v>124</v>
      </c>
      <c r="X46" s="225" t="s">
        <v>123</v>
      </c>
      <c r="Y46" s="225"/>
      <c r="Z46" s="225"/>
      <c r="AA46" s="225"/>
      <c r="AB46" s="225"/>
      <c r="AC46" s="225"/>
      <c r="AD46" s="225"/>
      <c r="AE46" s="225"/>
      <c r="AF46" s="234"/>
      <c r="AG46" s="113"/>
      <c r="AH46" s="113"/>
      <c r="AI46" s="113"/>
      <c r="AJ46" s="113"/>
      <c r="AK46" s="291">
        <v>25</v>
      </c>
      <c r="AL46" s="171">
        <v>3</v>
      </c>
      <c r="AM46" s="280">
        <f t="shared" si="0"/>
        <v>28</v>
      </c>
      <c r="AN46" s="281">
        <v>33</v>
      </c>
      <c r="AO46" s="101">
        <f t="shared" si="1"/>
        <v>0.84848484848484851</v>
      </c>
      <c r="AQ46" s="283">
        <f>OVERALL!A42</f>
        <v>39</v>
      </c>
      <c r="AR46" s="283">
        <f>OVERALL!B42</f>
        <v>2301276</v>
      </c>
      <c r="AS46" s="284" t="str">
        <f>OVERALL!C42</f>
        <v>Sumanyu</v>
      </c>
      <c r="AT46" s="285">
        <f t="shared" si="2"/>
        <v>33</v>
      </c>
      <c r="AU46" s="285">
        <f t="shared" si="3"/>
        <v>0</v>
      </c>
      <c r="AV46" s="286">
        <f t="shared" si="4"/>
        <v>0</v>
      </c>
      <c r="AW46" s="287" t="str">
        <f t="shared" si="5"/>
        <v>0</v>
      </c>
      <c r="AX46" s="288">
        <v>0</v>
      </c>
      <c r="AY46" s="290">
        <v>0</v>
      </c>
      <c r="AZ46" s="286">
        <f t="shared" si="6"/>
        <v>0</v>
      </c>
      <c r="BA46" s="286">
        <f t="shared" si="7"/>
        <v>0</v>
      </c>
    </row>
    <row r="47" spans="1:53" ht="15.75" customHeight="1">
      <c r="A47" s="217">
        <f>OVERALL!A46</f>
        <v>43</v>
      </c>
      <c r="B47" s="217">
        <f>OVERALL!B46</f>
        <v>2301280</v>
      </c>
      <c r="C47" s="218" t="str">
        <f>OVERALL!C46</f>
        <v>Taniya</v>
      </c>
      <c r="D47" s="181" t="s">
        <v>123</v>
      </c>
      <c r="E47" s="182" t="s">
        <v>123</v>
      </c>
      <c r="F47" s="182" t="s">
        <v>123</v>
      </c>
      <c r="G47" s="182" t="s">
        <v>124</v>
      </c>
      <c r="H47" s="182" t="s">
        <v>124</v>
      </c>
      <c r="I47" s="181" t="s">
        <v>124</v>
      </c>
      <c r="J47" s="182" t="s">
        <v>124</v>
      </c>
      <c r="K47" s="182" t="s">
        <v>123</v>
      </c>
      <c r="L47" s="182" t="s">
        <v>123</v>
      </c>
      <c r="M47" s="182" t="s">
        <v>123</v>
      </c>
      <c r="N47" s="182" t="s">
        <v>123</v>
      </c>
      <c r="O47" s="182" t="s">
        <v>123</v>
      </c>
      <c r="P47" s="182" t="s">
        <v>123</v>
      </c>
      <c r="Q47" s="225" t="s">
        <v>123</v>
      </c>
      <c r="R47" s="225" t="s">
        <v>123</v>
      </c>
      <c r="S47" s="225" t="s">
        <v>124</v>
      </c>
      <c r="T47" s="225" t="s">
        <v>124</v>
      </c>
      <c r="U47" s="225" t="s">
        <v>124</v>
      </c>
      <c r="V47" s="225" t="s">
        <v>124</v>
      </c>
      <c r="W47" s="225" t="s">
        <v>123</v>
      </c>
      <c r="X47" s="225" t="s">
        <v>123</v>
      </c>
      <c r="Y47" s="225"/>
      <c r="Z47" s="225"/>
      <c r="AA47" s="225"/>
      <c r="AB47" s="225"/>
      <c r="AC47" s="225"/>
      <c r="AD47" s="225"/>
      <c r="AE47" s="225"/>
      <c r="AF47" s="234"/>
      <c r="AG47" s="113"/>
      <c r="AH47" s="113"/>
      <c r="AI47" s="113"/>
      <c r="AJ47" s="113"/>
      <c r="AK47" s="291">
        <v>13</v>
      </c>
      <c r="AL47" s="171"/>
      <c r="AM47" s="280">
        <f t="shared" si="0"/>
        <v>13</v>
      </c>
      <c r="AN47" s="281">
        <v>33</v>
      </c>
      <c r="AO47" s="101">
        <f t="shared" si="1"/>
        <v>0.39393939393939392</v>
      </c>
      <c r="AQ47" s="283">
        <f>OVERALL!A43</f>
        <v>40</v>
      </c>
      <c r="AR47" s="283">
        <f>OVERALL!B43</f>
        <v>2301277</v>
      </c>
      <c r="AS47" s="284" t="str">
        <f>OVERALL!C43</f>
        <v>Tamana</v>
      </c>
      <c r="AT47" s="285">
        <f t="shared" si="2"/>
        <v>33</v>
      </c>
      <c r="AU47" s="285">
        <f t="shared" si="3"/>
        <v>22</v>
      </c>
      <c r="AV47" s="286">
        <f t="shared" si="4"/>
        <v>66.666666666666657</v>
      </c>
      <c r="AW47" s="287" t="str">
        <f t="shared" si="5"/>
        <v>0</v>
      </c>
      <c r="AX47" s="288">
        <v>6</v>
      </c>
      <c r="AY47" s="290">
        <v>6</v>
      </c>
      <c r="AZ47" s="286">
        <f t="shared" si="6"/>
        <v>7.2105263157894735</v>
      </c>
      <c r="BA47" s="286">
        <f t="shared" si="7"/>
        <v>19</v>
      </c>
    </row>
    <row r="48" spans="1:53" ht="15.75" customHeight="1">
      <c r="A48" s="105">
        <f>OVERALL!A47</f>
        <v>44</v>
      </c>
      <c r="B48" s="105">
        <f>OVERALL!B47</f>
        <v>2301281</v>
      </c>
      <c r="C48" s="106" t="str">
        <f>OVERALL!C47</f>
        <v>Taziko Trakha</v>
      </c>
      <c r="D48" s="181" t="s">
        <v>123</v>
      </c>
      <c r="E48" s="182" t="s">
        <v>123</v>
      </c>
      <c r="F48" s="182" t="s">
        <v>123</v>
      </c>
      <c r="G48" s="182" t="s">
        <v>124</v>
      </c>
      <c r="H48" s="182" t="s">
        <v>124</v>
      </c>
      <c r="I48" s="181" t="s">
        <v>123</v>
      </c>
      <c r="J48" s="182" t="s">
        <v>124</v>
      </c>
      <c r="K48" s="182" t="s">
        <v>124</v>
      </c>
      <c r="L48" s="182" t="s">
        <v>124</v>
      </c>
      <c r="M48" s="182" t="s">
        <v>123</v>
      </c>
      <c r="N48" s="182" t="s">
        <v>124</v>
      </c>
      <c r="O48" s="182" t="s">
        <v>123</v>
      </c>
      <c r="P48" s="182" t="s">
        <v>124</v>
      </c>
      <c r="Q48" s="225" t="s">
        <v>124</v>
      </c>
      <c r="R48" s="225" t="s">
        <v>123</v>
      </c>
      <c r="S48" s="225" t="s">
        <v>123</v>
      </c>
      <c r="T48" s="225" t="s">
        <v>124</v>
      </c>
      <c r="U48" s="225" t="s">
        <v>124</v>
      </c>
      <c r="V48" s="225" t="s">
        <v>124</v>
      </c>
      <c r="W48" s="225" t="s">
        <v>124</v>
      </c>
      <c r="X48" s="225" t="s">
        <v>123</v>
      </c>
      <c r="Y48" s="225"/>
      <c r="Z48" s="225"/>
      <c r="AA48" s="225"/>
      <c r="AB48" s="225"/>
      <c r="AC48" s="225"/>
      <c r="AD48" s="225"/>
      <c r="AE48" s="225"/>
      <c r="AF48" s="234"/>
      <c r="AG48" s="113"/>
      <c r="AH48" s="113"/>
      <c r="AI48" s="113"/>
      <c r="AJ48" s="113"/>
      <c r="AK48" s="291">
        <v>17</v>
      </c>
      <c r="AL48" s="171">
        <v>5</v>
      </c>
      <c r="AM48" s="280">
        <f t="shared" si="0"/>
        <v>22</v>
      </c>
      <c r="AN48" s="281">
        <v>33</v>
      </c>
      <c r="AO48" s="101">
        <f t="shared" si="1"/>
        <v>0.66666666666666663</v>
      </c>
      <c r="AQ48" s="283">
        <f>OVERALL!A44</f>
        <v>41</v>
      </c>
      <c r="AR48" s="283">
        <f>OVERALL!B44</f>
        <v>2301278</v>
      </c>
      <c r="AS48" s="284" t="str">
        <f>OVERALL!C44</f>
        <v>Tamana Farooq Khanday</v>
      </c>
      <c r="AT48" s="285">
        <f t="shared" si="2"/>
        <v>33</v>
      </c>
      <c r="AU48" s="285">
        <f t="shared" si="3"/>
        <v>16</v>
      </c>
      <c r="AV48" s="286">
        <f t="shared" si="4"/>
        <v>48.484848484848484</v>
      </c>
      <c r="AW48" s="287" t="str">
        <f t="shared" si="5"/>
        <v>0</v>
      </c>
      <c r="AX48" s="288">
        <v>6</v>
      </c>
      <c r="AY48" s="290">
        <v>4</v>
      </c>
      <c r="AZ48" s="286">
        <f t="shared" si="6"/>
        <v>3.3157894736842106</v>
      </c>
      <c r="BA48" s="286">
        <f t="shared" si="7"/>
        <v>13</v>
      </c>
    </row>
    <row r="49" spans="1:53" ht="15.75" customHeight="1">
      <c r="A49" s="122">
        <v>45</v>
      </c>
      <c r="B49" s="105">
        <f>OVERALL!B48</f>
        <v>2301282</v>
      </c>
      <c r="C49" s="106" t="str">
        <f>OVERALL!C48</f>
        <v>Uday Kumar</v>
      </c>
      <c r="D49" s="181" t="s">
        <v>123</v>
      </c>
      <c r="E49" s="182" t="s">
        <v>123</v>
      </c>
      <c r="F49" s="182" t="s">
        <v>124</v>
      </c>
      <c r="G49" s="182" t="s">
        <v>123</v>
      </c>
      <c r="H49" s="182" t="s">
        <v>123</v>
      </c>
      <c r="I49" s="181" t="s">
        <v>123</v>
      </c>
      <c r="J49" s="182" t="s">
        <v>124</v>
      </c>
      <c r="K49" s="182" t="s">
        <v>123</v>
      </c>
      <c r="L49" s="182" t="s">
        <v>124</v>
      </c>
      <c r="M49" s="182" t="s">
        <v>124</v>
      </c>
      <c r="N49" s="182" t="s">
        <v>124</v>
      </c>
      <c r="O49" s="182" t="s">
        <v>123</v>
      </c>
      <c r="P49" s="182" t="s">
        <v>123</v>
      </c>
      <c r="Q49" s="225" t="s">
        <v>123</v>
      </c>
      <c r="R49" s="225" t="s">
        <v>123</v>
      </c>
      <c r="S49" s="225" t="s">
        <v>123</v>
      </c>
      <c r="T49" s="225" t="s">
        <v>123</v>
      </c>
      <c r="U49" s="225" t="s">
        <v>123</v>
      </c>
      <c r="V49" s="225" t="s">
        <v>123</v>
      </c>
      <c r="W49" s="225" t="s">
        <v>123</v>
      </c>
      <c r="X49" s="225" t="s">
        <v>124</v>
      </c>
      <c r="Y49" s="225"/>
      <c r="Z49" s="225"/>
      <c r="AA49" s="225"/>
      <c r="AB49" s="225"/>
      <c r="AC49" s="225"/>
      <c r="AD49" s="225"/>
      <c r="AE49" s="225"/>
      <c r="AF49" s="234"/>
      <c r="AG49" s="113"/>
      <c r="AH49" s="113"/>
      <c r="AI49" s="113"/>
      <c r="AJ49" s="113"/>
      <c r="AK49" s="146">
        <v>6</v>
      </c>
      <c r="AL49" s="181"/>
      <c r="AM49" s="280">
        <f t="shared" si="0"/>
        <v>6</v>
      </c>
      <c r="AN49" s="281">
        <v>33</v>
      </c>
      <c r="AO49" s="101">
        <f t="shared" si="1"/>
        <v>0.18181818181818182</v>
      </c>
      <c r="AQ49" s="283">
        <f>OVERALL!A45</f>
        <v>42</v>
      </c>
      <c r="AR49" s="283">
        <f>OVERALL!B45</f>
        <v>2301279</v>
      </c>
      <c r="AS49" s="284" t="str">
        <f>OVERALL!C45</f>
        <v>Tania</v>
      </c>
      <c r="AT49" s="285">
        <f t="shared" si="2"/>
        <v>33</v>
      </c>
      <c r="AU49" s="285">
        <f t="shared" si="3"/>
        <v>28</v>
      </c>
      <c r="AV49" s="286">
        <f t="shared" si="4"/>
        <v>84.848484848484844</v>
      </c>
      <c r="AW49" s="287" t="str">
        <f t="shared" si="5"/>
        <v>3</v>
      </c>
      <c r="AX49" s="288">
        <v>7</v>
      </c>
      <c r="AY49" s="290">
        <v>5</v>
      </c>
      <c r="AZ49" s="286">
        <f t="shared" si="6"/>
        <v>6.1578947368421053</v>
      </c>
      <c r="BA49" s="286">
        <f t="shared" si="7"/>
        <v>21</v>
      </c>
    </row>
    <row r="50" spans="1:53" ht="15.75" customHeight="1">
      <c r="A50" s="122">
        <v>46</v>
      </c>
      <c r="B50" s="105">
        <f>OVERALL!B49</f>
        <v>2301283</v>
      </c>
      <c r="C50" s="106" t="str">
        <f>OVERALL!C49</f>
        <v>Vaibhav Shahi</v>
      </c>
      <c r="D50" s="181" t="s">
        <v>123</v>
      </c>
      <c r="E50" s="182" t="s">
        <v>123</v>
      </c>
      <c r="F50" s="182" t="s">
        <v>124</v>
      </c>
      <c r="G50" s="182" t="s">
        <v>123</v>
      </c>
      <c r="H50" s="182" t="s">
        <v>123</v>
      </c>
      <c r="I50" s="181" t="s">
        <v>123</v>
      </c>
      <c r="J50" s="182" t="s">
        <v>123</v>
      </c>
      <c r="K50" s="182" t="s">
        <v>124</v>
      </c>
      <c r="L50" s="182" t="s">
        <v>124</v>
      </c>
      <c r="M50" s="182" t="s">
        <v>123</v>
      </c>
      <c r="N50" s="182" t="s">
        <v>123</v>
      </c>
      <c r="O50" s="182" t="s">
        <v>124</v>
      </c>
      <c r="P50" s="182" t="s">
        <v>123</v>
      </c>
      <c r="Q50" s="225" t="s">
        <v>123</v>
      </c>
      <c r="R50" s="225" t="s">
        <v>124</v>
      </c>
      <c r="S50" s="225" t="s">
        <v>123</v>
      </c>
      <c r="T50" s="225" t="s">
        <v>123</v>
      </c>
      <c r="U50" s="225" t="s">
        <v>124</v>
      </c>
      <c r="V50" s="225" t="s">
        <v>123</v>
      </c>
      <c r="W50" s="225" t="s">
        <v>123</v>
      </c>
      <c r="X50" s="225" t="s">
        <v>124</v>
      </c>
      <c r="Y50" s="225"/>
      <c r="Z50" s="225"/>
      <c r="AA50" s="225"/>
      <c r="AB50" s="225"/>
      <c r="AC50" s="225"/>
      <c r="AD50" s="225"/>
      <c r="AE50" s="225"/>
      <c r="AF50" s="234"/>
      <c r="AG50" s="113"/>
      <c r="AH50" s="113"/>
      <c r="AI50" s="113"/>
      <c r="AJ50" s="113"/>
      <c r="AK50" s="146">
        <v>9</v>
      </c>
      <c r="AL50" s="181"/>
      <c r="AM50" s="280">
        <f t="shared" si="0"/>
        <v>9</v>
      </c>
      <c r="AN50" s="281">
        <v>33</v>
      </c>
      <c r="AO50" s="101">
        <f t="shared" si="1"/>
        <v>0.27272727272727271</v>
      </c>
      <c r="AQ50" s="283">
        <f>OVERALL!A46</f>
        <v>43</v>
      </c>
      <c r="AR50" s="283">
        <f>OVERALL!B46</f>
        <v>2301280</v>
      </c>
      <c r="AS50" s="284" t="str">
        <f>OVERALL!C46</f>
        <v>Taniya</v>
      </c>
      <c r="AT50" s="285">
        <f t="shared" si="2"/>
        <v>33</v>
      </c>
      <c r="AU50" s="285">
        <f t="shared" si="3"/>
        <v>13</v>
      </c>
      <c r="AV50" s="286">
        <f t="shared" si="4"/>
        <v>39.393939393939391</v>
      </c>
      <c r="AW50" s="287" t="str">
        <f t="shared" si="5"/>
        <v>0</v>
      </c>
      <c r="AX50" s="288">
        <v>6</v>
      </c>
      <c r="AY50" s="290">
        <v>4</v>
      </c>
      <c r="AZ50" s="286">
        <f t="shared" si="6"/>
        <v>3.5789473684210527</v>
      </c>
      <c r="BA50" s="286">
        <f t="shared" si="7"/>
        <v>14</v>
      </c>
    </row>
    <row r="51" spans="1:53" ht="15.75" customHeight="1">
      <c r="A51" s="122">
        <v>47</v>
      </c>
      <c r="B51" s="105">
        <f>OVERALL!B50</f>
        <v>2301284</v>
      </c>
      <c r="C51" s="106" t="str">
        <f>OVERALL!C50</f>
        <v>Vansh Kumar</v>
      </c>
      <c r="D51" s="181" t="s">
        <v>123</v>
      </c>
      <c r="E51" s="182" t="s">
        <v>123</v>
      </c>
      <c r="F51" s="182" t="s">
        <v>123</v>
      </c>
      <c r="G51" s="182" t="s">
        <v>123</v>
      </c>
      <c r="H51" s="182" t="s">
        <v>123</v>
      </c>
      <c r="I51" s="181" t="s">
        <v>123</v>
      </c>
      <c r="J51" s="182" t="s">
        <v>123</v>
      </c>
      <c r="K51" s="182" t="s">
        <v>123</v>
      </c>
      <c r="L51" s="182" t="s">
        <v>123</v>
      </c>
      <c r="M51" s="182" t="s">
        <v>123</v>
      </c>
      <c r="N51" s="182" t="s">
        <v>123</v>
      </c>
      <c r="O51" s="182" t="s">
        <v>123</v>
      </c>
      <c r="P51" s="182" t="s">
        <v>123</v>
      </c>
      <c r="Q51" s="225" t="s">
        <v>123</v>
      </c>
      <c r="R51" s="225" t="s">
        <v>123</v>
      </c>
      <c r="S51" s="225" t="s">
        <v>123</v>
      </c>
      <c r="T51" s="225" t="s">
        <v>123</v>
      </c>
      <c r="U51" s="225" t="s">
        <v>123</v>
      </c>
      <c r="V51" s="225" t="s">
        <v>123</v>
      </c>
      <c r="W51" s="225" t="s">
        <v>123</v>
      </c>
      <c r="X51" s="225" t="s">
        <v>123</v>
      </c>
      <c r="Y51" s="225"/>
      <c r="Z51" s="225"/>
      <c r="AA51" s="225"/>
      <c r="AB51" s="225"/>
      <c r="AC51" s="225"/>
      <c r="AD51" s="225"/>
      <c r="AE51" s="225"/>
      <c r="AF51" s="234"/>
      <c r="AG51" s="113"/>
      <c r="AH51" s="113"/>
      <c r="AI51" s="113"/>
      <c r="AJ51" s="113"/>
      <c r="AK51" s="146">
        <v>0</v>
      </c>
      <c r="AL51" s="181"/>
      <c r="AM51" s="280">
        <f t="shared" si="0"/>
        <v>0</v>
      </c>
      <c r="AN51" s="281">
        <v>33</v>
      </c>
      <c r="AO51" s="101">
        <f t="shared" si="1"/>
        <v>0</v>
      </c>
      <c r="AQ51" s="283">
        <f>OVERALL!A47</f>
        <v>44</v>
      </c>
      <c r="AR51" s="283">
        <f>OVERALL!B47</f>
        <v>2301281</v>
      </c>
      <c r="AS51" s="284" t="str">
        <f>OVERALL!C47</f>
        <v>Taziko Trakha</v>
      </c>
      <c r="AT51" s="285">
        <f t="shared" si="2"/>
        <v>33</v>
      </c>
      <c r="AU51" s="285">
        <f t="shared" si="3"/>
        <v>22</v>
      </c>
      <c r="AV51" s="286">
        <f t="shared" si="4"/>
        <v>66.666666666666657</v>
      </c>
      <c r="AW51" s="287" t="str">
        <f t="shared" si="5"/>
        <v>0</v>
      </c>
      <c r="AX51" s="288">
        <v>7</v>
      </c>
      <c r="AY51" s="290">
        <v>3</v>
      </c>
      <c r="AZ51" s="286">
        <f t="shared" si="6"/>
        <v>3.5263157894736841</v>
      </c>
      <c r="BA51" s="286">
        <f t="shared" si="7"/>
        <v>14</v>
      </c>
    </row>
    <row r="52" spans="1:53" ht="15.75" customHeight="1">
      <c r="A52" s="122">
        <v>48</v>
      </c>
      <c r="B52" s="105">
        <f>OVERALL!B51</f>
        <v>2301285</v>
      </c>
      <c r="C52" s="106" t="str">
        <f>OVERALL!C51</f>
        <v>Vansh Sharma</v>
      </c>
      <c r="D52" s="181" t="s">
        <v>123</v>
      </c>
      <c r="E52" s="182" t="s">
        <v>124</v>
      </c>
      <c r="F52" s="182" t="s">
        <v>123</v>
      </c>
      <c r="G52" s="182" t="s">
        <v>124</v>
      </c>
      <c r="H52" s="182" t="s">
        <v>124</v>
      </c>
      <c r="I52" s="181" t="s">
        <v>124</v>
      </c>
      <c r="J52" s="182" t="s">
        <v>124</v>
      </c>
      <c r="K52" s="182" t="s">
        <v>124</v>
      </c>
      <c r="L52" s="182" t="s">
        <v>124</v>
      </c>
      <c r="M52" s="182" t="s">
        <v>123</v>
      </c>
      <c r="N52" s="182" t="s">
        <v>124</v>
      </c>
      <c r="O52" s="182" t="s">
        <v>124</v>
      </c>
      <c r="P52" s="182" t="s">
        <v>124</v>
      </c>
      <c r="Q52" s="225" t="s">
        <v>124</v>
      </c>
      <c r="R52" s="225" t="s">
        <v>124</v>
      </c>
      <c r="S52" s="225" t="s">
        <v>124</v>
      </c>
      <c r="T52" s="225" t="s">
        <v>123</v>
      </c>
      <c r="U52" s="225" t="s">
        <v>124</v>
      </c>
      <c r="V52" s="225" t="s">
        <v>124</v>
      </c>
      <c r="W52" s="225" t="s">
        <v>124</v>
      </c>
      <c r="X52" s="225" t="s">
        <v>124</v>
      </c>
      <c r="Y52" s="225"/>
      <c r="Z52" s="225"/>
      <c r="AA52" s="225"/>
      <c r="AB52" s="225"/>
      <c r="AC52" s="225"/>
      <c r="AD52" s="225"/>
      <c r="AE52" s="225"/>
      <c r="AF52" s="234"/>
      <c r="AG52" s="113"/>
      <c r="AH52" s="113"/>
      <c r="AI52" s="113"/>
      <c r="AJ52" s="113"/>
      <c r="AK52" s="146">
        <v>23</v>
      </c>
      <c r="AL52" s="181"/>
      <c r="AM52" s="280">
        <f t="shared" si="0"/>
        <v>23</v>
      </c>
      <c r="AN52" s="281">
        <v>33</v>
      </c>
      <c r="AO52" s="101">
        <f t="shared" si="1"/>
        <v>0.69696969696969702</v>
      </c>
      <c r="AQ52" s="283">
        <f>OVERALL!A48</f>
        <v>45</v>
      </c>
      <c r="AR52" s="283">
        <f>OVERALL!B48</f>
        <v>2301282</v>
      </c>
      <c r="AS52" s="284" t="str">
        <f>OVERALL!C48</f>
        <v>Uday Kumar</v>
      </c>
      <c r="AT52" s="285">
        <f t="shared" si="2"/>
        <v>33</v>
      </c>
      <c r="AU52" s="285">
        <f t="shared" si="3"/>
        <v>6</v>
      </c>
      <c r="AV52" s="286">
        <f t="shared" si="4"/>
        <v>18.181818181818183</v>
      </c>
      <c r="AW52" s="287" t="str">
        <f t="shared" si="5"/>
        <v>0</v>
      </c>
      <c r="AX52" s="288">
        <v>0</v>
      </c>
      <c r="AY52" s="290">
        <v>0</v>
      </c>
      <c r="AZ52" s="286">
        <f t="shared" si="6"/>
        <v>3.263157894736842</v>
      </c>
      <c r="BA52" s="286">
        <f t="shared" si="7"/>
        <v>3</v>
      </c>
    </row>
    <row r="53" spans="1:53" ht="15.75" customHeight="1">
      <c r="A53" s="122">
        <v>49</v>
      </c>
      <c r="B53" s="105">
        <f>OVERALL!B52</f>
        <v>2301286</v>
      </c>
      <c r="C53" s="106" t="str">
        <f>OVERALL!C52</f>
        <v>Vikramjit Singh</v>
      </c>
      <c r="D53" s="181" t="s">
        <v>124</v>
      </c>
      <c r="E53" s="182" t="s">
        <v>123</v>
      </c>
      <c r="F53" s="182" t="s">
        <v>123</v>
      </c>
      <c r="G53" s="182" t="s">
        <v>123</v>
      </c>
      <c r="H53" s="182" t="s">
        <v>123</v>
      </c>
      <c r="I53" s="181" t="s">
        <v>123</v>
      </c>
      <c r="J53" s="182" t="s">
        <v>123</v>
      </c>
      <c r="K53" s="182" t="s">
        <v>123</v>
      </c>
      <c r="L53" s="182" t="s">
        <v>123</v>
      </c>
      <c r="M53" s="182" t="s">
        <v>123</v>
      </c>
      <c r="N53" s="182" t="s">
        <v>123</v>
      </c>
      <c r="O53" s="182" t="s">
        <v>123</v>
      </c>
      <c r="P53" s="182" t="s">
        <v>123</v>
      </c>
      <c r="Q53" s="225" t="s">
        <v>123</v>
      </c>
      <c r="R53" s="225" t="s">
        <v>123</v>
      </c>
      <c r="S53" s="225" t="s">
        <v>123</v>
      </c>
      <c r="T53" s="225" t="s">
        <v>123</v>
      </c>
      <c r="U53" s="225" t="s">
        <v>123</v>
      </c>
      <c r="V53" s="225" t="s">
        <v>123</v>
      </c>
      <c r="W53" s="225" t="s">
        <v>123</v>
      </c>
      <c r="X53" s="225" t="s">
        <v>123</v>
      </c>
      <c r="Y53" s="225"/>
      <c r="Z53" s="225"/>
      <c r="AA53" s="225"/>
      <c r="AB53" s="225"/>
      <c r="AC53" s="225"/>
      <c r="AD53" s="225"/>
      <c r="AE53" s="225"/>
      <c r="AF53" s="234"/>
      <c r="AG53" s="113"/>
      <c r="AH53" s="113"/>
      <c r="AI53" s="113"/>
      <c r="AJ53" s="113"/>
      <c r="AK53" s="146">
        <v>1</v>
      </c>
      <c r="AL53" s="181"/>
      <c r="AM53" s="280">
        <f t="shared" si="0"/>
        <v>1</v>
      </c>
      <c r="AN53" s="281">
        <v>33</v>
      </c>
      <c r="AO53" s="101">
        <f t="shared" si="1"/>
        <v>3.0303030303030304E-2</v>
      </c>
      <c r="AQ53" s="283">
        <f>OVERALL!A49</f>
        <v>46</v>
      </c>
      <c r="AR53" s="283">
        <f>OVERALL!B49</f>
        <v>2301283</v>
      </c>
      <c r="AS53" s="284" t="str">
        <f>OVERALL!C49</f>
        <v>Vaibhav Shahi</v>
      </c>
      <c r="AT53" s="285">
        <f t="shared" si="2"/>
        <v>33</v>
      </c>
      <c r="AU53" s="285">
        <f t="shared" si="3"/>
        <v>9</v>
      </c>
      <c r="AV53" s="286">
        <f t="shared" si="4"/>
        <v>27.27272727272727</v>
      </c>
      <c r="AW53" s="287" t="str">
        <f t="shared" si="5"/>
        <v>0</v>
      </c>
      <c r="AX53" s="288">
        <v>0</v>
      </c>
      <c r="AY53" s="290">
        <v>5</v>
      </c>
      <c r="AZ53" s="286">
        <f t="shared" si="6"/>
        <v>1.7894736842105263</v>
      </c>
      <c r="BA53" s="286">
        <f t="shared" si="7"/>
        <v>7</v>
      </c>
    </row>
    <row r="54" spans="1:53" ht="15.75" customHeight="1">
      <c r="A54" s="122">
        <v>50</v>
      </c>
      <c r="B54" s="105">
        <f>OVERALL!B53</f>
        <v>2301287</v>
      </c>
      <c r="C54" s="106" t="str">
        <f>OVERALL!C53</f>
        <v>Vishavjit Singh</v>
      </c>
      <c r="D54" s="181" t="s">
        <v>123</v>
      </c>
      <c r="E54" s="182" t="s">
        <v>123</v>
      </c>
      <c r="F54" s="182" t="s">
        <v>123</v>
      </c>
      <c r="G54" s="182" t="s">
        <v>124</v>
      </c>
      <c r="H54" s="182" t="s">
        <v>124</v>
      </c>
      <c r="I54" s="181" t="s">
        <v>124</v>
      </c>
      <c r="J54" s="182" t="s">
        <v>124</v>
      </c>
      <c r="K54" s="182" t="s">
        <v>124</v>
      </c>
      <c r="L54" s="182" t="s">
        <v>123</v>
      </c>
      <c r="M54" s="182" t="s">
        <v>123</v>
      </c>
      <c r="N54" s="182" t="s">
        <v>123</v>
      </c>
      <c r="O54" s="182" t="s">
        <v>123</v>
      </c>
      <c r="P54" s="182" t="s">
        <v>123</v>
      </c>
      <c r="Q54" s="225" t="s">
        <v>123</v>
      </c>
      <c r="R54" s="225" t="s">
        <v>123</v>
      </c>
      <c r="S54" s="225" t="s">
        <v>124</v>
      </c>
      <c r="T54" s="225" t="s">
        <v>123</v>
      </c>
      <c r="U54" s="225" t="s">
        <v>123</v>
      </c>
      <c r="V54" s="225" t="s">
        <v>123</v>
      </c>
      <c r="W54" s="225" t="s">
        <v>123</v>
      </c>
      <c r="X54" s="225" t="s">
        <v>123</v>
      </c>
      <c r="Y54" s="225"/>
      <c r="Z54" s="225"/>
      <c r="AA54" s="225"/>
      <c r="AB54" s="225"/>
      <c r="AC54" s="225"/>
      <c r="AD54" s="225"/>
      <c r="AE54" s="225"/>
      <c r="AF54" s="234"/>
      <c r="AG54" s="113"/>
      <c r="AH54" s="113"/>
      <c r="AI54" s="113"/>
      <c r="AJ54" s="113"/>
      <c r="AK54" s="146">
        <v>7</v>
      </c>
      <c r="AL54" s="181"/>
      <c r="AM54" s="280">
        <f t="shared" si="0"/>
        <v>7</v>
      </c>
      <c r="AN54" s="281">
        <v>33</v>
      </c>
      <c r="AO54" s="101">
        <f t="shared" si="1"/>
        <v>0.21212121212121213</v>
      </c>
      <c r="AQ54" s="283">
        <f>OVERALL!A50</f>
        <v>47</v>
      </c>
      <c r="AR54" s="283">
        <f>OVERALL!B50</f>
        <v>2301284</v>
      </c>
      <c r="AS54" s="284" t="str">
        <f>OVERALL!C50</f>
        <v>Vansh Kumar</v>
      </c>
      <c r="AT54" s="285">
        <f t="shared" si="2"/>
        <v>33</v>
      </c>
      <c r="AU54" s="285">
        <f t="shared" si="3"/>
        <v>0</v>
      </c>
      <c r="AV54" s="286">
        <f t="shared" si="4"/>
        <v>0</v>
      </c>
      <c r="AW54" s="287" t="str">
        <f t="shared" si="5"/>
        <v>0</v>
      </c>
      <c r="AX54" s="288">
        <v>0</v>
      </c>
      <c r="AY54" s="290">
        <v>0</v>
      </c>
      <c r="AZ54" s="286">
        <f t="shared" si="6"/>
        <v>0</v>
      </c>
      <c r="BA54" s="286">
        <f t="shared" si="7"/>
        <v>0</v>
      </c>
    </row>
    <row r="55" spans="1:53" ht="15.75" customHeight="1">
      <c r="A55" s="122">
        <v>51</v>
      </c>
      <c r="B55" s="105">
        <f>OVERALL!B54</f>
        <v>2339508</v>
      </c>
      <c r="C55" s="106" t="str">
        <f>OVERALL!C54</f>
        <v>TANISHA</v>
      </c>
      <c r="D55" s="181" t="s">
        <v>124</v>
      </c>
      <c r="E55" s="182" t="s">
        <v>124</v>
      </c>
      <c r="F55" s="182" t="s">
        <v>123</v>
      </c>
      <c r="G55" s="182" t="s">
        <v>124</v>
      </c>
      <c r="H55" s="182" t="s">
        <v>124</v>
      </c>
      <c r="I55" s="181" t="s">
        <v>124</v>
      </c>
      <c r="J55" s="182" t="s">
        <v>124</v>
      </c>
      <c r="K55" s="182" t="s">
        <v>124</v>
      </c>
      <c r="L55" s="182" t="s">
        <v>124</v>
      </c>
      <c r="M55" s="182" t="s">
        <v>123</v>
      </c>
      <c r="N55" s="182" t="s">
        <v>124</v>
      </c>
      <c r="O55" s="182" t="s">
        <v>124</v>
      </c>
      <c r="P55" s="182" t="s">
        <v>124</v>
      </c>
      <c r="Q55" s="225" t="s">
        <v>124</v>
      </c>
      <c r="R55" s="225" t="s">
        <v>123</v>
      </c>
      <c r="S55" s="225" t="s">
        <v>123</v>
      </c>
      <c r="T55" s="225" t="s">
        <v>123</v>
      </c>
      <c r="U55" s="225" t="s">
        <v>124</v>
      </c>
      <c r="V55" s="225" t="s">
        <v>124</v>
      </c>
      <c r="W55" s="225" t="s">
        <v>124</v>
      </c>
      <c r="X55" s="225" t="s">
        <v>124</v>
      </c>
      <c r="Y55" s="225"/>
      <c r="Z55" s="225"/>
      <c r="AA55" s="225"/>
      <c r="AB55" s="225"/>
      <c r="AC55" s="225"/>
      <c r="AD55" s="225"/>
      <c r="AE55" s="225"/>
      <c r="AF55" s="234"/>
      <c r="AG55" s="113"/>
      <c r="AH55" s="113"/>
      <c r="AI55" s="113"/>
      <c r="AJ55" s="113"/>
      <c r="AK55" s="146">
        <v>26</v>
      </c>
      <c r="AL55" s="181"/>
      <c r="AM55" s="280">
        <f t="shared" si="0"/>
        <v>26</v>
      </c>
      <c r="AN55" s="281">
        <v>33</v>
      </c>
      <c r="AO55" s="101">
        <f t="shared" si="1"/>
        <v>0.78787878787878785</v>
      </c>
      <c r="AQ55" s="283">
        <f>OVERALL!A51</f>
        <v>48</v>
      </c>
      <c r="AR55" s="283">
        <f>OVERALL!B51</f>
        <v>2301285</v>
      </c>
      <c r="AS55" s="284" t="str">
        <f>OVERALL!C51</f>
        <v>Vansh Sharma</v>
      </c>
      <c r="AT55" s="285">
        <f t="shared" si="2"/>
        <v>33</v>
      </c>
      <c r="AU55" s="285">
        <f t="shared" si="3"/>
        <v>23</v>
      </c>
      <c r="AV55" s="286">
        <f t="shared" si="4"/>
        <v>69.696969696969703</v>
      </c>
      <c r="AW55" s="287" t="str">
        <f t="shared" si="5"/>
        <v>0</v>
      </c>
      <c r="AX55" s="288">
        <v>7</v>
      </c>
      <c r="AY55" s="290">
        <v>5</v>
      </c>
      <c r="AZ55" s="286">
        <f t="shared" si="6"/>
        <v>6.3684210526315788</v>
      </c>
      <c r="BA55" s="286">
        <f t="shared" si="7"/>
        <v>18</v>
      </c>
    </row>
    <row r="56" spans="1:53" ht="15.75" customHeight="1">
      <c r="A56" s="122">
        <v>52</v>
      </c>
      <c r="B56" s="105">
        <f>OVERALL!B55</f>
        <v>2339509</v>
      </c>
      <c r="C56" s="106" t="str">
        <f>OVERALL!C55</f>
        <v>TOHIED AHMED</v>
      </c>
      <c r="D56" s="181" t="s">
        <v>123</v>
      </c>
      <c r="E56" s="182" t="s">
        <v>123</v>
      </c>
      <c r="F56" s="182" t="s">
        <v>123</v>
      </c>
      <c r="G56" s="182" t="s">
        <v>123</v>
      </c>
      <c r="H56" s="182" t="s">
        <v>123</v>
      </c>
      <c r="I56" s="181" t="s">
        <v>123</v>
      </c>
      <c r="J56" s="182" t="s">
        <v>123</v>
      </c>
      <c r="K56" s="182" t="s">
        <v>123</v>
      </c>
      <c r="L56" s="182" t="s">
        <v>123</v>
      </c>
      <c r="M56" s="182" t="s">
        <v>123</v>
      </c>
      <c r="N56" s="182" t="s">
        <v>123</v>
      </c>
      <c r="O56" s="182" t="s">
        <v>123</v>
      </c>
      <c r="P56" s="182" t="s">
        <v>123</v>
      </c>
      <c r="Q56" s="225" t="s">
        <v>123</v>
      </c>
      <c r="R56" s="225" t="s">
        <v>123</v>
      </c>
      <c r="S56" s="225" t="s">
        <v>123</v>
      </c>
      <c r="T56" s="225" t="s">
        <v>123</v>
      </c>
      <c r="U56" s="225" t="s">
        <v>123</v>
      </c>
      <c r="V56" s="225" t="s">
        <v>123</v>
      </c>
      <c r="W56" s="225" t="s">
        <v>123</v>
      </c>
      <c r="X56" s="225" t="s">
        <v>123</v>
      </c>
      <c r="Y56" s="225"/>
      <c r="Z56" s="225"/>
      <c r="AA56" s="225"/>
      <c r="AB56" s="225"/>
      <c r="AC56" s="225"/>
      <c r="AD56" s="225"/>
      <c r="AE56" s="225"/>
      <c r="AF56" s="234"/>
      <c r="AG56" s="113"/>
      <c r="AH56" s="113"/>
      <c r="AI56" s="113"/>
      <c r="AJ56" s="113"/>
      <c r="AK56" s="146">
        <v>0</v>
      </c>
      <c r="AL56" s="181"/>
      <c r="AM56" s="280">
        <f t="shared" si="0"/>
        <v>0</v>
      </c>
      <c r="AN56" s="281">
        <v>33</v>
      </c>
      <c r="AO56" s="101">
        <f t="shared" si="1"/>
        <v>0</v>
      </c>
      <c r="AQ56" s="283">
        <f>OVERALL!A52</f>
        <v>49</v>
      </c>
      <c r="AR56" s="283">
        <f>OVERALL!B52</f>
        <v>2301286</v>
      </c>
      <c r="AS56" s="284" t="str">
        <f>OVERALL!C52</f>
        <v>Vikramjit Singh</v>
      </c>
      <c r="AT56" s="285">
        <f t="shared" si="2"/>
        <v>33</v>
      </c>
      <c r="AU56" s="285">
        <f t="shared" si="3"/>
        <v>1</v>
      </c>
      <c r="AV56" s="286">
        <f t="shared" si="4"/>
        <v>3.0303030303030303</v>
      </c>
      <c r="AW56" s="287" t="str">
        <f t="shared" si="5"/>
        <v>0</v>
      </c>
      <c r="AX56" s="288">
        <v>0</v>
      </c>
      <c r="AY56" s="290">
        <v>0</v>
      </c>
      <c r="AZ56" s="286">
        <f t="shared" si="6"/>
        <v>0.36842105263157893</v>
      </c>
      <c r="BA56" s="286">
        <f t="shared" si="7"/>
        <v>0</v>
      </c>
    </row>
    <row r="57" spans="1:53" ht="15.75" customHeight="1">
      <c r="A57" s="122">
        <v>53</v>
      </c>
      <c r="B57" s="105">
        <f>OVERALL!B56</f>
        <v>2301207</v>
      </c>
      <c r="C57" s="106" t="str">
        <f>OVERALL!C56</f>
        <v>Harsh thakur</v>
      </c>
      <c r="D57" s="181" t="s">
        <v>123</v>
      </c>
      <c r="E57" s="182" t="s">
        <v>123</v>
      </c>
      <c r="F57" s="182" t="s">
        <v>124</v>
      </c>
      <c r="G57" s="182" t="s">
        <v>123</v>
      </c>
      <c r="H57" s="182" t="s">
        <v>123</v>
      </c>
      <c r="I57" s="181" t="s">
        <v>123</v>
      </c>
      <c r="J57" s="182" t="s">
        <v>123</v>
      </c>
      <c r="K57" s="182" t="s">
        <v>123</v>
      </c>
      <c r="L57" s="182" t="s">
        <v>123</v>
      </c>
      <c r="M57" s="182" t="s">
        <v>123</v>
      </c>
      <c r="N57" s="182" t="s">
        <v>123</v>
      </c>
      <c r="O57" s="182" t="s">
        <v>123</v>
      </c>
      <c r="P57" s="182" t="s">
        <v>123</v>
      </c>
      <c r="Q57" s="225" t="s">
        <v>123</v>
      </c>
      <c r="R57" s="225" t="s">
        <v>123</v>
      </c>
      <c r="S57" s="225" t="s">
        <v>123</v>
      </c>
      <c r="T57" s="225" t="s">
        <v>123</v>
      </c>
      <c r="U57" s="225" t="s">
        <v>123</v>
      </c>
      <c r="V57" s="225" t="s">
        <v>123</v>
      </c>
      <c r="W57" s="225" t="s">
        <v>123</v>
      </c>
      <c r="X57" s="225" t="s">
        <v>123</v>
      </c>
      <c r="Y57" s="225"/>
      <c r="Z57" s="225"/>
      <c r="AA57" s="225"/>
      <c r="AB57" s="225"/>
      <c r="AC57" s="225"/>
      <c r="AD57" s="225"/>
      <c r="AE57" s="225"/>
      <c r="AF57" s="234"/>
      <c r="AG57" s="113"/>
      <c r="AH57" s="113"/>
      <c r="AI57" s="113"/>
      <c r="AJ57" s="113"/>
      <c r="AK57" s="146">
        <v>0</v>
      </c>
      <c r="AL57" s="181"/>
      <c r="AM57" s="280">
        <f t="shared" si="0"/>
        <v>0</v>
      </c>
      <c r="AN57" s="281">
        <v>33</v>
      </c>
      <c r="AO57" s="101">
        <f t="shared" si="1"/>
        <v>0</v>
      </c>
      <c r="AQ57" s="283">
        <f>OVERALL!A53</f>
        <v>50</v>
      </c>
      <c r="AR57" s="283">
        <f>OVERALL!B53</f>
        <v>2301287</v>
      </c>
      <c r="AS57" s="284" t="str">
        <f>OVERALL!C53</f>
        <v>Vishavjit Singh</v>
      </c>
      <c r="AT57" s="285">
        <f t="shared" si="2"/>
        <v>33</v>
      </c>
      <c r="AU57" s="285">
        <f t="shared" si="3"/>
        <v>7</v>
      </c>
      <c r="AV57" s="286">
        <f t="shared" si="4"/>
        <v>21.212121212121211</v>
      </c>
      <c r="AW57" s="287" t="str">
        <f t="shared" si="5"/>
        <v>0</v>
      </c>
      <c r="AX57" s="288">
        <v>0</v>
      </c>
      <c r="AY57" s="290">
        <v>0</v>
      </c>
      <c r="AZ57" s="286">
        <f t="shared" si="6"/>
        <v>1.7894736842105263</v>
      </c>
      <c r="BA57" s="286">
        <f t="shared" si="7"/>
        <v>2</v>
      </c>
    </row>
    <row r="58" spans="1:53" ht="15.75" customHeight="1">
      <c r="A58" s="122">
        <v>54</v>
      </c>
      <c r="B58" s="105" t="str">
        <f>OVERALL!B57</f>
        <v>Leet</v>
      </c>
      <c r="C58" s="106" t="str">
        <f>OVERALL!C57</f>
        <v>Gagan</v>
      </c>
      <c r="D58" s="181" t="s">
        <v>123</v>
      </c>
      <c r="E58" s="182" t="s">
        <v>124</v>
      </c>
      <c r="F58" s="182" t="s">
        <v>123</v>
      </c>
      <c r="G58" s="182" t="s">
        <v>124</v>
      </c>
      <c r="H58" s="182" t="s">
        <v>124</v>
      </c>
      <c r="I58" s="181" t="s">
        <v>124</v>
      </c>
      <c r="J58" s="182" t="s">
        <v>124</v>
      </c>
      <c r="K58" s="182" t="s">
        <v>124</v>
      </c>
      <c r="L58" s="182" t="s">
        <v>123</v>
      </c>
      <c r="M58" s="182" t="s">
        <v>123</v>
      </c>
      <c r="N58" s="182" t="s">
        <v>124</v>
      </c>
      <c r="O58" s="182" t="s">
        <v>123</v>
      </c>
      <c r="P58" s="182" t="s">
        <v>124</v>
      </c>
      <c r="Q58" s="225" t="s">
        <v>124</v>
      </c>
      <c r="R58" s="225" t="s">
        <v>123</v>
      </c>
      <c r="S58" s="225" t="s">
        <v>124</v>
      </c>
      <c r="T58" s="225" t="s">
        <v>124</v>
      </c>
      <c r="U58" s="225" t="s">
        <v>124</v>
      </c>
      <c r="V58" s="225" t="s">
        <v>124</v>
      </c>
      <c r="W58" s="225" t="s">
        <v>124</v>
      </c>
      <c r="X58" s="225" t="s">
        <v>124</v>
      </c>
      <c r="Y58" s="225"/>
      <c r="Z58" s="225"/>
      <c r="AA58" s="225"/>
      <c r="AB58" s="225"/>
      <c r="AC58" s="225"/>
      <c r="AD58" s="225"/>
      <c r="AE58" s="225"/>
      <c r="AF58" s="234"/>
      <c r="AG58" s="113"/>
      <c r="AH58" s="113"/>
      <c r="AI58" s="113"/>
      <c r="AJ58" s="113"/>
      <c r="AK58" s="146">
        <v>22</v>
      </c>
      <c r="AL58" s="181"/>
      <c r="AM58" s="280">
        <f t="shared" si="0"/>
        <v>22</v>
      </c>
      <c r="AN58" s="281">
        <v>33</v>
      </c>
      <c r="AO58" s="101">
        <f t="shared" si="1"/>
        <v>0.66666666666666663</v>
      </c>
      <c r="AQ58" s="283">
        <f>OVERALL!A54</f>
        <v>51</v>
      </c>
      <c r="AR58" s="283">
        <f>OVERALL!B54</f>
        <v>2339508</v>
      </c>
      <c r="AS58" s="284" t="str">
        <f>OVERALL!C54</f>
        <v>TANISHA</v>
      </c>
      <c r="AT58" s="285">
        <f t="shared" si="2"/>
        <v>33</v>
      </c>
      <c r="AU58" s="285">
        <f t="shared" si="3"/>
        <v>26</v>
      </c>
      <c r="AV58" s="286">
        <f t="shared" si="4"/>
        <v>78.787878787878782</v>
      </c>
      <c r="AW58" s="287" t="str">
        <f t="shared" si="5"/>
        <v>2</v>
      </c>
      <c r="AX58" s="288">
        <v>7</v>
      </c>
      <c r="AY58" s="290">
        <v>5</v>
      </c>
      <c r="AZ58" s="286">
        <f t="shared" si="6"/>
        <v>6.6842105263157894</v>
      </c>
      <c r="BA58" s="286">
        <f t="shared" si="7"/>
        <v>21</v>
      </c>
    </row>
    <row r="59" spans="1:53" ht="15.75" customHeight="1">
      <c r="A59" s="122">
        <v>55</v>
      </c>
      <c r="B59" s="105" t="str">
        <f>OVERALL!B58</f>
        <v>Leet</v>
      </c>
      <c r="C59" s="106" t="str">
        <f>OVERALL!C58</f>
        <v>Manisha</v>
      </c>
      <c r="D59" s="181" t="s">
        <v>123</v>
      </c>
      <c r="E59" s="182" t="s">
        <v>124</v>
      </c>
      <c r="F59" s="182" t="s">
        <v>124</v>
      </c>
      <c r="G59" s="182" t="s">
        <v>123</v>
      </c>
      <c r="H59" s="182" t="s">
        <v>123</v>
      </c>
      <c r="I59" s="181" t="s">
        <v>124</v>
      </c>
      <c r="J59" s="182" t="s">
        <v>124</v>
      </c>
      <c r="K59" s="182" t="s">
        <v>124</v>
      </c>
      <c r="L59" s="182" t="s">
        <v>123</v>
      </c>
      <c r="M59" s="182" t="s">
        <v>123</v>
      </c>
      <c r="N59" s="182" t="s">
        <v>124</v>
      </c>
      <c r="O59" s="182" t="s">
        <v>124</v>
      </c>
      <c r="P59" s="182" t="s">
        <v>124</v>
      </c>
      <c r="Q59" s="225" t="s">
        <v>124</v>
      </c>
      <c r="R59" s="225" t="s">
        <v>124</v>
      </c>
      <c r="S59" s="225" t="s">
        <v>124</v>
      </c>
      <c r="T59" s="225" t="s">
        <v>124</v>
      </c>
      <c r="U59" s="225" t="s">
        <v>124</v>
      </c>
      <c r="V59" s="225" t="s">
        <v>124</v>
      </c>
      <c r="W59" s="225" t="s">
        <v>124</v>
      </c>
      <c r="X59" s="225" t="s">
        <v>124</v>
      </c>
      <c r="Y59" s="225"/>
      <c r="Z59" s="225"/>
      <c r="AA59" s="225"/>
      <c r="AB59" s="225"/>
      <c r="AC59" s="225"/>
      <c r="AD59" s="225"/>
      <c r="AE59" s="225"/>
      <c r="AF59" s="234"/>
      <c r="AG59" s="113"/>
      <c r="AH59" s="113"/>
      <c r="AI59" s="113"/>
      <c r="AJ59" s="113"/>
      <c r="AK59" s="146">
        <v>25</v>
      </c>
      <c r="AL59" s="181"/>
      <c r="AM59" s="280">
        <f t="shared" si="0"/>
        <v>25</v>
      </c>
      <c r="AN59" s="281">
        <v>33</v>
      </c>
      <c r="AO59" s="101">
        <f t="shared" si="1"/>
        <v>0.75757575757575757</v>
      </c>
      <c r="AQ59" s="283">
        <f>OVERALL!A55</f>
        <v>52</v>
      </c>
      <c r="AR59" s="283">
        <f>OVERALL!B55</f>
        <v>2339509</v>
      </c>
      <c r="AS59" s="284" t="str">
        <f>OVERALL!C55</f>
        <v>TOHIED AHMED</v>
      </c>
      <c r="AT59" s="285">
        <f t="shared" si="2"/>
        <v>33</v>
      </c>
      <c r="AU59" s="285">
        <f t="shared" si="3"/>
        <v>0</v>
      </c>
      <c r="AV59" s="286">
        <f t="shared" si="4"/>
        <v>0</v>
      </c>
      <c r="AW59" s="287" t="str">
        <f t="shared" si="5"/>
        <v>0</v>
      </c>
      <c r="AX59" s="288">
        <v>0</v>
      </c>
      <c r="AY59" s="290">
        <v>0</v>
      </c>
      <c r="AZ59" s="286">
        <f t="shared" si="6"/>
        <v>0</v>
      </c>
      <c r="BA59" s="286">
        <f t="shared" si="7"/>
        <v>0</v>
      </c>
    </row>
    <row r="60" spans="1:53" ht="15.75" customHeight="1">
      <c r="A60" s="122">
        <v>56</v>
      </c>
      <c r="B60" s="105" t="str">
        <f>OVERALL!B59</f>
        <v>Leet</v>
      </c>
      <c r="C60" s="106" t="str">
        <f>OVERALL!C59</f>
        <v>Richa</v>
      </c>
      <c r="D60" s="181" t="s">
        <v>123</v>
      </c>
      <c r="E60" s="182" t="s">
        <v>124</v>
      </c>
      <c r="F60" s="182" t="s">
        <v>124</v>
      </c>
      <c r="G60" s="182" t="s">
        <v>124</v>
      </c>
      <c r="H60" s="182" t="s">
        <v>124</v>
      </c>
      <c r="I60" s="181" t="s">
        <v>124</v>
      </c>
      <c r="J60" s="182" t="s">
        <v>124</v>
      </c>
      <c r="K60" s="182" t="s">
        <v>124</v>
      </c>
      <c r="L60" s="182" t="s">
        <v>124</v>
      </c>
      <c r="M60" s="182" t="s">
        <v>123</v>
      </c>
      <c r="N60" s="182" t="s">
        <v>124</v>
      </c>
      <c r="O60" s="182" t="s">
        <v>124</v>
      </c>
      <c r="P60" s="182" t="s">
        <v>124</v>
      </c>
      <c r="Q60" s="225" t="s">
        <v>124</v>
      </c>
      <c r="R60" s="225" t="s">
        <v>124</v>
      </c>
      <c r="S60" s="225" t="s">
        <v>124</v>
      </c>
      <c r="T60" s="225" t="s">
        <v>124</v>
      </c>
      <c r="U60" s="225" t="s">
        <v>124</v>
      </c>
      <c r="V60" s="225" t="s">
        <v>124</v>
      </c>
      <c r="W60" s="225" t="s">
        <v>124</v>
      </c>
      <c r="X60" s="225" t="s">
        <v>124</v>
      </c>
      <c r="Y60" s="225"/>
      <c r="Z60" s="225"/>
      <c r="AA60" s="225"/>
      <c r="AB60" s="225"/>
      <c r="AC60" s="225"/>
      <c r="AD60" s="225"/>
      <c r="AE60" s="225"/>
      <c r="AF60" s="234"/>
      <c r="AG60" s="113"/>
      <c r="AH60" s="113"/>
      <c r="AI60" s="113"/>
      <c r="AJ60" s="113"/>
      <c r="AK60" s="146">
        <v>29</v>
      </c>
      <c r="AL60" s="181">
        <v>0</v>
      </c>
      <c r="AM60" s="280">
        <f t="shared" si="0"/>
        <v>29</v>
      </c>
      <c r="AN60" s="281">
        <v>33</v>
      </c>
      <c r="AO60" s="101">
        <f t="shared" si="1"/>
        <v>0.87878787878787878</v>
      </c>
      <c r="AQ60" s="283">
        <f>OVERALL!A56</f>
        <v>53</v>
      </c>
      <c r="AR60" s="283">
        <f>OVERALL!B56</f>
        <v>2301207</v>
      </c>
      <c r="AS60" s="284" t="str">
        <f>OVERALL!C56</f>
        <v>Harsh thakur</v>
      </c>
      <c r="AT60" s="285">
        <f t="shared" si="2"/>
        <v>33</v>
      </c>
      <c r="AU60" s="285">
        <f t="shared" si="3"/>
        <v>0</v>
      </c>
      <c r="AV60" s="286">
        <f t="shared" si="4"/>
        <v>0</v>
      </c>
      <c r="AW60" s="287" t="str">
        <f t="shared" si="5"/>
        <v>0</v>
      </c>
      <c r="AX60" s="288">
        <v>0</v>
      </c>
      <c r="AY60" s="290">
        <v>0</v>
      </c>
      <c r="AZ60" s="286">
        <f t="shared" si="6"/>
        <v>0</v>
      </c>
      <c r="BA60" s="286">
        <f t="shared" si="7"/>
        <v>0</v>
      </c>
    </row>
    <row r="61" spans="1:53" ht="15.75" customHeight="1">
      <c r="A61" s="122">
        <v>57</v>
      </c>
      <c r="B61" s="105" t="str">
        <f>OVERALL!B60</f>
        <v>Leet</v>
      </c>
      <c r="C61" s="106" t="str">
        <f>OVERALL!C60</f>
        <v>Prakriti</v>
      </c>
      <c r="D61" s="113"/>
      <c r="E61" s="113"/>
      <c r="F61" s="113"/>
      <c r="G61" s="113"/>
      <c r="H61" s="113"/>
      <c r="I61" s="113"/>
      <c r="J61" s="96"/>
      <c r="K61" s="96"/>
      <c r="L61" s="96"/>
      <c r="M61" s="96"/>
      <c r="N61" s="96"/>
      <c r="O61" s="186"/>
      <c r="P61" s="186"/>
      <c r="Q61" s="113"/>
      <c r="R61" s="113"/>
      <c r="S61" s="113"/>
      <c r="T61" s="292"/>
      <c r="U61" s="292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46">
        <v>20</v>
      </c>
      <c r="AL61" s="142"/>
      <c r="AM61" s="280">
        <f t="shared" si="0"/>
        <v>20</v>
      </c>
      <c r="AN61" s="293">
        <v>21</v>
      </c>
      <c r="AO61" s="101">
        <f t="shared" si="1"/>
        <v>0.95238095238095233</v>
      </c>
      <c r="AQ61" s="283">
        <f>OVERALL!A57</f>
        <v>54</v>
      </c>
      <c r="AR61" s="283" t="str">
        <f>OVERALL!B57</f>
        <v>Leet</v>
      </c>
      <c r="AS61" s="284" t="str">
        <f>OVERALL!C57</f>
        <v>Gagan</v>
      </c>
      <c r="AT61" s="285">
        <f t="shared" si="2"/>
        <v>33</v>
      </c>
      <c r="AU61" s="285">
        <f t="shared" si="3"/>
        <v>22</v>
      </c>
      <c r="AV61" s="286">
        <f t="shared" si="4"/>
        <v>66.666666666666657</v>
      </c>
      <c r="AW61" s="287" t="str">
        <f t="shared" si="5"/>
        <v>0</v>
      </c>
      <c r="AX61" s="288">
        <v>7</v>
      </c>
      <c r="AY61" s="290">
        <v>6</v>
      </c>
      <c r="AZ61" s="286">
        <f t="shared" si="6"/>
        <v>6.4736842105263159</v>
      </c>
      <c r="BA61" s="286">
        <f t="shared" si="7"/>
        <v>19</v>
      </c>
    </row>
    <row r="62" spans="1:53" ht="15.75" customHeight="1">
      <c r="A62" s="122">
        <v>58</v>
      </c>
      <c r="B62" s="105" t="str">
        <f>OVERALL!B61</f>
        <v>leet</v>
      </c>
      <c r="C62" s="106" t="str">
        <f>OVERALL!C61</f>
        <v>Shubham</v>
      </c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294">
        <v>11</v>
      </c>
      <c r="AL62" s="257"/>
      <c r="AM62" s="280">
        <f t="shared" si="0"/>
        <v>11</v>
      </c>
      <c r="AN62" s="280">
        <v>15</v>
      </c>
      <c r="AO62" s="101">
        <f t="shared" si="1"/>
        <v>0.73333333333333328</v>
      </c>
      <c r="AQ62" s="283">
        <f>OVERALL!A58</f>
        <v>55</v>
      </c>
      <c r="AR62" s="283" t="str">
        <f>OVERALL!B58</f>
        <v>Leet</v>
      </c>
      <c r="AS62" s="284" t="str">
        <f>OVERALL!C58</f>
        <v>Manisha</v>
      </c>
      <c r="AT62" s="285">
        <f t="shared" si="2"/>
        <v>33</v>
      </c>
      <c r="AU62" s="285">
        <f t="shared" si="3"/>
        <v>25</v>
      </c>
      <c r="AV62" s="286">
        <f t="shared" si="4"/>
        <v>75.757575757575751</v>
      </c>
      <c r="AW62" s="287" t="str">
        <f t="shared" si="5"/>
        <v>2</v>
      </c>
      <c r="AX62" s="288">
        <v>7</v>
      </c>
      <c r="AY62" s="290">
        <v>5</v>
      </c>
      <c r="AZ62" s="286">
        <f t="shared" si="6"/>
        <v>6.1578947368421053</v>
      </c>
      <c r="BA62" s="286">
        <f t="shared" si="7"/>
        <v>20</v>
      </c>
    </row>
    <row r="63" spans="1:53" ht="15.75" customHeight="1">
      <c r="A63" s="295"/>
      <c r="B63" s="296"/>
      <c r="C63" s="29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44"/>
      <c r="AL63" s="44"/>
      <c r="AM63" s="44"/>
      <c r="AN63" s="44"/>
      <c r="AO63" s="51"/>
      <c r="AQ63" s="283">
        <f>OVERALL!A59</f>
        <v>56</v>
      </c>
      <c r="AR63" s="283" t="str">
        <f>OVERALL!B59</f>
        <v>Leet</v>
      </c>
      <c r="AS63" s="284" t="str">
        <f>OVERALL!C59</f>
        <v>Richa</v>
      </c>
      <c r="AT63" s="285">
        <f t="shared" si="2"/>
        <v>33</v>
      </c>
      <c r="AU63" s="285">
        <f t="shared" si="3"/>
        <v>29</v>
      </c>
      <c r="AV63" s="286">
        <f t="shared" si="4"/>
        <v>87.878787878787875</v>
      </c>
      <c r="AW63" s="287" t="str">
        <f t="shared" si="5"/>
        <v>4</v>
      </c>
      <c r="AX63" s="288">
        <v>7</v>
      </c>
      <c r="AY63" s="290">
        <v>6</v>
      </c>
      <c r="AZ63" s="286">
        <f t="shared" si="6"/>
        <v>7.8947368421052628</v>
      </c>
      <c r="BA63" s="286">
        <f t="shared" si="7"/>
        <v>25</v>
      </c>
    </row>
    <row r="64" spans="1:53" ht="15.75" customHeight="1">
      <c r="A64" s="297"/>
      <c r="B64" s="296"/>
      <c r="C64" s="29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44"/>
      <c r="AL64" s="44"/>
      <c r="AM64" s="44"/>
      <c r="AN64" s="44"/>
      <c r="AO64" s="51"/>
      <c r="AQ64" s="283">
        <f>OVERALL!A60</f>
        <v>57</v>
      </c>
      <c r="AR64" s="283" t="str">
        <f>OVERALL!B60</f>
        <v>Leet</v>
      </c>
      <c r="AS64" s="284" t="str">
        <f>OVERALL!C60</f>
        <v>Prakriti</v>
      </c>
      <c r="AT64" s="285">
        <f t="shared" si="2"/>
        <v>21</v>
      </c>
      <c r="AU64" s="285">
        <f t="shared" si="3"/>
        <v>20</v>
      </c>
      <c r="AV64" s="286">
        <f t="shared" si="4"/>
        <v>95.238095238095227</v>
      </c>
      <c r="AW64" s="287" t="str">
        <f t="shared" si="5"/>
        <v>5</v>
      </c>
      <c r="AX64" s="288">
        <v>7</v>
      </c>
      <c r="AY64" s="290">
        <v>6</v>
      </c>
      <c r="AZ64" s="286">
        <f t="shared" si="6"/>
        <v>7.2</v>
      </c>
      <c r="BA64" s="286">
        <f t="shared" si="7"/>
        <v>25</v>
      </c>
    </row>
    <row r="65" spans="1:53" ht="15.75" customHeight="1">
      <c r="A65" s="297"/>
      <c r="B65" s="296"/>
      <c r="C65" s="29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44"/>
      <c r="AL65" s="44"/>
      <c r="AM65" s="44"/>
      <c r="AN65" s="44"/>
      <c r="AO65" s="51"/>
      <c r="AQ65" s="283">
        <f>OVERALL!A61</f>
        <v>58</v>
      </c>
      <c r="AR65" s="283" t="str">
        <f>OVERALL!B61</f>
        <v>leet</v>
      </c>
      <c r="AS65" s="284" t="str">
        <f>OVERALL!C61</f>
        <v>Shubham</v>
      </c>
      <c r="AT65" s="285">
        <f t="shared" si="2"/>
        <v>15</v>
      </c>
      <c r="AU65" s="285">
        <f t="shared" si="3"/>
        <v>11</v>
      </c>
      <c r="AV65" s="286">
        <f t="shared" si="4"/>
        <v>73.333333333333329</v>
      </c>
      <c r="AW65" s="287" t="str">
        <f t="shared" si="5"/>
        <v>0</v>
      </c>
      <c r="AX65" s="288">
        <v>7</v>
      </c>
      <c r="AY65" s="290">
        <v>6</v>
      </c>
      <c r="AZ65" s="286">
        <f t="shared" si="6"/>
        <v>8</v>
      </c>
      <c r="BA65" s="286">
        <f t="shared" si="7"/>
        <v>21</v>
      </c>
    </row>
    <row r="66" spans="1:53" ht="15.75" customHeight="1">
      <c r="A66" s="297"/>
      <c r="B66" s="29"/>
      <c r="C66" s="29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44"/>
      <c r="AL66" s="44"/>
      <c r="AM66" s="44"/>
      <c r="AN66" s="44"/>
      <c r="AO66" s="51"/>
      <c r="AQ66" s="298"/>
      <c r="AR66" s="42"/>
      <c r="AS66" s="41"/>
      <c r="AT66" s="299"/>
      <c r="AU66" s="299"/>
      <c r="AV66" s="300"/>
      <c r="AW66" s="233"/>
      <c r="AX66" s="301"/>
      <c r="AY66" s="301"/>
      <c r="AZ66" s="300"/>
      <c r="BA66" s="300"/>
    </row>
    <row r="67" spans="1:53" ht="15.75" customHeight="1">
      <c r="A67" s="298"/>
      <c r="B67" s="41"/>
      <c r="C67" s="41"/>
      <c r="D67" s="33"/>
      <c r="E67" s="33"/>
      <c r="F67" s="33"/>
      <c r="G67" s="33"/>
      <c r="H67" s="33"/>
      <c r="I67" s="33"/>
      <c r="J67" s="40"/>
      <c r="K67" s="40"/>
      <c r="L67" s="40"/>
      <c r="M67" s="40"/>
      <c r="N67" s="40"/>
      <c r="O67" s="33"/>
      <c r="P67" s="33"/>
      <c r="Q67" s="33"/>
      <c r="R67" s="33"/>
      <c r="S67" s="33"/>
      <c r="T67" s="33"/>
      <c r="U67" s="33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24"/>
      <c r="AL67" s="24"/>
      <c r="AM67" s="24"/>
      <c r="AN67" s="24"/>
      <c r="AO67" s="51"/>
      <c r="AQ67" s="298"/>
      <c r="AR67" s="42"/>
      <c r="AS67" s="41"/>
      <c r="AT67" s="299"/>
      <c r="AU67" s="299"/>
      <c r="AV67" s="300"/>
      <c r="AW67" s="233"/>
      <c r="AX67" s="301"/>
      <c r="AY67" s="301"/>
      <c r="AZ67" s="300"/>
      <c r="BA67" s="300"/>
    </row>
    <row r="68" spans="1:53" ht="15.75" customHeight="1">
      <c r="A68" s="298"/>
      <c r="B68" s="41"/>
      <c r="C68" s="41"/>
      <c r="D68" s="33"/>
      <c r="E68" s="33"/>
      <c r="F68" s="33"/>
      <c r="G68" s="33"/>
      <c r="H68" s="33"/>
      <c r="I68" s="33"/>
      <c r="J68" s="40"/>
      <c r="K68" s="40"/>
      <c r="L68" s="40"/>
      <c r="M68" s="40"/>
      <c r="N68" s="40"/>
      <c r="O68" s="33"/>
      <c r="P68" s="33"/>
      <c r="Q68" s="33"/>
      <c r="R68" s="33"/>
      <c r="S68" s="33"/>
      <c r="T68" s="33"/>
      <c r="U68" s="33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24"/>
      <c r="AL68" s="24"/>
      <c r="AM68" s="24"/>
      <c r="AN68" s="24"/>
      <c r="AO68" s="51"/>
      <c r="AQ68" s="298"/>
      <c r="AR68" s="42"/>
      <c r="AS68" s="41"/>
      <c r="AT68" s="299"/>
      <c r="AU68" s="299"/>
      <c r="AV68" s="300"/>
      <c r="AW68" s="233"/>
      <c r="AX68" s="301"/>
      <c r="AY68" s="301"/>
      <c r="AZ68" s="300"/>
      <c r="BA68" s="300"/>
    </row>
    <row r="69" spans="1:53" ht="15.75" customHeight="1">
      <c r="A69" s="134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51"/>
      <c r="AN69" s="24"/>
      <c r="AO69" s="24"/>
      <c r="AQ69" s="298"/>
      <c r="AR69" s="42"/>
      <c r="AS69" s="41"/>
      <c r="AT69" s="299"/>
      <c r="AU69" s="299"/>
      <c r="AV69" s="300"/>
      <c r="AW69" s="233"/>
      <c r="AX69" s="301"/>
      <c r="AY69" s="301"/>
      <c r="AZ69" s="300"/>
      <c r="BA69" s="300"/>
    </row>
    <row r="70" spans="1:53" ht="15.75" customHeight="1">
      <c r="A70" s="134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51"/>
      <c r="AN70" s="24"/>
      <c r="AO70" s="24"/>
      <c r="AQ70" s="298"/>
      <c r="AR70" s="42"/>
      <c r="AS70" s="41"/>
      <c r="AT70" s="299"/>
      <c r="AU70" s="299"/>
      <c r="AV70" s="300"/>
      <c r="AW70" s="233"/>
      <c r="AX70" s="301"/>
      <c r="AY70" s="301"/>
      <c r="AZ70" s="300"/>
      <c r="BA70" s="300"/>
    </row>
    <row r="71" spans="1:53" ht="15.75" customHeight="1">
      <c r="A71" s="134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51"/>
      <c r="AN71" s="24"/>
      <c r="AO71" s="24"/>
      <c r="AQ71" s="298"/>
      <c r="AR71" s="42"/>
      <c r="AS71" s="41"/>
      <c r="AT71" s="299"/>
      <c r="AU71" s="299"/>
      <c r="AV71" s="300"/>
      <c r="AW71" s="233"/>
      <c r="AX71" s="301"/>
      <c r="AY71" s="301"/>
      <c r="AZ71" s="300"/>
      <c r="BA71" s="300"/>
    </row>
    <row r="72" spans="1:53" ht="15.75" customHeight="1">
      <c r="A72" s="134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51"/>
      <c r="AN72" s="24"/>
      <c r="AO72" s="24"/>
      <c r="AR72" s="40"/>
    </row>
    <row r="73" spans="1:53" ht="15.75" customHeight="1">
      <c r="A73" s="408" t="s">
        <v>180</v>
      </c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  <c r="AI73" s="358"/>
      <c r="AJ73" s="359"/>
      <c r="AK73" s="24"/>
      <c r="AL73" s="24"/>
      <c r="AM73" s="24"/>
      <c r="AN73" s="24"/>
      <c r="AO73" s="24"/>
      <c r="AR73" s="40"/>
    </row>
    <row r="74" spans="1:53" ht="15.75" customHeight="1">
      <c r="A74" s="267" t="s">
        <v>12</v>
      </c>
      <c r="B74" s="268" t="s">
        <v>13</v>
      </c>
      <c r="C74" s="269" t="s">
        <v>14</v>
      </c>
      <c r="D74" s="96">
        <v>1</v>
      </c>
      <c r="E74" s="96">
        <v>2</v>
      </c>
      <c r="F74" s="96">
        <v>3</v>
      </c>
      <c r="G74" s="96">
        <v>4</v>
      </c>
      <c r="H74" s="96">
        <v>5</v>
      </c>
      <c r="I74" s="96">
        <v>6</v>
      </c>
      <c r="J74" s="96">
        <v>7</v>
      </c>
      <c r="K74" s="96">
        <v>8</v>
      </c>
      <c r="L74" s="96">
        <v>9</v>
      </c>
      <c r="M74" s="96">
        <v>10</v>
      </c>
      <c r="N74" s="96">
        <v>11</v>
      </c>
      <c r="O74" s="96">
        <v>12</v>
      </c>
      <c r="P74" s="96">
        <v>13</v>
      </c>
      <c r="Q74" s="96">
        <v>14</v>
      </c>
      <c r="R74" s="96">
        <v>15</v>
      </c>
      <c r="S74" s="96">
        <v>16</v>
      </c>
      <c r="T74" s="96">
        <v>17</v>
      </c>
      <c r="U74" s="96">
        <v>18</v>
      </c>
      <c r="V74" s="96">
        <v>19</v>
      </c>
      <c r="W74" s="96">
        <v>20</v>
      </c>
      <c r="X74" s="96">
        <v>21</v>
      </c>
      <c r="Y74" s="96">
        <v>22</v>
      </c>
      <c r="Z74" s="96">
        <v>23</v>
      </c>
      <c r="AA74" s="96">
        <v>24</v>
      </c>
      <c r="AB74" s="96">
        <v>25</v>
      </c>
      <c r="AC74" s="96">
        <v>26</v>
      </c>
      <c r="AD74" s="96">
        <v>27</v>
      </c>
      <c r="AE74" s="96">
        <v>28</v>
      </c>
      <c r="AF74" s="96">
        <v>29</v>
      </c>
      <c r="AG74" s="96">
        <v>30</v>
      </c>
      <c r="AH74" s="96">
        <v>31</v>
      </c>
      <c r="AI74" s="96">
        <v>32</v>
      </c>
      <c r="AJ74" s="96">
        <v>33</v>
      </c>
      <c r="AK74" s="24"/>
      <c r="AL74" s="24"/>
      <c r="AM74" s="24"/>
      <c r="AN74" s="24"/>
      <c r="AO74" s="24"/>
      <c r="AR74" s="40"/>
    </row>
    <row r="75" spans="1:53" ht="15.75" customHeight="1">
      <c r="A75" s="241">
        <f>OVERALL!A4</f>
        <v>1</v>
      </c>
      <c r="B75" s="242">
        <f>OVERALL!B4</f>
        <v>2301236</v>
      </c>
      <c r="C75" s="243" t="str">
        <f>OVERALL!C4</f>
        <v>Manmohan Singh</v>
      </c>
      <c r="D75" s="169">
        <v>0</v>
      </c>
      <c r="E75" s="170">
        <v>5</v>
      </c>
      <c r="F75" s="170">
        <v>0</v>
      </c>
      <c r="G75" s="170">
        <v>0</v>
      </c>
      <c r="H75" s="170">
        <v>0</v>
      </c>
      <c r="I75" s="170">
        <v>0</v>
      </c>
      <c r="J75" s="170">
        <v>0</v>
      </c>
      <c r="K75" s="170">
        <v>0</v>
      </c>
      <c r="L75" s="170">
        <v>0</v>
      </c>
      <c r="M75" s="170">
        <v>8</v>
      </c>
      <c r="N75" s="170">
        <v>0</v>
      </c>
      <c r="O75" s="170">
        <v>0</v>
      </c>
      <c r="P75" s="170">
        <v>8</v>
      </c>
      <c r="Q75" s="170">
        <v>6</v>
      </c>
      <c r="R75" s="170">
        <v>6</v>
      </c>
      <c r="S75" s="170">
        <v>6</v>
      </c>
      <c r="T75" s="170">
        <v>0</v>
      </c>
      <c r="U75" s="170">
        <v>0</v>
      </c>
      <c r="V75" s="170">
        <v>0</v>
      </c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24"/>
      <c r="AL75" s="24"/>
      <c r="AM75" s="24"/>
      <c r="AN75" s="24"/>
      <c r="AO75" s="24"/>
      <c r="AR75" s="40"/>
    </row>
    <row r="76" spans="1:53" ht="15.75" customHeight="1">
      <c r="A76" s="241">
        <f>OVERALL!A5</f>
        <v>2</v>
      </c>
      <c r="B76" s="242">
        <f>OVERALL!B5</f>
        <v>2301237</v>
      </c>
      <c r="C76" s="243" t="str">
        <f>OVERALL!C5</f>
        <v>Manpreet Kaur</v>
      </c>
      <c r="D76" s="171">
        <v>9</v>
      </c>
      <c r="E76" s="172">
        <v>9</v>
      </c>
      <c r="F76" s="172">
        <v>9</v>
      </c>
      <c r="G76" s="172">
        <v>9</v>
      </c>
      <c r="H76" s="172">
        <v>9</v>
      </c>
      <c r="I76" s="172">
        <v>8</v>
      </c>
      <c r="J76" s="172">
        <v>8</v>
      </c>
      <c r="K76" s="172">
        <v>8</v>
      </c>
      <c r="L76" s="172">
        <v>9</v>
      </c>
      <c r="M76" s="172">
        <v>8</v>
      </c>
      <c r="N76" s="172">
        <v>8</v>
      </c>
      <c r="O76" s="172">
        <v>8</v>
      </c>
      <c r="P76" s="172">
        <v>9</v>
      </c>
      <c r="Q76" s="172">
        <v>8</v>
      </c>
      <c r="R76" s="172">
        <v>8</v>
      </c>
      <c r="S76" s="172">
        <v>0</v>
      </c>
      <c r="T76" s="172">
        <v>0</v>
      </c>
      <c r="U76" s="172">
        <v>0</v>
      </c>
      <c r="V76" s="172">
        <v>0</v>
      </c>
      <c r="W76" s="302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24"/>
      <c r="AL76" s="24"/>
      <c r="AM76" s="24"/>
      <c r="AN76" s="24"/>
      <c r="AO76" s="24"/>
      <c r="AR76" s="40"/>
    </row>
    <row r="77" spans="1:53" ht="15.75" customHeight="1">
      <c r="A77" s="241">
        <f>OVERALL!A6</f>
        <v>3</v>
      </c>
      <c r="B77" s="242">
        <f>OVERALL!B6</f>
        <v>2301238</v>
      </c>
      <c r="C77" s="243" t="str">
        <f>OVERALL!C6</f>
        <v>Md Warish Chesam</v>
      </c>
      <c r="D77" s="171">
        <v>0</v>
      </c>
      <c r="E77" s="172">
        <v>0</v>
      </c>
      <c r="F77" s="172">
        <v>0</v>
      </c>
      <c r="G77" s="172">
        <v>8</v>
      </c>
      <c r="H77" s="172">
        <v>8</v>
      </c>
      <c r="I77" s="172">
        <v>8</v>
      </c>
      <c r="J77" s="172">
        <v>9</v>
      </c>
      <c r="K77" s="172">
        <v>8</v>
      </c>
      <c r="L77" s="172">
        <v>0</v>
      </c>
      <c r="M77" s="172">
        <v>8</v>
      </c>
      <c r="N77" s="172">
        <v>7</v>
      </c>
      <c r="O77" s="172">
        <v>0</v>
      </c>
      <c r="P77" s="172">
        <v>8</v>
      </c>
      <c r="Q77" s="172">
        <v>8</v>
      </c>
      <c r="R77" s="172">
        <v>8</v>
      </c>
      <c r="S77" s="172">
        <v>0</v>
      </c>
      <c r="T77" s="172">
        <v>0</v>
      </c>
      <c r="U77" s="172">
        <v>0</v>
      </c>
      <c r="V77" s="172">
        <v>0</v>
      </c>
      <c r="W77" s="303"/>
      <c r="X77" s="304"/>
      <c r="Y77" s="304"/>
      <c r="Z77" s="304"/>
      <c r="AA77" s="304"/>
      <c r="AB77" s="304"/>
      <c r="AC77" s="304"/>
      <c r="AD77" s="304"/>
      <c r="AE77" s="304"/>
      <c r="AF77" s="113"/>
      <c r="AG77" s="113"/>
      <c r="AH77" s="113"/>
      <c r="AI77" s="113"/>
      <c r="AJ77" s="113"/>
      <c r="AK77" s="24"/>
      <c r="AL77" s="24"/>
      <c r="AM77" s="24"/>
      <c r="AN77" s="24"/>
      <c r="AO77" s="24"/>
      <c r="AR77" s="40"/>
    </row>
    <row r="78" spans="1:53" ht="15.75" customHeight="1">
      <c r="A78" s="241">
        <f>OVERALL!A7</f>
        <v>4</v>
      </c>
      <c r="B78" s="242">
        <f>OVERALL!B7</f>
        <v>2301239</v>
      </c>
      <c r="C78" s="243" t="str">
        <f>OVERALL!C7</f>
        <v>Mohd Shahid Afridi</v>
      </c>
      <c r="D78" s="171">
        <v>0</v>
      </c>
      <c r="E78" s="172">
        <v>0</v>
      </c>
      <c r="F78" s="172">
        <v>0</v>
      </c>
      <c r="G78" s="172">
        <v>0</v>
      </c>
      <c r="H78" s="172">
        <v>0</v>
      </c>
      <c r="I78" s="172">
        <v>0</v>
      </c>
      <c r="J78" s="172">
        <v>0</v>
      </c>
      <c r="K78" s="172">
        <v>0</v>
      </c>
      <c r="L78" s="172">
        <v>0</v>
      </c>
      <c r="M78" s="172">
        <v>0</v>
      </c>
      <c r="N78" s="172">
        <v>0</v>
      </c>
      <c r="O78" s="172">
        <v>0</v>
      </c>
      <c r="P78" s="172">
        <v>0</v>
      </c>
      <c r="Q78" s="172">
        <v>0</v>
      </c>
      <c r="R78" s="171">
        <v>0</v>
      </c>
      <c r="S78" s="172">
        <v>0</v>
      </c>
      <c r="T78" s="172">
        <v>0</v>
      </c>
      <c r="U78" s="172">
        <v>0</v>
      </c>
      <c r="V78" s="172">
        <v>0</v>
      </c>
      <c r="W78" s="303"/>
      <c r="X78" s="304"/>
      <c r="Y78" s="304"/>
      <c r="Z78" s="304"/>
      <c r="AA78" s="304"/>
      <c r="AB78" s="304"/>
      <c r="AC78" s="304"/>
      <c r="AD78" s="304"/>
      <c r="AE78" s="304"/>
      <c r="AF78" s="113"/>
      <c r="AG78" s="113"/>
      <c r="AH78" s="113"/>
      <c r="AI78" s="113"/>
      <c r="AJ78" s="113"/>
      <c r="AK78" s="24"/>
      <c r="AL78" s="24"/>
      <c r="AM78" s="24"/>
      <c r="AN78" s="24"/>
      <c r="AO78" s="24"/>
      <c r="AR78" s="40"/>
    </row>
    <row r="79" spans="1:53" ht="15.75" customHeight="1">
      <c r="A79" s="241">
        <f>OVERALL!A8</f>
        <v>5</v>
      </c>
      <c r="B79" s="242">
        <f>OVERALL!B8</f>
        <v>2301240</v>
      </c>
      <c r="C79" s="243" t="str">
        <f>OVERALL!C8</f>
        <v>Munisha</v>
      </c>
      <c r="D79" s="171">
        <v>0</v>
      </c>
      <c r="E79" s="172">
        <v>7</v>
      </c>
      <c r="F79" s="172">
        <v>7</v>
      </c>
      <c r="G79" s="172">
        <v>7</v>
      </c>
      <c r="H79" s="172">
        <v>7</v>
      </c>
      <c r="I79" s="172">
        <v>9</v>
      </c>
      <c r="J79" s="172">
        <v>9</v>
      </c>
      <c r="K79" s="172">
        <v>9</v>
      </c>
      <c r="L79" s="172">
        <v>0</v>
      </c>
      <c r="M79" s="172">
        <v>9</v>
      </c>
      <c r="N79" s="172">
        <v>0</v>
      </c>
      <c r="O79" s="172">
        <v>0</v>
      </c>
      <c r="P79" s="172">
        <v>9</v>
      </c>
      <c r="Q79" s="172">
        <v>9</v>
      </c>
      <c r="R79" s="172">
        <v>9</v>
      </c>
      <c r="S79" s="172">
        <v>9</v>
      </c>
      <c r="T79" s="172">
        <v>0</v>
      </c>
      <c r="U79" s="172">
        <v>9</v>
      </c>
      <c r="V79" s="172">
        <v>9</v>
      </c>
      <c r="W79" s="303"/>
      <c r="X79" s="304"/>
      <c r="Y79" s="304"/>
      <c r="Z79" s="304"/>
      <c r="AA79" s="304"/>
      <c r="AB79" s="304"/>
      <c r="AC79" s="304"/>
      <c r="AD79" s="304"/>
      <c r="AE79" s="304"/>
      <c r="AF79" s="113"/>
      <c r="AG79" s="113"/>
      <c r="AH79" s="113"/>
      <c r="AI79" s="113"/>
      <c r="AJ79" s="113"/>
      <c r="AK79" s="24"/>
      <c r="AL79" s="24"/>
      <c r="AM79" s="24"/>
      <c r="AN79" s="24"/>
      <c r="AO79" s="24"/>
      <c r="AR79" s="40"/>
    </row>
    <row r="80" spans="1:53" ht="15.75" customHeight="1">
      <c r="A80" s="241">
        <f>OVERALL!A9</f>
        <v>6</v>
      </c>
      <c r="B80" s="242">
        <f>OVERALL!B9</f>
        <v>2301241</v>
      </c>
      <c r="C80" s="243" t="str">
        <f>OVERALL!C9</f>
        <v>Nikhil Kumar Thakur</v>
      </c>
      <c r="D80" s="171">
        <v>9</v>
      </c>
      <c r="E80" s="172">
        <v>9</v>
      </c>
      <c r="F80" s="172">
        <v>9</v>
      </c>
      <c r="G80" s="172">
        <v>9</v>
      </c>
      <c r="H80" s="172">
        <v>9</v>
      </c>
      <c r="I80" s="172">
        <v>8</v>
      </c>
      <c r="J80" s="172">
        <v>8</v>
      </c>
      <c r="K80" s="172">
        <v>9</v>
      </c>
      <c r="L80" s="172">
        <v>8</v>
      </c>
      <c r="M80" s="172">
        <v>9</v>
      </c>
      <c r="N80" s="172">
        <v>8</v>
      </c>
      <c r="O80" s="172">
        <v>8</v>
      </c>
      <c r="P80" s="172">
        <v>8</v>
      </c>
      <c r="Q80" s="172">
        <v>9</v>
      </c>
      <c r="R80" s="172">
        <v>9</v>
      </c>
      <c r="S80" s="172">
        <v>9</v>
      </c>
      <c r="T80" s="172">
        <v>9</v>
      </c>
      <c r="U80" s="172">
        <v>9</v>
      </c>
      <c r="V80" s="172">
        <v>9</v>
      </c>
      <c r="W80" s="303"/>
      <c r="X80" s="304"/>
      <c r="Y80" s="304"/>
      <c r="Z80" s="304"/>
      <c r="AA80" s="304"/>
      <c r="AB80" s="304"/>
      <c r="AC80" s="304"/>
      <c r="AD80" s="304"/>
      <c r="AE80" s="304"/>
      <c r="AF80" s="113"/>
      <c r="AG80" s="113"/>
      <c r="AH80" s="113"/>
      <c r="AI80" s="113"/>
      <c r="AJ80" s="113"/>
      <c r="AK80" s="24"/>
      <c r="AL80" s="24"/>
      <c r="AM80" s="24"/>
      <c r="AN80" s="24"/>
      <c r="AO80" s="24"/>
      <c r="AP80" s="270"/>
      <c r="AR80" s="40"/>
    </row>
    <row r="81" spans="1:44" ht="15.75" customHeight="1">
      <c r="A81" s="241">
        <f>OVERALL!A10</f>
        <v>7</v>
      </c>
      <c r="B81" s="242">
        <f>OVERALL!B10</f>
        <v>2301242</v>
      </c>
      <c r="C81" s="243" t="str">
        <f>OVERALL!C10</f>
        <v>Palak Pathania</v>
      </c>
      <c r="D81" s="171">
        <v>9</v>
      </c>
      <c r="E81" s="172">
        <v>0</v>
      </c>
      <c r="F81" s="172">
        <v>8</v>
      </c>
      <c r="G81" s="172">
        <v>8</v>
      </c>
      <c r="H81" s="172">
        <v>9</v>
      </c>
      <c r="I81" s="172">
        <v>0</v>
      </c>
      <c r="J81" s="172">
        <v>9</v>
      </c>
      <c r="K81" s="172">
        <v>0</v>
      </c>
      <c r="L81" s="172">
        <v>0</v>
      </c>
      <c r="M81" s="172">
        <v>8</v>
      </c>
      <c r="N81" s="172">
        <v>8</v>
      </c>
      <c r="O81" s="172">
        <v>9</v>
      </c>
      <c r="P81" s="172">
        <v>9</v>
      </c>
      <c r="Q81" s="172">
        <v>8</v>
      </c>
      <c r="R81" s="172">
        <v>8</v>
      </c>
      <c r="S81" s="172">
        <v>0</v>
      </c>
      <c r="T81" s="172">
        <v>0</v>
      </c>
      <c r="U81" s="172">
        <v>0</v>
      </c>
      <c r="V81" s="172">
        <v>0</v>
      </c>
      <c r="W81" s="303"/>
      <c r="X81" s="304"/>
      <c r="Y81" s="304"/>
      <c r="Z81" s="304"/>
      <c r="AA81" s="304"/>
      <c r="AB81" s="304"/>
      <c r="AC81" s="304"/>
      <c r="AD81" s="304"/>
      <c r="AE81" s="304"/>
      <c r="AF81" s="113"/>
      <c r="AG81" s="113"/>
      <c r="AH81" s="113"/>
      <c r="AI81" s="113"/>
      <c r="AJ81" s="113"/>
      <c r="AK81" s="24"/>
      <c r="AL81" s="24"/>
      <c r="AM81" s="24"/>
      <c r="AN81" s="24"/>
      <c r="AO81" s="24"/>
      <c r="AP81" s="270"/>
      <c r="AR81" s="40"/>
    </row>
    <row r="82" spans="1:44" ht="15.75" customHeight="1">
      <c r="A82" s="241">
        <f>OVERALL!A11</f>
        <v>8</v>
      </c>
      <c r="B82" s="242">
        <f>OVERALL!B11</f>
        <v>2301243</v>
      </c>
      <c r="C82" s="243" t="str">
        <f>OVERALL!C11</f>
        <v>Pardeep Singh</v>
      </c>
      <c r="D82" s="171">
        <v>0</v>
      </c>
      <c r="E82" s="172">
        <v>7</v>
      </c>
      <c r="F82" s="172">
        <v>0</v>
      </c>
      <c r="G82" s="172">
        <v>7</v>
      </c>
      <c r="H82" s="172">
        <v>7</v>
      </c>
      <c r="I82" s="172">
        <v>0</v>
      </c>
      <c r="J82" s="172">
        <v>8</v>
      </c>
      <c r="K82" s="172">
        <v>7</v>
      </c>
      <c r="L82" s="172">
        <v>0</v>
      </c>
      <c r="M82" s="172">
        <v>8</v>
      </c>
      <c r="N82" s="172">
        <v>7</v>
      </c>
      <c r="O82" s="172">
        <v>0</v>
      </c>
      <c r="P82" s="172">
        <v>8</v>
      </c>
      <c r="Q82" s="172">
        <v>8</v>
      </c>
      <c r="R82" s="172">
        <v>8</v>
      </c>
      <c r="S82" s="172">
        <v>0</v>
      </c>
      <c r="T82" s="172">
        <v>8</v>
      </c>
      <c r="U82" s="172">
        <v>8</v>
      </c>
      <c r="V82" s="172">
        <v>8</v>
      </c>
      <c r="W82" s="303"/>
      <c r="X82" s="304"/>
      <c r="Y82" s="304"/>
      <c r="Z82" s="304"/>
      <c r="AA82" s="304"/>
      <c r="AB82" s="304"/>
      <c r="AC82" s="304"/>
      <c r="AD82" s="304"/>
      <c r="AE82" s="304"/>
      <c r="AF82" s="113"/>
      <c r="AG82" s="113"/>
      <c r="AH82" s="113"/>
      <c r="AI82" s="113"/>
      <c r="AJ82" s="113"/>
      <c r="AK82" s="24"/>
      <c r="AL82" s="24"/>
      <c r="AM82" s="24"/>
      <c r="AN82" s="24"/>
      <c r="AO82" s="24"/>
      <c r="AP82" s="270"/>
      <c r="AR82" s="40"/>
    </row>
    <row r="83" spans="1:44" ht="15.75" customHeight="1">
      <c r="A83" s="241">
        <f>OVERALL!A12</f>
        <v>9</v>
      </c>
      <c r="B83" s="242">
        <f>OVERALL!B12</f>
        <v>2301244</v>
      </c>
      <c r="C83" s="243" t="str">
        <f>OVERALL!C12</f>
        <v>Parveen Mandal</v>
      </c>
      <c r="D83" s="171">
        <v>0</v>
      </c>
      <c r="E83" s="172">
        <v>0</v>
      </c>
      <c r="F83" s="172">
        <v>0</v>
      </c>
      <c r="G83" s="172">
        <v>0</v>
      </c>
      <c r="H83" s="172">
        <v>0</v>
      </c>
      <c r="I83" s="172">
        <v>0</v>
      </c>
      <c r="J83" s="172">
        <v>0</v>
      </c>
      <c r="K83" s="172">
        <v>0</v>
      </c>
      <c r="L83" s="172">
        <v>0</v>
      </c>
      <c r="M83" s="172">
        <v>0</v>
      </c>
      <c r="N83" s="172">
        <v>0</v>
      </c>
      <c r="O83" s="172">
        <v>0</v>
      </c>
      <c r="P83" s="172">
        <v>0</v>
      </c>
      <c r="Q83" s="172">
        <v>0</v>
      </c>
      <c r="R83" s="171">
        <v>0</v>
      </c>
      <c r="S83" s="172">
        <v>0</v>
      </c>
      <c r="T83" s="172">
        <v>0</v>
      </c>
      <c r="U83" s="172">
        <v>0</v>
      </c>
      <c r="V83" s="172">
        <v>0</v>
      </c>
      <c r="W83" s="303"/>
      <c r="X83" s="304"/>
      <c r="Y83" s="304"/>
      <c r="Z83" s="304"/>
      <c r="AA83" s="304"/>
      <c r="AB83" s="304"/>
      <c r="AC83" s="304"/>
      <c r="AD83" s="304"/>
      <c r="AE83" s="304"/>
      <c r="AF83" s="113"/>
      <c r="AG83" s="113"/>
      <c r="AH83" s="113"/>
      <c r="AI83" s="113"/>
      <c r="AJ83" s="113"/>
      <c r="AK83" s="24"/>
      <c r="AL83" s="24"/>
      <c r="AM83" s="24"/>
      <c r="AN83" s="24"/>
      <c r="AO83" s="24"/>
      <c r="AP83" s="270"/>
      <c r="AR83" s="40"/>
    </row>
    <row r="84" spans="1:44" ht="15.75" customHeight="1">
      <c r="A84" s="241">
        <f>OVERALL!A13</f>
        <v>10</v>
      </c>
      <c r="B84" s="242">
        <f>OVERALL!B13</f>
        <v>2301245</v>
      </c>
      <c r="C84" s="243" t="str">
        <f>OVERALL!C13</f>
        <v>Payal</v>
      </c>
      <c r="D84" s="171">
        <v>9</v>
      </c>
      <c r="E84" s="172">
        <v>8</v>
      </c>
      <c r="F84" s="172">
        <v>8</v>
      </c>
      <c r="G84" s="172">
        <v>9</v>
      </c>
      <c r="H84" s="172">
        <v>9</v>
      </c>
      <c r="I84" s="172">
        <v>9</v>
      </c>
      <c r="J84" s="172">
        <v>8</v>
      </c>
      <c r="K84" s="172">
        <v>8</v>
      </c>
      <c r="L84" s="172">
        <v>9</v>
      </c>
      <c r="M84" s="172">
        <v>9</v>
      </c>
      <c r="N84" s="172">
        <v>8</v>
      </c>
      <c r="O84" s="172">
        <v>8</v>
      </c>
      <c r="P84" s="172">
        <v>9</v>
      </c>
      <c r="Q84" s="172">
        <v>9</v>
      </c>
      <c r="R84" s="172">
        <v>9</v>
      </c>
      <c r="S84" s="172">
        <v>9</v>
      </c>
      <c r="T84" s="172">
        <v>9</v>
      </c>
      <c r="U84" s="172">
        <v>9</v>
      </c>
      <c r="V84" s="172">
        <v>0</v>
      </c>
      <c r="W84" s="303"/>
      <c r="X84" s="304"/>
      <c r="Y84" s="304"/>
      <c r="Z84" s="304"/>
      <c r="AA84" s="304"/>
      <c r="AB84" s="304"/>
      <c r="AC84" s="304"/>
      <c r="AD84" s="304"/>
      <c r="AE84" s="304"/>
      <c r="AF84" s="113"/>
      <c r="AG84" s="113"/>
      <c r="AH84" s="113"/>
      <c r="AI84" s="113"/>
      <c r="AJ84" s="113"/>
      <c r="AK84" s="24"/>
      <c r="AL84" s="24"/>
      <c r="AM84" s="24"/>
      <c r="AN84" s="24"/>
      <c r="AO84" s="24"/>
      <c r="AP84" s="40"/>
      <c r="AR84" s="40"/>
    </row>
    <row r="85" spans="1:44" ht="15.75" customHeight="1">
      <c r="A85" s="241">
        <f>OVERALL!A14</f>
        <v>11</v>
      </c>
      <c r="B85" s="242">
        <f>OVERALL!B14</f>
        <v>2301247</v>
      </c>
      <c r="C85" s="243" t="str">
        <f>OVERALL!C14</f>
        <v>Priya</v>
      </c>
      <c r="D85" s="171">
        <v>9</v>
      </c>
      <c r="E85" s="172">
        <v>8</v>
      </c>
      <c r="F85" s="172">
        <v>9</v>
      </c>
      <c r="G85" s="172">
        <v>8</v>
      </c>
      <c r="H85" s="172">
        <v>9</v>
      </c>
      <c r="I85" s="172">
        <v>8</v>
      </c>
      <c r="J85" s="172">
        <v>8</v>
      </c>
      <c r="K85" s="172">
        <v>9</v>
      </c>
      <c r="L85" s="172">
        <v>9</v>
      </c>
      <c r="M85" s="172">
        <v>9</v>
      </c>
      <c r="N85" s="172">
        <v>8</v>
      </c>
      <c r="O85" s="172">
        <v>8</v>
      </c>
      <c r="P85" s="172">
        <v>9</v>
      </c>
      <c r="Q85" s="172">
        <v>8</v>
      </c>
      <c r="R85" s="172">
        <v>8</v>
      </c>
      <c r="S85" s="172">
        <v>0</v>
      </c>
      <c r="T85" s="172">
        <v>0</v>
      </c>
      <c r="U85" s="172">
        <v>8</v>
      </c>
      <c r="V85" s="172">
        <v>0</v>
      </c>
      <c r="W85" s="303"/>
      <c r="X85" s="304"/>
      <c r="Y85" s="304"/>
      <c r="Z85" s="304"/>
      <c r="AA85" s="304"/>
      <c r="AB85" s="304"/>
      <c r="AC85" s="304"/>
      <c r="AD85" s="304"/>
      <c r="AE85" s="304"/>
      <c r="AF85" s="113"/>
      <c r="AG85" s="113"/>
      <c r="AH85" s="113"/>
      <c r="AI85" s="113"/>
      <c r="AJ85" s="113"/>
      <c r="AK85" s="24"/>
      <c r="AL85" s="24"/>
      <c r="AM85" s="24"/>
      <c r="AN85" s="24"/>
      <c r="AO85" s="24"/>
      <c r="AP85" s="40"/>
      <c r="AR85" s="40"/>
    </row>
    <row r="86" spans="1:44" ht="15.75" customHeight="1">
      <c r="A86" s="241">
        <f>OVERALL!A15</f>
        <v>12</v>
      </c>
      <c r="B86" s="242">
        <f>OVERALL!B15</f>
        <v>2301248</v>
      </c>
      <c r="C86" s="243" t="str">
        <f>OVERALL!C15</f>
        <v>Priyam Puri</v>
      </c>
      <c r="D86" s="171">
        <v>0</v>
      </c>
      <c r="E86" s="172">
        <v>0</v>
      </c>
      <c r="F86" s="172">
        <v>0</v>
      </c>
      <c r="G86" s="172">
        <v>0</v>
      </c>
      <c r="H86" s="172">
        <v>0</v>
      </c>
      <c r="I86" s="172">
        <v>0</v>
      </c>
      <c r="J86" s="172">
        <v>0</v>
      </c>
      <c r="K86" s="172">
        <v>0</v>
      </c>
      <c r="L86" s="172">
        <v>0</v>
      </c>
      <c r="M86" s="172">
        <v>0</v>
      </c>
      <c r="N86" s="172">
        <v>0</v>
      </c>
      <c r="O86" s="172">
        <v>0</v>
      </c>
      <c r="P86" s="172">
        <v>0</v>
      </c>
      <c r="Q86" s="172">
        <v>0</v>
      </c>
      <c r="R86" s="171">
        <v>0</v>
      </c>
      <c r="S86" s="172">
        <v>0</v>
      </c>
      <c r="T86" s="172">
        <v>0</v>
      </c>
      <c r="U86" s="172">
        <v>0</v>
      </c>
      <c r="V86" s="172">
        <v>0</v>
      </c>
      <c r="W86" s="303"/>
      <c r="X86" s="304"/>
      <c r="Y86" s="304"/>
      <c r="Z86" s="304"/>
      <c r="AA86" s="304"/>
      <c r="AB86" s="304"/>
      <c r="AC86" s="304"/>
      <c r="AD86" s="304"/>
      <c r="AE86" s="304"/>
      <c r="AF86" s="113"/>
      <c r="AG86" s="113"/>
      <c r="AH86" s="113"/>
      <c r="AI86" s="113"/>
      <c r="AJ86" s="113"/>
      <c r="AK86" s="24"/>
      <c r="AL86" s="24"/>
      <c r="AM86" s="24"/>
      <c r="AN86" s="24"/>
      <c r="AO86" s="24"/>
      <c r="AP86" s="40"/>
      <c r="AR86" s="40"/>
    </row>
    <row r="87" spans="1:44" ht="15.75" customHeight="1">
      <c r="A87" s="241">
        <f>OVERALL!A16</f>
        <v>13</v>
      </c>
      <c r="B87" s="242">
        <f>OVERALL!B16</f>
        <v>2301249</v>
      </c>
      <c r="C87" s="243" t="str">
        <f>OVERALL!C16</f>
        <v>Rahul Sharma</v>
      </c>
      <c r="D87" s="171">
        <v>0</v>
      </c>
      <c r="E87" s="172">
        <v>9</v>
      </c>
      <c r="F87" s="172">
        <v>9</v>
      </c>
      <c r="G87" s="172">
        <v>8</v>
      </c>
      <c r="H87" s="172">
        <v>9</v>
      </c>
      <c r="I87" s="172">
        <v>8</v>
      </c>
      <c r="J87" s="172">
        <v>9</v>
      </c>
      <c r="K87" s="172">
        <v>8</v>
      </c>
      <c r="L87" s="172">
        <v>9</v>
      </c>
      <c r="M87" s="172">
        <v>0</v>
      </c>
      <c r="N87" s="172">
        <v>8</v>
      </c>
      <c r="O87" s="172">
        <v>8</v>
      </c>
      <c r="P87" s="172">
        <v>9</v>
      </c>
      <c r="Q87" s="172">
        <v>8</v>
      </c>
      <c r="R87" s="172">
        <v>8</v>
      </c>
      <c r="S87" s="172">
        <v>0</v>
      </c>
      <c r="T87" s="172">
        <v>0</v>
      </c>
      <c r="U87" s="172">
        <v>8</v>
      </c>
      <c r="V87" s="172">
        <v>0</v>
      </c>
      <c r="W87" s="303"/>
      <c r="X87" s="304"/>
      <c r="Y87" s="304"/>
      <c r="Z87" s="304"/>
      <c r="AA87" s="304"/>
      <c r="AB87" s="304"/>
      <c r="AC87" s="304"/>
      <c r="AD87" s="304"/>
      <c r="AE87" s="304"/>
      <c r="AF87" s="113"/>
      <c r="AG87" s="113"/>
      <c r="AH87" s="113"/>
      <c r="AI87" s="113"/>
      <c r="AJ87" s="113"/>
      <c r="AK87" s="24"/>
      <c r="AL87" s="24"/>
      <c r="AM87" s="24"/>
      <c r="AN87" s="24"/>
      <c r="AO87" s="24"/>
      <c r="AP87" s="24"/>
      <c r="AR87" s="40"/>
    </row>
    <row r="88" spans="1:44" ht="15.75" customHeight="1">
      <c r="A88" s="241">
        <f>OVERALL!A17</f>
        <v>14</v>
      </c>
      <c r="B88" s="242">
        <f>OVERALL!B17</f>
        <v>2301250</v>
      </c>
      <c r="C88" s="243" t="str">
        <f>OVERALL!C17</f>
        <v>Rahulpreet Singh Khinda</v>
      </c>
      <c r="D88" s="171">
        <v>9</v>
      </c>
      <c r="E88" s="172">
        <v>0</v>
      </c>
      <c r="F88" s="172">
        <v>0</v>
      </c>
      <c r="G88" s="172">
        <v>0</v>
      </c>
      <c r="H88" s="172">
        <v>0</v>
      </c>
      <c r="I88" s="172">
        <v>0</v>
      </c>
      <c r="J88" s="172">
        <v>0</v>
      </c>
      <c r="K88" s="172">
        <v>9</v>
      </c>
      <c r="L88" s="172">
        <v>8</v>
      </c>
      <c r="M88" s="172">
        <v>0</v>
      </c>
      <c r="N88" s="172">
        <v>8</v>
      </c>
      <c r="O88" s="172">
        <v>8</v>
      </c>
      <c r="P88" s="172">
        <v>8</v>
      </c>
      <c r="Q88" s="172">
        <v>9</v>
      </c>
      <c r="R88" s="172">
        <v>9</v>
      </c>
      <c r="S88" s="172">
        <v>9</v>
      </c>
      <c r="T88" s="172">
        <v>0</v>
      </c>
      <c r="U88" s="172">
        <v>9</v>
      </c>
      <c r="V88" s="172">
        <v>9</v>
      </c>
      <c r="W88" s="303"/>
      <c r="X88" s="304"/>
      <c r="Y88" s="304"/>
      <c r="Z88" s="304"/>
      <c r="AA88" s="304"/>
      <c r="AB88" s="304"/>
      <c r="AC88" s="304"/>
      <c r="AD88" s="304"/>
      <c r="AE88" s="304"/>
      <c r="AF88" s="113"/>
      <c r="AG88" s="113"/>
      <c r="AH88" s="113"/>
      <c r="AI88" s="113"/>
      <c r="AJ88" s="113"/>
      <c r="AK88" s="24"/>
      <c r="AL88" s="24"/>
      <c r="AM88" s="24"/>
      <c r="AN88" s="24"/>
      <c r="AO88" s="24"/>
      <c r="AP88" s="24"/>
      <c r="AR88" s="40"/>
    </row>
    <row r="89" spans="1:44" ht="15.75" customHeight="1">
      <c r="A89" s="241">
        <f>OVERALL!A18</f>
        <v>15</v>
      </c>
      <c r="B89" s="242">
        <f>OVERALL!B18</f>
        <v>2301251</v>
      </c>
      <c r="C89" s="243" t="str">
        <f>OVERALL!C18</f>
        <v>Raj Kumar</v>
      </c>
      <c r="D89" s="171">
        <v>0</v>
      </c>
      <c r="E89" s="172">
        <v>0</v>
      </c>
      <c r="F89" s="172">
        <v>0</v>
      </c>
      <c r="G89" s="172">
        <v>0</v>
      </c>
      <c r="H89" s="172">
        <v>0</v>
      </c>
      <c r="I89" s="172">
        <v>8</v>
      </c>
      <c r="J89" s="172">
        <v>8</v>
      </c>
      <c r="K89" s="172">
        <v>7</v>
      </c>
      <c r="L89" s="172">
        <v>8</v>
      </c>
      <c r="M89" s="172">
        <v>0</v>
      </c>
      <c r="N89" s="172">
        <v>0</v>
      </c>
      <c r="O89" s="172">
        <v>0</v>
      </c>
      <c r="P89" s="172">
        <v>9</v>
      </c>
      <c r="Q89" s="172">
        <v>8</v>
      </c>
      <c r="R89" s="172">
        <v>8</v>
      </c>
      <c r="S89" s="172">
        <v>0</v>
      </c>
      <c r="T89" s="172">
        <v>8</v>
      </c>
      <c r="U89" s="172">
        <v>9</v>
      </c>
      <c r="V89" s="172">
        <v>9</v>
      </c>
      <c r="W89" s="303"/>
      <c r="X89" s="304"/>
      <c r="Y89" s="304"/>
      <c r="Z89" s="304"/>
      <c r="AA89" s="304"/>
      <c r="AB89" s="304"/>
      <c r="AC89" s="304"/>
      <c r="AD89" s="304"/>
      <c r="AE89" s="304"/>
      <c r="AF89" s="113"/>
      <c r="AG89" s="113"/>
      <c r="AH89" s="113"/>
      <c r="AI89" s="113"/>
      <c r="AJ89" s="113"/>
      <c r="AK89" s="24"/>
      <c r="AL89" s="24"/>
      <c r="AM89" s="24"/>
      <c r="AN89" s="24"/>
      <c r="AO89" s="24"/>
      <c r="AP89" s="24"/>
      <c r="AR89" s="40"/>
    </row>
    <row r="90" spans="1:44" ht="15.75" customHeight="1">
      <c r="A90" s="241">
        <f>OVERALL!A19</f>
        <v>16</v>
      </c>
      <c r="B90" s="242">
        <f>OVERALL!B19</f>
        <v>2301252</v>
      </c>
      <c r="C90" s="243" t="str">
        <f>OVERALL!C19</f>
        <v>Rajan Sharma</v>
      </c>
      <c r="D90" s="171">
        <v>0</v>
      </c>
      <c r="E90" s="172">
        <v>9</v>
      </c>
      <c r="F90" s="172">
        <v>8</v>
      </c>
      <c r="G90" s="172">
        <v>8</v>
      </c>
      <c r="H90" s="172">
        <v>8</v>
      </c>
      <c r="I90" s="172">
        <v>0</v>
      </c>
      <c r="J90" s="172">
        <v>8</v>
      </c>
      <c r="K90" s="172">
        <v>8</v>
      </c>
      <c r="L90" s="172">
        <v>7</v>
      </c>
      <c r="M90" s="172">
        <v>8</v>
      </c>
      <c r="N90" s="172">
        <v>8</v>
      </c>
      <c r="O90" s="172">
        <v>8</v>
      </c>
      <c r="P90" s="172">
        <v>8</v>
      </c>
      <c r="Q90" s="172">
        <v>8</v>
      </c>
      <c r="R90" s="172">
        <v>8</v>
      </c>
      <c r="S90" s="172">
        <v>0</v>
      </c>
      <c r="T90" s="172">
        <v>0</v>
      </c>
      <c r="U90" s="172">
        <v>9</v>
      </c>
      <c r="V90" s="172">
        <v>9</v>
      </c>
      <c r="W90" s="303"/>
      <c r="X90" s="304"/>
      <c r="Y90" s="304"/>
      <c r="Z90" s="304"/>
      <c r="AA90" s="304"/>
      <c r="AB90" s="304"/>
      <c r="AC90" s="304"/>
      <c r="AD90" s="304"/>
      <c r="AE90" s="304"/>
      <c r="AF90" s="113"/>
      <c r="AG90" s="113"/>
      <c r="AH90" s="113"/>
      <c r="AI90" s="113"/>
      <c r="AJ90" s="113"/>
      <c r="AK90" s="24"/>
      <c r="AL90" s="24"/>
      <c r="AM90" s="24"/>
      <c r="AN90" s="24"/>
      <c r="AO90" s="24"/>
      <c r="AP90" s="24"/>
      <c r="AR90" s="40"/>
    </row>
    <row r="91" spans="1:44" ht="15.75" customHeight="1">
      <c r="A91" s="241">
        <f>OVERALL!A20</f>
        <v>17</v>
      </c>
      <c r="B91" s="242">
        <f>OVERALL!B20</f>
        <v>2301253</v>
      </c>
      <c r="C91" s="243" t="str">
        <f>OVERALL!C20</f>
        <v>Rajwinder Kaur</v>
      </c>
      <c r="D91" s="171">
        <v>0</v>
      </c>
      <c r="E91" s="172">
        <v>8</v>
      </c>
      <c r="F91" s="172">
        <v>9</v>
      </c>
      <c r="G91" s="172">
        <v>0</v>
      </c>
      <c r="H91" s="172">
        <v>8</v>
      </c>
      <c r="I91" s="172">
        <v>0</v>
      </c>
      <c r="J91" s="172">
        <v>7</v>
      </c>
      <c r="K91" s="172">
        <v>8</v>
      </c>
      <c r="L91" s="172">
        <v>7</v>
      </c>
      <c r="M91" s="172">
        <v>8</v>
      </c>
      <c r="N91" s="172">
        <v>8</v>
      </c>
      <c r="O91" s="172">
        <v>9</v>
      </c>
      <c r="P91" s="172">
        <v>0</v>
      </c>
      <c r="Q91" s="172">
        <v>0</v>
      </c>
      <c r="R91" s="172">
        <v>0</v>
      </c>
      <c r="S91" s="172">
        <v>0</v>
      </c>
      <c r="T91" s="172">
        <v>0</v>
      </c>
      <c r="U91" s="172">
        <v>0</v>
      </c>
      <c r="V91" s="172">
        <v>0</v>
      </c>
      <c r="W91" s="303"/>
      <c r="X91" s="304"/>
      <c r="Y91" s="304"/>
      <c r="Z91" s="304"/>
      <c r="AA91" s="304"/>
      <c r="AB91" s="304"/>
      <c r="AC91" s="304"/>
      <c r="AD91" s="304"/>
      <c r="AE91" s="304"/>
      <c r="AF91" s="113"/>
      <c r="AG91" s="113"/>
      <c r="AH91" s="113"/>
      <c r="AI91" s="113"/>
      <c r="AJ91" s="113"/>
      <c r="AK91" s="24"/>
      <c r="AL91" s="24"/>
      <c r="AM91" s="24"/>
      <c r="AN91" s="24"/>
      <c r="AO91" s="24"/>
      <c r="AP91" s="24"/>
      <c r="AR91" s="40"/>
    </row>
    <row r="92" spans="1:44" ht="15.75" customHeight="1">
      <c r="A92" s="241">
        <f>OVERALL!A21</f>
        <v>18</v>
      </c>
      <c r="B92" s="242">
        <f>OVERALL!B21</f>
        <v>2301254</v>
      </c>
      <c r="C92" s="243" t="str">
        <f>OVERALL!C21</f>
        <v>RANJIT SHAH KANU</v>
      </c>
      <c r="D92" s="171">
        <v>0</v>
      </c>
      <c r="E92" s="172">
        <v>0</v>
      </c>
      <c r="F92" s="172">
        <v>0</v>
      </c>
      <c r="G92" s="172">
        <v>0</v>
      </c>
      <c r="H92" s="172">
        <v>0</v>
      </c>
      <c r="I92" s="172">
        <v>0</v>
      </c>
      <c r="J92" s="172">
        <v>0</v>
      </c>
      <c r="K92" s="172">
        <v>0</v>
      </c>
      <c r="L92" s="172">
        <v>0</v>
      </c>
      <c r="M92" s="172">
        <v>0</v>
      </c>
      <c r="N92" s="172">
        <v>0</v>
      </c>
      <c r="O92" s="172">
        <v>0</v>
      </c>
      <c r="P92" s="172">
        <v>0</v>
      </c>
      <c r="Q92" s="172">
        <v>0</v>
      </c>
      <c r="R92" s="171">
        <v>0</v>
      </c>
      <c r="S92" s="172">
        <v>0</v>
      </c>
      <c r="T92" s="172">
        <v>0</v>
      </c>
      <c r="U92" s="172">
        <v>0</v>
      </c>
      <c r="V92" s="172">
        <v>0</v>
      </c>
      <c r="W92" s="303"/>
      <c r="X92" s="304"/>
      <c r="Y92" s="304"/>
      <c r="Z92" s="304"/>
      <c r="AA92" s="304"/>
      <c r="AB92" s="304"/>
      <c r="AC92" s="304"/>
      <c r="AD92" s="304"/>
      <c r="AE92" s="304"/>
      <c r="AF92" s="113"/>
      <c r="AG92" s="113"/>
      <c r="AH92" s="113"/>
      <c r="AI92" s="113"/>
      <c r="AJ92" s="113"/>
      <c r="AK92" s="24"/>
      <c r="AL92" s="24"/>
      <c r="AM92" s="24"/>
      <c r="AN92" s="24"/>
      <c r="AO92" s="24"/>
      <c r="AP92" s="24"/>
      <c r="AR92" s="40"/>
    </row>
    <row r="93" spans="1:44" ht="15.75" customHeight="1">
      <c r="A93" s="241">
        <f>OVERALL!A22</f>
        <v>19</v>
      </c>
      <c r="B93" s="242">
        <f>OVERALL!B22</f>
        <v>2301255</v>
      </c>
      <c r="C93" s="243" t="str">
        <f>OVERALL!C22</f>
        <v>Ravi Bhushan Kumar</v>
      </c>
      <c r="D93" s="171">
        <v>0</v>
      </c>
      <c r="E93" s="172">
        <v>0</v>
      </c>
      <c r="F93" s="172">
        <v>0</v>
      </c>
      <c r="G93" s="172">
        <v>9</v>
      </c>
      <c r="H93" s="172">
        <v>9</v>
      </c>
      <c r="I93" s="172">
        <v>9</v>
      </c>
      <c r="J93" s="172">
        <v>9</v>
      </c>
      <c r="K93" s="172">
        <v>9</v>
      </c>
      <c r="L93" s="172">
        <v>9</v>
      </c>
      <c r="M93" s="172">
        <v>9</v>
      </c>
      <c r="N93" s="172">
        <v>9</v>
      </c>
      <c r="O93" s="172">
        <v>9</v>
      </c>
      <c r="P93" s="172">
        <v>9</v>
      </c>
      <c r="Q93" s="172">
        <v>9</v>
      </c>
      <c r="R93" s="172">
        <v>9</v>
      </c>
      <c r="S93" s="172">
        <v>9</v>
      </c>
      <c r="T93" s="172">
        <v>9</v>
      </c>
      <c r="U93" s="172">
        <v>9</v>
      </c>
      <c r="V93" s="172">
        <v>9</v>
      </c>
      <c r="W93" s="303"/>
      <c r="X93" s="304"/>
      <c r="Y93" s="304"/>
      <c r="Z93" s="304"/>
      <c r="AA93" s="304"/>
      <c r="AB93" s="304"/>
      <c r="AC93" s="304"/>
      <c r="AD93" s="304"/>
      <c r="AE93" s="304"/>
      <c r="AF93" s="113"/>
      <c r="AG93" s="113"/>
      <c r="AH93" s="113"/>
      <c r="AI93" s="113"/>
      <c r="AJ93" s="113"/>
      <c r="AK93" s="24"/>
      <c r="AL93" s="24"/>
      <c r="AM93" s="24"/>
      <c r="AN93" s="24"/>
      <c r="AO93" s="24"/>
      <c r="AP93" s="24"/>
      <c r="AR93" s="40"/>
    </row>
    <row r="94" spans="1:44" ht="15.75" customHeight="1">
      <c r="A94" s="241">
        <f>OVERALL!A23</f>
        <v>20</v>
      </c>
      <c r="B94" s="242">
        <f>OVERALL!B23</f>
        <v>2301256</v>
      </c>
      <c r="C94" s="243" t="str">
        <f>OVERALL!C23</f>
        <v>Reshma</v>
      </c>
      <c r="D94" s="171">
        <v>0</v>
      </c>
      <c r="E94" s="172">
        <v>8</v>
      </c>
      <c r="F94" s="172">
        <v>7</v>
      </c>
      <c r="G94" s="172">
        <v>8</v>
      </c>
      <c r="H94" s="172">
        <v>8</v>
      </c>
      <c r="I94" s="172">
        <v>8</v>
      </c>
      <c r="J94" s="172">
        <v>8</v>
      </c>
      <c r="K94" s="172">
        <v>7</v>
      </c>
      <c r="L94" s="172">
        <v>0</v>
      </c>
      <c r="M94" s="172">
        <v>0</v>
      </c>
      <c r="N94" s="172">
        <v>0</v>
      </c>
      <c r="O94" s="172">
        <v>0</v>
      </c>
      <c r="P94" s="172">
        <v>9</v>
      </c>
      <c r="Q94" s="172">
        <v>8</v>
      </c>
      <c r="R94" s="172">
        <v>8</v>
      </c>
      <c r="S94" s="172">
        <v>0</v>
      </c>
      <c r="T94" s="172">
        <v>0</v>
      </c>
      <c r="U94" s="172">
        <v>8</v>
      </c>
      <c r="V94" s="172">
        <v>0</v>
      </c>
      <c r="W94" s="303"/>
      <c r="X94" s="304"/>
      <c r="Y94" s="304"/>
      <c r="Z94" s="304"/>
      <c r="AA94" s="304"/>
      <c r="AB94" s="304"/>
      <c r="AC94" s="304"/>
      <c r="AD94" s="304"/>
      <c r="AE94" s="304"/>
      <c r="AF94" s="113"/>
      <c r="AG94" s="113"/>
      <c r="AH94" s="113"/>
      <c r="AI94" s="113"/>
      <c r="AJ94" s="113"/>
      <c r="AK94" s="24"/>
      <c r="AL94" s="24"/>
      <c r="AM94" s="24"/>
      <c r="AN94" s="24"/>
      <c r="AO94" s="24"/>
      <c r="AP94" s="24"/>
      <c r="AR94" s="40"/>
    </row>
    <row r="95" spans="1:44" ht="15.75" customHeight="1">
      <c r="A95" s="241">
        <f>OVERALL!A24</f>
        <v>21</v>
      </c>
      <c r="B95" s="242">
        <f>OVERALL!B24</f>
        <v>2301257</v>
      </c>
      <c r="C95" s="243" t="str">
        <f>OVERALL!C24</f>
        <v>Ritesh Kumar Choudhary</v>
      </c>
      <c r="D95" s="171">
        <v>0</v>
      </c>
      <c r="E95" s="172">
        <v>0</v>
      </c>
      <c r="F95" s="172">
        <v>0</v>
      </c>
      <c r="G95" s="172">
        <v>0</v>
      </c>
      <c r="H95" s="172">
        <v>0</v>
      </c>
      <c r="I95" s="172">
        <v>8</v>
      </c>
      <c r="J95" s="172">
        <v>9</v>
      </c>
      <c r="K95" s="172">
        <v>0</v>
      </c>
      <c r="L95" s="172">
        <v>9</v>
      </c>
      <c r="M95" s="172">
        <v>0</v>
      </c>
      <c r="N95" s="172">
        <v>8</v>
      </c>
      <c r="O95" s="172">
        <v>9</v>
      </c>
      <c r="P95" s="172">
        <v>8</v>
      </c>
      <c r="Q95" s="172">
        <v>8</v>
      </c>
      <c r="R95" s="172">
        <v>8</v>
      </c>
      <c r="S95" s="172">
        <v>0</v>
      </c>
      <c r="T95" s="172">
        <v>9</v>
      </c>
      <c r="U95" s="172">
        <v>0</v>
      </c>
      <c r="V95" s="172">
        <v>8</v>
      </c>
      <c r="W95" s="303"/>
      <c r="X95" s="304"/>
      <c r="Y95" s="304"/>
      <c r="Z95" s="304"/>
      <c r="AA95" s="304"/>
      <c r="AB95" s="304"/>
      <c r="AC95" s="304"/>
      <c r="AD95" s="304"/>
      <c r="AE95" s="304"/>
      <c r="AF95" s="113"/>
      <c r="AG95" s="113"/>
      <c r="AH95" s="113"/>
      <c r="AI95" s="113"/>
      <c r="AJ95" s="113"/>
      <c r="AK95" s="24"/>
      <c r="AL95" s="24"/>
      <c r="AM95" s="24"/>
      <c r="AN95" s="24"/>
      <c r="AO95" s="24"/>
      <c r="AP95" s="24"/>
      <c r="AR95" s="40"/>
    </row>
    <row r="96" spans="1:44" ht="15.75" customHeight="1">
      <c r="A96" s="241">
        <f>OVERALL!A25</f>
        <v>22</v>
      </c>
      <c r="B96" s="242">
        <f>OVERALL!B25</f>
        <v>2301258</v>
      </c>
      <c r="C96" s="243" t="str">
        <f>OVERALL!C25</f>
        <v>Ritesh Thakur</v>
      </c>
      <c r="D96" s="171">
        <v>6</v>
      </c>
      <c r="E96" s="172">
        <v>6</v>
      </c>
      <c r="F96" s="172">
        <v>0</v>
      </c>
      <c r="G96" s="172">
        <v>6</v>
      </c>
      <c r="H96" s="172">
        <v>7</v>
      </c>
      <c r="I96" s="172">
        <v>0</v>
      </c>
      <c r="J96" s="172">
        <v>7</v>
      </c>
      <c r="K96" s="172">
        <v>0</v>
      </c>
      <c r="L96" s="172">
        <v>9</v>
      </c>
      <c r="M96" s="172">
        <v>0</v>
      </c>
      <c r="N96" s="172">
        <v>0</v>
      </c>
      <c r="O96" s="172">
        <v>0</v>
      </c>
      <c r="P96" s="172">
        <v>0</v>
      </c>
      <c r="Q96" s="172">
        <v>0</v>
      </c>
      <c r="R96" s="172">
        <v>0</v>
      </c>
      <c r="S96" s="172">
        <v>0</v>
      </c>
      <c r="T96" s="172">
        <v>0</v>
      </c>
      <c r="U96" s="172">
        <v>0</v>
      </c>
      <c r="V96" s="172">
        <v>0</v>
      </c>
      <c r="W96" s="303"/>
      <c r="X96" s="304"/>
      <c r="Y96" s="304"/>
      <c r="Z96" s="304"/>
      <c r="AA96" s="304"/>
      <c r="AB96" s="304"/>
      <c r="AC96" s="304"/>
      <c r="AD96" s="304"/>
      <c r="AE96" s="304"/>
      <c r="AF96" s="113"/>
      <c r="AG96" s="113"/>
      <c r="AH96" s="113"/>
      <c r="AI96" s="113"/>
      <c r="AJ96" s="113"/>
      <c r="AK96" s="24"/>
      <c r="AL96" s="24"/>
      <c r="AM96" s="24"/>
      <c r="AN96" s="24"/>
      <c r="AO96" s="24"/>
      <c r="AP96" s="24"/>
      <c r="AR96" s="40"/>
    </row>
    <row r="97" spans="1:44" ht="15.75" customHeight="1">
      <c r="A97" s="241">
        <f>OVERALL!A26</f>
        <v>23</v>
      </c>
      <c r="B97" s="242">
        <f>OVERALL!B26</f>
        <v>2301259</v>
      </c>
      <c r="C97" s="243" t="str">
        <f>OVERALL!C26</f>
        <v>Riya Thakur</v>
      </c>
      <c r="D97" s="171">
        <v>0</v>
      </c>
      <c r="E97" s="172">
        <v>7</v>
      </c>
      <c r="F97" s="172">
        <v>8</v>
      </c>
      <c r="G97" s="172">
        <v>7</v>
      </c>
      <c r="H97" s="172">
        <v>8</v>
      </c>
      <c r="I97" s="172">
        <v>9</v>
      </c>
      <c r="J97" s="172">
        <v>9</v>
      </c>
      <c r="K97" s="172">
        <v>8</v>
      </c>
      <c r="L97" s="172">
        <v>0</v>
      </c>
      <c r="M97" s="172">
        <v>8</v>
      </c>
      <c r="N97" s="172">
        <v>9</v>
      </c>
      <c r="O97" s="172">
        <v>9</v>
      </c>
      <c r="P97" s="172">
        <v>9</v>
      </c>
      <c r="Q97" s="172">
        <v>8</v>
      </c>
      <c r="R97" s="172">
        <v>8</v>
      </c>
      <c r="S97" s="172">
        <v>0</v>
      </c>
      <c r="T97" s="172">
        <v>0</v>
      </c>
      <c r="U97" s="172">
        <v>8</v>
      </c>
      <c r="V97" s="172">
        <v>8</v>
      </c>
      <c r="W97" s="303"/>
      <c r="X97" s="304"/>
      <c r="Y97" s="304"/>
      <c r="Z97" s="304"/>
      <c r="AA97" s="304"/>
      <c r="AB97" s="304"/>
      <c r="AC97" s="304"/>
      <c r="AD97" s="304"/>
      <c r="AE97" s="304"/>
      <c r="AF97" s="113"/>
      <c r="AG97" s="113"/>
      <c r="AH97" s="113"/>
      <c r="AI97" s="113"/>
      <c r="AJ97" s="113"/>
      <c r="AK97" s="24"/>
      <c r="AL97" s="24"/>
      <c r="AM97" s="24"/>
      <c r="AN97" s="24"/>
      <c r="AO97" s="24"/>
      <c r="AP97" s="24"/>
      <c r="AR97" s="40"/>
    </row>
    <row r="98" spans="1:44" ht="15.75" customHeight="1">
      <c r="A98" s="241">
        <f>OVERALL!A27</f>
        <v>24</v>
      </c>
      <c r="B98" s="242">
        <f>OVERALL!B27</f>
        <v>2301260</v>
      </c>
      <c r="C98" s="243" t="str">
        <f>OVERALL!C27</f>
        <v>Rounit Dhiman</v>
      </c>
      <c r="D98" s="171">
        <v>9</v>
      </c>
      <c r="E98" s="172">
        <v>0</v>
      </c>
      <c r="F98" s="172">
        <v>0</v>
      </c>
      <c r="G98" s="172">
        <v>0</v>
      </c>
      <c r="H98" s="172">
        <v>0</v>
      </c>
      <c r="I98" s="172">
        <v>8</v>
      </c>
      <c r="J98" s="172">
        <v>8</v>
      </c>
      <c r="K98" s="172">
        <v>8</v>
      </c>
      <c r="L98" s="172">
        <v>7</v>
      </c>
      <c r="M98" s="172">
        <v>8</v>
      </c>
      <c r="N98" s="172">
        <v>0</v>
      </c>
      <c r="O98" s="172">
        <v>9</v>
      </c>
      <c r="P98" s="172">
        <v>8</v>
      </c>
      <c r="Q98" s="172">
        <v>9</v>
      </c>
      <c r="R98" s="172">
        <v>9</v>
      </c>
      <c r="S98" s="172">
        <v>9</v>
      </c>
      <c r="T98" s="172">
        <v>9</v>
      </c>
      <c r="U98" s="172">
        <v>9</v>
      </c>
      <c r="V98" s="172">
        <v>0</v>
      </c>
      <c r="W98" s="303"/>
      <c r="X98" s="304"/>
      <c r="Y98" s="304"/>
      <c r="Z98" s="304"/>
      <c r="AA98" s="304"/>
      <c r="AB98" s="304"/>
      <c r="AC98" s="304"/>
      <c r="AD98" s="304"/>
      <c r="AE98" s="304"/>
      <c r="AF98" s="113"/>
      <c r="AG98" s="113"/>
      <c r="AH98" s="113"/>
      <c r="AI98" s="113"/>
      <c r="AJ98" s="113"/>
      <c r="AK98" s="24"/>
      <c r="AL98" s="24"/>
      <c r="AM98" s="24"/>
      <c r="AN98" s="24"/>
      <c r="AO98" s="24"/>
      <c r="AP98" s="24"/>
      <c r="AR98" s="40"/>
    </row>
    <row r="99" spans="1:44" ht="15.75" customHeight="1">
      <c r="A99" s="241">
        <f>OVERALL!A28</f>
        <v>25</v>
      </c>
      <c r="B99" s="242">
        <f>OVERALL!B28</f>
        <v>2301261</v>
      </c>
      <c r="C99" s="243" t="str">
        <f>OVERALL!C28</f>
        <v>Rubby Kumari</v>
      </c>
      <c r="D99" s="171">
        <v>8</v>
      </c>
      <c r="E99" s="172">
        <v>0</v>
      </c>
      <c r="F99" s="172">
        <v>0</v>
      </c>
      <c r="G99" s="172">
        <v>8</v>
      </c>
      <c r="H99" s="172">
        <v>8</v>
      </c>
      <c r="I99" s="172">
        <v>0</v>
      </c>
      <c r="J99" s="172">
        <v>8</v>
      </c>
      <c r="K99" s="172">
        <v>0</v>
      </c>
      <c r="L99" s="172">
        <v>0</v>
      </c>
      <c r="M99" s="172">
        <v>0</v>
      </c>
      <c r="N99" s="172">
        <v>0</v>
      </c>
      <c r="O99" s="172">
        <v>7</v>
      </c>
      <c r="P99" s="172">
        <v>8</v>
      </c>
      <c r="Q99" s="172">
        <v>9</v>
      </c>
      <c r="R99" s="172">
        <v>9</v>
      </c>
      <c r="S99" s="172">
        <v>9</v>
      </c>
      <c r="T99" s="172">
        <v>0</v>
      </c>
      <c r="U99" s="172">
        <v>9</v>
      </c>
      <c r="V99" s="172">
        <v>0</v>
      </c>
      <c r="W99" s="303"/>
      <c r="X99" s="304"/>
      <c r="Y99" s="304"/>
      <c r="Z99" s="304"/>
      <c r="AA99" s="304"/>
      <c r="AB99" s="304"/>
      <c r="AC99" s="304"/>
      <c r="AD99" s="304"/>
      <c r="AE99" s="304"/>
      <c r="AF99" s="113"/>
      <c r="AG99" s="113"/>
      <c r="AH99" s="113"/>
      <c r="AI99" s="113"/>
      <c r="AJ99" s="113"/>
      <c r="AK99" s="24"/>
      <c r="AL99" s="24"/>
      <c r="AM99" s="24"/>
      <c r="AN99" s="24"/>
      <c r="AO99" s="24"/>
      <c r="AP99" s="24"/>
      <c r="AR99" s="40"/>
    </row>
    <row r="100" spans="1:44" ht="15.75" customHeight="1">
      <c r="A100" s="241">
        <f>OVERALL!A29</f>
        <v>26</v>
      </c>
      <c r="B100" s="242">
        <f>OVERALL!B29</f>
        <v>2301262</v>
      </c>
      <c r="C100" s="243" t="str">
        <f>OVERALL!C29</f>
        <v>Sakshi Devi</v>
      </c>
      <c r="D100" s="171">
        <v>7</v>
      </c>
      <c r="E100" s="172">
        <v>0</v>
      </c>
      <c r="F100" s="172">
        <v>7</v>
      </c>
      <c r="G100" s="172">
        <v>8</v>
      </c>
      <c r="H100" s="172">
        <v>8</v>
      </c>
      <c r="I100" s="172">
        <v>9</v>
      </c>
      <c r="J100" s="172">
        <v>8</v>
      </c>
      <c r="K100" s="172">
        <v>7</v>
      </c>
      <c r="L100" s="172">
        <v>7</v>
      </c>
      <c r="M100" s="172">
        <v>0</v>
      </c>
      <c r="N100" s="172">
        <v>8</v>
      </c>
      <c r="O100" s="172">
        <v>8</v>
      </c>
      <c r="P100" s="172">
        <v>8</v>
      </c>
      <c r="Q100" s="172">
        <v>9</v>
      </c>
      <c r="R100" s="172">
        <v>9</v>
      </c>
      <c r="S100" s="172">
        <v>9</v>
      </c>
      <c r="T100" s="172">
        <v>0</v>
      </c>
      <c r="U100" s="172">
        <v>9</v>
      </c>
      <c r="V100" s="172">
        <v>9</v>
      </c>
      <c r="W100" s="303"/>
      <c r="X100" s="304"/>
      <c r="Y100" s="304"/>
      <c r="Z100" s="304"/>
      <c r="AA100" s="304"/>
      <c r="AB100" s="304"/>
      <c r="AC100" s="304"/>
      <c r="AD100" s="304"/>
      <c r="AE100" s="304"/>
      <c r="AF100" s="113"/>
      <c r="AG100" s="113"/>
      <c r="AH100" s="113"/>
      <c r="AI100" s="113"/>
      <c r="AJ100" s="113"/>
      <c r="AK100" s="24"/>
      <c r="AL100" s="24"/>
      <c r="AM100" s="24"/>
      <c r="AN100" s="24"/>
      <c r="AO100" s="24"/>
      <c r="AP100" s="24"/>
      <c r="AR100" s="40"/>
    </row>
    <row r="101" spans="1:44" ht="15.75" customHeight="1">
      <c r="A101" s="241">
        <f>OVERALL!A30</f>
        <v>27</v>
      </c>
      <c r="B101" s="242">
        <f>OVERALL!B30</f>
        <v>2301263</v>
      </c>
      <c r="C101" s="243" t="str">
        <f>OVERALL!C30</f>
        <v>Sanchi Sharma</v>
      </c>
      <c r="D101" s="171">
        <v>9</v>
      </c>
      <c r="E101" s="172">
        <v>9</v>
      </c>
      <c r="F101" s="172">
        <v>9</v>
      </c>
      <c r="G101" s="172">
        <v>9</v>
      </c>
      <c r="H101" s="172">
        <v>9</v>
      </c>
      <c r="I101" s="172">
        <v>9</v>
      </c>
      <c r="J101" s="172">
        <v>9</v>
      </c>
      <c r="K101" s="172">
        <v>9</v>
      </c>
      <c r="L101" s="172">
        <v>9</v>
      </c>
      <c r="M101" s="172">
        <v>9</v>
      </c>
      <c r="N101" s="172">
        <v>9</v>
      </c>
      <c r="O101" s="172">
        <v>9</v>
      </c>
      <c r="P101" s="172">
        <v>9</v>
      </c>
      <c r="Q101" s="172">
        <v>9</v>
      </c>
      <c r="R101" s="172">
        <v>9</v>
      </c>
      <c r="S101" s="172">
        <v>0</v>
      </c>
      <c r="T101" s="172">
        <v>9</v>
      </c>
      <c r="U101" s="172">
        <v>8</v>
      </c>
      <c r="V101" s="172">
        <v>9</v>
      </c>
      <c r="W101" s="303"/>
      <c r="X101" s="304"/>
      <c r="Y101" s="304"/>
      <c r="Z101" s="304"/>
      <c r="AA101" s="304"/>
      <c r="AB101" s="304"/>
      <c r="AC101" s="304"/>
      <c r="AD101" s="304"/>
      <c r="AE101" s="304"/>
      <c r="AF101" s="113"/>
      <c r="AG101" s="113"/>
      <c r="AH101" s="113"/>
      <c r="AI101" s="113"/>
      <c r="AJ101" s="113"/>
      <c r="AK101" s="24"/>
      <c r="AL101" s="24"/>
      <c r="AM101" s="24"/>
      <c r="AN101" s="24"/>
      <c r="AO101" s="24"/>
      <c r="AP101" s="24"/>
      <c r="AR101" s="40"/>
    </row>
    <row r="102" spans="1:44" ht="15.75" customHeight="1">
      <c r="A102" s="241">
        <f>OVERALL!A31</f>
        <v>28</v>
      </c>
      <c r="B102" s="242">
        <f>OVERALL!B31</f>
        <v>2301264</v>
      </c>
      <c r="C102" s="243" t="str">
        <f>OVERALL!C31</f>
        <v>Sarbjit Singh</v>
      </c>
      <c r="D102" s="171">
        <v>0</v>
      </c>
      <c r="E102" s="172">
        <v>0</v>
      </c>
      <c r="F102" s="172">
        <v>0</v>
      </c>
      <c r="G102" s="172">
        <v>8</v>
      </c>
      <c r="H102" s="172">
        <v>8</v>
      </c>
      <c r="I102" s="172">
        <v>8</v>
      </c>
      <c r="J102" s="172">
        <v>7</v>
      </c>
      <c r="K102" s="172">
        <v>8</v>
      </c>
      <c r="L102" s="172">
        <v>0</v>
      </c>
      <c r="M102" s="172">
        <v>0</v>
      </c>
      <c r="N102" s="172">
        <v>0</v>
      </c>
      <c r="O102" s="172">
        <v>0</v>
      </c>
      <c r="P102" s="172">
        <v>0</v>
      </c>
      <c r="Q102" s="172">
        <v>8</v>
      </c>
      <c r="R102" s="172">
        <v>0</v>
      </c>
      <c r="S102" s="172">
        <v>0</v>
      </c>
      <c r="T102" s="172">
        <v>0</v>
      </c>
      <c r="U102" s="172">
        <v>0</v>
      </c>
      <c r="V102" s="172">
        <v>0</v>
      </c>
      <c r="W102" s="303"/>
      <c r="X102" s="304"/>
      <c r="Y102" s="304"/>
      <c r="Z102" s="304"/>
      <c r="AA102" s="304"/>
      <c r="AB102" s="304"/>
      <c r="AC102" s="304"/>
      <c r="AD102" s="304"/>
      <c r="AE102" s="304"/>
      <c r="AF102" s="113"/>
      <c r="AG102" s="113"/>
      <c r="AH102" s="113"/>
      <c r="AI102" s="113"/>
      <c r="AJ102" s="113"/>
      <c r="AK102" s="24"/>
      <c r="AL102" s="24"/>
      <c r="AM102" s="24"/>
      <c r="AN102" s="24"/>
      <c r="AO102" s="24"/>
      <c r="AP102" s="24"/>
      <c r="AR102" s="40"/>
    </row>
    <row r="103" spans="1:44" ht="15.75" customHeight="1">
      <c r="A103" s="241">
        <f>OVERALL!A32</f>
        <v>29</v>
      </c>
      <c r="B103" s="242">
        <f>OVERALL!B32</f>
        <v>2301265</v>
      </c>
      <c r="C103" s="243" t="str">
        <f>OVERALL!C32</f>
        <v>Sarif Mayangmayum</v>
      </c>
      <c r="D103" s="171">
        <v>0</v>
      </c>
      <c r="E103" s="172">
        <v>0</v>
      </c>
      <c r="F103" s="172">
        <v>0</v>
      </c>
      <c r="G103" s="172">
        <v>8</v>
      </c>
      <c r="H103" s="172">
        <v>8</v>
      </c>
      <c r="I103" s="172">
        <v>8</v>
      </c>
      <c r="J103" s="172">
        <v>8</v>
      </c>
      <c r="K103" s="172">
        <v>9</v>
      </c>
      <c r="L103" s="172">
        <v>0</v>
      </c>
      <c r="M103" s="172">
        <v>9</v>
      </c>
      <c r="N103" s="172">
        <v>9</v>
      </c>
      <c r="O103" s="172">
        <v>0</v>
      </c>
      <c r="P103" s="172">
        <v>9</v>
      </c>
      <c r="Q103" s="172">
        <v>0</v>
      </c>
      <c r="R103" s="172">
        <v>0</v>
      </c>
      <c r="S103" s="172">
        <v>0</v>
      </c>
      <c r="T103" s="172">
        <v>0</v>
      </c>
      <c r="U103" s="172">
        <v>0</v>
      </c>
      <c r="V103" s="172">
        <v>0</v>
      </c>
      <c r="W103" s="303"/>
      <c r="X103" s="304"/>
      <c r="Y103" s="304"/>
      <c r="Z103" s="304"/>
      <c r="AA103" s="304"/>
      <c r="AB103" s="304"/>
      <c r="AC103" s="304"/>
      <c r="AD103" s="304"/>
      <c r="AE103" s="304"/>
      <c r="AF103" s="113"/>
      <c r="AG103" s="113"/>
      <c r="AH103" s="113"/>
      <c r="AI103" s="113"/>
      <c r="AJ103" s="113"/>
      <c r="AK103" s="24"/>
      <c r="AL103" s="24"/>
      <c r="AM103" s="24"/>
      <c r="AN103" s="24"/>
      <c r="AO103" s="24"/>
      <c r="AP103" s="24"/>
      <c r="AR103" s="40"/>
    </row>
    <row r="104" spans="1:44" ht="15.75" customHeight="1">
      <c r="A104" s="241">
        <f>OVERALL!A33</f>
        <v>30</v>
      </c>
      <c r="B104" s="242">
        <f>OVERALL!B33</f>
        <v>2301267</v>
      </c>
      <c r="C104" s="243" t="str">
        <f>OVERALL!C33</f>
        <v>Shivam Kumar Chaubey</v>
      </c>
      <c r="D104" s="171">
        <v>0</v>
      </c>
      <c r="E104" s="172">
        <v>9</v>
      </c>
      <c r="F104" s="172">
        <v>9</v>
      </c>
      <c r="G104" s="172">
        <v>8</v>
      </c>
      <c r="H104" s="172">
        <v>9</v>
      </c>
      <c r="I104" s="172">
        <v>9</v>
      </c>
      <c r="J104" s="172">
        <v>8</v>
      </c>
      <c r="K104" s="172">
        <v>0</v>
      </c>
      <c r="L104" s="172">
        <v>0</v>
      </c>
      <c r="M104" s="172">
        <v>9</v>
      </c>
      <c r="N104" s="172">
        <v>9</v>
      </c>
      <c r="O104" s="172">
        <v>9</v>
      </c>
      <c r="P104" s="172">
        <v>9</v>
      </c>
      <c r="Q104" s="172">
        <v>9</v>
      </c>
      <c r="R104" s="172">
        <v>9</v>
      </c>
      <c r="S104" s="172">
        <v>9</v>
      </c>
      <c r="T104" s="172">
        <v>9</v>
      </c>
      <c r="U104" s="172">
        <v>9</v>
      </c>
      <c r="V104" s="172">
        <v>9</v>
      </c>
      <c r="W104" s="303"/>
      <c r="X104" s="304"/>
      <c r="Y104" s="304"/>
      <c r="Z104" s="304"/>
      <c r="AA104" s="304"/>
      <c r="AB104" s="304"/>
      <c r="AC104" s="304"/>
      <c r="AD104" s="304"/>
      <c r="AE104" s="304"/>
      <c r="AF104" s="113"/>
      <c r="AG104" s="113"/>
      <c r="AH104" s="113"/>
      <c r="AI104" s="113"/>
      <c r="AJ104" s="113"/>
      <c r="AK104" s="24"/>
      <c r="AL104" s="24"/>
      <c r="AM104" s="24"/>
      <c r="AN104" s="24"/>
      <c r="AO104" s="24"/>
      <c r="AP104" s="24"/>
      <c r="AR104" s="40"/>
    </row>
    <row r="105" spans="1:44" ht="15.75" customHeight="1">
      <c r="A105" s="241">
        <f>OVERALL!A34</f>
        <v>31</v>
      </c>
      <c r="B105" s="242">
        <f>OVERALL!B34</f>
        <v>2301268</v>
      </c>
      <c r="C105" s="243" t="str">
        <f>OVERALL!C34</f>
        <v>Simba Godfrey</v>
      </c>
      <c r="D105" s="171">
        <v>0</v>
      </c>
      <c r="E105" s="172">
        <v>0</v>
      </c>
      <c r="F105" s="172">
        <v>0</v>
      </c>
      <c r="G105" s="172">
        <v>8</v>
      </c>
      <c r="H105" s="172">
        <v>8</v>
      </c>
      <c r="I105" s="172">
        <v>0</v>
      </c>
      <c r="J105" s="172">
        <v>8</v>
      </c>
      <c r="K105" s="172">
        <v>0</v>
      </c>
      <c r="L105" s="172">
        <v>9</v>
      </c>
      <c r="M105" s="172">
        <v>9</v>
      </c>
      <c r="N105" s="172">
        <v>8</v>
      </c>
      <c r="O105" s="172">
        <v>8</v>
      </c>
      <c r="P105" s="172">
        <v>0</v>
      </c>
      <c r="Q105" s="172">
        <v>0</v>
      </c>
      <c r="R105" s="172">
        <v>0</v>
      </c>
      <c r="S105" s="172">
        <v>0</v>
      </c>
      <c r="T105" s="172">
        <v>9</v>
      </c>
      <c r="U105" s="172">
        <v>9</v>
      </c>
      <c r="V105" s="172">
        <v>9</v>
      </c>
      <c r="W105" s="303"/>
      <c r="X105" s="304"/>
      <c r="Y105" s="304"/>
      <c r="Z105" s="304"/>
      <c r="AA105" s="304"/>
      <c r="AB105" s="304"/>
      <c r="AC105" s="304"/>
      <c r="AD105" s="304"/>
      <c r="AE105" s="304"/>
      <c r="AF105" s="113"/>
      <c r="AG105" s="113"/>
      <c r="AH105" s="113"/>
      <c r="AI105" s="113"/>
      <c r="AJ105" s="113"/>
      <c r="AK105" s="24"/>
      <c r="AL105" s="24"/>
      <c r="AM105" s="24"/>
      <c r="AN105" s="24"/>
      <c r="AO105" s="24"/>
      <c r="AP105" s="24"/>
      <c r="AR105" s="40"/>
    </row>
    <row r="106" spans="1:44" ht="15.75" customHeight="1">
      <c r="A106" s="241">
        <f>OVERALL!A35</f>
        <v>32</v>
      </c>
      <c r="B106" s="242">
        <f>OVERALL!B35</f>
        <v>2301269</v>
      </c>
      <c r="C106" s="243" t="str">
        <f>OVERALL!C35</f>
        <v>Simran Kaur</v>
      </c>
      <c r="D106" s="171">
        <v>9</v>
      </c>
      <c r="E106" s="172">
        <v>9</v>
      </c>
      <c r="F106" s="172">
        <v>8</v>
      </c>
      <c r="G106" s="172">
        <v>8</v>
      </c>
      <c r="H106" s="172">
        <v>9</v>
      </c>
      <c r="I106" s="172">
        <v>9</v>
      </c>
      <c r="J106" s="172">
        <v>8</v>
      </c>
      <c r="K106" s="172">
        <v>7</v>
      </c>
      <c r="L106" s="172">
        <v>8</v>
      </c>
      <c r="M106" s="172">
        <v>8</v>
      </c>
      <c r="N106" s="172">
        <v>9</v>
      </c>
      <c r="O106" s="172">
        <v>9</v>
      </c>
      <c r="P106" s="172">
        <v>9</v>
      </c>
      <c r="Q106" s="172">
        <v>9</v>
      </c>
      <c r="R106" s="172">
        <v>9</v>
      </c>
      <c r="S106" s="172">
        <v>9</v>
      </c>
      <c r="T106" s="172">
        <v>0</v>
      </c>
      <c r="U106" s="172">
        <v>9</v>
      </c>
      <c r="V106" s="172">
        <v>9</v>
      </c>
      <c r="W106" s="303"/>
      <c r="X106" s="304"/>
      <c r="Y106" s="304"/>
      <c r="Z106" s="304"/>
      <c r="AA106" s="304"/>
      <c r="AB106" s="304"/>
      <c r="AC106" s="304"/>
      <c r="AD106" s="304"/>
      <c r="AE106" s="304"/>
      <c r="AF106" s="113"/>
      <c r="AG106" s="113"/>
      <c r="AH106" s="113"/>
      <c r="AI106" s="113"/>
      <c r="AJ106" s="113"/>
      <c r="AK106" s="24"/>
      <c r="AL106" s="24"/>
      <c r="AM106" s="24"/>
      <c r="AN106" s="24"/>
      <c r="AO106" s="24"/>
      <c r="AP106" s="24"/>
      <c r="AR106" s="40"/>
    </row>
    <row r="107" spans="1:44" ht="15.75" customHeight="1">
      <c r="A107" s="241">
        <f>OVERALL!A36</f>
        <v>33</v>
      </c>
      <c r="B107" s="242">
        <f>OVERALL!B36</f>
        <v>2301270</v>
      </c>
      <c r="C107" s="243" t="str">
        <f>OVERALL!C36</f>
        <v>Simranjit Singh</v>
      </c>
      <c r="D107" s="171">
        <v>0</v>
      </c>
      <c r="E107" s="172">
        <v>7</v>
      </c>
      <c r="F107" s="172">
        <v>7</v>
      </c>
      <c r="G107" s="172">
        <v>0</v>
      </c>
      <c r="H107" s="172">
        <v>0</v>
      </c>
      <c r="I107" s="172">
        <v>0</v>
      </c>
      <c r="J107" s="172">
        <v>9</v>
      </c>
      <c r="K107" s="172">
        <v>9</v>
      </c>
      <c r="L107" s="172">
        <v>9</v>
      </c>
      <c r="M107" s="172">
        <v>8</v>
      </c>
      <c r="N107" s="172">
        <v>9</v>
      </c>
      <c r="O107" s="172">
        <v>9</v>
      </c>
      <c r="P107" s="172">
        <v>9</v>
      </c>
      <c r="Q107" s="172">
        <v>0</v>
      </c>
      <c r="R107" s="172">
        <v>8</v>
      </c>
      <c r="S107" s="172">
        <v>0</v>
      </c>
      <c r="T107" s="172">
        <v>8</v>
      </c>
      <c r="U107" s="172">
        <v>0</v>
      </c>
      <c r="V107" s="172">
        <v>0</v>
      </c>
      <c r="W107" s="303"/>
      <c r="X107" s="304"/>
      <c r="Y107" s="304"/>
      <c r="Z107" s="304"/>
      <c r="AA107" s="304"/>
      <c r="AB107" s="304"/>
      <c r="AC107" s="304"/>
      <c r="AD107" s="304"/>
      <c r="AE107" s="304"/>
      <c r="AF107" s="113"/>
      <c r="AG107" s="113"/>
      <c r="AH107" s="113"/>
      <c r="AI107" s="113"/>
      <c r="AJ107" s="113"/>
      <c r="AK107" s="24"/>
      <c r="AL107" s="24"/>
      <c r="AM107" s="24"/>
      <c r="AN107" s="24"/>
      <c r="AO107" s="24"/>
      <c r="AP107" s="24"/>
      <c r="AR107" s="40"/>
    </row>
    <row r="108" spans="1:44" ht="15.75" customHeight="1">
      <c r="A108" s="241">
        <f>OVERALL!A37</f>
        <v>34</v>
      </c>
      <c r="B108" s="242">
        <f>OVERALL!B37</f>
        <v>2301271</v>
      </c>
      <c r="C108" s="243" t="str">
        <f>OVERALL!C37</f>
        <v>Sudip Sunar</v>
      </c>
      <c r="D108" s="171">
        <v>0</v>
      </c>
      <c r="E108" s="172">
        <v>0</v>
      </c>
      <c r="F108" s="172">
        <v>0</v>
      </c>
      <c r="G108" s="172">
        <v>8</v>
      </c>
      <c r="H108" s="172">
        <v>9</v>
      </c>
      <c r="I108" s="172">
        <v>8</v>
      </c>
      <c r="J108" s="172">
        <v>8</v>
      </c>
      <c r="K108" s="172">
        <v>7</v>
      </c>
      <c r="L108" s="172">
        <v>8</v>
      </c>
      <c r="M108" s="172">
        <v>0</v>
      </c>
      <c r="N108" s="172">
        <v>9</v>
      </c>
      <c r="O108" s="172">
        <v>0</v>
      </c>
      <c r="P108" s="172">
        <v>9</v>
      </c>
      <c r="Q108" s="172">
        <v>8</v>
      </c>
      <c r="R108" s="172">
        <v>8</v>
      </c>
      <c r="S108" s="172">
        <v>0</v>
      </c>
      <c r="T108" s="172">
        <v>0</v>
      </c>
      <c r="U108" s="172">
        <v>8</v>
      </c>
      <c r="V108" s="172">
        <v>8</v>
      </c>
      <c r="W108" s="303"/>
      <c r="X108" s="304"/>
      <c r="Y108" s="304"/>
      <c r="Z108" s="304"/>
      <c r="AA108" s="304"/>
      <c r="AB108" s="304"/>
      <c r="AC108" s="304"/>
      <c r="AD108" s="304"/>
      <c r="AE108" s="304"/>
      <c r="AF108" s="113"/>
      <c r="AG108" s="113"/>
      <c r="AH108" s="113"/>
      <c r="AI108" s="113"/>
      <c r="AJ108" s="113"/>
      <c r="AK108" s="24"/>
      <c r="AL108" s="24"/>
      <c r="AM108" s="24"/>
      <c r="AN108" s="24"/>
      <c r="AO108" s="24"/>
      <c r="AP108" s="24"/>
      <c r="AR108" s="40"/>
    </row>
    <row r="109" spans="1:44" ht="15.75" customHeight="1">
      <c r="A109" s="241">
        <f>OVERALL!A38</f>
        <v>35</v>
      </c>
      <c r="B109" s="242">
        <f>OVERALL!B38</f>
        <v>2301272</v>
      </c>
      <c r="C109" s="243" t="str">
        <f>OVERALL!C38</f>
        <v>Sujal Sharma</v>
      </c>
      <c r="D109" s="171">
        <v>0</v>
      </c>
      <c r="E109" s="172">
        <v>0</v>
      </c>
      <c r="F109" s="172">
        <v>0</v>
      </c>
      <c r="G109" s="172">
        <v>0</v>
      </c>
      <c r="H109" s="172">
        <v>0</v>
      </c>
      <c r="I109" s="172">
        <v>0</v>
      </c>
      <c r="J109" s="172">
        <v>0</v>
      </c>
      <c r="K109" s="172">
        <v>0</v>
      </c>
      <c r="L109" s="172">
        <v>0</v>
      </c>
      <c r="M109" s="172">
        <v>0</v>
      </c>
      <c r="N109" s="172">
        <v>8</v>
      </c>
      <c r="O109" s="172">
        <v>0</v>
      </c>
      <c r="P109" s="172">
        <v>8</v>
      </c>
      <c r="Q109" s="172">
        <v>0</v>
      </c>
      <c r="R109" s="171">
        <v>7</v>
      </c>
      <c r="S109" s="172">
        <v>0</v>
      </c>
      <c r="T109" s="172">
        <v>0</v>
      </c>
      <c r="U109" s="172">
        <v>0</v>
      </c>
      <c r="V109" s="172">
        <v>0</v>
      </c>
      <c r="W109" s="303"/>
      <c r="X109" s="304"/>
      <c r="Y109" s="304"/>
      <c r="Z109" s="304"/>
      <c r="AA109" s="304"/>
      <c r="AB109" s="304"/>
      <c r="AC109" s="304"/>
      <c r="AD109" s="304"/>
      <c r="AE109" s="304"/>
      <c r="AF109" s="113"/>
      <c r="AG109" s="113"/>
      <c r="AH109" s="113"/>
      <c r="AI109" s="113"/>
      <c r="AJ109" s="113"/>
      <c r="AK109" s="24"/>
      <c r="AL109" s="24"/>
      <c r="AM109" s="24"/>
      <c r="AN109" s="24"/>
      <c r="AO109" s="24"/>
      <c r="AP109" s="24"/>
      <c r="AR109" s="40"/>
    </row>
    <row r="110" spans="1:44" ht="15.75" customHeight="1">
      <c r="A110" s="241">
        <f>OVERALL!A39</f>
        <v>36</v>
      </c>
      <c r="B110" s="242">
        <f>OVERALL!B39</f>
        <v>2301273</v>
      </c>
      <c r="C110" s="243" t="str">
        <f>OVERALL!C39</f>
        <v>Sukhraj Singh</v>
      </c>
      <c r="D110" s="171">
        <v>7</v>
      </c>
      <c r="E110" s="172">
        <v>7</v>
      </c>
      <c r="F110" s="172">
        <v>7</v>
      </c>
      <c r="G110" s="172">
        <v>0</v>
      </c>
      <c r="H110" s="172">
        <v>0</v>
      </c>
      <c r="I110" s="172">
        <v>7</v>
      </c>
      <c r="J110" s="172">
        <v>0</v>
      </c>
      <c r="K110" s="172">
        <v>0</v>
      </c>
      <c r="L110" s="172">
        <v>7</v>
      </c>
      <c r="M110" s="172">
        <v>0</v>
      </c>
      <c r="N110" s="172">
        <v>0</v>
      </c>
      <c r="O110" s="172">
        <v>0</v>
      </c>
      <c r="P110" s="172">
        <v>0</v>
      </c>
      <c r="Q110" s="172">
        <v>0</v>
      </c>
      <c r="R110" s="172">
        <v>0</v>
      </c>
      <c r="S110" s="172">
        <v>0</v>
      </c>
      <c r="T110" s="172">
        <v>0</v>
      </c>
      <c r="U110" s="172">
        <v>0</v>
      </c>
      <c r="V110" s="172">
        <v>0</v>
      </c>
      <c r="W110" s="303"/>
      <c r="X110" s="304"/>
      <c r="Y110" s="304"/>
      <c r="Z110" s="304"/>
      <c r="AA110" s="304"/>
      <c r="AB110" s="304"/>
      <c r="AC110" s="304"/>
      <c r="AD110" s="304"/>
      <c r="AE110" s="304"/>
      <c r="AF110" s="113"/>
      <c r="AG110" s="113"/>
      <c r="AH110" s="113"/>
      <c r="AI110" s="113"/>
      <c r="AJ110" s="113"/>
      <c r="AK110" s="24"/>
      <c r="AL110" s="24"/>
      <c r="AM110" s="24"/>
      <c r="AN110" s="24"/>
      <c r="AO110" s="24"/>
      <c r="AP110" s="24"/>
      <c r="AR110" s="40"/>
    </row>
    <row r="111" spans="1:44" ht="15.75" customHeight="1">
      <c r="A111" s="241">
        <f>OVERALL!A40</f>
        <v>37</v>
      </c>
      <c r="B111" s="242">
        <f>OVERALL!B40</f>
        <v>2301274</v>
      </c>
      <c r="C111" s="243" t="str">
        <f>OVERALL!C40</f>
        <v>Sukhreet Kaur</v>
      </c>
      <c r="D111" s="171">
        <v>9</v>
      </c>
      <c r="E111" s="172">
        <v>9</v>
      </c>
      <c r="F111" s="172">
        <v>9</v>
      </c>
      <c r="G111" s="172">
        <v>8</v>
      </c>
      <c r="H111" s="172">
        <v>9</v>
      </c>
      <c r="I111" s="172">
        <v>8</v>
      </c>
      <c r="J111" s="172">
        <v>8</v>
      </c>
      <c r="K111" s="172">
        <v>9</v>
      </c>
      <c r="L111" s="172">
        <v>9</v>
      </c>
      <c r="M111" s="172">
        <v>9</v>
      </c>
      <c r="N111" s="172">
        <v>8</v>
      </c>
      <c r="O111" s="172">
        <v>9</v>
      </c>
      <c r="P111" s="172">
        <v>9</v>
      </c>
      <c r="Q111" s="172">
        <v>9</v>
      </c>
      <c r="R111" s="172">
        <v>9</v>
      </c>
      <c r="S111" s="172">
        <v>9</v>
      </c>
      <c r="T111" s="172">
        <v>9</v>
      </c>
      <c r="U111" s="172">
        <v>9</v>
      </c>
      <c r="V111" s="172">
        <v>0</v>
      </c>
      <c r="W111" s="303"/>
      <c r="X111" s="304"/>
      <c r="Y111" s="304"/>
      <c r="Z111" s="304"/>
      <c r="AA111" s="304"/>
      <c r="AB111" s="304"/>
      <c r="AC111" s="304"/>
      <c r="AD111" s="304"/>
      <c r="AE111" s="304"/>
      <c r="AF111" s="113"/>
      <c r="AG111" s="113"/>
      <c r="AH111" s="113"/>
      <c r="AI111" s="113"/>
      <c r="AJ111" s="113"/>
      <c r="AK111" s="24"/>
      <c r="AL111" s="24"/>
      <c r="AM111" s="24"/>
      <c r="AN111" s="24"/>
      <c r="AO111" s="24"/>
      <c r="AP111" s="24"/>
      <c r="AR111" s="40"/>
    </row>
    <row r="112" spans="1:44" ht="15.75" customHeight="1">
      <c r="A112" s="241">
        <f>OVERALL!A41</f>
        <v>38</v>
      </c>
      <c r="B112" s="242">
        <f>OVERALL!B41</f>
        <v>2301275</v>
      </c>
      <c r="C112" s="243" t="str">
        <f>OVERALL!C41</f>
        <v>Suman Krishna</v>
      </c>
      <c r="D112" s="171">
        <v>0</v>
      </c>
      <c r="E112" s="172">
        <v>0</v>
      </c>
      <c r="F112" s="172">
        <v>0</v>
      </c>
      <c r="G112" s="172">
        <v>0</v>
      </c>
      <c r="H112" s="172">
        <v>0</v>
      </c>
      <c r="I112" s="172">
        <v>0</v>
      </c>
      <c r="J112" s="172">
        <v>0</v>
      </c>
      <c r="K112" s="172">
        <v>9</v>
      </c>
      <c r="L112" s="172">
        <v>0</v>
      </c>
      <c r="M112" s="172">
        <v>9</v>
      </c>
      <c r="N112" s="172">
        <v>9</v>
      </c>
      <c r="O112" s="172">
        <v>9</v>
      </c>
      <c r="P112" s="172">
        <v>9</v>
      </c>
      <c r="Q112" s="172">
        <v>9</v>
      </c>
      <c r="R112" s="172">
        <v>9</v>
      </c>
      <c r="S112" s="172">
        <v>9</v>
      </c>
      <c r="T112" s="172">
        <v>9</v>
      </c>
      <c r="U112" s="172">
        <v>9</v>
      </c>
      <c r="V112" s="172">
        <v>0</v>
      </c>
      <c r="W112" s="303"/>
      <c r="X112" s="304"/>
      <c r="Y112" s="304"/>
      <c r="Z112" s="304"/>
      <c r="AA112" s="304"/>
      <c r="AB112" s="304"/>
      <c r="AC112" s="304"/>
      <c r="AD112" s="304"/>
      <c r="AE112" s="304"/>
      <c r="AF112" s="113"/>
      <c r="AG112" s="113"/>
      <c r="AH112" s="113"/>
      <c r="AI112" s="113"/>
      <c r="AJ112" s="113"/>
      <c r="AK112" s="24"/>
      <c r="AL112" s="24"/>
      <c r="AM112" s="24"/>
      <c r="AN112" s="24"/>
      <c r="AO112" s="24"/>
      <c r="AP112" s="24"/>
      <c r="AR112" s="40"/>
    </row>
    <row r="113" spans="1:44" ht="15.75" customHeight="1">
      <c r="A113" s="241">
        <f>OVERALL!A42</f>
        <v>39</v>
      </c>
      <c r="B113" s="242">
        <f>OVERALL!B42</f>
        <v>2301276</v>
      </c>
      <c r="C113" s="243" t="str">
        <f>OVERALL!C42</f>
        <v>Sumanyu</v>
      </c>
      <c r="D113" s="171">
        <v>0</v>
      </c>
      <c r="E113" s="172">
        <v>0</v>
      </c>
      <c r="F113" s="172">
        <v>0</v>
      </c>
      <c r="G113" s="172">
        <v>0</v>
      </c>
      <c r="H113" s="172">
        <v>0</v>
      </c>
      <c r="I113" s="172">
        <v>0</v>
      </c>
      <c r="J113" s="172">
        <v>0</v>
      </c>
      <c r="K113" s="172">
        <v>0</v>
      </c>
      <c r="L113" s="172">
        <v>0</v>
      </c>
      <c r="M113" s="172">
        <v>0</v>
      </c>
      <c r="N113" s="172">
        <v>0</v>
      </c>
      <c r="O113" s="172">
        <v>0</v>
      </c>
      <c r="P113" s="172">
        <v>0</v>
      </c>
      <c r="Q113" s="172">
        <v>0</v>
      </c>
      <c r="R113" s="171">
        <v>0</v>
      </c>
      <c r="S113" s="172">
        <v>0</v>
      </c>
      <c r="T113" s="172">
        <v>0</v>
      </c>
      <c r="U113" s="172">
        <v>0</v>
      </c>
      <c r="V113" s="172">
        <v>0</v>
      </c>
      <c r="W113" s="303"/>
      <c r="X113" s="304"/>
      <c r="Y113" s="304"/>
      <c r="Z113" s="304"/>
      <c r="AA113" s="304"/>
      <c r="AB113" s="304"/>
      <c r="AC113" s="304"/>
      <c r="AD113" s="304"/>
      <c r="AE113" s="304"/>
      <c r="AF113" s="113"/>
      <c r="AG113" s="113"/>
      <c r="AH113" s="113"/>
      <c r="AI113" s="113"/>
      <c r="AJ113" s="113"/>
      <c r="AK113" s="24"/>
      <c r="AL113" s="24"/>
      <c r="AM113" s="24"/>
      <c r="AN113" s="24"/>
      <c r="AO113" s="24"/>
      <c r="AP113" s="24"/>
      <c r="AR113" s="40"/>
    </row>
    <row r="114" spans="1:44" ht="15.75" customHeight="1">
      <c r="A114" s="241">
        <f>OVERALL!A43</f>
        <v>40</v>
      </c>
      <c r="B114" s="242">
        <f>OVERALL!B43</f>
        <v>2301277</v>
      </c>
      <c r="C114" s="243" t="str">
        <f>OVERALL!C43</f>
        <v>Tamana</v>
      </c>
      <c r="D114" s="171">
        <v>0</v>
      </c>
      <c r="E114" s="172">
        <v>8</v>
      </c>
      <c r="F114" s="172">
        <v>8</v>
      </c>
      <c r="G114" s="172">
        <v>8</v>
      </c>
      <c r="H114" s="172">
        <v>9</v>
      </c>
      <c r="I114" s="172">
        <v>8</v>
      </c>
      <c r="J114" s="172">
        <v>8</v>
      </c>
      <c r="K114" s="172">
        <v>9</v>
      </c>
      <c r="L114" s="172">
        <v>9</v>
      </c>
      <c r="M114" s="172">
        <v>8</v>
      </c>
      <c r="N114" s="172">
        <v>8</v>
      </c>
      <c r="O114" s="172">
        <v>9</v>
      </c>
      <c r="P114" s="172">
        <v>9</v>
      </c>
      <c r="Q114" s="172">
        <v>9</v>
      </c>
      <c r="R114" s="172">
        <v>9</v>
      </c>
      <c r="S114" s="172">
        <v>9</v>
      </c>
      <c r="T114" s="172">
        <v>0</v>
      </c>
      <c r="U114" s="172">
        <v>9</v>
      </c>
      <c r="V114" s="172">
        <v>0</v>
      </c>
      <c r="W114" s="303"/>
      <c r="X114" s="304"/>
      <c r="Y114" s="304"/>
      <c r="Z114" s="304"/>
      <c r="AA114" s="304"/>
      <c r="AB114" s="304"/>
      <c r="AC114" s="304"/>
      <c r="AD114" s="304"/>
      <c r="AE114" s="304"/>
      <c r="AF114" s="113"/>
      <c r="AG114" s="113"/>
      <c r="AH114" s="113"/>
      <c r="AI114" s="113"/>
      <c r="AJ114" s="113"/>
      <c r="AK114" s="24"/>
      <c r="AL114" s="24"/>
      <c r="AM114" s="24"/>
      <c r="AN114" s="24"/>
      <c r="AO114" s="24"/>
      <c r="AP114" s="24"/>
      <c r="AR114" s="40"/>
    </row>
    <row r="115" spans="1:44" ht="15.75" customHeight="1">
      <c r="A115" s="241">
        <f>OVERALL!A44</f>
        <v>41</v>
      </c>
      <c r="B115" s="242">
        <f>OVERALL!B44</f>
        <v>2301278</v>
      </c>
      <c r="C115" s="243" t="str">
        <f>OVERALL!C44</f>
        <v>Tamana Farooq Khanday</v>
      </c>
      <c r="D115" s="171">
        <v>9</v>
      </c>
      <c r="E115" s="172">
        <v>0</v>
      </c>
      <c r="F115" s="172">
        <v>0</v>
      </c>
      <c r="G115" s="172">
        <v>0</v>
      </c>
      <c r="H115" s="172">
        <v>0</v>
      </c>
      <c r="I115" s="172">
        <v>0</v>
      </c>
      <c r="J115" s="172">
        <v>0</v>
      </c>
      <c r="K115" s="172">
        <v>0</v>
      </c>
      <c r="L115" s="172">
        <v>0</v>
      </c>
      <c r="M115" s="172">
        <v>0</v>
      </c>
      <c r="N115" s="172">
        <v>0</v>
      </c>
      <c r="O115" s="172">
        <v>0</v>
      </c>
      <c r="P115" s="172">
        <v>9</v>
      </c>
      <c r="Q115" s="172">
        <v>9</v>
      </c>
      <c r="R115" s="172">
        <v>9</v>
      </c>
      <c r="S115" s="172">
        <v>9</v>
      </c>
      <c r="T115" s="172">
        <v>0</v>
      </c>
      <c r="U115" s="172">
        <v>9</v>
      </c>
      <c r="V115" s="172">
        <v>9</v>
      </c>
      <c r="W115" s="303"/>
      <c r="X115" s="304"/>
      <c r="Y115" s="304"/>
      <c r="Z115" s="304"/>
      <c r="AA115" s="304"/>
      <c r="AB115" s="304"/>
      <c r="AC115" s="304"/>
      <c r="AD115" s="304"/>
      <c r="AE115" s="304"/>
      <c r="AF115" s="113"/>
      <c r="AG115" s="113"/>
      <c r="AH115" s="113"/>
      <c r="AI115" s="113"/>
      <c r="AJ115" s="113"/>
      <c r="AK115" s="24"/>
      <c r="AL115" s="24"/>
      <c r="AM115" s="24"/>
      <c r="AN115" s="24"/>
      <c r="AO115" s="24"/>
      <c r="AP115" s="24"/>
      <c r="AR115" s="40"/>
    </row>
    <row r="116" spans="1:44" ht="15.75" customHeight="1">
      <c r="A116" s="241">
        <f>OVERALL!A45</f>
        <v>42</v>
      </c>
      <c r="B116" s="242">
        <f>OVERALL!B45</f>
        <v>2301279</v>
      </c>
      <c r="C116" s="243" t="str">
        <f>OVERALL!C45</f>
        <v>Tania</v>
      </c>
      <c r="D116" s="171">
        <v>9</v>
      </c>
      <c r="E116" s="172">
        <v>8</v>
      </c>
      <c r="F116" s="172">
        <v>8</v>
      </c>
      <c r="G116" s="172">
        <v>8</v>
      </c>
      <c r="H116" s="172">
        <v>8</v>
      </c>
      <c r="I116" s="172">
        <v>8</v>
      </c>
      <c r="J116" s="172">
        <v>8</v>
      </c>
      <c r="K116" s="172">
        <v>8</v>
      </c>
      <c r="L116" s="172">
        <v>0</v>
      </c>
      <c r="M116" s="172">
        <v>0</v>
      </c>
      <c r="N116" s="172">
        <v>8</v>
      </c>
      <c r="O116" s="172">
        <v>0</v>
      </c>
      <c r="P116" s="172">
        <v>8</v>
      </c>
      <c r="Q116" s="172">
        <v>9</v>
      </c>
      <c r="R116" s="172">
        <v>9</v>
      </c>
      <c r="S116" s="172">
        <v>9</v>
      </c>
      <c r="T116" s="172">
        <v>0</v>
      </c>
      <c r="U116" s="172">
        <v>9</v>
      </c>
      <c r="V116" s="172">
        <v>0</v>
      </c>
      <c r="W116" s="303"/>
      <c r="X116" s="304"/>
      <c r="Y116" s="304"/>
      <c r="Z116" s="304"/>
      <c r="AA116" s="304"/>
      <c r="AB116" s="304"/>
      <c r="AC116" s="304"/>
      <c r="AD116" s="304"/>
      <c r="AE116" s="304"/>
      <c r="AF116" s="113"/>
      <c r="AG116" s="113"/>
      <c r="AH116" s="113"/>
      <c r="AI116" s="113"/>
      <c r="AJ116" s="113"/>
      <c r="AK116" s="24"/>
      <c r="AL116" s="24"/>
      <c r="AM116" s="24"/>
      <c r="AN116" s="24"/>
      <c r="AO116" s="24"/>
      <c r="AP116" s="24"/>
      <c r="AR116" s="40"/>
    </row>
    <row r="117" spans="1:44" ht="15.75" customHeight="1">
      <c r="A117" s="241">
        <f>OVERALL!A46</f>
        <v>43</v>
      </c>
      <c r="B117" s="242">
        <f>OVERALL!B46</f>
        <v>2301280</v>
      </c>
      <c r="C117" s="243" t="str">
        <f>OVERALL!C46</f>
        <v>Taniya</v>
      </c>
      <c r="D117" s="171">
        <v>0</v>
      </c>
      <c r="E117" s="172">
        <v>0</v>
      </c>
      <c r="F117" s="172">
        <v>0</v>
      </c>
      <c r="G117" s="172">
        <v>8</v>
      </c>
      <c r="H117" s="172">
        <v>8</v>
      </c>
      <c r="I117" s="172">
        <v>8</v>
      </c>
      <c r="J117" s="172">
        <v>8</v>
      </c>
      <c r="K117" s="172">
        <v>0</v>
      </c>
      <c r="L117" s="172">
        <v>0</v>
      </c>
      <c r="M117" s="172">
        <v>0</v>
      </c>
      <c r="N117" s="172">
        <v>0</v>
      </c>
      <c r="O117" s="172">
        <v>0</v>
      </c>
      <c r="P117" s="172">
        <v>0</v>
      </c>
      <c r="Q117" s="172">
        <v>9</v>
      </c>
      <c r="R117" s="172">
        <v>9</v>
      </c>
      <c r="S117" s="172">
        <v>9</v>
      </c>
      <c r="T117" s="172">
        <v>0</v>
      </c>
      <c r="U117" s="172">
        <v>9</v>
      </c>
      <c r="V117" s="172">
        <v>0</v>
      </c>
      <c r="W117" s="303"/>
      <c r="X117" s="304"/>
      <c r="Y117" s="304"/>
      <c r="Z117" s="304"/>
      <c r="AA117" s="304"/>
      <c r="AB117" s="304"/>
      <c r="AC117" s="304"/>
      <c r="AD117" s="304"/>
      <c r="AE117" s="304"/>
      <c r="AF117" s="113"/>
      <c r="AG117" s="113"/>
      <c r="AH117" s="113"/>
      <c r="AI117" s="113"/>
      <c r="AJ117" s="113"/>
      <c r="AK117" s="24"/>
      <c r="AL117" s="24"/>
      <c r="AM117" s="24"/>
      <c r="AN117" s="24"/>
      <c r="AO117" s="24"/>
      <c r="AP117" s="24"/>
      <c r="AR117" s="40"/>
    </row>
    <row r="118" spans="1:44" ht="15.75" customHeight="1">
      <c r="A118" s="241">
        <f>OVERALL!A47</f>
        <v>44</v>
      </c>
      <c r="B118" s="242">
        <f>OVERALL!B47</f>
        <v>2301281</v>
      </c>
      <c r="C118" s="243" t="str">
        <f>OVERALL!C47</f>
        <v>Taziko Trakha</v>
      </c>
      <c r="D118" s="171">
        <v>0</v>
      </c>
      <c r="E118" s="172">
        <v>0</v>
      </c>
      <c r="F118" s="172">
        <v>0</v>
      </c>
      <c r="G118" s="172">
        <v>8</v>
      </c>
      <c r="H118" s="172">
        <v>8</v>
      </c>
      <c r="I118" s="172">
        <v>0</v>
      </c>
      <c r="J118" s="172">
        <v>8</v>
      </c>
      <c r="K118" s="172">
        <v>9</v>
      </c>
      <c r="L118" s="172">
        <v>9</v>
      </c>
      <c r="M118" s="172">
        <v>0</v>
      </c>
      <c r="N118" s="172">
        <v>9</v>
      </c>
      <c r="O118" s="172">
        <v>0</v>
      </c>
      <c r="P118" s="172">
        <v>8</v>
      </c>
      <c r="Q118" s="172">
        <v>0</v>
      </c>
      <c r="R118" s="172">
        <v>8</v>
      </c>
      <c r="S118" s="172">
        <v>0</v>
      </c>
      <c r="T118" s="172">
        <v>0</v>
      </c>
      <c r="U118" s="172">
        <v>0</v>
      </c>
      <c r="V118" s="172">
        <v>0</v>
      </c>
      <c r="W118" s="303"/>
      <c r="X118" s="304"/>
      <c r="Y118" s="304"/>
      <c r="Z118" s="304"/>
      <c r="AA118" s="304"/>
      <c r="AB118" s="304"/>
      <c r="AC118" s="304"/>
      <c r="AD118" s="304"/>
      <c r="AE118" s="304"/>
      <c r="AF118" s="113"/>
      <c r="AG118" s="113"/>
      <c r="AH118" s="113"/>
      <c r="AI118" s="113"/>
      <c r="AJ118" s="113"/>
      <c r="AK118" s="24"/>
      <c r="AL118" s="24"/>
      <c r="AM118" s="24"/>
      <c r="AN118" s="24"/>
      <c r="AO118" s="24"/>
      <c r="AP118" s="24"/>
      <c r="AR118" s="40"/>
    </row>
    <row r="119" spans="1:44" ht="15.75" customHeight="1">
      <c r="A119" s="122">
        <v>45</v>
      </c>
      <c r="B119" s="242">
        <f>OVERALL!B48</f>
        <v>2301282</v>
      </c>
      <c r="C119" s="243" t="str">
        <f>OVERALL!C48</f>
        <v>Uday Kumar</v>
      </c>
      <c r="D119" s="171">
        <v>0</v>
      </c>
      <c r="E119" s="172">
        <v>0</v>
      </c>
      <c r="F119" s="172">
        <v>7</v>
      </c>
      <c r="G119" s="172">
        <v>0</v>
      </c>
      <c r="H119" s="172">
        <v>0</v>
      </c>
      <c r="I119" s="172">
        <v>0</v>
      </c>
      <c r="J119" s="172">
        <v>7</v>
      </c>
      <c r="K119" s="172">
        <v>0</v>
      </c>
      <c r="L119" s="172">
        <v>7</v>
      </c>
      <c r="M119" s="172">
        <v>7</v>
      </c>
      <c r="N119" s="172">
        <v>7</v>
      </c>
      <c r="O119" s="172">
        <v>0</v>
      </c>
      <c r="P119" s="172">
        <v>0</v>
      </c>
      <c r="Q119" s="172">
        <v>9</v>
      </c>
      <c r="R119" s="172">
        <v>9</v>
      </c>
      <c r="S119" s="172">
        <v>9</v>
      </c>
      <c r="T119" s="172">
        <v>0</v>
      </c>
      <c r="U119" s="172">
        <v>0</v>
      </c>
      <c r="V119" s="172">
        <v>0</v>
      </c>
      <c r="W119" s="303"/>
      <c r="X119" s="304"/>
      <c r="Y119" s="304"/>
      <c r="Z119" s="304"/>
      <c r="AA119" s="304"/>
      <c r="AB119" s="304"/>
      <c r="AC119" s="304"/>
      <c r="AD119" s="304"/>
      <c r="AE119" s="304"/>
      <c r="AF119" s="113"/>
      <c r="AG119" s="113"/>
      <c r="AH119" s="113"/>
      <c r="AI119" s="113"/>
      <c r="AJ119" s="113"/>
      <c r="AK119" s="24"/>
      <c r="AL119" s="24"/>
      <c r="AM119" s="24"/>
      <c r="AN119" s="24"/>
      <c r="AO119" s="24"/>
      <c r="AP119" s="24"/>
      <c r="AR119" s="40"/>
    </row>
    <row r="120" spans="1:44" ht="15.75" customHeight="1">
      <c r="A120" s="122">
        <v>46</v>
      </c>
      <c r="B120" s="242">
        <f>OVERALL!B49</f>
        <v>2301283</v>
      </c>
      <c r="C120" s="243" t="str">
        <f>OVERALL!C49</f>
        <v>Vaibhav Shahi</v>
      </c>
      <c r="D120" s="171">
        <v>0</v>
      </c>
      <c r="E120" s="172">
        <v>0</v>
      </c>
      <c r="F120" s="172">
        <v>9</v>
      </c>
      <c r="G120" s="172">
        <v>0</v>
      </c>
      <c r="H120" s="172">
        <v>0</v>
      </c>
      <c r="I120" s="172">
        <v>0</v>
      </c>
      <c r="J120" s="172">
        <v>0</v>
      </c>
      <c r="K120" s="172">
        <v>8</v>
      </c>
      <c r="L120" s="172">
        <v>9</v>
      </c>
      <c r="M120" s="172">
        <v>0</v>
      </c>
      <c r="N120" s="172">
        <v>0</v>
      </c>
      <c r="O120" s="172">
        <v>8</v>
      </c>
      <c r="P120" s="172">
        <v>0</v>
      </c>
      <c r="Q120" s="172">
        <v>0</v>
      </c>
      <c r="R120" s="172">
        <v>0</v>
      </c>
      <c r="S120" s="172">
        <v>0</v>
      </c>
      <c r="T120" s="172">
        <v>0</v>
      </c>
      <c r="U120" s="172">
        <v>0</v>
      </c>
      <c r="V120" s="172">
        <v>0</v>
      </c>
      <c r="W120" s="303"/>
      <c r="X120" s="304"/>
      <c r="Y120" s="304"/>
      <c r="Z120" s="304"/>
      <c r="AA120" s="304"/>
      <c r="AB120" s="304"/>
      <c r="AC120" s="304"/>
      <c r="AD120" s="304"/>
      <c r="AE120" s="304"/>
      <c r="AF120" s="113"/>
      <c r="AG120" s="113"/>
      <c r="AH120" s="113"/>
      <c r="AI120" s="113"/>
      <c r="AJ120" s="113"/>
      <c r="AK120" s="24"/>
      <c r="AL120" s="24"/>
      <c r="AM120" s="24"/>
      <c r="AN120" s="24"/>
      <c r="AO120" s="24"/>
      <c r="AP120" s="24"/>
      <c r="AR120" s="40"/>
    </row>
    <row r="121" spans="1:44" ht="15.75" customHeight="1">
      <c r="A121" s="122">
        <v>47</v>
      </c>
      <c r="B121" s="242">
        <f>OVERALL!B50</f>
        <v>2301284</v>
      </c>
      <c r="C121" s="243" t="str">
        <f>OVERALL!C50</f>
        <v>Vansh Kumar</v>
      </c>
      <c r="D121" s="171">
        <v>0</v>
      </c>
      <c r="E121" s="172">
        <v>0</v>
      </c>
      <c r="F121" s="172">
        <v>0</v>
      </c>
      <c r="G121" s="172">
        <v>0</v>
      </c>
      <c r="H121" s="172">
        <v>0</v>
      </c>
      <c r="I121" s="172">
        <v>0</v>
      </c>
      <c r="J121" s="172">
        <v>0</v>
      </c>
      <c r="K121" s="172">
        <v>0</v>
      </c>
      <c r="L121" s="172">
        <v>0</v>
      </c>
      <c r="M121" s="172">
        <v>0</v>
      </c>
      <c r="N121" s="172">
        <v>0</v>
      </c>
      <c r="O121" s="172">
        <v>0</v>
      </c>
      <c r="P121" s="172">
        <v>0</v>
      </c>
      <c r="Q121" s="172">
        <v>0</v>
      </c>
      <c r="R121" s="171">
        <v>0</v>
      </c>
      <c r="S121" s="172">
        <v>0</v>
      </c>
      <c r="T121" s="172">
        <v>0</v>
      </c>
      <c r="U121" s="172">
        <v>0</v>
      </c>
      <c r="V121" s="172">
        <v>0</v>
      </c>
      <c r="W121" s="303"/>
      <c r="X121" s="304"/>
      <c r="Y121" s="304"/>
      <c r="Z121" s="304"/>
      <c r="AA121" s="304"/>
      <c r="AB121" s="304"/>
      <c r="AC121" s="304"/>
      <c r="AD121" s="304"/>
      <c r="AE121" s="304"/>
      <c r="AF121" s="113"/>
      <c r="AG121" s="113"/>
      <c r="AH121" s="113"/>
      <c r="AI121" s="113"/>
      <c r="AJ121" s="113"/>
      <c r="AK121" s="24"/>
      <c r="AL121" s="24"/>
      <c r="AM121" s="24"/>
      <c r="AN121" s="24"/>
      <c r="AO121" s="24"/>
      <c r="AP121" s="24"/>
      <c r="AR121" s="40"/>
    </row>
    <row r="122" spans="1:44" ht="15.75" customHeight="1">
      <c r="A122" s="122">
        <v>48</v>
      </c>
      <c r="B122" s="242">
        <f>OVERALL!B51</f>
        <v>2301285</v>
      </c>
      <c r="C122" s="243" t="str">
        <f>OVERALL!C51</f>
        <v>Vansh Sharma</v>
      </c>
      <c r="D122" s="171">
        <v>0</v>
      </c>
      <c r="E122" s="172">
        <v>7</v>
      </c>
      <c r="F122" s="172">
        <v>0</v>
      </c>
      <c r="G122" s="172">
        <v>8</v>
      </c>
      <c r="H122" s="172">
        <v>7</v>
      </c>
      <c r="I122" s="172">
        <v>7</v>
      </c>
      <c r="J122" s="172">
        <v>8</v>
      </c>
      <c r="K122" s="172">
        <v>8</v>
      </c>
      <c r="L122" s="172">
        <v>8</v>
      </c>
      <c r="M122" s="172">
        <v>0</v>
      </c>
      <c r="N122" s="172">
        <v>8</v>
      </c>
      <c r="O122" s="172">
        <v>7</v>
      </c>
      <c r="P122" s="172">
        <v>8</v>
      </c>
      <c r="Q122" s="172">
        <v>9</v>
      </c>
      <c r="R122" s="172">
        <v>9</v>
      </c>
      <c r="S122" s="172">
        <v>9</v>
      </c>
      <c r="T122" s="172">
        <v>9</v>
      </c>
      <c r="U122" s="172">
        <v>9</v>
      </c>
      <c r="V122" s="172">
        <v>0</v>
      </c>
      <c r="W122" s="303"/>
      <c r="X122" s="304"/>
      <c r="Y122" s="304"/>
      <c r="Z122" s="304"/>
      <c r="AA122" s="304"/>
      <c r="AB122" s="304"/>
      <c r="AC122" s="304"/>
      <c r="AD122" s="304"/>
      <c r="AE122" s="304"/>
      <c r="AF122" s="113"/>
      <c r="AG122" s="113"/>
      <c r="AH122" s="113"/>
      <c r="AI122" s="113"/>
      <c r="AJ122" s="113"/>
      <c r="AK122" s="24"/>
      <c r="AL122" s="24"/>
      <c r="AM122" s="24"/>
      <c r="AN122" s="24"/>
      <c r="AO122" s="24"/>
      <c r="AP122" s="24"/>
      <c r="AR122" s="40"/>
    </row>
    <row r="123" spans="1:44" ht="15.75" customHeight="1">
      <c r="A123" s="122">
        <v>49</v>
      </c>
      <c r="B123" s="242">
        <f>OVERALL!B52</f>
        <v>2301286</v>
      </c>
      <c r="C123" s="243" t="str">
        <f>OVERALL!C52</f>
        <v>Vikramjit Singh</v>
      </c>
      <c r="D123" s="171">
        <v>7</v>
      </c>
      <c r="E123" s="172">
        <v>0</v>
      </c>
      <c r="F123" s="172">
        <v>0</v>
      </c>
      <c r="G123" s="172">
        <v>0</v>
      </c>
      <c r="H123" s="172">
        <v>0</v>
      </c>
      <c r="I123" s="172">
        <v>0</v>
      </c>
      <c r="J123" s="172">
        <v>0</v>
      </c>
      <c r="K123" s="172">
        <v>0</v>
      </c>
      <c r="L123" s="172">
        <v>0</v>
      </c>
      <c r="M123" s="172">
        <v>0</v>
      </c>
      <c r="N123" s="172">
        <v>0</v>
      </c>
      <c r="O123" s="172">
        <v>0</v>
      </c>
      <c r="P123" s="172">
        <v>0</v>
      </c>
      <c r="Q123" s="172">
        <v>0</v>
      </c>
      <c r="R123" s="172">
        <v>0</v>
      </c>
      <c r="S123" s="172">
        <v>0</v>
      </c>
      <c r="T123" s="172">
        <v>0</v>
      </c>
      <c r="U123" s="172">
        <v>0</v>
      </c>
      <c r="V123" s="172">
        <v>0</v>
      </c>
      <c r="W123" s="303"/>
      <c r="X123" s="304"/>
      <c r="Y123" s="304"/>
      <c r="Z123" s="304"/>
      <c r="AA123" s="304"/>
      <c r="AB123" s="304"/>
      <c r="AC123" s="304"/>
      <c r="AD123" s="304"/>
      <c r="AE123" s="304"/>
      <c r="AF123" s="113"/>
      <c r="AG123" s="113"/>
      <c r="AH123" s="113"/>
      <c r="AI123" s="113"/>
      <c r="AJ123" s="113"/>
      <c r="AK123" s="24"/>
      <c r="AL123" s="24"/>
      <c r="AM123" s="24"/>
      <c r="AN123" s="24"/>
      <c r="AO123" s="24"/>
      <c r="AP123" s="24"/>
      <c r="AR123" s="40"/>
    </row>
    <row r="124" spans="1:44" ht="15.75" customHeight="1">
      <c r="A124" s="122">
        <v>50</v>
      </c>
      <c r="B124" s="242">
        <f>OVERALL!B53</f>
        <v>2301287</v>
      </c>
      <c r="C124" s="243" t="str">
        <f>OVERALL!C53</f>
        <v>Vishavjit Singh</v>
      </c>
      <c r="D124" s="171">
        <v>0</v>
      </c>
      <c r="E124" s="172">
        <v>0</v>
      </c>
      <c r="F124" s="172">
        <v>0</v>
      </c>
      <c r="G124" s="172">
        <v>7</v>
      </c>
      <c r="H124" s="172">
        <v>7</v>
      </c>
      <c r="I124" s="172">
        <v>7</v>
      </c>
      <c r="J124" s="172">
        <v>7</v>
      </c>
      <c r="K124" s="172">
        <v>6</v>
      </c>
      <c r="L124" s="172">
        <v>0</v>
      </c>
      <c r="M124" s="172">
        <v>0</v>
      </c>
      <c r="N124" s="172">
        <v>0</v>
      </c>
      <c r="O124" s="172">
        <v>0</v>
      </c>
      <c r="P124" s="172">
        <v>0</v>
      </c>
      <c r="Q124" s="172">
        <v>0</v>
      </c>
      <c r="R124" s="172">
        <v>0</v>
      </c>
      <c r="S124" s="172">
        <v>0</v>
      </c>
      <c r="T124" s="172">
        <v>0</v>
      </c>
      <c r="U124" s="172">
        <v>0</v>
      </c>
      <c r="V124" s="172">
        <v>0</v>
      </c>
      <c r="W124" s="303"/>
      <c r="X124" s="304"/>
      <c r="Y124" s="304"/>
      <c r="Z124" s="304"/>
      <c r="AA124" s="304"/>
      <c r="AB124" s="304"/>
      <c r="AC124" s="304"/>
      <c r="AD124" s="304"/>
      <c r="AE124" s="304"/>
      <c r="AF124" s="113"/>
      <c r="AG124" s="113"/>
      <c r="AH124" s="113"/>
      <c r="AI124" s="113"/>
      <c r="AJ124" s="113"/>
      <c r="AK124" s="24"/>
      <c r="AL124" s="24"/>
      <c r="AM124" s="24"/>
      <c r="AN124" s="24"/>
      <c r="AO124" s="24"/>
      <c r="AP124" s="24"/>
      <c r="AR124" s="40"/>
    </row>
    <row r="125" spans="1:44" ht="15.75" customHeight="1">
      <c r="A125" s="122">
        <v>51</v>
      </c>
      <c r="B125" s="242">
        <f>OVERALL!B54</f>
        <v>2339508</v>
      </c>
      <c r="C125" s="243" t="str">
        <f>OVERALL!C54</f>
        <v>TANISHA</v>
      </c>
      <c r="D125" s="171">
        <v>7</v>
      </c>
      <c r="E125" s="172">
        <v>8</v>
      </c>
      <c r="F125" s="172">
        <v>0</v>
      </c>
      <c r="G125" s="172">
        <v>7</v>
      </c>
      <c r="H125" s="172">
        <v>9</v>
      </c>
      <c r="I125" s="172">
        <v>8</v>
      </c>
      <c r="J125" s="172">
        <v>8</v>
      </c>
      <c r="K125" s="172">
        <v>7</v>
      </c>
      <c r="L125" s="172">
        <v>8</v>
      </c>
      <c r="M125" s="172">
        <v>0</v>
      </c>
      <c r="N125" s="172">
        <v>9</v>
      </c>
      <c r="O125" s="172">
        <v>8</v>
      </c>
      <c r="P125" s="172">
        <v>8</v>
      </c>
      <c r="Q125" s="172">
        <v>8</v>
      </c>
      <c r="R125" s="172">
        <v>8</v>
      </c>
      <c r="S125" s="172">
        <v>8</v>
      </c>
      <c r="T125" s="172">
        <v>8</v>
      </c>
      <c r="U125" s="172">
        <v>8</v>
      </c>
      <c r="V125" s="172">
        <v>0</v>
      </c>
      <c r="W125" s="303"/>
      <c r="X125" s="304"/>
      <c r="Y125" s="304"/>
      <c r="Z125" s="304"/>
      <c r="AA125" s="304"/>
      <c r="AB125" s="304"/>
      <c r="AC125" s="304"/>
      <c r="AD125" s="304"/>
      <c r="AE125" s="304"/>
      <c r="AF125" s="113"/>
      <c r="AG125" s="113"/>
      <c r="AH125" s="113"/>
      <c r="AI125" s="113"/>
      <c r="AJ125" s="113"/>
      <c r="AK125" s="24"/>
      <c r="AL125" s="24"/>
      <c r="AM125" s="24"/>
      <c r="AN125" s="24"/>
      <c r="AO125" s="24"/>
      <c r="AP125" s="24"/>
      <c r="AR125" s="40"/>
    </row>
    <row r="126" spans="1:44" ht="15.75" customHeight="1">
      <c r="A126" s="122">
        <v>52</v>
      </c>
      <c r="B126" s="242">
        <f>OVERALL!B55</f>
        <v>2339509</v>
      </c>
      <c r="C126" s="243" t="str">
        <f>OVERALL!C55</f>
        <v>TOHIED AHMED</v>
      </c>
      <c r="D126" s="171">
        <v>0</v>
      </c>
      <c r="E126" s="172">
        <v>0</v>
      </c>
      <c r="F126" s="172">
        <v>0</v>
      </c>
      <c r="G126" s="172">
        <v>0</v>
      </c>
      <c r="H126" s="172">
        <v>0</v>
      </c>
      <c r="I126" s="172">
        <v>0</v>
      </c>
      <c r="J126" s="172">
        <v>0</v>
      </c>
      <c r="K126" s="172">
        <v>0</v>
      </c>
      <c r="L126" s="172">
        <v>0</v>
      </c>
      <c r="M126" s="172">
        <v>0</v>
      </c>
      <c r="N126" s="172">
        <v>0</v>
      </c>
      <c r="O126" s="172">
        <v>0</v>
      </c>
      <c r="P126" s="172">
        <v>0</v>
      </c>
      <c r="Q126" s="172">
        <v>0</v>
      </c>
      <c r="R126" s="171">
        <v>0</v>
      </c>
      <c r="S126" s="172">
        <v>0</v>
      </c>
      <c r="T126" s="172">
        <v>0</v>
      </c>
      <c r="U126" s="172">
        <v>0</v>
      </c>
      <c r="V126" s="172">
        <v>0</v>
      </c>
      <c r="W126" s="303"/>
      <c r="X126" s="304"/>
      <c r="Y126" s="304"/>
      <c r="Z126" s="304"/>
      <c r="AA126" s="304"/>
      <c r="AB126" s="304"/>
      <c r="AC126" s="304"/>
      <c r="AD126" s="304"/>
      <c r="AE126" s="304"/>
      <c r="AF126" s="113"/>
      <c r="AG126" s="113"/>
      <c r="AH126" s="113"/>
      <c r="AI126" s="113"/>
      <c r="AJ126" s="113"/>
      <c r="AK126" s="24"/>
      <c r="AL126" s="24"/>
      <c r="AM126" s="24"/>
      <c r="AN126" s="24"/>
      <c r="AO126" s="24"/>
      <c r="AP126" s="24"/>
      <c r="AR126" s="40"/>
    </row>
    <row r="127" spans="1:44" ht="15.75" customHeight="1">
      <c r="A127" s="122">
        <v>53</v>
      </c>
      <c r="B127" s="242">
        <f>OVERALL!B56</f>
        <v>2301207</v>
      </c>
      <c r="C127" s="243" t="str">
        <f>OVERALL!C56</f>
        <v>Harsh thakur</v>
      </c>
      <c r="D127" s="171">
        <v>0</v>
      </c>
      <c r="E127" s="172">
        <v>0</v>
      </c>
      <c r="F127" s="172">
        <v>0</v>
      </c>
      <c r="G127" s="172">
        <v>0</v>
      </c>
      <c r="H127" s="172">
        <v>0</v>
      </c>
      <c r="I127" s="172">
        <v>0</v>
      </c>
      <c r="J127" s="172">
        <v>0</v>
      </c>
      <c r="K127" s="172">
        <v>0</v>
      </c>
      <c r="L127" s="172">
        <v>0</v>
      </c>
      <c r="M127" s="172">
        <v>0</v>
      </c>
      <c r="N127" s="172">
        <v>0</v>
      </c>
      <c r="O127" s="172">
        <v>0</v>
      </c>
      <c r="P127" s="172">
        <v>0</v>
      </c>
      <c r="Q127" s="172">
        <v>0</v>
      </c>
      <c r="R127" s="171">
        <v>0</v>
      </c>
      <c r="S127" s="172">
        <v>0</v>
      </c>
      <c r="T127" s="172">
        <v>0</v>
      </c>
      <c r="U127" s="172">
        <v>0</v>
      </c>
      <c r="V127" s="172">
        <v>0</v>
      </c>
      <c r="W127" s="303"/>
      <c r="X127" s="304"/>
      <c r="Y127" s="304"/>
      <c r="Z127" s="304"/>
      <c r="AA127" s="304"/>
      <c r="AB127" s="304"/>
      <c r="AC127" s="304"/>
      <c r="AD127" s="304"/>
      <c r="AE127" s="304"/>
      <c r="AF127" s="113"/>
      <c r="AG127" s="113"/>
      <c r="AH127" s="113"/>
      <c r="AI127" s="113"/>
      <c r="AJ127" s="113"/>
      <c r="AK127" s="24"/>
      <c r="AL127" s="24"/>
      <c r="AM127" s="24"/>
      <c r="AN127" s="24"/>
      <c r="AO127" s="24"/>
      <c r="AP127" s="24"/>
      <c r="AR127" s="40"/>
    </row>
    <row r="128" spans="1:44" ht="15.75" customHeight="1">
      <c r="A128" s="122">
        <v>54</v>
      </c>
      <c r="B128" s="242" t="str">
        <f>OVERALL!B57</f>
        <v>Leet</v>
      </c>
      <c r="C128" s="243" t="str">
        <f>OVERALL!C57</f>
        <v>Gagan</v>
      </c>
      <c r="D128" s="171">
        <v>0</v>
      </c>
      <c r="E128" s="172">
        <v>9</v>
      </c>
      <c r="F128" s="172">
        <v>0</v>
      </c>
      <c r="G128" s="172">
        <v>8</v>
      </c>
      <c r="H128" s="172">
        <v>9</v>
      </c>
      <c r="I128" s="172">
        <v>9</v>
      </c>
      <c r="J128" s="172">
        <v>8</v>
      </c>
      <c r="K128" s="172">
        <v>8</v>
      </c>
      <c r="L128" s="172">
        <v>0</v>
      </c>
      <c r="M128" s="172">
        <v>0</v>
      </c>
      <c r="N128" s="172">
        <v>9</v>
      </c>
      <c r="O128" s="172">
        <v>0</v>
      </c>
      <c r="P128" s="172">
        <v>9</v>
      </c>
      <c r="Q128" s="172">
        <v>9</v>
      </c>
      <c r="R128" s="172">
        <v>9</v>
      </c>
      <c r="S128" s="172">
        <v>9</v>
      </c>
      <c r="T128" s="172">
        <v>9</v>
      </c>
      <c r="U128" s="172">
        <v>9</v>
      </c>
      <c r="V128" s="172">
        <v>9</v>
      </c>
      <c r="W128" s="303"/>
      <c r="X128" s="304"/>
      <c r="Y128" s="304"/>
      <c r="Z128" s="304"/>
      <c r="AA128" s="304"/>
      <c r="AB128" s="304"/>
      <c r="AC128" s="304"/>
      <c r="AD128" s="304"/>
      <c r="AE128" s="304"/>
      <c r="AF128" s="113"/>
      <c r="AG128" s="113"/>
      <c r="AH128" s="113"/>
      <c r="AI128" s="113"/>
      <c r="AJ128" s="113"/>
      <c r="AK128" s="24"/>
      <c r="AL128" s="24"/>
      <c r="AM128" s="24"/>
      <c r="AN128" s="24"/>
      <c r="AO128" s="24"/>
      <c r="AP128" s="24"/>
      <c r="AR128" s="40"/>
    </row>
    <row r="129" spans="1:44" ht="15.75" customHeight="1">
      <c r="A129" s="122">
        <v>55</v>
      </c>
      <c r="B129" s="242" t="str">
        <f>OVERALL!B58</f>
        <v>Leet</v>
      </c>
      <c r="C129" s="243" t="str">
        <f>OVERALL!C58</f>
        <v>Manisha</v>
      </c>
      <c r="D129" s="171">
        <v>0</v>
      </c>
      <c r="E129" s="172">
        <v>9</v>
      </c>
      <c r="F129" s="172">
        <v>9</v>
      </c>
      <c r="G129" s="172">
        <v>0</v>
      </c>
      <c r="H129" s="172">
        <v>0</v>
      </c>
      <c r="I129" s="172">
        <v>9</v>
      </c>
      <c r="J129" s="172">
        <v>9</v>
      </c>
      <c r="K129" s="172">
        <v>9</v>
      </c>
      <c r="L129" s="172">
        <v>0</v>
      </c>
      <c r="M129" s="172">
        <v>0</v>
      </c>
      <c r="N129" s="172">
        <v>9</v>
      </c>
      <c r="O129" s="172">
        <v>9</v>
      </c>
      <c r="P129" s="172">
        <v>9</v>
      </c>
      <c r="Q129" s="172">
        <v>9</v>
      </c>
      <c r="R129" s="172">
        <v>9</v>
      </c>
      <c r="S129" s="172">
        <v>9</v>
      </c>
      <c r="T129" s="172">
        <v>9</v>
      </c>
      <c r="U129" s="172">
        <v>9</v>
      </c>
      <c r="V129" s="172">
        <v>0</v>
      </c>
      <c r="W129" s="303"/>
      <c r="X129" s="304"/>
      <c r="Y129" s="304"/>
      <c r="Z129" s="304"/>
      <c r="AA129" s="304"/>
      <c r="AB129" s="304"/>
      <c r="AC129" s="304"/>
      <c r="AD129" s="304"/>
      <c r="AE129" s="304"/>
      <c r="AF129" s="113"/>
      <c r="AG129" s="113"/>
      <c r="AH129" s="113"/>
      <c r="AI129" s="113"/>
      <c r="AJ129" s="113"/>
      <c r="AK129" s="24"/>
      <c r="AL129" s="24"/>
      <c r="AM129" s="24"/>
      <c r="AN129" s="24"/>
      <c r="AO129" s="24"/>
      <c r="AP129" s="24"/>
      <c r="AR129" s="40"/>
    </row>
    <row r="130" spans="1:44" ht="15.75" customHeight="1">
      <c r="A130" s="122">
        <v>56</v>
      </c>
      <c r="B130" s="242" t="str">
        <f>OVERALL!B59</f>
        <v>Leet</v>
      </c>
      <c r="C130" s="243" t="str">
        <f>OVERALL!C59</f>
        <v>Richa</v>
      </c>
      <c r="D130" s="171">
        <v>0</v>
      </c>
      <c r="E130" s="172">
        <v>8</v>
      </c>
      <c r="F130" s="172">
        <v>8</v>
      </c>
      <c r="G130" s="172">
        <v>9</v>
      </c>
      <c r="H130" s="172">
        <v>9</v>
      </c>
      <c r="I130" s="172">
        <v>9</v>
      </c>
      <c r="J130" s="172">
        <v>9</v>
      </c>
      <c r="K130" s="172">
        <v>9</v>
      </c>
      <c r="L130" s="172">
        <v>9</v>
      </c>
      <c r="M130" s="172">
        <v>0</v>
      </c>
      <c r="N130" s="172">
        <v>8</v>
      </c>
      <c r="O130" s="172">
        <v>9</v>
      </c>
      <c r="P130" s="172">
        <v>9</v>
      </c>
      <c r="Q130" s="172">
        <v>9</v>
      </c>
      <c r="R130" s="172">
        <v>9</v>
      </c>
      <c r="S130" s="172">
        <v>9</v>
      </c>
      <c r="T130" s="172">
        <v>9</v>
      </c>
      <c r="U130" s="172">
        <v>9</v>
      </c>
      <c r="V130" s="172">
        <v>9</v>
      </c>
      <c r="W130" s="303"/>
      <c r="X130" s="304"/>
      <c r="Y130" s="304"/>
      <c r="Z130" s="304"/>
      <c r="AA130" s="304"/>
      <c r="AB130" s="304"/>
      <c r="AC130" s="304"/>
      <c r="AD130" s="304"/>
      <c r="AE130" s="304"/>
      <c r="AF130" s="113"/>
      <c r="AG130" s="113"/>
      <c r="AH130" s="113"/>
      <c r="AI130" s="113"/>
      <c r="AJ130" s="113"/>
      <c r="AK130" s="24"/>
      <c r="AL130" s="24"/>
      <c r="AM130" s="24"/>
      <c r="AN130" s="24"/>
      <c r="AO130" s="24"/>
      <c r="AP130" s="24"/>
      <c r="AR130" s="40"/>
    </row>
    <row r="131" spans="1:44" ht="15.75" customHeight="1">
      <c r="A131" s="260">
        <v>57</v>
      </c>
      <c r="B131" s="242" t="str">
        <f>OVERALL!B60</f>
        <v>Leet</v>
      </c>
      <c r="C131" s="243" t="str">
        <f>OVERALL!C60</f>
        <v>Prakriti</v>
      </c>
      <c r="D131" s="171" t="s">
        <v>191</v>
      </c>
      <c r="E131" s="171" t="s">
        <v>191</v>
      </c>
      <c r="F131" s="171" t="s">
        <v>191</v>
      </c>
      <c r="G131" s="171" t="s">
        <v>191</v>
      </c>
      <c r="H131" s="171" t="s">
        <v>191</v>
      </c>
      <c r="I131" s="171" t="s">
        <v>191</v>
      </c>
      <c r="J131" s="171" t="s">
        <v>191</v>
      </c>
      <c r="K131" s="171" t="s">
        <v>191</v>
      </c>
      <c r="L131" s="171" t="s">
        <v>191</v>
      </c>
      <c r="M131" s="171" t="s">
        <v>191</v>
      </c>
      <c r="N131" s="171" t="s">
        <v>191</v>
      </c>
      <c r="O131" s="171" t="s">
        <v>191</v>
      </c>
      <c r="P131" s="171" t="s">
        <v>191</v>
      </c>
      <c r="Q131" s="171" t="s">
        <v>191</v>
      </c>
      <c r="R131" s="172">
        <v>9</v>
      </c>
      <c r="S131" s="172">
        <v>9</v>
      </c>
      <c r="T131" s="172">
        <v>0</v>
      </c>
      <c r="U131" s="172">
        <v>9</v>
      </c>
      <c r="V131" s="172">
        <v>9</v>
      </c>
      <c r="W131" s="303"/>
      <c r="X131" s="304"/>
      <c r="Y131" s="304"/>
      <c r="Z131" s="304"/>
      <c r="AA131" s="304"/>
      <c r="AB131" s="304"/>
      <c r="AC131" s="304"/>
      <c r="AD131" s="304"/>
      <c r="AE131" s="304"/>
      <c r="AF131" s="113"/>
      <c r="AG131" s="113"/>
      <c r="AH131" s="113"/>
      <c r="AI131" s="113"/>
      <c r="AJ131" s="113"/>
      <c r="AK131" s="24"/>
      <c r="AL131" s="24"/>
      <c r="AM131" s="24"/>
      <c r="AN131" s="24"/>
      <c r="AO131" s="24"/>
      <c r="AP131" s="24"/>
      <c r="AR131" s="40"/>
    </row>
    <row r="132" spans="1:44" ht="15.75" customHeight="1">
      <c r="A132" s="260">
        <v>58</v>
      </c>
      <c r="B132" s="242" t="str">
        <f>OVERALL!B61</f>
        <v>leet</v>
      </c>
      <c r="C132" s="243" t="str">
        <f>OVERALL!C61</f>
        <v>Shubham</v>
      </c>
      <c r="D132" s="171"/>
      <c r="E132" s="172"/>
      <c r="F132" s="172"/>
      <c r="G132" s="172"/>
      <c r="H132" s="305"/>
      <c r="I132" s="305"/>
      <c r="J132" s="305"/>
      <c r="K132" s="305"/>
      <c r="L132" s="305"/>
      <c r="M132" s="172"/>
      <c r="N132" s="172"/>
      <c r="O132" s="172"/>
      <c r="P132" s="172"/>
      <c r="Q132" s="172"/>
      <c r="R132" s="156"/>
      <c r="S132" s="156"/>
      <c r="T132" s="186"/>
      <c r="U132" s="113"/>
      <c r="V132" s="113">
        <v>8</v>
      </c>
      <c r="W132" s="303"/>
      <c r="X132" s="304"/>
      <c r="Y132" s="304"/>
      <c r="Z132" s="304"/>
      <c r="AA132" s="304"/>
      <c r="AB132" s="304"/>
      <c r="AC132" s="304"/>
      <c r="AD132" s="304"/>
      <c r="AE132" s="304"/>
      <c r="AF132" s="113"/>
      <c r="AG132" s="113"/>
      <c r="AH132" s="113"/>
      <c r="AI132" s="113"/>
      <c r="AJ132" s="113"/>
      <c r="AK132" s="24"/>
      <c r="AL132" s="24"/>
      <c r="AM132" s="24"/>
      <c r="AN132" s="24"/>
      <c r="AO132" s="24"/>
      <c r="AP132" s="24"/>
      <c r="AR132" s="40"/>
    </row>
    <row r="133" spans="1:44" ht="15.75" customHeight="1">
      <c r="A133" s="260"/>
      <c r="B133" s="259"/>
      <c r="C133" s="261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56"/>
      <c r="P133" s="186"/>
      <c r="Q133" s="156"/>
      <c r="R133" s="156"/>
      <c r="S133" s="156"/>
      <c r="T133" s="186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24"/>
      <c r="AL133" s="24"/>
      <c r="AM133" s="24"/>
      <c r="AN133" s="24"/>
      <c r="AO133" s="24"/>
      <c r="AP133" s="24"/>
      <c r="AR133" s="40"/>
    </row>
    <row r="134" spans="1:44" ht="15.75" customHeight="1">
      <c r="A134" s="260"/>
      <c r="B134" s="259"/>
      <c r="C134" s="261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56"/>
      <c r="P134" s="186"/>
      <c r="Q134" s="156"/>
      <c r="R134" s="156"/>
      <c r="S134" s="156"/>
      <c r="T134" s="186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24"/>
      <c r="AL134" s="24"/>
      <c r="AM134" s="24"/>
      <c r="AN134" s="24"/>
      <c r="AO134" s="24"/>
      <c r="AP134" s="24"/>
      <c r="AR134" s="40"/>
    </row>
    <row r="135" spans="1:44" ht="15.75" customHeight="1">
      <c r="A135" s="260"/>
      <c r="B135" s="259"/>
      <c r="C135" s="261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56"/>
      <c r="P135" s="186"/>
      <c r="Q135" s="156"/>
      <c r="R135" s="156"/>
      <c r="S135" s="156"/>
      <c r="T135" s="186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24"/>
      <c r="AL135" s="24"/>
      <c r="AM135" s="24"/>
      <c r="AN135" s="24"/>
      <c r="AO135" s="24"/>
      <c r="AP135" s="24"/>
      <c r="AR135" s="40"/>
    </row>
    <row r="136" spans="1:44" ht="15.75" customHeight="1">
      <c r="A136" s="260"/>
      <c r="B136" s="262"/>
      <c r="C136" s="262"/>
      <c r="D136" s="113"/>
      <c r="E136" s="271"/>
      <c r="F136" s="113"/>
      <c r="G136" s="113"/>
      <c r="H136" s="113"/>
      <c r="I136" s="113"/>
      <c r="J136" s="113"/>
      <c r="K136" s="113"/>
      <c r="L136" s="113"/>
      <c r="M136" s="113"/>
      <c r="N136" s="113"/>
      <c r="O136" s="156"/>
      <c r="P136" s="186"/>
      <c r="Q136" s="156"/>
      <c r="R136" s="156"/>
      <c r="S136" s="156"/>
      <c r="T136" s="186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24"/>
      <c r="AL136" s="24"/>
      <c r="AM136" s="24"/>
      <c r="AN136" s="24"/>
      <c r="AO136" s="24"/>
      <c r="AP136" s="24"/>
      <c r="AR136" s="40"/>
    </row>
    <row r="137" spans="1:44" ht="15.75" customHeight="1">
      <c r="A137" s="260"/>
      <c r="B137" s="262"/>
      <c r="C137" s="262"/>
      <c r="D137" s="121"/>
      <c r="E137" s="121"/>
      <c r="F137" s="121"/>
      <c r="G137" s="121"/>
      <c r="H137" s="121"/>
      <c r="I137" s="121"/>
      <c r="J137" s="113"/>
      <c r="K137" s="113"/>
      <c r="L137" s="113"/>
      <c r="M137" s="113"/>
      <c r="N137" s="113"/>
      <c r="O137" s="156"/>
      <c r="P137" s="186"/>
      <c r="Q137" s="156"/>
      <c r="R137" s="156"/>
      <c r="S137" s="156"/>
      <c r="T137" s="186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24"/>
      <c r="AL137" s="24"/>
      <c r="AM137" s="24"/>
      <c r="AN137" s="24"/>
      <c r="AO137" s="24"/>
      <c r="AP137" s="24"/>
      <c r="AR137" s="40"/>
    </row>
    <row r="138" spans="1:44" ht="15.75" customHeight="1">
      <c r="A138" s="260"/>
      <c r="B138" s="262"/>
      <c r="C138" s="262"/>
      <c r="D138" s="113"/>
      <c r="E138" s="113"/>
      <c r="F138" s="113"/>
      <c r="G138" s="113"/>
      <c r="H138" s="113"/>
      <c r="I138" s="113"/>
      <c r="J138" s="113"/>
      <c r="K138" s="113"/>
      <c r="L138" s="121"/>
      <c r="M138" s="121"/>
      <c r="N138" s="121"/>
      <c r="O138" s="156"/>
      <c r="P138" s="186"/>
      <c r="Q138" s="156"/>
      <c r="R138" s="156"/>
      <c r="S138" s="156"/>
      <c r="T138" s="186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24"/>
      <c r="AL138" s="24"/>
      <c r="AM138" s="24"/>
      <c r="AN138" s="24"/>
      <c r="AO138" s="24"/>
      <c r="AP138" s="24"/>
      <c r="AR138" s="40"/>
    </row>
    <row r="139" spans="1:44" ht="15.75" customHeight="1">
      <c r="A139" s="52"/>
      <c r="B139" s="184"/>
      <c r="C139" s="134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24"/>
      <c r="AL139" s="24"/>
      <c r="AM139" s="24"/>
      <c r="AN139" s="24"/>
      <c r="AO139" s="24"/>
      <c r="AP139" s="24"/>
      <c r="AR139" s="40"/>
    </row>
    <row r="140" spans="1:44" ht="15.75" customHeight="1">
      <c r="A140" s="52"/>
      <c r="B140" s="184"/>
      <c r="C140" s="134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24"/>
      <c r="AL140" s="24"/>
      <c r="AM140" s="24"/>
      <c r="AN140" s="24"/>
      <c r="AO140" s="24"/>
      <c r="AP140" s="24"/>
      <c r="AR140" s="40"/>
    </row>
    <row r="141" spans="1:44" ht="15.75" customHeight="1">
      <c r="A141" s="52"/>
      <c r="B141" s="184"/>
      <c r="C141" s="134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24"/>
      <c r="AL141" s="24"/>
      <c r="AM141" s="24"/>
      <c r="AN141" s="24"/>
      <c r="AO141" s="24"/>
      <c r="AP141" s="24"/>
      <c r="AR141" s="40"/>
    </row>
    <row r="142" spans="1:44" ht="15.75" customHeight="1">
      <c r="A142" s="52"/>
      <c r="B142" s="184"/>
      <c r="C142" s="134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24"/>
      <c r="AL142" s="24"/>
      <c r="AM142" s="24"/>
      <c r="AN142" s="24"/>
      <c r="AO142" s="24"/>
      <c r="AP142" s="24"/>
      <c r="AR142" s="40"/>
    </row>
    <row r="143" spans="1:44" ht="15.75" customHeight="1">
      <c r="A143" s="52"/>
      <c r="B143" s="184"/>
      <c r="C143" s="134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24"/>
      <c r="AL143" s="24"/>
      <c r="AM143" s="24"/>
      <c r="AN143" s="24"/>
      <c r="AO143" s="24"/>
      <c r="AP143" s="24"/>
      <c r="AR143" s="40"/>
    </row>
    <row r="144" spans="1:44" ht="15.75" customHeight="1">
      <c r="A144" s="52"/>
      <c r="B144" s="184"/>
      <c r="C144" s="134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24"/>
      <c r="AL144" s="24"/>
      <c r="AM144" s="24"/>
      <c r="AN144" s="24"/>
      <c r="AO144" s="24"/>
      <c r="AP144" s="24"/>
      <c r="AR144" s="40"/>
    </row>
    <row r="145" spans="1:52" ht="15.75" customHeight="1">
      <c r="A145" s="52"/>
      <c r="B145" s="184"/>
      <c r="C145" s="134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24"/>
      <c r="AL145" s="24"/>
      <c r="AM145" s="24"/>
      <c r="AN145" s="24"/>
      <c r="AO145" s="24"/>
      <c r="AP145" s="24"/>
      <c r="AQ145" s="24"/>
      <c r="AR145" s="40"/>
      <c r="AS145" s="24"/>
      <c r="AT145" s="24"/>
      <c r="AU145" s="24"/>
      <c r="AV145" s="24"/>
      <c r="AW145" s="24"/>
      <c r="AX145" s="24"/>
      <c r="AY145" s="24"/>
      <c r="AZ145" s="24"/>
    </row>
    <row r="146" spans="1:52" ht="15.75" customHeight="1">
      <c r="A146" s="52"/>
      <c r="B146" s="184"/>
      <c r="C146" s="134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24"/>
      <c r="AL146" s="24"/>
      <c r="AM146" s="24"/>
      <c r="AN146" s="24"/>
      <c r="AO146" s="24"/>
      <c r="AP146" s="24"/>
      <c r="AQ146" s="24"/>
      <c r="AR146" s="40"/>
      <c r="AS146" s="24"/>
      <c r="AT146" s="24"/>
      <c r="AU146" s="24"/>
      <c r="AV146" s="24"/>
      <c r="AW146" s="24"/>
      <c r="AX146" s="24"/>
      <c r="AY146" s="24"/>
      <c r="AZ146" s="24"/>
    </row>
    <row r="147" spans="1:52" ht="15.75" customHeight="1">
      <c r="A147" s="52"/>
      <c r="B147" s="184"/>
      <c r="C147" s="134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24"/>
      <c r="AL147" s="24"/>
      <c r="AM147" s="24"/>
      <c r="AN147" s="24"/>
      <c r="AO147" s="24"/>
      <c r="AP147" s="24"/>
      <c r="AQ147" s="24"/>
      <c r="AR147" s="40"/>
      <c r="AS147" s="24"/>
      <c r="AT147" s="24"/>
      <c r="AU147" s="24"/>
      <c r="AV147" s="24"/>
      <c r="AW147" s="24"/>
      <c r="AX147" s="24"/>
      <c r="AY147" s="24"/>
      <c r="AZ147" s="24"/>
    </row>
    <row r="148" spans="1:52" ht="15.75" customHeight="1">
      <c r="A148" s="52"/>
      <c r="B148" s="184"/>
      <c r="C148" s="134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24"/>
      <c r="AL148" s="24"/>
      <c r="AM148" s="24"/>
      <c r="AN148" s="24"/>
      <c r="AO148" s="24"/>
      <c r="AP148" s="24"/>
      <c r="AQ148" s="24"/>
      <c r="AR148" s="40"/>
      <c r="AS148" s="24"/>
      <c r="AT148" s="24"/>
      <c r="AU148" s="24"/>
      <c r="AV148" s="24"/>
      <c r="AW148" s="24"/>
      <c r="AX148" s="24"/>
      <c r="AY148" s="24"/>
      <c r="AZ148" s="24"/>
    </row>
    <row r="149" spans="1:52" ht="15.75" customHeight="1">
      <c r="A149" s="52"/>
      <c r="B149" s="184"/>
      <c r="C149" s="134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24"/>
      <c r="AL149" s="24"/>
      <c r="AM149" s="24"/>
      <c r="AN149" s="24"/>
      <c r="AO149" s="24"/>
      <c r="AP149" s="24"/>
      <c r="AQ149" s="24"/>
      <c r="AR149" s="40"/>
      <c r="AS149" s="24"/>
      <c r="AT149" s="24"/>
      <c r="AU149" s="24"/>
      <c r="AV149" s="24"/>
      <c r="AW149" s="24"/>
      <c r="AX149" s="24"/>
      <c r="AY149" s="24"/>
      <c r="AZ149" s="24"/>
    </row>
    <row r="150" spans="1:52" ht="15.75" customHeight="1">
      <c r="A150" s="52"/>
      <c r="B150" s="184"/>
      <c r="C150" s="134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24"/>
      <c r="AL150" s="24"/>
      <c r="AM150" s="24"/>
      <c r="AN150" s="24"/>
      <c r="AO150" s="24"/>
      <c r="AP150" s="24"/>
      <c r="AQ150" s="24"/>
      <c r="AR150" s="40"/>
      <c r="AS150" s="24"/>
      <c r="AT150" s="24"/>
      <c r="AU150" s="24"/>
      <c r="AV150" s="24"/>
      <c r="AW150" s="24"/>
      <c r="AX150" s="24"/>
      <c r="AY150" s="24"/>
      <c r="AZ150" s="24"/>
    </row>
    <row r="151" spans="1:52" ht="15.75" customHeight="1">
      <c r="A151" s="52"/>
      <c r="B151" s="184"/>
      <c r="C151" s="134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24"/>
      <c r="AL151" s="24"/>
      <c r="AM151" s="24"/>
      <c r="AN151" s="24"/>
      <c r="AO151" s="24"/>
      <c r="AP151" s="24"/>
      <c r="AQ151" s="24"/>
      <c r="AR151" s="40"/>
      <c r="AS151" s="24"/>
      <c r="AT151" s="24"/>
      <c r="AU151" s="24"/>
      <c r="AV151" s="24"/>
      <c r="AW151" s="24"/>
      <c r="AX151" s="24"/>
      <c r="AY151" s="24"/>
      <c r="AZ151" s="24"/>
    </row>
    <row r="152" spans="1:52" ht="15.75" customHeight="1">
      <c r="A152" s="52"/>
      <c r="B152" s="184"/>
      <c r="C152" s="134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24"/>
      <c r="AL152" s="24"/>
      <c r="AM152" s="24"/>
      <c r="AN152" s="24"/>
      <c r="AO152" s="24"/>
      <c r="AP152" s="24"/>
      <c r="AQ152" s="24"/>
      <c r="AR152" s="40"/>
      <c r="AS152" s="24"/>
      <c r="AT152" s="24"/>
      <c r="AU152" s="24"/>
      <c r="AV152" s="24"/>
      <c r="AW152" s="24"/>
      <c r="AX152" s="24"/>
      <c r="AY152" s="24"/>
      <c r="AZ152" s="24"/>
    </row>
    <row r="153" spans="1:52" ht="15.75" customHeight="1">
      <c r="A153" s="52"/>
      <c r="B153" s="184"/>
      <c r="C153" s="134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24"/>
      <c r="AL153" s="24"/>
      <c r="AM153" s="24"/>
      <c r="AN153" s="24"/>
      <c r="AO153" s="24"/>
      <c r="AP153" s="24"/>
      <c r="AQ153" s="24"/>
      <c r="AR153" s="40"/>
      <c r="AS153" s="24"/>
      <c r="AT153" s="24"/>
      <c r="AU153" s="24"/>
      <c r="AV153" s="24"/>
      <c r="AW153" s="24"/>
      <c r="AX153" s="24"/>
      <c r="AY153" s="24"/>
      <c r="AZ153" s="24"/>
    </row>
    <row r="154" spans="1:52" ht="15.75" customHeight="1">
      <c r="A154" s="52"/>
      <c r="B154" s="184"/>
      <c r="C154" s="134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24"/>
      <c r="AL154" s="24"/>
      <c r="AM154" s="24"/>
      <c r="AN154" s="24"/>
      <c r="AO154" s="24"/>
      <c r="AP154" s="24"/>
      <c r="AQ154" s="24"/>
      <c r="AR154" s="40"/>
      <c r="AS154" s="24"/>
      <c r="AT154" s="24"/>
      <c r="AU154" s="24"/>
      <c r="AV154" s="24"/>
      <c r="AW154" s="24"/>
      <c r="AX154" s="24"/>
      <c r="AY154" s="24"/>
      <c r="AZ154" s="24"/>
    </row>
    <row r="155" spans="1:52" ht="15.75" customHeight="1">
      <c r="A155" s="52"/>
      <c r="B155" s="184"/>
      <c r="C155" s="134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24"/>
      <c r="AL155" s="24"/>
      <c r="AM155" s="24"/>
      <c r="AN155" s="24"/>
      <c r="AO155" s="24"/>
      <c r="AP155" s="24"/>
      <c r="AQ155" s="24"/>
      <c r="AR155" s="40"/>
      <c r="AS155" s="24"/>
      <c r="AT155" s="24"/>
      <c r="AU155" s="24"/>
      <c r="AV155" s="24"/>
      <c r="AW155" s="24"/>
      <c r="AX155" s="24"/>
      <c r="AY155" s="24"/>
      <c r="AZ155" s="24"/>
    </row>
    <row r="156" spans="1:52" ht="15.75" customHeight="1">
      <c r="A156" s="52"/>
      <c r="B156" s="184"/>
      <c r="C156" s="134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24"/>
      <c r="AL156" s="24"/>
      <c r="AM156" s="24"/>
      <c r="AN156" s="24"/>
      <c r="AO156" s="24"/>
      <c r="AP156" s="24"/>
      <c r="AQ156" s="24"/>
      <c r="AR156" s="40"/>
      <c r="AS156" s="24"/>
      <c r="AT156" s="24"/>
      <c r="AU156" s="24"/>
      <c r="AV156" s="24"/>
      <c r="AW156" s="24"/>
      <c r="AX156" s="24"/>
      <c r="AY156" s="24"/>
      <c r="AZ156" s="24"/>
    </row>
    <row r="157" spans="1:52" ht="15.75" customHeight="1">
      <c r="A157" s="52"/>
      <c r="B157" s="184"/>
      <c r="C157" s="134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24"/>
      <c r="AL157" s="24"/>
      <c r="AM157" s="24"/>
      <c r="AN157" s="24"/>
      <c r="AO157" s="24"/>
      <c r="AP157" s="24"/>
      <c r="AQ157" s="24"/>
      <c r="AR157" s="40"/>
      <c r="AS157" s="24"/>
      <c r="AT157" s="24"/>
      <c r="AU157" s="24"/>
      <c r="AV157" s="24"/>
      <c r="AW157" s="24"/>
      <c r="AX157" s="24"/>
      <c r="AY157" s="24"/>
      <c r="AZ157" s="24"/>
    </row>
    <row r="158" spans="1:52" ht="15.75" customHeight="1">
      <c r="A158" s="52"/>
      <c r="B158" s="184"/>
      <c r="C158" s="134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24"/>
      <c r="AL158" s="24"/>
      <c r="AM158" s="24"/>
      <c r="AN158" s="24"/>
      <c r="AO158" s="24"/>
      <c r="AP158" s="24"/>
      <c r="AQ158" s="24"/>
      <c r="AR158" s="40"/>
      <c r="AS158" s="24"/>
      <c r="AT158" s="24"/>
      <c r="AU158" s="24"/>
      <c r="AV158" s="24"/>
      <c r="AW158" s="24"/>
      <c r="AX158" s="24"/>
      <c r="AY158" s="24"/>
      <c r="AZ158" s="24"/>
    </row>
    <row r="159" spans="1:52" ht="15.75" customHeight="1">
      <c r="A159" s="52"/>
      <c r="B159" s="184"/>
      <c r="C159" s="134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24"/>
      <c r="AL159" s="24"/>
      <c r="AM159" s="24"/>
      <c r="AN159" s="24"/>
      <c r="AO159" s="24"/>
      <c r="AP159" s="24"/>
      <c r="AQ159" s="24"/>
      <c r="AR159" s="40"/>
      <c r="AS159" s="24"/>
      <c r="AT159" s="24"/>
      <c r="AU159" s="24"/>
      <c r="AV159" s="24"/>
      <c r="AW159" s="24"/>
      <c r="AX159" s="24"/>
      <c r="AY159" s="24"/>
      <c r="AZ159" s="24"/>
    </row>
    <row r="160" spans="1:52" ht="15.75" customHeight="1">
      <c r="A160" s="52"/>
      <c r="B160" s="184"/>
      <c r="C160" s="134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24"/>
      <c r="AL160" s="24"/>
      <c r="AM160" s="24"/>
      <c r="AN160" s="24"/>
      <c r="AO160" s="24"/>
      <c r="AP160" s="24"/>
      <c r="AQ160" s="24"/>
      <c r="AR160" s="40"/>
      <c r="AS160" s="24"/>
      <c r="AT160" s="24"/>
      <c r="AU160" s="24"/>
      <c r="AV160" s="24"/>
      <c r="AW160" s="24"/>
      <c r="AX160" s="24"/>
      <c r="AY160" s="24"/>
      <c r="AZ160" s="24"/>
    </row>
    <row r="161" spans="1:52" ht="15.75" customHeight="1">
      <c r="A161" s="52"/>
      <c r="B161" s="184"/>
      <c r="C161" s="134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24"/>
      <c r="AL161" s="24"/>
      <c r="AM161" s="24"/>
      <c r="AN161" s="24"/>
      <c r="AO161" s="24"/>
      <c r="AP161" s="24"/>
      <c r="AQ161" s="24"/>
      <c r="AR161" s="40"/>
      <c r="AS161" s="24"/>
      <c r="AT161" s="24"/>
      <c r="AU161" s="24"/>
      <c r="AV161" s="24"/>
      <c r="AW161" s="24"/>
      <c r="AX161" s="24"/>
      <c r="AY161" s="24"/>
      <c r="AZ161" s="24"/>
    </row>
    <row r="162" spans="1:52" ht="15.75" customHeight="1">
      <c r="A162" s="52"/>
      <c r="B162" s="184"/>
      <c r="C162" s="134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24"/>
      <c r="AL162" s="24"/>
      <c r="AM162" s="24"/>
      <c r="AN162" s="24"/>
      <c r="AO162" s="24"/>
      <c r="AP162" s="24"/>
      <c r="AQ162" s="24"/>
      <c r="AR162" s="40"/>
      <c r="AS162" s="24"/>
      <c r="AT162" s="24"/>
      <c r="AU162" s="24"/>
      <c r="AV162" s="24"/>
      <c r="AW162" s="24"/>
      <c r="AX162" s="24"/>
      <c r="AY162" s="24"/>
      <c r="AZ162" s="24"/>
    </row>
    <row r="163" spans="1:52" ht="15.75" customHeight="1">
      <c r="A163" s="52"/>
      <c r="B163" s="184"/>
      <c r="C163" s="134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24"/>
      <c r="AL163" s="24"/>
      <c r="AM163" s="24"/>
      <c r="AN163" s="24"/>
      <c r="AO163" s="24"/>
      <c r="AP163" s="24"/>
      <c r="AQ163" s="24"/>
      <c r="AR163" s="40"/>
      <c r="AS163" s="24"/>
      <c r="AT163" s="24"/>
      <c r="AU163" s="24"/>
      <c r="AV163" s="24"/>
      <c r="AW163" s="24"/>
      <c r="AX163" s="24"/>
      <c r="AY163" s="24"/>
      <c r="AZ163" s="24"/>
    </row>
    <row r="164" spans="1:52" ht="15.75" customHeight="1">
      <c r="A164" s="52"/>
      <c r="B164" s="184"/>
      <c r="C164" s="134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24"/>
      <c r="AL164" s="24"/>
      <c r="AM164" s="24"/>
      <c r="AN164" s="24"/>
      <c r="AO164" s="24"/>
      <c r="AP164" s="24"/>
      <c r="AQ164" s="24"/>
      <c r="AR164" s="40"/>
      <c r="AS164" s="24"/>
      <c r="AT164" s="24"/>
      <c r="AU164" s="24"/>
      <c r="AV164" s="24"/>
      <c r="AW164" s="24"/>
      <c r="AX164" s="24"/>
      <c r="AY164" s="24"/>
      <c r="AZ164" s="24"/>
    </row>
    <row r="165" spans="1:52" ht="15.75" customHeight="1">
      <c r="A165" s="52"/>
      <c r="B165" s="184"/>
      <c r="C165" s="134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24"/>
      <c r="AL165" s="24"/>
      <c r="AM165" s="24"/>
      <c r="AN165" s="24"/>
      <c r="AO165" s="24"/>
      <c r="AP165" s="24"/>
      <c r="AQ165" s="24"/>
      <c r="AR165" s="40"/>
      <c r="AS165" s="24"/>
      <c r="AT165" s="24"/>
      <c r="AU165" s="24"/>
      <c r="AV165" s="24"/>
      <c r="AW165" s="24"/>
      <c r="AX165" s="24"/>
      <c r="AY165" s="24"/>
      <c r="AZ165" s="24"/>
    </row>
    <row r="166" spans="1:52" ht="15.75" customHeight="1">
      <c r="A166" s="52"/>
      <c r="B166" s="184"/>
      <c r="C166" s="134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24"/>
      <c r="AL166" s="24"/>
      <c r="AM166" s="24"/>
      <c r="AN166" s="24"/>
      <c r="AO166" s="24"/>
      <c r="AP166" s="24"/>
      <c r="AQ166" s="24"/>
      <c r="AR166" s="40"/>
      <c r="AS166" s="24"/>
      <c r="AT166" s="24"/>
      <c r="AU166" s="24"/>
      <c r="AV166" s="24"/>
      <c r="AW166" s="24"/>
      <c r="AX166" s="24"/>
      <c r="AY166" s="24"/>
      <c r="AZ166" s="24"/>
    </row>
    <row r="167" spans="1:52" ht="15.75" customHeight="1">
      <c r="A167" s="52"/>
      <c r="B167" s="184"/>
      <c r="C167" s="134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24"/>
      <c r="AL167" s="24"/>
      <c r="AM167" s="24"/>
      <c r="AN167" s="24"/>
      <c r="AO167" s="24"/>
      <c r="AP167" s="24"/>
      <c r="AQ167" s="24"/>
      <c r="AR167" s="40"/>
      <c r="AS167" s="24"/>
      <c r="AT167" s="24"/>
      <c r="AU167" s="24"/>
      <c r="AV167" s="24"/>
      <c r="AW167" s="24"/>
      <c r="AX167" s="24"/>
      <c r="AY167" s="24"/>
      <c r="AZ167" s="24"/>
    </row>
    <row r="168" spans="1:52" ht="15.75" customHeight="1">
      <c r="A168" s="52"/>
      <c r="B168" s="184"/>
      <c r="C168" s="134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24"/>
      <c r="AL168" s="24"/>
      <c r="AM168" s="24"/>
      <c r="AN168" s="24"/>
      <c r="AO168" s="24"/>
      <c r="AP168" s="24"/>
      <c r="AQ168" s="24"/>
      <c r="AR168" s="40"/>
      <c r="AS168" s="24"/>
      <c r="AT168" s="24"/>
      <c r="AU168" s="24"/>
      <c r="AV168" s="24"/>
      <c r="AW168" s="24"/>
      <c r="AX168" s="24"/>
      <c r="AY168" s="24"/>
      <c r="AZ168" s="24"/>
    </row>
    <row r="169" spans="1:52" ht="15.75" customHeight="1">
      <c r="A169" s="52"/>
      <c r="B169" s="184"/>
      <c r="C169" s="134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24"/>
      <c r="AL169" s="24"/>
      <c r="AM169" s="24"/>
      <c r="AN169" s="24"/>
      <c r="AO169" s="24"/>
      <c r="AP169" s="24"/>
      <c r="AQ169" s="24"/>
      <c r="AR169" s="40"/>
      <c r="AS169" s="24"/>
      <c r="AT169" s="24"/>
      <c r="AU169" s="24"/>
      <c r="AV169" s="24"/>
      <c r="AW169" s="24"/>
      <c r="AX169" s="24"/>
      <c r="AY169" s="24"/>
      <c r="AZ169" s="24"/>
    </row>
    <row r="170" spans="1:52" ht="15.75" customHeight="1">
      <c r="A170" s="52"/>
      <c r="B170" s="184"/>
      <c r="C170" s="134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24"/>
      <c r="AL170" s="24"/>
      <c r="AM170" s="24"/>
      <c r="AN170" s="24"/>
      <c r="AO170" s="24"/>
      <c r="AP170" s="24"/>
      <c r="AQ170" s="24"/>
      <c r="AR170" s="40"/>
      <c r="AS170" s="24"/>
      <c r="AT170" s="24"/>
      <c r="AU170" s="24"/>
      <c r="AV170" s="24"/>
      <c r="AW170" s="24"/>
      <c r="AX170" s="24"/>
      <c r="AY170" s="24"/>
      <c r="AZ170" s="24"/>
    </row>
    <row r="171" spans="1:52" ht="15.75" customHeight="1">
      <c r="A171" s="52"/>
      <c r="B171" s="184"/>
      <c r="C171" s="134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24"/>
      <c r="AL171" s="24"/>
      <c r="AM171" s="24"/>
      <c r="AN171" s="24"/>
      <c r="AO171" s="24"/>
      <c r="AP171" s="24"/>
      <c r="AQ171" s="24"/>
      <c r="AR171" s="40"/>
      <c r="AS171" s="24"/>
      <c r="AT171" s="24"/>
      <c r="AU171" s="24"/>
      <c r="AV171" s="24"/>
      <c r="AW171" s="24"/>
      <c r="AX171" s="24"/>
      <c r="AY171" s="24"/>
      <c r="AZ171" s="24"/>
    </row>
    <row r="172" spans="1:52" ht="15.75" customHeight="1">
      <c r="A172" s="52"/>
      <c r="B172" s="184"/>
      <c r="C172" s="134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24"/>
      <c r="AL172" s="24"/>
      <c r="AM172" s="24"/>
      <c r="AN172" s="24"/>
      <c r="AO172" s="24"/>
      <c r="AP172" s="24"/>
      <c r="AQ172" s="24"/>
      <c r="AR172" s="40"/>
      <c r="AS172" s="24"/>
      <c r="AT172" s="24"/>
      <c r="AU172" s="24"/>
      <c r="AV172" s="24"/>
      <c r="AW172" s="24"/>
      <c r="AX172" s="24"/>
      <c r="AY172" s="24"/>
      <c r="AZ172" s="24"/>
    </row>
    <row r="173" spans="1:52" ht="15.75" customHeight="1">
      <c r="A173" s="52"/>
      <c r="B173" s="184"/>
      <c r="C173" s="134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24"/>
      <c r="AL173" s="24"/>
      <c r="AM173" s="24"/>
      <c r="AN173" s="24"/>
      <c r="AO173" s="24"/>
      <c r="AP173" s="24"/>
      <c r="AQ173" s="24"/>
      <c r="AR173" s="40"/>
      <c r="AS173" s="24"/>
      <c r="AT173" s="24"/>
      <c r="AU173" s="24"/>
      <c r="AV173" s="24"/>
      <c r="AW173" s="24"/>
      <c r="AX173" s="24"/>
      <c r="AY173" s="24"/>
      <c r="AZ173" s="24"/>
    </row>
    <row r="174" spans="1:52" ht="15.75" customHeight="1">
      <c r="A174" s="52"/>
      <c r="B174" s="184"/>
      <c r="C174" s="134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24"/>
      <c r="AL174" s="24"/>
      <c r="AM174" s="24"/>
      <c r="AN174" s="24"/>
      <c r="AO174" s="24"/>
      <c r="AP174" s="24"/>
      <c r="AQ174" s="24"/>
      <c r="AR174" s="40"/>
      <c r="AS174" s="24"/>
      <c r="AT174" s="24"/>
      <c r="AU174" s="24"/>
      <c r="AV174" s="24"/>
      <c r="AW174" s="24"/>
      <c r="AX174" s="24"/>
      <c r="AY174" s="24"/>
      <c r="AZ174" s="24"/>
    </row>
    <row r="175" spans="1:52" ht="15.75" customHeight="1">
      <c r="A175" s="52"/>
      <c r="B175" s="184"/>
      <c r="C175" s="134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24"/>
      <c r="AL175" s="24"/>
      <c r="AM175" s="24"/>
      <c r="AN175" s="24"/>
      <c r="AO175" s="24"/>
      <c r="AP175" s="24"/>
      <c r="AQ175" s="24"/>
      <c r="AR175" s="40"/>
      <c r="AS175" s="24"/>
      <c r="AT175" s="24"/>
      <c r="AU175" s="24"/>
      <c r="AV175" s="24"/>
      <c r="AW175" s="24"/>
      <c r="AX175" s="24"/>
      <c r="AY175" s="24"/>
      <c r="AZ175" s="24"/>
    </row>
    <row r="176" spans="1:52" ht="15.75" customHeight="1">
      <c r="A176" s="52"/>
      <c r="B176" s="184"/>
      <c r="C176" s="134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24"/>
      <c r="AL176" s="24"/>
      <c r="AM176" s="24"/>
      <c r="AN176" s="24"/>
      <c r="AO176" s="24"/>
      <c r="AP176" s="24"/>
      <c r="AQ176" s="24"/>
      <c r="AR176" s="40"/>
      <c r="AS176" s="24"/>
      <c r="AT176" s="24"/>
      <c r="AU176" s="24"/>
      <c r="AV176" s="24"/>
      <c r="AW176" s="24"/>
      <c r="AX176" s="24"/>
      <c r="AY176" s="24"/>
      <c r="AZ176" s="24"/>
    </row>
    <row r="177" spans="1:52" ht="15.75" customHeight="1">
      <c r="A177" s="52"/>
      <c r="B177" s="184"/>
      <c r="C177" s="134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24"/>
      <c r="AL177" s="24"/>
      <c r="AM177" s="24"/>
      <c r="AN177" s="24"/>
      <c r="AO177" s="24"/>
      <c r="AP177" s="24"/>
      <c r="AQ177" s="24"/>
      <c r="AR177" s="40"/>
      <c r="AS177" s="24"/>
      <c r="AT177" s="24"/>
      <c r="AU177" s="24"/>
      <c r="AV177" s="24"/>
      <c r="AW177" s="24"/>
      <c r="AX177" s="24"/>
      <c r="AY177" s="24"/>
      <c r="AZ177" s="24"/>
    </row>
    <row r="178" spans="1:52" ht="15.75" customHeight="1">
      <c r="A178" s="52"/>
      <c r="B178" s="184"/>
      <c r="C178" s="134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24"/>
      <c r="AL178" s="24"/>
      <c r="AM178" s="24"/>
      <c r="AN178" s="24"/>
      <c r="AO178" s="24"/>
      <c r="AP178" s="24"/>
      <c r="AQ178" s="24"/>
      <c r="AR178" s="40"/>
      <c r="AS178" s="24"/>
      <c r="AT178" s="24"/>
      <c r="AU178" s="24"/>
      <c r="AV178" s="24"/>
      <c r="AW178" s="24"/>
      <c r="AX178" s="24"/>
      <c r="AY178" s="24"/>
      <c r="AZ178" s="24"/>
    </row>
    <row r="179" spans="1:52" ht="15.75" customHeight="1">
      <c r="A179" s="52"/>
      <c r="B179" s="184"/>
      <c r="C179" s="134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24"/>
      <c r="AL179" s="24"/>
      <c r="AM179" s="24"/>
      <c r="AN179" s="24"/>
      <c r="AO179" s="24"/>
      <c r="AP179" s="24"/>
      <c r="AQ179" s="24"/>
      <c r="AR179" s="40"/>
      <c r="AS179" s="24"/>
      <c r="AT179" s="24"/>
      <c r="AU179" s="24"/>
      <c r="AV179" s="24"/>
      <c r="AW179" s="24"/>
      <c r="AX179" s="24"/>
      <c r="AY179" s="24"/>
      <c r="AZ179" s="24"/>
    </row>
    <row r="180" spans="1:52" ht="15.75" customHeight="1">
      <c r="A180" s="52"/>
      <c r="B180" s="184"/>
      <c r="C180" s="134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24"/>
      <c r="AL180" s="24"/>
      <c r="AM180" s="24"/>
      <c r="AN180" s="24"/>
      <c r="AO180" s="24"/>
      <c r="AP180" s="24"/>
      <c r="AQ180" s="24"/>
      <c r="AR180" s="40"/>
      <c r="AS180" s="24"/>
      <c r="AT180" s="24"/>
      <c r="AU180" s="24"/>
      <c r="AV180" s="24"/>
      <c r="AW180" s="24"/>
      <c r="AX180" s="24"/>
      <c r="AY180" s="24"/>
      <c r="AZ180" s="24"/>
    </row>
    <row r="181" spans="1:52" ht="15.75" customHeight="1">
      <c r="A181" s="52"/>
      <c r="B181" s="184"/>
      <c r="C181" s="134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24"/>
      <c r="AL181" s="24"/>
      <c r="AM181" s="24"/>
      <c r="AN181" s="24"/>
      <c r="AO181" s="24"/>
      <c r="AP181" s="24"/>
      <c r="AQ181" s="24"/>
      <c r="AR181" s="40"/>
      <c r="AS181" s="24"/>
      <c r="AT181" s="24"/>
      <c r="AU181" s="24"/>
      <c r="AV181" s="24"/>
      <c r="AW181" s="24"/>
      <c r="AX181" s="24"/>
      <c r="AY181" s="24"/>
      <c r="AZ181" s="24"/>
    </row>
    <row r="182" spans="1:52" ht="15.75" customHeight="1">
      <c r="A182" s="52"/>
      <c r="B182" s="184"/>
      <c r="C182" s="134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24"/>
      <c r="AL182" s="24"/>
      <c r="AM182" s="24"/>
      <c r="AN182" s="24"/>
      <c r="AO182" s="24"/>
      <c r="AP182" s="24"/>
      <c r="AQ182" s="24"/>
      <c r="AR182" s="40"/>
      <c r="AS182" s="24"/>
      <c r="AT182" s="24"/>
      <c r="AU182" s="24"/>
      <c r="AV182" s="24"/>
      <c r="AW182" s="24"/>
      <c r="AX182" s="24"/>
      <c r="AY182" s="24"/>
      <c r="AZ182" s="24"/>
    </row>
    <row r="183" spans="1:52" ht="15.75" customHeight="1">
      <c r="A183" s="52"/>
      <c r="B183" s="184"/>
      <c r="C183" s="134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24"/>
      <c r="AL183" s="24"/>
      <c r="AM183" s="24"/>
      <c r="AN183" s="24"/>
      <c r="AO183" s="24"/>
      <c r="AP183" s="24"/>
      <c r="AQ183" s="24"/>
      <c r="AR183" s="40"/>
      <c r="AS183" s="24"/>
      <c r="AT183" s="24"/>
      <c r="AU183" s="24"/>
      <c r="AV183" s="24"/>
      <c r="AW183" s="24"/>
      <c r="AX183" s="24"/>
      <c r="AY183" s="24"/>
      <c r="AZ183" s="24"/>
    </row>
    <row r="184" spans="1:52" ht="15.75" customHeight="1">
      <c r="A184" s="52"/>
      <c r="B184" s="184"/>
      <c r="C184" s="134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24"/>
      <c r="AL184" s="24"/>
      <c r="AM184" s="24"/>
      <c r="AN184" s="24"/>
      <c r="AO184" s="24"/>
      <c r="AP184" s="24"/>
      <c r="AQ184" s="24"/>
      <c r="AR184" s="40"/>
      <c r="AS184" s="24"/>
      <c r="AT184" s="24"/>
      <c r="AU184" s="24"/>
      <c r="AV184" s="24"/>
      <c r="AW184" s="24"/>
      <c r="AX184" s="24"/>
      <c r="AY184" s="24"/>
      <c r="AZ184" s="24"/>
    </row>
    <row r="185" spans="1:52" ht="15.75" customHeight="1">
      <c r="A185" s="52"/>
      <c r="B185" s="184"/>
      <c r="C185" s="134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24"/>
      <c r="AL185" s="24"/>
      <c r="AM185" s="24"/>
      <c r="AN185" s="24"/>
      <c r="AO185" s="24"/>
      <c r="AP185" s="24"/>
      <c r="AQ185" s="24"/>
      <c r="AR185" s="40"/>
      <c r="AS185" s="24"/>
      <c r="AT185" s="24"/>
      <c r="AU185" s="24"/>
      <c r="AV185" s="24"/>
      <c r="AW185" s="24"/>
      <c r="AX185" s="24"/>
      <c r="AY185" s="24"/>
      <c r="AZ185" s="24"/>
    </row>
    <row r="186" spans="1:52" ht="15.75" customHeight="1">
      <c r="A186" s="52"/>
      <c r="B186" s="184"/>
      <c r="C186" s="134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24"/>
      <c r="AL186" s="24"/>
      <c r="AM186" s="24"/>
      <c r="AN186" s="24"/>
      <c r="AO186" s="24"/>
      <c r="AP186" s="24"/>
      <c r="AQ186" s="24"/>
      <c r="AR186" s="40"/>
      <c r="AS186" s="24"/>
      <c r="AT186" s="24"/>
      <c r="AU186" s="24"/>
      <c r="AV186" s="24"/>
      <c r="AW186" s="24"/>
      <c r="AX186" s="24"/>
      <c r="AY186" s="24"/>
      <c r="AZ186" s="24"/>
    </row>
    <row r="187" spans="1:52" ht="15.75" customHeight="1">
      <c r="A187" s="52"/>
      <c r="B187" s="184"/>
      <c r="C187" s="134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24"/>
      <c r="AL187" s="24"/>
      <c r="AM187" s="24"/>
      <c r="AN187" s="24"/>
      <c r="AO187" s="24"/>
      <c r="AP187" s="24"/>
      <c r="AQ187" s="24"/>
      <c r="AR187" s="40"/>
      <c r="AS187" s="24"/>
      <c r="AT187" s="24"/>
      <c r="AU187" s="24"/>
      <c r="AV187" s="24"/>
      <c r="AW187" s="24"/>
      <c r="AX187" s="24"/>
      <c r="AY187" s="24"/>
      <c r="AZ187" s="24"/>
    </row>
    <row r="188" spans="1:52" ht="15.75" customHeight="1">
      <c r="A188" s="52"/>
      <c r="B188" s="184"/>
      <c r="C188" s="134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24"/>
      <c r="AL188" s="24"/>
      <c r="AM188" s="24"/>
      <c r="AN188" s="24"/>
      <c r="AO188" s="24"/>
      <c r="AP188" s="24"/>
      <c r="AQ188" s="24"/>
      <c r="AR188" s="40"/>
      <c r="AS188" s="24"/>
      <c r="AT188" s="24"/>
      <c r="AU188" s="24"/>
      <c r="AV188" s="24"/>
      <c r="AW188" s="24"/>
      <c r="AX188" s="24"/>
      <c r="AY188" s="24"/>
      <c r="AZ188" s="24"/>
    </row>
    <row r="189" spans="1:52" ht="15.75" customHeight="1">
      <c r="A189" s="52"/>
      <c r="B189" s="184"/>
      <c r="C189" s="134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24"/>
      <c r="AL189" s="24"/>
      <c r="AM189" s="24"/>
      <c r="AN189" s="24"/>
      <c r="AO189" s="24"/>
      <c r="AP189" s="24"/>
      <c r="AQ189" s="24"/>
      <c r="AR189" s="40"/>
      <c r="AS189" s="24"/>
      <c r="AT189" s="24"/>
      <c r="AU189" s="24"/>
      <c r="AV189" s="24"/>
      <c r="AW189" s="24"/>
      <c r="AX189" s="24"/>
      <c r="AY189" s="24"/>
      <c r="AZ189" s="24"/>
    </row>
    <row r="190" spans="1:52" ht="15.75" customHeight="1">
      <c r="A190" s="52"/>
      <c r="B190" s="184"/>
      <c r="C190" s="134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24"/>
      <c r="AL190" s="24"/>
      <c r="AM190" s="24"/>
      <c r="AN190" s="24"/>
      <c r="AO190" s="24"/>
      <c r="AP190" s="24"/>
      <c r="AQ190" s="24"/>
      <c r="AR190" s="40"/>
      <c r="AS190" s="24"/>
      <c r="AT190" s="24"/>
      <c r="AU190" s="24"/>
      <c r="AV190" s="24"/>
      <c r="AW190" s="24"/>
      <c r="AX190" s="24"/>
      <c r="AY190" s="24"/>
      <c r="AZ190" s="24"/>
    </row>
    <row r="191" spans="1:52" ht="15.75" customHeight="1">
      <c r="A191" s="52"/>
      <c r="B191" s="184"/>
      <c r="C191" s="134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24"/>
      <c r="AL191" s="24"/>
      <c r="AM191" s="24"/>
      <c r="AN191" s="24"/>
      <c r="AO191" s="24"/>
      <c r="AP191" s="24"/>
      <c r="AQ191" s="24"/>
      <c r="AR191" s="40"/>
      <c r="AS191" s="24"/>
      <c r="AT191" s="24"/>
      <c r="AU191" s="24"/>
      <c r="AV191" s="24"/>
      <c r="AW191" s="24"/>
      <c r="AX191" s="24"/>
      <c r="AY191" s="24"/>
      <c r="AZ191" s="24"/>
    </row>
    <row r="192" spans="1:52" ht="15.75" customHeight="1">
      <c r="A192" s="52"/>
      <c r="B192" s="184"/>
      <c r="C192" s="134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24"/>
      <c r="AL192" s="24"/>
      <c r="AM192" s="24"/>
      <c r="AN192" s="24"/>
      <c r="AO192" s="24"/>
      <c r="AP192" s="24"/>
      <c r="AQ192" s="24"/>
      <c r="AR192" s="40"/>
      <c r="AS192" s="24"/>
      <c r="AT192" s="24"/>
      <c r="AU192" s="24"/>
      <c r="AV192" s="24"/>
      <c r="AW192" s="24"/>
      <c r="AX192" s="24"/>
      <c r="AY192" s="24"/>
      <c r="AZ192" s="24"/>
    </row>
    <row r="193" spans="1:52" ht="15.75" customHeight="1">
      <c r="A193" s="52"/>
      <c r="B193" s="184"/>
      <c r="C193" s="134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24"/>
      <c r="AL193" s="24"/>
      <c r="AM193" s="24"/>
      <c r="AN193" s="24"/>
      <c r="AO193" s="24"/>
      <c r="AP193" s="24"/>
      <c r="AQ193" s="24"/>
      <c r="AR193" s="40"/>
      <c r="AS193" s="24"/>
      <c r="AT193" s="24"/>
      <c r="AU193" s="24"/>
      <c r="AV193" s="24"/>
      <c r="AW193" s="24"/>
      <c r="AX193" s="24"/>
      <c r="AY193" s="24"/>
      <c r="AZ193" s="24"/>
    </row>
    <row r="194" spans="1:52" ht="15.75" customHeight="1">
      <c r="A194" s="52"/>
      <c r="B194" s="184"/>
      <c r="C194" s="134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24"/>
      <c r="AL194" s="24"/>
      <c r="AM194" s="24"/>
      <c r="AN194" s="24"/>
      <c r="AO194" s="24"/>
      <c r="AP194" s="24"/>
      <c r="AQ194" s="24"/>
      <c r="AR194" s="40"/>
      <c r="AS194" s="24"/>
      <c r="AT194" s="24"/>
      <c r="AU194" s="24"/>
      <c r="AV194" s="24"/>
      <c r="AW194" s="24"/>
      <c r="AX194" s="24"/>
      <c r="AY194" s="24"/>
      <c r="AZ194" s="24"/>
    </row>
    <row r="195" spans="1:52" ht="15.75" customHeight="1">
      <c r="A195" s="52"/>
      <c r="B195" s="184"/>
      <c r="C195" s="134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24"/>
      <c r="AL195" s="24"/>
      <c r="AM195" s="24"/>
      <c r="AN195" s="24"/>
      <c r="AO195" s="24"/>
      <c r="AP195" s="24"/>
      <c r="AQ195" s="24"/>
      <c r="AR195" s="40"/>
      <c r="AS195" s="24"/>
      <c r="AT195" s="24"/>
      <c r="AU195" s="24"/>
      <c r="AV195" s="24"/>
      <c r="AW195" s="24"/>
      <c r="AX195" s="24"/>
      <c r="AY195" s="24"/>
      <c r="AZ195" s="24"/>
    </row>
    <row r="196" spans="1:52" ht="15.75" customHeight="1">
      <c r="A196" s="52"/>
      <c r="B196" s="184"/>
      <c r="C196" s="134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24"/>
      <c r="AL196" s="24"/>
      <c r="AM196" s="24"/>
      <c r="AN196" s="24"/>
      <c r="AO196" s="24"/>
      <c r="AP196" s="24"/>
      <c r="AQ196" s="24"/>
      <c r="AR196" s="40"/>
      <c r="AS196" s="24"/>
      <c r="AT196" s="24"/>
      <c r="AU196" s="24"/>
      <c r="AV196" s="24"/>
      <c r="AW196" s="24"/>
      <c r="AX196" s="24"/>
      <c r="AY196" s="24"/>
      <c r="AZ196" s="24"/>
    </row>
    <row r="197" spans="1:52" ht="15.75" customHeight="1">
      <c r="A197" s="52"/>
      <c r="B197" s="184"/>
      <c r="C197" s="134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24"/>
      <c r="AL197" s="24"/>
      <c r="AM197" s="24"/>
      <c r="AN197" s="24"/>
      <c r="AO197" s="24"/>
      <c r="AP197" s="24"/>
      <c r="AQ197" s="24"/>
      <c r="AR197" s="40"/>
      <c r="AS197" s="24"/>
      <c r="AT197" s="24"/>
      <c r="AU197" s="24"/>
      <c r="AV197" s="24"/>
      <c r="AW197" s="24"/>
      <c r="AX197" s="24"/>
      <c r="AY197" s="24"/>
      <c r="AZ197" s="24"/>
    </row>
    <row r="198" spans="1:52" ht="15.75" customHeight="1">
      <c r="A198" s="52"/>
      <c r="B198" s="184"/>
      <c r="C198" s="134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24"/>
      <c r="AL198" s="24"/>
      <c r="AM198" s="24"/>
      <c r="AN198" s="24"/>
      <c r="AO198" s="24"/>
      <c r="AP198" s="24"/>
      <c r="AQ198" s="24"/>
      <c r="AR198" s="40"/>
      <c r="AS198" s="24"/>
      <c r="AT198" s="24"/>
      <c r="AU198" s="24"/>
      <c r="AV198" s="24"/>
      <c r="AW198" s="24"/>
      <c r="AX198" s="24"/>
      <c r="AY198" s="24"/>
      <c r="AZ198" s="24"/>
    </row>
    <row r="199" spans="1:52" ht="15.75" customHeight="1">
      <c r="A199" s="52"/>
      <c r="B199" s="184"/>
      <c r="C199" s="134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24"/>
      <c r="AL199" s="24"/>
      <c r="AM199" s="24"/>
      <c r="AN199" s="24"/>
      <c r="AO199" s="24"/>
      <c r="AP199" s="24"/>
      <c r="AQ199" s="24"/>
      <c r="AR199" s="40"/>
      <c r="AS199" s="24"/>
      <c r="AT199" s="24"/>
      <c r="AU199" s="24"/>
      <c r="AV199" s="24"/>
      <c r="AW199" s="24"/>
      <c r="AX199" s="24"/>
      <c r="AY199" s="24"/>
      <c r="AZ199" s="24"/>
    </row>
    <row r="200" spans="1:52" ht="15.75" customHeight="1">
      <c r="A200" s="52"/>
      <c r="B200" s="184"/>
      <c r="C200" s="134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24"/>
      <c r="AL200" s="24"/>
      <c r="AM200" s="24"/>
      <c r="AN200" s="24"/>
      <c r="AO200" s="24"/>
      <c r="AP200" s="24"/>
      <c r="AQ200" s="24"/>
      <c r="AR200" s="40"/>
      <c r="AS200" s="24"/>
      <c r="AT200" s="24"/>
      <c r="AU200" s="24"/>
      <c r="AV200" s="24"/>
      <c r="AW200" s="24"/>
      <c r="AX200" s="24"/>
      <c r="AY200" s="24"/>
      <c r="AZ200" s="24"/>
    </row>
    <row r="201" spans="1:52" ht="15.75" customHeight="1">
      <c r="A201" s="52"/>
      <c r="B201" s="184"/>
      <c r="C201" s="13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24"/>
      <c r="AL201" s="24"/>
      <c r="AM201" s="24"/>
      <c r="AN201" s="24"/>
      <c r="AO201" s="24"/>
      <c r="AP201" s="24"/>
      <c r="AQ201" s="24"/>
      <c r="AR201" s="40"/>
      <c r="AS201" s="24"/>
      <c r="AT201" s="24"/>
      <c r="AU201" s="24"/>
      <c r="AV201" s="24"/>
      <c r="AW201" s="24"/>
      <c r="AX201" s="24"/>
      <c r="AY201" s="24"/>
      <c r="AZ201" s="24"/>
    </row>
    <row r="202" spans="1:52" ht="15.75" customHeight="1">
      <c r="A202" s="52"/>
      <c r="B202" s="184"/>
      <c r="C202" s="13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24"/>
      <c r="AL202" s="24"/>
      <c r="AM202" s="24"/>
      <c r="AN202" s="24"/>
      <c r="AO202" s="24"/>
      <c r="AP202" s="24"/>
      <c r="AQ202" s="24"/>
      <c r="AR202" s="40"/>
      <c r="AS202" s="24"/>
      <c r="AT202" s="24"/>
      <c r="AU202" s="24"/>
      <c r="AV202" s="24"/>
      <c r="AW202" s="24"/>
      <c r="AX202" s="24"/>
      <c r="AY202" s="24"/>
      <c r="AZ202" s="24"/>
    </row>
    <row r="203" spans="1:52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40"/>
      <c r="AS203" s="24"/>
      <c r="AT203" s="24"/>
      <c r="AU203" s="24"/>
      <c r="AV203" s="24"/>
      <c r="AW203" s="24"/>
      <c r="AX203" s="24"/>
      <c r="AY203" s="24"/>
      <c r="AZ203" s="24"/>
    </row>
    <row r="204" spans="1:52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40"/>
      <c r="AS204" s="24"/>
      <c r="AT204" s="24"/>
      <c r="AU204" s="24"/>
      <c r="AV204" s="24"/>
      <c r="AW204" s="24"/>
      <c r="AX204" s="24"/>
      <c r="AY204" s="24"/>
      <c r="AZ204" s="24"/>
    </row>
    <row r="205" spans="1:52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40"/>
      <c r="AS205" s="24"/>
      <c r="AT205" s="24"/>
      <c r="AU205" s="24"/>
      <c r="AV205" s="24"/>
      <c r="AW205" s="24"/>
      <c r="AX205" s="24"/>
      <c r="AY205" s="24"/>
      <c r="AZ205" s="24"/>
    </row>
    <row r="206" spans="1:52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40"/>
      <c r="AS206" s="24"/>
      <c r="AT206" s="24"/>
      <c r="AU206" s="24"/>
      <c r="AV206" s="24"/>
      <c r="AW206" s="24"/>
      <c r="AX206" s="24"/>
      <c r="AY206" s="24"/>
      <c r="AZ206" s="24"/>
    </row>
    <row r="207" spans="1:52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40"/>
      <c r="AS207" s="24"/>
      <c r="AT207" s="24"/>
      <c r="AU207" s="24"/>
      <c r="AV207" s="24"/>
      <c r="AW207" s="24"/>
      <c r="AX207" s="24"/>
      <c r="AY207" s="24"/>
      <c r="AZ207" s="24"/>
    </row>
    <row r="208" spans="1:52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40"/>
      <c r="AS208" s="24"/>
      <c r="AT208" s="24"/>
      <c r="AU208" s="24"/>
      <c r="AV208" s="24"/>
      <c r="AW208" s="24"/>
      <c r="AX208" s="24"/>
      <c r="AY208" s="24"/>
      <c r="AZ208" s="24"/>
    </row>
    <row r="209" spans="1:52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40"/>
      <c r="AS209" s="24"/>
      <c r="AT209" s="24"/>
      <c r="AU209" s="24"/>
      <c r="AV209" s="24"/>
      <c r="AW209" s="24"/>
      <c r="AX209" s="24"/>
      <c r="AY209" s="24"/>
      <c r="AZ209" s="24"/>
    </row>
    <row r="210" spans="1:52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40"/>
      <c r="AS210" s="24"/>
      <c r="AT210" s="24"/>
      <c r="AU210" s="24"/>
      <c r="AV210" s="24"/>
      <c r="AW210" s="24"/>
      <c r="AX210" s="24"/>
      <c r="AY210" s="24"/>
      <c r="AZ210" s="24"/>
    </row>
    <row r="211" spans="1:52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40"/>
      <c r="AS211" s="24"/>
      <c r="AT211" s="24"/>
      <c r="AU211" s="24"/>
      <c r="AV211" s="24"/>
      <c r="AW211" s="24"/>
      <c r="AX211" s="24"/>
      <c r="AY211" s="24"/>
      <c r="AZ211" s="24"/>
    </row>
    <row r="212" spans="1:5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40"/>
      <c r="AS212" s="24"/>
      <c r="AT212" s="24"/>
      <c r="AU212" s="24"/>
      <c r="AV212" s="24"/>
      <c r="AW212" s="24"/>
      <c r="AX212" s="24"/>
      <c r="AY212" s="24"/>
      <c r="AZ212" s="24"/>
    </row>
    <row r="213" spans="1:52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40"/>
      <c r="AS213" s="24"/>
      <c r="AT213" s="24"/>
      <c r="AU213" s="24"/>
      <c r="AV213" s="24"/>
      <c r="AW213" s="24"/>
      <c r="AX213" s="24"/>
      <c r="AY213" s="24"/>
      <c r="AZ213" s="24"/>
    </row>
    <row r="214" spans="1:52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40"/>
      <c r="AS214" s="24"/>
      <c r="AT214" s="24"/>
      <c r="AU214" s="24"/>
      <c r="AV214" s="24"/>
      <c r="AW214" s="24"/>
      <c r="AX214" s="24"/>
      <c r="AY214" s="24"/>
      <c r="AZ214" s="24"/>
    </row>
    <row r="215" spans="1:52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40"/>
      <c r="AS215" s="24"/>
      <c r="AT215" s="24"/>
      <c r="AU215" s="24"/>
      <c r="AV215" s="24"/>
      <c r="AW215" s="24"/>
      <c r="AX215" s="24"/>
      <c r="AY215" s="24"/>
      <c r="AZ215" s="24"/>
    </row>
    <row r="216" spans="1:52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40"/>
      <c r="AS216" s="24"/>
      <c r="AT216" s="24"/>
      <c r="AU216" s="24"/>
      <c r="AV216" s="24"/>
      <c r="AW216" s="24"/>
      <c r="AX216" s="24"/>
      <c r="AY216" s="24"/>
      <c r="AZ216" s="24"/>
    </row>
    <row r="217" spans="1:52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40"/>
      <c r="AS217" s="24"/>
      <c r="AT217" s="24"/>
      <c r="AU217" s="24"/>
      <c r="AV217" s="24"/>
      <c r="AW217" s="24"/>
      <c r="AX217" s="24"/>
      <c r="AY217" s="24"/>
      <c r="AZ217" s="24"/>
    </row>
    <row r="218" spans="1:52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40"/>
      <c r="AS218" s="24"/>
      <c r="AT218" s="24"/>
      <c r="AU218" s="24"/>
      <c r="AV218" s="24"/>
      <c r="AW218" s="24"/>
      <c r="AX218" s="24"/>
      <c r="AY218" s="24"/>
      <c r="AZ218" s="24"/>
    </row>
    <row r="219" spans="1:52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40"/>
      <c r="AS219" s="24"/>
      <c r="AT219" s="24"/>
      <c r="AU219" s="24"/>
      <c r="AV219" s="24"/>
      <c r="AW219" s="24"/>
      <c r="AX219" s="24"/>
      <c r="AY219" s="24"/>
      <c r="AZ219" s="24"/>
    </row>
    <row r="220" spans="1:52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40"/>
      <c r="AS220" s="24"/>
      <c r="AT220" s="24"/>
      <c r="AU220" s="24"/>
      <c r="AV220" s="24"/>
      <c r="AW220" s="24"/>
      <c r="AX220" s="24"/>
      <c r="AY220" s="24"/>
      <c r="AZ220" s="24"/>
    </row>
    <row r="221" spans="1:52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40"/>
      <c r="AS221" s="24"/>
      <c r="AT221" s="24"/>
      <c r="AU221" s="24"/>
      <c r="AV221" s="24"/>
      <c r="AW221" s="24"/>
      <c r="AX221" s="24"/>
      <c r="AY221" s="24"/>
      <c r="AZ221" s="24"/>
    </row>
    <row r="222" spans="1:5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40"/>
      <c r="AS222" s="24"/>
      <c r="AT222" s="24"/>
      <c r="AU222" s="24"/>
      <c r="AV222" s="24"/>
      <c r="AW222" s="24"/>
      <c r="AX222" s="24"/>
      <c r="AY222" s="24"/>
      <c r="AZ222" s="24"/>
    </row>
    <row r="223" spans="1:52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40"/>
      <c r="AS223" s="24"/>
      <c r="AT223" s="24"/>
      <c r="AU223" s="24"/>
      <c r="AV223" s="24"/>
      <c r="AW223" s="24"/>
      <c r="AX223" s="24"/>
      <c r="AY223" s="24"/>
      <c r="AZ223" s="24"/>
    </row>
    <row r="224" spans="1:52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40"/>
      <c r="AS224" s="24"/>
      <c r="AT224" s="24"/>
      <c r="AU224" s="24"/>
      <c r="AV224" s="24"/>
      <c r="AW224" s="24"/>
      <c r="AX224" s="24"/>
      <c r="AY224" s="24"/>
      <c r="AZ224" s="24"/>
    </row>
    <row r="225" spans="1:52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40"/>
      <c r="AS225" s="24"/>
      <c r="AT225" s="24"/>
      <c r="AU225" s="24"/>
      <c r="AV225" s="24"/>
      <c r="AW225" s="24"/>
      <c r="AX225" s="24"/>
      <c r="AY225" s="24"/>
      <c r="AZ225" s="24"/>
    </row>
    <row r="226" spans="1:52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40"/>
      <c r="AS226" s="24"/>
      <c r="AT226" s="24"/>
      <c r="AU226" s="24"/>
      <c r="AV226" s="24"/>
      <c r="AW226" s="24"/>
      <c r="AX226" s="24"/>
      <c r="AY226" s="24"/>
      <c r="AZ226" s="24"/>
    </row>
    <row r="227" spans="1:52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40"/>
      <c r="AS227" s="24"/>
      <c r="AT227" s="24"/>
      <c r="AU227" s="24"/>
      <c r="AV227" s="24"/>
      <c r="AW227" s="24"/>
      <c r="AX227" s="24"/>
      <c r="AY227" s="24"/>
      <c r="AZ227" s="24"/>
    </row>
    <row r="228" spans="1:52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40"/>
      <c r="AS228" s="24"/>
      <c r="AT228" s="24"/>
      <c r="AU228" s="24"/>
      <c r="AV228" s="24"/>
      <c r="AW228" s="24"/>
      <c r="AX228" s="24"/>
      <c r="AY228" s="24"/>
      <c r="AZ228" s="24"/>
    </row>
    <row r="229" spans="1:52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40"/>
      <c r="AS229" s="24"/>
      <c r="AT229" s="24"/>
      <c r="AU229" s="24"/>
      <c r="AV229" s="24"/>
      <c r="AW229" s="24"/>
      <c r="AX229" s="24"/>
      <c r="AY229" s="24"/>
      <c r="AZ229" s="24"/>
    </row>
    <row r="230" spans="1:52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40"/>
      <c r="AS230" s="24"/>
      <c r="AT230" s="24"/>
      <c r="AU230" s="24"/>
      <c r="AV230" s="24"/>
      <c r="AW230" s="24"/>
      <c r="AX230" s="24"/>
      <c r="AY230" s="24"/>
      <c r="AZ230" s="24"/>
    </row>
    <row r="231" spans="1:52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40"/>
      <c r="AS231" s="24"/>
      <c r="AT231" s="24"/>
      <c r="AU231" s="24"/>
      <c r="AV231" s="24"/>
      <c r="AW231" s="24"/>
      <c r="AX231" s="24"/>
      <c r="AY231" s="24"/>
      <c r="AZ231" s="24"/>
    </row>
    <row r="232" spans="1:5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40"/>
      <c r="AS232" s="24"/>
      <c r="AT232" s="24"/>
      <c r="AU232" s="24"/>
      <c r="AV232" s="24"/>
      <c r="AW232" s="24"/>
      <c r="AX232" s="24"/>
      <c r="AY232" s="24"/>
      <c r="AZ232" s="24"/>
    </row>
    <row r="233" spans="1:52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40"/>
      <c r="AS233" s="24"/>
      <c r="AT233" s="24"/>
      <c r="AU233" s="24"/>
      <c r="AV233" s="24"/>
      <c r="AW233" s="24"/>
      <c r="AX233" s="24"/>
      <c r="AY233" s="24"/>
      <c r="AZ233" s="24"/>
    </row>
    <row r="234" spans="1:52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40"/>
      <c r="AS234" s="24"/>
      <c r="AT234" s="24"/>
      <c r="AU234" s="24"/>
      <c r="AV234" s="24"/>
      <c r="AW234" s="24"/>
      <c r="AX234" s="24"/>
      <c r="AY234" s="24"/>
      <c r="AZ234" s="24"/>
    </row>
    <row r="235" spans="1:52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40"/>
      <c r="AS235" s="24"/>
      <c r="AT235" s="24"/>
      <c r="AU235" s="24"/>
      <c r="AV235" s="24"/>
      <c r="AW235" s="24"/>
      <c r="AX235" s="24"/>
      <c r="AY235" s="24"/>
      <c r="AZ235" s="24"/>
    </row>
    <row r="236" spans="1:52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40"/>
      <c r="AS236" s="24"/>
      <c r="AT236" s="24"/>
      <c r="AU236" s="24"/>
      <c r="AV236" s="24"/>
      <c r="AW236" s="24"/>
      <c r="AX236" s="24"/>
      <c r="AY236" s="24"/>
      <c r="AZ236" s="24"/>
    </row>
    <row r="237" spans="1:52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40"/>
      <c r="AS237" s="24"/>
      <c r="AT237" s="24"/>
      <c r="AU237" s="24"/>
      <c r="AV237" s="24"/>
      <c r="AW237" s="24"/>
      <c r="AX237" s="24"/>
      <c r="AY237" s="24"/>
      <c r="AZ237" s="24"/>
    </row>
    <row r="238" spans="1:52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40"/>
      <c r="AS238" s="24"/>
      <c r="AT238" s="24"/>
      <c r="AU238" s="24"/>
      <c r="AV238" s="24"/>
      <c r="AW238" s="24"/>
      <c r="AX238" s="24"/>
      <c r="AY238" s="24"/>
      <c r="AZ238" s="24"/>
    </row>
    <row r="239" spans="1:52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40"/>
      <c r="AS239" s="24"/>
      <c r="AT239" s="24"/>
      <c r="AU239" s="24"/>
      <c r="AV239" s="24"/>
      <c r="AW239" s="24"/>
      <c r="AX239" s="24"/>
      <c r="AY239" s="24"/>
      <c r="AZ239" s="24"/>
    </row>
    <row r="240" spans="1:52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40"/>
      <c r="AS240" s="24"/>
      <c r="AT240" s="24"/>
      <c r="AU240" s="24"/>
      <c r="AV240" s="24"/>
      <c r="AW240" s="24"/>
      <c r="AX240" s="24"/>
      <c r="AY240" s="24"/>
      <c r="AZ240" s="24"/>
    </row>
    <row r="241" spans="1:52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40"/>
      <c r="AS241" s="24"/>
      <c r="AT241" s="24"/>
      <c r="AU241" s="24"/>
      <c r="AV241" s="24"/>
      <c r="AW241" s="24"/>
      <c r="AX241" s="24"/>
      <c r="AY241" s="24"/>
      <c r="AZ241" s="24"/>
    </row>
    <row r="242" spans="1:5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40"/>
      <c r="AS242" s="24"/>
      <c r="AT242" s="24"/>
      <c r="AU242" s="24"/>
      <c r="AV242" s="24"/>
      <c r="AW242" s="24"/>
      <c r="AX242" s="24"/>
      <c r="AY242" s="24"/>
      <c r="AZ242" s="24"/>
    </row>
    <row r="243" spans="1:52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40"/>
      <c r="AS243" s="24"/>
      <c r="AT243" s="24"/>
      <c r="AU243" s="24"/>
      <c r="AV243" s="24"/>
      <c r="AW243" s="24"/>
      <c r="AX243" s="24"/>
      <c r="AY243" s="24"/>
      <c r="AZ243" s="24"/>
    </row>
    <row r="244" spans="1:52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40"/>
      <c r="AS244" s="24"/>
      <c r="AT244" s="24"/>
      <c r="AU244" s="24"/>
      <c r="AV244" s="24"/>
      <c r="AW244" s="24"/>
      <c r="AX244" s="24"/>
      <c r="AY244" s="24"/>
      <c r="AZ244" s="24"/>
    </row>
    <row r="245" spans="1:52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40"/>
      <c r="AS245" s="24"/>
      <c r="AT245" s="24"/>
      <c r="AU245" s="24"/>
      <c r="AV245" s="24"/>
      <c r="AW245" s="24"/>
      <c r="AX245" s="24"/>
      <c r="AY245" s="24"/>
      <c r="AZ245" s="24"/>
    </row>
    <row r="246" spans="1:52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40"/>
      <c r="AS246" s="24"/>
      <c r="AT246" s="24"/>
      <c r="AU246" s="24"/>
      <c r="AV246" s="24"/>
      <c r="AW246" s="24"/>
      <c r="AX246" s="24"/>
      <c r="AY246" s="24"/>
      <c r="AZ246" s="24"/>
    </row>
    <row r="247" spans="1:52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40"/>
      <c r="AS247" s="24"/>
      <c r="AT247" s="24"/>
      <c r="AU247" s="24"/>
      <c r="AV247" s="24"/>
      <c r="AW247" s="24"/>
      <c r="AX247" s="24"/>
      <c r="AY247" s="24"/>
      <c r="AZ247" s="24"/>
    </row>
    <row r="248" spans="1:52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40"/>
      <c r="AS248" s="24"/>
      <c r="AT248" s="24"/>
      <c r="AU248" s="24"/>
      <c r="AV248" s="24"/>
      <c r="AW248" s="24"/>
      <c r="AX248" s="24"/>
      <c r="AY248" s="24"/>
      <c r="AZ248" s="24"/>
    </row>
    <row r="249" spans="1:52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40"/>
      <c r="AS249" s="24"/>
      <c r="AT249" s="24"/>
      <c r="AU249" s="24"/>
      <c r="AV249" s="24"/>
      <c r="AW249" s="24"/>
      <c r="AX249" s="24"/>
      <c r="AY249" s="24"/>
      <c r="AZ249" s="24"/>
    </row>
    <row r="250" spans="1:52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40"/>
      <c r="AS250" s="24"/>
      <c r="AT250" s="24"/>
      <c r="AU250" s="24"/>
      <c r="AV250" s="24"/>
      <c r="AW250" s="24"/>
      <c r="AX250" s="24"/>
      <c r="AY250" s="24"/>
      <c r="AZ250" s="24"/>
    </row>
    <row r="251" spans="1:52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40"/>
      <c r="AS251" s="24"/>
      <c r="AT251" s="24"/>
      <c r="AU251" s="24"/>
      <c r="AV251" s="24"/>
      <c r="AW251" s="24"/>
      <c r="AX251" s="24"/>
      <c r="AY251" s="24"/>
      <c r="AZ251" s="24"/>
    </row>
    <row r="252" spans="1: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40"/>
      <c r="AS252" s="24"/>
      <c r="AT252" s="24"/>
      <c r="AU252" s="24"/>
      <c r="AV252" s="24"/>
      <c r="AW252" s="24"/>
      <c r="AX252" s="24"/>
      <c r="AY252" s="24"/>
      <c r="AZ252" s="24"/>
    </row>
    <row r="253" spans="1:52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40"/>
      <c r="AS253" s="24"/>
      <c r="AT253" s="24"/>
      <c r="AU253" s="24"/>
      <c r="AV253" s="24"/>
      <c r="AW253" s="24"/>
      <c r="AX253" s="24"/>
      <c r="AY253" s="24"/>
      <c r="AZ253" s="24"/>
    </row>
    <row r="254" spans="1:52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40"/>
      <c r="AS254" s="24"/>
      <c r="AT254" s="24"/>
      <c r="AU254" s="24"/>
      <c r="AV254" s="24"/>
      <c r="AW254" s="24"/>
      <c r="AX254" s="24"/>
      <c r="AY254" s="24"/>
      <c r="AZ254" s="24"/>
    </row>
    <row r="255" spans="1:52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40"/>
      <c r="AS255" s="24"/>
      <c r="AT255" s="24"/>
      <c r="AU255" s="24"/>
      <c r="AV255" s="24"/>
      <c r="AW255" s="24"/>
      <c r="AX255" s="24"/>
      <c r="AY255" s="24"/>
      <c r="AZ255" s="24"/>
    </row>
    <row r="256" spans="1:52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40"/>
      <c r="AS256" s="24"/>
      <c r="AT256" s="24"/>
      <c r="AU256" s="24"/>
      <c r="AV256" s="24"/>
      <c r="AW256" s="24"/>
      <c r="AX256" s="24"/>
      <c r="AY256" s="24"/>
      <c r="AZ256" s="24"/>
    </row>
    <row r="257" spans="1:52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40"/>
      <c r="AS257" s="24"/>
      <c r="AT257" s="24"/>
      <c r="AU257" s="24"/>
      <c r="AV257" s="24"/>
      <c r="AW257" s="24"/>
      <c r="AX257" s="24"/>
      <c r="AY257" s="24"/>
      <c r="AZ257" s="24"/>
    </row>
    <row r="258" spans="1:52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40"/>
      <c r="AS258" s="24"/>
      <c r="AT258" s="24"/>
      <c r="AU258" s="24"/>
      <c r="AV258" s="24"/>
      <c r="AW258" s="24"/>
      <c r="AX258" s="24"/>
      <c r="AY258" s="24"/>
      <c r="AZ258" s="24"/>
    </row>
    <row r="259" spans="1:52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40"/>
      <c r="AS259" s="24"/>
      <c r="AT259" s="24"/>
      <c r="AU259" s="24"/>
      <c r="AV259" s="24"/>
      <c r="AW259" s="24"/>
      <c r="AX259" s="24"/>
      <c r="AY259" s="24"/>
      <c r="AZ259" s="24"/>
    </row>
    <row r="260" spans="1:52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40"/>
      <c r="AS260" s="24"/>
      <c r="AT260" s="24"/>
      <c r="AU260" s="24"/>
      <c r="AV260" s="24"/>
      <c r="AW260" s="24"/>
      <c r="AX260" s="24"/>
      <c r="AY260" s="24"/>
      <c r="AZ260" s="24"/>
    </row>
    <row r="261" spans="1:52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40"/>
      <c r="AS261" s="24"/>
      <c r="AT261" s="24"/>
      <c r="AU261" s="24"/>
      <c r="AV261" s="24"/>
      <c r="AW261" s="24"/>
      <c r="AX261" s="24"/>
      <c r="AY261" s="24"/>
      <c r="AZ261" s="24"/>
    </row>
    <row r="262" spans="1:5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40"/>
      <c r="AS262" s="24"/>
      <c r="AT262" s="24"/>
      <c r="AU262" s="24"/>
      <c r="AV262" s="24"/>
      <c r="AW262" s="24"/>
      <c r="AX262" s="24"/>
      <c r="AY262" s="24"/>
      <c r="AZ262" s="24"/>
    </row>
    <row r="263" spans="1:52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40"/>
      <c r="AS263" s="24"/>
      <c r="AT263" s="24"/>
      <c r="AU263" s="24"/>
      <c r="AV263" s="24"/>
      <c r="AW263" s="24"/>
      <c r="AX263" s="24"/>
      <c r="AY263" s="24"/>
      <c r="AZ263" s="24"/>
    </row>
    <row r="264" spans="1:52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40"/>
      <c r="AS264" s="24"/>
      <c r="AT264" s="24"/>
      <c r="AU264" s="24"/>
      <c r="AV264" s="24"/>
      <c r="AW264" s="24"/>
      <c r="AX264" s="24"/>
      <c r="AY264" s="24"/>
      <c r="AZ264" s="24"/>
    </row>
    <row r="265" spans="1:52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40"/>
      <c r="AS265" s="24"/>
      <c r="AT265" s="24"/>
      <c r="AU265" s="24"/>
      <c r="AV265" s="24"/>
      <c r="AW265" s="24"/>
      <c r="AX265" s="24"/>
      <c r="AY265" s="24"/>
      <c r="AZ265" s="24"/>
    </row>
    <row r="266" spans="1:52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40"/>
      <c r="AS266" s="24"/>
      <c r="AT266" s="24"/>
      <c r="AU266" s="24"/>
      <c r="AV266" s="24"/>
      <c r="AW266" s="24"/>
      <c r="AX266" s="24"/>
      <c r="AY266" s="24"/>
      <c r="AZ266" s="24"/>
    </row>
    <row r="267" spans="1:52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40"/>
      <c r="AS267" s="24"/>
      <c r="AT267" s="24"/>
      <c r="AU267" s="24"/>
      <c r="AV267" s="24"/>
      <c r="AW267" s="24"/>
      <c r="AX267" s="24"/>
      <c r="AY267" s="24"/>
      <c r="AZ267" s="24"/>
    </row>
    <row r="268" spans="1:52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40"/>
      <c r="AS268" s="24"/>
      <c r="AT268" s="24"/>
      <c r="AU268" s="24"/>
      <c r="AV268" s="24"/>
      <c r="AW268" s="24"/>
      <c r="AX268" s="24"/>
      <c r="AY268" s="24"/>
      <c r="AZ268" s="24"/>
    </row>
    <row r="269" spans="1:52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40"/>
      <c r="AS269" s="24"/>
      <c r="AT269" s="24"/>
      <c r="AU269" s="24"/>
      <c r="AV269" s="24"/>
      <c r="AW269" s="24"/>
      <c r="AX269" s="24"/>
      <c r="AY269" s="24"/>
      <c r="AZ269" s="24"/>
    </row>
    <row r="270" spans="1:52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40"/>
      <c r="AS270" s="24"/>
      <c r="AT270" s="24"/>
      <c r="AU270" s="24"/>
      <c r="AV270" s="24"/>
      <c r="AW270" s="24"/>
      <c r="AX270" s="24"/>
      <c r="AY270" s="24"/>
      <c r="AZ270" s="24"/>
    </row>
    <row r="271" spans="1:52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40"/>
      <c r="AS271" s="24"/>
      <c r="AT271" s="24"/>
      <c r="AU271" s="24"/>
      <c r="AV271" s="24"/>
      <c r="AW271" s="24"/>
      <c r="AX271" s="24"/>
      <c r="AY271" s="24"/>
      <c r="AZ271" s="24"/>
    </row>
    <row r="272" spans="1:5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40"/>
      <c r="AS272" s="24"/>
      <c r="AT272" s="24"/>
      <c r="AU272" s="24"/>
      <c r="AV272" s="24"/>
      <c r="AW272" s="24"/>
      <c r="AX272" s="24"/>
      <c r="AY272" s="24"/>
      <c r="AZ272" s="24"/>
    </row>
    <row r="273" spans="1:52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40"/>
      <c r="AS273" s="24"/>
      <c r="AT273" s="24"/>
      <c r="AU273" s="24"/>
      <c r="AV273" s="24"/>
      <c r="AW273" s="24"/>
      <c r="AX273" s="24"/>
      <c r="AY273" s="24"/>
      <c r="AZ273" s="24"/>
    </row>
    <row r="274" spans="1:52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40"/>
      <c r="AS274" s="24"/>
      <c r="AT274" s="24"/>
      <c r="AU274" s="24"/>
      <c r="AV274" s="24"/>
      <c r="AW274" s="24"/>
      <c r="AX274" s="24"/>
      <c r="AY274" s="24"/>
      <c r="AZ274" s="24"/>
    </row>
    <row r="275" spans="1:52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40"/>
      <c r="AS275" s="24"/>
      <c r="AT275" s="24"/>
      <c r="AU275" s="24"/>
      <c r="AV275" s="24"/>
      <c r="AW275" s="24"/>
      <c r="AX275" s="24"/>
      <c r="AY275" s="24"/>
      <c r="AZ275" s="24"/>
    </row>
    <row r="276" spans="1:52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40"/>
      <c r="AS276" s="24"/>
      <c r="AT276" s="24"/>
      <c r="AU276" s="24"/>
      <c r="AV276" s="24"/>
      <c r="AW276" s="24"/>
      <c r="AX276" s="24"/>
      <c r="AY276" s="24"/>
      <c r="AZ276" s="24"/>
    </row>
    <row r="277" spans="1:52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40"/>
      <c r="AS277" s="24"/>
      <c r="AT277" s="24"/>
      <c r="AU277" s="24"/>
      <c r="AV277" s="24"/>
      <c r="AW277" s="24"/>
      <c r="AX277" s="24"/>
      <c r="AY277" s="24"/>
      <c r="AZ277" s="24"/>
    </row>
    <row r="278" spans="1:52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40"/>
      <c r="AS278" s="24"/>
      <c r="AT278" s="24"/>
      <c r="AU278" s="24"/>
      <c r="AV278" s="24"/>
      <c r="AW278" s="24"/>
      <c r="AX278" s="24"/>
      <c r="AY278" s="24"/>
      <c r="AZ278" s="24"/>
    </row>
    <row r="279" spans="1:52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40"/>
      <c r="AS279" s="24"/>
      <c r="AT279" s="24"/>
      <c r="AU279" s="24"/>
      <c r="AV279" s="24"/>
      <c r="AW279" s="24"/>
      <c r="AX279" s="24"/>
      <c r="AY279" s="24"/>
      <c r="AZ279" s="24"/>
    </row>
    <row r="280" spans="1:52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40"/>
      <c r="AS280" s="24"/>
      <c r="AT280" s="24"/>
      <c r="AU280" s="24"/>
      <c r="AV280" s="24"/>
      <c r="AW280" s="24"/>
      <c r="AX280" s="24"/>
      <c r="AY280" s="24"/>
      <c r="AZ280" s="24"/>
    </row>
    <row r="281" spans="1:52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40"/>
      <c r="AS281" s="24"/>
      <c r="AT281" s="24"/>
      <c r="AU281" s="24"/>
      <c r="AV281" s="24"/>
      <c r="AW281" s="24"/>
      <c r="AX281" s="24"/>
      <c r="AY281" s="24"/>
      <c r="AZ281" s="24"/>
    </row>
    <row r="282" spans="1:5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40"/>
      <c r="AS282" s="24"/>
      <c r="AT282" s="24"/>
      <c r="AU282" s="24"/>
      <c r="AV282" s="24"/>
      <c r="AW282" s="24"/>
      <c r="AX282" s="24"/>
      <c r="AY282" s="24"/>
      <c r="AZ282" s="24"/>
    </row>
    <row r="283" spans="1:52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40"/>
      <c r="AS283" s="24"/>
      <c r="AT283" s="24"/>
      <c r="AU283" s="24"/>
      <c r="AV283" s="24"/>
      <c r="AW283" s="24"/>
      <c r="AX283" s="24"/>
      <c r="AY283" s="24"/>
      <c r="AZ283" s="24"/>
    </row>
    <row r="284" spans="1:52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40"/>
      <c r="AS284" s="24"/>
      <c r="AT284" s="24"/>
      <c r="AU284" s="24"/>
      <c r="AV284" s="24"/>
      <c r="AW284" s="24"/>
      <c r="AX284" s="24"/>
      <c r="AY284" s="24"/>
      <c r="AZ284" s="24"/>
    </row>
    <row r="285" spans="1:52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40"/>
      <c r="AS285" s="24"/>
      <c r="AT285" s="24"/>
      <c r="AU285" s="24"/>
      <c r="AV285" s="24"/>
      <c r="AW285" s="24"/>
      <c r="AX285" s="24"/>
      <c r="AY285" s="24"/>
      <c r="AZ285" s="24"/>
    </row>
    <row r="286" spans="1:52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40"/>
      <c r="AS286" s="24"/>
      <c r="AT286" s="24"/>
      <c r="AU286" s="24"/>
      <c r="AV286" s="24"/>
      <c r="AW286" s="24"/>
      <c r="AX286" s="24"/>
      <c r="AY286" s="24"/>
      <c r="AZ286" s="24"/>
    </row>
    <row r="287" spans="1:52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40"/>
      <c r="AS287" s="24"/>
      <c r="AT287" s="24"/>
      <c r="AU287" s="24"/>
      <c r="AV287" s="24"/>
      <c r="AW287" s="24"/>
      <c r="AX287" s="24"/>
      <c r="AY287" s="24"/>
      <c r="AZ287" s="24"/>
    </row>
    <row r="288" spans="1:52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40"/>
      <c r="AS288" s="24"/>
      <c r="AT288" s="24"/>
      <c r="AU288" s="24"/>
      <c r="AV288" s="24"/>
      <c r="AW288" s="24"/>
      <c r="AX288" s="24"/>
      <c r="AY288" s="24"/>
      <c r="AZ288" s="24"/>
    </row>
    <row r="289" spans="1:52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40"/>
      <c r="AS289" s="24"/>
      <c r="AT289" s="24"/>
      <c r="AU289" s="24"/>
      <c r="AV289" s="24"/>
      <c r="AW289" s="24"/>
      <c r="AX289" s="24"/>
      <c r="AY289" s="24"/>
      <c r="AZ289" s="24"/>
    </row>
    <row r="290" spans="1:52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40"/>
      <c r="AS290" s="24"/>
      <c r="AT290" s="24"/>
      <c r="AU290" s="24"/>
      <c r="AV290" s="24"/>
      <c r="AW290" s="24"/>
      <c r="AX290" s="24"/>
      <c r="AY290" s="24"/>
      <c r="AZ290" s="24"/>
    </row>
    <row r="291" spans="1:52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40"/>
      <c r="AS291" s="24"/>
      <c r="AT291" s="24"/>
      <c r="AU291" s="24"/>
      <c r="AV291" s="24"/>
      <c r="AW291" s="24"/>
      <c r="AX291" s="24"/>
      <c r="AY291" s="24"/>
      <c r="AZ291" s="24"/>
    </row>
    <row r="292" spans="1:5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40"/>
      <c r="AS292" s="24"/>
      <c r="AT292" s="24"/>
      <c r="AU292" s="24"/>
      <c r="AV292" s="24"/>
      <c r="AW292" s="24"/>
      <c r="AX292" s="24"/>
      <c r="AY292" s="24"/>
      <c r="AZ292" s="24"/>
    </row>
    <row r="293" spans="1:52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40"/>
      <c r="AS293" s="24"/>
      <c r="AT293" s="24"/>
      <c r="AU293" s="24"/>
      <c r="AV293" s="24"/>
      <c r="AW293" s="24"/>
      <c r="AX293" s="24"/>
      <c r="AY293" s="24"/>
      <c r="AZ293" s="24"/>
    </row>
    <row r="294" spans="1:52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40"/>
      <c r="AS294" s="24"/>
      <c r="AT294" s="24"/>
      <c r="AU294" s="24"/>
      <c r="AV294" s="24"/>
      <c r="AW294" s="24"/>
      <c r="AX294" s="24"/>
      <c r="AY294" s="24"/>
      <c r="AZ294" s="24"/>
    </row>
    <row r="295" spans="1:52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40"/>
      <c r="AS295" s="24"/>
      <c r="AT295" s="24"/>
      <c r="AU295" s="24"/>
      <c r="AV295" s="24"/>
      <c r="AW295" s="24"/>
      <c r="AX295" s="24"/>
      <c r="AY295" s="24"/>
      <c r="AZ295" s="24"/>
    </row>
    <row r="296" spans="1:52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40"/>
      <c r="AS296" s="24"/>
      <c r="AT296" s="24"/>
      <c r="AU296" s="24"/>
      <c r="AV296" s="24"/>
      <c r="AW296" s="24"/>
      <c r="AX296" s="24"/>
      <c r="AY296" s="24"/>
      <c r="AZ296" s="24"/>
    </row>
    <row r="297" spans="1:52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40"/>
      <c r="AS297" s="24"/>
      <c r="AT297" s="24"/>
      <c r="AU297" s="24"/>
      <c r="AV297" s="24"/>
      <c r="AW297" s="24"/>
      <c r="AX297" s="24"/>
      <c r="AY297" s="24"/>
      <c r="AZ297" s="24"/>
    </row>
    <row r="298" spans="1:52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40"/>
      <c r="AS298" s="24"/>
      <c r="AT298" s="24"/>
      <c r="AU298" s="24"/>
      <c r="AV298" s="24"/>
      <c r="AW298" s="24"/>
      <c r="AX298" s="24"/>
      <c r="AY298" s="24"/>
      <c r="AZ298" s="24"/>
    </row>
    <row r="299" spans="1:52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40"/>
      <c r="AS299" s="24"/>
      <c r="AT299" s="24"/>
      <c r="AU299" s="24"/>
      <c r="AV299" s="24"/>
      <c r="AW299" s="24"/>
      <c r="AX299" s="24"/>
      <c r="AY299" s="24"/>
      <c r="AZ299" s="24"/>
    </row>
    <row r="300" spans="1:52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40"/>
      <c r="AS300" s="24"/>
      <c r="AT300" s="24"/>
      <c r="AU300" s="24"/>
      <c r="AV300" s="24"/>
      <c r="AW300" s="24"/>
      <c r="AX300" s="24"/>
      <c r="AY300" s="24"/>
      <c r="AZ300" s="24"/>
    </row>
    <row r="301" spans="1:52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40"/>
      <c r="AS301" s="24"/>
      <c r="AT301" s="24"/>
      <c r="AU301" s="24"/>
      <c r="AV301" s="24"/>
      <c r="AW301" s="24"/>
      <c r="AX301" s="24"/>
      <c r="AY301" s="24"/>
      <c r="AZ301" s="24"/>
    </row>
    <row r="302" spans="1:5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40"/>
      <c r="AS302" s="24"/>
      <c r="AT302" s="24"/>
      <c r="AU302" s="24"/>
      <c r="AV302" s="24"/>
      <c r="AW302" s="24"/>
      <c r="AX302" s="24"/>
      <c r="AY302" s="24"/>
      <c r="AZ302" s="24"/>
    </row>
    <row r="303" spans="1:52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40"/>
      <c r="AS303" s="24"/>
      <c r="AT303" s="24"/>
      <c r="AU303" s="24"/>
      <c r="AV303" s="24"/>
      <c r="AW303" s="24"/>
      <c r="AX303" s="24"/>
      <c r="AY303" s="24"/>
      <c r="AZ303" s="24"/>
    </row>
    <row r="304" spans="1:52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40"/>
      <c r="AS304" s="24"/>
      <c r="AT304" s="24"/>
      <c r="AU304" s="24"/>
      <c r="AV304" s="24"/>
      <c r="AW304" s="24"/>
      <c r="AX304" s="24"/>
      <c r="AY304" s="24"/>
      <c r="AZ304" s="24"/>
    </row>
    <row r="305" spans="1:52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40"/>
      <c r="AS305" s="24"/>
      <c r="AT305" s="24"/>
      <c r="AU305" s="24"/>
      <c r="AV305" s="24"/>
      <c r="AW305" s="24"/>
      <c r="AX305" s="24"/>
      <c r="AY305" s="24"/>
      <c r="AZ305" s="24"/>
    </row>
    <row r="306" spans="1:52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40"/>
      <c r="AS306" s="24"/>
      <c r="AT306" s="24"/>
      <c r="AU306" s="24"/>
      <c r="AV306" s="24"/>
      <c r="AW306" s="24"/>
      <c r="AX306" s="24"/>
      <c r="AY306" s="24"/>
      <c r="AZ306" s="24"/>
    </row>
    <row r="307" spans="1:52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40"/>
      <c r="AS307" s="24"/>
      <c r="AT307" s="24"/>
      <c r="AU307" s="24"/>
      <c r="AV307" s="24"/>
      <c r="AW307" s="24"/>
      <c r="AX307" s="24"/>
      <c r="AY307" s="24"/>
      <c r="AZ307" s="24"/>
    </row>
    <row r="308" spans="1:52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40"/>
      <c r="AS308" s="24"/>
      <c r="AT308" s="24"/>
      <c r="AU308" s="24"/>
      <c r="AV308" s="24"/>
      <c r="AW308" s="24"/>
      <c r="AX308" s="24"/>
      <c r="AY308" s="24"/>
      <c r="AZ308" s="24"/>
    </row>
    <row r="309" spans="1:52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40"/>
      <c r="AS309" s="24"/>
      <c r="AT309" s="24"/>
      <c r="AU309" s="24"/>
      <c r="AV309" s="24"/>
      <c r="AW309" s="24"/>
      <c r="AX309" s="24"/>
      <c r="AY309" s="24"/>
      <c r="AZ309" s="24"/>
    </row>
    <row r="310" spans="1:52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40"/>
      <c r="AS310" s="24"/>
      <c r="AT310" s="24"/>
      <c r="AU310" s="24"/>
      <c r="AV310" s="24"/>
      <c r="AW310" s="24"/>
      <c r="AX310" s="24"/>
      <c r="AY310" s="24"/>
      <c r="AZ310" s="24"/>
    </row>
    <row r="311" spans="1:52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40"/>
      <c r="AS311" s="24"/>
      <c r="AT311" s="24"/>
      <c r="AU311" s="24"/>
      <c r="AV311" s="24"/>
      <c r="AW311" s="24"/>
      <c r="AX311" s="24"/>
      <c r="AY311" s="24"/>
      <c r="AZ311" s="24"/>
    </row>
    <row r="312" spans="1:5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40"/>
      <c r="AS312" s="24"/>
      <c r="AT312" s="24"/>
      <c r="AU312" s="24"/>
      <c r="AV312" s="24"/>
      <c r="AW312" s="24"/>
      <c r="AX312" s="24"/>
      <c r="AY312" s="24"/>
      <c r="AZ312" s="24"/>
    </row>
    <row r="313" spans="1:52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40"/>
      <c r="AS313" s="24"/>
      <c r="AT313" s="24"/>
      <c r="AU313" s="24"/>
      <c r="AV313" s="24"/>
      <c r="AW313" s="24"/>
      <c r="AX313" s="24"/>
      <c r="AY313" s="24"/>
      <c r="AZ313" s="24"/>
    </row>
    <row r="314" spans="1:52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40"/>
      <c r="AS314" s="24"/>
      <c r="AT314" s="24"/>
      <c r="AU314" s="24"/>
      <c r="AV314" s="24"/>
      <c r="AW314" s="24"/>
      <c r="AX314" s="24"/>
      <c r="AY314" s="24"/>
      <c r="AZ314" s="24"/>
    </row>
    <row r="315" spans="1:52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40"/>
      <c r="AS315" s="24"/>
      <c r="AT315" s="24"/>
      <c r="AU315" s="24"/>
      <c r="AV315" s="24"/>
      <c r="AW315" s="24"/>
      <c r="AX315" s="24"/>
      <c r="AY315" s="24"/>
      <c r="AZ315" s="24"/>
    </row>
    <row r="316" spans="1:52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40"/>
      <c r="AS316" s="24"/>
      <c r="AT316" s="24"/>
      <c r="AU316" s="24"/>
      <c r="AV316" s="24"/>
      <c r="AW316" s="24"/>
      <c r="AX316" s="24"/>
      <c r="AY316" s="24"/>
      <c r="AZ316" s="24"/>
    </row>
    <row r="317" spans="1:52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40"/>
      <c r="AS317" s="24"/>
      <c r="AT317" s="24"/>
      <c r="AU317" s="24"/>
      <c r="AV317" s="24"/>
      <c r="AW317" s="24"/>
      <c r="AX317" s="24"/>
      <c r="AY317" s="24"/>
      <c r="AZ317" s="24"/>
    </row>
    <row r="318" spans="1:52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40"/>
      <c r="AS318" s="24"/>
      <c r="AT318" s="24"/>
      <c r="AU318" s="24"/>
      <c r="AV318" s="24"/>
      <c r="AW318" s="24"/>
      <c r="AX318" s="24"/>
      <c r="AY318" s="24"/>
      <c r="AZ318" s="24"/>
    </row>
    <row r="319" spans="1:52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40"/>
      <c r="AS319" s="24"/>
      <c r="AT319" s="24"/>
      <c r="AU319" s="24"/>
      <c r="AV319" s="24"/>
      <c r="AW319" s="24"/>
      <c r="AX319" s="24"/>
      <c r="AY319" s="24"/>
      <c r="AZ319" s="24"/>
    </row>
    <row r="320" spans="1:52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40"/>
      <c r="AS320" s="24"/>
      <c r="AT320" s="24"/>
      <c r="AU320" s="24"/>
      <c r="AV320" s="24"/>
      <c r="AW320" s="24"/>
      <c r="AX320" s="24"/>
      <c r="AY320" s="24"/>
      <c r="AZ320" s="24"/>
    </row>
    <row r="321" spans="1:52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40"/>
      <c r="AS321" s="24"/>
      <c r="AT321" s="24"/>
      <c r="AU321" s="24"/>
      <c r="AV321" s="24"/>
      <c r="AW321" s="24"/>
      <c r="AX321" s="24"/>
      <c r="AY321" s="24"/>
      <c r="AZ321" s="24"/>
    </row>
    <row r="322" spans="1:5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40"/>
      <c r="AS322" s="24"/>
      <c r="AT322" s="24"/>
      <c r="AU322" s="24"/>
      <c r="AV322" s="24"/>
      <c r="AW322" s="24"/>
      <c r="AX322" s="24"/>
      <c r="AY322" s="24"/>
      <c r="AZ322" s="24"/>
    </row>
    <row r="323" spans="1:52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40"/>
      <c r="AS323" s="24"/>
      <c r="AT323" s="24"/>
      <c r="AU323" s="24"/>
      <c r="AV323" s="24"/>
      <c r="AW323" s="24"/>
      <c r="AX323" s="24"/>
      <c r="AY323" s="24"/>
      <c r="AZ323" s="24"/>
    </row>
    <row r="324" spans="1:52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40"/>
      <c r="AS324" s="24"/>
      <c r="AT324" s="24"/>
      <c r="AU324" s="24"/>
      <c r="AV324" s="24"/>
      <c r="AW324" s="24"/>
      <c r="AX324" s="24"/>
      <c r="AY324" s="24"/>
      <c r="AZ324" s="24"/>
    </row>
    <row r="325" spans="1:52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40"/>
      <c r="AS325" s="24"/>
      <c r="AT325" s="24"/>
      <c r="AU325" s="24"/>
      <c r="AV325" s="24"/>
      <c r="AW325" s="24"/>
      <c r="AX325" s="24"/>
      <c r="AY325" s="24"/>
      <c r="AZ325" s="24"/>
    </row>
    <row r="326" spans="1:52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40"/>
      <c r="AS326" s="24"/>
      <c r="AT326" s="24"/>
      <c r="AU326" s="24"/>
      <c r="AV326" s="24"/>
      <c r="AW326" s="24"/>
      <c r="AX326" s="24"/>
      <c r="AY326" s="24"/>
      <c r="AZ326" s="24"/>
    </row>
    <row r="327" spans="1:52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40"/>
      <c r="AS327" s="24"/>
      <c r="AT327" s="24"/>
      <c r="AU327" s="24"/>
      <c r="AV327" s="24"/>
      <c r="AW327" s="24"/>
      <c r="AX327" s="24"/>
      <c r="AY327" s="24"/>
      <c r="AZ327" s="24"/>
    </row>
    <row r="328" spans="1:52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40"/>
      <c r="AS328" s="24"/>
      <c r="AT328" s="24"/>
      <c r="AU328" s="24"/>
      <c r="AV328" s="24"/>
      <c r="AW328" s="24"/>
      <c r="AX328" s="24"/>
      <c r="AY328" s="24"/>
      <c r="AZ328" s="24"/>
    </row>
    <row r="329" spans="1:52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40"/>
      <c r="AS329" s="24"/>
      <c r="AT329" s="24"/>
      <c r="AU329" s="24"/>
      <c r="AV329" s="24"/>
      <c r="AW329" s="24"/>
      <c r="AX329" s="24"/>
      <c r="AY329" s="24"/>
      <c r="AZ329" s="24"/>
    </row>
    <row r="330" spans="1:52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40"/>
      <c r="AS330" s="24"/>
      <c r="AT330" s="24"/>
      <c r="AU330" s="24"/>
      <c r="AV330" s="24"/>
      <c r="AW330" s="24"/>
      <c r="AX330" s="24"/>
      <c r="AY330" s="24"/>
      <c r="AZ330" s="24"/>
    </row>
    <row r="331" spans="1:52" ht="15.75" customHeight="1"/>
    <row r="332" spans="1:52" ht="15.75" customHeight="1"/>
    <row r="333" spans="1:52" ht="15.75" customHeight="1"/>
    <row r="334" spans="1:52" ht="15.75" customHeight="1"/>
    <row r="335" spans="1:52" ht="15.75" customHeight="1"/>
    <row r="336" spans="1:52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73:AJ73"/>
    <mergeCell ref="BA6:BA7"/>
    <mergeCell ref="AM3:AM4"/>
    <mergeCell ref="AN3:AN4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A1:AM1"/>
    <mergeCell ref="AQ1:BA1"/>
    <mergeCell ref="A2:AM2"/>
    <mergeCell ref="A3:C3"/>
    <mergeCell ref="AK3:AK4"/>
    <mergeCell ref="AL3:AL4"/>
    <mergeCell ref="AO3:AO4"/>
    <mergeCell ref="AQ2:BA2"/>
    <mergeCell ref="AQ3:BA3"/>
    <mergeCell ref="AQ4:AW4"/>
    <mergeCell ref="AX4:BA4"/>
    <mergeCell ref="AQ5:AW5"/>
    <mergeCell ref="AX5:BA5"/>
  </mergeCells>
  <conditionalFormatting sqref="I6 G6:H7 G9:H12 G75:K82">
    <cfRule type="containsText" dxfId="1" priority="1" operator="containsText" text="A">
      <formula>NOT(ISERROR(SEARCH(("A"),(G6))))</formula>
    </cfRule>
  </conditionalFormatting>
  <pageMargins left="0.7" right="0.7" top="0.75" bottom="0.75" header="0" footer="0"/>
  <pageSetup paperSize="9"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1000"/>
  <sheetViews>
    <sheetView workbookViewId="0"/>
  </sheetViews>
  <sheetFormatPr defaultColWidth="14.44140625" defaultRowHeight="15" customHeight="1"/>
  <cols>
    <col min="1" max="1" width="5.33203125" customWidth="1"/>
    <col min="2" max="2" width="7.88671875" customWidth="1"/>
    <col min="3" max="3" width="23" customWidth="1"/>
    <col min="4" max="4" width="7.33203125" customWidth="1"/>
    <col min="5" max="28" width="4.6640625" customWidth="1"/>
    <col min="29" max="29" width="5" customWidth="1"/>
    <col min="30" max="30" width="6.6640625" customWidth="1"/>
    <col min="31" max="31" width="6.88671875" customWidth="1"/>
    <col min="32" max="32" width="7" customWidth="1"/>
    <col min="33" max="34" width="8.6640625" customWidth="1"/>
    <col min="35" max="35" width="6.6640625" customWidth="1"/>
    <col min="36" max="36" width="14.44140625" customWidth="1"/>
    <col min="37" max="37" width="19" customWidth="1"/>
    <col min="38" max="38" width="18.109375" customWidth="1"/>
    <col min="39" max="39" width="17.33203125" customWidth="1"/>
    <col min="40" max="40" width="14.44140625" customWidth="1"/>
    <col min="41" max="41" width="11.33203125" customWidth="1"/>
    <col min="42" max="42" width="13.44140625" customWidth="1"/>
    <col min="43" max="43" width="17.88671875" customWidth="1"/>
    <col min="44" max="44" width="14.6640625" customWidth="1"/>
  </cols>
  <sheetData>
    <row r="1" spans="1:51" ht="18">
      <c r="A1" s="372" t="str">
        <f>OVERALL!A1</f>
        <v>ATTENDANCE RECORD JULY-NOVEMEBER 2024 (B.Tech CSE 3B)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24"/>
      <c r="AG1" s="306"/>
      <c r="AH1" s="24"/>
      <c r="AI1" s="369" t="s">
        <v>93</v>
      </c>
      <c r="AJ1" s="358"/>
      <c r="AK1" s="358"/>
      <c r="AL1" s="358"/>
      <c r="AM1" s="358"/>
      <c r="AN1" s="358"/>
      <c r="AO1" s="358"/>
      <c r="AP1" s="358"/>
      <c r="AQ1" s="358"/>
      <c r="AR1" s="358"/>
      <c r="AS1" s="358"/>
      <c r="AT1" s="165"/>
      <c r="AU1" s="165"/>
      <c r="AV1" s="165"/>
      <c r="AW1" s="165"/>
      <c r="AX1" s="165"/>
      <c r="AY1" s="166"/>
    </row>
    <row r="2" spans="1:51" ht="18">
      <c r="A2" s="397" t="s">
        <v>89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24"/>
      <c r="AG2" s="306"/>
      <c r="AH2" s="24"/>
      <c r="AI2" s="370" t="s">
        <v>101</v>
      </c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307"/>
      <c r="AU2" s="307"/>
      <c r="AV2" s="307"/>
      <c r="AW2" s="307"/>
      <c r="AX2" s="307"/>
      <c r="AY2" s="308"/>
    </row>
    <row r="3" spans="1:51" ht="69.75" customHeight="1">
      <c r="A3" s="375" t="s">
        <v>1</v>
      </c>
      <c r="B3" s="358"/>
      <c r="C3" s="359"/>
      <c r="D3" s="309">
        <v>45496</v>
      </c>
      <c r="E3" s="309">
        <v>45503</v>
      </c>
      <c r="F3" s="310">
        <v>45510</v>
      </c>
      <c r="G3" s="310">
        <v>45517</v>
      </c>
      <c r="H3" s="310">
        <v>45518</v>
      </c>
      <c r="I3" s="310">
        <v>45532</v>
      </c>
      <c r="J3" s="310">
        <v>45546</v>
      </c>
      <c r="K3" s="310">
        <v>45553</v>
      </c>
      <c r="L3" s="310">
        <v>45560</v>
      </c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76" t="s">
        <v>96</v>
      </c>
      <c r="AD3" s="376" t="s">
        <v>97</v>
      </c>
      <c r="AE3" s="376" t="s">
        <v>98</v>
      </c>
      <c r="AF3" s="376" t="s">
        <v>99</v>
      </c>
      <c r="AG3" s="409" t="s">
        <v>100</v>
      </c>
      <c r="AH3" s="24"/>
      <c r="AI3" s="370" t="s">
        <v>102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165"/>
      <c r="AU3" s="165"/>
      <c r="AV3" s="165"/>
      <c r="AW3" s="165"/>
      <c r="AX3" s="165"/>
      <c r="AY3" s="166"/>
    </row>
    <row r="4" spans="1:51" ht="14.4">
      <c r="A4" s="236" t="s">
        <v>12</v>
      </c>
      <c r="B4" s="237" t="s">
        <v>13</v>
      </c>
      <c r="C4" s="237" t="s">
        <v>14</v>
      </c>
      <c r="D4" s="124">
        <v>1</v>
      </c>
      <c r="E4" s="124">
        <v>2</v>
      </c>
      <c r="F4" s="124">
        <v>3</v>
      </c>
      <c r="G4" s="124">
        <v>4</v>
      </c>
      <c r="H4" s="124">
        <v>5</v>
      </c>
      <c r="I4" s="124">
        <v>6</v>
      </c>
      <c r="J4" s="124">
        <v>7</v>
      </c>
      <c r="K4" s="124">
        <v>8</v>
      </c>
      <c r="L4" s="124">
        <v>9</v>
      </c>
      <c r="M4" s="124">
        <v>10</v>
      </c>
      <c r="N4" s="124">
        <v>11</v>
      </c>
      <c r="O4" s="124">
        <v>12</v>
      </c>
      <c r="P4" s="124">
        <v>13</v>
      </c>
      <c r="Q4" s="124">
        <v>14</v>
      </c>
      <c r="R4" s="124">
        <v>15</v>
      </c>
      <c r="S4" s="124">
        <v>16</v>
      </c>
      <c r="T4" s="124">
        <v>17</v>
      </c>
      <c r="U4" s="124">
        <v>18</v>
      </c>
      <c r="V4" s="124">
        <v>19</v>
      </c>
      <c r="W4" s="124">
        <v>20</v>
      </c>
      <c r="X4" s="124">
        <v>21</v>
      </c>
      <c r="Y4" s="124">
        <v>22</v>
      </c>
      <c r="Z4" s="124">
        <v>23</v>
      </c>
      <c r="AA4" s="124">
        <v>24</v>
      </c>
      <c r="AB4" s="124">
        <v>25</v>
      </c>
      <c r="AC4" s="377"/>
      <c r="AD4" s="377"/>
      <c r="AE4" s="377"/>
      <c r="AF4" s="377"/>
      <c r="AG4" s="377"/>
      <c r="AH4" s="24"/>
      <c r="AI4" s="371" t="s">
        <v>103</v>
      </c>
      <c r="AJ4" s="358"/>
      <c r="AK4" s="358"/>
      <c r="AL4" s="358"/>
      <c r="AM4" s="358"/>
      <c r="AN4" s="358"/>
      <c r="AO4" s="358"/>
      <c r="AP4" s="393" t="s">
        <v>104</v>
      </c>
      <c r="AQ4" s="358"/>
      <c r="AR4" s="358"/>
      <c r="AS4" s="358"/>
      <c r="AT4" s="165"/>
      <c r="AU4" s="165"/>
      <c r="AV4" s="165"/>
      <c r="AW4" s="165"/>
      <c r="AX4" s="165"/>
      <c r="AY4" s="166"/>
    </row>
    <row r="5" spans="1:51" ht="15" customHeight="1">
      <c r="A5" s="105">
        <f>OVERALL!A4</f>
        <v>1</v>
      </c>
      <c r="B5" s="105">
        <f>OVERALL!B4</f>
        <v>2301236</v>
      </c>
      <c r="C5" s="106" t="str">
        <f>OVERALL!C4</f>
        <v>Manmohan Singh</v>
      </c>
      <c r="D5" s="113" t="s">
        <v>123</v>
      </c>
      <c r="E5" s="113" t="s">
        <v>124</v>
      </c>
      <c r="F5" s="113" t="s">
        <v>123</v>
      </c>
      <c r="G5" s="113" t="s">
        <v>124</v>
      </c>
      <c r="H5" s="113" t="s">
        <v>123</v>
      </c>
      <c r="I5" s="113" t="s">
        <v>124</v>
      </c>
      <c r="J5" s="113" t="s">
        <v>123</v>
      </c>
      <c r="K5" s="113" t="s">
        <v>123</v>
      </c>
      <c r="L5" s="113" t="s">
        <v>123</v>
      </c>
      <c r="M5" s="96"/>
      <c r="N5" s="96"/>
      <c r="O5" s="123"/>
      <c r="P5" s="113"/>
      <c r="Q5" s="132"/>
      <c r="R5" s="113"/>
      <c r="S5" s="113"/>
      <c r="T5" s="123"/>
      <c r="U5" s="123"/>
      <c r="V5" s="113"/>
      <c r="W5" s="113"/>
      <c r="X5" s="113"/>
      <c r="Y5" s="113"/>
      <c r="Z5" s="113"/>
      <c r="AA5" s="113"/>
      <c r="AB5" s="113"/>
      <c r="AC5" s="88">
        <v>10</v>
      </c>
      <c r="AD5" s="88"/>
      <c r="AE5" s="88">
        <f t="shared" ref="AE5:AE60" si="0">AC5+AD5</f>
        <v>10</v>
      </c>
      <c r="AF5" s="88">
        <v>30</v>
      </c>
      <c r="AG5" s="311">
        <f t="shared" ref="AG5:AG62" si="1">AE5/AF5</f>
        <v>0.33333333333333331</v>
      </c>
      <c r="AH5" s="24"/>
      <c r="AI5" s="371" t="s">
        <v>192</v>
      </c>
      <c r="AJ5" s="358"/>
      <c r="AK5" s="358"/>
      <c r="AL5" s="358"/>
      <c r="AM5" s="358"/>
      <c r="AN5" s="358"/>
      <c r="AO5" s="359"/>
      <c r="AP5" s="371" t="s">
        <v>193</v>
      </c>
      <c r="AQ5" s="358"/>
      <c r="AR5" s="358"/>
      <c r="AS5" s="359"/>
    </row>
    <row r="6" spans="1:51" ht="15" customHeight="1">
      <c r="A6" s="105">
        <f>OVERALL!A5</f>
        <v>2</v>
      </c>
      <c r="B6" s="105">
        <f>OVERALL!B5</f>
        <v>2301237</v>
      </c>
      <c r="C6" s="106" t="str">
        <f>OVERALL!C5</f>
        <v>Manpreet Kaur</v>
      </c>
      <c r="D6" s="113" t="s">
        <v>124</v>
      </c>
      <c r="E6" s="113" t="s">
        <v>124</v>
      </c>
      <c r="F6" s="113" t="s">
        <v>124</v>
      </c>
      <c r="G6" s="113" t="s">
        <v>124</v>
      </c>
      <c r="H6" s="113" t="s">
        <v>124</v>
      </c>
      <c r="I6" s="113" t="s">
        <v>124</v>
      </c>
      <c r="J6" s="113" t="s">
        <v>124</v>
      </c>
      <c r="K6" s="113" t="s">
        <v>124</v>
      </c>
      <c r="L6" s="113" t="s">
        <v>123</v>
      </c>
      <c r="M6" s="96"/>
      <c r="N6" s="96"/>
      <c r="O6" s="156"/>
      <c r="P6" s="186"/>
      <c r="Q6" s="132"/>
      <c r="R6" s="113"/>
      <c r="S6" s="113"/>
      <c r="T6" s="156"/>
      <c r="U6" s="156"/>
      <c r="V6" s="113"/>
      <c r="W6" s="113"/>
      <c r="X6" s="113"/>
      <c r="Y6" s="113"/>
      <c r="Z6" s="113"/>
      <c r="AA6" s="113"/>
      <c r="AB6" s="113"/>
      <c r="AC6" s="88">
        <v>22</v>
      </c>
      <c r="AD6" s="88"/>
      <c r="AE6" s="88">
        <f t="shared" si="0"/>
        <v>22</v>
      </c>
      <c r="AF6" s="88">
        <v>30</v>
      </c>
      <c r="AG6" s="311">
        <f t="shared" si="1"/>
        <v>0.73333333333333328</v>
      </c>
      <c r="AH6" s="24"/>
      <c r="AI6" s="398" t="s">
        <v>169</v>
      </c>
      <c r="AJ6" s="398" t="s">
        <v>170</v>
      </c>
      <c r="AK6" s="398" t="s">
        <v>171</v>
      </c>
      <c r="AL6" s="398" t="s">
        <v>172</v>
      </c>
      <c r="AM6" s="398" t="s">
        <v>173</v>
      </c>
      <c r="AN6" s="398" t="s">
        <v>174</v>
      </c>
      <c r="AO6" s="398" t="s">
        <v>175</v>
      </c>
      <c r="AP6" s="398" t="s">
        <v>176</v>
      </c>
      <c r="AQ6" s="398" t="s">
        <v>177</v>
      </c>
      <c r="AR6" s="398" t="s">
        <v>187</v>
      </c>
      <c r="AS6" s="398" t="s">
        <v>178</v>
      </c>
    </row>
    <row r="7" spans="1:51" ht="45" customHeight="1">
      <c r="A7" s="105">
        <f>OVERALL!A6</f>
        <v>3</v>
      </c>
      <c r="B7" s="105">
        <f>OVERALL!B6</f>
        <v>2301238</v>
      </c>
      <c r="C7" s="106" t="str">
        <f>OVERALL!C6</f>
        <v>Md Warish Chesam</v>
      </c>
      <c r="D7" s="113" t="s">
        <v>123</v>
      </c>
      <c r="E7" s="113" t="s">
        <v>124</v>
      </c>
      <c r="F7" s="113" t="s">
        <v>124</v>
      </c>
      <c r="G7" s="113" t="s">
        <v>124</v>
      </c>
      <c r="H7" s="113" t="s">
        <v>124</v>
      </c>
      <c r="I7" s="113" t="s">
        <v>124</v>
      </c>
      <c r="J7" s="113" t="s">
        <v>123</v>
      </c>
      <c r="K7" s="113" t="s">
        <v>124</v>
      </c>
      <c r="L7" s="113" t="s">
        <v>124</v>
      </c>
      <c r="M7" s="96"/>
      <c r="N7" s="96"/>
      <c r="O7" s="156"/>
      <c r="P7" s="186"/>
      <c r="Q7" s="132"/>
      <c r="R7" s="113"/>
      <c r="S7" s="113"/>
      <c r="T7" s="156"/>
      <c r="U7" s="156"/>
      <c r="V7" s="113"/>
      <c r="W7" s="113"/>
      <c r="X7" s="113"/>
      <c r="Y7" s="113"/>
      <c r="Z7" s="113"/>
      <c r="AA7" s="113"/>
      <c r="AB7" s="113"/>
      <c r="AC7" s="88">
        <v>24</v>
      </c>
      <c r="AD7" s="88">
        <v>2</v>
      </c>
      <c r="AE7" s="88">
        <f t="shared" si="0"/>
        <v>26</v>
      </c>
      <c r="AF7" s="88">
        <v>30</v>
      </c>
      <c r="AG7" s="311">
        <f t="shared" si="1"/>
        <v>0.8666666666666667</v>
      </c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</row>
    <row r="8" spans="1:51" ht="25.5" customHeight="1">
      <c r="A8" s="105">
        <f>OVERALL!A7</f>
        <v>4</v>
      </c>
      <c r="B8" s="105">
        <f>OVERALL!B7</f>
        <v>2301239</v>
      </c>
      <c r="C8" s="106" t="str">
        <f>OVERALL!C7</f>
        <v>Mohd Shahid Afridi</v>
      </c>
      <c r="D8" s="113" t="s">
        <v>123</v>
      </c>
      <c r="E8" s="113" t="s">
        <v>124</v>
      </c>
      <c r="F8" s="113" t="s">
        <v>124</v>
      </c>
      <c r="G8" s="113" t="s">
        <v>123</v>
      </c>
      <c r="H8" s="113" t="s">
        <v>123</v>
      </c>
      <c r="I8" s="113" t="s">
        <v>123</v>
      </c>
      <c r="J8" s="113" t="s">
        <v>123</v>
      </c>
      <c r="K8" s="113" t="s">
        <v>123</v>
      </c>
      <c r="L8" s="113" t="s">
        <v>123</v>
      </c>
      <c r="M8" s="96"/>
      <c r="N8" s="96"/>
      <c r="O8" s="156"/>
      <c r="P8" s="186"/>
      <c r="Q8" s="132"/>
      <c r="R8" s="113"/>
      <c r="S8" s="113"/>
      <c r="T8" s="156"/>
      <c r="U8" s="156"/>
      <c r="V8" s="113"/>
      <c r="W8" s="113"/>
      <c r="X8" s="113"/>
      <c r="Y8" s="113"/>
      <c r="Z8" s="113"/>
      <c r="AA8" s="113"/>
      <c r="AB8" s="113"/>
      <c r="AC8" s="88">
        <f>COUNTIF(D8:AB8,"P")*2</f>
        <v>4</v>
      </c>
      <c r="AD8" s="88"/>
      <c r="AE8" s="88">
        <f t="shared" si="0"/>
        <v>4</v>
      </c>
      <c r="AF8" s="88">
        <v>30</v>
      </c>
      <c r="AG8" s="311">
        <f t="shared" si="1"/>
        <v>0.13333333333333333</v>
      </c>
      <c r="AI8" s="241">
        <f>OVERALL!A4</f>
        <v>1</v>
      </c>
      <c r="AJ8" s="242">
        <f>OVERALL!B4</f>
        <v>2301236</v>
      </c>
      <c r="AK8" s="243" t="str">
        <f>OVERALL!C4</f>
        <v>Manmohan Singh</v>
      </c>
      <c r="AL8" s="244">
        <f t="shared" ref="AL8:AL65" si="2">AF5</f>
        <v>30</v>
      </c>
      <c r="AM8" s="244">
        <f t="shared" ref="AM8:AM65" si="3">AE5</f>
        <v>10</v>
      </c>
      <c r="AN8" s="245">
        <f t="shared" ref="AN8:AN65" si="4">(AM8/AL8)*100</f>
        <v>33.333333333333329</v>
      </c>
      <c r="AO8" s="107" t="str">
        <f t="shared" ref="AO8:AO65" si="5">IF(AN8&gt;=95.5,"6",IF(AN8&gt;=90.5,"5", IF(AN8&gt;=85.5,"4",IF(AN8&gt;=80.5,"3",IF(AN8&gt;=75.5,"2","0")))))</f>
        <v>0</v>
      </c>
      <c r="AP8" s="224">
        <v>2</v>
      </c>
      <c r="AQ8" s="246">
        <v>7</v>
      </c>
      <c r="AR8" s="245">
        <v>3</v>
      </c>
      <c r="AS8" s="245">
        <f t="shared" ref="AS8:AS10" si="6">ROUND(AO8+AP8+AQ8+AR8,0)</f>
        <v>12</v>
      </c>
    </row>
    <row r="9" spans="1:51" ht="15.6">
      <c r="A9" s="105">
        <f>OVERALL!A8</f>
        <v>5</v>
      </c>
      <c r="B9" s="105">
        <f>OVERALL!B8</f>
        <v>2301240</v>
      </c>
      <c r="C9" s="106" t="str">
        <f>OVERALL!C8</f>
        <v>Munisha</v>
      </c>
      <c r="D9" s="113" t="s">
        <v>123</v>
      </c>
      <c r="E9" s="113" t="s">
        <v>124</v>
      </c>
      <c r="F9" s="113" t="s">
        <v>123</v>
      </c>
      <c r="G9" s="113" t="s">
        <v>123</v>
      </c>
      <c r="H9" s="113" t="s">
        <v>123</v>
      </c>
      <c r="I9" s="113" t="s">
        <v>123</v>
      </c>
      <c r="J9" s="113" t="s">
        <v>123</v>
      </c>
      <c r="K9" s="113" t="s">
        <v>123</v>
      </c>
      <c r="L9" s="113" t="s">
        <v>123</v>
      </c>
      <c r="M9" s="96"/>
      <c r="N9" s="96"/>
      <c r="O9" s="156"/>
      <c r="P9" s="186"/>
      <c r="Q9" s="132"/>
      <c r="R9" s="113"/>
      <c r="S9" s="113"/>
      <c r="T9" s="156"/>
      <c r="U9" s="156"/>
      <c r="V9" s="113"/>
      <c r="W9" s="113"/>
      <c r="X9" s="113"/>
      <c r="Y9" s="113"/>
      <c r="Z9" s="113"/>
      <c r="AA9" s="113"/>
      <c r="AB9" s="113"/>
      <c r="AC9" s="88">
        <v>20</v>
      </c>
      <c r="AD9" s="88"/>
      <c r="AE9" s="88">
        <f t="shared" si="0"/>
        <v>20</v>
      </c>
      <c r="AF9" s="88">
        <v>30</v>
      </c>
      <c r="AG9" s="311">
        <f t="shared" si="1"/>
        <v>0.66666666666666663</v>
      </c>
      <c r="AI9" s="241">
        <f>OVERALL!A5</f>
        <v>2</v>
      </c>
      <c r="AJ9" s="247">
        <f>OVERALL!B5</f>
        <v>2301237</v>
      </c>
      <c r="AK9" s="243" t="str">
        <f>OVERALL!C5</f>
        <v>Manpreet Kaur</v>
      </c>
      <c r="AL9" s="244">
        <f t="shared" si="2"/>
        <v>30</v>
      </c>
      <c r="AM9" s="244">
        <f t="shared" si="3"/>
        <v>22</v>
      </c>
      <c r="AN9" s="245">
        <f t="shared" si="4"/>
        <v>73.333333333333329</v>
      </c>
      <c r="AO9" s="107" t="str">
        <f t="shared" si="5"/>
        <v>0</v>
      </c>
      <c r="AP9" s="227">
        <v>6</v>
      </c>
      <c r="AQ9" s="246">
        <v>5</v>
      </c>
      <c r="AR9" s="245">
        <f t="shared" ref="AR9:AR19" si="7">AVERAGE(D76:AB76)</f>
        <v>8.8000000000000007</v>
      </c>
      <c r="AS9" s="245">
        <f t="shared" si="6"/>
        <v>20</v>
      </c>
    </row>
    <row r="10" spans="1:51" ht="15.6">
      <c r="A10" s="105">
        <f>OVERALL!A9</f>
        <v>6</v>
      </c>
      <c r="B10" s="105">
        <f>OVERALL!B9</f>
        <v>2301241</v>
      </c>
      <c r="C10" s="106" t="str">
        <f>OVERALL!C9</f>
        <v>Nikhil Kumar Thakur</v>
      </c>
      <c r="D10" s="113" t="s">
        <v>124</v>
      </c>
      <c r="E10" s="113" t="s">
        <v>124</v>
      </c>
      <c r="F10" s="113" t="s">
        <v>123</v>
      </c>
      <c r="G10" s="113" t="s">
        <v>123</v>
      </c>
      <c r="H10" s="113" t="s">
        <v>123</v>
      </c>
      <c r="I10" s="113" t="s">
        <v>123</v>
      </c>
      <c r="J10" s="113" t="s">
        <v>123</v>
      </c>
      <c r="K10" s="113" t="s">
        <v>123</v>
      </c>
      <c r="L10" s="113" t="s">
        <v>123</v>
      </c>
      <c r="M10" s="96"/>
      <c r="N10" s="96"/>
      <c r="O10" s="156"/>
      <c r="P10" s="186"/>
      <c r="Q10" s="132"/>
      <c r="R10" s="113"/>
      <c r="S10" s="113"/>
      <c r="T10" s="156"/>
      <c r="U10" s="156"/>
      <c r="V10" s="113"/>
      <c r="W10" s="113"/>
      <c r="X10" s="113"/>
      <c r="Y10" s="113"/>
      <c r="Z10" s="113"/>
      <c r="AA10" s="113"/>
      <c r="AB10" s="113"/>
      <c r="AC10" s="88">
        <v>26</v>
      </c>
      <c r="AD10" s="88"/>
      <c r="AE10" s="88">
        <f t="shared" si="0"/>
        <v>26</v>
      </c>
      <c r="AF10" s="88">
        <v>30</v>
      </c>
      <c r="AG10" s="311">
        <f t="shared" si="1"/>
        <v>0.8666666666666667</v>
      </c>
      <c r="AI10" s="241">
        <f>OVERALL!A6</f>
        <v>3</v>
      </c>
      <c r="AJ10" s="247">
        <f>OVERALL!B6</f>
        <v>2301238</v>
      </c>
      <c r="AK10" s="243" t="str">
        <f>OVERALL!C6</f>
        <v>Md Warish Chesam</v>
      </c>
      <c r="AL10" s="244">
        <f t="shared" si="2"/>
        <v>30</v>
      </c>
      <c r="AM10" s="244">
        <f t="shared" si="3"/>
        <v>26</v>
      </c>
      <c r="AN10" s="245">
        <f t="shared" si="4"/>
        <v>86.666666666666671</v>
      </c>
      <c r="AO10" s="107" t="str">
        <f t="shared" si="5"/>
        <v>4</v>
      </c>
      <c r="AP10" s="227">
        <v>6</v>
      </c>
      <c r="AQ10" s="246">
        <v>6</v>
      </c>
      <c r="AR10" s="245">
        <f t="shared" si="7"/>
        <v>8.3000000000000007</v>
      </c>
      <c r="AS10" s="245">
        <f t="shared" si="6"/>
        <v>24</v>
      </c>
    </row>
    <row r="11" spans="1:51" ht="15.6">
      <c r="A11" s="105">
        <f>OVERALL!A10</f>
        <v>7</v>
      </c>
      <c r="B11" s="105">
        <f>OVERALL!B10</f>
        <v>2301242</v>
      </c>
      <c r="C11" s="106" t="str">
        <f>OVERALL!C10</f>
        <v>Palak Pathania</v>
      </c>
      <c r="D11" s="113" t="s">
        <v>124</v>
      </c>
      <c r="E11" s="113" t="s">
        <v>124</v>
      </c>
      <c r="F11" s="113" t="s">
        <v>123</v>
      </c>
      <c r="G11" s="113" t="s">
        <v>123</v>
      </c>
      <c r="H11" s="113" t="s">
        <v>123</v>
      </c>
      <c r="I11" s="113" t="s">
        <v>123</v>
      </c>
      <c r="J11" s="113" t="s">
        <v>123</v>
      </c>
      <c r="K11" s="113" t="s">
        <v>123</v>
      </c>
      <c r="L11" s="113" t="s">
        <v>123</v>
      </c>
      <c r="M11" s="96"/>
      <c r="N11" s="96"/>
      <c r="O11" s="156"/>
      <c r="P11" s="186"/>
      <c r="Q11" s="132"/>
      <c r="R11" s="113"/>
      <c r="S11" s="113"/>
      <c r="T11" s="156"/>
      <c r="U11" s="156"/>
      <c r="V11" s="113"/>
      <c r="W11" s="113"/>
      <c r="X11" s="113"/>
      <c r="Y11" s="113"/>
      <c r="Z11" s="113"/>
      <c r="AA11" s="113"/>
      <c r="AB11" s="113"/>
      <c r="AC11" s="88">
        <v>24</v>
      </c>
      <c r="AD11" s="88"/>
      <c r="AE11" s="88">
        <f t="shared" si="0"/>
        <v>24</v>
      </c>
      <c r="AF11" s="88">
        <v>30</v>
      </c>
      <c r="AG11" s="311">
        <f t="shared" si="1"/>
        <v>0.8</v>
      </c>
      <c r="AI11" s="241">
        <f>OVERALL!A7</f>
        <v>4</v>
      </c>
      <c r="AJ11" s="247">
        <f>OVERALL!B7</f>
        <v>2301239</v>
      </c>
      <c r="AK11" s="243" t="str">
        <f>OVERALL!C7</f>
        <v>Mohd Shahid Afridi</v>
      </c>
      <c r="AL11" s="244">
        <f t="shared" si="2"/>
        <v>30</v>
      </c>
      <c r="AM11" s="244">
        <f t="shared" si="3"/>
        <v>4</v>
      </c>
      <c r="AN11" s="245">
        <f t="shared" si="4"/>
        <v>13.333333333333334</v>
      </c>
      <c r="AO11" s="107" t="str">
        <f t="shared" si="5"/>
        <v>0</v>
      </c>
      <c r="AP11" s="227">
        <v>0</v>
      </c>
      <c r="AQ11" s="312">
        <v>0</v>
      </c>
      <c r="AR11" s="245">
        <f t="shared" si="7"/>
        <v>0</v>
      </c>
      <c r="AS11" s="245">
        <v>2</v>
      </c>
    </row>
    <row r="12" spans="1:51" ht="19.5" customHeight="1">
      <c r="A12" s="105">
        <f>OVERALL!A11</f>
        <v>8</v>
      </c>
      <c r="B12" s="105">
        <f>OVERALL!B11</f>
        <v>2301243</v>
      </c>
      <c r="C12" s="106" t="str">
        <f>OVERALL!C11</f>
        <v>Pardeep Singh</v>
      </c>
      <c r="D12" s="113" t="s">
        <v>124</v>
      </c>
      <c r="E12" s="113" t="s">
        <v>124</v>
      </c>
      <c r="F12" s="113" t="s">
        <v>123</v>
      </c>
      <c r="G12" s="113" t="s">
        <v>123</v>
      </c>
      <c r="H12" s="113" t="s">
        <v>123</v>
      </c>
      <c r="I12" s="113" t="s">
        <v>123</v>
      </c>
      <c r="J12" s="113" t="s">
        <v>123</v>
      </c>
      <c r="K12" s="113" t="s">
        <v>123</v>
      </c>
      <c r="L12" s="113" t="s">
        <v>123</v>
      </c>
      <c r="M12" s="113"/>
      <c r="N12" s="113"/>
      <c r="O12" s="156"/>
      <c r="P12" s="186"/>
      <c r="Q12" s="132"/>
      <c r="R12" s="113"/>
      <c r="S12" s="113"/>
      <c r="T12" s="156"/>
      <c r="U12" s="156"/>
      <c r="V12" s="113"/>
      <c r="W12" s="113"/>
      <c r="X12" s="113"/>
      <c r="Y12" s="113"/>
      <c r="Z12" s="113"/>
      <c r="AA12" s="113"/>
      <c r="AB12" s="113"/>
      <c r="AC12" s="132">
        <v>22</v>
      </c>
      <c r="AD12" s="132"/>
      <c r="AE12" s="132">
        <f t="shared" si="0"/>
        <v>22</v>
      </c>
      <c r="AF12" s="88">
        <v>30</v>
      </c>
      <c r="AG12" s="311">
        <f t="shared" si="1"/>
        <v>0.73333333333333328</v>
      </c>
      <c r="AI12" s="241">
        <f>OVERALL!A8</f>
        <v>5</v>
      </c>
      <c r="AJ12" s="247">
        <f>OVERALL!B8</f>
        <v>2301240</v>
      </c>
      <c r="AK12" s="243" t="str">
        <f>OVERALL!C8</f>
        <v>Munisha</v>
      </c>
      <c r="AL12" s="244">
        <f t="shared" si="2"/>
        <v>30</v>
      </c>
      <c r="AM12" s="244">
        <f t="shared" si="3"/>
        <v>20</v>
      </c>
      <c r="AN12" s="245">
        <f t="shared" si="4"/>
        <v>66.666666666666657</v>
      </c>
      <c r="AO12" s="107" t="str">
        <f t="shared" si="5"/>
        <v>0</v>
      </c>
      <c r="AP12" s="227">
        <v>5</v>
      </c>
      <c r="AQ12" s="246">
        <v>7</v>
      </c>
      <c r="AR12" s="245">
        <f t="shared" si="7"/>
        <v>7.6</v>
      </c>
      <c r="AS12" s="245">
        <f t="shared" ref="AS12:AS15" si="8">ROUND(AO12+AP12+AQ12+AR12,0)</f>
        <v>20</v>
      </c>
    </row>
    <row r="13" spans="1:51" ht="20.25" customHeight="1">
      <c r="A13" s="105">
        <f>OVERALL!A12</f>
        <v>9</v>
      </c>
      <c r="B13" s="105">
        <f>OVERALL!B12</f>
        <v>2301244</v>
      </c>
      <c r="C13" s="106" t="str">
        <f>OVERALL!C12</f>
        <v>Parveen Mandal</v>
      </c>
      <c r="D13" s="113" t="s">
        <v>123</v>
      </c>
      <c r="E13" s="113" t="s">
        <v>123</v>
      </c>
      <c r="F13" s="113" t="s">
        <v>123</v>
      </c>
      <c r="G13" s="113" t="s">
        <v>123</v>
      </c>
      <c r="H13" s="113" t="s">
        <v>123</v>
      </c>
      <c r="I13" s="113" t="s">
        <v>123</v>
      </c>
      <c r="J13" s="113" t="s">
        <v>123</v>
      </c>
      <c r="K13" s="113" t="s">
        <v>123</v>
      </c>
      <c r="L13" s="113" t="s">
        <v>123</v>
      </c>
      <c r="M13" s="113"/>
      <c r="N13" s="113"/>
      <c r="O13" s="156"/>
      <c r="P13" s="186"/>
      <c r="Q13" s="132"/>
      <c r="R13" s="113"/>
      <c r="S13" s="113"/>
      <c r="T13" s="156"/>
      <c r="U13" s="156"/>
      <c r="V13" s="113"/>
      <c r="W13" s="113"/>
      <c r="X13" s="113"/>
      <c r="Y13" s="113"/>
      <c r="Z13" s="113"/>
      <c r="AA13" s="113"/>
      <c r="AB13" s="113"/>
      <c r="AC13" s="132">
        <v>0</v>
      </c>
      <c r="AD13" s="132"/>
      <c r="AE13" s="132">
        <f t="shared" si="0"/>
        <v>0</v>
      </c>
      <c r="AF13" s="88">
        <v>30</v>
      </c>
      <c r="AG13" s="311">
        <f t="shared" si="1"/>
        <v>0</v>
      </c>
      <c r="AI13" s="241">
        <f>OVERALL!A9</f>
        <v>6</v>
      </c>
      <c r="AJ13" s="247">
        <f>OVERALL!B9</f>
        <v>2301241</v>
      </c>
      <c r="AK13" s="243" t="str">
        <f>OVERALL!C9</f>
        <v>Nikhil Kumar Thakur</v>
      </c>
      <c r="AL13" s="244">
        <f t="shared" si="2"/>
        <v>30</v>
      </c>
      <c r="AM13" s="244">
        <f t="shared" si="3"/>
        <v>26</v>
      </c>
      <c r="AN13" s="245">
        <f t="shared" si="4"/>
        <v>86.666666666666671</v>
      </c>
      <c r="AO13" s="107" t="str">
        <f t="shared" si="5"/>
        <v>4</v>
      </c>
      <c r="AP13" s="227">
        <v>6</v>
      </c>
      <c r="AQ13" s="246">
        <v>4</v>
      </c>
      <c r="AR13" s="245">
        <f t="shared" si="7"/>
        <v>8.6999999999999993</v>
      </c>
      <c r="AS13" s="245">
        <f t="shared" si="8"/>
        <v>23</v>
      </c>
    </row>
    <row r="14" spans="1:51" ht="15.6">
      <c r="A14" s="105">
        <f>OVERALL!A13</f>
        <v>10</v>
      </c>
      <c r="B14" s="105">
        <f>OVERALL!B13</f>
        <v>2301245</v>
      </c>
      <c r="C14" s="106" t="str">
        <f>OVERALL!C13</f>
        <v>Payal</v>
      </c>
      <c r="D14" s="113" t="s">
        <v>124</v>
      </c>
      <c r="E14" s="113" t="s">
        <v>124</v>
      </c>
      <c r="F14" s="113" t="s">
        <v>123</v>
      </c>
      <c r="G14" s="113" t="s">
        <v>123</v>
      </c>
      <c r="H14" s="113" t="s">
        <v>123</v>
      </c>
      <c r="I14" s="113" t="s">
        <v>123</v>
      </c>
      <c r="J14" s="113" t="s">
        <v>123</v>
      </c>
      <c r="K14" s="113" t="s">
        <v>123</v>
      </c>
      <c r="L14" s="113" t="s">
        <v>123</v>
      </c>
      <c r="M14" s="113"/>
      <c r="N14" s="113"/>
      <c r="O14" s="156"/>
      <c r="P14" s="186"/>
      <c r="Q14" s="132"/>
      <c r="R14" s="113"/>
      <c r="S14" s="113"/>
      <c r="T14" s="156"/>
      <c r="U14" s="156"/>
      <c r="V14" s="132"/>
      <c r="W14" s="132"/>
      <c r="X14" s="132"/>
      <c r="Y14" s="132"/>
      <c r="Z14" s="132"/>
      <c r="AA14" s="132"/>
      <c r="AB14" s="132"/>
      <c r="AC14" s="132">
        <v>28</v>
      </c>
      <c r="AD14" s="132"/>
      <c r="AE14" s="132">
        <f t="shared" si="0"/>
        <v>28</v>
      </c>
      <c r="AF14" s="88">
        <v>30</v>
      </c>
      <c r="AG14" s="311">
        <f t="shared" si="1"/>
        <v>0.93333333333333335</v>
      </c>
      <c r="AI14" s="241">
        <f>OVERALL!A10</f>
        <v>7</v>
      </c>
      <c r="AJ14" s="247">
        <f>OVERALL!B10</f>
        <v>2301242</v>
      </c>
      <c r="AK14" s="243" t="str">
        <f>OVERALL!C10</f>
        <v>Palak Pathania</v>
      </c>
      <c r="AL14" s="244">
        <f t="shared" si="2"/>
        <v>30</v>
      </c>
      <c r="AM14" s="244">
        <f t="shared" si="3"/>
        <v>24</v>
      </c>
      <c r="AN14" s="245">
        <f t="shared" si="4"/>
        <v>80</v>
      </c>
      <c r="AO14" s="107" t="str">
        <f t="shared" si="5"/>
        <v>2</v>
      </c>
      <c r="AP14" s="227">
        <v>6</v>
      </c>
      <c r="AQ14" s="246">
        <v>5</v>
      </c>
      <c r="AR14" s="245">
        <f t="shared" si="7"/>
        <v>8.1999999999999993</v>
      </c>
      <c r="AS14" s="245">
        <f t="shared" si="8"/>
        <v>21</v>
      </c>
    </row>
    <row r="15" spans="1:51" ht="15.6">
      <c r="A15" s="105">
        <f>OVERALL!A14</f>
        <v>11</v>
      </c>
      <c r="B15" s="105">
        <f>OVERALL!B14</f>
        <v>2301247</v>
      </c>
      <c r="C15" s="106" t="str">
        <f>OVERALL!C14</f>
        <v>Priya</v>
      </c>
      <c r="D15" s="113" t="s">
        <v>123</v>
      </c>
      <c r="E15" s="113" t="s">
        <v>124</v>
      </c>
      <c r="F15" s="113" t="s">
        <v>123</v>
      </c>
      <c r="G15" s="113" t="s">
        <v>123</v>
      </c>
      <c r="H15" s="113" t="s">
        <v>123</v>
      </c>
      <c r="I15" s="113" t="s">
        <v>123</v>
      </c>
      <c r="J15" s="113" t="s">
        <v>123</v>
      </c>
      <c r="K15" s="113" t="s">
        <v>123</v>
      </c>
      <c r="L15" s="113" t="s">
        <v>123</v>
      </c>
      <c r="M15" s="113"/>
      <c r="N15" s="113"/>
      <c r="O15" s="156"/>
      <c r="P15" s="186"/>
      <c r="Q15" s="132"/>
      <c r="R15" s="113"/>
      <c r="S15" s="113"/>
      <c r="T15" s="156"/>
      <c r="U15" s="156"/>
      <c r="V15" s="113"/>
      <c r="W15" s="113"/>
      <c r="X15" s="113"/>
      <c r="Y15" s="113"/>
      <c r="Z15" s="113"/>
      <c r="AA15" s="113"/>
      <c r="AB15" s="113"/>
      <c r="AC15" s="132">
        <v>18</v>
      </c>
      <c r="AD15" s="132"/>
      <c r="AE15" s="132">
        <f t="shared" si="0"/>
        <v>18</v>
      </c>
      <c r="AF15" s="88">
        <v>30</v>
      </c>
      <c r="AG15" s="311">
        <f t="shared" si="1"/>
        <v>0.6</v>
      </c>
      <c r="AI15" s="241">
        <f>OVERALL!A11</f>
        <v>8</v>
      </c>
      <c r="AJ15" s="247">
        <f>OVERALL!B11</f>
        <v>2301243</v>
      </c>
      <c r="AK15" s="243" t="str">
        <f>OVERALL!C11</f>
        <v>Pardeep Singh</v>
      </c>
      <c r="AL15" s="244">
        <f t="shared" si="2"/>
        <v>30</v>
      </c>
      <c r="AM15" s="244">
        <f t="shared" si="3"/>
        <v>22</v>
      </c>
      <c r="AN15" s="245">
        <f t="shared" si="4"/>
        <v>73.333333333333329</v>
      </c>
      <c r="AO15" s="107" t="str">
        <f t="shared" si="5"/>
        <v>0</v>
      </c>
      <c r="AP15" s="227">
        <v>4</v>
      </c>
      <c r="AQ15" s="246">
        <v>4</v>
      </c>
      <c r="AR15" s="245">
        <f t="shared" si="7"/>
        <v>6.3</v>
      </c>
      <c r="AS15" s="245">
        <f t="shared" si="8"/>
        <v>14</v>
      </c>
    </row>
    <row r="16" spans="1:51" ht="15.6">
      <c r="A16" s="105">
        <f>OVERALL!A15</f>
        <v>12</v>
      </c>
      <c r="B16" s="105">
        <f>OVERALL!B15</f>
        <v>2301248</v>
      </c>
      <c r="C16" s="106" t="str">
        <f>OVERALL!C15</f>
        <v>Priyam Puri</v>
      </c>
      <c r="D16" s="113" t="s">
        <v>123</v>
      </c>
      <c r="E16" s="113" t="s">
        <v>123</v>
      </c>
      <c r="F16" s="113" t="s">
        <v>123</v>
      </c>
      <c r="G16" s="113" t="s">
        <v>123</v>
      </c>
      <c r="H16" s="113" t="s">
        <v>123</v>
      </c>
      <c r="I16" s="113" t="s">
        <v>123</v>
      </c>
      <c r="J16" s="113" t="s">
        <v>123</v>
      </c>
      <c r="K16" s="113" t="s">
        <v>123</v>
      </c>
      <c r="L16" s="113" t="s">
        <v>123</v>
      </c>
      <c r="M16" s="113"/>
      <c r="N16" s="113"/>
      <c r="O16" s="156"/>
      <c r="P16" s="186"/>
      <c r="Q16" s="132"/>
      <c r="R16" s="113"/>
      <c r="S16" s="113"/>
      <c r="T16" s="156"/>
      <c r="U16" s="156"/>
      <c r="V16" s="113"/>
      <c r="W16" s="113"/>
      <c r="X16" s="113"/>
      <c r="Y16" s="113"/>
      <c r="Z16" s="113"/>
      <c r="AA16" s="113"/>
      <c r="AB16" s="113"/>
      <c r="AC16" s="132">
        <v>0</v>
      </c>
      <c r="AD16" s="132"/>
      <c r="AE16" s="132">
        <f t="shared" si="0"/>
        <v>0</v>
      </c>
      <c r="AF16" s="88">
        <v>30</v>
      </c>
      <c r="AG16" s="311">
        <f t="shared" si="1"/>
        <v>0</v>
      </c>
      <c r="AI16" s="241">
        <f>OVERALL!A12</f>
        <v>9</v>
      </c>
      <c r="AJ16" s="247">
        <f>OVERALL!B12</f>
        <v>2301244</v>
      </c>
      <c r="AK16" s="243" t="str">
        <f>OVERALL!C12</f>
        <v>Parveen Mandal</v>
      </c>
      <c r="AL16" s="244">
        <f t="shared" si="2"/>
        <v>30</v>
      </c>
      <c r="AM16" s="244">
        <f t="shared" si="3"/>
        <v>0</v>
      </c>
      <c r="AN16" s="245">
        <f t="shared" si="4"/>
        <v>0</v>
      </c>
      <c r="AO16" s="107" t="str">
        <f t="shared" si="5"/>
        <v>0</v>
      </c>
      <c r="AP16" s="227">
        <v>0</v>
      </c>
      <c r="AQ16" s="312">
        <v>0</v>
      </c>
      <c r="AR16" s="245">
        <f t="shared" si="7"/>
        <v>0</v>
      </c>
      <c r="AS16" s="245">
        <v>2</v>
      </c>
    </row>
    <row r="17" spans="1:45" ht="15.6">
      <c r="A17" s="105">
        <f>OVERALL!A16</f>
        <v>13</v>
      </c>
      <c r="B17" s="105">
        <f>OVERALL!B16</f>
        <v>2301249</v>
      </c>
      <c r="C17" s="106" t="str">
        <f>OVERALL!C16</f>
        <v>Rahul Sharma</v>
      </c>
      <c r="D17" s="113" t="s">
        <v>123</v>
      </c>
      <c r="E17" s="113" t="s">
        <v>123</v>
      </c>
      <c r="F17" s="113" t="s">
        <v>123</v>
      </c>
      <c r="G17" s="113" t="s">
        <v>123</v>
      </c>
      <c r="H17" s="113" t="s">
        <v>123</v>
      </c>
      <c r="I17" s="113" t="s">
        <v>123</v>
      </c>
      <c r="J17" s="113" t="s">
        <v>123</v>
      </c>
      <c r="K17" s="113" t="s">
        <v>123</v>
      </c>
      <c r="L17" s="113" t="s">
        <v>123</v>
      </c>
      <c r="M17" s="113"/>
      <c r="N17" s="113"/>
      <c r="O17" s="156"/>
      <c r="P17" s="186"/>
      <c r="Q17" s="132"/>
      <c r="R17" s="113"/>
      <c r="S17" s="113"/>
      <c r="T17" s="156"/>
      <c r="U17" s="156"/>
      <c r="V17" s="113"/>
      <c r="W17" s="113"/>
      <c r="X17" s="113"/>
      <c r="Y17" s="113"/>
      <c r="Z17" s="113"/>
      <c r="AA17" s="113"/>
      <c r="AB17" s="113"/>
      <c r="AC17" s="132">
        <v>14</v>
      </c>
      <c r="AD17" s="132">
        <v>2</v>
      </c>
      <c r="AE17" s="132">
        <f t="shared" si="0"/>
        <v>16</v>
      </c>
      <c r="AF17" s="88">
        <v>30</v>
      </c>
      <c r="AG17" s="311">
        <f t="shared" si="1"/>
        <v>0.53333333333333333</v>
      </c>
      <c r="AI17" s="241">
        <f>OVERALL!A13</f>
        <v>10</v>
      </c>
      <c r="AJ17" s="247">
        <f>OVERALL!B13</f>
        <v>2301245</v>
      </c>
      <c r="AK17" s="243" t="str">
        <f>OVERALL!C13</f>
        <v>Payal</v>
      </c>
      <c r="AL17" s="244">
        <f t="shared" si="2"/>
        <v>30</v>
      </c>
      <c r="AM17" s="244">
        <f t="shared" si="3"/>
        <v>28</v>
      </c>
      <c r="AN17" s="245">
        <f t="shared" si="4"/>
        <v>93.333333333333329</v>
      </c>
      <c r="AO17" s="107" t="str">
        <f t="shared" si="5"/>
        <v>5</v>
      </c>
      <c r="AP17" s="227">
        <v>6</v>
      </c>
      <c r="AQ17" s="246">
        <v>6</v>
      </c>
      <c r="AR17" s="245">
        <f t="shared" si="7"/>
        <v>9</v>
      </c>
      <c r="AS17" s="245">
        <f t="shared" ref="AS17:AS18" si="9">ROUND(AO17+AP17+AQ17+AR17,0)</f>
        <v>26</v>
      </c>
    </row>
    <row r="18" spans="1:45" ht="25.5" customHeight="1">
      <c r="A18" s="105">
        <f>OVERALL!A17</f>
        <v>14</v>
      </c>
      <c r="B18" s="105">
        <f>OVERALL!B17</f>
        <v>2301250</v>
      </c>
      <c r="C18" s="106" t="str">
        <f>OVERALL!C17</f>
        <v>Rahulpreet Singh Khinda</v>
      </c>
      <c r="D18" s="113" t="s">
        <v>123</v>
      </c>
      <c r="E18" s="113" t="s">
        <v>123</v>
      </c>
      <c r="F18" s="113" t="s">
        <v>123</v>
      </c>
      <c r="G18" s="113" t="s">
        <v>123</v>
      </c>
      <c r="H18" s="113" t="s">
        <v>123</v>
      </c>
      <c r="I18" s="113" t="s">
        <v>123</v>
      </c>
      <c r="J18" s="113" t="s">
        <v>123</v>
      </c>
      <c r="K18" s="113" t="s">
        <v>123</v>
      </c>
      <c r="L18" s="113" t="s">
        <v>123</v>
      </c>
      <c r="M18" s="113"/>
      <c r="N18" s="113"/>
      <c r="O18" s="156"/>
      <c r="P18" s="186"/>
      <c r="Q18" s="132"/>
      <c r="R18" s="113"/>
      <c r="S18" s="113"/>
      <c r="T18" s="156"/>
      <c r="U18" s="156"/>
      <c r="V18" s="113"/>
      <c r="W18" s="113"/>
      <c r="X18" s="113"/>
      <c r="Y18" s="113"/>
      <c r="Z18" s="113"/>
      <c r="AA18" s="113"/>
      <c r="AB18" s="113"/>
      <c r="AC18" s="132">
        <v>18</v>
      </c>
      <c r="AD18" s="132"/>
      <c r="AE18" s="132">
        <f t="shared" si="0"/>
        <v>18</v>
      </c>
      <c r="AF18" s="88">
        <v>30</v>
      </c>
      <c r="AG18" s="311">
        <f t="shared" si="1"/>
        <v>0.6</v>
      </c>
      <c r="AI18" s="241">
        <f>OVERALL!A14</f>
        <v>11</v>
      </c>
      <c r="AJ18" s="247">
        <f>OVERALL!B14</f>
        <v>2301247</v>
      </c>
      <c r="AK18" s="243" t="str">
        <f>OVERALL!C14</f>
        <v>Priya</v>
      </c>
      <c r="AL18" s="244">
        <f t="shared" si="2"/>
        <v>30</v>
      </c>
      <c r="AM18" s="244">
        <f t="shared" si="3"/>
        <v>18</v>
      </c>
      <c r="AN18" s="245">
        <f t="shared" si="4"/>
        <v>60</v>
      </c>
      <c r="AO18" s="107" t="str">
        <f t="shared" si="5"/>
        <v>0</v>
      </c>
      <c r="AP18" s="227">
        <v>5</v>
      </c>
      <c r="AQ18" s="246">
        <v>5</v>
      </c>
      <c r="AR18" s="245">
        <f t="shared" si="7"/>
        <v>7.8</v>
      </c>
      <c r="AS18" s="245">
        <f t="shared" si="9"/>
        <v>18</v>
      </c>
    </row>
    <row r="19" spans="1:45" ht="15.6">
      <c r="A19" s="105">
        <f>OVERALL!A18</f>
        <v>15</v>
      </c>
      <c r="B19" s="105">
        <f>OVERALL!B18</f>
        <v>2301251</v>
      </c>
      <c r="C19" s="106" t="str">
        <f>OVERALL!C18</f>
        <v>Raj Kumar</v>
      </c>
      <c r="D19" s="113" t="s">
        <v>123</v>
      </c>
      <c r="E19" s="113" t="s">
        <v>123</v>
      </c>
      <c r="F19" s="113" t="s">
        <v>123</v>
      </c>
      <c r="G19" s="113" t="s">
        <v>123</v>
      </c>
      <c r="H19" s="113" t="s">
        <v>123</v>
      </c>
      <c r="I19" s="113" t="s">
        <v>123</v>
      </c>
      <c r="J19" s="113" t="s">
        <v>123</v>
      </c>
      <c r="K19" s="113" t="s">
        <v>123</v>
      </c>
      <c r="L19" s="113" t="s">
        <v>123</v>
      </c>
      <c r="M19" s="113"/>
      <c r="N19" s="113"/>
      <c r="O19" s="156"/>
      <c r="P19" s="186"/>
      <c r="Q19" s="132"/>
      <c r="R19" s="113"/>
      <c r="S19" s="113"/>
      <c r="T19" s="156"/>
      <c r="U19" s="156"/>
      <c r="V19" s="113"/>
      <c r="W19" s="113"/>
      <c r="X19" s="113"/>
      <c r="Y19" s="113"/>
      <c r="Z19" s="113"/>
      <c r="AA19" s="113"/>
      <c r="AB19" s="113"/>
      <c r="AC19" s="132">
        <v>22</v>
      </c>
      <c r="AD19" s="132"/>
      <c r="AE19" s="132">
        <f t="shared" si="0"/>
        <v>22</v>
      </c>
      <c r="AF19" s="88">
        <v>30</v>
      </c>
      <c r="AG19" s="311">
        <f t="shared" si="1"/>
        <v>0.73333333333333328</v>
      </c>
      <c r="AI19" s="241">
        <f>OVERALL!A15</f>
        <v>12</v>
      </c>
      <c r="AJ19" s="247">
        <f>OVERALL!B15</f>
        <v>2301248</v>
      </c>
      <c r="AK19" s="243" t="str">
        <f>OVERALL!C15</f>
        <v>Priyam Puri</v>
      </c>
      <c r="AL19" s="244">
        <f t="shared" si="2"/>
        <v>30</v>
      </c>
      <c r="AM19" s="244">
        <f t="shared" si="3"/>
        <v>0</v>
      </c>
      <c r="AN19" s="245">
        <f t="shared" si="4"/>
        <v>0</v>
      </c>
      <c r="AO19" s="107" t="str">
        <f t="shared" si="5"/>
        <v>0</v>
      </c>
      <c r="AP19" s="227">
        <v>0</v>
      </c>
      <c r="AQ19" s="312">
        <v>0</v>
      </c>
      <c r="AR19" s="245">
        <f t="shared" si="7"/>
        <v>0</v>
      </c>
      <c r="AS19" s="245">
        <v>2</v>
      </c>
    </row>
    <row r="20" spans="1:45" ht="15.6">
      <c r="A20" s="105">
        <f>OVERALL!A19</f>
        <v>16</v>
      </c>
      <c r="B20" s="105">
        <f>OVERALL!B19</f>
        <v>2301252</v>
      </c>
      <c r="C20" s="106" t="str">
        <f>OVERALL!C19</f>
        <v>Rajan Sharma</v>
      </c>
      <c r="D20" s="113" t="s">
        <v>124</v>
      </c>
      <c r="E20" s="113" t="s">
        <v>123</v>
      </c>
      <c r="F20" s="113" t="s">
        <v>123</v>
      </c>
      <c r="G20" s="113" t="s">
        <v>123</v>
      </c>
      <c r="H20" s="113" t="s">
        <v>123</v>
      </c>
      <c r="I20" s="113" t="s">
        <v>123</v>
      </c>
      <c r="J20" s="113" t="s">
        <v>123</v>
      </c>
      <c r="K20" s="113" t="s">
        <v>123</v>
      </c>
      <c r="L20" s="113" t="s">
        <v>123</v>
      </c>
      <c r="M20" s="113"/>
      <c r="N20" s="113"/>
      <c r="O20" s="156"/>
      <c r="P20" s="186"/>
      <c r="Q20" s="132"/>
      <c r="R20" s="113"/>
      <c r="S20" s="113"/>
      <c r="T20" s="156"/>
      <c r="U20" s="156"/>
      <c r="V20" s="113"/>
      <c r="W20" s="113"/>
      <c r="X20" s="113"/>
      <c r="Y20" s="113"/>
      <c r="Z20" s="113"/>
      <c r="AA20" s="113"/>
      <c r="AB20" s="113"/>
      <c r="AC20" s="132">
        <v>26</v>
      </c>
      <c r="AD20" s="132"/>
      <c r="AE20" s="132">
        <f t="shared" si="0"/>
        <v>26</v>
      </c>
      <c r="AF20" s="88">
        <v>30</v>
      </c>
      <c r="AG20" s="311">
        <f t="shared" si="1"/>
        <v>0.8666666666666667</v>
      </c>
      <c r="AI20" s="241">
        <f>OVERALL!A16</f>
        <v>13</v>
      </c>
      <c r="AJ20" s="247">
        <f>OVERALL!B16</f>
        <v>2301249</v>
      </c>
      <c r="AK20" s="243" t="str">
        <f>OVERALL!C16</f>
        <v>Rahul Sharma</v>
      </c>
      <c r="AL20" s="244">
        <f t="shared" si="2"/>
        <v>30</v>
      </c>
      <c r="AM20" s="244">
        <f t="shared" si="3"/>
        <v>16</v>
      </c>
      <c r="AN20" s="245">
        <f t="shared" si="4"/>
        <v>53.333333333333336</v>
      </c>
      <c r="AO20" s="107" t="str">
        <f t="shared" si="5"/>
        <v>0</v>
      </c>
      <c r="AP20" s="227">
        <v>2</v>
      </c>
      <c r="AQ20" s="246">
        <v>6</v>
      </c>
      <c r="AR20" s="245">
        <v>7</v>
      </c>
      <c r="AS20" s="245">
        <f t="shared" ref="AS20:AS24" si="10">ROUND(AO20+AP20+AQ20+AR20,0)</f>
        <v>15</v>
      </c>
    </row>
    <row r="21" spans="1:45" ht="15.75" customHeight="1">
      <c r="A21" s="105">
        <f>OVERALL!A20</f>
        <v>17</v>
      </c>
      <c r="B21" s="105">
        <f>OVERALL!B20</f>
        <v>2301253</v>
      </c>
      <c r="C21" s="106" t="str">
        <f>OVERALL!C20</f>
        <v>Rajwinder Kaur</v>
      </c>
      <c r="D21" s="113" t="s">
        <v>124</v>
      </c>
      <c r="E21" s="113" t="s">
        <v>123</v>
      </c>
      <c r="F21" s="113" t="s">
        <v>123</v>
      </c>
      <c r="G21" s="113" t="s">
        <v>123</v>
      </c>
      <c r="H21" s="113" t="s">
        <v>123</v>
      </c>
      <c r="I21" s="113" t="s">
        <v>123</v>
      </c>
      <c r="J21" s="113" t="s">
        <v>123</v>
      </c>
      <c r="K21" s="113" t="s">
        <v>123</v>
      </c>
      <c r="L21" s="113" t="s">
        <v>123</v>
      </c>
      <c r="M21" s="113"/>
      <c r="N21" s="113"/>
      <c r="O21" s="156"/>
      <c r="P21" s="186"/>
      <c r="Q21" s="132"/>
      <c r="R21" s="113"/>
      <c r="S21" s="113"/>
      <c r="T21" s="156"/>
      <c r="U21" s="156"/>
      <c r="V21" s="113"/>
      <c r="W21" s="113"/>
      <c r="X21" s="113"/>
      <c r="Y21" s="113"/>
      <c r="Z21" s="113"/>
      <c r="AA21" s="113"/>
      <c r="AB21" s="113"/>
      <c r="AC21" s="132">
        <v>22</v>
      </c>
      <c r="AD21" s="132"/>
      <c r="AE21" s="132">
        <f t="shared" si="0"/>
        <v>22</v>
      </c>
      <c r="AF21" s="88">
        <v>30</v>
      </c>
      <c r="AG21" s="311">
        <f t="shared" si="1"/>
        <v>0.73333333333333328</v>
      </c>
      <c r="AI21" s="241">
        <f>OVERALL!A17</f>
        <v>14</v>
      </c>
      <c r="AJ21" s="247">
        <f>OVERALL!B17</f>
        <v>2301250</v>
      </c>
      <c r="AK21" s="243" t="str">
        <f>OVERALL!C17</f>
        <v>Rahulpreet Singh Khinda</v>
      </c>
      <c r="AL21" s="244">
        <f t="shared" si="2"/>
        <v>30</v>
      </c>
      <c r="AM21" s="244">
        <f t="shared" si="3"/>
        <v>18</v>
      </c>
      <c r="AN21" s="245">
        <f t="shared" si="4"/>
        <v>60</v>
      </c>
      <c r="AO21" s="107" t="str">
        <f t="shared" si="5"/>
        <v>0</v>
      </c>
      <c r="AP21" s="227">
        <v>5</v>
      </c>
      <c r="AQ21" s="246">
        <v>5</v>
      </c>
      <c r="AR21" s="245">
        <f t="shared" ref="AR21:AR28" si="11">AVERAGE(D88:AB88)</f>
        <v>7.5</v>
      </c>
      <c r="AS21" s="245">
        <f t="shared" si="10"/>
        <v>18</v>
      </c>
    </row>
    <row r="22" spans="1:45" ht="15.75" customHeight="1">
      <c r="A22" s="105">
        <f>OVERALL!A21</f>
        <v>18</v>
      </c>
      <c r="B22" s="105">
        <f>OVERALL!B21</f>
        <v>2301254</v>
      </c>
      <c r="C22" s="106" t="str">
        <f>OVERALL!C21</f>
        <v>RANJIT SHAH KANU</v>
      </c>
      <c r="D22" s="113" t="s">
        <v>123</v>
      </c>
      <c r="E22" s="113" t="s">
        <v>123</v>
      </c>
      <c r="F22" s="113" t="s">
        <v>123</v>
      </c>
      <c r="G22" s="113" t="s">
        <v>123</v>
      </c>
      <c r="H22" s="113" t="s">
        <v>123</v>
      </c>
      <c r="I22" s="113" t="s">
        <v>123</v>
      </c>
      <c r="J22" s="113" t="s">
        <v>123</v>
      </c>
      <c r="K22" s="113" t="s">
        <v>123</v>
      </c>
      <c r="L22" s="113" t="s">
        <v>123</v>
      </c>
      <c r="M22" s="113"/>
      <c r="N22" s="113"/>
      <c r="O22" s="156"/>
      <c r="P22" s="186"/>
      <c r="Q22" s="132"/>
      <c r="R22" s="113"/>
      <c r="S22" s="113"/>
      <c r="T22" s="156"/>
      <c r="U22" s="156"/>
      <c r="V22" s="113"/>
      <c r="W22" s="113"/>
      <c r="X22" s="113"/>
      <c r="Y22" s="113"/>
      <c r="Z22" s="113"/>
      <c r="AA22" s="113"/>
      <c r="AB22" s="113"/>
      <c r="AC22" s="132">
        <v>0</v>
      </c>
      <c r="AD22" s="132"/>
      <c r="AE22" s="132">
        <f t="shared" si="0"/>
        <v>0</v>
      </c>
      <c r="AF22" s="88">
        <v>30</v>
      </c>
      <c r="AG22" s="311">
        <f t="shared" si="1"/>
        <v>0</v>
      </c>
      <c r="AI22" s="241">
        <f>OVERALL!A18</f>
        <v>15</v>
      </c>
      <c r="AJ22" s="247">
        <f>OVERALL!B18</f>
        <v>2301251</v>
      </c>
      <c r="AK22" s="243" t="str">
        <f>OVERALL!C18</f>
        <v>Raj Kumar</v>
      </c>
      <c r="AL22" s="244">
        <f t="shared" si="2"/>
        <v>30</v>
      </c>
      <c r="AM22" s="244">
        <f t="shared" si="3"/>
        <v>22</v>
      </c>
      <c r="AN22" s="245">
        <f t="shared" si="4"/>
        <v>73.333333333333329</v>
      </c>
      <c r="AO22" s="107" t="str">
        <f t="shared" si="5"/>
        <v>0</v>
      </c>
      <c r="AP22" s="227">
        <v>3</v>
      </c>
      <c r="AQ22" s="246">
        <v>5</v>
      </c>
      <c r="AR22" s="245">
        <f t="shared" si="11"/>
        <v>4.2</v>
      </c>
      <c r="AS22" s="245">
        <f t="shared" si="10"/>
        <v>12</v>
      </c>
    </row>
    <row r="23" spans="1:45" ht="15.75" customHeight="1">
      <c r="A23" s="105">
        <f>OVERALL!A22</f>
        <v>19</v>
      </c>
      <c r="B23" s="105">
        <f>OVERALL!B22</f>
        <v>2301255</v>
      </c>
      <c r="C23" s="106" t="str">
        <f>OVERALL!C22</f>
        <v>Ravi Bhushan Kumar</v>
      </c>
      <c r="D23" s="113" t="s">
        <v>123</v>
      </c>
      <c r="E23" s="113" t="s">
        <v>123</v>
      </c>
      <c r="F23" s="113" t="s">
        <v>123</v>
      </c>
      <c r="G23" s="113" t="s">
        <v>123</v>
      </c>
      <c r="H23" s="113" t="s">
        <v>123</v>
      </c>
      <c r="I23" s="113" t="s">
        <v>123</v>
      </c>
      <c r="J23" s="113" t="s">
        <v>123</v>
      </c>
      <c r="K23" s="113" t="s">
        <v>123</v>
      </c>
      <c r="L23" s="113" t="s">
        <v>123</v>
      </c>
      <c r="M23" s="113"/>
      <c r="N23" s="113"/>
      <c r="O23" s="156"/>
      <c r="P23" s="186"/>
      <c r="Q23" s="132"/>
      <c r="R23" s="113"/>
      <c r="S23" s="113"/>
      <c r="T23" s="156"/>
      <c r="U23" s="156"/>
      <c r="V23" s="113"/>
      <c r="W23" s="113"/>
      <c r="X23" s="113"/>
      <c r="Y23" s="113"/>
      <c r="Z23" s="113"/>
      <c r="AA23" s="113"/>
      <c r="AB23" s="113"/>
      <c r="AC23" s="132">
        <v>26</v>
      </c>
      <c r="AD23" s="132"/>
      <c r="AE23" s="132">
        <f t="shared" si="0"/>
        <v>26</v>
      </c>
      <c r="AF23" s="88">
        <v>30</v>
      </c>
      <c r="AG23" s="311">
        <f t="shared" si="1"/>
        <v>0.8666666666666667</v>
      </c>
      <c r="AI23" s="241">
        <f>OVERALL!A19</f>
        <v>16</v>
      </c>
      <c r="AJ23" s="247">
        <f>OVERALL!B19</f>
        <v>2301252</v>
      </c>
      <c r="AK23" s="243" t="str">
        <f>OVERALL!C19</f>
        <v>Rajan Sharma</v>
      </c>
      <c r="AL23" s="244">
        <f t="shared" si="2"/>
        <v>30</v>
      </c>
      <c r="AM23" s="244">
        <f t="shared" si="3"/>
        <v>26</v>
      </c>
      <c r="AN23" s="245">
        <f t="shared" si="4"/>
        <v>86.666666666666671</v>
      </c>
      <c r="AO23" s="107" t="str">
        <f t="shared" si="5"/>
        <v>4</v>
      </c>
      <c r="AP23" s="227">
        <v>4</v>
      </c>
      <c r="AQ23" s="246">
        <v>6</v>
      </c>
      <c r="AR23" s="245">
        <f t="shared" si="11"/>
        <v>7.8</v>
      </c>
      <c r="AS23" s="245">
        <f t="shared" si="10"/>
        <v>22</v>
      </c>
    </row>
    <row r="24" spans="1:45" ht="15.75" customHeight="1">
      <c r="A24" s="105">
        <f>OVERALL!A23</f>
        <v>20</v>
      </c>
      <c r="B24" s="105">
        <f>OVERALL!B23</f>
        <v>2301256</v>
      </c>
      <c r="C24" s="106" t="str">
        <f>OVERALL!C23</f>
        <v>Reshma</v>
      </c>
      <c r="D24" s="113" t="s">
        <v>123</v>
      </c>
      <c r="E24" s="113" t="s">
        <v>123</v>
      </c>
      <c r="F24" s="113" t="s">
        <v>123</v>
      </c>
      <c r="G24" s="113" t="s">
        <v>123</v>
      </c>
      <c r="H24" s="113" t="s">
        <v>123</v>
      </c>
      <c r="I24" s="113" t="s">
        <v>123</v>
      </c>
      <c r="J24" s="113" t="s">
        <v>123</v>
      </c>
      <c r="K24" s="113" t="s">
        <v>123</v>
      </c>
      <c r="L24" s="113" t="s">
        <v>123</v>
      </c>
      <c r="M24" s="113"/>
      <c r="N24" s="113"/>
      <c r="O24" s="156"/>
      <c r="P24" s="186"/>
      <c r="Q24" s="132"/>
      <c r="R24" s="113"/>
      <c r="S24" s="113"/>
      <c r="T24" s="156"/>
      <c r="U24" s="156"/>
      <c r="V24" s="113"/>
      <c r="W24" s="113"/>
      <c r="X24" s="113"/>
      <c r="Y24" s="113"/>
      <c r="Z24" s="113"/>
      <c r="AA24" s="113"/>
      <c r="AB24" s="113"/>
      <c r="AC24" s="132">
        <v>20</v>
      </c>
      <c r="AD24" s="132"/>
      <c r="AE24" s="132">
        <f t="shared" si="0"/>
        <v>20</v>
      </c>
      <c r="AF24" s="88">
        <v>30</v>
      </c>
      <c r="AG24" s="311">
        <f t="shared" si="1"/>
        <v>0.66666666666666663</v>
      </c>
      <c r="AI24" s="241">
        <f>OVERALL!A20</f>
        <v>17</v>
      </c>
      <c r="AJ24" s="247">
        <f>OVERALL!B20</f>
        <v>2301253</v>
      </c>
      <c r="AK24" s="243" t="str">
        <f>OVERALL!C20</f>
        <v>Rajwinder Kaur</v>
      </c>
      <c r="AL24" s="244">
        <f t="shared" si="2"/>
        <v>30</v>
      </c>
      <c r="AM24" s="244">
        <f t="shared" si="3"/>
        <v>22</v>
      </c>
      <c r="AN24" s="245">
        <f t="shared" si="4"/>
        <v>73.333333333333329</v>
      </c>
      <c r="AO24" s="107" t="str">
        <f t="shared" si="5"/>
        <v>0</v>
      </c>
      <c r="AP24" s="227">
        <v>6</v>
      </c>
      <c r="AQ24" s="246">
        <v>6</v>
      </c>
      <c r="AR24" s="245">
        <f t="shared" si="11"/>
        <v>8</v>
      </c>
      <c r="AS24" s="245">
        <f t="shared" si="10"/>
        <v>20</v>
      </c>
    </row>
    <row r="25" spans="1:45" ht="15.75" customHeight="1">
      <c r="A25" s="105">
        <f>OVERALL!A24</f>
        <v>21</v>
      </c>
      <c r="B25" s="105">
        <f>OVERALL!B24</f>
        <v>2301257</v>
      </c>
      <c r="C25" s="106" t="str">
        <f>OVERALL!C24</f>
        <v>Ritesh Kumar Choudhary</v>
      </c>
      <c r="D25" s="113" t="s">
        <v>123</v>
      </c>
      <c r="E25" s="113" t="s">
        <v>123</v>
      </c>
      <c r="F25" s="113" t="s">
        <v>123</v>
      </c>
      <c r="G25" s="113" t="s">
        <v>123</v>
      </c>
      <c r="H25" s="113" t="s">
        <v>123</v>
      </c>
      <c r="I25" s="113" t="s">
        <v>123</v>
      </c>
      <c r="J25" s="113" t="s">
        <v>123</v>
      </c>
      <c r="K25" s="113" t="s">
        <v>123</v>
      </c>
      <c r="L25" s="113" t="s">
        <v>123</v>
      </c>
      <c r="M25" s="113"/>
      <c r="N25" s="113"/>
      <c r="O25" s="156"/>
      <c r="P25" s="186"/>
      <c r="Q25" s="132"/>
      <c r="R25" s="113"/>
      <c r="S25" s="113"/>
      <c r="T25" s="156"/>
      <c r="U25" s="156"/>
      <c r="V25" s="113"/>
      <c r="W25" s="113"/>
      <c r="X25" s="113"/>
      <c r="Y25" s="113"/>
      <c r="Z25" s="113"/>
      <c r="AA25" s="113"/>
      <c r="AB25" s="113"/>
      <c r="AC25" s="132">
        <v>14</v>
      </c>
      <c r="AD25" s="132">
        <v>4</v>
      </c>
      <c r="AE25" s="132">
        <f t="shared" si="0"/>
        <v>18</v>
      </c>
      <c r="AF25" s="88">
        <v>30</v>
      </c>
      <c r="AG25" s="311">
        <f t="shared" si="1"/>
        <v>0.6</v>
      </c>
      <c r="AI25" s="241">
        <f>OVERALL!A21</f>
        <v>18</v>
      </c>
      <c r="AJ25" s="247">
        <f>OVERALL!B21</f>
        <v>2301254</v>
      </c>
      <c r="AK25" s="243" t="str">
        <f>OVERALL!C21</f>
        <v>RANJIT SHAH KANU</v>
      </c>
      <c r="AL25" s="244">
        <f t="shared" si="2"/>
        <v>30</v>
      </c>
      <c r="AM25" s="244">
        <f t="shared" si="3"/>
        <v>0</v>
      </c>
      <c r="AN25" s="245">
        <f t="shared" si="4"/>
        <v>0</v>
      </c>
      <c r="AO25" s="107" t="str">
        <f t="shared" si="5"/>
        <v>0</v>
      </c>
      <c r="AP25" s="227">
        <v>0</v>
      </c>
      <c r="AQ25" s="312">
        <v>0</v>
      </c>
      <c r="AR25" s="245">
        <f t="shared" si="11"/>
        <v>0</v>
      </c>
      <c r="AS25" s="245">
        <v>2</v>
      </c>
    </row>
    <row r="26" spans="1:45" ht="15.75" customHeight="1">
      <c r="A26" s="105">
        <f>OVERALL!A25</f>
        <v>22</v>
      </c>
      <c r="B26" s="105">
        <f>OVERALL!B25</f>
        <v>2301258</v>
      </c>
      <c r="C26" s="106" t="str">
        <f>OVERALL!C25</f>
        <v>Ritesh Thakur</v>
      </c>
      <c r="D26" s="113" t="s">
        <v>123</v>
      </c>
      <c r="E26" s="113" t="s">
        <v>123</v>
      </c>
      <c r="F26" s="113" t="s">
        <v>123</v>
      </c>
      <c r="G26" s="113" t="s">
        <v>123</v>
      </c>
      <c r="H26" s="113" t="s">
        <v>123</v>
      </c>
      <c r="I26" s="113" t="s">
        <v>123</v>
      </c>
      <c r="J26" s="113" t="s">
        <v>123</v>
      </c>
      <c r="K26" s="113" t="s">
        <v>123</v>
      </c>
      <c r="L26" s="113" t="s">
        <v>123</v>
      </c>
      <c r="M26" s="113"/>
      <c r="N26" s="113"/>
      <c r="O26" s="156"/>
      <c r="P26" s="186"/>
      <c r="Q26" s="132"/>
      <c r="R26" s="113"/>
      <c r="S26" s="113"/>
      <c r="T26" s="156"/>
      <c r="U26" s="156"/>
      <c r="V26" s="113"/>
      <c r="W26" s="113"/>
      <c r="X26" s="113"/>
      <c r="Y26" s="113"/>
      <c r="Z26" s="113"/>
      <c r="AA26" s="113"/>
      <c r="AB26" s="113"/>
      <c r="AC26" s="132">
        <v>10</v>
      </c>
      <c r="AD26" s="132"/>
      <c r="AE26" s="132">
        <f t="shared" si="0"/>
        <v>10</v>
      </c>
      <c r="AF26" s="88">
        <v>30</v>
      </c>
      <c r="AG26" s="311">
        <f t="shared" si="1"/>
        <v>0.33333333333333331</v>
      </c>
      <c r="AI26" s="241">
        <f>OVERALL!A22</f>
        <v>19</v>
      </c>
      <c r="AJ26" s="247">
        <f>OVERALL!B22</f>
        <v>2301255</v>
      </c>
      <c r="AK26" s="243" t="str">
        <f>OVERALL!C22</f>
        <v>Ravi Bhushan Kumar</v>
      </c>
      <c r="AL26" s="244">
        <f t="shared" si="2"/>
        <v>30</v>
      </c>
      <c r="AM26" s="244">
        <f t="shared" si="3"/>
        <v>26</v>
      </c>
      <c r="AN26" s="245">
        <f t="shared" si="4"/>
        <v>86.666666666666671</v>
      </c>
      <c r="AO26" s="107" t="str">
        <f t="shared" si="5"/>
        <v>4</v>
      </c>
      <c r="AP26" s="227">
        <v>7</v>
      </c>
      <c r="AQ26" s="246">
        <v>6</v>
      </c>
      <c r="AR26" s="245">
        <f t="shared" si="11"/>
        <v>9.3000000000000007</v>
      </c>
      <c r="AS26" s="245">
        <f t="shared" ref="AS26:AS41" si="12">ROUND(AO26+AP26+AQ26+AR26,0)</f>
        <v>26</v>
      </c>
    </row>
    <row r="27" spans="1:45" ht="15.75" customHeight="1">
      <c r="A27" s="105">
        <f>OVERALL!A26</f>
        <v>23</v>
      </c>
      <c r="B27" s="105">
        <f>OVERALL!B26</f>
        <v>2301259</v>
      </c>
      <c r="C27" s="106" t="str">
        <f>OVERALL!C26</f>
        <v>Riya Thakur</v>
      </c>
      <c r="D27" s="113" t="s">
        <v>124</v>
      </c>
      <c r="E27" s="113" t="s">
        <v>123</v>
      </c>
      <c r="F27" s="113" t="s">
        <v>123</v>
      </c>
      <c r="G27" s="113" t="s">
        <v>123</v>
      </c>
      <c r="H27" s="113" t="s">
        <v>123</v>
      </c>
      <c r="I27" s="113" t="s">
        <v>123</v>
      </c>
      <c r="J27" s="113" t="s">
        <v>123</v>
      </c>
      <c r="K27" s="113" t="s">
        <v>123</v>
      </c>
      <c r="L27" s="113" t="s">
        <v>123</v>
      </c>
      <c r="M27" s="113"/>
      <c r="N27" s="113"/>
      <c r="O27" s="156"/>
      <c r="P27" s="186"/>
      <c r="Q27" s="132"/>
      <c r="R27" s="113"/>
      <c r="S27" s="113"/>
      <c r="T27" s="156"/>
      <c r="U27" s="156"/>
      <c r="V27" s="113"/>
      <c r="W27" s="113"/>
      <c r="X27" s="113"/>
      <c r="Y27" s="113"/>
      <c r="Z27" s="113"/>
      <c r="AA27" s="113"/>
      <c r="AB27" s="113"/>
      <c r="AC27" s="132">
        <v>20</v>
      </c>
      <c r="AD27" s="132"/>
      <c r="AE27" s="132">
        <f t="shared" si="0"/>
        <v>20</v>
      </c>
      <c r="AF27" s="88">
        <v>30</v>
      </c>
      <c r="AG27" s="311">
        <f t="shared" si="1"/>
        <v>0.66666666666666663</v>
      </c>
      <c r="AI27" s="241">
        <f>OVERALL!A23</f>
        <v>20</v>
      </c>
      <c r="AJ27" s="247">
        <f>OVERALL!B23</f>
        <v>2301256</v>
      </c>
      <c r="AK27" s="243" t="str">
        <f>OVERALL!C23</f>
        <v>Reshma</v>
      </c>
      <c r="AL27" s="244">
        <f t="shared" si="2"/>
        <v>30</v>
      </c>
      <c r="AM27" s="244">
        <f t="shared" si="3"/>
        <v>20</v>
      </c>
      <c r="AN27" s="245">
        <f t="shared" si="4"/>
        <v>66.666666666666657</v>
      </c>
      <c r="AO27" s="107" t="str">
        <f t="shared" si="5"/>
        <v>0</v>
      </c>
      <c r="AP27" s="227">
        <v>5</v>
      </c>
      <c r="AQ27" s="246">
        <v>7</v>
      </c>
      <c r="AR27" s="245">
        <f t="shared" si="11"/>
        <v>7.4</v>
      </c>
      <c r="AS27" s="245">
        <f t="shared" si="12"/>
        <v>19</v>
      </c>
    </row>
    <row r="28" spans="1:45" ht="15.75" customHeight="1">
      <c r="A28" s="105">
        <f>OVERALL!A27</f>
        <v>24</v>
      </c>
      <c r="B28" s="105">
        <f>OVERALL!B27</f>
        <v>2301260</v>
      </c>
      <c r="C28" s="106" t="str">
        <f>OVERALL!C27</f>
        <v>Rounit Dhiman</v>
      </c>
      <c r="D28" s="113" t="s">
        <v>123</v>
      </c>
      <c r="E28" s="113" t="s">
        <v>123</v>
      </c>
      <c r="F28" s="113" t="s">
        <v>123</v>
      </c>
      <c r="G28" s="113" t="s">
        <v>123</v>
      </c>
      <c r="H28" s="113" t="s">
        <v>123</v>
      </c>
      <c r="I28" s="113" t="s">
        <v>123</v>
      </c>
      <c r="J28" s="113" t="s">
        <v>123</v>
      </c>
      <c r="K28" s="113" t="s">
        <v>123</v>
      </c>
      <c r="L28" s="113" t="s">
        <v>123</v>
      </c>
      <c r="M28" s="113"/>
      <c r="N28" s="113"/>
      <c r="O28" s="156"/>
      <c r="P28" s="186"/>
      <c r="Q28" s="132"/>
      <c r="R28" s="113"/>
      <c r="S28" s="113"/>
      <c r="T28" s="156"/>
      <c r="U28" s="156"/>
      <c r="V28" s="113"/>
      <c r="W28" s="113"/>
      <c r="X28" s="113"/>
      <c r="Y28" s="113"/>
      <c r="Z28" s="113"/>
      <c r="AA28" s="113"/>
      <c r="AB28" s="113"/>
      <c r="AC28" s="132">
        <v>22</v>
      </c>
      <c r="AD28" s="132"/>
      <c r="AE28" s="132">
        <f t="shared" si="0"/>
        <v>22</v>
      </c>
      <c r="AF28" s="88">
        <v>30</v>
      </c>
      <c r="AG28" s="311">
        <f t="shared" si="1"/>
        <v>0.73333333333333328</v>
      </c>
      <c r="AI28" s="241">
        <f>OVERALL!A24</f>
        <v>21</v>
      </c>
      <c r="AJ28" s="247">
        <f>OVERALL!B24</f>
        <v>2301257</v>
      </c>
      <c r="AK28" s="243" t="str">
        <f>OVERALL!C24</f>
        <v>Ritesh Kumar Choudhary</v>
      </c>
      <c r="AL28" s="244">
        <f t="shared" si="2"/>
        <v>30</v>
      </c>
      <c r="AM28" s="244">
        <f t="shared" si="3"/>
        <v>18</v>
      </c>
      <c r="AN28" s="245">
        <f t="shared" si="4"/>
        <v>60</v>
      </c>
      <c r="AO28" s="107" t="str">
        <f t="shared" si="5"/>
        <v>0</v>
      </c>
      <c r="AP28" s="227">
        <v>0</v>
      </c>
      <c r="AQ28" s="246">
        <v>6</v>
      </c>
      <c r="AR28" s="245">
        <f t="shared" si="11"/>
        <v>7</v>
      </c>
      <c r="AS28" s="245">
        <f t="shared" si="12"/>
        <v>13</v>
      </c>
    </row>
    <row r="29" spans="1:45" ht="15.75" customHeight="1">
      <c r="A29" s="105">
        <f>OVERALL!A28</f>
        <v>25</v>
      </c>
      <c r="B29" s="105">
        <f>OVERALL!B28</f>
        <v>2301261</v>
      </c>
      <c r="C29" s="106" t="str">
        <f>OVERALL!C28</f>
        <v>Rubby Kumari</v>
      </c>
      <c r="D29" s="113" t="s">
        <v>123</v>
      </c>
      <c r="E29" s="113" t="s">
        <v>123</v>
      </c>
      <c r="F29" s="113" t="s">
        <v>123</v>
      </c>
      <c r="G29" s="113" t="s">
        <v>123</v>
      </c>
      <c r="H29" s="113" t="s">
        <v>123</v>
      </c>
      <c r="I29" s="113" t="s">
        <v>123</v>
      </c>
      <c r="J29" s="113" t="s">
        <v>123</v>
      </c>
      <c r="K29" s="113" t="s">
        <v>123</v>
      </c>
      <c r="L29" s="113" t="s">
        <v>123</v>
      </c>
      <c r="M29" s="96"/>
      <c r="N29" s="96"/>
      <c r="O29" s="156"/>
      <c r="P29" s="186"/>
      <c r="Q29" s="132"/>
      <c r="R29" s="113"/>
      <c r="S29" s="113"/>
      <c r="T29" s="156"/>
      <c r="U29" s="156"/>
      <c r="V29" s="113"/>
      <c r="W29" s="113"/>
      <c r="X29" s="113"/>
      <c r="Y29" s="113"/>
      <c r="Z29" s="113"/>
      <c r="AA29" s="113"/>
      <c r="AB29" s="113"/>
      <c r="AC29" s="88">
        <v>14</v>
      </c>
      <c r="AD29" s="88"/>
      <c r="AE29" s="88">
        <f t="shared" si="0"/>
        <v>14</v>
      </c>
      <c r="AF29" s="88">
        <v>30</v>
      </c>
      <c r="AG29" s="311">
        <f t="shared" si="1"/>
        <v>0.46666666666666667</v>
      </c>
      <c r="AI29" s="241">
        <f>OVERALL!A25</f>
        <v>22</v>
      </c>
      <c r="AJ29" s="247">
        <f>OVERALL!B25</f>
        <v>2301258</v>
      </c>
      <c r="AK29" s="243" t="str">
        <f>OVERALL!C25</f>
        <v>Ritesh Thakur</v>
      </c>
      <c r="AL29" s="244">
        <f t="shared" si="2"/>
        <v>30</v>
      </c>
      <c r="AM29" s="244">
        <f t="shared" si="3"/>
        <v>10</v>
      </c>
      <c r="AN29" s="245">
        <f t="shared" si="4"/>
        <v>33.333333333333329</v>
      </c>
      <c r="AO29" s="107" t="str">
        <f t="shared" si="5"/>
        <v>0</v>
      </c>
      <c r="AP29" s="227">
        <v>3</v>
      </c>
      <c r="AQ29" s="312">
        <v>4</v>
      </c>
      <c r="AR29" s="245">
        <v>5</v>
      </c>
      <c r="AS29" s="245">
        <f t="shared" si="12"/>
        <v>12</v>
      </c>
    </row>
    <row r="30" spans="1:45" ht="15.75" customHeight="1">
      <c r="A30" s="105">
        <f>OVERALL!A29</f>
        <v>26</v>
      </c>
      <c r="B30" s="105">
        <f>OVERALL!B29</f>
        <v>2301262</v>
      </c>
      <c r="C30" s="106" t="str">
        <f>OVERALL!C29</f>
        <v>Sakshi Devi</v>
      </c>
      <c r="D30" s="113" t="s">
        <v>123</v>
      </c>
      <c r="E30" s="113" t="s">
        <v>123</v>
      </c>
      <c r="F30" s="113" t="s">
        <v>123</v>
      </c>
      <c r="G30" s="113" t="s">
        <v>123</v>
      </c>
      <c r="H30" s="113" t="s">
        <v>123</v>
      </c>
      <c r="I30" s="113" t="s">
        <v>123</v>
      </c>
      <c r="J30" s="113" t="s">
        <v>123</v>
      </c>
      <c r="K30" s="113" t="s">
        <v>123</v>
      </c>
      <c r="L30" s="113" t="s">
        <v>123</v>
      </c>
      <c r="M30" s="96"/>
      <c r="N30" s="96"/>
      <c r="O30" s="156"/>
      <c r="P30" s="186"/>
      <c r="Q30" s="132"/>
      <c r="R30" s="113"/>
      <c r="S30" s="113"/>
      <c r="T30" s="156"/>
      <c r="U30" s="156"/>
      <c r="V30" s="113"/>
      <c r="W30" s="113"/>
      <c r="X30" s="113"/>
      <c r="Y30" s="113"/>
      <c r="Z30" s="113"/>
      <c r="AA30" s="113"/>
      <c r="AB30" s="113"/>
      <c r="AC30" s="88">
        <v>22</v>
      </c>
      <c r="AD30" s="88"/>
      <c r="AE30" s="88">
        <f t="shared" si="0"/>
        <v>22</v>
      </c>
      <c r="AF30" s="88">
        <v>30</v>
      </c>
      <c r="AG30" s="311">
        <f t="shared" si="1"/>
        <v>0.73333333333333328</v>
      </c>
      <c r="AI30" s="241">
        <f>OVERALL!A26</f>
        <v>23</v>
      </c>
      <c r="AJ30" s="247">
        <f>OVERALL!B26</f>
        <v>2301259</v>
      </c>
      <c r="AK30" s="243" t="str">
        <f>OVERALL!C26</f>
        <v>Riya Thakur</v>
      </c>
      <c r="AL30" s="244">
        <f t="shared" si="2"/>
        <v>30</v>
      </c>
      <c r="AM30" s="244">
        <f t="shared" si="3"/>
        <v>20</v>
      </c>
      <c r="AN30" s="245">
        <f t="shared" si="4"/>
        <v>66.666666666666657</v>
      </c>
      <c r="AO30" s="107" t="str">
        <f t="shared" si="5"/>
        <v>0</v>
      </c>
      <c r="AP30" s="227">
        <v>5</v>
      </c>
      <c r="AQ30" s="246">
        <v>5</v>
      </c>
      <c r="AR30" s="245">
        <f t="shared" ref="AR30:AR31" si="13">AVERAGE(D97:AB97)</f>
        <v>6.7</v>
      </c>
      <c r="AS30" s="245">
        <f t="shared" si="12"/>
        <v>17</v>
      </c>
    </row>
    <row r="31" spans="1:45" ht="15.75" customHeight="1">
      <c r="A31" s="105">
        <f>OVERALL!A30</f>
        <v>27</v>
      </c>
      <c r="B31" s="105">
        <f>OVERALL!B30</f>
        <v>2301263</v>
      </c>
      <c r="C31" s="106" t="str">
        <f>OVERALL!C30</f>
        <v>Sanchi Sharma</v>
      </c>
      <c r="D31" s="113" t="s">
        <v>124</v>
      </c>
      <c r="E31" s="113" t="s">
        <v>123</v>
      </c>
      <c r="F31" s="113" t="s">
        <v>123</v>
      </c>
      <c r="G31" s="113" t="s">
        <v>123</v>
      </c>
      <c r="H31" s="113" t="s">
        <v>123</v>
      </c>
      <c r="I31" s="113" t="s">
        <v>123</v>
      </c>
      <c r="J31" s="113" t="s">
        <v>123</v>
      </c>
      <c r="K31" s="113" t="s">
        <v>123</v>
      </c>
      <c r="L31" s="113" t="s">
        <v>123</v>
      </c>
      <c r="M31" s="113"/>
      <c r="N31" s="113"/>
      <c r="O31" s="156"/>
      <c r="P31" s="186"/>
      <c r="Q31" s="132"/>
      <c r="R31" s="113"/>
      <c r="S31" s="113"/>
      <c r="T31" s="156"/>
      <c r="U31" s="156"/>
      <c r="V31" s="113"/>
      <c r="W31" s="113"/>
      <c r="X31" s="113"/>
      <c r="Y31" s="113"/>
      <c r="Z31" s="113"/>
      <c r="AA31" s="113"/>
      <c r="AB31" s="113"/>
      <c r="AC31" s="132">
        <v>28</v>
      </c>
      <c r="AD31" s="132"/>
      <c r="AE31" s="88">
        <f t="shared" si="0"/>
        <v>28</v>
      </c>
      <c r="AF31" s="88">
        <v>30</v>
      </c>
      <c r="AG31" s="311">
        <f t="shared" si="1"/>
        <v>0.93333333333333335</v>
      </c>
      <c r="AI31" s="241">
        <f>OVERALL!A27</f>
        <v>24</v>
      </c>
      <c r="AJ31" s="247">
        <f>OVERALL!B27</f>
        <v>2301260</v>
      </c>
      <c r="AK31" s="243" t="str">
        <f>OVERALL!C27</f>
        <v>Rounit Dhiman</v>
      </c>
      <c r="AL31" s="244">
        <f t="shared" si="2"/>
        <v>30</v>
      </c>
      <c r="AM31" s="244">
        <f t="shared" si="3"/>
        <v>22</v>
      </c>
      <c r="AN31" s="245">
        <f t="shared" si="4"/>
        <v>73.333333333333329</v>
      </c>
      <c r="AO31" s="107" t="str">
        <f t="shared" si="5"/>
        <v>0</v>
      </c>
      <c r="AP31" s="227">
        <v>3</v>
      </c>
      <c r="AQ31" s="246">
        <v>5</v>
      </c>
      <c r="AR31" s="245">
        <f t="shared" si="13"/>
        <v>7.6</v>
      </c>
      <c r="AS31" s="245">
        <f t="shared" si="12"/>
        <v>16</v>
      </c>
    </row>
    <row r="32" spans="1:45" ht="15.75" customHeight="1">
      <c r="A32" s="105">
        <f>OVERALL!A31</f>
        <v>28</v>
      </c>
      <c r="B32" s="105">
        <f>OVERALL!B31</f>
        <v>2301264</v>
      </c>
      <c r="C32" s="106" t="str">
        <f>OVERALL!C31</f>
        <v>Sarbjit Singh</v>
      </c>
      <c r="D32" s="113" t="s">
        <v>123</v>
      </c>
      <c r="E32" s="113" t="s">
        <v>123</v>
      </c>
      <c r="F32" s="113" t="s">
        <v>123</v>
      </c>
      <c r="G32" s="113" t="s">
        <v>123</v>
      </c>
      <c r="H32" s="113" t="s">
        <v>123</v>
      </c>
      <c r="I32" s="113" t="s">
        <v>123</v>
      </c>
      <c r="J32" s="113" t="s">
        <v>123</v>
      </c>
      <c r="K32" s="113" t="s">
        <v>123</v>
      </c>
      <c r="L32" s="113" t="s">
        <v>123</v>
      </c>
      <c r="M32" s="113"/>
      <c r="N32" s="113"/>
      <c r="O32" s="156"/>
      <c r="P32" s="186"/>
      <c r="Q32" s="132"/>
      <c r="R32" s="113"/>
      <c r="S32" s="113"/>
      <c r="T32" s="156"/>
      <c r="U32" s="156"/>
      <c r="V32" s="113"/>
      <c r="W32" s="113"/>
      <c r="X32" s="113"/>
      <c r="Y32" s="113"/>
      <c r="Z32" s="113"/>
      <c r="AA32" s="113"/>
      <c r="AB32" s="113"/>
      <c r="AC32" s="132">
        <v>10</v>
      </c>
      <c r="AD32" s="132"/>
      <c r="AE32" s="88">
        <f t="shared" si="0"/>
        <v>10</v>
      </c>
      <c r="AF32" s="88">
        <v>30</v>
      </c>
      <c r="AG32" s="311">
        <f t="shared" si="1"/>
        <v>0.33333333333333331</v>
      </c>
      <c r="AI32" s="241">
        <f>OVERALL!A28</f>
        <v>25</v>
      </c>
      <c r="AJ32" s="247">
        <f>OVERALL!B28</f>
        <v>2301261</v>
      </c>
      <c r="AK32" s="243" t="str">
        <f>OVERALL!C28</f>
        <v>Rubby Kumari</v>
      </c>
      <c r="AL32" s="244">
        <f t="shared" si="2"/>
        <v>30</v>
      </c>
      <c r="AM32" s="244">
        <f t="shared" si="3"/>
        <v>14</v>
      </c>
      <c r="AN32" s="245">
        <f t="shared" si="4"/>
        <v>46.666666666666664</v>
      </c>
      <c r="AO32" s="107" t="str">
        <f t="shared" si="5"/>
        <v>0</v>
      </c>
      <c r="AP32" s="227">
        <v>2</v>
      </c>
      <c r="AQ32" s="246">
        <v>5</v>
      </c>
      <c r="AR32" s="245">
        <v>5</v>
      </c>
      <c r="AS32" s="245">
        <f t="shared" si="12"/>
        <v>12</v>
      </c>
    </row>
    <row r="33" spans="1:45" ht="15.75" customHeight="1">
      <c r="A33" s="105">
        <f>OVERALL!A32</f>
        <v>29</v>
      </c>
      <c r="B33" s="105">
        <f>OVERALL!B32</f>
        <v>2301265</v>
      </c>
      <c r="C33" s="106" t="str">
        <f>OVERALL!C32</f>
        <v>Sarif Mayangmayum</v>
      </c>
      <c r="D33" s="113" t="s">
        <v>123</v>
      </c>
      <c r="E33" s="113" t="s">
        <v>123</v>
      </c>
      <c r="F33" s="113" t="s">
        <v>123</v>
      </c>
      <c r="G33" s="113" t="s">
        <v>123</v>
      </c>
      <c r="H33" s="113" t="s">
        <v>123</v>
      </c>
      <c r="I33" s="113" t="s">
        <v>123</v>
      </c>
      <c r="J33" s="113" t="s">
        <v>123</v>
      </c>
      <c r="K33" s="113" t="s">
        <v>123</v>
      </c>
      <c r="L33" s="113" t="s">
        <v>123</v>
      </c>
      <c r="M33" s="113"/>
      <c r="N33" s="113"/>
      <c r="O33" s="156"/>
      <c r="P33" s="186"/>
      <c r="Q33" s="132"/>
      <c r="R33" s="113"/>
      <c r="S33" s="113"/>
      <c r="T33" s="156"/>
      <c r="U33" s="156"/>
      <c r="V33" s="113"/>
      <c r="W33" s="113"/>
      <c r="X33" s="113"/>
      <c r="Y33" s="113"/>
      <c r="Z33" s="113"/>
      <c r="AA33" s="113"/>
      <c r="AB33" s="113"/>
      <c r="AC33" s="132">
        <v>22</v>
      </c>
      <c r="AD33" s="132">
        <v>4</v>
      </c>
      <c r="AE33" s="88">
        <f t="shared" si="0"/>
        <v>26</v>
      </c>
      <c r="AF33" s="88">
        <v>30</v>
      </c>
      <c r="AG33" s="311">
        <f t="shared" si="1"/>
        <v>0.8666666666666667</v>
      </c>
      <c r="AI33" s="241">
        <f>OVERALL!A29</f>
        <v>26</v>
      </c>
      <c r="AJ33" s="247">
        <f>OVERALL!B29</f>
        <v>2301262</v>
      </c>
      <c r="AK33" s="243" t="str">
        <f>OVERALL!C29</f>
        <v>Sakshi Devi</v>
      </c>
      <c r="AL33" s="244">
        <f t="shared" si="2"/>
        <v>30</v>
      </c>
      <c r="AM33" s="244">
        <f t="shared" si="3"/>
        <v>22</v>
      </c>
      <c r="AN33" s="245">
        <f t="shared" si="4"/>
        <v>73.333333333333329</v>
      </c>
      <c r="AO33" s="107" t="str">
        <f t="shared" si="5"/>
        <v>0</v>
      </c>
      <c r="AP33" s="227">
        <v>3</v>
      </c>
      <c r="AQ33" s="246">
        <v>5</v>
      </c>
      <c r="AR33" s="245">
        <f t="shared" ref="AR33:AR34" si="14">AVERAGE(D100:AB100)</f>
        <v>3.7</v>
      </c>
      <c r="AS33" s="245">
        <f t="shared" si="12"/>
        <v>12</v>
      </c>
    </row>
    <row r="34" spans="1:45" ht="15.75" customHeight="1">
      <c r="A34" s="105">
        <f>OVERALL!A33</f>
        <v>30</v>
      </c>
      <c r="B34" s="105">
        <f>OVERALL!B33</f>
        <v>2301267</v>
      </c>
      <c r="C34" s="106" t="str">
        <f>OVERALL!C33</f>
        <v>Shivam Kumar Chaubey</v>
      </c>
      <c r="D34" s="113" t="s">
        <v>124</v>
      </c>
      <c r="E34" s="113" t="s">
        <v>123</v>
      </c>
      <c r="F34" s="113" t="s">
        <v>123</v>
      </c>
      <c r="G34" s="113" t="s">
        <v>123</v>
      </c>
      <c r="H34" s="113" t="s">
        <v>123</v>
      </c>
      <c r="I34" s="113" t="s">
        <v>123</v>
      </c>
      <c r="J34" s="113" t="s">
        <v>123</v>
      </c>
      <c r="K34" s="113" t="s">
        <v>123</v>
      </c>
      <c r="L34" s="113" t="s">
        <v>123</v>
      </c>
      <c r="M34" s="113"/>
      <c r="N34" s="113"/>
      <c r="O34" s="156"/>
      <c r="P34" s="186"/>
      <c r="Q34" s="132"/>
      <c r="R34" s="113"/>
      <c r="S34" s="113"/>
      <c r="T34" s="156"/>
      <c r="U34" s="156"/>
      <c r="V34" s="113"/>
      <c r="W34" s="113"/>
      <c r="X34" s="113"/>
      <c r="Y34" s="113"/>
      <c r="Z34" s="113"/>
      <c r="AA34" s="113"/>
      <c r="AB34" s="113"/>
      <c r="AC34" s="132">
        <v>24</v>
      </c>
      <c r="AD34" s="132"/>
      <c r="AE34" s="88">
        <f t="shared" si="0"/>
        <v>24</v>
      </c>
      <c r="AF34" s="88">
        <v>30</v>
      </c>
      <c r="AG34" s="311">
        <f t="shared" si="1"/>
        <v>0.8</v>
      </c>
      <c r="AI34" s="241">
        <f>OVERALL!A30</f>
        <v>27</v>
      </c>
      <c r="AJ34" s="247">
        <f>OVERALL!B30</f>
        <v>2301263</v>
      </c>
      <c r="AK34" s="243" t="str">
        <f>OVERALL!C30</f>
        <v>Sanchi Sharma</v>
      </c>
      <c r="AL34" s="244">
        <f t="shared" si="2"/>
        <v>30</v>
      </c>
      <c r="AM34" s="244">
        <f t="shared" si="3"/>
        <v>28</v>
      </c>
      <c r="AN34" s="245">
        <f t="shared" si="4"/>
        <v>93.333333333333329</v>
      </c>
      <c r="AO34" s="107" t="str">
        <f t="shared" si="5"/>
        <v>5</v>
      </c>
      <c r="AP34" s="227">
        <v>6</v>
      </c>
      <c r="AQ34" s="246">
        <v>5</v>
      </c>
      <c r="AR34" s="245">
        <f t="shared" si="14"/>
        <v>7.9</v>
      </c>
      <c r="AS34" s="245">
        <f t="shared" si="12"/>
        <v>24</v>
      </c>
    </row>
    <row r="35" spans="1:45" ht="15.75" customHeight="1">
      <c r="A35" s="105">
        <f>OVERALL!A34</f>
        <v>31</v>
      </c>
      <c r="B35" s="105">
        <f>OVERALL!B34</f>
        <v>2301268</v>
      </c>
      <c r="C35" s="106" t="str">
        <f>OVERALL!C34</f>
        <v>Simba Godfrey</v>
      </c>
      <c r="D35" s="113" t="s">
        <v>123</v>
      </c>
      <c r="E35" s="113" t="s">
        <v>123</v>
      </c>
      <c r="F35" s="113" t="s">
        <v>123</v>
      </c>
      <c r="G35" s="113" t="s">
        <v>123</v>
      </c>
      <c r="H35" s="113" t="s">
        <v>123</v>
      </c>
      <c r="I35" s="113" t="s">
        <v>123</v>
      </c>
      <c r="J35" s="113" t="s">
        <v>123</v>
      </c>
      <c r="K35" s="113" t="s">
        <v>123</v>
      </c>
      <c r="L35" s="113" t="s">
        <v>123</v>
      </c>
      <c r="M35" s="113"/>
      <c r="N35" s="113"/>
      <c r="O35" s="156"/>
      <c r="P35" s="186"/>
      <c r="Q35" s="132"/>
      <c r="R35" s="113"/>
      <c r="S35" s="113"/>
      <c r="T35" s="156"/>
      <c r="U35" s="156"/>
      <c r="V35" s="113"/>
      <c r="W35" s="113"/>
      <c r="X35" s="113"/>
      <c r="Y35" s="113"/>
      <c r="Z35" s="113"/>
      <c r="AA35" s="113"/>
      <c r="AB35" s="113"/>
      <c r="AC35" s="132">
        <v>16</v>
      </c>
      <c r="AD35" s="132"/>
      <c r="AE35" s="88">
        <f t="shared" si="0"/>
        <v>16</v>
      </c>
      <c r="AF35" s="88">
        <v>30</v>
      </c>
      <c r="AG35" s="311">
        <f t="shared" si="1"/>
        <v>0.53333333333333333</v>
      </c>
      <c r="AI35" s="241">
        <f>OVERALL!A31</f>
        <v>28</v>
      </c>
      <c r="AJ35" s="247">
        <f>OVERALL!B31</f>
        <v>2301264</v>
      </c>
      <c r="AK35" s="243" t="str">
        <f>OVERALL!C31</f>
        <v>Sarbjit Singh</v>
      </c>
      <c r="AL35" s="244">
        <f t="shared" si="2"/>
        <v>30</v>
      </c>
      <c r="AM35" s="244">
        <f t="shared" si="3"/>
        <v>10</v>
      </c>
      <c r="AN35" s="245">
        <f t="shared" si="4"/>
        <v>33.333333333333329</v>
      </c>
      <c r="AO35" s="107" t="str">
        <f t="shared" si="5"/>
        <v>0</v>
      </c>
      <c r="AP35" s="227">
        <v>4</v>
      </c>
      <c r="AQ35" s="246">
        <v>5</v>
      </c>
      <c r="AR35" s="245">
        <v>4</v>
      </c>
      <c r="AS35" s="245">
        <f t="shared" si="12"/>
        <v>13</v>
      </c>
    </row>
    <row r="36" spans="1:45" ht="15.75" customHeight="1">
      <c r="A36" s="105">
        <f>OVERALL!A35</f>
        <v>32</v>
      </c>
      <c r="B36" s="105">
        <f>OVERALL!B35</f>
        <v>2301269</v>
      </c>
      <c r="C36" s="106" t="str">
        <f>OVERALL!C35</f>
        <v>Simran Kaur</v>
      </c>
      <c r="D36" s="113" t="s">
        <v>123</v>
      </c>
      <c r="E36" s="113" t="s">
        <v>123</v>
      </c>
      <c r="F36" s="113" t="s">
        <v>123</v>
      </c>
      <c r="G36" s="113" t="s">
        <v>123</v>
      </c>
      <c r="H36" s="113" t="s">
        <v>123</v>
      </c>
      <c r="I36" s="113" t="s">
        <v>123</v>
      </c>
      <c r="J36" s="113" t="s">
        <v>123</v>
      </c>
      <c r="K36" s="113" t="s">
        <v>123</v>
      </c>
      <c r="L36" s="113" t="s">
        <v>123</v>
      </c>
      <c r="M36" s="113"/>
      <c r="N36" s="113"/>
      <c r="O36" s="156"/>
      <c r="P36" s="186"/>
      <c r="Q36" s="132"/>
      <c r="R36" s="113"/>
      <c r="S36" s="113"/>
      <c r="T36" s="156"/>
      <c r="U36" s="156"/>
      <c r="V36" s="113"/>
      <c r="W36" s="113"/>
      <c r="X36" s="113"/>
      <c r="Y36" s="113"/>
      <c r="Z36" s="113"/>
      <c r="AA36" s="113"/>
      <c r="AB36" s="113"/>
      <c r="AC36" s="132">
        <v>24</v>
      </c>
      <c r="AD36" s="132"/>
      <c r="AE36" s="88">
        <f t="shared" si="0"/>
        <v>24</v>
      </c>
      <c r="AF36" s="88">
        <v>30</v>
      </c>
      <c r="AG36" s="311">
        <f t="shared" si="1"/>
        <v>0.8</v>
      </c>
      <c r="AI36" s="241">
        <f>OVERALL!A32</f>
        <v>29</v>
      </c>
      <c r="AJ36" s="247">
        <f>OVERALL!B32</f>
        <v>2301265</v>
      </c>
      <c r="AK36" s="243" t="str">
        <f>OVERALL!C32</f>
        <v>Sarif Mayangmayum</v>
      </c>
      <c r="AL36" s="244">
        <f t="shared" si="2"/>
        <v>30</v>
      </c>
      <c r="AM36" s="244">
        <f t="shared" si="3"/>
        <v>26</v>
      </c>
      <c r="AN36" s="245">
        <f t="shared" si="4"/>
        <v>86.666666666666671</v>
      </c>
      <c r="AO36" s="107" t="str">
        <f t="shared" si="5"/>
        <v>4</v>
      </c>
      <c r="AP36" s="227">
        <v>6</v>
      </c>
      <c r="AQ36" s="246">
        <v>6</v>
      </c>
      <c r="AR36" s="245">
        <f t="shared" ref="AR36:AR37" si="15">AVERAGE(D103:AB103)</f>
        <v>8.8000000000000007</v>
      </c>
      <c r="AS36" s="245">
        <f t="shared" si="12"/>
        <v>25</v>
      </c>
    </row>
    <row r="37" spans="1:45" ht="15.75" customHeight="1">
      <c r="A37" s="105">
        <f>OVERALL!A36</f>
        <v>33</v>
      </c>
      <c r="B37" s="105">
        <f>OVERALL!B36</f>
        <v>2301270</v>
      </c>
      <c r="C37" s="106" t="str">
        <f>OVERALL!C36</f>
        <v>Simranjit Singh</v>
      </c>
      <c r="D37" s="113" t="s">
        <v>123</v>
      </c>
      <c r="E37" s="113" t="s">
        <v>123</v>
      </c>
      <c r="F37" s="113" t="s">
        <v>123</v>
      </c>
      <c r="G37" s="113" t="s">
        <v>123</v>
      </c>
      <c r="H37" s="113" t="s">
        <v>123</v>
      </c>
      <c r="I37" s="113" t="s">
        <v>123</v>
      </c>
      <c r="J37" s="113" t="s">
        <v>123</v>
      </c>
      <c r="K37" s="113" t="s">
        <v>123</v>
      </c>
      <c r="L37" s="113" t="s">
        <v>123</v>
      </c>
      <c r="M37" s="113"/>
      <c r="N37" s="113"/>
      <c r="O37" s="156"/>
      <c r="P37" s="186"/>
      <c r="Q37" s="132"/>
      <c r="R37" s="113"/>
      <c r="S37" s="113"/>
      <c r="T37" s="156"/>
      <c r="U37" s="156"/>
      <c r="V37" s="113"/>
      <c r="W37" s="113"/>
      <c r="X37" s="113"/>
      <c r="Y37" s="113"/>
      <c r="Z37" s="113"/>
      <c r="AA37" s="113"/>
      <c r="AB37" s="113"/>
      <c r="AC37" s="132">
        <v>24</v>
      </c>
      <c r="AD37" s="132"/>
      <c r="AE37" s="88">
        <f t="shared" si="0"/>
        <v>24</v>
      </c>
      <c r="AF37" s="88">
        <v>30</v>
      </c>
      <c r="AG37" s="311">
        <f t="shared" si="1"/>
        <v>0.8</v>
      </c>
      <c r="AI37" s="241">
        <f>OVERALL!A33</f>
        <v>30</v>
      </c>
      <c r="AJ37" s="247">
        <f>OVERALL!B33</f>
        <v>2301267</v>
      </c>
      <c r="AK37" s="243" t="str">
        <f>OVERALL!C33</f>
        <v>Shivam Kumar Chaubey</v>
      </c>
      <c r="AL37" s="244">
        <f t="shared" si="2"/>
        <v>30</v>
      </c>
      <c r="AM37" s="244">
        <f t="shared" si="3"/>
        <v>24</v>
      </c>
      <c r="AN37" s="245">
        <f t="shared" si="4"/>
        <v>80</v>
      </c>
      <c r="AO37" s="107" t="str">
        <f t="shared" si="5"/>
        <v>2</v>
      </c>
      <c r="AP37" s="227">
        <v>6</v>
      </c>
      <c r="AQ37" s="246">
        <v>5</v>
      </c>
      <c r="AR37" s="245">
        <f t="shared" si="15"/>
        <v>8.9</v>
      </c>
      <c r="AS37" s="245">
        <f t="shared" si="12"/>
        <v>22</v>
      </c>
    </row>
    <row r="38" spans="1:45" ht="15.75" customHeight="1">
      <c r="A38" s="105">
        <f>OVERALL!A37</f>
        <v>34</v>
      </c>
      <c r="B38" s="105">
        <f>OVERALL!B37</f>
        <v>2301271</v>
      </c>
      <c r="C38" s="106" t="str">
        <f>OVERALL!C37</f>
        <v>Sudip Sunar</v>
      </c>
      <c r="D38" s="113" t="s">
        <v>123</v>
      </c>
      <c r="E38" s="113" t="s">
        <v>123</v>
      </c>
      <c r="F38" s="113" t="s">
        <v>123</v>
      </c>
      <c r="G38" s="113" t="s">
        <v>123</v>
      </c>
      <c r="H38" s="113" t="s">
        <v>123</v>
      </c>
      <c r="I38" s="113" t="s">
        <v>123</v>
      </c>
      <c r="J38" s="113" t="s">
        <v>123</v>
      </c>
      <c r="K38" s="113" t="s">
        <v>123</v>
      </c>
      <c r="L38" s="113" t="s">
        <v>123</v>
      </c>
      <c r="M38" s="113"/>
      <c r="N38" s="113"/>
      <c r="O38" s="156"/>
      <c r="P38" s="186"/>
      <c r="Q38" s="132"/>
      <c r="R38" s="113"/>
      <c r="S38" s="113"/>
      <c r="T38" s="156"/>
      <c r="U38" s="156"/>
      <c r="V38" s="113"/>
      <c r="W38" s="113"/>
      <c r="X38" s="113"/>
      <c r="Y38" s="113"/>
      <c r="Z38" s="113"/>
      <c r="AA38" s="113"/>
      <c r="AB38" s="113"/>
      <c r="AC38" s="132">
        <v>22</v>
      </c>
      <c r="AD38" s="132"/>
      <c r="AE38" s="88">
        <f t="shared" si="0"/>
        <v>22</v>
      </c>
      <c r="AF38" s="88">
        <v>30</v>
      </c>
      <c r="AG38" s="311">
        <f t="shared" si="1"/>
        <v>0.73333333333333328</v>
      </c>
      <c r="AI38" s="241">
        <f>OVERALL!A34</f>
        <v>31</v>
      </c>
      <c r="AJ38" s="247">
        <f>OVERALL!B34</f>
        <v>2301268</v>
      </c>
      <c r="AK38" s="243" t="str">
        <f>OVERALL!C34</f>
        <v>Simba Godfrey</v>
      </c>
      <c r="AL38" s="244">
        <f t="shared" si="2"/>
        <v>30</v>
      </c>
      <c r="AM38" s="244">
        <f t="shared" si="3"/>
        <v>16</v>
      </c>
      <c r="AN38" s="245">
        <f t="shared" si="4"/>
        <v>53.333333333333336</v>
      </c>
      <c r="AO38" s="107" t="str">
        <f t="shared" si="5"/>
        <v>0</v>
      </c>
      <c r="AP38" s="227">
        <v>4</v>
      </c>
      <c r="AQ38" s="246">
        <v>6</v>
      </c>
      <c r="AR38" s="245">
        <v>4</v>
      </c>
      <c r="AS38" s="245">
        <f t="shared" si="12"/>
        <v>14</v>
      </c>
    </row>
    <row r="39" spans="1:45" ht="15.75" customHeight="1">
      <c r="A39" s="105">
        <f>OVERALL!A38</f>
        <v>35</v>
      </c>
      <c r="B39" s="105">
        <f>OVERALL!B38</f>
        <v>2301272</v>
      </c>
      <c r="C39" s="106" t="str">
        <f>OVERALL!C38</f>
        <v>Sujal Sharma</v>
      </c>
      <c r="D39" s="113" t="s">
        <v>123</v>
      </c>
      <c r="E39" s="113" t="s">
        <v>123</v>
      </c>
      <c r="F39" s="113" t="s">
        <v>123</v>
      </c>
      <c r="G39" s="113" t="s">
        <v>123</v>
      </c>
      <c r="H39" s="113" t="s">
        <v>123</v>
      </c>
      <c r="I39" s="113" t="s">
        <v>123</v>
      </c>
      <c r="J39" s="113" t="s">
        <v>123</v>
      </c>
      <c r="K39" s="113" t="s">
        <v>123</v>
      </c>
      <c r="L39" s="113" t="s">
        <v>123</v>
      </c>
      <c r="M39" s="113"/>
      <c r="N39" s="113"/>
      <c r="O39" s="156"/>
      <c r="P39" s="186"/>
      <c r="Q39" s="132"/>
      <c r="R39" s="113"/>
      <c r="S39" s="113"/>
      <c r="T39" s="156"/>
      <c r="U39" s="156"/>
      <c r="V39" s="113"/>
      <c r="W39" s="113"/>
      <c r="X39" s="113"/>
      <c r="Y39" s="113"/>
      <c r="Z39" s="113"/>
      <c r="AA39" s="113"/>
      <c r="AB39" s="113"/>
      <c r="AC39" s="132">
        <v>0</v>
      </c>
      <c r="AD39" s="132"/>
      <c r="AE39" s="88">
        <f t="shared" si="0"/>
        <v>0</v>
      </c>
      <c r="AF39" s="88">
        <v>30</v>
      </c>
      <c r="AG39" s="311">
        <f t="shared" si="1"/>
        <v>0</v>
      </c>
      <c r="AI39" s="241">
        <f>OVERALL!A35</f>
        <v>32</v>
      </c>
      <c r="AJ39" s="247">
        <f>OVERALL!B35</f>
        <v>2301269</v>
      </c>
      <c r="AK39" s="243" t="str">
        <f>OVERALL!C35</f>
        <v>Simran Kaur</v>
      </c>
      <c r="AL39" s="244">
        <f t="shared" si="2"/>
        <v>30</v>
      </c>
      <c r="AM39" s="244">
        <f t="shared" si="3"/>
        <v>24</v>
      </c>
      <c r="AN39" s="245">
        <f t="shared" si="4"/>
        <v>80</v>
      </c>
      <c r="AO39" s="107" t="str">
        <f t="shared" si="5"/>
        <v>2</v>
      </c>
      <c r="AP39" s="227">
        <v>6</v>
      </c>
      <c r="AQ39" s="246">
        <v>6</v>
      </c>
      <c r="AR39" s="245">
        <f t="shared" ref="AR39:AR47" si="16">AVERAGE(D106:AB106)</f>
        <v>7.9</v>
      </c>
      <c r="AS39" s="245">
        <f t="shared" si="12"/>
        <v>22</v>
      </c>
    </row>
    <row r="40" spans="1:45" ht="15.75" customHeight="1">
      <c r="A40" s="105">
        <f>OVERALL!A39</f>
        <v>36</v>
      </c>
      <c r="B40" s="105">
        <f>OVERALL!B39</f>
        <v>2301273</v>
      </c>
      <c r="C40" s="106" t="str">
        <f>OVERALL!C39</f>
        <v>Sukhraj Singh</v>
      </c>
      <c r="D40" s="113" t="s">
        <v>123</v>
      </c>
      <c r="E40" s="113" t="s">
        <v>123</v>
      </c>
      <c r="F40" s="113" t="s">
        <v>123</v>
      </c>
      <c r="G40" s="113" t="s">
        <v>123</v>
      </c>
      <c r="H40" s="113" t="s">
        <v>123</v>
      </c>
      <c r="I40" s="113" t="s">
        <v>123</v>
      </c>
      <c r="J40" s="113" t="s">
        <v>123</v>
      </c>
      <c r="K40" s="113" t="s">
        <v>123</v>
      </c>
      <c r="L40" s="113" t="s">
        <v>123</v>
      </c>
      <c r="M40" s="113"/>
      <c r="N40" s="113"/>
      <c r="O40" s="156"/>
      <c r="P40" s="186"/>
      <c r="Q40" s="132"/>
      <c r="R40" s="113"/>
      <c r="S40" s="113"/>
      <c r="T40" s="156"/>
      <c r="U40" s="156"/>
      <c r="V40" s="113"/>
      <c r="W40" s="113"/>
      <c r="X40" s="113"/>
      <c r="Y40" s="113"/>
      <c r="Z40" s="113"/>
      <c r="AA40" s="113"/>
      <c r="AB40" s="113"/>
      <c r="AC40" s="132">
        <v>8</v>
      </c>
      <c r="AD40" s="132"/>
      <c r="AE40" s="88">
        <f t="shared" si="0"/>
        <v>8</v>
      </c>
      <c r="AF40" s="88">
        <v>30</v>
      </c>
      <c r="AG40" s="311">
        <f t="shared" si="1"/>
        <v>0.26666666666666666</v>
      </c>
      <c r="AI40" s="241">
        <f>OVERALL!A36</f>
        <v>33</v>
      </c>
      <c r="AJ40" s="247">
        <f>OVERALL!B36</f>
        <v>2301270</v>
      </c>
      <c r="AK40" s="243" t="str">
        <f>OVERALL!C36</f>
        <v>Simranjit Singh</v>
      </c>
      <c r="AL40" s="244">
        <f t="shared" si="2"/>
        <v>30</v>
      </c>
      <c r="AM40" s="244">
        <f t="shared" si="3"/>
        <v>24</v>
      </c>
      <c r="AN40" s="245">
        <f t="shared" si="4"/>
        <v>80</v>
      </c>
      <c r="AO40" s="107" t="str">
        <f t="shared" si="5"/>
        <v>2</v>
      </c>
      <c r="AP40" s="227">
        <v>5</v>
      </c>
      <c r="AQ40" s="246">
        <v>5</v>
      </c>
      <c r="AR40" s="245">
        <f t="shared" si="16"/>
        <v>7.7</v>
      </c>
      <c r="AS40" s="245">
        <f t="shared" si="12"/>
        <v>20</v>
      </c>
    </row>
    <row r="41" spans="1:45" ht="15.75" customHeight="1">
      <c r="A41" s="105">
        <f>OVERALL!A40</f>
        <v>37</v>
      </c>
      <c r="B41" s="105">
        <f>OVERALL!B40</f>
        <v>2301274</v>
      </c>
      <c r="C41" s="106" t="str">
        <f>OVERALL!C40</f>
        <v>Sukhreet Kaur</v>
      </c>
      <c r="D41" s="113" t="s">
        <v>123</v>
      </c>
      <c r="E41" s="113" t="s">
        <v>123</v>
      </c>
      <c r="F41" s="113" t="s">
        <v>123</v>
      </c>
      <c r="G41" s="113" t="s">
        <v>123</v>
      </c>
      <c r="H41" s="113" t="s">
        <v>123</v>
      </c>
      <c r="I41" s="113" t="s">
        <v>123</v>
      </c>
      <c r="J41" s="113" t="s">
        <v>123</v>
      </c>
      <c r="K41" s="113" t="s">
        <v>123</v>
      </c>
      <c r="L41" s="113" t="s">
        <v>123</v>
      </c>
      <c r="M41" s="113"/>
      <c r="N41" s="113"/>
      <c r="O41" s="156"/>
      <c r="P41" s="186"/>
      <c r="Q41" s="132"/>
      <c r="R41" s="113"/>
      <c r="S41" s="113"/>
      <c r="T41" s="156"/>
      <c r="U41" s="156"/>
      <c r="V41" s="113"/>
      <c r="W41" s="113"/>
      <c r="X41" s="113"/>
      <c r="Y41" s="113"/>
      <c r="Z41" s="113"/>
      <c r="AA41" s="113"/>
      <c r="AB41" s="113"/>
      <c r="AC41" s="132">
        <v>20</v>
      </c>
      <c r="AD41" s="132"/>
      <c r="AE41" s="88">
        <f t="shared" si="0"/>
        <v>20</v>
      </c>
      <c r="AF41" s="88">
        <v>30</v>
      </c>
      <c r="AG41" s="311">
        <f t="shared" si="1"/>
        <v>0.66666666666666663</v>
      </c>
      <c r="AI41" s="241">
        <f>OVERALL!A37</f>
        <v>34</v>
      </c>
      <c r="AJ41" s="247">
        <f>OVERALL!B37</f>
        <v>2301271</v>
      </c>
      <c r="AK41" s="243" t="str">
        <f>OVERALL!C37</f>
        <v>Sudip Sunar</v>
      </c>
      <c r="AL41" s="244">
        <f t="shared" si="2"/>
        <v>30</v>
      </c>
      <c r="AM41" s="244">
        <f t="shared" si="3"/>
        <v>22</v>
      </c>
      <c r="AN41" s="245">
        <f t="shared" si="4"/>
        <v>73.333333333333329</v>
      </c>
      <c r="AO41" s="107" t="str">
        <f t="shared" si="5"/>
        <v>0</v>
      </c>
      <c r="AP41" s="227">
        <v>5</v>
      </c>
      <c r="AQ41" s="246">
        <v>7</v>
      </c>
      <c r="AR41" s="245">
        <f t="shared" si="16"/>
        <v>7.7</v>
      </c>
      <c r="AS41" s="245">
        <f t="shared" si="12"/>
        <v>20</v>
      </c>
    </row>
    <row r="42" spans="1:45" ht="15.75" customHeight="1">
      <c r="A42" s="105">
        <f>OVERALL!A41</f>
        <v>38</v>
      </c>
      <c r="B42" s="105">
        <f>OVERALL!B41</f>
        <v>2301275</v>
      </c>
      <c r="C42" s="106" t="str">
        <f>OVERALL!C41</f>
        <v>Suman Krishna</v>
      </c>
      <c r="D42" s="113" t="s">
        <v>123</v>
      </c>
      <c r="E42" s="113" t="s">
        <v>123</v>
      </c>
      <c r="F42" s="113" t="s">
        <v>123</v>
      </c>
      <c r="G42" s="113" t="s">
        <v>123</v>
      </c>
      <c r="H42" s="113" t="s">
        <v>123</v>
      </c>
      <c r="I42" s="113" t="s">
        <v>123</v>
      </c>
      <c r="J42" s="113" t="s">
        <v>123</v>
      </c>
      <c r="K42" s="113" t="s">
        <v>123</v>
      </c>
      <c r="L42" s="113" t="s">
        <v>123</v>
      </c>
      <c r="M42" s="113"/>
      <c r="N42" s="113"/>
      <c r="O42" s="156"/>
      <c r="P42" s="186"/>
      <c r="Q42" s="132"/>
      <c r="R42" s="113"/>
      <c r="S42" s="113"/>
      <c r="T42" s="156"/>
      <c r="U42" s="156"/>
      <c r="V42" s="113"/>
      <c r="W42" s="113"/>
      <c r="X42" s="113"/>
      <c r="Y42" s="113"/>
      <c r="Z42" s="113"/>
      <c r="AA42" s="113"/>
      <c r="AB42" s="113"/>
      <c r="AC42" s="132">
        <v>22</v>
      </c>
      <c r="AD42" s="132"/>
      <c r="AE42" s="88">
        <f t="shared" si="0"/>
        <v>22</v>
      </c>
      <c r="AF42" s="88">
        <v>30</v>
      </c>
      <c r="AG42" s="311">
        <f t="shared" si="1"/>
        <v>0.73333333333333328</v>
      </c>
      <c r="AI42" s="241">
        <f>OVERALL!A38</f>
        <v>35</v>
      </c>
      <c r="AJ42" s="247">
        <f>OVERALL!B38</f>
        <v>2301272</v>
      </c>
      <c r="AK42" s="243" t="str">
        <f>OVERALL!C38</f>
        <v>Sujal Sharma</v>
      </c>
      <c r="AL42" s="244">
        <f t="shared" si="2"/>
        <v>30</v>
      </c>
      <c r="AM42" s="244">
        <f t="shared" si="3"/>
        <v>0</v>
      </c>
      <c r="AN42" s="245">
        <f t="shared" si="4"/>
        <v>0</v>
      </c>
      <c r="AO42" s="107" t="str">
        <f t="shared" si="5"/>
        <v>0</v>
      </c>
      <c r="AP42" s="227">
        <v>0</v>
      </c>
      <c r="AQ42" s="312">
        <v>0</v>
      </c>
      <c r="AR42" s="245">
        <f t="shared" si="16"/>
        <v>0</v>
      </c>
      <c r="AS42" s="245">
        <v>2</v>
      </c>
    </row>
    <row r="43" spans="1:45" ht="15.75" customHeight="1">
      <c r="A43" s="105">
        <f>OVERALL!A42</f>
        <v>39</v>
      </c>
      <c r="B43" s="105">
        <f>OVERALL!B42</f>
        <v>2301276</v>
      </c>
      <c r="C43" s="106" t="str">
        <f>OVERALL!C42</f>
        <v>Sumanyu</v>
      </c>
      <c r="D43" s="113" t="s">
        <v>123</v>
      </c>
      <c r="E43" s="113" t="s">
        <v>123</v>
      </c>
      <c r="F43" s="113" t="s">
        <v>123</v>
      </c>
      <c r="G43" s="113" t="s">
        <v>123</v>
      </c>
      <c r="H43" s="113" t="s">
        <v>123</v>
      </c>
      <c r="I43" s="113" t="s">
        <v>123</v>
      </c>
      <c r="J43" s="113" t="s">
        <v>123</v>
      </c>
      <c r="K43" s="113" t="s">
        <v>123</v>
      </c>
      <c r="L43" s="113" t="s">
        <v>123</v>
      </c>
      <c r="M43" s="113"/>
      <c r="N43" s="113"/>
      <c r="O43" s="186"/>
      <c r="P43" s="186"/>
      <c r="Q43" s="113"/>
      <c r="R43" s="113"/>
      <c r="S43" s="113"/>
      <c r="T43" s="156"/>
      <c r="U43" s="156"/>
      <c r="V43" s="113"/>
      <c r="W43" s="113"/>
      <c r="X43" s="113"/>
      <c r="Y43" s="113"/>
      <c r="Z43" s="113"/>
      <c r="AA43" s="113"/>
      <c r="AB43" s="113"/>
      <c r="AC43" s="132">
        <v>0</v>
      </c>
      <c r="AD43" s="132"/>
      <c r="AE43" s="88">
        <f t="shared" si="0"/>
        <v>0</v>
      </c>
      <c r="AF43" s="88">
        <v>30</v>
      </c>
      <c r="AG43" s="311">
        <f t="shared" si="1"/>
        <v>0</v>
      </c>
      <c r="AI43" s="241">
        <f>OVERALL!A39</f>
        <v>36</v>
      </c>
      <c r="AJ43" s="247">
        <f>OVERALL!B39</f>
        <v>2301273</v>
      </c>
      <c r="AK43" s="243" t="str">
        <f>OVERALL!C39</f>
        <v>Sukhraj Singh</v>
      </c>
      <c r="AL43" s="244">
        <f t="shared" si="2"/>
        <v>30</v>
      </c>
      <c r="AM43" s="244">
        <f t="shared" si="3"/>
        <v>8</v>
      </c>
      <c r="AN43" s="245">
        <f t="shared" si="4"/>
        <v>26.666666666666668</v>
      </c>
      <c r="AO43" s="107" t="str">
        <f t="shared" si="5"/>
        <v>0</v>
      </c>
      <c r="AP43" s="227">
        <v>0</v>
      </c>
      <c r="AQ43" s="312">
        <v>0</v>
      </c>
      <c r="AR43" s="245">
        <f t="shared" si="16"/>
        <v>0</v>
      </c>
      <c r="AS43" s="245">
        <v>2</v>
      </c>
    </row>
    <row r="44" spans="1:45" ht="15.75" customHeight="1">
      <c r="A44" s="105">
        <f>OVERALL!A43</f>
        <v>40</v>
      </c>
      <c r="B44" s="105">
        <f>OVERALL!B43</f>
        <v>2301277</v>
      </c>
      <c r="C44" s="106" t="str">
        <f>OVERALL!C43</f>
        <v>Tamana</v>
      </c>
      <c r="D44" s="113" t="s">
        <v>123</v>
      </c>
      <c r="E44" s="113" t="s">
        <v>123</v>
      </c>
      <c r="F44" s="113" t="s">
        <v>123</v>
      </c>
      <c r="G44" s="113" t="s">
        <v>123</v>
      </c>
      <c r="H44" s="113" t="s">
        <v>123</v>
      </c>
      <c r="I44" s="113" t="s">
        <v>123</v>
      </c>
      <c r="J44" s="113" t="s">
        <v>123</v>
      </c>
      <c r="K44" s="113" t="s">
        <v>123</v>
      </c>
      <c r="L44" s="113" t="s">
        <v>123</v>
      </c>
      <c r="M44" s="113"/>
      <c r="N44" s="113"/>
      <c r="O44" s="186"/>
      <c r="P44" s="186"/>
      <c r="Q44" s="113"/>
      <c r="R44" s="113"/>
      <c r="S44" s="113"/>
      <c r="T44" s="156"/>
      <c r="U44" s="156"/>
      <c r="V44" s="113"/>
      <c r="W44" s="113"/>
      <c r="X44" s="113"/>
      <c r="Y44" s="113"/>
      <c r="Z44" s="113"/>
      <c r="AA44" s="113"/>
      <c r="AB44" s="113"/>
      <c r="AC44" s="132">
        <v>16</v>
      </c>
      <c r="AD44" s="132"/>
      <c r="AE44" s="88">
        <f t="shared" si="0"/>
        <v>16</v>
      </c>
      <c r="AF44" s="88">
        <v>30</v>
      </c>
      <c r="AG44" s="311">
        <f t="shared" si="1"/>
        <v>0.53333333333333333</v>
      </c>
      <c r="AI44" s="241">
        <f>OVERALL!A40</f>
        <v>37</v>
      </c>
      <c r="AJ44" s="247">
        <f>OVERALL!B40</f>
        <v>2301274</v>
      </c>
      <c r="AK44" s="243" t="str">
        <f>OVERALL!C40</f>
        <v>Sukhreet Kaur</v>
      </c>
      <c r="AL44" s="244">
        <f t="shared" si="2"/>
        <v>30</v>
      </c>
      <c r="AM44" s="244">
        <f t="shared" si="3"/>
        <v>20</v>
      </c>
      <c r="AN44" s="245">
        <f t="shared" si="4"/>
        <v>66.666666666666657</v>
      </c>
      <c r="AO44" s="107" t="str">
        <f t="shared" si="5"/>
        <v>0</v>
      </c>
      <c r="AP44" s="227">
        <v>6</v>
      </c>
      <c r="AQ44" s="246">
        <v>4</v>
      </c>
      <c r="AR44" s="245">
        <f t="shared" si="16"/>
        <v>8.1</v>
      </c>
      <c r="AS44" s="245">
        <f t="shared" ref="AS44:AS53" si="17">ROUND(AO44+AP44+AQ44+AR44,0)</f>
        <v>18</v>
      </c>
    </row>
    <row r="45" spans="1:45" ht="15.75" customHeight="1">
      <c r="A45" s="105">
        <f>OVERALL!A44</f>
        <v>41</v>
      </c>
      <c r="B45" s="105">
        <f>OVERALL!B44</f>
        <v>2301278</v>
      </c>
      <c r="C45" s="106" t="str">
        <f>OVERALL!C44</f>
        <v>Tamana Farooq Khanday</v>
      </c>
      <c r="D45" s="113" t="s">
        <v>123</v>
      </c>
      <c r="E45" s="113" t="s">
        <v>123</v>
      </c>
      <c r="F45" s="113" t="s">
        <v>123</v>
      </c>
      <c r="G45" s="113" t="s">
        <v>123</v>
      </c>
      <c r="H45" s="113" t="s">
        <v>123</v>
      </c>
      <c r="I45" s="113" t="s">
        <v>123</v>
      </c>
      <c r="J45" s="113" t="s">
        <v>123</v>
      </c>
      <c r="K45" s="113" t="s">
        <v>123</v>
      </c>
      <c r="L45" s="113" t="s">
        <v>123</v>
      </c>
      <c r="M45" s="113"/>
      <c r="N45" s="113"/>
      <c r="O45" s="186"/>
      <c r="P45" s="186"/>
      <c r="Q45" s="113"/>
      <c r="R45" s="113"/>
      <c r="S45" s="113"/>
      <c r="T45" s="156"/>
      <c r="U45" s="156"/>
      <c r="V45" s="113"/>
      <c r="W45" s="113"/>
      <c r="X45" s="113"/>
      <c r="Y45" s="113"/>
      <c r="Z45" s="113"/>
      <c r="AA45" s="113"/>
      <c r="AB45" s="113"/>
      <c r="AC45" s="132">
        <v>8</v>
      </c>
      <c r="AD45" s="132"/>
      <c r="AE45" s="88">
        <f t="shared" si="0"/>
        <v>8</v>
      </c>
      <c r="AF45" s="88">
        <v>30</v>
      </c>
      <c r="AG45" s="311">
        <f t="shared" si="1"/>
        <v>0.26666666666666666</v>
      </c>
      <c r="AI45" s="241">
        <f>OVERALL!A41</f>
        <v>38</v>
      </c>
      <c r="AJ45" s="247">
        <f>OVERALL!B41</f>
        <v>2301275</v>
      </c>
      <c r="AK45" s="243" t="str">
        <f>OVERALL!C41</f>
        <v>Suman Krishna</v>
      </c>
      <c r="AL45" s="244">
        <f t="shared" si="2"/>
        <v>30</v>
      </c>
      <c r="AM45" s="244">
        <f t="shared" si="3"/>
        <v>22</v>
      </c>
      <c r="AN45" s="245">
        <f t="shared" si="4"/>
        <v>73.333333333333329</v>
      </c>
      <c r="AO45" s="107" t="str">
        <f t="shared" si="5"/>
        <v>0</v>
      </c>
      <c r="AP45" s="227">
        <v>4</v>
      </c>
      <c r="AQ45" s="246">
        <v>5</v>
      </c>
      <c r="AR45" s="245">
        <f t="shared" si="16"/>
        <v>5.8</v>
      </c>
      <c r="AS45" s="245">
        <f t="shared" si="17"/>
        <v>15</v>
      </c>
    </row>
    <row r="46" spans="1:45" ht="15.75" customHeight="1">
      <c r="A46" s="105">
        <f>OVERALL!A45</f>
        <v>42</v>
      </c>
      <c r="B46" s="105">
        <f>OVERALL!B45</f>
        <v>2301279</v>
      </c>
      <c r="C46" s="106" t="str">
        <f>OVERALL!C45</f>
        <v>Tania</v>
      </c>
      <c r="D46" s="113" t="s">
        <v>123</v>
      </c>
      <c r="E46" s="113" t="s">
        <v>123</v>
      </c>
      <c r="F46" s="113" t="s">
        <v>123</v>
      </c>
      <c r="G46" s="113" t="s">
        <v>123</v>
      </c>
      <c r="H46" s="113" t="s">
        <v>123</v>
      </c>
      <c r="I46" s="113" t="s">
        <v>123</v>
      </c>
      <c r="J46" s="113" t="s">
        <v>123</v>
      </c>
      <c r="K46" s="113" t="s">
        <v>123</v>
      </c>
      <c r="L46" s="113" t="s">
        <v>123</v>
      </c>
      <c r="M46" s="113"/>
      <c r="N46" s="113"/>
      <c r="O46" s="186"/>
      <c r="P46" s="186"/>
      <c r="Q46" s="113"/>
      <c r="R46" s="113"/>
      <c r="S46" s="113"/>
      <c r="T46" s="156"/>
      <c r="U46" s="156"/>
      <c r="V46" s="113"/>
      <c r="W46" s="113"/>
      <c r="X46" s="113"/>
      <c r="Y46" s="113"/>
      <c r="Z46" s="113"/>
      <c r="AA46" s="113"/>
      <c r="AB46" s="113"/>
      <c r="AC46" s="132">
        <v>22</v>
      </c>
      <c r="AD46" s="132">
        <v>2</v>
      </c>
      <c r="AE46" s="88">
        <f t="shared" si="0"/>
        <v>24</v>
      </c>
      <c r="AF46" s="88">
        <v>30</v>
      </c>
      <c r="AG46" s="311">
        <f t="shared" si="1"/>
        <v>0.8</v>
      </c>
      <c r="AI46" s="241">
        <f>OVERALL!A42</f>
        <v>39</v>
      </c>
      <c r="AJ46" s="247">
        <f>OVERALL!B42</f>
        <v>2301276</v>
      </c>
      <c r="AK46" s="243" t="str">
        <f>OVERALL!C42</f>
        <v>Sumanyu</v>
      </c>
      <c r="AL46" s="244">
        <f t="shared" si="2"/>
        <v>30</v>
      </c>
      <c r="AM46" s="244">
        <f t="shared" si="3"/>
        <v>0</v>
      </c>
      <c r="AN46" s="245">
        <f t="shared" si="4"/>
        <v>0</v>
      </c>
      <c r="AO46" s="107" t="str">
        <f t="shared" si="5"/>
        <v>0</v>
      </c>
      <c r="AP46" s="227">
        <v>0</v>
      </c>
      <c r="AQ46" s="312">
        <v>0</v>
      </c>
      <c r="AR46" s="245">
        <f t="shared" si="16"/>
        <v>0</v>
      </c>
      <c r="AS46" s="245">
        <f t="shared" si="17"/>
        <v>0</v>
      </c>
    </row>
    <row r="47" spans="1:45" ht="15.75" customHeight="1">
      <c r="A47" s="217">
        <f>OVERALL!A46</f>
        <v>43</v>
      </c>
      <c r="B47" s="217">
        <f>OVERALL!B46</f>
        <v>2301280</v>
      </c>
      <c r="C47" s="218" t="str">
        <f>OVERALL!C46</f>
        <v>Taniya</v>
      </c>
      <c r="D47" s="113" t="s">
        <v>123</v>
      </c>
      <c r="E47" s="113" t="s">
        <v>123</v>
      </c>
      <c r="F47" s="113" t="s">
        <v>123</v>
      </c>
      <c r="G47" s="113" t="s">
        <v>123</v>
      </c>
      <c r="H47" s="113" t="s">
        <v>123</v>
      </c>
      <c r="I47" s="113" t="s">
        <v>123</v>
      </c>
      <c r="J47" s="113" t="s">
        <v>123</v>
      </c>
      <c r="K47" s="113" t="s">
        <v>123</v>
      </c>
      <c r="L47" s="113" t="s">
        <v>123</v>
      </c>
      <c r="M47" s="113"/>
      <c r="N47" s="113"/>
      <c r="O47" s="186"/>
      <c r="P47" s="186"/>
      <c r="Q47" s="113"/>
      <c r="R47" s="113"/>
      <c r="S47" s="113"/>
      <c r="T47" s="156"/>
      <c r="U47" s="156"/>
      <c r="V47" s="113"/>
      <c r="W47" s="113"/>
      <c r="X47" s="113"/>
      <c r="Y47" s="113"/>
      <c r="Z47" s="113"/>
      <c r="AA47" s="113"/>
      <c r="AB47" s="113"/>
      <c r="AC47" s="132">
        <v>20</v>
      </c>
      <c r="AD47" s="132"/>
      <c r="AE47" s="88">
        <f t="shared" si="0"/>
        <v>20</v>
      </c>
      <c r="AF47" s="88">
        <v>30</v>
      </c>
      <c r="AG47" s="311">
        <f t="shared" si="1"/>
        <v>0.66666666666666663</v>
      </c>
      <c r="AI47" s="241">
        <f>OVERALL!A43</f>
        <v>40</v>
      </c>
      <c r="AJ47" s="247">
        <f>OVERALL!B43</f>
        <v>2301277</v>
      </c>
      <c r="AK47" s="243" t="str">
        <f>OVERALL!C43</f>
        <v>Tamana</v>
      </c>
      <c r="AL47" s="244">
        <f t="shared" si="2"/>
        <v>30</v>
      </c>
      <c r="AM47" s="244">
        <f t="shared" si="3"/>
        <v>16</v>
      </c>
      <c r="AN47" s="245">
        <f t="shared" si="4"/>
        <v>53.333333333333336</v>
      </c>
      <c r="AO47" s="107" t="str">
        <f t="shared" si="5"/>
        <v>0</v>
      </c>
      <c r="AP47" s="227">
        <v>3</v>
      </c>
      <c r="AQ47" s="246">
        <v>6</v>
      </c>
      <c r="AR47" s="245">
        <f t="shared" si="16"/>
        <v>3.6</v>
      </c>
      <c r="AS47" s="245">
        <f t="shared" si="17"/>
        <v>13</v>
      </c>
    </row>
    <row r="48" spans="1:45" ht="15.75" customHeight="1">
      <c r="A48" s="217">
        <f>OVERALL!A47</f>
        <v>44</v>
      </c>
      <c r="B48" s="217">
        <f>OVERALL!B47</f>
        <v>2301281</v>
      </c>
      <c r="C48" s="218" t="str">
        <f>OVERALL!C47</f>
        <v>Taziko Trakha</v>
      </c>
      <c r="D48" s="113" t="s">
        <v>123</v>
      </c>
      <c r="E48" s="113" t="s">
        <v>123</v>
      </c>
      <c r="F48" s="113" t="s">
        <v>123</v>
      </c>
      <c r="G48" s="113" t="s">
        <v>123</v>
      </c>
      <c r="H48" s="113" t="s">
        <v>123</v>
      </c>
      <c r="I48" s="113" t="s">
        <v>123</v>
      </c>
      <c r="J48" s="113" t="s">
        <v>123</v>
      </c>
      <c r="K48" s="113" t="s">
        <v>123</v>
      </c>
      <c r="L48" s="113" t="s">
        <v>123</v>
      </c>
      <c r="M48" s="121"/>
      <c r="N48" s="121"/>
      <c r="O48" s="264"/>
      <c r="P48" s="264"/>
      <c r="Q48" s="121"/>
      <c r="R48" s="121"/>
      <c r="S48" s="121"/>
      <c r="T48" s="265"/>
      <c r="U48" s="265"/>
      <c r="V48" s="121"/>
      <c r="W48" s="121"/>
      <c r="X48" s="121"/>
      <c r="Y48" s="121"/>
      <c r="Z48" s="121"/>
      <c r="AA48" s="121"/>
      <c r="AB48" s="121"/>
      <c r="AC48" s="266">
        <v>16</v>
      </c>
      <c r="AD48" s="266"/>
      <c r="AE48" s="176">
        <f t="shared" si="0"/>
        <v>16</v>
      </c>
      <c r="AF48" s="88">
        <v>30</v>
      </c>
      <c r="AG48" s="313">
        <f t="shared" si="1"/>
        <v>0.53333333333333333</v>
      </c>
      <c r="AI48" s="241">
        <f>OVERALL!A44</f>
        <v>41</v>
      </c>
      <c r="AJ48" s="247">
        <f>OVERALL!B44</f>
        <v>2301278</v>
      </c>
      <c r="AK48" s="243" t="str">
        <f>OVERALL!C44</f>
        <v>Tamana Farooq Khanday</v>
      </c>
      <c r="AL48" s="244">
        <f t="shared" si="2"/>
        <v>30</v>
      </c>
      <c r="AM48" s="244">
        <f t="shared" si="3"/>
        <v>8</v>
      </c>
      <c r="AN48" s="245">
        <f t="shared" si="4"/>
        <v>26.666666666666668</v>
      </c>
      <c r="AO48" s="107" t="str">
        <f t="shared" si="5"/>
        <v>0</v>
      </c>
      <c r="AP48" s="227">
        <v>3</v>
      </c>
      <c r="AQ48" s="246">
        <v>7</v>
      </c>
      <c r="AR48" s="245">
        <v>2</v>
      </c>
      <c r="AS48" s="245">
        <f t="shared" si="17"/>
        <v>12</v>
      </c>
    </row>
    <row r="49" spans="1:45" ht="15.75" customHeight="1">
      <c r="A49" s="122">
        <v>45</v>
      </c>
      <c r="B49" s="217">
        <f>OVERALL!B48</f>
        <v>2301282</v>
      </c>
      <c r="C49" s="218" t="str">
        <f>OVERALL!C48</f>
        <v>Uday Kumar</v>
      </c>
      <c r="D49" s="113" t="s">
        <v>123</v>
      </c>
      <c r="E49" s="113" t="s">
        <v>123</v>
      </c>
      <c r="F49" s="113" t="s">
        <v>123</v>
      </c>
      <c r="G49" s="113" t="s">
        <v>123</v>
      </c>
      <c r="H49" s="113" t="s">
        <v>123</v>
      </c>
      <c r="I49" s="113" t="s">
        <v>123</v>
      </c>
      <c r="J49" s="113" t="s">
        <v>123</v>
      </c>
      <c r="K49" s="113" t="s">
        <v>123</v>
      </c>
      <c r="L49" s="113" t="s">
        <v>123</v>
      </c>
      <c r="M49" s="96"/>
      <c r="N49" s="96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266">
        <v>8</v>
      </c>
      <c r="AD49" s="88">
        <v>10</v>
      </c>
      <c r="AE49" s="176">
        <f t="shared" si="0"/>
        <v>18</v>
      </c>
      <c r="AF49" s="88">
        <v>30</v>
      </c>
      <c r="AG49" s="313">
        <f t="shared" si="1"/>
        <v>0.6</v>
      </c>
      <c r="AI49" s="241">
        <f>OVERALL!A45</f>
        <v>42</v>
      </c>
      <c r="AJ49" s="247">
        <f>OVERALL!B45</f>
        <v>2301279</v>
      </c>
      <c r="AK49" s="243" t="str">
        <f>OVERALL!C45</f>
        <v>Tania</v>
      </c>
      <c r="AL49" s="244">
        <f t="shared" si="2"/>
        <v>30</v>
      </c>
      <c r="AM49" s="244">
        <f t="shared" si="3"/>
        <v>24</v>
      </c>
      <c r="AN49" s="245">
        <f t="shared" si="4"/>
        <v>80</v>
      </c>
      <c r="AO49" s="107" t="str">
        <f t="shared" si="5"/>
        <v>2</v>
      </c>
      <c r="AP49" s="227">
        <v>5</v>
      </c>
      <c r="AQ49" s="246">
        <v>7</v>
      </c>
      <c r="AR49" s="245">
        <f t="shared" ref="AR49:AR51" si="18">AVERAGE(D116:AB116)</f>
        <v>7</v>
      </c>
      <c r="AS49" s="245">
        <f t="shared" si="17"/>
        <v>21</v>
      </c>
    </row>
    <row r="50" spans="1:45" ht="15.75" customHeight="1">
      <c r="A50" s="122">
        <v>46</v>
      </c>
      <c r="B50" s="217">
        <f>OVERALL!B49</f>
        <v>2301283</v>
      </c>
      <c r="C50" s="218" t="str">
        <f>OVERALL!C49</f>
        <v>Vaibhav Shahi</v>
      </c>
      <c r="D50" s="113" t="s">
        <v>123</v>
      </c>
      <c r="E50" s="113" t="s">
        <v>123</v>
      </c>
      <c r="F50" s="113" t="s">
        <v>123</v>
      </c>
      <c r="G50" s="113" t="s">
        <v>123</v>
      </c>
      <c r="H50" s="113" t="s">
        <v>123</v>
      </c>
      <c r="I50" s="113" t="s">
        <v>123</v>
      </c>
      <c r="J50" s="113" t="s">
        <v>123</v>
      </c>
      <c r="K50" s="113" t="s">
        <v>123</v>
      </c>
      <c r="L50" s="113" t="s">
        <v>123</v>
      </c>
      <c r="M50" s="96"/>
      <c r="N50" s="96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266">
        <v>10</v>
      </c>
      <c r="AD50" s="88"/>
      <c r="AE50" s="176">
        <f t="shared" si="0"/>
        <v>10</v>
      </c>
      <c r="AF50" s="88">
        <v>30</v>
      </c>
      <c r="AG50" s="313">
        <f t="shared" si="1"/>
        <v>0.33333333333333331</v>
      </c>
      <c r="AI50" s="249">
        <f>OVERALL!A46</f>
        <v>43</v>
      </c>
      <c r="AJ50" s="250">
        <f>OVERALL!B46</f>
        <v>2301280</v>
      </c>
      <c r="AK50" s="251" t="str">
        <f>OVERALL!C46</f>
        <v>Taniya</v>
      </c>
      <c r="AL50" s="252">
        <f t="shared" si="2"/>
        <v>30</v>
      </c>
      <c r="AM50" s="252">
        <f t="shared" si="3"/>
        <v>20</v>
      </c>
      <c r="AN50" s="253">
        <f t="shared" si="4"/>
        <v>66.666666666666657</v>
      </c>
      <c r="AO50" s="128" t="str">
        <f t="shared" si="5"/>
        <v>0</v>
      </c>
      <c r="AP50" s="227">
        <v>5</v>
      </c>
      <c r="AQ50" s="314">
        <v>4</v>
      </c>
      <c r="AR50" s="245">
        <f t="shared" si="18"/>
        <v>7.3</v>
      </c>
      <c r="AS50" s="253">
        <f t="shared" si="17"/>
        <v>16</v>
      </c>
    </row>
    <row r="51" spans="1:45" ht="15.75" customHeight="1">
      <c r="A51" s="122">
        <v>47</v>
      </c>
      <c r="B51" s="217">
        <f>OVERALL!B50</f>
        <v>2301284</v>
      </c>
      <c r="C51" s="218" t="str">
        <f>OVERALL!C50</f>
        <v>Vansh Kumar</v>
      </c>
      <c r="D51" s="113" t="s">
        <v>123</v>
      </c>
      <c r="E51" s="113" t="s">
        <v>123</v>
      </c>
      <c r="F51" s="113" t="s">
        <v>123</v>
      </c>
      <c r="G51" s="113" t="s">
        <v>123</v>
      </c>
      <c r="H51" s="113" t="s">
        <v>123</v>
      </c>
      <c r="I51" s="113" t="s">
        <v>123</v>
      </c>
      <c r="J51" s="113" t="s">
        <v>123</v>
      </c>
      <c r="K51" s="113" t="s">
        <v>123</v>
      </c>
      <c r="L51" s="113" t="s">
        <v>123</v>
      </c>
      <c r="M51" s="96"/>
      <c r="N51" s="96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266">
        <f>COUNTIF(D51:AB51,"P")*2</f>
        <v>0</v>
      </c>
      <c r="AD51" s="88"/>
      <c r="AE51" s="176">
        <f t="shared" si="0"/>
        <v>0</v>
      </c>
      <c r="AF51" s="88">
        <v>30</v>
      </c>
      <c r="AG51" s="313">
        <f t="shared" si="1"/>
        <v>0</v>
      </c>
      <c r="AI51" s="241">
        <f>OVERALL!A47</f>
        <v>44</v>
      </c>
      <c r="AJ51" s="242">
        <f>OVERALL!B47</f>
        <v>2301281</v>
      </c>
      <c r="AK51" s="243" t="str">
        <f>OVERALL!C47</f>
        <v>Taziko Trakha</v>
      </c>
      <c r="AL51" s="254">
        <f t="shared" si="2"/>
        <v>30</v>
      </c>
      <c r="AM51" s="254">
        <f t="shared" si="3"/>
        <v>16</v>
      </c>
      <c r="AN51" s="248">
        <f t="shared" si="4"/>
        <v>53.333333333333336</v>
      </c>
      <c r="AO51" s="255" t="str">
        <f t="shared" si="5"/>
        <v>0</v>
      </c>
      <c r="AP51" s="227">
        <v>5</v>
      </c>
      <c r="AQ51" s="315">
        <v>6</v>
      </c>
      <c r="AR51" s="245">
        <f t="shared" si="18"/>
        <v>7.8</v>
      </c>
      <c r="AS51" s="256">
        <f t="shared" si="17"/>
        <v>19</v>
      </c>
    </row>
    <row r="52" spans="1:45" ht="15.75" customHeight="1">
      <c r="A52" s="122">
        <v>48</v>
      </c>
      <c r="B52" s="217">
        <f>OVERALL!B51</f>
        <v>2301285</v>
      </c>
      <c r="C52" s="218" t="str">
        <f>OVERALL!C51</f>
        <v>Vansh Sharma</v>
      </c>
      <c r="D52" s="113" t="s">
        <v>123</v>
      </c>
      <c r="E52" s="113" t="s">
        <v>123</v>
      </c>
      <c r="F52" s="113" t="s">
        <v>123</v>
      </c>
      <c r="G52" s="113" t="s">
        <v>123</v>
      </c>
      <c r="H52" s="113" t="s">
        <v>123</v>
      </c>
      <c r="I52" s="113" t="s">
        <v>123</v>
      </c>
      <c r="J52" s="113" t="s">
        <v>123</v>
      </c>
      <c r="K52" s="113" t="s">
        <v>123</v>
      </c>
      <c r="L52" s="113" t="s">
        <v>123</v>
      </c>
      <c r="M52" s="96"/>
      <c r="N52" s="96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266">
        <v>20</v>
      </c>
      <c r="AD52" s="88"/>
      <c r="AE52" s="176">
        <f t="shared" si="0"/>
        <v>20</v>
      </c>
      <c r="AF52" s="88">
        <v>30</v>
      </c>
      <c r="AG52" s="313">
        <f t="shared" si="1"/>
        <v>0.66666666666666663</v>
      </c>
      <c r="AI52" s="241">
        <f>OVERALL!A48</f>
        <v>45</v>
      </c>
      <c r="AJ52" s="242">
        <f>OVERALL!B48</f>
        <v>2301282</v>
      </c>
      <c r="AK52" s="243" t="str">
        <f>OVERALL!C48</f>
        <v>Uday Kumar</v>
      </c>
      <c r="AL52" s="254">
        <f t="shared" si="2"/>
        <v>30</v>
      </c>
      <c r="AM52" s="254">
        <f t="shared" si="3"/>
        <v>18</v>
      </c>
      <c r="AN52" s="248">
        <f t="shared" si="4"/>
        <v>60</v>
      </c>
      <c r="AO52" s="255" t="str">
        <f t="shared" si="5"/>
        <v>0</v>
      </c>
      <c r="AP52" s="227">
        <v>4</v>
      </c>
      <c r="AQ52" s="312">
        <v>4</v>
      </c>
      <c r="AR52" s="245">
        <v>4</v>
      </c>
      <c r="AS52" s="256">
        <f t="shared" si="17"/>
        <v>12</v>
      </c>
    </row>
    <row r="53" spans="1:45" ht="15.75" customHeight="1">
      <c r="A53" s="122">
        <v>49</v>
      </c>
      <c r="B53" s="217">
        <f>OVERALL!B52</f>
        <v>2301286</v>
      </c>
      <c r="C53" s="218" t="str">
        <f>OVERALL!C52</f>
        <v>Vikramjit Singh</v>
      </c>
      <c r="D53" s="113" t="s">
        <v>123</v>
      </c>
      <c r="E53" s="113" t="s">
        <v>123</v>
      </c>
      <c r="F53" s="113" t="s">
        <v>123</v>
      </c>
      <c r="G53" s="113" t="s">
        <v>123</v>
      </c>
      <c r="H53" s="113" t="s">
        <v>123</v>
      </c>
      <c r="I53" s="113" t="s">
        <v>123</v>
      </c>
      <c r="J53" s="113" t="s">
        <v>123</v>
      </c>
      <c r="K53" s="113" t="s">
        <v>123</v>
      </c>
      <c r="L53" s="113" t="s">
        <v>123</v>
      </c>
      <c r="M53" s="96"/>
      <c r="N53" s="96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266">
        <v>0</v>
      </c>
      <c r="AD53" s="88"/>
      <c r="AE53" s="176">
        <f t="shared" si="0"/>
        <v>0</v>
      </c>
      <c r="AF53" s="88">
        <v>30</v>
      </c>
      <c r="AG53" s="313">
        <f t="shared" si="1"/>
        <v>0</v>
      </c>
      <c r="AI53" s="241">
        <f>OVERALL!A49</f>
        <v>46</v>
      </c>
      <c r="AJ53" s="242">
        <f>OVERALL!B49</f>
        <v>2301283</v>
      </c>
      <c r="AK53" s="243" t="str">
        <f>OVERALL!C49</f>
        <v>Vaibhav Shahi</v>
      </c>
      <c r="AL53" s="254">
        <f t="shared" si="2"/>
        <v>30</v>
      </c>
      <c r="AM53" s="254">
        <f t="shared" si="3"/>
        <v>10</v>
      </c>
      <c r="AN53" s="248">
        <f t="shared" si="4"/>
        <v>33.333333333333329</v>
      </c>
      <c r="AO53" s="255" t="str">
        <f t="shared" si="5"/>
        <v>0</v>
      </c>
      <c r="AP53" s="227">
        <v>3</v>
      </c>
      <c r="AQ53" s="246">
        <v>5</v>
      </c>
      <c r="AR53" s="245">
        <f t="shared" ref="AR53:AR57" si="19">AVERAGE(D120:AB120)</f>
        <v>6.6</v>
      </c>
      <c r="AS53" s="256">
        <f t="shared" si="17"/>
        <v>15</v>
      </c>
    </row>
    <row r="54" spans="1:45" ht="15.75" customHeight="1">
      <c r="A54" s="122">
        <v>50</v>
      </c>
      <c r="B54" s="217">
        <f>OVERALL!B53</f>
        <v>2301287</v>
      </c>
      <c r="C54" s="218" t="str">
        <f>OVERALL!C53</f>
        <v>Vishavjit Singh</v>
      </c>
      <c r="D54" s="113" t="s">
        <v>123</v>
      </c>
      <c r="E54" s="113" t="s">
        <v>123</v>
      </c>
      <c r="F54" s="113" t="s">
        <v>123</v>
      </c>
      <c r="G54" s="113" t="s">
        <v>123</v>
      </c>
      <c r="H54" s="113" t="s">
        <v>123</v>
      </c>
      <c r="I54" s="113" t="s">
        <v>123</v>
      </c>
      <c r="J54" s="113" t="s">
        <v>123</v>
      </c>
      <c r="K54" s="113" t="s">
        <v>123</v>
      </c>
      <c r="L54" s="113" t="s">
        <v>123</v>
      </c>
      <c r="M54" s="96"/>
      <c r="N54" s="96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266">
        <v>0</v>
      </c>
      <c r="AD54" s="88"/>
      <c r="AE54" s="176">
        <f t="shared" si="0"/>
        <v>0</v>
      </c>
      <c r="AF54" s="88">
        <v>30</v>
      </c>
      <c r="AG54" s="313">
        <f t="shared" si="1"/>
        <v>0</v>
      </c>
      <c r="AI54" s="241">
        <f>OVERALL!A50</f>
        <v>47</v>
      </c>
      <c r="AJ54" s="242">
        <f>OVERALL!B50</f>
        <v>2301284</v>
      </c>
      <c r="AK54" s="243" t="str">
        <f>OVERALL!C50</f>
        <v>Vansh Kumar</v>
      </c>
      <c r="AL54" s="254">
        <f t="shared" si="2"/>
        <v>30</v>
      </c>
      <c r="AM54" s="254">
        <f t="shared" si="3"/>
        <v>0</v>
      </c>
      <c r="AN54" s="248">
        <f t="shared" si="4"/>
        <v>0</v>
      </c>
      <c r="AO54" s="255" t="str">
        <f t="shared" si="5"/>
        <v>0</v>
      </c>
      <c r="AP54" s="227">
        <v>0</v>
      </c>
      <c r="AQ54" s="312">
        <v>0</v>
      </c>
      <c r="AR54" s="245">
        <f t="shared" si="19"/>
        <v>0</v>
      </c>
      <c r="AS54" s="256">
        <v>2</v>
      </c>
    </row>
    <row r="55" spans="1:45" ht="15.75" customHeight="1">
      <c r="A55" s="122">
        <v>51</v>
      </c>
      <c r="B55" s="217">
        <f>OVERALL!B54</f>
        <v>2339508</v>
      </c>
      <c r="C55" s="218" t="str">
        <f>OVERALL!C54</f>
        <v>TANISHA</v>
      </c>
      <c r="D55" s="113" t="s">
        <v>123</v>
      </c>
      <c r="E55" s="113" t="s">
        <v>123</v>
      </c>
      <c r="F55" s="113" t="s">
        <v>123</v>
      </c>
      <c r="G55" s="113" t="s">
        <v>123</v>
      </c>
      <c r="H55" s="113" t="s">
        <v>123</v>
      </c>
      <c r="I55" s="113" t="s">
        <v>123</v>
      </c>
      <c r="J55" s="113" t="s">
        <v>123</v>
      </c>
      <c r="K55" s="113" t="s">
        <v>123</v>
      </c>
      <c r="L55" s="113" t="s">
        <v>123</v>
      </c>
      <c r="M55" s="96"/>
      <c r="N55" s="96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266">
        <v>22</v>
      </c>
      <c r="AD55" s="88"/>
      <c r="AE55" s="176">
        <f t="shared" si="0"/>
        <v>22</v>
      </c>
      <c r="AF55" s="88">
        <v>30</v>
      </c>
      <c r="AG55" s="313">
        <f t="shared" si="1"/>
        <v>0.73333333333333328</v>
      </c>
      <c r="AI55" s="241">
        <f>OVERALL!A51</f>
        <v>48</v>
      </c>
      <c r="AJ55" s="242">
        <f>OVERALL!B51</f>
        <v>2301285</v>
      </c>
      <c r="AK55" s="243" t="str">
        <f>OVERALL!C51</f>
        <v>Vansh Sharma</v>
      </c>
      <c r="AL55" s="254">
        <f t="shared" si="2"/>
        <v>30</v>
      </c>
      <c r="AM55" s="254">
        <f t="shared" si="3"/>
        <v>20</v>
      </c>
      <c r="AN55" s="248">
        <f t="shared" si="4"/>
        <v>66.666666666666657</v>
      </c>
      <c r="AO55" s="255" t="str">
        <f t="shared" si="5"/>
        <v>0</v>
      </c>
      <c r="AP55" s="227">
        <v>4</v>
      </c>
      <c r="AQ55" s="246">
        <v>5</v>
      </c>
      <c r="AR55" s="245">
        <f t="shared" si="19"/>
        <v>7</v>
      </c>
      <c r="AS55" s="256">
        <f>ROUND(AO55+AP55+AQ55+AR55,0)</f>
        <v>16</v>
      </c>
    </row>
    <row r="56" spans="1:45" ht="15.75" customHeight="1">
      <c r="A56" s="122">
        <v>52</v>
      </c>
      <c r="B56" s="217">
        <f>OVERALL!B55</f>
        <v>2339509</v>
      </c>
      <c r="C56" s="218" t="str">
        <f>OVERALL!C55</f>
        <v>TOHIED AHMED</v>
      </c>
      <c r="D56" s="113" t="s">
        <v>123</v>
      </c>
      <c r="E56" s="113" t="s">
        <v>123</v>
      </c>
      <c r="F56" s="113" t="s">
        <v>123</v>
      </c>
      <c r="G56" s="113" t="s">
        <v>123</v>
      </c>
      <c r="H56" s="113" t="s">
        <v>123</v>
      </c>
      <c r="I56" s="113" t="s">
        <v>123</v>
      </c>
      <c r="J56" s="113" t="s">
        <v>123</v>
      </c>
      <c r="K56" s="113" t="s">
        <v>123</v>
      </c>
      <c r="L56" s="113" t="s">
        <v>123</v>
      </c>
      <c r="M56" s="96"/>
      <c r="N56" s="96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266">
        <f t="shared" ref="AC56:AC57" si="20">COUNTIF(D56:AB56,"P")*2</f>
        <v>0</v>
      </c>
      <c r="AD56" s="88"/>
      <c r="AE56" s="176">
        <f t="shared" si="0"/>
        <v>0</v>
      </c>
      <c r="AF56" s="88">
        <v>30</v>
      </c>
      <c r="AG56" s="313">
        <f t="shared" si="1"/>
        <v>0</v>
      </c>
      <c r="AI56" s="241">
        <f>OVERALL!A52</f>
        <v>49</v>
      </c>
      <c r="AJ56" s="242">
        <f>OVERALL!B52</f>
        <v>2301286</v>
      </c>
      <c r="AK56" s="243" t="str">
        <f>OVERALL!C52</f>
        <v>Vikramjit Singh</v>
      </c>
      <c r="AL56" s="254">
        <f t="shared" si="2"/>
        <v>30</v>
      </c>
      <c r="AM56" s="254">
        <f t="shared" si="3"/>
        <v>0</v>
      </c>
      <c r="AN56" s="248">
        <f t="shared" si="4"/>
        <v>0</v>
      </c>
      <c r="AO56" s="255" t="str">
        <f t="shared" si="5"/>
        <v>0</v>
      </c>
      <c r="AP56" s="227">
        <v>0</v>
      </c>
      <c r="AQ56" s="312">
        <v>0</v>
      </c>
      <c r="AR56" s="245">
        <f t="shared" si="19"/>
        <v>0</v>
      </c>
      <c r="AS56" s="256">
        <v>2</v>
      </c>
    </row>
    <row r="57" spans="1:45" ht="15.75" customHeight="1">
      <c r="A57" s="122">
        <v>53</v>
      </c>
      <c r="B57" s="217">
        <f>OVERALL!B56</f>
        <v>2301207</v>
      </c>
      <c r="C57" s="218" t="str">
        <f>OVERALL!C56</f>
        <v>Harsh thakur</v>
      </c>
      <c r="D57" s="113" t="s">
        <v>123</v>
      </c>
      <c r="E57" s="113" t="s">
        <v>123</v>
      </c>
      <c r="F57" s="113" t="s">
        <v>123</v>
      </c>
      <c r="G57" s="113" t="s">
        <v>123</v>
      </c>
      <c r="H57" s="113" t="s">
        <v>123</v>
      </c>
      <c r="I57" s="113" t="s">
        <v>123</v>
      </c>
      <c r="J57" s="113" t="s">
        <v>123</v>
      </c>
      <c r="K57" s="113" t="s">
        <v>123</v>
      </c>
      <c r="L57" s="113" t="s">
        <v>123</v>
      </c>
      <c r="M57" s="96"/>
      <c r="N57" s="96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266">
        <f t="shared" si="20"/>
        <v>0</v>
      </c>
      <c r="AD57" s="88"/>
      <c r="AE57" s="176">
        <f t="shared" si="0"/>
        <v>0</v>
      </c>
      <c r="AF57" s="88">
        <v>30</v>
      </c>
      <c r="AG57" s="313">
        <f t="shared" si="1"/>
        <v>0</v>
      </c>
      <c r="AI57" s="241">
        <f>OVERALL!A53</f>
        <v>50</v>
      </c>
      <c r="AJ57" s="242">
        <f>OVERALL!B53</f>
        <v>2301287</v>
      </c>
      <c r="AK57" s="243" t="str">
        <f>OVERALL!C53</f>
        <v>Vishavjit Singh</v>
      </c>
      <c r="AL57" s="254">
        <f t="shared" si="2"/>
        <v>30</v>
      </c>
      <c r="AM57" s="254">
        <f t="shared" si="3"/>
        <v>0</v>
      </c>
      <c r="AN57" s="248">
        <f t="shared" si="4"/>
        <v>0</v>
      </c>
      <c r="AO57" s="255" t="str">
        <f t="shared" si="5"/>
        <v>0</v>
      </c>
      <c r="AP57" s="227">
        <v>0</v>
      </c>
      <c r="AQ57" s="312">
        <v>0</v>
      </c>
      <c r="AR57" s="245">
        <f t="shared" si="19"/>
        <v>0</v>
      </c>
      <c r="AS57" s="256">
        <v>2</v>
      </c>
    </row>
    <row r="58" spans="1:45" ht="15.75" customHeight="1">
      <c r="A58" s="122">
        <v>54</v>
      </c>
      <c r="B58" s="217" t="str">
        <f>OVERALL!B57</f>
        <v>Leet</v>
      </c>
      <c r="C58" s="218" t="str">
        <f>OVERALL!C57</f>
        <v>Gagan</v>
      </c>
      <c r="D58" s="113" t="s">
        <v>123</v>
      </c>
      <c r="E58" s="113" t="s">
        <v>123</v>
      </c>
      <c r="F58" s="113" t="s">
        <v>123</v>
      </c>
      <c r="G58" s="113" t="s">
        <v>123</v>
      </c>
      <c r="H58" s="113" t="s">
        <v>123</v>
      </c>
      <c r="I58" s="113" t="s">
        <v>123</v>
      </c>
      <c r="J58" s="113" t="s">
        <v>123</v>
      </c>
      <c r="K58" s="113" t="s">
        <v>123</v>
      </c>
      <c r="L58" s="113" t="s">
        <v>123</v>
      </c>
      <c r="M58" s="96"/>
      <c r="N58" s="96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266">
        <v>24</v>
      </c>
      <c r="AD58" s="88"/>
      <c r="AE58" s="176">
        <f t="shared" si="0"/>
        <v>24</v>
      </c>
      <c r="AF58" s="88">
        <v>30</v>
      </c>
      <c r="AG58" s="313">
        <f t="shared" si="1"/>
        <v>0.8</v>
      </c>
      <c r="AI58" s="241">
        <f>OVERALL!A54</f>
        <v>51</v>
      </c>
      <c r="AJ58" s="242">
        <f>OVERALL!B54</f>
        <v>2339508</v>
      </c>
      <c r="AK58" s="243" t="str">
        <f>OVERALL!C54</f>
        <v>TANISHA</v>
      </c>
      <c r="AL58" s="254">
        <f t="shared" si="2"/>
        <v>30</v>
      </c>
      <c r="AM58" s="254">
        <f t="shared" si="3"/>
        <v>22</v>
      </c>
      <c r="AN58" s="248">
        <f t="shared" si="4"/>
        <v>73.333333333333329</v>
      </c>
      <c r="AO58" s="255" t="str">
        <f t="shared" si="5"/>
        <v>0</v>
      </c>
      <c r="AP58" s="227">
        <v>5</v>
      </c>
      <c r="AQ58" s="246">
        <v>7</v>
      </c>
      <c r="AR58" s="245">
        <v>8</v>
      </c>
      <c r="AS58" s="256">
        <f>ROUND(AO58+AP58+AQ58+AR58,0)</f>
        <v>20</v>
      </c>
    </row>
    <row r="59" spans="1:45" ht="15.75" customHeight="1">
      <c r="A59" s="122">
        <v>55</v>
      </c>
      <c r="B59" s="217" t="str">
        <f>OVERALL!B58</f>
        <v>Leet</v>
      </c>
      <c r="C59" s="218" t="str">
        <f>OVERALL!C58</f>
        <v>Manisha</v>
      </c>
      <c r="D59" s="113" t="s">
        <v>123</v>
      </c>
      <c r="E59" s="113" t="s">
        <v>123</v>
      </c>
      <c r="F59" s="113" t="s">
        <v>123</v>
      </c>
      <c r="G59" s="113" t="s">
        <v>123</v>
      </c>
      <c r="H59" s="113" t="s">
        <v>123</v>
      </c>
      <c r="I59" s="113" t="s">
        <v>123</v>
      </c>
      <c r="J59" s="113" t="s">
        <v>123</v>
      </c>
      <c r="K59" s="113" t="s">
        <v>123</v>
      </c>
      <c r="L59" s="113" t="s">
        <v>123</v>
      </c>
      <c r="M59" s="96"/>
      <c r="N59" s="96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266">
        <v>24</v>
      </c>
      <c r="AD59" s="88"/>
      <c r="AE59" s="176">
        <f t="shared" si="0"/>
        <v>24</v>
      </c>
      <c r="AF59" s="88">
        <v>30</v>
      </c>
      <c r="AG59" s="313">
        <f t="shared" si="1"/>
        <v>0.8</v>
      </c>
      <c r="AI59" s="241">
        <f>OVERALL!A55</f>
        <v>52</v>
      </c>
      <c r="AJ59" s="242">
        <f>OVERALL!B55</f>
        <v>2339509</v>
      </c>
      <c r="AK59" s="243" t="str">
        <f>OVERALL!C55</f>
        <v>TOHIED AHMED</v>
      </c>
      <c r="AL59" s="254">
        <f t="shared" si="2"/>
        <v>30</v>
      </c>
      <c r="AM59" s="254">
        <f t="shared" si="3"/>
        <v>0</v>
      </c>
      <c r="AN59" s="248">
        <f t="shared" si="4"/>
        <v>0</v>
      </c>
      <c r="AO59" s="255" t="str">
        <f t="shared" si="5"/>
        <v>0</v>
      </c>
      <c r="AP59" s="227">
        <v>0</v>
      </c>
      <c r="AQ59" s="312">
        <v>0</v>
      </c>
      <c r="AR59" s="245">
        <f t="shared" ref="AR59:AR65" si="21">AVERAGE(D126:AB126)</f>
        <v>0</v>
      </c>
      <c r="AS59" s="256">
        <v>2</v>
      </c>
    </row>
    <row r="60" spans="1:45" ht="15.75" customHeight="1">
      <c r="A60" s="122">
        <v>56</v>
      </c>
      <c r="B60" s="217" t="str">
        <f>OVERALL!B59</f>
        <v>Leet</v>
      </c>
      <c r="C60" s="218" t="str">
        <f>OVERALL!C59</f>
        <v>Richa</v>
      </c>
      <c r="D60" s="113" t="s">
        <v>123</v>
      </c>
      <c r="E60" s="113" t="s">
        <v>123</v>
      </c>
      <c r="F60" s="113" t="s">
        <v>123</v>
      </c>
      <c r="G60" s="113" t="s">
        <v>123</v>
      </c>
      <c r="H60" s="113" t="s">
        <v>123</v>
      </c>
      <c r="I60" s="113" t="s">
        <v>123</v>
      </c>
      <c r="J60" s="113" t="s">
        <v>123</v>
      </c>
      <c r="K60" s="113" t="s">
        <v>123</v>
      </c>
      <c r="L60" s="113" t="s">
        <v>123</v>
      </c>
      <c r="M60" s="96"/>
      <c r="N60" s="96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266">
        <v>24</v>
      </c>
      <c r="AD60" s="88"/>
      <c r="AE60" s="176">
        <f t="shared" si="0"/>
        <v>24</v>
      </c>
      <c r="AF60" s="88">
        <v>30</v>
      </c>
      <c r="AG60" s="313">
        <f t="shared" si="1"/>
        <v>0.8</v>
      </c>
      <c r="AI60" s="241">
        <f>OVERALL!A56</f>
        <v>53</v>
      </c>
      <c r="AJ60" s="242">
        <f>OVERALL!B56</f>
        <v>2301207</v>
      </c>
      <c r="AK60" s="243" t="str">
        <f>OVERALL!C56</f>
        <v>Harsh thakur</v>
      </c>
      <c r="AL60" s="254">
        <f t="shared" si="2"/>
        <v>30</v>
      </c>
      <c r="AM60" s="254">
        <f t="shared" si="3"/>
        <v>0</v>
      </c>
      <c r="AN60" s="248">
        <f t="shared" si="4"/>
        <v>0</v>
      </c>
      <c r="AO60" s="255" t="str">
        <f t="shared" si="5"/>
        <v>0</v>
      </c>
      <c r="AP60" s="227">
        <v>0</v>
      </c>
      <c r="AQ60" s="312">
        <v>0</v>
      </c>
      <c r="AR60" s="245">
        <f t="shared" si="21"/>
        <v>0</v>
      </c>
      <c r="AS60" s="256">
        <v>2</v>
      </c>
    </row>
    <row r="61" spans="1:45" ht="15.75" customHeight="1">
      <c r="A61" s="157"/>
      <c r="B61" s="217" t="str">
        <f>OVERALL!B60</f>
        <v>Leet</v>
      </c>
      <c r="C61" s="218" t="str">
        <f>OVERALL!C60</f>
        <v>Prakriti</v>
      </c>
      <c r="D61" s="113"/>
      <c r="E61" s="113"/>
      <c r="F61" s="113"/>
      <c r="G61" s="113"/>
      <c r="H61" s="113"/>
      <c r="I61" s="113"/>
      <c r="J61" s="96"/>
      <c r="K61" s="96"/>
      <c r="L61" s="96"/>
      <c r="M61" s="96"/>
      <c r="N61" s="96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88">
        <v>20</v>
      </c>
      <c r="AD61" s="88"/>
      <c r="AE61" s="88">
        <v>20</v>
      </c>
      <c r="AF61" s="176">
        <v>20</v>
      </c>
      <c r="AG61" s="313">
        <f t="shared" si="1"/>
        <v>1</v>
      </c>
      <c r="AI61" s="241">
        <f>OVERALL!A57</f>
        <v>54</v>
      </c>
      <c r="AJ61" s="242" t="str">
        <f>OVERALL!B57</f>
        <v>Leet</v>
      </c>
      <c r="AK61" s="243" t="str">
        <f>OVERALL!C57</f>
        <v>Gagan</v>
      </c>
      <c r="AL61" s="254">
        <f t="shared" si="2"/>
        <v>30</v>
      </c>
      <c r="AM61" s="254">
        <f t="shared" si="3"/>
        <v>24</v>
      </c>
      <c r="AN61" s="248">
        <f t="shared" si="4"/>
        <v>80</v>
      </c>
      <c r="AO61" s="255" t="str">
        <f t="shared" si="5"/>
        <v>2</v>
      </c>
      <c r="AP61" s="227">
        <v>6</v>
      </c>
      <c r="AQ61" s="246">
        <v>7</v>
      </c>
      <c r="AR61" s="245">
        <f t="shared" si="21"/>
        <v>8</v>
      </c>
      <c r="AS61" s="256">
        <f t="shared" ref="AS61:AS65" si="22">ROUND(AO61+AP61+AQ61+AR61,0)</f>
        <v>23</v>
      </c>
    </row>
    <row r="62" spans="1:45" ht="15.75" customHeight="1">
      <c r="A62" s="316"/>
      <c r="B62" s="217" t="str">
        <f>OVERALL!B61</f>
        <v>leet</v>
      </c>
      <c r="C62" s="218" t="str">
        <f>OVERALL!C61</f>
        <v>Shubham</v>
      </c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32">
        <v>10</v>
      </c>
      <c r="AD62" s="132"/>
      <c r="AE62" s="132">
        <v>10</v>
      </c>
      <c r="AF62" s="176">
        <v>14</v>
      </c>
      <c r="AG62" s="313">
        <f t="shared" si="1"/>
        <v>0.7142857142857143</v>
      </c>
      <c r="AI62" s="241">
        <f>OVERALL!A58</f>
        <v>55</v>
      </c>
      <c r="AJ62" s="242" t="str">
        <f>OVERALL!B58</f>
        <v>Leet</v>
      </c>
      <c r="AK62" s="243" t="str">
        <f>OVERALL!C58</f>
        <v>Manisha</v>
      </c>
      <c r="AL62" s="254">
        <f t="shared" si="2"/>
        <v>30</v>
      </c>
      <c r="AM62" s="254">
        <f t="shared" si="3"/>
        <v>24</v>
      </c>
      <c r="AN62" s="248">
        <f t="shared" si="4"/>
        <v>80</v>
      </c>
      <c r="AO62" s="255" t="str">
        <f t="shared" si="5"/>
        <v>2</v>
      </c>
      <c r="AP62" s="227">
        <v>6</v>
      </c>
      <c r="AQ62" s="246">
        <v>6</v>
      </c>
      <c r="AR62" s="245">
        <f t="shared" si="21"/>
        <v>8.5</v>
      </c>
      <c r="AS62" s="256">
        <f t="shared" si="22"/>
        <v>23</v>
      </c>
    </row>
    <row r="63" spans="1:45" ht="15.75" customHeight="1">
      <c r="A63" s="316"/>
      <c r="B63" s="317"/>
      <c r="C63" s="318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32"/>
      <c r="AD63" s="132"/>
      <c r="AE63" s="132"/>
      <c r="AF63" s="132"/>
      <c r="AG63" s="311"/>
      <c r="AI63" s="241">
        <f>OVERALL!A59</f>
        <v>56</v>
      </c>
      <c r="AJ63" s="242" t="str">
        <f>OVERALL!B59</f>
        <v>Leet</v>
      </c>
      <c r="AK63" s="243" t="str">
        <f>OVERALL!C59</f>
        <v>Richa</v>
      </c>
      <c r="AL63" s="254">
        <f t="shared" si="2"/>
        <v>30</v>
      </c>
      <c r="AM63" s="254">
        <f t="shared" si="3"/>
        <v>24</v>
      </c>
      <c r="AN63" s="248">
        <f t="shared" si="4"/>
        <v>80</v>
      </c>
      <c r="AO63" s="255" t="str">
        <f t="shared" si="5"/>
        <v>2</v>
      </c>
      <c r="AP63" s="227">
        <v>6</v>
      </c>
      <c r="AQ63" s="246">
        <v>6</v>
      </c>
      <c r="AR63" s="245">
        <f t="shared" si="21"/>
        <v>9.1999999999999993</v>
      </c>
      <c r="AS63" s="256">
        <f t="shared" si="22"/>
        <v>23</v>
      </c>
    </row>
    <row r="64" spans="1:45" ht="15.75" customHeight="1">
      <c r="A64" s="316"/>
      <c r="B64" s="317"/>
      <c r="C64" s="318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32"/>
      <c r="AD64" s="132"/>
      <c r="AE64" s="132"/>
      <c r="AF64" s="132"/>
      <c r="AG64" s="311"/>
      <c r="AI64" s="157"/>
      <c r="AJ64" s="242" t="str">
        <f>OVERALL!B60</f>
        <v>Leet</v>
      </c>
      <c r="AK64" s="243" t="str">
        <f>OVERALL!C60</f>
        <v>Prakriti</v>
      </c>
      <c r="AL64" s="254">
        <f t="shared" si="2"/>
        <v>20</v>
      </c>
      <c r="AM64" s="254">
        <f t="shared" si="3"/>
        <v>20</v>
      </c>
      <c r="AN64" s="248">
        <f t="shared" si="4"/>
        <v>100</v>
      </c>
      <c r="AO64" s="255" t="str">
        <f t="shared" si="5"/>
        <v>6</v>
      </c>
      <c r="AP64" s="227">
        <v>6</v>
      </c>
      <c r="AQ64" s="246">
        <v>6</v>
      </c>
      <c r="AR64" s="245">
        <f t="shared" si="21"/>
        <v>8.6999999999999993</v>
      </c>
      <c r="AS64" s="256">
        <f t="shared" si="22"/>
        <v>27</v>
      </c>
    </row>
    <row r="65" spans="1:45" ht="15.75" customHeight="1">
      <c r="A65" s="316"/>
      <c r="B65" s="317"/>
      <c r="C65" s="318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32"/>
      <c r="AD65" s="132"/>
      <c r="AE65" s="132"/>
      <c r="AF65" s="132"/>
      <c r="AG65" s="311"/>
      <c r="AI65" s="157"/>
      <c r="AJ65" s="242" t="str">
        <f>OVERALL!B61</f>
        <v>leet</v>
      </c>
      <c r="AK65" s="243" t="str">
        <f>OVERALL!C61</f>
        <v>Shubham</v>
      </c>
      <c r="AL65" s="254">
        <f t="shared" si="2"/>
        <v>14</v>
      </c>
      <c r="AM65" s="254">
        <f t="shared" si="3"/>
        <v>10</v>
      </c>
      <c r="AN65" s="248">
        <f t="shared" si="4"/>
        <v>71.428571428571431</v>
      </c>
      <c r="AO65" s="255" t="str">
        <f t="shared" si="5"/>
        <v>0</v>
      </c>
      <c r="AP65" s="227">
        <v>5</v>
      </c>
      <c r="AQ65" s="246">
        <v>6</v>
      </c>
      <c r="AR65" s="245">
        <f t="shared" si="21"/>
        <v>7.6</v>
      </c>
      <c r="AS65" s="256">
        <f t="shared" si="22"/>
        <v>19</v>
      </c>
    </row>
    <row r="66" spans="1:45" ht="15.75" customHeight="1">
      <c r="A66" s="316"/>
      <c r="B66" s="318"/>
      <c r="C66" s="318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32"/>
      <c r="AD66" s="132"/>
      <c r="AE66" s="132"/>
      <c r="AF66" s="132"/>
      <c r="AG66" s="311"/>
      <c r="AI66" s="157"/>
      <c r="AJ66" s="159"/>
      <c r="AK66" s="162"/>
      <c r="AL66" s="244"/>
      <c r="AM66" s="244"/>
      <c r="AN66" s="245"/>
      <c r="AO66" s="107"/>
      <c r="AP66" s="246"/>
      <c r="AQ66" s="246"/>
      <c r="AR66" s="245"/>
      <c r="AS66" s="245"/>
    </row>
    <row r="67" spans="1:45" ht="15.75" customHeight="1">
      <c r="A67" s="157"/>
      <c r="B67" s="162"/>
      <c r="C67" s="162"/>
      <c r="D67" s="113"/>
      <c r="E67" s="113"/>
      <c r="F67" s="113"/>
      <c r="G67" s="113"/>
      <c r="H67" s="113"/>
      <c r="I67" s="113"/>
      <c r="J67" s="96"/>
      <c r="K67" s="96"/>
      <c r="L67" s="96"/>
      <c r="M67" s="96"/>
      <c r="N67" s="96"/>
      <c r="O67" s="113"/>
      <c r="P67" s="113"/>
      <c r="Q67" s="113"/>
      <c r="R67" s="113"/>
      <c r="S67" s="113"/>
      <c r="T67" s="113"/>
      <c r="U67" s="113"/>
      <c r="V67" s="132"/>
      <c r="W67" s="132"/>
      <c r="X67" s="132"/>
      <c r="Y67" s="132"/>
      <c r="Z67" s="132"/>
      <c r="AA67" s="132"/>
      <c r="AB67" s="132"/>
      <c r="AC67" s="88"/>
      <c r="AD67" s="88"/>
      <c r="AE67" s="88"/>
      <c r="AF67" s="88"/>
      <c r="AG67" s="311"/>
      <c r="AI67" s="157"/>
      <c r="AJ67" s="159"/>
      <c r="AK67" s="162"/>
      <c r="AL67" s="244"/>
      <c r="AM67" s="244"/>
      <c r="AN67" s="245"/>
      <c r="AO67" s="107"/>
      <c r="AP67" s="246"/>
      <c r="AQ67" s="246"/>
      <c r="AR67" s="245"/>
      <c r="AS67" s="245"/>
    </row>
    <row r="68" spans="1:45" ht="15.75" customHeight="1">
      <c r="A68" s="157"/>
      <c r="B68" s="162"/>
      <c r="C68" s="162"/>
      <c r="D68" s="113"/>
      <c r="E68" s="113"/>
      <c r="F68" s="113"/>
      <c r="G68" s="113"/>
      <c r="H68" s="113"/>
      <c r="I68" s="113"/>
      <c r="J68" s="96"/>
      <c r="K68" s="96"/>
      <c r="L68" s="96"/>
      <c r="M68" s="96"/>
      <c r="N68" s="96"/>
      <c r="O68" s="113"/>
      <c r="P68" s="113"/>
      <c r="Q68" s="113"/>
      <c r="R68" s="113"/>
      <c r="S68" s="113"/>
      <c r="T68" s="113"/>
      <c r="U68" s="113"/>
      <c r="V68" s="132"/>
      <c r="W68" s="132"/>
      <c r="X68" s="132"/>
      <c r="Y68" s="132"/>
      <c r="Z68" s="132"/>
      <c r="AA68" s="132"/>
      <c r="AB68" s="132"/>
      <c r="AC68" s="88"/>
      <c r="AD68" s="88"/>
      <c r="AE68" s="88"/>
      <c r="AF68" s="88"/>
      <c r="AG68" s="311"/>
      <c r="AI68" s="157"/>
      <c r="AJ68" s="159"/>
      <c r="AK68" s="162"/>
      <c r="AL68" s="244"/>
      <c r="AM68" s="244"/>
      <c r="AN68" s="245"/>
      <c r="AO68" s="107"/>
      <c r="AP68" s="246"/>
      <c r="AQ68" s="246"/>
      <c r="AR68" s="245"/>
      <c r="AS68" s="245"/>
    </row>
    <row r="69" spans="1:45" ht="15.75" customHeight="1">
      <c r="A69" s="134"/>
      <c r="B69" s="184"/>
      <c r="C69" s="13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51"/>
      <c r="AF69" s="24"/>
      <c r="AG69" s="306"/>
      <c r="AI69" s="157"/>
      <c r="AJ69" s="159"/>
      <c r="AK69" s="162"/>
      <c r="AL69" s="244"/>
      <c r="AM69" s="244"/>
      <c r="AN69" s="245"/>
      <c r="AO69" s="107"/>
      <c r="AP69" s="246"/>
      <c r="AQ69" s="246"/>
      <c r="AR69" s="245"/>
      <c r="AS69" s="245"/>
    </row>
    <row r="70" spans="1:45" ht="15.75" customHeight="1">
      <c r="A70" s="134"/>
      <c r="B70" s="184"/>
      <c r="C70" s="13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51"/>
      <c r="AF70" s="24"/>
      <c r="AG70" s="306"/>
      <c r="AI70" s="157"/>
      <c r="AJ70" s="159"/>
      <c r="AK70" s="162"/>
      <c r="AL70" s="244"/>
      <c r="AM70" s="244"/>
      <c r="AN70" s="245"/>
      <c r="AO70" s="107"/>
      <c r="AP70" s="246"/>
      <c r="AQ70" s="246"/>
      <c r="AR70" s="245"/>
      <c r="AS70" s="245"/>
    </row>
    <row r="71" spans="1:45" ht="15.75" customHeight="1">
      <c r="A71" s="134"/>
      <c r="B71" s="184"/>
      <c r="C71" s="13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51"/>
      <c r="AF71" s="24"/>
      <c r="AG71" s="306"/>
      <c r="AI71" s="157"/>
      <c r="AJ71" s="159"/>
      <c r="AK71" s="162"/>
      <c r="AL71" s="244"/>
      <c r="AM71" s="244"/>
      <c r="AN71" s="245"/>
      <c r="AO71" s="107"/>
      <c r="AP71" s="246"/>
      <c r="AQ71" s="246"/>
      <c r="AR71" s="245"/>
      <c r="AS71" s="245"/>
    </row>
    <row r="72" spans="1:45" ht="15.75" customHeight="1">
      <c r="A72" s="134"/>
      <c r="B72" s="184"/>
      <c r="C72" s="13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51"/>
      <c r="AF72" s="24"/>
      <c r="AG72" s="306"/>
      <c r="AJ72" s="40"/>
    </row>
    <row r="73" spans="1:45" ht="15.75" customHeight="1">
      <c r="A73" s="410" t="s">
        <v>180</v>
      </c>
      <c r="B73" s="411"/>
      <c r="C73" s="411"/>
      <c r="D73" s="411"/>
      <c r="E73" s="411"/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1"/>
      <c r="S73" s="411"/>
      <c r="T73" s="411"/>
      <c r="U73" s="411"/>
      <c r="V73" s="411"/>
      <c r="W73" s="411"/>
      <c r="X73" s="411"/>
      <c r="Y73" s="411"/>
      <c r="Z73" s="411"/>
      <c r="AA73" s="411"/>
      <c r="AB73" s="412"/>
      <c r="AC73" s="24"/>
      <c r="AD73" s="24"/>
      <c r="AE73" s="24"/>
      <c r="AF73" s="24"/>
      <c r="AG73" s="306"/>
      <c r="AJ73" s="40"/>
    </row>
    <row r="74" spans="1:45" ht="15.75" customHeight="1">
      <c r="A74" s="319" t="s">
        <v>12</v>
      </c>
      <c r="B74" s="268" t="s">
        <v>13</v>
      </c>
      <c r="C74" s="269" t="s">
        <v>14</v>
      </c>
      <c r="D74" s="96">
        <v>1</v>
      </c>
      <c r="E74" s="96">
        <v>2</v>
      </c>
      <c r="F74" s="96">
        <v>3</v>
      </c>
      <c r="G74" s="96">
        <v>4</v>
      </c>
      <c r="H74" s="96">
        <v>5</v>
      </c>
      <c r="I74" s="96">
        <v>6</v>
      </c>
      <c r="J74" s="96">
        <v>7</v>
      </c>
      <c r="K74" s="96">
        <v>8</v>
      </c>
      <c r="L74" s="96">
        <v>9</v>
      </c>
      <c r="M74" s="96">
        <v>10</v>
      </c>
      <c r="N74" s="96">
        <v>11</v>
      </c>
      <c r="O74" s="96">
        <v>12</v>
      </c>
      <c r="P74" s="96">
        <v>13</v>
      </c>
      <c r="Q74" s="96">
        <v>14</v>
      </c>
      <c r="R74" s="96">
        <v>15</v>
      </c>
      <c r="S74" s="96">
        <v>16</v>
      </c>
      <c r="T74" s="96">
        <v>17</v>
      </c>
      <c r="U74" s="96">
        <v>18</v>
      </c>
      <c r="V74" s="96">
        <v>19</v>
      </c>
      <c r="W74" s="96">
        <v>20</v>
      </c>
      <c r="X74" s="96">
        <v>21</v>
      </c>
      <c r="Y74" s="96">
        <v>22</v>
      </c>
      <c r="Z74" s="96">
        <v>23</v>
      </c>
      <c r="AA74" s="96">
        <v>24</v>
      </c>
      <c r="AB74" s="320">
        <v>25</v>
      </c>
      <c r="AC74" s="24"/>
      <c r="AD74" s="24"/>
      <c r="AE74" s="24"/>
      <c r="AF74" s="24"/>
      <c r="AG74" s="306"/>
      <c r="AJ74" s="40"/>
    </row>
    <row r="75" spans="1:45" ht="15.75" customHeight="1">
      <c r="A75" s="321">
        <f>OVERALL!A4</f>
        <v>1</v>
      </c>
      <c r="B75" s="160">
        <f>OVERALL!B4</f>
        <v>2301236</v>
      </c>
      <c r="C75" s="157" t="str">
        <f>OVERALL!C4</f>
        <v>Manmohan Singh</v>
      </c>
      <c r="D75" s="322">
        <v>0</v>
      </c>
      <c r="E75" s="322">
        <v>0</v>
      </c>
      <c r="F75" s="322">
        <v>0</v>
      </c>
      <c r="G75" s="322">
        <v>0</v>
      </c>
      <c r="H75" s="322">
        <v>0</v>
      </c>
      <c r="I75" s="322">
        <v>0</v>
      </c>
      <c r="J75" s="322">
        <v>0</v>
      </c>
      <c r="K75" s="322">
        <v>0</v>
      </c>
      <c r="L75" s="322">
        <v>0</v>
      </c>
      <c r="M75" s="322">
        <v>0</v>
      </c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323"/>
      <c r="AC75" s="24"/>
      <c r="AD75" s="24"/>
      <c r="AE75" s="24"/>
      <c r="AF75" s="24"/>
      <c r="AG75" s="306"/>
      <c r="AJ75" s="40"/>
    </row>
    <row r="76" spans="1:45" ht="15.75" customHeight="1">
      <c r="A76" s="321">
        <f>OVERALL!A5</f>
        <v>2</v>
      </c>
      <c r="B76" s="160">
        <f>OVERALL!B5</f>
        <v>2301237</v>
      </c>
      <c r="C76" s="157" t="str">
        <f>OVERALL!C5</f>
        <v>Manpreet Kaur</v>
      </c>
      <c r="D76" s="227">
        <v>8</v>
      </c>
      <c r="E76" s="324">
        <v>8</v>
      </c>
      <c r="F76" s="324">
        <v>8</v>
      </c>
      <c r="G76" s="324">
        <v>8</v>
      </c>
      <c r="H76" s="324">
        <v>9</v>
      </c>
      <c r="I76" s="324">
        <v>9</v>
      </c>
      <c r="J76" s="324">
        <v>9</v>
      </c>
      <c r="K76" s="324">
        <v>9</v>
      </c>
      <c r="L76" s="324">
        <v>10</v>
      </c>
      <c r="M76" s="324">
        <v>10</v>
      </c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323"/>
      <c r="AC76" s="24"/>
      <c r="AD76" s="24"/>
      <c r="AE76" s="24"/>
      <c r="AF76" s="24"/>
      <c r="AG76" s="306"/>
      <c r="AJ76" s="40"/>
    </row>
    <row r="77" spans="1:45" ht="15.75" customHeight="1">
      <c r="A77" s="321">
        <f>OVERALL!A6</f>
        <v>3</v>
      </c>
      <c r="B77" s="160">
        <f>OVERALL!B6</f>
        <v>2301238</v>
      </c>
      <c r="C77" s="157" t="str">
        <f>OVERALL!C6</f>
        <v>Md Warish Chesam</v>
      </c>
      <c r="D77" s="227">
        <v>7</v>
      </c>
      <c r="E77" s="324">
        <v>7</v>
      </c>
      <c r="F77" s="324">
        <v>8</v>
      </c>
      <c r="G77" s="324">
        <v>8</v>
      </c>
      <c r="H77" s="324">
        <v>9</v>
      </c>
      <c r="I77" s="324">
        <v>9</v>
      </c>
      <c r="J77" s="324">
        <v>8</v>
      </c>
      <c r="K77" s="324">
        <v>8</v>
      </c>
      <c r="L77" s="324">
        <v>9</v>
      </c>
      <c r="M77" s="324">
        <v>10</v>
      </c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323"/>
      <c r="AC77" s="24"/>
      <c r="AD77" s="24"/>
      <c r="AE77" s="24"/>
      <c r="AF77" s="24"/>
      <c r="AG77" s="306"/>
      <c r="AJ77" s="40"/>
    </row>
    <row r="78" spans="1:45" ht="15.75" customHeight="1">
      <c r="A78" s="321">
        <f>OVERALL!A7</f>
        <v>4</v>
      </c>
      <c r="B78" s="160">
        <f>OVERALL!B7</f>
        <v>2301239</v>
      </c>
      <c r="C78" s="157" t="str">
        <f>OVERALL!C7</f>
        <v>Mohd Shahid Afridi</v>
      </c>
      <c r="D78" s="325">
        <v>0</v>
      </c>
      <c r="E78" s="325">
        <v>0</v>
      </c>
      <c r="F78" s="325">
        <v>0</v>
      </c>
      <c r="G78" s="325">
        <v>0</v>
      </c>
      <c r="H78" s="325">
        <v>0</v>
      </c>
      <c r="I78" s="325">
        <v>0</v>
      </c>
      <c r="J78" s="325">
        <v>0</v>
      </c>
      <c r="K78" s="325">
        <v>0</v>
      </c>
      <c r="L78" s="325">
        <v>0</v>
      </c>
      <c r="M78" s="325">
        <v>0</v>
      </c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323"/>
      <c r="AC78" s="24"/>
      <c r="AD78" s="24"/>
      <c r="AE78" s="24"/>
      <c r="AF78" s="24"/>
      <c r="AG78" s="306"/>
      <c r="AJ78" s="40"/>
    </row>
    <row r="79" spans="1:45" ht="15.75" customHeight="1">
      <c r="A79" s="321">
        <f>OVERALL!A8</f>
        <v>5</v>
      </c>
      <c r="B79" s="160">
        <f>OVERALL!B8</f>
        <v>2301240</v>
      </c>
      <c r="C79" s="157" t="str">
        <f>OVERALL!C8</f>
        <v>Munisha</v>
      </c>
      <c r="D79" s="227">
        <v>7</v>
      </c>
      <c r="E79" s="324">
        <v>8</v>
      </c>
      <c r="F79" s="324">
        <v>8</v>
      </c>
      <c r="G79" s="324">
        <v>8</v>
      </c>
      <c r="H79" s="324">
        <v>7</v>
      </c>
      <c r="I79" s="324">
        <v>8</v>
      </c>
      <c r="J79" s="324">
        <v>8</v>
      </c>
      <c r="K79" s="324">
        <v>8</v>
      </c>
      <c r="L79" s="324">
        <v>7</v>
      </c>
      <c r="M79" s="324">
        <v>7</v>
      </c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323"/>
      <c r="AC79" s="24"/>
      <c r="AD79" s="24"/>
      <c r="AE79" s="24"/>
      <c r="AF79" s="24"/>
      <c r="AG79" s="306"/>
      <c r="AJ79" s="40"/>
    </row>
    <row r="80" spans="1:45" ht="15.75" customHeight="1">
      <c r="A80" s="321">
        <f>OVERALL!A9</f>
        <v>6</v>
      </c>
      <c r="B80" s="160">
        <f>OVERALL!B9</f>
        <v>2301241</v>
      </c>
      <c r="C80" s="157" t="str">
        <f>OVERALL!C9</f>
        <v>Nikhil Kumar Thakur</v>
      </c>
      <c r="D80" s="227">
        <v>8</v>
      </c>
      <c r="E80" s="324">
        <v>8</v>
      </c>
      <c r="F80" s="324">
        <v>9</v>
      </c>
      <c r="G80" s="324">
        <v>9</v>
      </c>
      <c r="H80" s="324">
        <v>8</v>
      </c>
      <c r="I80" s="324">
        <v>8</v>
      </c>
      <c r="J80" s="324">
        <v>9</v>
      </c>
      <c r="K80" s="324">
        <v>9</v>
      </c>
      <c r="L80" s="324">
        <v>9</v>
      </c>
      <c r="M80" s="324">
        <v>10</v>
      </c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323"/>
      <c r="AC80" s="24"/>
      <c r="AD80" s="24"/>
      <c r="AE80" s="24"/>
      <c r="AF80" s="24"/>
      <c r="AG80" s="306"/>
      <c r="AH80" s="270"/>
      <c r="AJ80" s="40"/>
    </row>
    <row r="81" spans="1:36" ht="15.75" customHeight="1">
      <c r="A81" s="321">
        <f>OVERALL!A10</f>
        <v>7</v>
      </c>
      <c r="B81" s="160">
        <f>OVERALL!B10</f>
        <v>2301242</v>
      </c>
      <c r="C81" s="157" t="str">
        <f>OVERALL!C10</f>
        <v>Palak Pathania</v>
      </c>
      <c r="D81" s="227">
        <v>7</v>
      </c>
      <c r="E81" s="324">
        <v>7</v>
      </c>
      <c r="F81" s="324">
        <v>8</v>
      </c>
      <c r="G81" s="324">
        <v>8</v>
      </c>
      <c r="H81" s="324">
        <v>8</v>
      </c>
      <c r="I81" s="324">
        <v>8</v>
      </c>
      <c r="J81" s="324">
        <v>9</v>
      </c>
      <c r="K81" s="324">
        <v>9</v>
      </c>
      <c r="L81" s="324">
        <v>9</v>
      </c>
      <c r="M81" s="324">
        <v>9</v>
      </c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323"/>
      <c r="AC81" s="24"/>
      <c r="AD81" s="24"/>
      <c r="AE81" s="24"/>
      <c r="AF81" s="24"/>
      <c r="AG81" s="306"/>
      <c r="AH81" s="270"/>
      <c r="AJ81" s="40"/>
    </row>
    <row r="82" spans="1:36" ht="15.75" customHeight="1">
      <c r="A82" s="321">
        <f>OVERALL!A11</f>
        <v>8</v>
      </c>
      <c r="B82" s="160">
        <f>OVERALL!B11</f>
        <v>2301243</v>
      </c>
      <c r="C82" s="157" t="str">
        <f>OVERALL!C11</f>
        <v>Pardeep Singh</v>
      </c>
      <c r="D82" s="227">
        <v>7</v>
      </c>
      <c r="E82" s="324">
        <v>7</v>
      </c>
      <c r="F82" s="324">
        <v>8</v>
      </c>
      <c r="G82" s="324">
        <v>8</v>
      </c>
      <c r="H82" s="324">
        <v>8</v>
      </c>
      <c r="I82" s="324">
        <v>8</v>
      </c>
      <c r="J82" s="324">
        <v>8</v>
      </c>
      <c r="K82" s="324">
        <v>9</v>
      </c>
      <c r="L82" s="326">
        <v>0</v>
      </c>
      <c r="M82" s="326">
        <v>0</v>
      </c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323"/>
      <c r="AC82" s="24"/>
      <c r="AD82" s="24"/>
      <c r="AE82" s="24"/>
      <c r="AF82" s="24"/>
      <c r="AG82" s="306"/>
      <c r="AH82" s="270"/>
      <c r="AJ82" s="40"/>
    </row>
    <row r="83" spans="1:36" ht="15.75" customHeight="1">
      <c r="A83" s="321">
        <f>OVERALL!A12</f>
        <v>9</v>
      </c>
      <c r="B83" s="160">
        <f>OVERALL!B12</f>
        <v>2301244</v>
      </c>
      <c r="C83" s="157" t="str">
        <f>OVERALL!C12</f>
        <v>Parveen Mandal</v>
      </c>
      <c r="D83" s="325">
        <v>0</v>
      </c>
      <c r="E83" s="325">
        <v>0</v>
      </c>
      <c r="F83" s="325">
        <v>0</v>
      </c>
      <c r="G83" s="325">
        <v>0</v>
      </c>
      <c r="H83" s="325">
        <v>0</v>
      </c>
      <c r="I83" s="325">
        <v>0</v>
      </c>
      <c r="J83" s="325">
        <v>0</v>
      </c>
      <c r="K83" s="325">
        <v>0</v>
      </c>
      <c r="L83" s="325">
        <v>0</v>
      </c>
      <c r="M83" s="325">
        <v>0</v>
      </c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323"/>
      <c r="AC83" s="24"/>
      <c r="AD83" s="24"/>
      <c r="AE83" s="24"/>
      <c r="AF83" s="24"/>
      <c r="AG83" s="306"/>
      <c r="AH83" s="270"/>
      <c r="AJ83" s="40"/>
    </row>
    <row r="84" spans="1:36" ht="15.75" customHeight="1">
      <c r="A84" s="321">
        <f>OVERALL!A13</f>
        <v>10</v>
      </c>
      <c r="B84" s="160">
        <f>OVERALL!B13</f>
        <v>2301245</v>
      </c>
      <c r="C84" s="157" t="str">
        <f>OVERALL!C13</f>
        <v>Payal</v>
      </c>
      <c r="D84" s="227">
        <v>8</v>
      </c>
      <c r="E84" s="324">
        <v>8</v>
      </c>
      <c r="F84" s="324">
        <v>8</v>
      </c>
      <c r="G84" s="324">
        <v>8</v>
      </c>
      <c r="H84" s="324">
        <v>9</v>
      </c>
      <c r="I84" s="324">
        <v>10</v>
      </c>
      <c r="J84" s="324">
        <v>10</v>
      </c>
      <c r="K84" s="324">
        <v>10</v>
      </c>
      <c r="L84" s="324">
        <v>10</v>
      </c>
      <c r="M84" s="324">
        <v>9</v>
      </c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323"/>
      <c r="AC84" s="24"/>
      <c r="AD84" s="24"/>
      <c r="AE84" s="24"/>
      <c r="AF84" s="24"/>
      <c r="AG84" s="306"/>
      <c r="AH84" s="40"/>
      <c r="AJ84" s="40"/>
    </row>
    <row r="85" spans="1:36" ht="15.75" customHeight="1">
      <c r="A85" s="321">
        <f>OVERALL!A14</f>
        <v>11</v>
      </c>
      <c r="B85" s="160">
        <f>OVERALL!B14</f>
        <v>2301247</v>
      </c>
      <c r="C85" s="157" t="str">
        <f>OVERALL!C14</f>
        <v>Priya</v>
      </c>
      <c r="D85" s="227">
        <v>7</v>
      </c>
      <c r="E85" s="324">
        <v>8</v>
      </c>
      <c r="F85" s="324">
        <v>8</v>
      </c>
      <c r="G85" s="324">
        <v>8</v>
      </c>
      <c r="H85" s="324">
        <v>8</v>
      </c>
      <c r="I85" s="324">
        <v>8</v>
      </c>
      <c r="J85" s="324">
        <v>8</v>
      </c>
      <c r="K85" s="324">
        <v>8</v>
      </c>
      <c r="L85" s="324">
        <v>8</v>
      </c>
      <c r="M85" s="324">
        <v>7</v>
      </c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323"/>
      <c r="AC85" s="24"/>
      <c r="AD85" s="24"/>
      <c r="AE85" s="24"/>
      <c r="AF85" s="24"/>
      <c r="AG85" s="306"/>
      <c r="AH85" s="40"/>
      <c r="AJ85" s="40"/>
    </row>
    <row r="86" spans="1:36" ht="15.75" customHeight="1">
      <c r="A86" s="321">
        <f>OVERALL!A15</f>
        <v>12</v>
      </c>
      <c r="B86" s="160">
        <f>OVERALL!B15</f>
        <v>2301248</v>
      </c>
      <c r="C86" s="157" t="str">
        <f>OVERALL!C15</f>
        <v>Priyam Puri</v>
      </c>
      <c r="D86" s="325">
        <v>0</v>
      </c>
      <c r="E86" s="325">
        <v>0</v>
      </c>
      <c r="F86" s="325">
        <v>0</v>
      </c>
      <c r="G86" s="325">
        <v>0</v>
      </c>
      <c r="H86" s="325">
        <v>0</v>
      </c>
      <c r="I86" s="325">
        <v>0</v>
      </c>
      <c r="J86" s="325">
        <v>0</v>
      </c>
      <c r="K86" s="325">
        <v>0</v>
      </c>
      <c r="L86" s="325">
        <v>0</v>
      </c>
      <c r="M86" s="325">
        <v>0</v>
      </c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323"/>
      <c r="AC86" s="24"/>
      <c r="AD86" s="24"/>
      <c r="AE86" s="24"/>
      <c r="AF86" s="24"/>
      <c r="AG86" s="306"/>
      <c r="AH86" s="40"/>
      <c r="AJ86" s="40"/>
    </row>
    <row r="87" spans="1:36" ht="15.75" customHeight="1">
      <c r="A87" s="321">
        <f>OVERALL!A16</f>
        <v>13</v>
      </c>
      <c r="B87" s="160">
        <f>OVERALL!B16</f>
        <v>2301249</v>
      </c>
      <c r="C87" s="157" t="str">
        <f>OVERALL!C16</f>
        <v>Rahul Sharma</v>
      </c>
      <c r="D87" s="227">
        <v>8</v>
      </c>
      <c r="E87" s="324">
        <v>7</v>
      </c>
      <c r="F87" s="324">
        <v>8</v>
      </c>
      <c r="G87" s="324">
        <v>7</v>
      </c>
      <c r="H87" s="325">
        <v>0</v>
      </c>
      <c r="I87" s="325">
        <v>0</v>
      </c>
      <c r="J87" s="325">
        <v>0</v>
      </c>
      <c r="K87" s="325">
        <v>0</v>
      </c>
      <c r="L87" s="325">
        <v>0</v>
      </c>
      <c r="M87" s="325">
        <v>0</v>
      </c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323"/>
      <c r="AC87" s="24"/>
      <c r="AD87" s="24"/>
      <c r="AE87" s="24"/>
      <c r="AF87" s="24"/>
      <c r="AG87" s="306"/>
      <c r="AH87" s="24"/>
      <c r="AJ87" s="40"/>
    </row>
    <row r="88" spans="1:36" ht="15.75" customHeight="1">
      <c r="A88" s="321">
        <f>OVERALL!A17</f>
        <v>14</v>
      </c>
      <c r="B88" s="160">
        <f>OVERALL!B17</f>
        <v>2301250</v>
      </c>
      <c r="C88" s="157" t="str">
        <f>OVERALL!C17</f>
        <v>Rahulpreet Singh Khinda</v>
      </c>
      <c r="D88" s="227">
        <v>7</v>
      </c>
      <c r="E88" s="324">
        <v>7</v>
      </c>
      <c r="F88" s="324">
        <v>7</v>
      </c>
      <c r="G88" s="324">
        <v>7</v>
      </c>
      <c r="H88" s="324">
        <v>8</v>
      </c>
      <c r="I88" s="324">
        <v>8</v>
      </c>
      <c r="J88" s="324">
        <v>8</v>
      </c>
      <c r="K88" s="324">
        <v>7</v>
      </c>
      <c r="L88" s="324">
        <v>8</v>
      </c>
      <c r="M88" s="324">
        <v>8</v>
      </c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323"/>
      <c r="AC88" s="24"/>
      <c r="AD88" s="24"/>
      <c r="AE88" s="24"/>
      <c r="AF88" s="24"/>
      <c r="AG88" s="306"/>
      <c r="AH88" s="24"/>
      <c r="AJ88" s="40"/>
    </row>
    <row r="89" spans="1:36" ht="15.75" customHeight="1">
      <c r="A89" s="321">
        <f>OVERALL!A18</f>
        <v>15</v>
      </c>
      <c r="B89" s="160">
        <f>OVERALL!B18</f>
        <v>2301251</v>
      </c>
      <c r="C89" s="157" t="str">
        <f>OVERALL!C18</f>
        <v>Raj Kumar</v>
      </c>
      <c r="D89" s="227">
        <v>7</v>
      </c>
      <c r="E89" s="324">
        <v>7</v>
      </c>
      <c r="F89" s="324">
        <v>7</v>
      </c>
      <c r="G89" s="324">
        <v>9</v>
      </c>
      <c r="H89" s="324">
        <v>6</v>
      </c>
      <c r="I89" s="324">
        <v>6</v>
      </c>
      <c r="J89" s="325">
        <v>0</v>
      </c>
      <c r="K89" s="325">
        <v>0</v>
      </c>
      <c r="L89" s="325">
        <v>0</v>
      </c>
      <c r="M89" s="325">
        <v>0</v>
      </c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323"/>
      <c r="AC89" s="24"/>
      <c r="AD89" s="24"/>
      <c r="AE89" s="24"/>
      <c r="AF89" s="24"/>
      <c r="AG89" s="306"/>
      <c r="AH89" s="24"/>
      <c r="AJ89" s="40"/>
    </row>
    <row r="90" spans="1:36" ht="15.75" customHeight="1">
      <c r="A90" s="321">
        <f>OVERALL!A19</f>
        <v>16</v>
      </c>
      <c r="B90" s="160">
        <f>OVERALL!B19</f>
        <v>2301252</v>
      </c>
      <c r="C90" s="157" t="str">
        <f>OVERALL!C19</f>
        <v>Rajan Sharma</v>
      </c>
      <c r="D90" s="227">
        <v>7</v>
      </c>
      <c r="E90" s="324">
        <v>7</v>
      </c>
      <c r="F90" s="324">
        <v>8</v>
      </c>
      <c r="G90" s="324">
        <v>8</v>
      </c>
      <c r="H90" s="324">
        <v>8</v>
      </c>
      <c r="I90" s="324">
        <v>8</v>
      </c>
      <c r="J90" s="324">
        <v>8</v>
      </c>
      <c r="K90" s="324">
        <v>8</v>
      </c>
      <c r="L90" s="324">
        <v>8</v>
      </c>
      <c r="M90" s="324">
        <v>8</v>
      </c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323"/>
      <c r="AC90" s="24"/>
      <c r="AD90" s="24"/>
      <c r="AE90" s="24"/>
      <c r="AF90" s="24"/>
      <c r="AG90" s="306"/>
      <c r="AH90" s="24"/>
      <c r="AJ90" s="40"/>
    </row>
    <row r="91" spans="1:36" ht="15.75" customHeight="1">
      <c r="A91" s="321">
        <f>OVERALL!A20</f>
        <v>17</v>
      </c>
      <c r="B91" s="160">
        <f>OVERALL!B20</f>
        <v>2301253</v>
      </c>
      <c r="C91" s="157" t="str">
        <f>OVERALL!C20</f>
        <v>Rajwinder Kaur</v>
      </c>
      <c r="D91" s="227">
        <v>8</v>
      </c>
      <c r="E91" s="324">
        <v>8</v>
      </c>
      <c r="F91" s="324">
        <v>8</v>
      </c>
      <c r="G91" s="324">
        <v>8</v>
      </c>
      <c r="H91" s="324">
        <v>8</v>
      </c>
      <c r="I91" s="324">
        <v>8</v>
      </c>
      <c r="J91" s="324">
        <v>8</v>
      </c>
      <c r="K91" s="324">
        <v>8</v>
      </c>
      <c r="L91" s="324">
        <v>8</v>
      </c>
      <c r="M91" s="324">
        <v>8</v>
      </c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323"/>
      <c r="AC91" s="24"/>
      <c r="AD91" s="24"/>
      <c r="AE91" s="24"/>
      <c r="AF91" s="24"/>
      <c r="AG91" s="306"/>
      <c r="AH91" s="24"/>
      <c r="AJ91" s="40"/>
    </row>
    <row r="92" spans="1:36" ht="15.75" customHeight="1">
      <c r="A92" s="321">
        <f>OVERALL!A21</f>
        <v>18</v>
      </c>
      <c r="B92" s="160">
        <f>OVERALL!B21</f>
        <v>2301254</v>
      </c>
      <c r="C92" s="157" t="str">
        <f>OVERALL!C21</f>
        <v>RANJIT SHAH KANU</v>
      </c>
      <c r="D92" s="325">
        <v>0</v>
      </c>
      <c r="E92" s="325">
        <v>0</v>
      </c>
      <c r="F92" s="325">
        <v>0</v>
      </c>
      <c r="G92" s="325">
        <v>0</v>
      </c>
      <c r="H92" s="325">
        <v>0</v>
      </c>
      <c r="I92" s="325">
        <v>0</v>
      </c>
      <c r="J92" s="325">
        <v>0</v>
      </c>
      <c r="K92" s="325">
        <v>0</v>
      </c>
      <c r="L92" s="325">
        <v>0</v>
      </c>
      <c r="M92" s="325">
        <v>0</v>
      </c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323"/>
      <c r="AC92" s="24"/>
      <c r="AD92" s="24"/>
      <c r="AE92" s="24"/>
      <c r="AF92" s="24"/>
      <c r="AG92" s="306"/>
      <c r="AH92" s="24"/>
      <c r="AJ92" s="40"/>
    </row>
    <row r="93" spans="1:36" ht="15.75" customHeight="1">
      <c r="A93" s="321">
        <f>OVERALL!A22</f>
        <v>19</v>
      </c>
      <c r="B93" s="160">
        <f>OVERALL!B22</f>
        <v>2301255</v>
      </c>
      <c r="C93" s="157" t="str">
        <f>OVERALL!C22</f>
        <v>Ravi Bhushan Kumar</v>
      </c>
      <c r="D93" s="227">
        <v>9</v>
      </c>
      <c r="E93" s="324">
        <v>9</v>
      </c>
      <c r="F93" s="324">
        <v>9</v>
      </c>
      <c r="G93" s="324">
        <v>9</v>
      </c>
      <c r="H93" s="324">
        <v>9</v>
      </c>
      <c r="I93" s="324">
        <v>9</v>
      </c>
      <c r="J93" s="324">
        <v>10</v>
      </c>
      <c r="K93" s="324">
        <v>10</v>
      </c>
      <c r="L93" s="324">
        <v>9</v>
      </c>
      <c r="M93" s="324">
        <v>10</v>
      </c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323"/>
      <c r="AC93" s="24"/>
      <c r="AD93" s="24"/>
      <c r="AE93" s="24"/>
      <c r="AF93" s="24"/>
      <c r="AG93" s="306"/>
      <c r="AH93" s="24"/>
      <c r="AJ93" s="40"/>
    </row>
    <row r="94" spans="1:36" ht="15.75" customHeight="1">
      <c r="A94" s="321">
        <f>OVERALL!A23</f>
        <v>20</v>
      </c>
      <c r="B94" s="160">
        <f>OVERALL!B23</f>
        <v>2301256</v>
      </c>
      <c r="C94" s="157" t="str">
        <f>OVERALL!C23</f>
        <v>Reshma</v>
      </c>
      <c r="D94" s="227">
        <v>7</v>
      </c>
      <c r="E94" s="324">
        <v>7</v>
      </c>
      <c r="F94" s="324">
        <v>7</v>
      </c>
      <c r="G94" s="324">
        <v>7</v>
      </c>
      <c r="H94" s="324">
        <v>7</v>
      </c>
      <c r="I94" s="324">
        <v>8</v>
      </c>
      <c r="J94" s="324">
        <v>7</v>
      </c>
      <c r="K94" s="324">
        <v>8</v>
      </c>
      <c r="L94" s="324">
        <v>8</v>
      </c>
      <c r="M94" s="324">
        <v>8</v>
      </c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323"/>
      <c r="AC94" s="24"/>
      <c r="AD94" s="24"/>
      <c r="AE94" s="24"/>
      <c r="AF94" s="24"/>
      <c r="AG94" s="306"/>
      <c r="AH94" s="24"/>
      <c r="AJ94" s="40"/>
    </row>
    <row r="95" spans="1:36" ht="15.75" customHeight="1">
      <c r="A95" s="321">
        <f>OVERALL!A24</f>
        <v>21</v>
      </c>
      <c r="B95" s="160">
        <f>OVERALL!B24</f>
        <v>2301257</v>
      </c>
      <c r="C95" s="157" t="str">
        <f>OVERALL!C24</f>
        <v>Ritesh Kumar Choudhary</v>
      </c>
      <c r="D95" s="227">
        <v>7</v>
      </c>
      <c r="E95" s="324">
        <v>7</v>
      </c>
      <c r="F95" s="324">
        <v>7</v>
      </c>
      <c r="G95" s="324">
        <v>7</v>
      </c>
      <c r="H95" s="324">
        <v>7</v>
      </c>
      <c r="I95" s="324">
        <v>7</v>
      </c>
      <c r="J95" s="324">
        <v>7</v>
      </c>
      <c r="K95" s="324">
        <v>7</v>
      </c>
      <c r="L95" s="324">
        <v>7</v>
      </c>
      <c r="M95" s="324">
        <v>7</v>
      </c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323"/>
      <c r="AC95" s="24"/>
      <c r="AD95" s="24"/>
      <c r="AE95" s="24"/>
      <c r="AF95" s="24"/>
      <c r="AG95" s="306"/>
      <c r="AH95" s="24"/>
      <c r="AJ95" s="40"/>
    </row>
    <row r="96" spans="1:36" ht="15.75" customHeight="1">
      <c r="A96" s="321">
        <f>OVERALL!A25</f>
        <v>22</v>
      </c>
      <c r="B96" s="160">
        <f>OVERALL!B25</f>
        <v>2301258</v>
      </c>
      <c r="C96" s="157" t="str">
        <f>OVERALL!C25</f>
        <v>Ritesh Thakur</v>
      </c>
      <c r="D96" s="325">
        <v>0</v>
      </c>
      <c r="E96" s="325">
        <v>0</v>
      </c>
      <c r="F96" s="325">
        <v>0</v>
      </c>
      <c r="G96" s="325">
        <v>0</v>
      </c>
      <c r="H96" s="325">
        <v>0</v>
      </c>
      <c r="I96" s="325">
        <v>0</v>
      </c>
      <c r="J96" s="325">
        <v>0</v>
      </c>
      <c r="K96" s="325">
        <v>0</v>
      </c>
      <c r="L96" s="325">
        <v>0</v>
      </c>
      <c r="M96" s="325">
        <v>0</v>
      </c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323"/>
      <c r="AC96" s="24"/>
      <c r="AD96" s="24"/>
      <c r="AE96" s="24"/>
      <c r="AF96" s="24"/>
      <c r="AG96" s="306"/>
      <c r="AH96" s="24"/>
      <c r="AJ96" s="40"/>
    </row>
    <row r="97" spans="1:36" ht="15.75" customHeight="1">
      <c r="A97" s="321">
        <f>OVERALL!A26</f>
        <v>23</v>
      </c>
      <c r="B97" s="160">
        <f>OVERALL!B26</f>
        <v>2301259</v>
      </c>
      <c r="C97" s="157" t="str">
        <f>OVERALL!C26</f>
        <v>Riya Thakur</v>
      </c>
      <c r="D97" s="227">
        <v>8</v>
      </c>
      <c r="E97" s="324">
        <v>7</v>
      </c>
      <c r="F97" s="324">
        <v>8</v>
      </c>
      <c r="G97" s="324">
        <v>8</v>
      </c>
      <c r="H97" s="324">
        <v>9</v>
      </c>
      <c r="I97" s="324">
        <v>9</v>
      </c>
      <c r="J97" s="324">
        <v>9</v>
      </c>
      <c r="K97" s="324">
        <v>9</v>
      </c>
      <c r="L97" s="325">
        <v>0</v>
      </c>
      <c r="M97" s="325">
        <v>0</v>
      </c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323"/>
      <c r="AC97" s="24"/>
      <c r="AD97" s="24"/>
      <c r="AE97" s="24"/>
      <c r="AF97" s="24"/>
      <c r="AG97" s="306"/>
      <c r="AH97" s="24"/>
      <c r="AJ97" s="40"/>
    </row>
    <row r="98" spans="1:36" ht="15.75" customHeight="1">
      <c r="A98" s="321">
        <f>OVERALL!A27</f>
        <v>24</v>
      </c>
      <c r="B98" s="160">
        <f>OVERALL!B27</f>
        <v>2301260</v>
      </c>
      <c r="C98" s="157" t="str">
        <f>OVERALL!C27</f>
        <v>Rounit Dhiman</v>
      </c>
      <c r="D98" s="227">
        <v>7</v>
      </c>
      <c r="E98" s="324">
        <v>7</v>
      </c>
      <c r="F98" s="324">
        <v>7</v>
      </c>
      <c r="G98" s="324">
        <v>7</v>
      </c>
      <c r="H98" s="324">
        <v>8</v>
      </c>
      <c r="I98" s="324">
        <v>8</v>
      </c>
      <c r="J98" s="325">
        <v>9</v>
      </c>
      <c r="K98" s="325">
        <v>7</v>
      </c>
      <c r="L98" s="325">
        <v>8</v>
      </c>
      <c r="M98" s="325">
        <v>8</v>
      </c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323"/>
      <c r="AC98" s="24"/>
      <c r="AD98" s="24"/>
      <c r="AE98" s="24"/>
      <c r="AF98" s="24"/>
      <c r="AG98" s="306"/>
      <c r="AH98" s="24"/>
      <c r="AJ98" s="40"/>
    </row>
    <row r="99" spans="1:36" ht="15.75" customHeight="1">
      <c r="A99" s="321">
        <f>OVERALL!A28</f>
        <v>25</v>
      </c>
      <c r="B99" s="160">
        <f>OVERALL!B28</f>
        <v>2301261</v>
      </c>
      <c r="C99" s="157" t="str">
        <f>OVERALL!C28</f>
        <v>Rubby Kumari</v>
      </c>
      <c r="D99" s="227">
        <v>6</v>
      </c>
      <c r="E99" s="325">
        <v>0</v>
      </c>
      <c r="F99" s="325">
        <v>0</v>
      </c>
      <c r="G99" s="325">
        <v>0</v>
      </c>
      <c r="H99" s="325">
        <v>0</v>
      </c>
      <c r="I99" s="325">
        <v>0</v>
      </c>
      <c r="J99" s="325">
        <v>0</v>
      </c>
      <c r="K99" s="325">
        <v>0</v>
      </c>
      <c r="L99" s="325">
        <v>0</v>
      </c>
      <c r="M99" s="325">
        <v>0</v>
      </c>
      <c r="N99" s="325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323"/>
      <c r="AC99" s="24"/>
      <c r="AD99" s="24"/>
      <c r="AE99" s="24"/>
      <c r="AF99" s="24"/>
      <c r="AG99" s="306"/>
      <c r="AH99" s="24"/>
      <c r="AJ99" s="40"/>
    </row>
    <row r="100" spans="1:36" ht="15.75" customHeight="1">
      <c r="A100" s="321">
        <f>OVERALL!A29</f>
        <v>26</v>
      </c>
      <c r="B100" s="160">
        <f>OVERALL!B29</f>
        <v>2301262</v>
      </c>
      <c r="C100" s="157" t="str">
        <f>OVERALL!C29</f>
        <v>Sakshi Devi</v>
      </c>
      <c r="D100" s="227">
        <v>8</v>
      </c>
      <c r="E100" s="324">
        <v>7</v>
      </c>
      <c r="F100" s="324">
        <v>7</v>
      </c>
      <c r="G100" s="324">
        <v>7</v>
      </c>
      <c r="H100" s="324">
        <v>8</v>
      </c>
      <c r="I100" s="325">
        <v>0</v>
      </c>
      <c r="J100" s="325">
        <v>0</v>
      </c>
      <c r="K100" s="325">
        <v>0</v>
      </c>
      <c r="L100" s="325">
        <v>0</v>
      </c>
      <c r="M100" s="325">
        <v>0</v>
      </c>
      <c r="N100" s="325"/>
      <c r="O100" s="325"/>
      <c r="P100" s="325"/>
      <c r="Q100" s="325"/>
      <c r="R100" s="325"/>
      <c r="S100" s="113"/>
      <c r="T100" s="113"/>
      <c r="U100" s="113"/>
      <c r="V100" s="113"/>
      <c r="W100" s="113"/>
      <c r="X100" s="113"/>
      <c r="Y100" s="113"/>
      <c r="Z100" s="113"/>
      <c r="AA100" s="113"/>
      <c r="AB100" s="323"/>
      <c r="AC100" s="24"/>
      <c r="AD100" s="24"/>
      <c r="AE100" s="24"/>
      <c r="AF100" s="24"/>
      <c r="AG100" s="306"/>
      <c r="AH100" s="24"/>
      <c r="AJ100" s="40"/>
    </row>
    <row r="101" spans="1:36" ht="15.75" customHeight="1">
      <c r="A101" s="321">
        <f>OVERALL!A30</f>
        <v>27</v>
      </c>
      <c r="B101" s="160">
        <f>OVERALL!B30</f>
        <v>2301263</v>
      </c>
      <c r="C101" s="157" t="str">
        <f>OVERALL!C30</f>
        <v>Sanchi Sharma</v>
      </c>
      <c r="D101" s="227">
        <v>7</v>
      </c>
      <c r="E101" s="324">
        <v>7</v>
      </c>
      <c r="F101" s="324">
        <v>7</v>
      </c>
      <c r="G101" s="324">
        <v>7</v>
      </c>
      <c r="H101" s="324">
        <v>8</v>
      </c>
      <c r="I101" s="324">
        <v>8</v>
      </c>
      <c r="J101" s="324">
        <v>8</v>
      </c>
      <c r="K101" s="324">
        <v>8</v>
      </c>
      <c r="L101" s="324">
        <v>9</v>
      </c>
      <c r="M101" s="324">
        <v>10</v>
      </c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323"/>
      <c r="AC101" s="24"/>
      <c r="AD101" s="24"/>
      <c r="AE101" s="24"/>
      <c r="AF101" s="24"/>
      <c r="AG101" s="306"/>
      <c r="AH101" s="24"/>
      <c r="AJ101" s="40"/>
    </row>
    <row r="102" spans="1:36" ht="15.75" customHeight="1">
      <c r="A102" s="321">
        <f>OVERALL!A31</f>
        <v>28</v>
      </c>
      <c r="B102" s="160">
        <f>OVERALL!B31</f>
        <v>2301264</v>
      </c>
      <c r="C102" s="157" t="str">
        <f>OVERALL!C31</f>
        <v>Sarbjit Singh</v>
      </c>
      <c r="D102" s="227">
        <v>7</v>
      </c>
      <c r="E102" s="324">
        <v>7</v>
      </c>
      <c r="F102" s="324">
        <v>7</v>
      </c>
      <c r="G102" s="324">
        <v>7</v>
      </c>
      <c r="H102" s="325">
        <v>0</v>
      </c>
      <c r="I102" s="325">
        <v>0</v>
      </c>
      <c r="J102" s="325">
        <v>0</v>
      </c>
      <c r="K102" s="325">
        <v>0</v>
      </c>
      <c r="L102" s="325">
        <v>0</v>
      </c>
      <c r="M102" s="325">
        <v>0</v>
      </c>
      <c r="N102" s="325"/>
      <c r="O102" s="325"/>
      <c r="P102" s="325"/>
      <c r="Q102" s="325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323"/>
      <c r="AC102" s="24"/>
      <c r="AD102" s="24"/>
      <c r="AE102" s="24"/>
      <c r="AF102" s="24"/>
      <c r="AG102" s="306"/>
      <c r="AH102" s="24"/>
      <c r="AJ102" s="40"/>
    </row>
    <row r="103" spans="1:36" ht="15.75" customHeight="1">
      <c r="A103" s="321">
        <f>OVERALL!A32</f>
        <v>29</v>
      </c>
      <c r="B103" s="160">
        <f>OVERALL!B32</f>
        <v>2301265</v>
      </c>
      <c r="C103" s="157" t="str">
        <f>OVERALL!C32</f>
        <v>Sarif Mayangmayum</v>
      </c>
      <c r="D103" s="227">
        <v>9</v>
      </c>
      <c r="E103" s="324">
        <v>9</v>
      </c>
      <c r="F103" s="324">
        <v>9</v>
      </c>
      <c r="G103" s="324">
        <v>9</v>
      </c>
      <c r="H103" s="324">
        <v>9</v>
      </c>
      <c r="I103" s="324">
        <v>8</v>
      </c>
      <c r="J103" s="324">
        <v>8</v>
      </c>
      <c r="K103" s="324">
        <v>9</v>
      </c>
      <c r="L103" s="324">
        <v>9</v>
      </c>
      <c r="M103" s="324">
        <v>9</v>
      </c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323"/>
      <c r="AC103" s="24"/>
      <c r="AD103" s="24"/>
      <c r="AE103" s="24"/>
      <c r="AF103" s="24"/>
      <c r="AG103" s="306"/>
      <c r="AH103" s="24"/>
      <c r="AJ103" s="40"/>
    </row>
    <row r="104" spans="1:36" ht="15.75" customHeight="1">
      <c r="A104" s="321">
        <f>OVERALL!A33</f>
        <v>30</v>
      </c>
      <c r="B104" s="160">
        <f>OVERALL!B33</f>
        <v>2301267</v>
      </c>
      <c r="C104" s="157" t="str">
        <f>OVERALL!C33</f>
        <v>Shivam Kumar Chaubey</v>
      </c>
      <c r="D104" s="227">
        <v>8</v>
      </c>
      <c r="E104" s="324">
        <v>8</v>
      </c>
      <c r="F104" s="324">
        <v>8</v>
      </c>
      <c r="G104" s="324">
        <v>8</v>
      </c>
      <c r="H104" s="324">
        <v>9</v>
      </c>
      <c r="I104" s="324">
        <v>9</v>
      </c>
      <c r="J104" s="324">
        <v>9</v>
      </c>
      <c r="K104" s="324">
        <v>10</v>
      </c>
      <c r="L104" s="324">
        <v>10</v>
      </c>
      <c r="M104" s="324">
        <v>10</v>
      </c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323"/>
      <c r="AC104" s="24"/>
      <c r="AD104" s="24"/>
      <c r="AE104" s="24"/>
      <c r="AF104" s="24"/>
      <c r="AG104" s="306"/>
      <c r="AH104" s="24"/>
      <c r="AJ104" s="40"/>
    </row>
    <row r="105" spans="1:36" ht="15.75" customHeight="1">
      <c r="A105" s="321">
        <f>OVERALL!A34</f>
        <v>31</v>
      </c>
      <c r="B105" s="160">
        <f>OVERALL!B34</f>
        <v>2301268</v>
      </c>
      <c r="C105" s="157" t="str">
        <f>OVERALL!C34</f>
        <v>Simba Godfrey</v>
      </c>
      <c r="D105" s="227">
        <v>7</v>
      </c>
      <c r="E105" s="324">
        <v>7</v>
      </c>
      <c r="F105" s="324">
        <v>7</v>
      </c>
      <c r="G105" s="324">
        <v>7</v>
      </c>
      <c r="H105" s="325">
        <v>0</v>
      </c>
      <c r="I105" s="325">
        <v>0</v>
      </c>
      <c r="J105" s="325">
        <v>0</v>
      </c>
      <c r="K105" s="325">
        <v>0</v>
      </c>
      <c r="L105" s="325">
        <v>0</v>
      </c>
      <c r="M105" s="325">
        <v>0</v>
      </c>
      <c r="N105" s="325"/>
      <c r="O105" s="325"/>
      <c r="P105" s="325"/>
      <c r="Q105" s="325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323"/>
      <c r="AC105" s="24"/>
      <c r="AD105" s="24"/>
      <c r="AE105" s="24"/>
      <c r="AF105" s="24"/>
      <c r="AG105" s="306"/>
      <c r="AH105" s="24"/>
      <c r="AJ105" s="40"/>
    </row>
    <row r="106" spans="1:36" ht="15.75" customHeight="1">
      <c r="A106" s="321">
        <f>OVERALL!A35</f>
        <v>32</v>
      </c>
      <c r="B106" s="160">
        <f>OVERALL!B35</f>
        <v>2301269</v>
      </c>
      <c r="C106" s="157" t="str">
        <f>OVERALL!C35</f>
        <v>Simran Kaur</v>
      </c>
      <c r="D106" s="227">
        <v>7</v>
      </c>
      <c r="E106" s="324">
        <v>8</v>
      </c>
      <c r="F106" s="324">
        <v>8</v>
      </c>
      <c r="G106" s="324">
        <v>8</v>
      </c>
      <c r="H106" s="324">
        <v>8</v>
      </c>
      <c r="I106" s="324">
        <v>8</v>
      </c>
      <c r="J106" s="324">
        <v>8</v>
      </c>
      <c r="K106" s="324">
        <v>8</v>
      </c>
      <c r="L106" s="324">
        <v>8</v>
      </c>
      <c r="M106" s="324">
        <v>8</v>
      </c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323"/>
      <c r="AC106" s="24"/>
      <c r="AD106" s="24"/>
      <c r="AE106" s="24"/>
      <c r="AF106" s="24"/>
      <c r="AG106" s="306"/>
      <c r="AH106" s="24"/>
      <c r="AJ106" s="40"/>
    </row>
    <row r="107" spans="1:36" ht="15.75" customHeight="1">
      <c r="A107" s="321">
        <f>OVERALL!A36</f>
        <v>33</v>
      </c>
      <c r="B107" s="160">
        <f>OVERALL!B36</f>
        <v>2301270</v>
      </c>
      <c r="C107" s="157" t="str">
        <f>OVERALL!C36</f>
        <v>Simranjit Singh</v>
      </c>
      <c r="D107" s="227">
        <v>7</v>
      </c>
      <c r="E107" s="324">
        <v>7</v>
      </c>
      <c r="F107" s="324">
        <v>7</v>
      </c>
      <c r="G107" s="324">
        <v>8</v>
      </c>
      <c r="H107" s="324">
        <v>8</v>
      </c>
      <c r="I107" s="324">
        <v>8</v>
      </c>
      <c r="J107" s="324">
        <v>8</v>
      </c>
      <c r="K107" s="324">
        <v>8</v>
      </c>
      <c r="L107" s="324">
        <v>8</v>
      </c>
      <c r="M107" s="324">
        <v>8</v>
      </c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323"/>
      <c r="AC107" s="24"/>
      <c r="AD107" s="24"/>
      <c r="AE107" s="24"/>
      <c r="AF107" s="24"/>
      <c r="AG107" s="306"/>
      <c r="AH107" s="24"/>
      <c r="AJ107" s="40"/>
    </row>
    <row r="108" spans="1:36" ht="15.75" customHeight="1">
      <c r="A108" s="321">
        <f>OVERALL!A37</f>
        <v>34</v>
      </c>
      <c r="B108" s="160">
        <f>OVERALL!B37</f>
        <v>2301271</v>
      </c>
      <c r="C108" s="157" t="str">
        <f>OVERALL!C37</f>
        <v>Sudip Sunar</v>
      </c>
      <c r="D108" s="227">
        <v>8</v>
      </c>
      <c r="E108" s="324">
        <v>7</v>
      </c>
      <c r="F108" s="324">
        <v>7</v>
      </c>
      <c r="G108" s="324">
        <v>7</v>
      </c>
      <c r="H108" s="324">
        <v>8</v>
      </c>
      <c r="I108" s="324">
        <v>8</v>
      </c>
      <c r="J108" s="324">
        <v>8</v>
      </c>
      <c r="K108" s="324">
        <v>8</v>
      </c>
      <c r="L108" s="324">
        <v>8</v>
      </c>
      <c r="M108" s="324">
        <v>8</v>
      </c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323"/>
      <c r="AC108" s="24"/>
      <c r="AD108" s="24"/>
      <c r="AE108" s="24"/>
      <c r="AF108" s="24"/>
      <c r="AG108" s="306"/>
      <c r="AH108" s="24"/>
      <c r="AJ108" s="40"/>
    </row>
    <row r="109" spans="1:36" ht="15.75" customHeight="1">
      <c r="A109" s="321">
        <f>OVERALL!A38</f>
        <v>35</v>
      </c>
      <c r="B109" s="160">
        <f>OVERALL!B38</f>
        <v>2301272</v>
      </c>
      <c r="C109" s="157" t="str">
        <f>OVERALL!C38</f>
        <v>Sujal Sharma</v>
      </c>
      <c r="D109" s="325">
        <v>0</v>
      </c>
      <c r="E109" s="325">
        <v>0</v>
      </c>
      <c r="F109" s="325">
        <v>0</v>
      </c>
      <c r="G109" s="325">
        <v>0</v>
      </c>
      <c r="H109" s="325">
        <v>0</v>
      </c>
      <c r="I109" s="325">
        <v>0</v>
      </c>
      <c r="J109" s="325">
        <v>0</v>
      </c>
      <c r="K109" s="325">
        <v>0</v>
      </c>
      <c r="L109" s="325">
        <v>0</v>
      </c>
      <c r="M109" s="325">
        <v>0</v>
      </c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323"/>
      <c r="AC109" s="24"/>
      <c r="AD109" s="24"/>
      <c r="AE109" s="24"/>
      <c r="AF109" s="24"/>
      <c r="AG109" s="306"/>
      <c r="AH109" s="24"/>
      <c r="AJ109" s="40"/>
    </row>
    <row r="110" spans="1:36" ht="15.75" customHeight="1">
      <c r="A110" s="321">
        <f>OVERALL!A39</f>
        <v>36</v>
      </c>
      <c r="B110" s="160">
        <f>OVERALL!B39</f>
        <v>2301273</v>
      </c>
      <c r="C110" s="157" t="str">
        <f>OVERALL!C39</f>
        <v>Sukhraj Singh</v>
      </c>
      <c r="D110" s="325">
        <v>0</v>
      </c>
      <c r="E110" s="325">
        <v>0</v>
      </c>
      <c r="F110" s="325">
        <v>0</v>
      </c>
      <c r="G110" s="325">
        <v>0</v>
      </c>
      <c r="H110" s="325">
        <v>0</v>
      </c>
      <c r="I110" s="325">
        <v>0</v>
      </c>
      <c r="J110" s="325">
        <v>0</v>
      </c>
      <c r="K110" s="325">
        <v>0</v>
      </c>
      <c r="L110" s="325">
        <v>0</v>
      </c>
      <c r="M110" s="325">
        <v>0</v>
      </c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323"/>
      <c r="AC110" s="24"/>
      <c r="AD110" s="24"/>
      <c r="AE110" s="24"/>
      <c r="AF110" s="24"/>
      <c r="AG110" s="306"/>
      <c r="AH110" s="24"/>
      <c r="AJ110" s="40"/>
    </row>
    <row r="111" spans="1:36" ht="15.75" customHeight="1">
      <c r="A111" s="321">
        <f>OVERALL!A40</f>
        <v>37</v>
      </c>
      <c r="B111" s="160">
        <f>OVERALL!B40</f>
        <v>2301274</v>
      </c>
      <c r="C111" s="157" t="str">
        <f>OVERALL!C40</f>
        <v>Sukhreet Kaur</v>
      </c>
      <c r="D111" s="227">
        <v>7</v>
      </c>
      <c r="E111" s="324">
        <v>8</v>
      </c>
      <c r="F111" s="324">
        <v>8</v>
      </c>
      <c r="G111" s="324">
        <v>7</v>
      </c>
      <c r="H111" s="324">
        <v>9</v>
      </c>
      <c r="I111" s="324">
        <v>8</v>
      </c>
      <c r="J111" s="324">
        <v>8</v>
      </c>
      <c r="K111" s="324">
        <v>8</v>
      </c>
      <c r="L111" s="324">
        <v>9</v>
      </c>
      <c r="M111" s="324">
        <v>9</v>
      </c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323"/>
      <c r="AC111" s="24"/>
      <c r="AD111" s="24"/>
      <c r="AE111" s="24"/>
      <c r="AF111" s="24"/>
      <c r="AG111" s="306"/>
      <c r="AH111" s="24"/>
      <c r="AJ111" s="40"/>
    </row>
    <row r="112" spans="1:36" ht="15.75" customHeight="1">
      <c r="A112" s="321">
        <f>OVERALL!A41</f>
        <v>38</v>
      </c>
      <c r="B112" s="160">
        <f>OVERALL!B41</f>
        <v>2301275</v>
      </c>
      <c r="C112" s="157" t="str">
        <f>OVERALL!C41</f>
        <v>Suman Krishna</v>
      </c>
      <c r="D112" s="227">
        <v>7</v>
      </c>
      <c r="E112" s="324">
        <v>7</v>
      </c>
      <c r="F112" s="324">
        <v>7</v>
      </c>
      <c r="G112" s="324">
        <v>7</v>
      </c>
      <c r="H112" s="324">
        <v>7</v>
      </c>
      <c r="I112" s="324">
        <v>7</v>
      </c>
      <c r="J112" s="324">
        <v>8</v>
      </c>
      <c r="K112" s="324">
        <v>8</v>
      </c>
      <c r="L112" s="324">
        <v>0</v>
      </c>
      <c r="M112" s="324">
        <v>0</v>
      </c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323"/>
      <c r="AC112" s="24"/>
      <c r="AD112" s="24"/>
      <c r="AE112" s="24"/>
      <c r="AF112" s="24"/>
      <c r="AG112" s="306"/>
      <c r="AH112" s="24"/>
      <c r="AJ112" s="40"/>
    </row>
    <row r="113" spans="1:36" ht="15.75" customHeight="1">
      <c r="A113" s="321">
        <f>OVERALL!A42</f>
        <v>39</v>
      </c>
      <c r="B113" s="160">
        <f>OVERALL!B42</f>
        <v>2301276</v>
      </c>
      <c r="C113" s="157" t="str">
        <f>OVERALL!C42</f>
        <v>Sumanyu</v>
      </c>
      <c r="D113" s="325">
        <v>0</v>
      </c>
      <c r="E113" s="325">
        <v>0</v>
      </c>
      <c r="F113" s="325">
        <v>0</v>
      </c>
      <c r="G113" s="325">
        <v>0</v>
      </c>
      <c r="H113" s="325">
        <v>0</v>
      </c>
      <c r="I113" s="325">
        <v>0</v>
      </c>
      <c r="J113" s="325">
        <v>0</v>
      </c>
      <c r="K113" s="325">
        <v>0</v>
      </c>
      <c r="L113" s="325">
        <v>0</v>
      </c>
      <c r="M113" s="325">
        <v>0</v>
      </c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323"/>
      <c r="AC113" s="24"/>
      <c r="AD113" s="24"/>
      <c r="AE113" s="24"/>
      <c r="AF113" s="24"/>
      <c r="AG113" s="306"/>
      <c r="AH113" s="24"/>
      <c r="AJ113" s="40"/>
    </row>
    <row r="114" spans="1:36" ht="15.75" customHeight="1">
      <c r="A114" s="321">
        <f>OVERALL!A43</f>
        <v>40</v>
      </c>
      <c r="B114" s="160">
        <f>OVERALL!B43</f>
        <v>2301277</v>
      </c>
      <c r="C114" s="157" t="str">
        <f>OVERALL!C43</f>
        <v>Tamana</v>
      </c>
      <c r="D114" s="227">
        <v>9</v>
      </c>
      <c r="E114" s="324">
        <v>9</v>
      </c>
      <c r="F114" s="324">
        <v>9</v>
      </c>
      <c r="G114" s="324">
        <v>9</v>
      </c>
      <c r="H114" s="325">
        <v>0</v>
      </c>
      <c r="I114" s="325">
        <v>0</v>
      </c>
      <c r="J114" s="325">
        <v>0</v>
      </c>
      <c r="K114" s="325">
        <v>0</v>
      </c>
      <c r="L114" s="325">
        <v>0</v>
      </c>
      <c r="M114" s="325">
        <v>0</v>
      </c>
      <c r="N114" s="325"/>
      <c r="O114" s="325"/>
      <c r="P114" s="325"/>
      <c r="Q114" s="325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323"/>
      <c r="AC114" s="24"/>
      <c r="AD114" s="24"/>
      <c r="AE114" s="24"/>
      <c r="AF114" s="24"/>
      <c r="AG114" s="306"/>
      <c r="AH114" s="24"/>
      <c r="AJ114" s="40"/>
    </row>
    <row r="115" spans="1:36" ht="15.75" customHeight="1">
      <c r="A115" s="321">
        <f>OVERALL!A44</f>
        <v>41</v>
      </c>
      <c r="B115" s="160">
        <f>OVERALL!B44</f>
        <v>2301278</v>
      </c>
      <c r="C115" s="157" t="str">
        <f>OVERALL!C44</f>
        <v>Tamana Farooq Khanday</v>
      </c>
      <c r="D115" s="325">
        <v>0</v>
      </c>
      <c r="E115" s="325">
        <v>0</v>
      </c>
      <c r="F115" s="325">
        <v>0</v>
      </c>
      <c r="G115" s="325">
        <v>0</v>
      </c>
      <c r="H115" s="325">
        <v>0</v>
      </c>
      <c r="I115" s="325">
        <v>0</v>
      </c>
      <c r="J115" s="325">
        <v>0</v>
      </c>
      <c r="K115" s="325">
        <v>0</v>
      </c>
      <c r="L115" s="325">
        <v>0</v>
      </c>
      <c r="M115" s="325">
        <v>0</v>
      </c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323"/>
      <c r="AC115" s="24"/>
      <c r="AD115" s="24"/>
      <c r="AE115" s="24"/>
      <c r="AF115" s="24"/>
      <c r="AG115" s="306"/>
      <c r="AH115" s="24"/>
      <c r="AJ115" s="40"/>
    </row>
    <row r="116" spans="1:36" ht="15.75" customHeight="1">
      <c r="A116" s="321">
        <f>OVERALL!A45</f>
        <v>42</v>
      </c>
      <c r="B116" s="160">
        <f>OVERALL!B45</f>
        <v>2301279</v>
      </c>
      <c r="C116" s="157" t="str">
        <f>OVERALL!C45</f>
        <v>Tania</v>
      </c>
      <c r="D116" s="227">
        <v>7</v>
      </c>
      <c r="E116" s="324">
        <v>7</v>
      </c>
      <c r="F116" s="324">
        <v>7</v>
      </c>
      <c r="G116" s="324">
        <v>7</v>
      </c>
      <c r="H116" s="324">
        <v>7</v>
      </c>
      <c r="I116" s="324">
        <v>7</v>
      </c>
      <c r="J116" s="324">
        <v>7</v>
      </c>
      <c r="K116" s="324">
        <v>7</v>
      </c>
      <c r="L116" s="324">
        <v>7</v>
      </c>
      <c r="M116" s="324">
        <v>7</v>
      </c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323"/>
      <c r="AC116" s="24"/>
      <c r="AD116" s="24"/>
      <c r="AE116" s="24"/>
      <c r="AF116" s="24"/>
      <c r="AG116" s="306"/>
      <c r="AH116" s="24"/>
      <c r="AJ116" s="40"/>
    </row>
    <row r="117" spans="1:36" ht="15.75" customHeight="1">
      <c r="A117" s="321">
        <f>OVERALL!A46</f>
        <v>43</v>
      </c>
      <c r="B117" s="160">
        <f>OVERALL!B46</f>
        <v>2301280</v>
      </c>
      <c r="C117" s="157" t="str">
        <f>OVERALL!C46</f>
        <v>Taniya</v>
      </c>
      <c r="D117" s="227">
        <v>7</v>
      </c>
      <c r="E117" s="324">
        <v>7</v>
      </c>
      <c r="F117" s="324">
        <v>7</v>
      </c>
      <c r="G117" s="324">
        <v>7</v>
      </c>
      <c r="H117" s="324">
        <v>7</v>
      </c>
      <c r="I117" s="324">
        <v>7</v>
      </c>
      <c r="J117" s="324">
        <v>7</v>
      </c>
      <c r="K117" s="324">
        <v>8</v>
      </c>
      <c r="L117" s="324">
        <v>8</v>
      </c>
      <c r="M117" s="324">
        <v>8</v>
      </c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323"/>
      <c r="AC117" s="24"/>
      <c r="AD117" s="24"/>
      <c r="AE117" s="24"/>
      <c r="AF117" s="24"/>
      <c r="AG117" s="306"/>
      <c r="AH117" s="24"/>
      <c r="AJ117" s="40"/>
    </row>
    <row r="118" spans="1:36" ht="15.75" customHeight="1">
      <c r="A118" s="327">
        <f>OVERALL!A47</f>
        <v>44</v>
      </c>
      <c r="B118" s="328">
        <f>OVERALL!B47</f>
        <v>2301281</v>
      </c>
      <c r="C118" s="329" t="str">
        <f>OVERALL!C47</f>
        <v>Taziko Trakha</v>
      </c>
      <c r="D118" s="227">
        <v>7</v>
      </c>
      <c r="E118" s="324">
        <v>7</v>
      </c>
      <c r="F118" s="324">
        <v>8</v>
      </c>
      <c r="G118" s="324">
        <v>8</v>
      </c>
      <c r="H118" s="324">
        <v>8</v>
      </c>
      <c r="I118" s="324">
        <v>8</v>
      </c>
      <c r="J118" s="324">
        <v>8</v>
      </c>
      <c r="K118" s="324">
        <v>8</v>
      </c>
      <c r="L118" s="324">
        <v>8</v>
      </c>
      <c r="M118" s="324">
        <v>8</v>
      </c>
      <c r="N118" s="330"/>
      <c r="O118" s="330"/>
      <c r="P118" s="330"/>
      <c r="Q118" s="330"/>
      <c r="R118" s="330"/>
      <c r="S118" s="330"/>
      <c r="T118" s="330"/>
      <c r="U118" s="330"/>
      <c r="V118" s="330"/>
      <c r="W118" s="330"/>
      <c r="X118" s="330"/>
      <c r="Y118" s="330"/>
      <c r="Z118" s="330"/>
      <c r="AA118" s="330"/>
      <c r="AB118" s="331"/>
      <c r="AC118" s="24"/>
      <c r="AD118" s="24"/>
      <c r="AE118" s="24"/>
      <c r="AF118" s="24"/>
      <c r="AG118" s="306"/>
      <c r="AH118" s="24"/>
      <c r="AJ118" s="40"/>
    </row>
    <row r="119" spans="1:36" ht="15.75" customHeight="1">
      <c r="A119" s="327">
        <f>OVERALL!A48</f>
        <v>45</v>
      </c>
      <c r="B119" s="328">
        <f>OVERALL!B48</f>
        <v>2301282</v>
      </c>
      <c r="C119" s="329" t="str">
        <f>OVERALL!C48</f>
        <v>Uday Kumar</v>
      </c>
      <c r="D119" s="325">
        <v>0</v>
      </c>
      <c r="E119" s="325">
        <v>0</v>
      </c>
      <c r="F119" s="325">
        <v>0</v>
      </c>
      <c r="G119" s="325">
        <v>0</v>
      </c>
      <c r="H119" s="325">
        <v>0</v>
      </c>
      <c r="I119" s="325">
        <v>0</v>
      </c>
      <c r="J119" s="325">
        <v>0</v>
      </c>
      <c r="K119" s="325">
        <v>0</v>
      </c>
      <c r="L119" s="325">
        <v>0</v>
      </c>
      <c r="M119" s="325">
        <v>0</v>
      </c>
      <c r="N119" s="186"/>
      <c r="O119" s="156"/>
      <c r="P119" s="186"/>
      <c r="Q119" s="156"/>
      <c r="R119" s="156"/>
      <c r="S119" s="15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24"/>
      <c r="AD119" s="24"/>
      <c r="AE119" s="24"/>
      <c r="AF119" s="24"/>
      <c r="AG119" s="306"/>
      <c r="AH119" s="24"/>
      <c r="AJ119" s="40"/>
    </row>
    <row r="120" spans="1:36" ht="15.75" customHeight="1">
      <c r="A120" s="327">
        <f>OVERALL!A49</f>
        <v>46</v>
      </c>
      <c r="B120" s="328">
        <f>OVERALL!B49</f>
        <v>2301283</v>
      </c>
      <c r="C120" s="329" t="str">
        <f>OVERALL!C49</f>
        <v>Vaibhav Shahi</v>
      </c>
      <c r="D120" s="227">
        <v>7</v>
      </c>
      <c r="E120" s="324">
        <v>7</v>
      </c>
      <c r="F120" s="324">
        <v>6</v>
      </c>
      <c r="G120" s="324">
        <v>6</v>
      </c>
      <c r="H120" s="324">
        <v>6</v>
      </c>
      <c r="I120" s="324">
        <v>6</v>
      </c>
      <c r="J120" s="324">
        <v>7</v>
      </c>
      <c r="K120" s="324">
        <v>7</v>
      </c>
      <c r="L120" s="324">
        <v>7</v>
      </c>
      <c r="M120" s="324">
        <v>7</v>
      </c>
      <c r="N120" s="113"/>
      <c r="O120" s="156"/>
      <c r="P120" s="186"/>
      <c r="Q120" s="156"/>
      <c r="R120" s="156"/>
      <c r="S120" s="156"/>
      <c r="T120" s="186"/>
      <c r="U120" s="113"/>
      <c r="V120" s="113"/>
      <c r="W120" s="113"/>
      <c r="X120" s="113"/>
      <c r="Y120" s="113"/>
      <c r="Z120" s="113"/>
      <c r="AA120" s="113"/>
      <c r="AB120" s="113"/>
      <c r="AC120" s="24"/>
      <c r="AD120" s="24"/>
      <c r="AE120" s="24"/>
      <c r="AF120" s="24"/>
      <c r="AG120" s="306"/>
      <c r="AH120" s="24"/>
      <c r="AJ120" s="40"/>
    </row>
    <row r="121" spans="1:36" ht="15.75" customHeight="1">
      <c r="A121" s="327">
        <f>OVERALL!A50</f>
        <v>47</v>
      </c>
      <c r="B121" s="328">
        <f>OVERALL!B50</f>
        <v>2301284</v>
      </c>
      <c r="C121" s="329" t="str">
        <f>OVERALL!C50</f>
        <v>Vansh Kumar</v>
      </c>
      <c r="D121" s="325">
        <v>0</v>
      </c>
      <c r="E121" s="325">
        <v>0</v>
      </c>
      <c r="F121" s="325">
        <v>0</v>
      </c>
      <c r="G121" s="325">
        <v>0</v>
      </c>
      <c r="H121" s="325">
        <v>0</v>
      </c>
      <c r="I121" s="325">
        <v>0</v>
      </c>
      <c r="J121" s="325">
        <v>0</v>
      </c>
      <c r="K121" s="325">
        <v>0</v>
      </c>
      <c r="L121" s="325">
        <v>0</v>
      </c>
      <c r="M121" s="325">
        <v>0</v>
      </c>
      <c r="N121" s="113"/>
      <c r="O121" s="156"/>
      <c r="P121" s="186"/>
      <c r="Q121" s="156"/>
      <c r="R121" s="156"/>
      <c r="S121" s="156"/>
      <c r="T121" s="186"/>
      <c r="U121" s="113"/>
      <c r="V121" s="113"/>
      <c r="W121" s="113"/>
      <c r="X121" s="113"/>
      <c r="Y121" s="113"/>
      <c r="Z121" s="113"/>
      <c r="AA121" s="113"/>
      <c r="AB121" s="113"/>
      <c r="AC121" s="24"/>
      <c r="AD121" s="24"/>
      <c r="AE121" s="24"/>
      <c r="AF121" s="24"/>
      <c r="AG121" s="306"/>
      <c r="AH121" s="24"/>
      <c r="AJ121" s="40"/>
    </row>
    <row r="122" spans="1:36" ht="15.75" customHeight="1">
      <c r="A122" s="327">
        <f>OVERALL!A51</f>
        <v>48</v>
      </c>
      <c r="B122" s="328">
        <f>OVERALL!B51</f>
        <v>2301285</v>
      </c>
      <c r="C122" s="329" t="str">
        <f>OVERALL!C51</f>
        <v>Vansh Sharma</v>
      </c>
      <c r="D122" s="227">
        <v>7</v>
      </c>
      <c r="E122" s="324">
        <v>7</v>
      </c>
      <c r="F122" s="324">
        <v>7</v>
      </c>
      <c r="G122" s="324">
        <v>7</v>
      </c>
      <c r="H122" s="324">
        <v>7</v>
      </c>
      <c r="I122" s="324">
        <v>7</v>
      </c>
      <c r="J122" s="324">
        <v>7</v>
      </c>
      <c r="K122" s="324">
        <v>7</v>
      </c>
      <c r="L122" s="324"/>
      <c r="M122" s="324"/>
      <c r="N122" s="113"/>
      <c r="O122" s="156"/>
      <c r="P122" s="186"/>
      <c r="Q122" s="156"/>
      <c r="R122" s="156"/>
      <c r="S122" s="156"/>
      <c r="T122" s="186"/>
      <c r="U122" s="113"/>
      <c r="V122" s="113"/>
      <c r="W122" s="113"/>
      <c r="X122" s="113"/>
      <c r="Y122" s="113"/>
      <c r="Z122" s="113"/>
      <c r="AA122" s="113"/>
      <c r="AB122" s="113"/>
      <c r="AC122" s="24"/>
      <c r="AD122" s="24"/>
      <c r="AE122" s="24"/>
      <c r="AF122" s="24"/>
      <c r="AG122" s="306"/>
      <c r="AH122" s="24"/>
      <c r="AJ122" s="40"/>
    </row>
    <row r="123" spans="1:36" ht="15.75" customHeight="1">
      <c r="A123" s="327">
        <f>OVERALL!A52</f>
        <v>49</v>
      </c>
      <c r="B123" s="328">
        <f>OVERALL!B52</f>
        <v>2301286</v>
      </c>
      <c r="C123" s="329" t="str">
        <f>OVERALL!C52</f>
        <v>Vikramjit Singh</v>
      </c>
      <c r="D123" s="325">
        <v>0</v>
      </c>
      <c r="E123" s="325">
        <v>0</v>
      </c>
      <c r="F123" s="325">
        <v>0</v>
      </c>
      <c r="G123" s="325">
        <v>0</v>
      </c>
      <c r="H123" s="325">
        <v>0</v>
      </c>
      <c r="I123" s="325">
        <v>0</v>
      </c>
      <c r="J123" s="325">
        <v>0</v>
      </c>
      <c r="K123" s="325">
        <v>0</v>
      </c>
      <c r="L123" s="325">
        <v>0</v>
      </c>
      <c r="M123" s="325">
        <v>0</v>
      </c>
      <c r="N123" s="113"/>
      <c r="O123" s="156"/>
      <c r="P123" s="186"/>
      <c r="Q123" s="156"/>
      <c r="R123" s="156"/>
      <c r="S123" s="156"/>
      <c r="T123" s="186"/>
      <c r="U123" s="113"/>
      <c r="V123" s="113"/>
      <c r="W123" s="113"/>
      <c r="X123" s="113"/>
      <c r="Y123" s="113"/>
      <c r="Z123" s="113"/>
      <c r="AA123" s="113"/>
      <c r="AB123" s="113"/>
      <c r="AC123" s="24"/>
      <c r="AD123" s="24"/>
      <c r="AE123" s="24"/>
      <c r="AF123" s="24"/>
      <c r="AG123" s="306"/>
      <c r="AH123" s="24"/>
      <c r="AJ123" s="40"/>
    </row>
    <row r="124" spans="1:36" ht="15.75" customHeight="1">
      <c r="A124" s="327">
        <f>OVERALL!A53</f>
        <v>50</v>
      </c>
      <c r="B124" s="328">
        <f>OVERALL!B53</f>
        <v>2301287</v>
      </c>
      <c r="C124" s="329" t="str">
        <f>OVERALL!C53</f>
        <v>Vishavjit Singh</v>
      </c>
      <c r="D124" s="325">
        <v>0</v>
      </c>
      <c r="E124" s="325">
        <v>0</v>
      </c>
      <c r="F124" s="325">
        <v>0</v>
      </c>
      <c r="G124" s="325">
        <v>0</v>
      </c>
      <c r="H124" s="325">
        <v>0</v>
      </c>
      <c r="I124" s="325">
        <v>0</v>
      </c>
      <c r="J124" s="325">
        <v>0</v>
      </c>
      <c r="K124" s="325">
        <v>0</v>
      </c>
      <c r="L124" s="325">
        <v>0</v>
      </c>
      <c r="M124" s="325">
        <v>0</v>
      </c>
      <c r="N124" s="113"/>
      <c r="O124" s="156"/>
      <c r="P124" s="186"/>
      <c r="Q124" s="156"/>
      <c r="R124" s="156"/>
      <c r="S124" s="156"/>
      <c r="T124" s="186"/>
      <c r="U124" s="113"/>
      <c r="V124" s="113"/>
      <c r="W124" s="113"/>
      <c r="X124" s="113"/>
      <c r="Y124" s="113"/>
      <c r="Z124" s="113"/>
      <c r="AA124" s="113"/>
      <c r="AB124" s="113"/>
      <c r="AC124" s="24"/>
      <c r="AD124" s="24"/>
      <c r="AE124" s="24"/>
      <c r="AF124" s="24"/>
      <c r="AG124" s="306"/>
      <c r="AH124" s="24"/>
      <c r="AJ124" s="40"/>
    </row>
    <row r="125" spans="1:36" ht="15.75" customHeight="1">
      <c r="A125" s="327">
        <f>OVERALL!A54</f>
        <v>51</v>
      </c>
      <c r="B125" s="328">
        <f>OVERALL!B54</f>
        <v>2339508</v>
      </c>
      <c r="C125" s="329" t="str">
        <f>OVERALL!C54</f>
        <v>TANISHA</v>
      </c>
      <c r="D125" s="227">
        <v>6</v>
      </c>
      <c r="E125" s="324">
        <v>7</v>
      </c>
      <c r="F125" s="324">
        <v>7</v>
      </c>
      <c r="G125" s="325">
        <v>7</v>
      </c>
      <c r="H125" s="325">
        <v>7</v>
      </c>
      <c r="I125" s="325">
        <v>7</v>
      </c>
      <c r="J125" s="325">
        <v>7</v>
      </c>
      <c r="K125" s="325">
        <v>7</v>
      </c>
      <c r="L125" s="325">
        <v>7</v>
      </c>
      <c r="M125" s="325">
        <v>7</v>
      </c>
      <c r="N125" s="325"/>
      <c r="O125" s="325"/>
      <c r="P125" s="325"/>
      <c r="Q125" s="156"/>
      <c r="R125" s="156"/>
      <c r="S125" s="156"/>
      <c r="T125" s="186"/>
      <c r="U125" s="113"/>
      <c r="V125" s="113"/>
      <c r="W125" s="113"/>
      <c r="X125" s="113"/>
      <c r="Y125" s="113"/>
      <c r="Z125" s="113"/>
      <c r="AA125" s="113"/>
      <c r="AB125" s="113"/>
      <c r="AC125" s="24"/>
      <c r="AD125" s="24"/>
      <c r="AE125" s="24"/>
      <c r="AF125" s="24"/>
      <c r="AG125" s="306"/>
      <c r="AH125" s="24"/>
      <c r="AJ125" s="40"/>
    </row>
    <row r="126" spans="1:36" ht="15.75" customHeight="1">
      <c r="A126" s="327">
        <f>OVERALL!A55</f>
        <v>52</v>
      </c>
      <c r="B126" s="328">
        <f>OVERALL!B55</f>
        <v>2339509</v>
      </c>
      <c r="C126" s="329" t="str">
        <f>OVERALL!C55</f>
        <v>TOHIED AHMED</v>
      </c>
      <c r="D126" s="325">
        <v>0</v>
      </c>
      <c r="E126" s="325">
        <v>0</v>
      </c>
      <c r="F126" s="325">
        <v>0</v>
      </c>
      <c r="G126" s="325">
        <v>0</v>
      </c>
      <c r="H126" s="325">
        <v>0</v>
      </c>
      <c r="I126" s="325">
        <v>0</v>
      </c>
      <c r="J126" s="325">
        <v>0</v>
      </c>
      <c r="K126" s="325">
        <v>0</v>
      </c>
      <c r="L126" s="325">
        <v>0</v>
      </c>
      <c r="M126" s="325">
        <v>0</v>
      </c>
      <c r="N126" s="113"/>
      <c r="O126" s="156"/>
      <c r="P126" s="186"/>
      <c r="Q126" s="156"/>
      <c r="R126" s="156"/>
      <c r="S126" s="156"/>
      <c r="T126" s="186"/>
      <c r="U126" s="113"/>
      <c r="V126" s="113"/>
      <c r="W126" s="113"/>
      <c r="X126" s="113"/>
      <c r="Y126" s="113"/>
      <c r="Z126" s="113"/>
      <c r="AA126" s="113"/>
      <c r="AB126" s="113"/>
      <c r="AC126" s="24"/>
      <c r="AD126" s="24"/>
      <c r="AE126" s="24"/>
      <c r="AF126" s="24"/>
      <c r="AG126" s="306"/>
      <c r="AH126" s="24"/>
      <c r="AJ126" s="40"/>
    </row>
    <row r="127" spans="1:36" ht="15.75" customHeight="1">
      <c r="A127" s="327">
        <f>OVERALL!A56</f>
        <v>53</v>
      </c>
      <c r="B127" s="328">
        <f>OVERALL!B56</f>
        <v>2301207</v>
      </c>
      <c r="C127" s="329" t="str">
        <f>OVERALL!C56</f>
        <v>Harsh thakur</v>
      </c>
      <c r="D127" s="325">
        <v>0</v>
      </c>
      <c r="E127" s="325">
        <v>0</v>
      </c>
      <c r="F127" s="325">
        <v>0</v>
      </c>
      <c r="G127" s="325">
        <v>0</v>
      </c>
      <c r="H127" s="325">
        <v>0</v>
      </c>
      <c r="I127" s="325">
        <v>0</v>
      </c>
      <c r="J127" s="325">
        <v>0</v>
      </c>
      <c r="K127" s="325">
        <v>0</v>
      </c>
      <c r="L127" s="325">
        <v>0</v>
      </c>
      <c r="M127" s="325">
        <v>0</v>
      </c>
      <c r="N127" s="113"/>
      <c r="O127" s="156"/>
      <c r="P127" s="186"/>
      <c r="Q127" s="156"/>
      <c r="R127" s="156"/>
      <c r="S127" s="156"/>
      <c r="T127" s="186"/>
      <c r="U127" s="113"/>
      <c r="V127" s="113"/>
      <c r="W127" s="113"/>
      <c r="X127" s="113"/>
      <c r="Y127" s="113"/>
      <c r="Z127" s="113"/>
      <c r="AA127" s="113"/>
      <c r="AB127" s="113"/>
      <c r="AC127" s="24"/>
      <c r="AD127" s="24"/>
      <c r="AE127" s="24"/>
      <c r="AF127" s="24"/>
      <c r="AG127" s="306"/>
      <c r="AH127" s="24"/>
      <c r="AJ127" s="40"/>
    </row>
    <row r="128" spans="1:36" ht="15.75" customHeight="1">
      <c r="A128" s="327">
        <f>OVERALL!A57</f>
        <v>54</v>
      </c>
      <c r="B128" s="328" t="str">
        <f>OVERALL!B57</f>
        <v>Leet</v>
      </c>
      <c r="C128" s="329" t="str">
        <f>OVERALL!C57</f>
        <v>Gagan</v>
      </c>
      <c r="D128" s="181">
        <v>8</v>
      </c>
      <c r="E128" s="182">
        <v>7</v>
      </c>
      <c r="F128" s="182">
        <v>8</v>
      </c>
      <c r="G128" s="182">
        <v>7</v>
      </c>
      <c r="H128" s="182">
        <v>7</v>
      </c>
      <c r="I128" s="182">
        <v>8</v>
      </c>
      <c r="J128" s="182">
        <v>9</v>
      </c>
      <c r="K128" s="182">
        <v>9</v>
      </c>
      <c r="L128" s="182">
        <v>8</v>
      </c>
      <c r="M128" s="182">
        <v>9</v>
      </c>
      <c r="N128" s="113"/>
      <c r="O128" s="156"/>
      <c r="P128" s="186"/>
      <c r="Q128" s="156"/>
      <c r="R128" s="156"/>
      <c r="S128" s="156"/>
      <c r="T128" s="186"/>
      <c r="U128" s="113"/>
      <c r="V128" s="113"/>
      <c r="W128" s="113"/>
      <c r="X128" s="113"/>
      <c r="Y128" s="113"/>
      <c r="Z128" s="113"/>
      <c r="AA128" s="113"/>
      <c r="AB128" s="113"/>
      <c r="AC128" s="24"/>
      <c r="AD128" s="24"/>
      <c r="AE128" s="24"/>
      <c r="AF128" s="24"/>
      <c r="AG128" s="306"/>
      <c r="AH128" s="24"/>
      <c r="AJ128" s="40"/>
    </row>
    <row r="129" spans="1:36" ht="15.75" customHeight="1">
      <c r="A129" s="327">
        <f>OVERALL!A58</f>
        <v>55</v>
      </c>
      <c r="B129" s="328" t="str">
        <f>OVERALL!B58</f>
        <v>Leet</v>
      </c>
      <c r="C129" s="329" t="str">
        <f>OVERALL!C58</f>
        <v>Manisha</v>
      </c>
      <c r="D129" s="181">
        <v>8</v>
      </c>
      <c r="E129" s="182">
        <v>8</v>
      </c>
      <c r="F129" s="182">
        <v>9</v>
      </c>
      <c r="G129" s="182">
        <v>9</v>
      </c>
      <c r="H129" s="182">
        <v>8</v>
      </c>
      <c r="I129" s="182">
        <v>8</v>
      </c>
      <c r="J129" s="182">
        <v>8</v>
      </c>
      <c r="K129" s="182">
        <v>9</v>
      </c>
      <c r="L129" s="182">
        <v>9</v>
      </c>
      <c r="M129" s="182">
        <v>9</v>
      </c>
      <c r="N129" s="113"/>
      <c r="O129" s="156"/>
      <c r="P129" s="186"/>
      <c r="Q129" s="156"/>
      <c r="R129" s="156"/>
      <c r="S129" s="156"/>
      <c r="T129" s="186"/>
      <c r="U129" s="113"/>
      <c r="V129" s="113"/>
      <c r="W129" s="113"/>
      <c r="X129" s="113"/>
      <c r="Y129" s="113"/>
      <c r="Z129" s="113"/>
      <c r="AA129" s="113"/>
      <c r="AB129" s="113"/>
      <c r="AC129" s="24"/>
      <c r="AD129" s="24"/>
      <c r="AE129" s="24"/>
      <c r="AF129" s="24"/>
      <c r="AG129" s="306"/>
      <c r="AH129" s="24"/>
      <c r="AJ129" s="40"/>
    </row>
    <row r="130" spans="1:36" ht="15.75" customHeight="1">
      <c r="A130" s="327">
        <f>OVERALL!A59</f>
        <v>56</v>
      </c>
      <c r="B130" s="328" t="str">
        <f>OVERALL!B59</f>
        <v>Leet</v>
      </c>
      <c r="C130" s="329" t="str">
        <f>OVERALL!C59</f>
        <v>Richa</v>
      </c>
      <c r="D130" s="181">
        <v>9</v>
      </c>
      <c r="E130" s="182">
        <v>9</v>
      </c>
      <c r="F130" s="182">
        <v>9</v>
      </c>
      <c r="G130" s="182">
        <v>9</v>
      </c>
      <c r="H130" s="182">
        <v>10</v>
      </c>
      <c r="I130" s="182">
        <v>10</v>
      </c>
      <c r="J130" s="182">
        <v>9</v>
      </c>
      <c r="K130" s="182">
        <v>9</v>
      </c>
      <c r="L130" s="182">
        <v>9</v>
      </c>
      <c r="M130" s="182">
        <v>9</v>
      </c>
      <c r="N130" s="113"/>
      <c r="O130" s="156"/>
      <c r="P130" s="186"/>
      <c r="Q130" s="156"/>
      <c r="R130" s="156"/>
      <c r="S130" s="156"/>
      <c r="T130" s="186"/>
      <c r="U130" s="113"/>
      <c r="V130" s="113"/>
      <c r="W130" s="113"/>
      <c r="X130" s="113"/>
      <c r="Y130" s="113"/>
      <c r="Z130" s="113"/>
      <c r="AA130" s="113"/>
      <c r="AB130" s="113"/>
      <c r="AC130" s="24"/>
      <c r="AD130" s="24"/>
      <c r="AE130" s="24"/>
      <c r="AF130" s="24"/>
      <c r="AG130" s="306"/>
      <c r="AH130" s="24"/>
      <c r="AJ130" s="40"/>
    </row>
    <row r="131" spans="1:36" ht="15.75" customHeight="1">
      <c r="A131" s="316">
        <v>57</v>
      </c>
      <c r="B131" s="328" t="str">
        <f>OVERALL!B60</f>
        <v>Leet</v>
      </c>
      <c r="C131" s="225" t="s">
        <v>76</v>
      </c>
      <c r="D131" s="181">
        <v>9</v>
      </c>
      <c r="E131" s="182">
        <v>8</v>
      </c>
      <c r="F131" s="182">
        <v>7</v>
      </c>
      <c r="G131" s="182">
        <v>7</v>
      </c>
      <c r="H131" s="182">
        <v>9</v>
      </c>
      <c r="I131" s="182">
        <v>9</v>
      </c>
      <c r="J131" s="182">
        <v>10</v>
      </c>
      <c r="K131" s="182">
        <v>10</v>
      </c>
      <c r="L131" s="182">
        <v>9</v>
      </c>
      <c r="M131" s="182">
        <v>9</v>
      </c>
      <c r="N131" s="113"/>
      <c r="O131" s="156"/>
      <c r="P131" s="186"/>
      <c r="Q131" s="156"/>
      <c r="R131" s="156"/>
      <c r="S131" s="156"/>
      <c r="T131" s="186"/>
      <c r="U131" s="113"/>
      <c r="V131" s="113"/>
      <c r="W131" s="113"/>
      <c r="X131" s="113"/>
      <c r="Y131" s="113"/>
      <c r="Z131" s="113"/>
      <c r="AA131" s="113"/>
      <c r="AB131" s="113"/>
      <c r="AC131" s="24"/>
      <c r="AD131" s="24"/>
      <c r="AE131" s="24"/>
      <c r="AF131" s="24"/>
      <c r="AG131" s="306"/>
      <c r="AH131" s="24"/>
      <c r="AJ131" s="40"/>
    </row>
    <row r="132" spans="1:36" ht="15.75" customHeight="1">
      <c r="A132" s="316">
        <v>58</v>
      </c>
      <c r="B132" s="328" t="str">
        <f>OVERALL!B61</f>
        <v>leet</v>
      </c>
      <c r="C132" s="332" t="s">
        <v>194</v>
      </c>
      <c r="D132" s="332">
        <v>7</v>
      </c>
      <c r="E132" s="333">
        <v>7</v>
      </c>
      <c r="F132" s="333">
        <v>7</v>
      </c>
      <c r="G132" s="333">
        <v>8</v>
      </c>
      <c r="H132" s="333">
        <v>8</v>
      </c>
      <c r="I132" s="333">
        <v>8</v>
      </c>
      <c r="J132" s="333">
        <v>8</v>
      </c>
      <c r="K132" s="333">
        <v>8</v>
      </c>
      <c r="L132" s="333">
        <v>7</v>
      </c>
      <c r="M132" s="333">
        <v>8</v>
      </c>
      <c r="N132" s="113"/>
      <c r="O132" s="156"/>
      <c r="P132" s="186"/>
      <c r="Q132" s="156"/>
      <c r="R132" s="156"/>
      <c r="S132" s="156"/>
      <c r="T132" s="186"/>
      <c r="U132" s="113"/>
      <c r="V132" s="113"/>
      <c r="W132" s="113"/>
      <c r="X132" s="113"/>
      <c r="Y132" s="113"/>
      <c r="Z132" s="113"/>
      <c r="AA132" s="113"/>
      <c r="AB132" s="113"/>
      <c r="AC132" s="24"/>
      <c r="AD132" s="24"/>
      <c r="AE132" s="24"/>
      <c r="AF132" s="24"/>
      <c r="AG132" s="306"/>
      <c r="AH132" s="24"/>
      <c r="AJ132" s="40"/>
    </row>
    <row r="133" spans="1:36" ht="15.75" customHeight="1">
      <c r="A133" s="316"/>
      <c r="B133" s="317"/>
      <c r="C133" s="318"/>
      <c r="D133" s="113"/>
      <c r="E133" s="113"/>
      <c r="F133" s="113"/>
      <c r="G133" s="113"/>
      <c r="H133" s="113"/>
      <c r="I133" s="123"/>
      <c r="J133" s="113"/>
      <c r="K133" s="113"/>
      <c r="L133" s="113"/>
      <c r="M133" s="113"/>
      <c r="N133" s="113"/>
      <c r="O133" s="156"/>
      <c r="P133" s="186"/>
      <c r="Q133" s="156"/>
      <c r="R133" s="156"/>
      <c r="S133" s="156"/>
      <c r="T133" s="186"/>
      <c r="U133" s="113"/>
      <c r="V133" s="113"/>
      <c r="W133" s="113"/>
      <c r="X133" s="113"/>
      <c r="Y133" s="113"/>
      <c r="Z133" s="113"/>
      <c r="AA133" s="113"/>
      <c r="AB133" s="113"/>
      <c r="AC133" s="24"/>
      <c r="AD133" s="24"/>
      <c r="AE133" s="24"/>
      <c r="AF133" s="24"/>
      <c r="AG133" s="306"/>
      <c r="AH133" s="24"/>
      <c r="AJ133" s="40"/>
    </row>
    <row r="134" spans="1:36" ht="15.75" customHeight="1">
      <c r="A134" s="316"/>
      <c r="B134" s="317"/>
      <c r="C134" s="318"/>
      <c r="D134" s="113"/>
      <c r="E134" s="113"/>
      <c r="F134" s="113"/>
      <c r="G134" s="113"/>
      <c r="H134" s="113"/>
      <c r="I134" s="123"/>
      <c r="J134" s="113"/>
      <c r="K134" s="113"/>
      <c r="L134" s="113"/>
      <c r="M134" s="113"/>
      <c r="N134" s="113"/>
      <c r="O134" s="156"/>
      <c r="P134" s="186"/>
      <c r="Q134" s="156"/>
      <c r="R134" s="156"/>
      <c r="S134" s="156"/>
      <c r="T134" s="186"/>
      <c r="U134" s="113"/>
      <c r="V134" s="113"/>
      <c r="W134" s="113"/>
      <c r="X134" s="113"/>
      <c r="Y134" s="113"/>
      <c r="Z134" s="113"/>
      <c r="AA134" s="113"/>
      <c r="AB134" s="113"/>
      <c r="AC134" s="24"/>
      <c r="AD134" s="24"/>
      <c r="AE134" s="24"/>
      <c r="AF134" s="24"/>
      <c r="AG134" s="306"/>
      <c r="AH134" s="24"/>
      <c r="AJ134" s="40"/>
    </row>
    <row r="135" spans="1:36" ht="15.75" customHeight="1">
      <c r="A135" s="316"/>
      <c r="B135" s="317"/>
      <c r="C135" s="318"/>
      <c r="D135" s="113"/>
      <c r="E135" s="113"/>
      <c r="F135" s="113"/>
      <c r="G135" s="113"/>
      <c r="H135" s="113"/>
      <c r="I135" s="123"/>
      <c r="J135" s="113"/>
      <c r="K135" s="113"/>
      <c r="L135" s="113"/>
      <c r="M135" s="113"/>
      <c r="N135" s="113"/>
      <c r="O135" s="156"/>
      <c r="P135" s="186"/>
      <c r="Q135" s="156"/>
      <c r="R135" s="156"/>
      <c r="S135" s="156"/>
      <c r="T135" s="186"/>
      <c r="U135" s="113"/>
      <c r="V135" s="113"/>
      <c r="W135" s="113"/>
      <c r="X135" s="113"/>
      <c r="Y135" s="113"/>
      <c r="Z135" s="113"/>
      <c r="AA135" s="113"/>
      <c r="AB135" s="113"/>
      <c r="AC135" s="24"/>
      <c r="AD135" s="24"/>
      <c r="AE135" s="24"/>
      <c r="AF135" s="24"/>
      <c r="AG135" s="306"/>
      <c r="AH135" s="24"/>
      <c r="AJ135" s="40"/>
    </row>
    <row r="136" spans="1:36" ht="15.75" customHeight="1">
      <c r="A136" s="316"/>
      <c r="B136" s="318"/>
      <c r="C136" s="318"/>
      <c r="D136" s="113"/>
      <c r="E136" s="113"/>
      <c r="F136" s="113"/>
      <c r="G136" s="113"/>
      <c r="H136" s="113"/>
      <c r="I136" s="123"/>
      <c r="J136" s="113"/>
      <c r="K136" s="113"/>
      <c r="L136" s="113"/>
      <c r="M136" s="113"/>
      <c r="N136" s="113"/>
      <c r="O136" s="156"/>
      <c r="P136" s="186"/>
      <c r="Q136" s="156"/>
      <c r="R136" s="156"/>
      <c r="S136" s="156"/>
      <c r="T136" s="186"/>
      <c r="U136" s="113"/>
      <c r="V136" s="113"/>
      <c r="W136" s="113"/>
      <c r="X136" s="113"/>
      <c r="Y136" s="113"/>
      <c r="Z136" s="113"/>
      <c r="AA136" s="113"/>
      <c r="AB136" s="113"/>
      <c r="AC136" s="24"/>
      <c r="AD136" s="24"/>
      <c r="AE136" s="24"/>
      <c r="AF136" s="24"/>
      <c r="AG136" s="306"/>
      <c r="AH136" s="24"/>
      <c r="AJ136" s="40"/>
    </row>
    <row r="137" spans="1:36" ht="15.75" customHeight="1">
      <c r="A137" s="316"/>
      <c r="B137" s="318"/>
      <c r="C137" s="318"/>
      <c r="D137" s="113"/>
      <c r="E137" s="113"/>
      <c r="F137" s="113"/>
      <c r="G137" s="113"/>
      <c r="H137" s="113"/>
      <c r="I137" s="334"/>
      <c r="J137" s="113"/>
      <c r="K137" s="113"/>
      <c r="L137" s="113"/>
      <c r="M137" s="113"/>
      <c r="N137" s="113"/>
      <c r="O137" s="156"/>
      <c r="P137" s="186"/>
      <c r="Q137" s="156"/>
      <c r="R137" s="156"/>
      <c r="S137" s="156"/>
      <c r="T137" s="186"/>
      <c r="U137" s="113"/>
      <c r="V137" s="113"/>
      <c r="W137" s="113"/>
      <c r="X137" s="113"/>
      <c r="Y137" s="113"/>
      <c r="Z137" s="113"/>
      <c r="AA137" s="113"/>
      <c r="AB137" s="113"/>
      <c r="AC137" s="24"/>
      <c r="AD137" s="24"/>
      <c r="AE137" s="24"/>
      <c r="AF137" s="24"/>
      <c r="AG137" s="306"/>
      <c r="AH137" s="24"/>
      <c r="AJ137" s="40"/>
    </row>
    <row r="138" spans="1:36" ht="15.75" customHeight="1">
      <c r="A138" s="316"/>
      <c r="B138" s="318"/>
      <c r="C138" s="318"/>
      <c r="D138" s="113"/>
      <c r="E138" s="113"/>
      <c r="F138" s="113"/>
      <c r="G138" s="113"/>
      <c r="H138" s="113"/>
      <c r="I138" s="123"/>
      <c r="J138" s="113"/>
      <c r="K138" s="113"/>
      <c r="L138" s="121"/>
      <c r="M138" s="121"/>
      <c r="N138" s="121"/>
      <c r="O138" s="156"/>
      <c r="P138" s="186"/>
      <c r="Q138" s="156"/>
      <c r="R138" s="156"/>
      <c r="S138" s="156"/>
      <c r="T138" s="186"/>
      <c r="U138" s="113"/>
      <c r="V138" s="113"/>
      <c r="W138" s="113"/>
      <c r="X138" s="113"/>
      <c r="Y138" s="113"/>
      <c r="Z138" s="113"/>
      <c r="AA138" s="113"/>
      <c r="AB138" s="113"/>
      <c r="AC138" s="24"/>
      <c r="AD138" s="24"/>
      <c r="AE138" s="24"/>
      <c r="AF138" s="24"/>
      <c r="AG138" s="306"/>
      <c r="AH138" s="24"/>
      <c r="AJ138" s="40"/>
    </row>
    <row r="139" spans="1:36" ht="15.75" customHeight="1">
      <c r="A139" s="267"/>
      <c r="B139" s="268"/>
      <c r="C139" s="269"/>
      <c r="D139" s="113"/>
      <c r="E139" s="113"/>
      <c r="F139" s="113"/>
      <c r="G139" s="113"/>
      <c r="H139" s="113"/>
      <c r="I139" s="271"/>
      <c r="J139" s="271"/>
      <c r="K139" s="271"/>
      <c r="L139" s="271"/>
      <c r="M139" s="271"/>
      <c r="N139" s="271"/>
      <c r="O139" s="271"/>
      <c r="P139" s="271"/>
      <c r="Q139" s="271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4"/>
      <c r="AD139" s="24"/>
      <c r="AE139" s="24"/>
      <c r="AF139" s="24"/>
      <c r="AG139" s="306"/>
      <c r="AH139" s="24"/>
      <c r="AJ139" s="40"/>
    </row>
    <row r="140" spans="1:36" ht="15.75" customHeight="1">
      <c r="A140" s="267"/>
      <c r="B140" s="268"/>
      <c r="C140" s="269"/>
      <c r="D140" s="113"/>
      <c r="E140" s="113"/>
      <c r="F140" s="113"/>
      <c r="G140" s="113"/>
      <c r="H140" s="113"/>
      <c r="I140" s="271"/>
      <c r="J140" s="271"/>
      <c r="K140" s="271"/>
      <c r="L140" s="271"/>
      <c r="M140" s="271"/>
      <c r="N140" s="271"/>
      <c r="O140" s="271"/>
      <c r="P140" s="271"/>
      <c r="Q140" s="271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4"/>
      <c r="AD140" s="24"/>
      <c r="AE140" s="24"/>
      <c r="AF140" s="24"/>
      <c r="AG140" s="306"/>
      <c r="AH140" s="24"/>
      <c r="AJ140" s="40"/>
    </row>
    <row r="141" spans="1:36" ht="15.75" customHeight="1">
      <c r="A141" s="267"/>
      <c r="B141" s="268"/>
      <c r="C141" s="269"/>
      <c r="D141" s="113"/>
      <c r="E141" s="113"/>
      <c r="F141" s="113"/>
      <c r="G141" s="113"/>
      <c r="H141" s="113"/>
      <c r="I141" s="271"/>
      <c r="J141" s="271"/>
      <c r="K141" s="271"/>
      <c r="L141" s="271"/>
      <c r="M141" s="271"/>
      <c r="N141" s="271"/>
      <c r="O141" s="271"/>
      <c r="P141" s="271"/>
      <c r="Q141" s="271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4"/>
      <c r="AD141" s="24"/>
      <c r="AE141" s="24"/>
      <c r="AF141" s="24"/>
      <c r="AG141" s="306"/>
      <c r="AH141" s="24"/>
      <c r="AJ141" s="40"/>
    </row>
    <row r="142" spans="1:36" ht="15.75" customHeight="1">
      <c r="A142" s="267"/>
      <c r="B142" s="268"/>
      <c r="C142" s="269"/>
      <c r="D142" s="113"/>
      <c r="E142" s="113"/>
      <c r="F142" s="113"/>
      <c r="G142" s="113"/>
      <c r="H142" s="113"/>
      <c r="I142" s="271"/>
      <c r="J142" s="271"/>
      <c r="K142" s="271"/>
      <c r="L142" s="271"/>
      <c r="M142" s="271"/>
      <c r="N142" s="271"/>
      <c r="O142" s="271"/>
      <c r="P142" s="271"/>
      <c r="Q142" s="271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4"/>
      <c r="AD142" s="24"/>
      <c r="AE142" s="24"/>
      <c r="AF142" s="24"/>
      <c r="AG142" s="306"/>
      <c r="AH142" s="24"/>
      <c r="AJ142" s="40"/>
    </row>
    <row r="143" spans="1:36" ht="15.75" customHeight="1">
      <c r="A143" s="267"/>
      <c r="B143" s="268"/>
      <c r="C143" s="269"/>
      <c r="D143" s="113"/>
      <c r="E143" s="113"/>
      <c r="F143" s="113"/>
      <c r="G143" s="113"/>
      <c r="H143" s="113"/>
      <c r="I143" s="271"/>
      <c r="J143" s="271"/>
      <c r="K143" s="271"/>
      <c r="L143" s="271"/>
      <c r="M143" s="271"/>
      <c r="N143" s="271"/>
      <c r="O143" s="271"/>
      <c r="P143" s="271"/>
      <c r="Q143" s="271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4"/>
      <c r="AD143" s="24"/>
      <c r="AE143" s="24"/>
      <c r="AF143" s="24"/>
      <c r="AG143" s="306"/>
      <c r="AH143" s="24"/>
      <c r="AJ143" s="40"/>
    </row>
    <row r="144" spans="1:36" ht="15.75" customHeight="1">
      <c r="A144" s="267"/>
      <c r="B144" s="268"/>
      <c r="C144" s="269"/>
      <c r="D144" s="113"/>
      <c r="E144" s="113"/>
      <c r="F144" s="113"/>
      <c r="G144" s="113"/>
      <c r="H144" s="113"/>
      <c r="I144" s="271"/>
      <c r="J144" s="271"/>
      <c r="K144" s="271"/>
      <c r="L144" s="271"/>
      <c r="M144" s="271"/>
      <c r="N144" s="271"/>
      <c r="O144" s="271"/>
      <c r="P144" s="271"/>
      <c r="Q144" s="271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4"/>
      <c r="AD144" s="24"/>
      <c r="AE144" s="24"/>
      <c r="AF144" s="24"/>
      <c r="AG144" s="306"/>
      <c r="AH144" s="24"/>
      <c r="AJ144" s="40"/>
    </row>
    <row r="145" spans="1:44" ht="15.75" customHeight="1">
      <c r="A145" s="267"/>
      <c r="B145" s="268"/>
      <c r="C145" s="269"/>
      <c r="D145" s="113"/>
      <c r="E145" s="113"/>
      <c r="F145" s="113"/>
      <c r="G145" s="113"/>
      <c r="H145" s="113"/>
      <c r="I145" s="271"/>
      <c r="J145" s="271"/>
      <c r="K145" s="271"/>
      <c r="L145" s="271"/>
      <c r="M145" s="271"/>
      <c r="N145" s="271"/>
      <c r="O145" s="271"/>
      <c r="P145" s="271"/>
      <c r="Q145" s="271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4"/>
      <c r="AD145" s="24"/>
      <c r="AE145" s="24"/>
      <c r="AF145" s="24"/>
      <c r="AG145" s="306"/>
      <c r="AH145" s="24"/>
      <c r="AI145" s="24"/>
      <c r="AJ145" s="40"/>
      <c r="AK145" s="24"/>
      <c r="AL145" s="24"/>
      <c r="AM145" s="24"/>
      <c r="AN145" s="24"/>
      <c r="AO145" s="24"/>
      <c r="AP145" s="24"/>
      <c r="AQ145" s="24"/>
      <c r="AR145" s="24"/>
    </row>
    <row r="146" spans="1:44" ht="15.75" customHeight="1">
      <c r="A146" s="52"/>
      <c r="B146" s="184"/>
      <c r="C146" s="134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4"/>
      <c r="AD146" s="24"/>
      <c r="AE146" s="24"/>
      <c r="AF146" s="24"/>
      <c r="AG146" s="306"/>
      <c r="AH146" s="24"/>
      <c r="AI146" s="24"/>
      <c r="AJ146" s="40"/>
      <c r="AK146" s="24"/>
      <c r="AL146" s="24"/>
      <c r="AM146" s="24"/>
      <c r="AN146" s="24"/>
      <c r="AO146" s="24"/>
      <c r="AP146" s="24"/>
      <c r="AQ146" s="24"/>
      <c r="AR146" s="24"/>
    </row>
    <row r="147" spans="1:44" ht="15.75" customHeight="1">
      <c r="A147" s="52"/>
      <c r="B147" s="184"/>
      <c r="C147" s="134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4"/>
      <c r="AD147" s="24"/>
      <c r="AE147" s="24"/>
      <c r="AF147" s="24"/>
      <c r="AG147" s="306"/>
      <c r="AH147" s="24"/>
      <c r="AI147" s="24"/>
      <c r="AJ147" s="40"/>
      <c r="AK147" s="24"/>
      <c r="AL147" s="24"/>
      <c r="AM147" s="24"/>
      <c r="AN147" s="24"/>
      <c r="AO147" s="24"/>
      <c r="AP147" s="24"/>
      <c r="AQ147" s="24"/>
      <c r="AR147" s="24"/>
    </row>
    <row r="148" spans="1:44" ht="15.75" customHeight="1">
      <c r="A148" s="52"/>
      <c r="B148" s="184"/>
      <c r="C148" s="134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4"/>
      <c r="AD148" s="24"/>
      <c r="AE148" s="24"/>
      <c r="AF148" s="24"/>
      <c r="AG148" s="306"/>
      <c r="AH148" s="24"/>
      <c r="AI148" s="24"/>
      <c r="AJ148" s="40"/>
      <c r="AK148" s="24"/>
      <c r="AL148" s="24"/>
      <c r="AM148" s="24"/>
      <c r="AN148" s="24"/>
      <c r="AO148" s="24"/>
      <c r="AP148" s="24"/>
      <c r="AQ148" s="24"/>
      <c r="AR148" s="24"/>
    </row>
    <row r="149" spans="1:44" ht="15.75" customHeight="1">
      <c r="A149" s="52"/>
      <c r="B149" s="184"/>
      <c r="C149" s="134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4"/>
      <c r="AD149" s="24"/>
      <c r="AE149" s="24"/>
      <c r="AF149" s="24"/>
      <c r="AG149" s="306"/>
      <c r="AH149" s="24"/>
      <c r="AI149" s="24"/>
      <c r="AJ149" s="40"/>
      <c r="AK149" s="24"/>
      <c r="AL149" s="24"/>
      <c r="AM149" s="24"/>
      <c r="AN149" s="24"/>
      <c r="AO149" s="24"/>
      <c r="AP149" s="24"/>
      <c r="AQ149" s="24"/>
      <c r="AR149" s="24"/>
    </row>
    <row r="150" spans="1:44" ht="15.75" customHeight="1">
      <c r="A150" s="52"/>
      <c r="B150" s="184"/>
      <c r="C150" s="134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4"/>
      <c r="AD150" s="24"/>
      <c r="AE150" s="24"/>
      <c r="AF150" s="24"/>
      <c r="AG150" s="306"/>
      <c r="AH150" s="24"/>
      <c r="AI150" s="24"/>
      <c r="AJ150" s="40"/>
      <c r="AK150" s="24"/>
      <c r="AL150" s="24"/>
      <c r="AM150" s="24"/>
      <c r="AN150" s="24"/>
      <c r="AO150" s="24"/>
      <c r="AP150" s="24"/>
      <c r="AQ150" s="24"/>
      <c r="AR150" s="24"/>
    </row>
    <row r="151" spans="1:44" ht="15.75" customHeight="1">
      <c r="A151" s="52"/>
      <c r="B151" s="184"/>
      <c r="C151" s="134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4"/>
      <c r="AD151" s="24"/>
      <c r="AE151" s="24"/>
      <c r="AF151" s="24"/>
      <c r="AG151" s="306"/>
      <c r="AH151" s="24"/>
      <c r="AI151" s="24"/>
      <c r="AJ151" s="40"/>
      <c r="AK151" s="24"/>
      <c r="AL151" s="24"/>
      <c r="AM151" s="24"/>
      <c r="AN151" s="24"/>
      <c r="AO151" s="24"/>
      <c r="AP151" s="24"/>
      <c r="AQ151" s="24"/>
      <c r="AR151" s="24"/>
    </row>
    <row r="152" spans="1:44" ht="15.75" customHeight="1">
      <c r="A152" s="52"/>
      <c r="B152" s="184"/>
      <c r="C152" s="134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4"/>
      <c r="AD152" s="24"/>
      <c r="AE152" s="24"/>
      <c r="AF152" s="24"/>
      <c r="AG152" s="306"/>
      <c r="AH152" s="24"/>
      <c r="AI152" s="24"/>
      <c r="AJ152" s="40"/>
      <c r="AK152" s="24"/>
      <c r="AL152" s="24"/>
      <c r="AM152" s="24"/>
      <c r="AN152" s="24"/>
      <c r="AO152" s="24"/>
      <c r="AP152" s="24"/>
      <c r="AQ152" s="24"/>
      <c r="AR152" s="24"/>
    </row>
    <row r="153" spans="1:44" ht="15.75" customHeight="1">
      <c r="A153" s="52"/>
      <c r="B153" s="184"/>
      <c r="C153" s="134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4"/>
      <c r="AD153" s="24"/>
      <c r="AE153" s="24"/>
      <c r="AF153" s="24"/>
      <c r="AG153" s="306"/>
      <c r="AH153" s="24"/>
      <c r="AI153" s="24"/>
      <c r="AJ153" s="40"/>
      <c r="AK153" s="24"/>
      <c r="AL153" s="24"/>
      <c r="AM153" s="24"/>
      <c r="AN153" s="24"/>
      <c r="AO153" s="24"/>
      <c r="AP153" s="24"/>
      <c r="AQ153" s="24"/>
      <c r="AR153" s="24"/>
    </row>
    <row r="154" spans="1:44" ht="15.75" customHeight="1">
      <c r="A154" s="52"/>
      <c r="B154" s="184"/>
      <c r="C154" s="134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4"/>
      <c r="AD154" s="24"/>
      <c r="AE154" s="24"/>
      <c r="AF154" s="24"/>
      <c r="AG154" s="306"/>
      <c r="AH154" s="24"/>
      <c r="AI154" s="24"/>
      <c r="AJ154" s="40"/>
      <c r="AK154" s="24"/>
      <c r="AL154" s="24"/>
      <c r="AM154" s="24"/>
      <c r="AN154" s="24"/>
      <c r="AO154" s="24"/>
      <c r="AP154" s="24"/>
      <c r="AQ154" s="24"/>
      <c r="AR154" s="24"/>
    </row>
    <row r="155" spans="1:44" ht="15.75" customHeight="1">
      <c r="A155" s="52"/>
      <c r="B155" s="184"/>
      <c r="C155" s="134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4"/>
      <c r="AD155" s="24"/>
      <c r="AE155" s="24"/>
      <c r="AF155" s="24"/>
      <c r="AG155" s="306"/>
      <c r="AH155" s="24"/>
      <c r="AI155" s="24"/>
      <c r="AJ155" s="40"/>
      <c r="AK155" s="24"/>
      <c r="AL155" s="24"/>
      <c r="AM155" s="24"/>
      <c r="AN155" s="24"/>
      <c r="AO155" s="24"/>
      <c r="AP155" s="24"/>
      <c r="AQ155" s="24"/>
      <c r="AR155" s="24"/>
    </row>
    <row r="156" spans="1:44" ht="15.75" customHeight="1">
      <c r="A156" s="52"/>
      <c r="B156" s="184"/>
      <c r="C156" s="134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4"/>
      <c r="AD156" s="24"/>
      <c r="AE156" s="24"/>
      <c r="AF156" s="24"/>
      <c r="AG156" s="306"/>
      <c r="AH156" s="24"/>
      <c r="AI156" s="24"/>
      <c r="AJ156" s="40"/>
      <c r="AK156" s="24"/>
      <c r="AL156" s="24"/>
      <c r="AM156" s="24"/>
      <c r="AN156" s="24"/>
      <c r="AO156" s="24"/>
      <c r="AP156" s="24"/>
      <c r="AQ156" s="24"/>
      <c r="AR156" s="24"/>
    </row>
    <row r="157" spans="1:44" ht="15.75" customHeight="1">
      <c r="A157" s="52"/>
      <c r="B157" s="184"/>
      <c r="C157" s="134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4"/>
      <c r="AD157" s="24"/>
      <c r="AE157" s="24"/>
      <c r="AF157" s="24"/>
      <c r="AG157" s="306"/>
      <c r="AH157" s="24"/>
      <c r="AI157" s="24"/>
      <c r="AJ157" s="40"/>
      <c r="AK157" s="24"/>
      <c r="AL157" s="24"/>
      <c r="AM157" s="24"/>
      <c r="AN157" s="24"/>
      <c r="AO157" s="24"/>
      <c r="AP157" s="24"/>
      <c r="AQ157" s="24"/>
      <c r="AR157" s="24"/>
    </row>
    <row r="158" spans="1:44" ht="15.75" customHeight="1">
      <c r="A158" s="52"/>
      <c r="B158" s="184"/>
      <c r="C158" s="134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4"/>
      <c r="AD158" s="24"/>
      <c r="AE158" s="24"/>
      <c r="AF158" s="24"/>
      <c r="AG158" s="306"/>
      <c r="AH158" s="24"/>
      <c r="AI158" s="24"/>
      <c r="AJ158" s="40"/>
      <c r="AK158" s="24"/>
      <c r="AL158" s="24"/>
      <c r="AM158" s="24"/>
      <c r="AN158" s="24"/>
      <c r="AO158" s="24"/>
      <c r="AP158" s="24"/>
      <c r="AQ158" s="24"/>
      <c r="AR158" s="24"/>
    </row>
    <row r="159" spans="1:44" ht="15.75" customHeight="1">
      <c r="A159" s="52"/>
      <c r="B159" s="184"/>
      <c r="C159" s="134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4"/>
      <c r="AD159" s="24"/>
      <c r="AE159" s="24"/>
      <c r="AF159" s="24"/>
      <c r="AG159" s="306"/>
      <c r="AH159" s="24"/>
      <c r="AI159" s="24"/>
      <c r="AJ159" s="40"/>
      <c r="AK159" s="24"/>
      <c r="AL159" s="24"/>
      <c r="AM159" s="24"/>
      <c r="AN159" s="24"/>
      <c r="AO159" s="24"/>
      <c r="AP159" s="24"/>
      <c r="AQ159" s="24"/>
      <c r="AR159" s="24"/>
    </row>
    <row r="160" spans="1:44" ht="15.75" customHeight="1">
      <c r="A160" s="52"/>
      <c r="B160" s="184"/>
      <c r="C160" s="134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4"/>
      <c r="AD160" s="24"/>
      <c r="AE160" s="24"/>
      <c r="AF160" s="24"/>
      <c r="AG160" s="306"/>
      <c r="AH160" s="24"/>
      <c r="AI160" s="24"/>
      <c r="AJ160" s="40"/>
      <c r="AK160" s="24"/>
      <c r="AL160" s="24"/>
      <c r="AM160" s="24"/>
      <c r="AN160" s="24"/>
      <c r="AO160" s="24"/>
      <c r="AP160" s="24"/>
      <c r="AQ160" s="24"/>
      <c r="AR160" s="24"/>
    </row>
    <row r="161" spans="1:44" ht="15.75" customHeight="1">
      <c r="A161" s="52"/>
      <c r="B161" s="184"/>
      <c r="C161" s="134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4"/>
      <c r="AD161" s="24"/>
      <c r="AE161" s="24"/>
      <c r="AF161" s="24"/>
      <c r="AG161" s="306"/>
      <c r="AH161" s="24"/>
      <c r="AI161" s="24"/>
      <c r="AJ161" s="40"/>
      <c r="AK161" s="24"/>
      <c r="AL161" s="24"/>
      <c r="AM161" s="24"/>
      <c r="AN161" s="24"/>
      <c r="AO161" s="24"/>
      <c r="AP161" s="24"/>
      <c r="AQ161" s="24"/>
      <c r="AR161" s="24"/>
    </row>
    <row r="162" spans="1:44" ht="15.75" customHeight="1">
      <c r="A162" s="52"/>
      <c r="B162" s="184"/>
      <c r="C162" s="134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4"/>
      <c r="AD162" s="24"/>
      <c r="AE162" s="24"/>
      <c r="AF162" s="24"/>
      <c r="AG162" s="306"/>
      <c r="AH162" s="24"/>
      <c r="AI162" s="24"/>
      <c r="AJ162" s="40"/>
      <c r="AK162" s="24"/>
      <c r="AL162" s="24"/>
      <c r="AM162" s="24"/>
      <c r="AN162" s="24"/>
      <c r="AO162" s="24"/>
      <c r="AP162" s="24"/>
      <c r="AQ162" s="24"/>
      <c r="AR162" s="24"/>
    </row>
    <row r="163" spans="1:44" ht="15.75" customHeight="1">
      <c r="A163" s="52"/>
      <c r="B163" s="184"/>
      <c r="C163" s="134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4"/>
      <c r="AD163" s="24"/>
      <c r="AE163" s="24"/>
      <c r="AF163" s="24"/>
      <c r="AG163" s="306"/>
      <c r="AH163" s="24"/>
      <c r="AI163" s="24"/>
      <c r="AJ163" s="40"/>
      <c r="AK163" s="24"/>
      <c r="AL163" s="24"/>
      <c r="AM163" s="24"/>
      <c r="AN163" s="24"/>
      <c r="AO163" s="24"/>
      <c r="AP163" s="24"/>
      <c r="AQ163" s="24"/>
      <c r="AR163" s="24"/>
    </row>
    <row r="164" spans="1:44" ht="15.75" customHeight="1">
      <c r="A164" s="52"/>
      <c r="B164" s="184"/>
      <c r="C164" s="134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4"/>
      <c r="AD164" s="24"/>
      <c r="AE164" s="24"/>
      <c r="AF164" s="24"/>
      <c r="AG164" s="306"/>
      <c r="AH164" s="24"/>
      <c r="AI164" s="24"/>
      <c r="AJ164" s="40"/>
      <c r="AK164" s="24"/>
      <c r="AL164" s="24"/>
      <c r="AM164" s="24"/>
      <c r="AN164" s="24"/>
      <c r="AO164" s="24"/>
      <c r="AP164" s="24"/>
      <c r="AQ164" s="24"/>
      <c r="AR164" s="24"/>
    </row>
    <row r="165" spans="1:44" ht="15.75" customHeight="1">
      <c r="A165" s="52"/>
      <c r="B165" s="184"/>
      <c r="C165" s="134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4"/>
      <c r="AD165" s="24"/>
      <c r="AE165" s="24"/>
      <c r="AF165" s="24"/>
      <c r="AG165" s="306"/>
      <c r="AH165" s="24"/>
      <c r="AI165" s="24"/>
      <c r="AJ165" s="40"/>
      <c r="AK165" s="24"/>
      <c r="AL165" s="24"/>
      <c r="AM165" s="24"/>
      <c r="AN165" s="24"/>
      <c r="AO165" s="24"/>
      <c r="AP165" s="24"/>
      <c r="AQ165" s="24"/>
      <c r="AR165" s="24"/>
    </row>
    <row r="166" spans="1:44" ht="15.75" customHeight="1">
      <c r="A166" s="52"/>
      <c r="B166" s="184"/>
      <c r="C166" s="134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4"/>
      <c r="AD166" s="24"/>
      <c r="AE166" s="24"/>
      <c r="AF166" s="24"/>
      <c r="AG166" s="306"/>
      <c r="AH166" s="24"/>
      <c r="AI166" s="24"/>
      <c r="AJ166" s="40"/>
      <c r="AK166" s="24"/>
      <c r="AL166" s="24"/>
      <c r="AM166" s="24"/>
      <c r="AN166" s="24"/>
      <c r="AO166" s="24"/>
      <c r="AP166" s="24"/>
      <c r="AQ166" s="24"/>
      <c r="AR166" s="24"/>
    </row>
    <row r="167" spans="1:44" ht="15.75" customHeight="1">
      <c r="A167" s="52"/>
      <c r="B167" s="184"/>
      <c r="C167" s="134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4"/>
      <c r="AD167" s="24"/>
      <c r="AE167" s="24"/>
      <c r="AF167" s="24"/>
      <c r="AG167" s="306"/>
      <c r="AH167" s="24"/>
      <c r="AI167" s="24"/>
      <c r="AJ167" s="40"/>
      <c r="AK167" s="24"/>
      <c r="AL167" s="24"/>
      <c r="AM167" s="24"/>
      <c r="AN167" s="24"/>
      <c r="AO167" s="24"/>
      <c r="AP167" s="24"/>
      <c r="AQ167" s="24"/>
      <c r="AR167" s="24"/>
    </row>
    <row r="168" spans="1:44" ht="15.75" customHeight="1">
      <c r="A168" s="52"/>
      <c r="B168" s="184"/>
      <c r="C168" s="134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4"/>
      <c r="AD168" s="24"/>
      <c r="AE168" s="24"/>
      <c r="AF168" s="24"/>
      <c r="AG168" s="306"/>
      <c r="AH168" s="24"/>
      <c r="AI168" s="24"/>
      <c r="AJ168" s="40"/>
      <c r="AK168" s="24"/>
      <c r="AL168" s="24"/>
      <c r="AM168" s="24"/>
      <c r="AN168" s="24"/>
      <c r="AO168" s="24"/>
      <c r="AP168" s="24"/>
      <c r="AQ168" s="24"/>
      <c r="AR168" s="24"/>
    </row>
    <row r="169" spans="1:44" ht="15.75" customHeight="1">
      <c r="A169" s="52"/>
      <c r="B169" s="184"/>
      <c r="C169" s="134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4"/>
      <c r="AD169" s="24"/>
      <c r="AE169" s="24"/>
      <c r="AF169" s="24"/>
      <c r="AG169" s="306"/>
      <c r="AH169" s="24"/>
      <c r="AI169" s="24"/>
      <c r="AJ169" s="40"/>
      <c r="AK169" s="24"/>
      <c r="AL169" s="24"/>
      <c r="AM169" s="24"/>
      <c r="AN169" s="24"/>
      <c r="AO169" s="24"/>
      <c r="AP169" s="24"/>
      <c r="AQ169" s="24"/>
      <c r="AR169" s="24"/>
    </row>
    <row r="170" spans="1:44" ht="15.75" customHeight="1">
      <c r="A170" s="52"/>
      <c r="B170" s="184"/>
      <c r="C170" s="134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4"/>
      <c r="AD170" s="24"/>
      <c r="AE170" s="24"/>
      <c r="AF170" s="24"/>
      <c r="AG170" s="306"/>
      <c r="AH170" s="24"/>
      <c r="AI170" s="24"/>
      <c r="AJ170" s="40"/>
      <c r="AK170" s="24"/>
      <c r="AL170" s="24"/>
      <c r="AM170" s="24"/>
      <c r="AN170" s="24"/>
      <c r="AO170" s="24"/>
      <c r="AP170" s="24"/>
      <c r="AQ170" s="24"/>
      <c r="AR170" s="24"/>
    </row>
    <row r="171" spans="1:44" ht="15.75" customHeight="1">
      <c r="A171" s="52"/>
      <c r="B171" s="184"/>
      <c r="C171" s="134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4"/>
      <c r="AD171" s="24"/>
      <c r="AE171" s="24"/>
      <c r="AF171" s="24"/>
      <c r="AG171" s="306"/>
      <c r="AH171" s="24"/>
      <c r="AI171" s="24"/>
      <c r="AJ171" s="40"/>
      <c r="AK171" s="24"/>
      <c r="AL171" s="24"/>
      <c r="AM171" s="24"/>
      <c r="AN171" s="24"/>
      <c r="AO171" s="24"/>
      <c r="AP171" s="24"/>
      <c r="AQ171" s="24"/>
      <c r="AR171" s="24"/>
    </row>
    <row r="172" spans="1:44" ht="15.75" customHeight="1">
      <c r="A172" s="52"/>
      <c r="B172" s="184"/>
      <c r="C172" s="134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4"/>
      <c r="AD172" s="24"/>
      <c r="AE172" s="24"/>
      <c r="AF172" s="24"/>
      <c r="AG172" s="306"/>
      <c r="AH172" s="24"/>
      <c r="AI172" s="24"/>
      <c r="AJ172" s="40"/>
      <c r="AK172" s="24"/>
      <c r="AL172" s="24"/>
      <c r="AM172" s="24"/>
      <c r="AN172" s="24"/>
      <c r="AO172" s="24"/>
      <c r="AP172" s="24"/>
      <c r="AQ172" s="24"/>
      <c r="AR172" s="24"/>
    </row>
    <row r="173" spans="1:44" ht="15.75" customHeight="1">
      <c r="A173" s="52"/>
      <c r="B173" s="184"/>
      <c r="C173" s="134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4"/>
      <c r="AD173" s="24"/>
      <c r="AE173" s="24"/>
      <c r="AF173" s="24"/>
      <c r="AG173" s="306"/>
      <c r="AH173" s="24"/>
      <c r="AI173" s="24"/>
      <c r="AJ173" s="40"/>
      <c r="AK173" s="24"/>
      <c r="AL173" s="24"/>
      <c r="AM173" s="24"/>
      <c r="AN173" s="24"/>
      <c r="AO173" s="24"/>
      <c r="AP173" s="24"/>
      <c r="AQ173" s="24"/>
      <c r="AR173" s="24"/>
    </row>
    <row r="174" spans="1:44" ht="15.75" customHeight="1">
      <c r="A174" s="52"/>
      <c r="B174" s="184"/>
      <c r="C174" s="134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4"/>
      <c r="AD174" s="24"/>
      <c r="AE174" s="24"/>
      <c r="AF174" s="24"/>
      <c r="AG174" s="306"/>
      <c r="AH174" s="24"/>
      <c r="AI174" s="24"/>
      <c r="AJ174" s="40"/>
      <c r="AK174" s="24"/>
      <c r="AL174" s="24"/>
      <c r="AM174" s="24"/>
      <c r="AN174" s="24"/>
      <c r="AO174" s="24"/>
      <c r="AP174" s="24"/>
      <c r="AQ174" s="24"/>
      <c r="AR174" s="24"/>
    </row>
    <row r="175" spans="1:44" ht="15.75" customHeight="1">
      <c r="A175" s="52"/>
      <c r="B175" s="184"/>
      <c r="C175" s="134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4"/>
      <c r="AD175" s="24"/>
      <c r="AE175" s="24"/>
      <c r="AF175" s="24"/>
      <c r="AG175" s="306"/>
      <c r="AH175" s="24"/>
      <c r="AI175" s="24"/>
      <c r="AJ175" s="40"/>
      <c r="AK175" s="24"/>
      <c r="AL175" s="24"/>
      <c r="AM175" s="24"/>
      <c r="AN175" s="24"/>
      <c r="AO175" s="24"/>
      <c r="AP175" s="24"/>
      <c r="AQ175" s="24"/>
      <c r="AR175" s="24"/>
    </row>
    <row r="176" spans="1:44" ht="15.75" customHeight="1">
      <c r="A176" s="52"/>
      <c r="B176" s="184"/>
      <c r="C176" s="134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4"/>
      <c r="AD176" s="24"/>
      <c r="AE176" s="24"/>
      <c r="AF176" s="24"/>
      <c r="AG176" s="306"/>
      <c r="AH176" s="24"/>
      <c r="AI176" s="24"/>
      <c r="AJ176" s="40"/>
      <c r="AK176" s="24"/>
      <c r="AL176" s="24"/>
      <c r="AM176" s="24"/>
      <c r="AN176" s="24"/>
      <c r="AO176" s="24"/>
      <c r="AP176" s="24"/>
      <c r="AQ176" s="24"/>
      <c r="AR176" s="24"/>
    </row>
    <row r="177" spans="1:44" ht="15.75" customHeight="1">
      <c r="A177" s="52"/>
      <c r="B177" s="184"/>
      <c r="C177" s="134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4"/>
      <c r="AD177" s="24"/>
      <c r="AE177" s="24"/>
      <c r="AF177" s="24"/>
      <c r="AG177" s="306"/>
      <c r="AH177" s="24"/>
      <c r="AI177" s="24"/>
      <c r="AJ177" s="40"/>
      <c r="AK177" s="24"/>
      <c r="AL177" s="24"/>
      <c r="AM177" s="24"/>
      <c r="AN177" s="24"/>
      <c r="AO177" s="24"/>
      <c r="AP177" s="24"/>
      <c r="AQ177" s="24"/>
      <c r="AR177" s="24"/>
    </row>
    <row r="178" spans="1:44" ht="15.75" customHeight="1">
      <c r="A178" s="52"/>
      <c r="B178" s="184"/>
      <c r="C178" s="134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4"/>
      <c r="AD178" s="24"/>
      <c r="AE178" s="24"/>
      <c r="AF178" s="24"/>
      <c r="AG178" s="306"/>
      <c r="AH178" s="24"/>
      <c r="AI178" s="24"/>
      <c r="AJ178" s="40"/>
      <c r="AK178" s="24"/>
      <c r="AL178" s="24"/>
      <c r="AM178" s="24"/>
      <c r="AN178" s="24"/>
      <c r="AO178" s="24"/>
      <c r="AP178" s="24"/>
      <c r="AQ178" s="24"/>
      <c r="AR178" s="24"/>
    </row>
    <row r="179" spans="1:44" ht="15.75" customHeight="1">
      <c r="A179" s="52"/>
      <c r="B179" s="184"/>
      <c r="C179" s="134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4"/>
      <c r="AD179" s="24"/>
      <c r="AE179" s="24"/>
      <c r="AF179" s="24"/>
      <c r="AG179" s="306"/>
      <c r="AH179" s="24"/>
      <c r="AI179" s="24"/>
      <c r="AJ179" s="40"/>
      <c r="AK179" s="24"/>
      <c r="AL179" s="24"/>
      <c r="AM179" s="24"/>
      <c r="AN179" s="24"/>
      <c r="AO179" s="24"/>
      <c r="AP179" s="24"/>
      <c r="AQ179" s="24"/>
      <c r="AR179" s="24"/>
    </row>
    <row r="180" spans="1:44" ht="15.75" customHeight="1">
      <c r="A180" s="52"/>
      <c r="B180" s="184"/>
      <c r="C180" s="134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4"/>
      <c r="AD180" s="24"/>
      <c r="AE180" s="24"/>
      <c r="AF180" s="24"/>
      <c r="AG180" s="306"/>
      <c r="AH180" s="24"/>
      <c r="AI180" s="24"/>
      <c r="AJ180" s="40"/>
      <c r="AK180" s="24"/>
      <c r="AL180" s="24"/>
      <c r="AM180" s="24"/>
      <c r="AN180" s="24"/>
      <c r="AO180" s="24"/>
      <c r="AP180" s="24"/>
      <c r="AQ180" s="24"/>
      <c r="AR180" s="24"/>
    </row>
    <row r="181" spans="1:44" ht="15.75" customHeight="1">
      <c r="A181" s="52"/>
      <c r="B181" s="184"/>
      <c r="C181" s="134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4"/>
      <c r="AD181" s="24"/>
      <c r="AE181" s="24"/>
      <c r="AF181" s="24"/>
      <c r="AG181" s="306"/>
      <c r="AH181" s="24"/>
      <c r="AI181" s="24"/>
      <c r="AJ181" s="40"/>
      <c r="AK181" s="24"/>
      <c r="AL181" s="24"/>
      <c r="AM181" s="24"/>
      <c r="AN181" s="24"/>
      <c r="AO181" s="24"/>
      <c r="AP181" s="24"/>
      <c r="AQ181" s="24"/>
      <c r="AR181" s="24"/>
    </row>
    <row r="182" spans="1:44" ht="15.75" customHeight="1">
      <c r="A182" s="52"/>
      <c r="B182" s="184"/>
      <c r="C182" s="134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4"/>
      <c r="AD182" s="24"/>
      <c r="AE182" s="24"/>
      <c r="AF182" s="24"/>
      <c r="AG182" s="306"/>
      <c r="AH182" s="24"/>
      <c r="AI182" s="24"/>
      <c r="AJ182" s="40"/>
      <c r="AK182" s="24"/>
      <c r="AL182" s="24"/>
      <c r="AM182" s="24"/>
      <c r="AN182" s="24"/>
      <c r="AO182" s="24"/>
      <c r="AP182" s="24"/>
      <c r="AQ182" s="24"/>
      <c r="AR182" s="24"/>
    </row>
    <row r="183" spans="1:44" ht="15.75" customHeight="1">
      <c r="A183" s="52"/>
      <c r="B183" s="184"/>
      <c r="C183" s="134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4"/>
      <c r="AD183" s="24"/>
      <c r="AE183" s="24"/>
      <c r="AF183" s="24"/>
      <c r="AG183" s="306"/>
      <c r="AH183" s="24"/>
      <c r="AI183" s="24"/>
      <c r="AJ183" s="40"/>
      <c r="AK183" s="24"/>
      <c r="AL183" s="24"/>
      <c r="AM183" s="24"/>
      <c r="AN183" s="24"/>
      <c r="AO183" s="24"/>
      <c r="AP183" s="24"/>
      <c r="AQ183" s="24"/>
      <c r="AR183" s="24"/>
    </row>
    <row r="184" spans="1:44" ht="15.75" customHeight="1">
      <c r="A184" s="52"/>
      <c r="B184" s="184"/>
      <c r="C184" s="134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4"/>
      <c r="AD184" s="24"/>
      <c r="AE184" s="24"/>
      <c r="AF184" s="24"/>
      <c r="AG184" s="306"/>
      <c r="AH184" s="24"/>
      <c r="AI184" s="24"/>
      <c r="AJ184" s="40"/>
      <c r="AK184" s="24"/>
      <c r="AL184" s="24"/>
      <c r="AM184" s="24"/>
      <c r="AN184" s="24"/>
      <c r="AO184" s="24"/>
      <c r="AP184" s="24"/>
      <c r="AQ184" s="24"/>
      <c r="AR184" s="24"/>
    </row>
    <row r="185" spans="1:44" ht="15.75" customHeight="1">
      <c r="A185" s="52"/>
      <c r="B185" s="184"/>
      <c r="C185" s="134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4"/>
      <c r="AD185" s="24"/>
      <c r="AE185" s="24"/>
      <c r="AF185" s="24"/>
      <c r="AG185" s="306"/>
      <c r="AH185" s="24"/>
      <c r="AI185" s="24"/>
      <c r="AJ185" s="40"/>
      <c r="AK185" s="24"/>
      <c r="AL185" s="24"/>
      <c r="AM185" s="24"/>
      <c r="AN185" s="24"/>
      <c r="AO185" s="24"/>
      <c r="AP185" s="24"/>
      <c r="AQ185" s="24"/>
      <c r="AR185" s="24"/>
    </row>
    <row r="186" spans="1:44" ht="15.75" customHeight="1">
      <c r="A186" s="52"/>
      <c r="B186" s="184"/>
      <c r="C186" s="134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4"/>
      <c r="AD186" s="24"/>
      <c r="AE186" s="24"/>
      <c r="AF186" s="24"/>
      <c r="AG186" s="306"/>
      <c r="AH186" s="24"/>
      <c r="AI186" s="24"/>
      <c r="AJ186" s="40"/>
      <c r="AK186" s="24"/>
      <c r="AL186" s="24"/>
      <c r="AM186" s="24"/>
      <c r="AN186" s="24"/>
      <c r="AO186" s="24"/>
      <c r="AP186" s="24"/>
      <c r="AQ186" s="24"/>
      <c r="AR186" s="24"/>
    </row>
    <row r="187" spans="1:44" ht="15.75" customHeight="1">
      <c r="A187" s="52"/>
      <c r="B187" s="184"/>
      <c r="C187" s="134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4"/>
      <c r="AD187" s="24"/>
      <c r="AE187" s="24"/>
      <c r="AF187" s="24"/>
      <c r="AG187" s="306"/>
      <c r="AH187" s="24"/>
      <c r="AI187" s="24"/>
      <c r="AJ187" s="40"/>
      <c r="AK187" s="24"/>
      <c r="AL187" s="24"/>
      <c r="AM187" s="24"/>
      <c r="AN187" s="24"/>
      <c r="AO187" s="24"/>
      <c r="AP187" s="24"/>
      <c r="AQ187" s="24"/>
      <c r="AR187" s="24"/>
    </row>
    <row r="188" spans="1:44" ht="15.75" customHeight="1">
      <c r="A188" s="52"/>
      <c r="B188" s="184"/>
      <c r="C188" s="134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4"/>
      <c r="AD188" s="24"/>
      <c r="AE188" s="24"/>
      <c r="AF188" s="24"/>
      <c r="AG188" s="306"/>
      <c r="AH188" s="24"/>
      <c r="AI188" s="24"/>
      <c r="AJ188" s="40"/>
      <c r="AK188" s="24"/>
      <c r="AL188" s="24"/>
      <c r="AM188" s="24"/>
      <c r="AN188" s="24"/>
      <c r="AO188" s="24"/>
      <c r="AP188" s="24"/>
      <c r="AQ188" s="24"/>
      <c r="AR188" s="24"/>
    </row>
    <row r="189" spans="1:44" ht="15.75" customHeight="1">
      <c r="A189" s="52"/>
      <c r="B189" s="184"/>
      <c r="C189" s="134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4"/>
      <c r="AD189" s="24"/>
      <c r="AE189" s="24"/>
      <c r="AF189" s="24"/>
      <c r="AG189" s="306"/>
      <c r="AH189" s="24"/>
      <c r="AI189" s="24"/>
      <c r="AJ189" s="40"/>
      <c r="AK189" s="24"/>
      <c r="AL189" s="24"/>
      <c r="AM189" s="24"/>
      <c r="AN189" s="24"/>
      <c r="AO189" s="24"/>
      <c r="AP189" s="24"/>
      <c r="AQ189" s="24"/>
      <c r="AR189" s="24"/>
    </row>
    <row r="190" spans="1:44" ht="15.75" customHeight="1">
      <c r="A190" s="52"/>
      <c r="B190" s="184"/>
      <c r="C190" s="134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4"/>
      <c r="AD190" s="24"/>
      <c r="AE190" s="24"/>
      <c r="AF190" s="24"/>
      <c r="AG190" s="306"/>
      <c r="AH190" s="24"/>
      <c r="AI190" s="24"/>
      <c r="AJ190" s="40"/>
      <c r="AK190" s="24"/>
      <c r="AL190" s="24"/>
      <c r="AM190" s="24"/>
      <c r="AN190" s="24"/>
      <c r="AO190" s="24"/>
      <c r="AP190" s="24"/>
      <c r="AQ190" s="24"/>
      <c r="AR190" s="24"/>
    </row>
    <row r="191" spans="1:44" ht="15.75" customHeight="1">
      <c r="A191" s="52"/>
      <c r="B191" s="184"/>
      <c r="C191" s="134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4"/>
      <c r="AD191" s="24"/>
      <c r="AE191" s="24"/>
      <c r="AF191" s="24"/>
      <c r="AG191" s="306"/>
      <c r="AH191" s="24"/>
      <c r="AI191" s="24"/>
      <c r="AJ191" s="40"/>
      <c r="AK191" s="24"/>
      <c r="AL191" s="24"/>
      <c r="AM191" s="24"/>
      <c r="AN191" s="24"/>
      <c r="AO191" s="24"/>
      <c r="AP191" s="24"/>
      <c r="AQ191" s="24"/>
      <c r="AR191" s="24"/>
    </row>
    <row r="192" spans="1:44" ht="15.75" customHeight="1">
      <c r="A192" s="52"/>
      <c r="B192" s="184"/>
      <c r="C192" s="134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4"/>
      <c r="AD192" s="24"/>
      <c r="AE192" s="24"/>
      <c r="AF192" s="24"/>
      <c r="AG192" s="306"/>
      <c r="AH192" s="24"/>
      <c r="AI192" s="24"/>
      <c r="AJ192" s="40"/>
      <c r="AK192" s="24"/>
      <c r="AL192" s="24"/>
      <c r="AM192" s="24"/>
      <c r="AN192" s="24"/>
      <c r="AO192" s="24"/>
      <c r="AP192" s="24"/>
      <c r="AQ192" s="24"/>
      <c r="AR192" s="24"/>
    </row>
    <row r="193" spans="1:44" ht="15.75" customHeight="1">
      <c r="A193" s="52"/>
      <c r="B193" s="184"/>
      <c r="C193" s="134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24"/>
      <c r="AD193" s="24"/>
      <c r="AE193" s="24"/>
      <c r="AF193" s="24"/>
      <c r="AG193" s="306"/>
      <c r="AH193" s="24"/>
      <c r="AI193" s="24"/>
      <c r="AJ193" s="40"/>
      <c r="AK193" s="24"/>
      <c r="AL193" s="24"/>
      <c r="AM193" s="24"/>
      <c r="AN193" s="24"/>
      <c r="AO193" s="24"/>
      <c r="AP193" s="24"/>
      <c r="AQ193" s="24"/>
      <c r="AR193" s="24"/>
    </row>
    <row r="194" spans="1:44" ht="15.75" customHeight="1">
      <c r="A194" s="52"/>
      <c r="B194" s="184"/>
      <c r="C194" s="134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24"/>
      <c r="AD194" s="24"/>
      <c r="AE194" s="24"/>
      <c r="AF194" s="24"/>
      <c r="AG194" s="306"/>
      <c r="AH194" s="24"/>
      <c r="AI194" s="24"/>
      <c r="AJ194" s="40"/>
      <c r="AK194" s="24"/>
      <c r="AL194" s="24"/>
      <c r="AM194" s="24"/>
      <c r="AN194" s="24"/>
      <c r="AO194" s="24"/>
      <c r="AP194" s="24"/>
      <c r="AQ194" s="24"/>
      <c r="AR194" s="24"/>
    </row>
    <row r="195" spans="1:44" ht="15.75" customHeight="1">
      <c r="A195" s="52"/>
      <c r="B195" s="184"/>
      <c r="C195" s="134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24"/>
      <c r="AD195" s="24"/>
      <c r="AE195" s="24"/>
      <c r="AF195" s="24"/>
      <c r="AG195" s="306"/>
      <c r="AH195" s="24"/>
      <c r="AI195" s="24"/>
      <c r="AJ195" s="40"/>
      <c r="AK195" s="24"/>
      <c r="AL195" s="24"/>
      <c r="AM195" s="24"/>
      <c r="AN195" s="24"/>
      <c r="AO195" s="24"/>
      <c r="AP195" s="24"/>
      <c r="AQ195" s="24"/>
      <c r="AR195" s="24"/>
    </row>
    <row r="196" spans="1:44" ht="15.75" customHeight="1">
      <c r="A196" s="52"/>
      <c r="B196" s="184"/>
      <c r="C196" s="134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24"/>
      <c r="AD196" s="24"/>
      <c r="AE196" s="24"/>
      <c r="AF196" s="24"/>
      <c r="AG196" s="306"/>
      <c r="AH196" s="24"/>
      <c r="AI196" s="24"/>
      <c r="AJ196" s="40"/>
      <c r="AK196" s="24"/>
      <c r="AL196" s="24"/>
      <c r="AM196" s="24"/>
      <c r="AN196" s="24"/>
      <c r="AO196" s="24"/>
      <c r="AP196" s="24"/>
      <c r="AQ196" s="24"/>
      <c r="AR196" s="24"/>
    </row>
    <row r="197" spans="1:44" ht="15.75" customHeight="1">
      <c r="A197" s="52"/>
      <c r="B197" s="184"/>
      <c r="C197" s="134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24"/>
      <c r="AD197" s="24"/>
      <c r="AE197" s="24"/>
      <c r="AF197" s="24"/>
      <c r="AG197" s="306"/>
      <c r="AH197" s="24"/>
      <c r="AI197" s="24"/>
      <c r="AJ197" s="40"/>
      <c r="AK197" s="24"/>
      <c r="AL197" s="24"/>
      <c r="AM197" s="24"/>
      <c r="AN197" s="24"/>
      <c r="AO197" s="24"/>
      <c r="AP197" s="24"/>
      <c r="AQ197" s="24"/>
      <c r="AR197" s="24"/>
    </row>
    <row r="198" spans="1:44" ht="15.75" customHeight="1">
      <c r="A198" s="52"/>
      <c r="B198" s="184"/>
      <c r="C198" s="134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24"/>
      <c r="AD198" s="24"/>
      <c r="AE198" s="24"/>
      <c r="AF198" s="24"/>
      <c r="AG198" s="306"/>
      <c r="AH198" s="24"/>
      <c r="AI198" s="24"/>
      <c r="AJ198" s="40"/>
      <c r="AK198" s="24"/>
      <c r="AL198" s="24"/>
      <c r="AM198" s="24"/>
      <c r="AN198" s="24"/>
      <c r="AO198" s="24"/>
      <c r="AP198" s="24"/>
      <c r="AQ198" s="24"/>
      <c r="AR198" s="24"/>
    </row>
    <row r="199" spans="1:44" ht="15.75" customHeight="1">
      <c r="A199" s="52"/>
      <c r="B199" s="184"/>
      <c r="C199" s="134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24"/>
      <c r="AD199" s="24"/>
      <c r="AE199" s="24"/>
      <c r="AF199" s="24"/>
      <c r="AG199" s="306"/>
      <c r="AH199" s="24"/>
      <c r="AI199" s="24"/>
      <c r="AJ199" s="40"/>
      <c r="AK199" s="24"/>
      <c r="AL199" s="24"/>
      <c r="AM199" s="24"/>
      <c r="AN199" s="24"/>
      <c r="AO199" s="24"/>
      <c r="AP199" s="24"/>
      <c r="AQ199" s="24"/>
      <c r="AR199" s="24"/>
    </row>
    <row r="200" spans="1:44" ht="15.75" customHeight="1">
      <c r="A200" s="52"/>
      <c r="B200" s="184"/>
      <c r="C200" s="134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24"/>
      <c r="AD200" s="24"/>
      <c r="AE200" s="24"/>
      <c r="AF200" s="24"/>
      <c r="AG200" s="306"/>
      <c r="AH200" s="24"/>
      <c r="AI200" s="24"/>
      <c r="AJ200" s="40"/>
      <c r="AK200" s="24"/>
      <c r="AL200" s="24"/>
      <c r="AM200" s="24"/>
      <c r="AN200" s="24"/>
      <c r="AO200" s="24"/>
      <c r="AP200" s="24"/>
      <c r="AQ200" s="24"/>
      <c r="AR200" s="24"/>
    </row>
    <row r="201" spans="1:44" ht="15.75" customHeight="1">
      <c r="A201" s="52"/>
      <c r="B201" s="184"/>
      <c r="C201" s="13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24"/>
      <c r="AD201" s="24"/>
      <c r="AE201" s="24"/>
      <c r="AF201" s="24"/>
      <c r="AG201" s="306"/>
      <c r="AH201" s="24"/>
      <c r="AI201" s="24"/>
      <c r="AJ201" s="40"/>
      <c r="AK201" s="24"/>
      <c r="AL201" s="24"/>
      <c r="AM201" s="24"/>
      <c r="AN201" s="24"/>
      <c r="AO201" s="24"/>
      <c r="AP201" s="24"/>
      <c r="AQ201" s="24"/>
      <c r="AR201" s="24"/>
    </row>
    <row r="202" spans="1:44" ht="15.75" customHeight="1">
      <c r="A202" s="52"/>
      <c r="B202" s="184"/>
      <c r="C202" s="13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24"/>
      <c r="AD202" s="24"/>
      <c r="AE202" s="24"/>
      <c r="AF202" s="24"/>
      <c r="AG202" s="306"/>
      <c r="AH202" s="24"/>
      <c r="AI202" s="24"/>
      <c r="AJ202" s="40"/>
      <c r="AK202" s="24"/>
      <c r="AL202" s="24"/>
      <c r="AM202" s="24"/>
      <c r="AN202" s="24"/>
      <c r="AO202" s="24"/>
      <c r="AP202" s="24"/>
      <c r="AQ202" s="24"/>
      <c r="AR202" s="24"/>
    </row>
    <row r="203" spans="1:44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306"/>
      <c r="AH203" s="24"/>
      <c r="AI203" s="24"/>
      <c r="AJ203" s="40"/>
      <c r="AK203" s="24"/>
      <c r="AL203" s="24"/>
      <c r="AM203" s="24"/>
      <c r="AN203" s="24"/>
      <c r="AO203" s="24"/>
      <c r="AP203" s="24"/>
      <c r="AQ203" s="24"/>
      <c r="AR203" s="24"/>
    </row>
    <row r="204" spans="1:4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306"/>
      <c r="AH204" s="24"/>
      <c r="AI204" s="24"/>
      <c r="AJ204" s="40"/>
      <c r="AK204" s="24"/>
      <c r="AL204" s="24"/>
      <c r="AM204" s="24"/>
      <c r="AN204" s="24"/>
      <c r="AO204" s="24"/>
      <c r="AP204" s="24"/>
      <c r="AQ204" s="24"/>
      <c r="AR204" s="24"/>
    </row>
    <row r="205" spans="1:44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306"/>
      <c r="AH205" s="24"/>
      <c r="AI205" s="24"/>
      <c r="AJ205" s="40"/>
      <c r="AK205" s="24"/>
      <c r="AL205" s="24"/>
      <c r="AM205" s="24"/>
      <c r="AN205" s="24"/>
      <c r="AO205" s="24"/>
      <c r="AP205" s="24"/>
      <c r="AQ205" s="24"/>
      <c r="AR205" s="24"/>
    </row>
    <row r="206" spans="1:44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306"/>
      <c r="AH206" s="24"/>
      <c r="AI206" s="24"/>
      <c r="AJ206" s="40"/>
      <c r="AK206" s="24"/>
      <c r="AL206" s="24"/>
      <c r="AM206" s="24"/>
      <c r="AN206" s="24"/>
      <c r="AO206" s="24"/>
      <c r="AP206" s="24"/>
      <c r="AQ206" s="24"/>
      <c r="AR206" s="24"/>
    </row>
    <row r="207" spans="1:44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306"/>
      <c r="AH207" s="24"/>
      <c r="AI207" s="24"/>
      <c r="AJ207" s="40"/>
      <c r="AK207" s="24"/>
      <c r="AL207" s="24"/>
      <c r="AM207" s="24"/>
      <c r="AN207" s="24"/>
      <c r="AO207" s="24"/>
      <c r="AP207" s="24"/>
      <c r="AQ207" s="24"/>
      <c r="AR207" s="24"/>
    </row>
    <row r="208" spans="1:44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306"/>
      <c r="AH208" s="24"/>
      <c r="AI208" s="24"/>
      <c r="AJ208" s="40"/>
      <c r="AK208" s="24"/>
      <c r="AL208" s="24"/>
      <c r="AM208" s="24"/>
      <c r="AN208" s="24"/>
      <c r="AO208" s="24"/>
      <c r="AP208" s="24"/>
      <c r="AQ208" s="24"/>
      <c r="AR208" s="24"/>
    </row>
    <row r="209" spans="1:44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306"/>
      <c r="AH209" s="24"/>
      <c r="AI209" s="24"/>
      <c r="AJ209" s="40"/>
      <c r="AK209" s="24"/>
      <c r="AL209" s="24"/>
      <c r="AM209" s="24"/>
      <c r="AN209" s="24"/>
      <c r="AO209" s="24"/>
      <c r="AP209" s="24"/>
      <c r="AQ209" s="24"/>
      <c r="AR209" s="24"/>
    </row>
    <row r="210" spans="1:44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306"/>
      <c r="AH210" s="24"/>
      <c r="AI210" s="24"/>
      <c r="AJ210" s="40"/>
      <c r="AK210" s="24"/>
      <c r="AL210" s="24"/>
      <c r="AM210" s="24"/>
      <c r="AN210" s="24"/>
      <c r="AO210" s="24"/>
      <c r="AP210" s="24"/>
      <c r="AQ210" s="24"/>
      <c r="AR210" s="24"/>
    </row>
    <row r="211" spans="1:44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306"/>
      <c r="AH211" s="24"/>
      <c r="AI211" s="24"/>
      <c r="AJ211" s="40"/>
      <c r="AK211" s="24"/>
      <c r="AL211" s="24"/>
      <c r="AM211" s="24"/>
      <c r="AN211" s="24"/>
      <c r="AO211" s="24"/>
      <c r="AP211" s="24"/>
      <c r="AQ211" s="24"/>
      <c r="AR211" s="24"/>
    </row>
    <row r="212" spans="1:44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306"/>
      <c r="AH212" s="24"/>
      <c r="AI212" s="24"/>
      <c r="AJ212" s="40"/>
      <c r="AK212" s="24"/>
      <c r="AL212" s="24"/>
      <c r="AM212" s="24"/>
      <c r="AN212" s="24"/>
      <c r="AO212" s="24"/>
      <c r="AP212" s="24"/>
      <c r="AQ212" s="24"/>
      <c r="AR212" s="24"/>
    </row>
    <row r="213" spans="1:44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306"/>
      <c r="AH213" s="24"/>
      <c r="AI213" s="24"/>
      <c r="AJ213" s="40"/>
      <c r="AK213" s="24"/>
      <c r="AL213" s="24"/>
      <c r="AM213" s="24"/>
      <c r="AN213" s="24"/>
      <c r="AO213" s="24"/>
      <c r="AP213" s="24"/>
      <c r="AQ213" s="24"/>
      <c r="AR213" s="24"/>
    </row>
    <row r="214" spans="1:4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306"/>
      <c r="AH214" s="24"/>
      <c r="AI214" s="24"/>
      <c r="AJ214" s="40"/>
      <c r="AK214" s="24"/>
      <c r="AL214" s="24"/>
      <c r="AM214" s="24"/>
      <c r="AN214" s="24"/>
      <c r="AO214" s="24"/>
      <c r="AP214" s="24"/>
      <c r="AQ214" s="24"/>
      <c r="AR214" s="24"/>
    </row>
    <row r="215" spans="1:44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306"/>
      <c r="AH215" s="24"/>
      <c r="AI215" s="24"/>
      <c r="AJ215" s="40"/>
      <c r="AK215" s="24"/>
      <c r="AL215" s="24"/>
      <c r="AM215" s="24"/>
      <c r="AN215" s="24"/>
      <c r="AO215" s="24"/>
      <c r="AP215" s="24"/>
      <c r="AQ215" s="24"/>
      <c r="AR215" s="24"/>
    </row>
    <row r="216" spans="1:44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306"/>
      <c r="AH216" s="24"/>
      <c r="AI216" s="24"/>
      <c r="AJ216" s="40"/>
      <c r="AK216" s="24"/>
      <c r="AL216" s="24"/>
      <c r="AM216" s="24"/>
      <c r="AN216" s="24"/>
      <c r="AO216" s="24"/>
      <c r="AP216" s="24"/>
      <c r="AQ216" s="24"/>
      <c r="AR216" s="24"/>
    </row>
    <row r="217" spans="1:44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306"/>
      <c r="AH217" s="24"/>
      <c r="AI217" s="24"/>
      <c r="AJ217" s="40"/>
      <c r="AK217" s="24"/>
      <c r="AL217" s="24"/>
      <c r="AM217" s="24"/>
      <c r="AN217" s="24"/>
      <c r="AO217" s="24"/>
      <c r="AP217" s="24"/>
      <c r="AQ217" s="24"/>
      <c r="AR217" s="24"/>
    </row>
    <row r="218" spans="1:44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306"/>
      <c r="AH218" s="24"/>
      <c r="AI218" s="24"/>
      <c r="AJ218" s="40"/>
      <c r="AK218" s="24"/>
      <c r="AL218" s="24"/>
      <c r="AM218" s="24"/>
      <c r="AN218" s="24"/>
      <c r="AO218" s="24"/>
      <c r="AP218" s="24"/>
      <c r="AQ218" s="24"/>
      <c r="AR218" s="24"/>
    </row>
    <row r="219" spans="1:44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306"/>
      <c r="AH219" s="24"/>
      <c r="AI219" s="24"/>
      <c r="AJ219" s="40"/>
      <c r="AK219" s="24"/>
      <c r="AL219" s="24"/>
      <c r="AM219" s="24"/>
      <c r="AN219" s="24"/>
      <c r="AO219" s="24"/>
      <c r="AP219" s="24"/>
      <c r="AQ219" s="24"/>
      <c r="AR219" s="24"/>
    </row>
    <row r="220" spans="1:44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306"/>
      <c r="AH220" s="24"/>
      <c r="AI220" s="24"/>
      <c r="AJ220" s="40"/>
      <c r="AK220" s="24"/>
      <c r="AL220" s="24"/>
      <c r="AM220" s="24"/>
      <c r="AN220" s="24"/>
      <c r="AO220" s="24"/>
      <c r="AP220" s="24"/>
      <c r="AQ220" s="24"/>
      <c r="AR220" s="24"/>
    </row>
    <row r="221" spans="1:44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306"/>
      <c r="AH221" s="24"/>
      <c r="AI221" s="24"/>
      <c r="AJ221" s="40"/>
      <c r="AK221" s="24"/>
      <c r="AL221" s="24"/>
      <c r="AM221" s="24"/>
      <c r="AN221" s="24"/>
      <c r="AO221" s="24"/>
      <c r="AP221" s="24"/>
      <c r="AQ221" s="24"/>
      <c r="AR221" s="24"/>
    </row>
    <row r="222" spans="1:44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306"/>
      <c r="AH222" s="24"/>
      <c r="AI222" s="24"/>
      <c r="AJ222" s="40"/>
      <c r="AK222" s="24"/>
      <c r="AL222" s="24"/>
      <c r="AM222" s="24"/>
      <c r="AN222" s="24"/>
      <c r="AO222" s="24"/>
      <c r="AP222" s="24"/>
      <c r="AQ222" s="24"/>
      <c r="AR222" s="24"/>
    </row>
    <row r="223" spans="1:44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306"/>
      <c r="AH223" s="24"/>
      <c r="AI223" s="24"/>
      <c r="AJ223" s="40"/>
      <c r="AK223" s="24"/>
      <c r="AL223" s="24"/>
      <c r="AM223" s="24"/>
      <c r="AN223" s="24"/>
      <c r="AO223" s="24"/>
      <c r="AP223" s="24"/>
      <c r="AQ223" s="24"/>
      <c r="AR223" s="24"/>
    </row>
    <row r="224" spans="1:4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306"/>
      <c r="AH224" s="24"/>
      <c r="AI224" s="24"/>
      <c r="AJ224" s="40"/>
      <c r="AK224" s="24"/>
      <c r="AL224" s="24"/>
      <c r="AM224" s="24"/>
      <c r="AN224" s="24"/>
      <c r="AO224" s="24"/>
      <c r="AP224" s="24"/>
      <c r="AQ224" s="24"/>
      <c r="AR224" s="24"/>
    </row>
    <row r="225" spans="1:44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306"/>
      <c r="AH225" s="24"/>
      <c r="AI225" s="24"/>
      <c r="AJ225" s="40"/>
      <c r="AK225" s="24"/>
      <c r="AL225" s="24"/>
      <c r="AM225" s="24"/>
      <c r="AN225" s="24"/>
      <c r="AO225" s="24"/>
      <c r="AP225" s="24"/>
      <c r="AQ225" s="24"/>
      <c r="AR225" s="24"/>
    </row>
    <row r="226" spans="1:44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306"/>
      <c r="AH226" s="24"/>
      <c r="AI226" s="24"/>
      <c r="AJ226" s="40"/>
      <c r="AK226" s="24"/>
      <c r="AL226" s="24"/>
      <c r="AM226" s="24"/>
      <c r="AN226" s="24"/>
      <c r="AO226" s="24"/>
      <c r="AP226" s="24"/>
      <c r="AQ226" s="24"/>
      <c r="AR226" s="24"/>
    </row>
    <row r="227" spans="1:44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306"/>
      <c r="AH227" s="24"/>
      <c r="AI227" s="24"/>
      <c r="AJ227" s="40"/>
      <c r="AK227" s="24"/>
      <c r="AL227" s="24"/>
      <c r="AM227" s="24"/>
      <c r="AN227" s="24"/>
      <c r="AO227" s="24"/>
      <c r="AP227" s="24"/>
      <c r="AQ227" s="24"/>
      <c r="AR227" s="24"/>
    </row>
    <row r="228" spans="1:44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306"/>
      <c r="AH228" s="24"/>
      <c r="AI228" s="24"/>
      <c r="AJ228" s="40"/>
      <c r="AK228" s="24"/>
      <c r="AL228" s="24"/>
      <c r="AM228" s="24"/>
      <c r="AN228" s="24"/>
      <c r="AO228" s="24"/>
      <c r="AP228" s="24"/>
      <c r="AQ228" s="24"/>
      <c r="AR228" s="24"/>
    </row>
    <row r="229" spans="1:44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306"/>
      <c r="AH229" s="24"/>
      <c r="AI229" s="24"/>
      <c r="AJ229" s="40"/>
      <c r="AK229" s="24"/>
      <c r="AL229" s="24"/>
      <c r="AM229" s="24"/>
      <c r="AN229" s="24"/>
      <c r="AO229" s="24"/>
      <c r="AP229" s="24"/>
      <c r="AQ229" s="24"/>
      <c r="AR229" s="24"/>
    </row>
    <row r="230" spans="1:44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306"/>
      <c r="AH230" s="24"/>
      <c r="AI230" s="24"/>
      <c r="AJ230" s="40"/>
      <c r="AK230" s="24"/>
      <c r="AL230" s="24"/>
      <c r="AM230" s="24"/>
      <c r="AN230" s="24"/>
      <c r="AO230" s="24"/>
      <c r="AP230" s="24"/>
      <c r="AQ230" s="24"/>
      <c r="AR230" s="24"/>
    </row>
    <row r="231" spans="1:44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306"/>
      <c r="AH231" s="24"/>
      <c r="AI231" s="24"/>
      <c r="AJ231" s="40"/>
      <c r="AK231" s="24"/>
      <c r="AL231" s="24"/>
      <c r="AM231" s="24"/>
      <c r="AN231" s="24"/>
      <c r="AO231" s="24"/>
      <c r="AP231" s="24"/>
      <c r="AQ231" s="24"/>
      <c r="AR231" s="24"/>
    </row>
    <row r="232" spans="1:44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306"/>
      <c r="AH232" s="24"/>
      <c r="AI232" s="24"/>
      <c r="AJ232" s="40"/>
      <c r="AK232" s="24"/>
      <c r="AL232" s="24"/>
      <c r="AM232" s="24"/>
      <c r="AN232" s="24"/>
      <c r="AO232" s="24"/>
      <c r="AP232" s="24"/>
      <c r="AQ232" s="24"/>
      <c r="AR232" s="24"/>
    </row>
    <row r="233" spans="1:44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306"/>
      <c r="AH233" s="24"/>
      <c r="AI233" s="24"/>
      <c r="AJ233" s="40"/>
      <c r="AK233" s="24"/>
      <c r="AL233" s="24"/>
      <c r="AM233" s="24"/>
      <c r="AN233" s="24"/>
      <c r="AO233" s="24"/>
      <c r="AP233" s="24"/>
      <c r="AQ233" s="24"/>
      <c r="AR233" s="24"/>
    </row>
    <row r="234" spans="1:4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306"/>
      <c r="AH234" s="24"/>
      <c r="AI234" s="24"/>
      <c r="AJ234" s="40"/>
      <c r="AK234" s="24"/>
      <c r="AL234" s="24"/>
      <c r="AM234" s="24"/>
      <c r="AN234" s="24"/>
      <c r="AO234" s="24"/>
      <c r="AP234" s="24"/>
      <c r="AQ234" s="24"/>
      <c r="AR234" s="24"/>
    </row>
    <row r="235" spans="1:44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306"/>
      <c r="AH235" s="24"/>
      <c r="AI235" s="24"/>
      <c r="AJ235" s="40"/>
      <c r="AK235" s="24"/>
      <c r="AL235" s="24"/>
      <c r="AM235" s="24"/>
      <c r="AN235" s="24"/>
      <c r="AO235" s="24"/>
      <c r="AP235" s="24"/>
      <c r="AQ235" s="24"/>
      <c r="AR235" s="24"/>
    </row>
    <row r="236" spans="1:44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306"/>
      <c r="AH236" s="24"/>
      <c r="AI236" s="24"/>
      <c r="AJ236" s="40"/>
      <c r="AK236" s="24"/>
      <c r="AL236" s="24"/>
      <c r="AM236" s="24"/>
      <c r="AN236" s="24"/>
      <c r="AO236" s="24"/>
      <c r="AP236" s="24"/>
      <c r="AQ236" s="24"/>
      <c r="AR236" s="24"/>
    </row>
    <row r="237" spans="1:44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306"/>
      <c r="AH237" s="24"/>
      <c r="AI237" s="24"/>
      <c r="AJ237" s="40"/>
      <c r="AK237" s="24"/>
      <c r="AL237" s="24"/>
      <c r="AM237" s="24"/>
      <c r="AN237" s="24"/>
      <c r="AO237" s="24"/>
      <c r="AP237" s="24"/>
      <c r="AQ237" s="24"/>
      <c r="AR237" s="24"/>
    </row>
    <row r="238" spans="1:44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306"/>
      <c r="AH238" s="24"/>
      <c r="AI238" s="24"/>
      <c r="AJ238" s="40"/>
      <c r="AK238" s="24"/>
      <c r="AL238" s="24"/>
      <c r="AM238" s="24"/>
      <c r="AN238" s="24"/>
      <c r="AO238" s="24"/>
      <c r="AP238" s="24"/>
      <c r="AQ238" s="24"/>
      <c r="AR238" s="24"/>
    </row>
    <row r="239" spans="1:44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306"/>
      <c r="AH239" s="24"/>
      <c r="AI239" s="24"/>
      <c r="AJ239" s="40"/>
      <c r="AK239" s="24"/>
      <c r="AL239" s="24"/>
      <c r="AM239" s="24"/>
      <c r="AN239" s="24"/>
      <c r="AO239" s="24"/>
      <c r="AP239" s="24"/>
      <c r="AQ239" s="24"/>
      <c r="AR239" s="24"/>
    </row>
    <row r="240" spans="1:44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306"/>
      <c r="AH240" s="24"/>
      <c r="AI240" s="24"/>
      <c r="AJ240" s="40"/>
      <c r="AK240" s="24"/>
      <c r="AL240" s="24"/>
      <c r="AM240" s="24"/>
      <c r="AN240" s="24"/>
      <c r="AO240" s="24"/>
      <c r="AP240" s="24"/>
      <c r="AQ240" s="24"/>
      <c r="AR240" s="24"/>
    </row>
    <row r="241" spans="1:44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306"/>
      <c r="AH241" s="24"/>
      <c r="AI241" s="24"/>
      <c r="AJ241" s="40"/>
      <c r="AK241" s="24"/>
      <c r="AL241" s="24"/>
      <c r="AM241" s="24"/>
      <c r="AN241" s="24"/>
      <c r="AO241" s="24"/>
      <c r="AP241" s="24"/>
      <c r="AQ241" s="24"/>
      <c r="AR241" s="24"/>
    </row>
    <row r="242" spans="1:44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306"/>
      <c r="AH242" s="24"/>
      <c r="AI242" s="24"/>
      <c r="AJ242" s="40"/>
      <c r="AK242" s="24"/>
      <c r="AL242" s="24"/>
      <c r="AM242" s="24"/>
      <c r="AN242" s="24"/>
      <c r="AO242" s="24"/>
      <c r="AP242" s="24"/>
      <c r="AQ242" s="24"/>
      <c r="AR242" s="24"/>
    </row>
    <row r="243" spans="1:44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306"/>
      <c r="AH243" s="24"/>
      <c r="AI243" s="24"/>
      <c r="AJ243" s="40"/>
      <c r="AK243" s="24"/>
      <c r="AL243" s="24"/>
      <c r="AM243" s="24"/>
      <c r="AN243" s="24"/>
      <c r="AO243" s="24"/>
      <c r="AP243" s="24"/>
      <c r="AQ243" s="24"/>
      <c r="AR243" s="24"/>
    </row>
    <row r="244" spans="1: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306"/>
      <c r="AH244" s="24"/>
      <c r="AI244" s="24"/>
      <c r="AJ244" s="40"/>
      <c r="AK244" s="24"/>
      <c r="AL244" s="24"/>
      <c r="AM244" s="24"/>
      <c r="AN244" s="24"/>
      <c r="AO244" s="24"/>
      <c r="AP244" s="24"/>
      <c r="AQ244" s="24"/>
      <c r="AR244" s="24"/>
    </row>
    <row r="245" spans="1:44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306"/>
      <c r="AH245" s="24"/>
      <c r="AI245" s="24"/>
      <c r="AJ245" s="40"/>
      <c r="AK245" s="24"/>
      <c r="AL245" s="24"/>
      <c r="AM245" s="24"/>
      <c r="AN245" s="24"/>
      <c r="AO245" s="24"/>
      <c r="AP245" s="24"/>
      <c r="AQ245" s="24"/>
      <c r="AR245" s="24"/>
    </row>
    <row r="246" spans="1:44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306"/>
      <c r="AH246" s="24"/>
      <c r="AI246" s="24"/>
      <c r="AJ246" s="40"/>
      <c r="AK246" s="24"/>
      <c r="AL246" s="24"/>
      <c r="AM246" s="24"/>
      <c r="AN246" s="24"/>
      <c r="AO246" s="24"/>
      <c r="AP246" s="24"/>
      <c r="AQ246" s="24"/>
      <c r="AR246" s="24"/>
    </row>
    <row r="247" spans="1:44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306"/>
      <c r="AH247" s="24"/>
      <c r="AI247" s="24"/>
      <c r="AJ247" s="40"/>
      <c r="AK247" s="24"/>
      <c r="AL247" s="24"/>
      <c r="AM247" s="24"/>
      <c r="AN247" s="24"/>
      <c r="AO247" s="24"/>
      <c r="AP247" s="24"/>
      <c r="AQ247" s="24"/>
      <c r="AR247" s="24"/>
    </row>
    <row r="248" spans="1:44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306"/>
      <c r="AH248" s="24"/>
      <c r="AI248" s="24"/>
      <c r="AJ248" s="40"/>
      <c r="AK248" s="24"/>
      <c r="AL248" s="24"/>
      <c r="AM248" s="24"/>
      <c r="AN248" s="24"/>
      <c r="AO248" s="24"/>
      <c r="AP248" s="24"/>
      <c r="AQ248" s="24"/>
      <c r="AR248" s="24"/>
    </row>
    <row r="249" spans="1:44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306"/>
      <c r="AH249" s="24"/>
      <c r="AI249" s="24"/>
      <c r="AJ249" s="40"/>
      <c r="AK249" s="24"/>
      <c r="AL249" s="24"/>
      <c r="AM249" s="24"/>
      <c r="AN249" s="24"/>
      <c r="AO249" s="24"/>
      <c r="AP249" s="24"/>
      <c r="AQ249" s="24"/>
      <c r="AR249" s="24"/>
    </row>
    <row r="250" spans="1:44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306"/>
      <c r="AH250" s="24"/>
      <c r="AI250" s="24"/>
      <c r="AJ250" s="40"/>
      <c r="AK250" s="24"/>
      <c r="AL250" s="24"/>
      <c r="AM250" s="24"/>
      <c r="AN250" s="24"/>
      <c r="AO250" s="24"/>
      <c r="AP250" s="24"/>
      <c r="AQ250" s="24"/>
      <c r="AR250" s="24"/>
    </row>
    <row r="251" spans="1:44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306"/>
      <c r="AH251" s="24"/>
      <c r="AI251" s="24"/>
      <c r="AJ251" s="40"/>
      <c r="AK251" s="24"/>
      <c r="AL251" s="24"/>
      <c r="AM251" s="24"/>
      <c r="AN251" s="24"/>
      <c r="AO251" s="24"/>
      <c r="AP251" s="24"/>
      <c r="AQ251" s="24"/>
      <c r="AR251" s="24"/>
    </row>
    <row r="252" spans="1:44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306"/>
      <c r="AH252" s="24"/>
      <c r="AI252" s="24"/>
      <c r="AJ252" s="40"/>
      <c r="AK252" s="24"/>
      <c r="AL252" s="24"/>
      <c r="AM252" s="24"/>
      <c r="AN252" s="24"/>
      <c r="AO252" s="24"/>
      <c r="AP252" s="24"/>
      <c r="AQ252" s="24"/>
      <c r="AR252" s="24"/>
    </row>
    <row r="253" spans="1:44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306"/>
      <c r="AH253" s="24"/>
      <c r="AI253" s="24"/>
      <c r="AJ253" s="40"/>
      <c r="AK253" s="24"/>
      <c r="AL253" s="24"/>
      <c r="AM253" s="24"/>
      <c r="AN253" s="24"/>
      <c r="AO253" s="24"/>
      <c r="AP253" s="24"/>
      <c r="AQ253" s="24"/>
      <c r="AR253" s="24"/>
    </row>
    <row r="254" spans="1:4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306"/>
      <c r="AH254" s="24"/>
      <c r="AI254" s="24"/>
      <c r="AJ254" s="40"/>
      <c r="AK254" s="24"/>
      <c r="AL254" s="24"/>
      <c r="AM254" s="24"/>
      <c r="AN254" s="24"/>
      <c r="AO254" s="24"/>
      <c r="AP254" s="24"/>
      <c r="AQ254" s="24"/>
      <c r="AR254" s="24"/>
    </row>
    <row r="255" spans="1:44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306"/>
      <c r="AH255" s="24"/>
      <c r="AI255" s="24"/>
      <c r="AJ255" s="40"/>
      <c r="AK255" s="24"/>
      <c r="AL255" s="24"/>
      <c r="AM255" s="24"/>
      <c r="AN255" s="24"/>
      <c r="AO255" s="24"/>
      <c r="AP255" s="24"/>
      <c r="AQ255" s="24"/>
      <c r="AR255" s="24"/>
    </row>
    <row r="256" spans="1:44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306"/>
      <c r="AH256" s="24"/>
      <c r="AI256" s="24"/>
      <c r="AJ256" s="40"/>
      <c r="AK256" s="24"/>
      <c r="AL256" s="24"/>
      <c r="AM256" s="24"/>
      <c r="AN256" s="24"/>
      <c r="AO256" s="24"/>
      <c r="AP256" s="24"/>
      <c r="AQ256" s="24"/>
      <c r="AR256" s="24"/>
    </row>
    <row r="257" spans="1:44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306"/>
      <c r="AH257" s="24"/>
      <c r="AI257" s="24"/>
      <c r="AJ257" s="40"/>
      <c r="AK257" s="24"/>
      <c r="AL257" s="24"/>
      <c r="AM257" s="24"/>
      <c r="AN257" s="24"/>
      <c r="AO257" s="24"/>
      <c r="AP257" s="24"/>
      <c r="AQ257" s="24"/>
      <c r="AR257" s="24"/>
    </row>
    <row r="258" spans="1:44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306"/>
      <c r="AH258" s="24"/>
      <c r="AI258" s="24"/>
      <c r="AJ258" s="40"/>
      <c r="AK258" s="24"/>
      <c r="AL258" s="24"/>
      <c r="AM258" s="24"/>
      <c r="AN258" s="24"/>
      <c r="AO258" s="24"/>
      <c r="AP258" s="24"/>
      <c r="AQ258" s="24"/>
      <c r="AR258" s="24"/>
    </row>
    <row r="259" spans="1:44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306"/>
      <c r="AH259" s="24"/>
      <c r="AI259" s="24"/>
      <c r="AJ259" s="40"/>
      <c r="AK259" s="24"/>
      <c r="AL259" s="24"/>
      <c r="AM259" s="24"/>
      <c r="AN259" s="24"/>
      <c r="AO259" s="24"/>
      <c r="AP259" s="24"/>
      <c r="AQ259" s="24"/>
      <c r="AR259" s="24"/>
    </row>
    <row r="260" spans="1:44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306"/>
      <c r="AH260" s="24"/>
      <c r="AI260" s="24"/>
      <c r="AJ260" s="40"/>
      <c r="AK260" s="24"/>
      <c r="AL260" s="24"/>
      <c r="AM260" s="24"/>
      <c r="AN260" s="24"/>
      <c r="AO260" s="24"/>
      <c r="AP260" s="24"/>
      <c r="AQ260" s="24"/>
      <c r="AR260" s="24"/>
    </row>
    <row r="261" spans="1:44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306"/>
      <c r="AH261" s="24"/>
      <c r="AI261" s="24"/>
      <c r="AJ261" s="40"/>
      <c r="AK261" s="24"/>
      <c r="AL261" s="24"/>
      <c r="AM261" s="24"/>
      <c r="AN261" s="24"/>
      <c r="AO261" s="24"/>
      <c r="AP261" s="24"/>
      <c r="AQ261" s="24"/>
      <c r="AR261" s="24"/>
    </row>
    <row r="262" spans="1:44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306"/>
      <c r="AH262" s="24"/>
      <c r="AI262" s="24"/>
      <c r="AJ262" s="40"/>
      <c r="AK262" s="24"/>
      <c r="AL262" s="24"/>
      <c r="AM262" s="24"/>
      <c r="AN262" s="24"/>
      <c r="AO262" s="24"/>
      <c r="AP262" s="24"/>
      <c r="AQ262" s="24"/>
      <c r="AR262" s="24"/>
    </row>
    <row r="263" spans="1:44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306"/>
      <c r="AH263" s="24"/>
      <c r="AI263" s="24"/>
      <c r="AJ263" s="40"/>
      <c r="AK263" s="24"/>
      <c r="AL263" s="24"/>
      <c r="AM263" s="24"/>
      <c r="AN263" s="24"/>
      <c r="AO263" s="24"/>
      <c r="AP263" s="24"/>
      <c r="AQ263" s="24"/>
      <c r="AR263" s="24"/>
    </row>
    <row r="264" spans="1:4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306"/>
      <c r="AH264" s="24"/>
      <c r="AI264" s="24"/>
      <c r="AJ264" s="40"/>
      <c r="AK264" s="24"/>
      <c r="AL264" s="24"/>
      <c r="AM264" s="24"/>
      <c r="AN264" s="24"/>
      <c r="AO264" s="24"/>
      <c r="AP264" s="24"/>
      <c r="AQ264" s="24"/>
      <c r="AR264" s="24"/>
    </row>
    <row r="265" spans="1:44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306"/>
      <c r="AH265" s="24"/>
      <c r="AI265" s="24"/>
      <c r="AJ265" s="40"/>
      <c r="AK265" s="24"/>
      <c r="AL265" s="24"/>
      <c r="AM265" s="24"/>
      <c r="AN265" s="24"/>
      <c r="AO265" s="24"/>
      <c r="AP265" s="24"/>
      <c r="AQ265" s="24"/>
      <c r="AR265" s="24"/>
    </row>
    <row r="266" spans="1:44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306"/>
      <c r="AH266" s="24"/>
      <c r="AI266" s="24"/>
      <c r="AJ266" s="40"/>
      <c r="AK266" s="24"/>
      <c r="AL266" s="24"/>
      <c r="AM266" s="24"/>
      <c r="AN266" s="24"/>
      <c r="AO266" s="24"/>
      <c r="AP266" s="24"/>
      <c r="AQ266" s="24"/>
      <c r="AR266" s="24"/>
    </row>
    <row r="267" spans="1:44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306"/>
      <c r="AH267" s="24"/>
      <c r="AI267" s="24"/>
      <c r="AJ267" s="40"/>
      <c r="AK267" s="24"/>
      <c r="AL267" s="24"/>
      <c r="AM267" s="24"/>
      <c r="AN267" s="24"/>
      <c r="AO267" s="24"/>
      <c r="AP267" s="24"/>
      <c r="AQ267" s="24"/>
      <c r="AR267" s="24"/>
    </row>
    <row r="268" spans="1:44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306"/>
      <c r="AH268" s="24"/>
      <c r="AI268" s="24"/>
      <c r="AJ268" s="40"/>
      <c r="AK268" s="24"/>
      <c r="AL268" s="24"/>
      <c r="AM268" s="24"/>
      <c r="AN268" s="24"/>
      <c r="AO268" s="24"/>
      <c r="AP268" s="24"/>
      <c r="AQ268" s="24"/>
      <c r="AR268" s="24"/>
    </row>
    <row r="269" spans="1:44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306"/>
      <c r="AH269" s="24"/>
      <c r="AI269" s="24"/>
      <c r="AJ269" s="40"/>
      <c r="AK269" s="24"/>
      <c r="AL269" s="24"/>
      <c r="AM269" s="24"/>
      <c r="AN269" s="24"/>
      <c r="AO269" s="24"/>
      <c r="AP269" s="24"/>
      <c r="AQ269" s="24"/>
      <c r="AR269" s="24"/>
    </row>
    <row r="270" spans="1:44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306"/>
      <c r="AH270" s="24"/>
      <c r="AI270" s="24"/>
      <c r="AJ270" s="40"/>
      <c r="AK270" s="24"/>
      <c r="AL270" s="24"/>
      <c r="AM270" s="24"/>
      <c r="AN270" s="24"/>
      <c r="AO270" s="24"/>
      <c r="AP270" s="24"/>
      <c r="AQ270" s="24"/>
      <c r="AR270" s="24"/>
    </row>
    <row r="271" spans="1:44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306"/>
      <c r="AH271" s="24"/>
      <c r="AI271" s="24"/>
      <c r="AJ271" s="40"/>
      <c r="AK271" s="24"/>
      <c r="AL271" s="24"/>
      <c r="AM271" s="24"/>
      <c r="AN271" s="24"/>
      <c r="AO271" s="24"/>
      <c r="AP271" s="24"/>
      <c r="AQ271" s="24"/>
      <c r="AR271" s="24"/>
    </row>
    <row r="272" spans="1:44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306"/>
      <c r="AH272" s="24"/>
      <c r="AI272" s="24"/>
      <c r="AJ272" s="40"/>
      <c r="AK272" s="24"/>
      <c r="AL272" s="24"/>
      <c r="AM272" s="24"/>
      <c r="AN272" s="24"/>
      <c r="AO272" s="24"/>
      <c r="AP272" s="24"/>
      <c r="AQ272" s="24"/>
      <c r="AR272" s="24"/>
    </row>
    <row r="273" spans="1:44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306"/>
      <c r="AH273" s="24"/>
      <c r="AI273" s="24"/>
      <c r="AJ273" s="40"/>
      <c r="AK273" s="24"/>
      <c r="AL273" s="24"/>
      <c r="AM273" s="24"/>
      <c r="AN273" s="24"/>
      <c r="AO273" s="24"/>
      <c r="AP273" s="24"/>
      <c r="AQ273" s="24"/>
      <c r="AR273" s="24"/>
    </row>
    <row r="274" spans="1:4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306"/>
      <c r="AH274" s="24"/>
      <c r="AI274" s="24"/>
      <c r="AJ274" s="40"/>
      <c r="AK274" s="24"/>
      <c r="AL274" s="24"/>
      <c r="AM274" s="24"/>
      <c r="AN274" s="24"/>
      <c r="AO274" s="24"/>
      <c r="AP274" s="24"/>
      <c r="AQ274" s="24"/>
      <c r="AR274" s="24"/>
    </row>
    <row r="275" spans="1:44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306"/>
      <c r="AH275" s="24"/>
      <c r="AI275" s="24"/>
      <c r="AJ275" s="40"/>
      <c r="AK275" s="24"/>
      <c r="AL275" s="24"/>
      <c r="AM275" s="24"/>
      <c r="AN275" s="24"/>
      <c r="AO275" s="24"/>
      <c r="AP275" s="24"/>
      <c r="AQ275" s="24"/>
      <c r="AR275" s="24"/>
    </row>
    <row r="276" spans="1:44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306"/>
      <c r="AH276" s="24"/>
      <c r="AI276" s="24"/>
      <c r="AJ276" s="40"/>
      <c r="AK276" s="24"/>
      <c r="AL276" s="24"/>
      <c r="AM276" s="24"/>
      <c r="AN276" s="24"/>
      <c r="AO276" s="24"/>
      <c r="AP276" s="24"/>
      <c r="AQ276" s="24"/>
      <c r="AR276" s="24"/>
    </row>
    <row r="277" spans="1:44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306"/>
      <c r="AH277" s="24"/>
      <c r="AI277" s="24"/>
      <c r="AJ277" s="40"/>
      <c r="AK277" s="24"/>
      <c r="AL277" s="24"/>
      <c r="AM277" s="24"/>
      <c r="AN277" s="24"/>
      <c r="AO277" s="24"/>
      <c r="AP277" s="24"/>
      <c r="AQ277" s="24"/>
      <c r="AR277" s="24"/>
    </row>
    <row r="278" spans="1:44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306"/>
      <c r="AH278" s="24"/>
      <c r="AI278" s="24"/>
      <c r="AJ278" s="40"/>
      <c r="AK278" s="24"/>
      <c r="AL278" s="24"/>
      <c r="AM278" s="24"/>
      <c r="AN278" s="24"/>
      <c r="AO278" s="24"/>
      <c r="AP278" s="24"/>
      <c r="AQ278" s="24"/>
      <c r="AR278" s="24"/>
    </row>
    <row r="279" spans="1:44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306"/>
      <c r="AH279" s="24"/>
      <c r="AI279" s="24"/>
      <c r="AJ279" s="40"/>
      <c r="AK279" s="24"/>
      <c r="AL279" s="24"/>
      <c r="AM279" s="24"/>
      <c r="AN279" s="24"/>
      <c r="AO279" s="24"/>
      <c r="AP279" s="24"/>
      <c r="AQ279" s="24"/>
      <c r="AR279" s="24"/>
    </row>
    <row r="280" spans="1:44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306"/>
      <c r="AH280" s="24"/>
      <c r="AI280" s="24"/>
      <c r="AJ280" s="40"/>
      <c r="AK280" s="24"/>
      <c r="AL280" s="24"/>
      <c r="AM280" s="24"/>
      <c r="AN280" s="24"/>
      <c r="AO280" s="24"/>
      <c r="AP280" s="24"/>
      <c r="AQ280" s="24"/>
      <c r="AR280" s="24"/>
    </row>
    <row r="281" spans="1:44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306"/>
      <c r="AH281" s="24"/>
      <c r="AI281" s="24"/>
      <c r="AJ281" s="40"/>
      <c r="AK281" s="24"/>
      <c r="AL281" s="24"/>
      <c r="AM281" s="24"/>
      <c r="AN281" s="24"/>
      <c r="AO281" s="24"/>
      <c r="AP281" s="24"/>
      <c r="AQ281" s="24"/>
      <c r="AR281" s="24"/>
    </row>
    <row r="282" spans="1:44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306"/>
      <c r="AH282" s="24"/>
      <c r="AI282" s="24"/>
      <c r="AJ282" s="40"/>
      <c r="AK282" s="24"/>
      <c r="AL282" s="24"/>
      <c r="AM282" s="24"/>
      <c r="AN282" s="24"/>
      <c r="AO282" s="24"/>
      <c r="AP282" s="24"/>
      <c r="AQ282" s="24"/>
      <c r="AR282" s="24"/>
    </row>
    <row r="283" spans="1:44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306"/>
      <c r="AH283" s="24"/>
      <c r="AI283" s="24"/>
      <c r="AJ283" s="40"/>
      <c r="AK283" s="24"/>
      <c r="AL283" s="24"/>
      <c r="AM283" s="24"/>
      <c r="AN283" s="24"/>
      <c r="AO283" s="24"/>
      <c r="AP283" s="24"/>
      <c r="AQ283" s="24"/>
      <c r="AR283" s="24"/>
    </row>
    <row r="284" spans="1:4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306"/>
      <c r="AH284" s="24"/>
      <c r="AI284" s="24"/>
      <c r="AJ284" s="40"/>
      <c r="AK284" s="24"/>
      <c r="AL284" s="24"/>
      <c r="AM284" s="24"/>
      <c r="AN284" s="24"/>
      <c r="AO284" s="24"/>
      <c r="AP284" s="24"/>
      <c r="AQ284" s="24"/>
      <c r="AR284" s="24"/>
    </row>
    <row r="285" spans="1:44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306"/>
      <c r="AH285" s="24"/>
      <c r="AI285" s="24"/>
      <c r="AJ285" s="40"/>
      <c r="AK285" s="24"/>
      <c r="AL285" s="24"/>
      <c r="AM285" s="24"/>
      <c r="AN285" s="24"/>
      <c r="AO285" s="24"/>
      <c r="AP285" s="24"/>
      <c r="AQ285" s="24"/>
      <c r="AR285" s="24"/>
    </row>
    <row r="286" spans="1:44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306"/>
      <c r="AH286" s="24"/>
      <c r="AI286" s="24"/>
      <c r="AJ286" s="40"/>
      <c r="AK286" s="24"/>
      <c r="AL286" s="24"/>
      <c r="AM286" s="24"/>
      <c r="AN286" s="24"/>
      <c r="AO286" s="24"/>
      <c r="AP286" s="24"/>
      <c r="AQ286" s="24"/>
      <c r="AR286" s="24"/>
    </row>
    <row r="287" spans="1:44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306"/>
      <c r="AH287" s="24"/>
      <c r="AI287" s="24"/>
      <c r="AJ287" s="40"/>
      <c r="AK287" s="24"/>
      <c r="AL287" s="24"/>
      <c r="AM287" s="24"/>
      <c r="AN287" s="24"/>
      <c r="AO287" s="24"/>
      <c r="AP287" s="24"/>
      <c r="AQ287" s="24"/>
      <c r="AR287" s="24"/>
    </row>
    <row r="288" spans="1:44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306"/>
      <c r="AH288" s="24"/>
      <c r="AI288" s="24"/>
      <c r="AJ288" s="40"/>
      <c r="AK288" s="24"/>
      <c r="AL288" s="24"/>
      <c r="AM288" s="24"/>
      <c r="AN288" s="24"/>
      <c r="AO288" s="24"/>
      <c r="AP288" s="24"/>
      <c r="AQ288" s="24"/>
      <c r="AR288" s="24"/>
    </row>
    <row r="289" spans="1:44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306"/>
      <c r="AH289" s="24"/>
      <c r="AI289" s="24"/>
      <c r="AJ289" s="40"/>
      <c r="AK289" s="24"/>
      <c r="AL289" s="24"/>
      <c r="AM289" s="24"/>
      <c r="AN289" s="24"/>
      <c r="AO289" s="24"/>
      <c r="AP289" s="24"/>
      <c r="AQ289" s="24"/>
      <c r="AR289" s="24"/>
    </row>
    <row r="290" spans="1:44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306"/>
      <c r="AH290" s="24"/>
      <c r="AI290" s="24"/>
      <c r="AJ290" s="40"/>
      <c r="AK290" s="24"/>
      <c r="AL290" s="24"/>
      <c r="AM290" s="24"/>
      <c r="AN290" s="24"/>
      <c r="AO290" s="24"/>
      <c r="AP290" s="24"/>
      <c r="AQ290" s="24"/>
      <c r="AR290" s="24"/>
    </row>
    <row r="291" spans="1:44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306"/>
      <c r="AH291" s="24"/>
      <c r="AI291" s="24"/>
      <c r="AJ291" s="40"/>
      <c r="AK291" s="24"/>
      <c r="AL291" s="24"/>
      <c r="AM291" s="24"/>
      <c r="AN291" s="24"/>
      <c r="AO291" s="24"/>
      <c r="AP291" s="24"/>
      <c r="AQ291" s="24"/>
      <c r="AR291" s="24"/>
    </row>
    <row r="292" spans="1:44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306"/>
      <c r="AH292" s="24"/>
      <c r="AI292" s="24"/>
      <c r="AJ292" s="40"/>
      <c r="AK292" s="24"/>
      <c r="AL292" s="24"/>
      <c r="AM292" s="24"/>
      <c r="AN292" s="24"/>
      <c r="AO292" s="24"/>
      <c r="AP292" s="24"/>
      <c r="AQ292" s="24"/>
      <c r="AR292" s="24"/>
    </row>
    <row r="293" spans="1:44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306"/>
      <c r="AH293" s="24"/>
      <c r="AI293" s="24"/>
      <c r="AJ293" s="40"/>
      <c r="AK293" s="24"/>
      <c r="AL293" s="24"/>
      <c r="AM293" s="24"/>
      <c r="AN293" s="24"/>
      <c r="AO293" s="24"/>
      <c r="AP293" s="24"/>
      <c r="AQ293" s="24"/>
      <c r="AR293" s="24"/>
    </row>
    <row r="294" spans="1:4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306"/>
      <c r="AH294" s="24"/>
      <c r="AI294" s="24"/>
      <c r="AJ294" s="40"/>
      <c r="AK294" s="24"/>
      <c r="AL294" s="24"/>
      <c r="AM294" s="24"/>
      <c r="AN294" s="24"/>
      <c r="AO294" s="24"/>
      <c r="AP294" s="24"/>
      <c r="AQ294" s="24"/>
      <c r="AR294" s="24"/>
    </row>
    <row r="295" spans="1:44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306"/>
      <c r="AH295" s="24"/>
      <c r="AI295" s="24"/>
      <c r="AJ295" s="40"/>
      <c r="AK295" s="24"/>
      <c r="AL295" s="24"/>
      <c r="AM295" s="24"/>
      <c r="AN295" s="24"/>
      <c r="AO295" s="24"/>
      <c r="AP295" s="24"/>
      <c r="AQ295" s="24"/>
      <c r="AR295" s="24"/>
    </row>
    <row r="296" spans="1:44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306"/>
      <c r="AH296" s="24"/>
      <c r="AI296" s="24"/>
      <c r="AJ296" s="40"/>
      <c r="AK296" s="24"/>
      <c r="AL296" s="24"/>
      <c r="AM296" s="24"/>
      <c r="AN296" s="24"/>
      <c r="AO296" s="24"/>
      <c r="AP296" s="24"/>
      <c r="AQ296" s="24"/>
      <c r="AR296" s="24"/>
    </row>
    <row r="297" spans="1:44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306"/>
      <c r="AH297" s="24"/>
      <c r="AI297" s="24"/>
      <c r="AJ297" s="40"/>
      <c r="AK297" s="24"/>
      <c r="AL297" s="24"/>
      <c r="AM297" s="24"/>
      <c r="AN297" s="24"/>
      <c r="AO297" s="24"/>
      <c r="AP297" s="24"/>
      <c r="AQ297" s="24"/>
      <c r="AR297" s="24"/>
    </row>
    <row r="298" spans="1:44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306"/>
      <c r="AH298" s="24"/>
      <c r="AI298" s="24"/>
      <c r="AJ298" s="40"/>
      <c r="AK298" s="24"/>
      <c r="AL298" s="24"/>
      <c r="AM298" s="24"/>
      <c r="AN298" s="24"/>
      <c r="AO298" s="24"/>
      <c r="AP298" s="24"/>
      <c r="AQ298" s="24"/>
      <c r="AR298" s="24"/>
    </row>
    <row r="299" spans="1:44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306"/>
      <c r="AH299" s="24"/>
      <c r="AI299" s="24"/>
      <c r="AJ299" s="40"/>
      <c r="AK299" s="24"/>
      <c r="AL299" s="24"/>
      <c r="AM299" s="24"/>
      <c r="AN299" s="24"/>
      <c r="AO299" s="24"/>
      <c r="AP299" s="24"/>
      <c r="AQ299" s="24"/>
      <c r="AR299" s="24"/>
    </row>
    <row r="300" spans="1:44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306"/>
      <c r="AH300" s="24"/>
      <c r="AI300" s="24"/>
      <c r="AJ300" s="40"/>
      <c r="AK300" s="24"/>
      <c r="AL300" s="24"/>
      <c r="AM300" s="24"/>
      <c r="AN300" s="24"/>
      <c r="AO300" s="24"/>
      <c r="AP300" s="24"/>
      <c r="AQ300" s="24"/>
      <c r="AR300" s="24"/>
    </row>
    <row r="301" spans="1:44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306"/>
      <c r="AH301" s="24"/>
      <c r="AI301" s="24"/>
      <c r="AJ301" s="40"/>
      <c r="AK301" s="24"/>
      <c r="AL301" s="24"/>
      <c r="AM301" s="24"/>
      <c r="AN301" s="24"/>
      <c r="AO301" s="24"/>
      <c r="AP301" s="24"/>
      <c r="AQ301" s="24"/>
      <c r="AR301" s="24"/>
    </row>
    <row r="302" spans="1:44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306"/>
      <c r="AH302" s="24"/>
      <c r="AI302" s="24"/>
      <c r="AJ302" s="40"/>
      <c r="AK302" s="24"/>
      <c r="AL302" s="24"/>
      <c r="AM302" s="24"/>
      <c r="AN302" s="24"/>
      <c r="AO302" s="24"/>
      <c r="AP302" s="24"/>
      <c r="AQ302" s="24"/>
      <c r="AR302" s="24"/>
    </row>
    <row r="303" spans="1:44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306"/>
      <c r="AH303" s="24"/>
      <c r="AI303" s="24"/>
      <c r="AJ303" s="40"/>
      <c r="AK303" s="24"/>
      <c r="AL303" s="24"/>
      <c r="AM303" s="24"/>
      <c r="AN303" s="24"/>
      <c r="AO303" s="24"/>
      <c r="AP303" s="24"/>
      <c r="AQ303" s="24"/>
      <c r="AR303" s="24"/>
    </row>
    <row r="304" spans="1:4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306"/>
      <c r="AH304" s="24"/>
      <c r="AI304" s="24"/>
      <c r="AJ304" s="40"/>
      <c r="AK304" s="24"/>
      <c r="AL304" s="24"/>
      <c r="AM304" s="24"/>
      <c r="AN304" s="24"/>
      <c r="AO304" s="24"/>
      <c r="AP304" s="24"/>
      <c r="AQ304" s="24"/>
      <c r="AR304" s="24"/>
    </row>
    <row r="305" spans="1:44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306"/>
      <c r="AH305" s="24"/>
      <c r="AI305" s="24"/>
      <c r="AJ305" s="40"/>
      <c r="AK305" s="24"/>
      <c r="AL305" s="24"/>
      <c r="AM305" s="24"/>
      <c r="AN305" s="24"/>
      <c r="AO305" s="24"/>
      <c r="AP305" s="24"/>
      <c r="AQ305" s="24"/>
      <c r="AR305" s="24"/>
    </row>
    <row r="306" spans="1:44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306"/>
      <c r="AH306" s="24"/>
      <c r="AI306" s="24"/>
      <c r="AJ306" s="40"/>
      <c r="AK306" s="24"/>
      <c r="AL306" s="24"/>
      <c r="AM306" s="24"/>
      <c r="AN306" s="24"/>
      <c r="AO306" s="24"/>
      <c r="AP306" s="24"/>
      <c r="AQ306" s="24"/>
      <c r="AR306" s="24"/>
    </row>
    <row r="307" spans="1:44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306"/>
      <c r="AH307" s="24"/>
      <c r="AI307" s="24"/>
      <c r="AJ307" s="40"/>
      <c r="AK307" s="24"/>
      <c r="AL307" s="24"/>
      <c r="AM307" s="24"/>
      <c r="AN307" s="24"/>
      <c r="AO307" s="24"/>
      <c r="AP307" s="24"/>
      <c r="AQ307" s="24"/>
      <c r="AR307" s="24"/>
    </row>
    <row r="308" spans="1:44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306"/>
      <c r="AH308" s="24"/>
      <c r="AI308" s="24"/>
      <c r="AJ308" s="40"/>
      <c r="AK308" s="24"/>
      <c r="AL308" s="24"/>
      <c r="AM308" s="24"/>
      <c r="AN308" s="24"/>
      <c r="AO308" s="24"/>
      <c r="AP308" s="24"/>
      <c r="AQ308" s="24"/>
      <c r="AR308" s="24"/>
    </row>
    <row r="309" spans="1:44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306"/>
      <c r="AH309" s="24"/>
      <c r="AI309" s="24"/>
      <c r="AJ309" s="40"/>
      <c r="AK309" s="24"/>
      <c r="AL309" s="24"/>
      <c r="AM309" s="24"/>
      <c r="AN309" s="24"/>
      <c r="AO309" s="24"/>
      <c r="AP309" s="24"/>
      <c r="AQ309" s="24"/>
      <c r="AR309" s="24"/>
    </row>
    <row r="310" spans="1:44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306"/>
      <c r="AH310" s="24"/>
      <c r="AI310" s="24"/>
      <c r="AJ310" s="40"/>
      <c r="AK310" s="24"/>
      <c r="AL310" s="24"/>
      <c r="AM310" s="24"/>
      <c r="AN310" s="24"/>
      <c r="AO310" s="24"/>
      <c r="AP310" s="24"/>
      <c r="AQ310" s="24"/>
      <c r="AR310" s="24"/>
    </row>
    <row r="311" spans="1:44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306"/>
      <c r="AH311" s="24"/>
      <c r="AI311" s="24"/>
      <c r="AJ311" s="40"/>
      <c r="AK311" s="24"/>
      <c r="AL311" s="24"/>
      <c r="AM311" s="24"/>
      <c r="AN311" s="24"/>
      <c r="AO311" s="24"/>
      <c r="AP311" s="24"/>
      <c r="AQ311" s="24"/>
      <c r="AR311" s="24"/>
    </row>
    <row r="312" spans="1:44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306"/>
      <c r="AH312" s="24"/>
      <c r="AI312" s="24"/>
      <c r="AJ312" s="40"/>
      <c r="AK312" s="24"/>
      <c r="AL312" s="24"/>
      <c r="AM312" s="24"/>
      <c r="AN312" s="24"/>
      <c r="AO312" s="24"/>
      <c r="AP312" s="24"/>
      <c r="AQ312" s="24"/>
      <c r="AR312" s="24"/>
    </row>
    <row r="313" spans="1:44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306"/>
      <c r="AH313" s="24"/>
      <c r="AI313" s="24"/>
      <c r="AJ313" s="40"/>
      <c r="AK313" s="24"/>
      <c r="AL313" s="24"/>
      <c r="AM313" s="24"/>
      <c r="AN313" s="24"/>
      <c r="AO313" s="24"/>
      <c r="AP313" s="24"/>
      <c r="AQ313" s="24"/>
      <c r="AR313" s="24"/>
    </row>
    <row r="314" spans="1:4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306"/>
      <c r="AH314" s="24"/>
      <c r="AI314" s="24"/>
      <c r="AJ314" s="40"/>
      <c r="AK314" s="24"/>
      <c r="AL314" s="24"/>
      <c r="AM314" s="24"/>
      <c r="AN314" s="24"/>
      <c r="AO314" s="24"/>
      <c r="AP314" s="24"/>
      <c r="AQ314" s="24"/>
      <c r="AR314" s="24"/>
    </row>
    <row r="315" spans="1:44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306"/>
      <c r="AH315" s="24"/>
      <c r="AI315" s="24"/>
      <c r="AJ315" s="40"/>
      <c r="AK315" s="24"/>
      <c r="AL315" s="24"/>
      <c r="AM315" s="24"/>
      <c r="AN315" s="24"/>
      <c r="AO315" s="24"/>
      <c r="AP315" s="24"/>
      <c r="AQ315" s="24"/>
      <c r="AR315" s="24"/>
    </row>
    <row r="316" spans="1:44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306"/>
      <c r="AH316" s="24"/>
      <c r="AI316" s="24"/>
      <c r="AJ316" s="40"/>
      <c r="AK316" s="24"/>
      <c r="AL316" s="24"/>
      <c r="AM316" s="24"/>
      <c r="AN316" s="24"/>
      <c r="AO316" s="24"/>
      <c r="AP316" s="24"/>
      <c r="AQ316" s="24"/>
      <c r="AR316" s="24"/>
    </row>
    <row r="317" spans="1:44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306"/>
      <c r="AH317" s="24"/>
      <c r="AI317" s="24"/>
      <c r="AJ317" s="40"/>
      <c r="AK317" s="24"/>
      <c r="AL317" s="24"/>
      <c r="AM317" s="24"/>
      <c r="AN317" s="24"/>
      <c r="AO317" s="24"/>
      <c r="AP317" s="24"/>
      <c r="AQ317" s="24"/>
      <c r="AR317" s="24"/>
    </row>
    <row r="318" spans="1:44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306"/>
      <c r="AH318" s="24"/>
      <c r="AI318" s="24"/>
      <c r="AJ318" s="40"/>
      <c r="AK318" s="24"/>
      <c r="AL318" s="24"/>
      <c r="AM318" s="24"/>
      <c r="AN318" s="24"/>
      <c r="AO318" s="24"/>
      <c r="AP318" s="24"/>
      <c r="AQ318" s="24"/>
      <c r="AR318" s="24"/>
    </row>
    <row r="319" spans="1:44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306"/>
      <c r="AH319" s="24"/>
      <c r="AI319" s="24"/>
      <c r="AJ319" s="40"/>
      <c r="AK319" s="24"/>
      <c r="AL319" s="24"/>
      <c r="AM319" s="24"/>
      <c r="AN319" s="24"/>
      <c r="AO319" s="24"/>
      <c r="AP319" s="24"/>
      <c r="AQ319" s="24"/>
      <c r="AR319" s="24"/>
    </row>
    <row r="320" spans="1:44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306"/>
      <c r="AH320" s="24"/>
      <c r="AI320" s="24"/>
      <c r="AJ320" s="40"/>
      <c r="AK320" s="24"/>
      <c r="AL320" s="24"/>
      <c r="AM320" s="24"/>
      <c r="AN320" s="24"/>
      <c r="AO320" s="24"/>
      <c r="AP320" s="24"/>
      <c r="AQ320" s="24"/>
      <c r="AR320" s="24"/>
    </row>
    <row r="321" spans="1:44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306"/>
      <c r="AH321" s="24"/>
      <c r="AI321" s="24"/>
      <c r="AJ321" s="40"/>
      <c r="AK321" s="24"/>
      <c r="AL321" s="24"/>
      <c r="AM321" s="24"/>
      <c r="AN321" s="24"/>
      <c r="AO321" s="24"/>
      <c r="AP321" s="24"/>
      <c r="AQ321" s="24"/>
      <c r="AR321" s="24"/>
    </row>
    <row r="322" spans="1:44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306"/>
      <c r="AH322" s="24"/>
      <c r="AI322" s="24"/>
      <c r="AJ322" s="40"/>
      <c r="AK322" s="24"/>
      <c r="AL322" s="24"/>
      <c r="AM322" s="24"/>
      <c r="AN322" s="24"/>
      <c r="AO322" s="24"/>
      <c r="AP322" s="24"/>
      <c r="AQ322" s="24"/>
      <c r="AR322" s="24"/>
    </row>
    <row r="323" spans="1:44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306"/>
      <c r="AH323" s="24"/>
      <c r="AI323" s="24"/>
      <c r="AJ323" s="40"/>
      <c r="AK323" s="24"/>
      <c r="AL323" s="24"/>
      <c r="AM323" s="24"/>
      <c r="AN323" s="24"/>
      <c r="AO323" s="24"/>
      <c r="AP323" s="24"/>
      <c r="AQ323" s="24"/>
      <c r="AR323" s="24"/>
    </row>
    <row r="324" spans="1:4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306"/>
      <c r="AH324" s="24"/>
      <c r="AI324" s="24"/>
      <c r="AJ324" s="40"/>
      <c r="AK324" s="24"/>
      <c r="AL324" s="24"/>
      <c r="AM324" s="24"/>
      <c r="AN324" s="24"/>
      <c r="AO324" s="24"/>
      <c r="AP324" s="24"/>
      <c r="AQ324" s="24"/>
      <c r="AR324" s="24"/>
    </row>
    <row r="325" spans="1:44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306"/>
      <c r="AH325" s="24"/>
      <c r="AI325" s="24"/>
      <c r="AJ325" s="40"/>
      <c r="AK325" s="24"/>
      <c r="AL325" s="24"/>
      <c r="AM325" s="24"/>
      <c r="AN325" s="24"/>
      <c r="AO325" s="24"/>
      <c r="AP325" s="24"/>
      <c r="AQ325" s="24"/>
      <c r="AR325" s="24"/>
    </row>
    <row r="326" spans="1:44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306"/>
      <c r="AH326" s="24"/>
      <c r="AI326" s="24"/>
      <c r="AJ326" s="40"/>
      <c r="AK326" s="24"/>
      <c r="AL326" s="24"/>
      <c r="AM326" s="24"/>
      <c r="AN326" s="24"/>
      <c r="AO326" s="24"/>
      <c r="AP326" s="24"/>
      <c r="AQ326" s="24"/>
      <c r="AR326" s="24"/>
    </row>
    <row r="327" spans="1:44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306"/>
      <c r="AH327" s="24"/>
      <c r="AI327" s="24"/>
      <c r="AJ327" s="40"/>
      <c r="AK327" s="24"/>
      <c r="AL327" s="24"/>
      <c r="AM327" s="24"/>
      <c r="AN327" s="24"/>
      <c r="AO327" s="24"/>
      <c r="AP327" s="24"/>
      <c r="AQ327" s="24"/>
      <c r="AR327" s="24"/>
    </row>
    <row r="328" spans="1:44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306"/>
      <c r="AH328" s="24"/>
      <c r="AI328" s="24"/>
      <c r="AJ328" s="40"/>
      <c r="AK328" s="24"/>
      <c r="AL328" s="24"/>
      <c r="AM328" s="24"/>
      <c r="AN328" s="24"/>
      <c r="AO328" s="24"/>
      <c r="AP328" s="24"/>
      <c r="AQ328" s="24"/>
      <c r="AR328" s="24"/>
    </row>
    <row r="329" spans="1:44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306"/>
      <c r="AH329" s="24"/>
      <c r="AI329" s="24"/>
      <c r="AJ329" s="40"/>
      <c r="AK329" s="24"/>
      <c r="AL329" s="24"/>
      <c r="AM329" s="24"/>
      <c r="AN329" s="24"/>
      <c r="AO329" s="24"/>
      <c r="AP329" s="24"/>
      <c r="AQ329" s="24"/>
      <c r="AR329" s="24"/>
    </row>
    <row r="330" spans="1:44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306"/>
      <c r="AH330" s="24"/>
      <c r="AI330" s="24"/>
      <c r="AJ330" s="40"/>
      <c r="AK330" s="24"/>
      <c r="AL330" s="24"/>
      <c r="AM330" s="24"/>
      <c r="AN330" s="24"/>
      <c r="AO330" s="24"/>
      <c r="AP330" s="24"/>
      <c r="AQ330" s="24"/>
      <c r="AR330" s="24"/>
    </row>
    <row r="331" spans="1:44" ht="15.75" customHeight="1">
      <c r="AG331" s="335"/>
    </row>
    <row r="332" spans="1:44" ht="15.75" customHeight="1">
      <c r="AG332" s="335"/>
    </row>
    <row r="333" spans="1:44" ht="15.75" customHeight="1">
      <c r="AG333" s="335"/>
    </row>
    <row r="334" spans="1:44" ht="15.75" customHeight="1">
      <c r="AG334" s="335"/>
    </row>
    <row r="335" spans="1:44" ht="15.75" customHeight="1">
      <c r="AG335" s="335"/>
    </row>
    <row r="336" spans="1:44" ht="15.75" customHeight="1">
      <c r="AG336" s="335"/>
    </row>
    <row r="337" spans="33:33" ht="15.75" customHeight="1">
      <c r="AG337" s="335"/>
    </row>
    <row r="338" spans="33:33" ht="15.75" customHeight="1">
      <c r="AG338" s="335"/>
    </row>
    <row r="339" spans="33:33" ht="15.75" customHeight="1">
      <c r="AG339" s="335"/>
    </row>
    <row r="340" spans="33:33" ht="15.75" customHeight="1">
      <c r="AG340" s="335"/>
    </row>
    <row r="341" spans="33:33" ht="15.75" customHeight="1">
      <c r="AG341" s="335"/>
    </row>
    <row r="342" spans="33:33" ht="15.75" customHeight="1">
      <c r="AG342" s="335"/>
    </row>
    <row r="343" spans="33:33" ht="15.75" customHeight="1">
      <c r="AG343" s="335"/>
    </row>
    <row r="344" spans="33:33" ht="15.75" customHeight="1">
      <c r="AG344" s="335"/>
    </row>
    <row r="345" spans="33:33" ht="15.75" customHeight="1">
      <c r="AG345" s="335"/>
    </row>
    <row r="346" spans="33:33" ht="15.75" customHeight="1">
      <c r="AG346" s="335"/>
    </row>
    <row r="347" spans="33:33" ht="15.75" customHeight="1">
      <c r="AG347" s="335"/>
    </row>
    <row r="348" spans="33:33" ht="15.75" customHeight="1">
      <c r="AG348" s="335"/>
    </row>
    <row r="349" spans="33:33" ht="15.75" customHeight="1">
      <c r="AG349" s="335"/>
    </row>
    <row r="350" spans="33:33" ht="15.75" customHeight="1">
      <c r="AG350" s="335"/>
    </row>
    <row r="351" spans="33:33" ht="15.75" customHeight="1">
      <c r="AG351" s="335"/>
    </row>
    <row r="352" spans="33:33" ht="15.75" customHeight="1">
      <c r="AG352" s="335"/>
    </row>
    <row r="353" spans="33:33" ht="15.75" customHeight="1">
      <c r="AG353" s="335"/>
    </row>
    <row r="354" spans="33:33" ht="15.75" customHeight="1">
      <c r="AG354" s="335"/>
    </row>
    <row r="355" spans="33:33" ht="15.75" customHeight="1">
      <c r="AG355" s="335"/>
    </row>
    <row r="356" spans="33:33" ht="15.75" customHeight="1">
      <c r="AG356" s="335"/>
    </row>
    <row r="357" spans="33:33" ht="15.75" customHeight="1">
      <c r="AG357" s="335"/>
    </row>
    <row r="358" spans="33:33" ht="15.75" customHeight="1">
      <c r="AG358" s="335"/>
    </row>
    <row r="359" spans="33:33" ht="15.75" customHeight="1">
      <c r="AG359" s="335"/>
    </row>
    <row r="360" spans="33:33" ht="15.75" customHeight="1">
      <c r="AG360" s="335"/>
    </row>
    <row r="361" spans="33:33" ht="15.75" customHeight="1">
      <c r="AG361" s="335"/>
    </row>
    <row r="362" spans="33:33" ht="15.75" customHeight="1">
      <c r="AG362" s="335"/>
    </row>
    <row r="363" spans="33:33" ht="15.75" customHeight="1">
      <c r="AG363" s="335"/>
    </row>
    <row r="364" spans="33:33" ht="15.75" customHeight="1">
      <c r="AG364" s="335"/>
    </row>
    <row r="365" spans="33:33" ht="15.75" customHeight="1">
      <c r="AG365" s="335"/>
    </row>
    <row r="366" spans="33:33" ht="15.75" customHeight="1">
      <c r="AG366" s="335"/>
    </row>
    <row r="367" spans="33:33" ht="15.75" customHeight="1">
      <c r="AG367" s="335"/>
    </row>
    <row r="368" spans="33:33" ht="15.75" customHeight="1">
      <c r="AG368" s="335"/>
    </row>
    <row r="369" spans="33:33" ht="15.75" customHeight="1">
      <c r="AG369" s="335"/>
    </row>
    <row r="370" spans="33:33" ht="15.75" customHeight="1">
      <c r="AG370" s="335"/>
    </row>
    <row r="371" spans="33:33" ht="15.75" customHeight="1">
      <c r="AG371" s="335"/>
    </row>
    <row r="372" spans="33:33" ht="15.75" customHeight="1">
      <c r="AG372" s="335"/>
    </row>
    <row r="373" spans="33:33" ht="15.75" customHeight="1">
      <c r="AG373" s="335"/>
    </row>
    <row r="374" spans="33:33" ht="15.75" customHeight="1">
      <c r="AG374" s="335"/>
    </row>
    <row r="375" spans="33:33" ht="15.75" customHeight="1">
      <c r="AG375" s="335"/>
    </row>
    <row r="376" spans="33:33" ht="15.75" customHeight="1">
      <c r="AG376" s="335"/>
    </row>
    <row r="377" spans="33:33" ht="15.75" customHeight="1">
      <c r="AG377" s="335"/>
    </row>
    <row r="378" spans="33:33" ht="15.75" customHeight="1">
      <c r="AG378" s="335"/>
    </row>
    <row r="379" spans="33:33" ht="15.75" customHeight="1">
      <c r="AG379" s="335"/>
    </row>
    <row r="380" spans="33:33" ht="15.75" customHeight="1">
      <c r="AG380" s="335"/>
    </row>
    <row r="381" spans="33:33" ht="15.75" customHeight="1">
      <c r="AG381" s="335"/>
    </row>
    <row r="382" spans="33:33" ht="15.75" customHeight="1">
      <c r="AG382" s="335"/>
    </row>
    <row r="383" spans="33:33" ht="15.75" customHeight="1">
      <c r="AG383" s="335"/>
    </row>
    <row r="384" spans="33:33" ht="15.75" customHeight="1">
      <c r="AG384" s="335"/>
    </row>
    <row r="385" spans="33:33" ht="15.75" customHeight="1">
      <c r="AG385" s="335"/>
    </row>
    <row r="386" spans="33:33" ht="15.75" customHeight="1">
      <c r="AG386" s="335"/>
    </row>
    <row r="387" spans="33:33" ht="15.75" customHeight="1">
      <c r="AG387" s="335"/>
    </row>
    <row r="388" spans="33:33" ht="15.75" customHeight="1">
      <c r="AG388" s="335"/>
    </row>
    <row r="389" spans="33:33" ht="15.75" customHeight="1">
      <c r="AG389" s="335"/>
    </row>
    <row r="390" spans="33:33" ht="15.75" customHeight="1">
      <c r="AG390" s="335"/>
    </row>
    <row r="391" spans="33:33" ht="15.75" customHeight="1">
      <c r="AG391" s="335"/>
    </row>
    <row r="392" spans="33:33" ht="15.75" customHeight="1">
      <c r="AG392" s="335"/>
    </row>
    <row r="393" spans="33:33" ht="15.75" customHeight="1">
      <c r="AG393" s="335"/>
    </row>
    <row r="394" spans="33:33" ht="15.75" customHeight="1">
      <c r="AG394" s="335"/>
    </row>
    <row r="395" spans="33:33" ht="15.75" customHeight="1">
      <c r="AG395" s="335"/>
    </row>
    <row r="396" spans="33:33" ht="15.75" customHeight="1">
      <c r="AG396" s="335"/>
    </row>
    <row r="397" spans="33:33" ht="15.75" customHeight="1">
      <c r="AG397" s="335"/>
    </row>
    <row r="398" spans="33:33" ht="15.75" customHeight="1">
      <c r="AG398" s="335"/>
    </row>
    <row r="399" spans="33:33" ht="15.75" customHeight="1">
      <c r="AG399" s="335"/>
    </row>
    <row r="400" spans="33:33" ht="15.75" customHeight="1">
      <c r="AG400" s="335"/>
    </row>
    <row r="401" spans="33:33" ht="15.75" customHeight="1">
      <c r="AG401" s="335"/>
    </row>
    <row r="402" spans="33:33" ht="15.75" customHeight="1">
      <c r="AG402" s="335"/>
    </row>
    <row r="403" spans="33:33" ht="15.75" customHeight="1">
      <c r="AG403" s="335"/>
    </row>
    <row r="404" spans="33:33" ht="15.75" customHeight="1">
      <c r="AG404" s="335"/>
    </row>
    <row r="405" spans="33:33" ht="15.75" customHeight="1">
      <c r="AG405" s="335"/>
    </row>
    <row r="406" spans="33:33" ht="15.75" customHeight="1">
      <c r="AG406" s="335"/>
    </row>
    <row r="407" spans="33:33" ht="15.75" customHeight="1">
      <c r="AG407" s="335"/>
    </row>
    <row r="408" spans="33:33" ht="15.75" customHeight="1">
      <c r="AG408" s="335"/>
    </row>
    <row r="409" spans="33:33" ht="15.75" customHeight="1">
      <c r="AG409" s="335"/>
    </row>
    <row r="410" spans="33:33" ht="15.75" customHeight="1">
      <c r="AG410" s="335"/>
    </row>
    <row r="411" spans="33:33" ht="15.75" customHeight="1">
      <c r="AG411" s="335"/>
    </row>
    <row r="412" spans="33:33" ht="15.75" customHeight="1">
      <c r="AG412" s="335"/>
    </row>
    <row r="413" spans="33:33" ht="15.75" customHeight="1">
      <c r="AG413" s="335"/>
    </row>
    <row r="414" spans="33:33" ht="15.75" customHeight="1">
      <c r="AG414" s="335"/>
    </row>
    <row r="415" spans="33:33" ht="15.75" customHeight="1">
      <c r="AG415" s="335"/>
    </row>
    <row r="416" spans="33:33" ht="15.75" customHeight="1">
      <c r="AG416" s="335"/>
    </row>
    <row r="417" spans="33:33" ht="15.75" customHeight="1">
      <c r="AG417" s="335"/>
    </row>
    <row r="418" spans="33:33" ht="15.75" customHeight="1">
      <c r="AG418" s="335"/>
    </row>
    <row r="419" spans="33:33" ht="15.75" customHeight="1">
      <c r="AG419" s="335"/>
    </row>
    <row r="420" spans="33:33" ht="15.75" customHeight="1">
      <c r="AG420" s="335"/>
    </row>
    <row r="421" spans="33:33" ht="15.75" customHeight="1">
      <c r="AG421" s="335"/>
    </row>
    <row r="422" spans="33:33" ht="15.75" customHeight="1">
      <c r="AG422" s="335"/>
    </row>
    <row r="423" spans="33:33" ht="15.75" customHeight="1">
      <c r="AG423" s="335"/>
    </row>
    <row r="424" spans="33:33" ht="15.75" customHeight="1">
      <c r="AG424" s="335"/>
    </row>
    <row r="425" spans="33:33" ht="15.75" customHeight="1">
      <c r="AG425" s="335"/>
    </row>
    <row r="426" spans="33:33" ht="15.75" customHeight="1">
      <c r="AG426" s="335"/>
    </row>
    <row r="427" spans="33:33" ht="15.75" customHeight="1">
      <c r="AG427" s="335"/>
    </row>
    <row r="428" spans="33:33" ht="15.75" customHeight="1">
      <c r="AG428" s="335"/>
    </row>
    <row r="429" spans="33:33" ht="15.75" customHeight="1">
      <c r="AG429" s="335"/>
    </row>
    <row r="430" spans="33:33" ht="15.75" customHeight="1">
      <c r="AG430" s="335"/>
    </row>
    <row r="431" spans="33:33" ht="15.75" customHeight="1">
      <c r="AG431" s="335"/>
    </row>
    <row r="432" spans="33:33" ht="15.75" customHeight="1">
      <c r="AG432" s="335"/>
    </row>
    <row r="433" spans="33:33" ht="15.75" customHeight="1">
      <c r="AG433" s="335"/>
    </row>
    <row r="434" spans="33:33" ht="15.75" customHeight="1">
      <c r="AG434" s="335"/>
    </row>
    <row r="435" spans="33:33" ht="15.75" customHeight="1">
      <c r="AG435" s="335"/>
    </row>
    <row r="436" spans="33:33" ht="15.75" customHeight="1">
      <c r="AG436" s="335"/>
    </row>
    <row r="437" spans="33:33" ht="15.75" customHeight="1">
      <c r="AG437" s="335"/>
    </row>
    <row r="438" spans="33:33" ht="15.75" customHeight="1">
      <c r="AG438" s="335"/>
    </row>
    <row r="439" spans="33:33" ht="15.75" customHeight="1">
      <c r="AG439" s="335"/>
    </row>
    <row r="440" spans="33:33" ht="15.75" customHeight="1">
      <c r="AG440" s="335"/>
    </row>
    <row r="441" spans="33:33" ht="15.75" customHeight="1">
      <c r="AG441" s="335"/>
    </row>
    <row r="442" spans="33:33" ht="15.75" customHeight="1">
      <c r="AG442" s="335"/>
    </row>
    <row r="443" spans="33:33" ht="15.75" customHeight="1">
      <c r="AG443" s="335"/>
    </row>
    <row r="444" spans="33:33" ht="15.75" customHeight="1">
      <c r="AG444" s="335"/>
    </row>
    <row r="445" spans="33:33" ht="15.75" customHeight="1">
      <c r="AG445" s="335"/>
    </row>
    <row r="446" spans="33:33" ht="15.75" customHeight="1">
      <c r="AG446" s="335"/>
    </row>
    <row r="447" spans="33:33" ht="15.75" customHeight="1">
      <c r="AG447" s="335"/>
    </row>
    <row r="448" spans="33:33" ht="15.75" customHeight="1">
      <c r="AG448" s="335"/>
    </row>
    <row r="449" spans="33:33" ht="15.75" customHeight="1">
      <c r="AG449" s="335"/>
    </row>
    <row r="450" spans="33:33" ht="15.75" customHeight="1">
      <c r="AG450" s="335"/>
    </row>
    <row r="451" spans="33:33" ht="15.75" customHeight="1">
      <c r="AG451" s="335"/>
    </row>
    <row r="452" spans="33:33" ht="15.75" customHeight="1">
      <c r="AG452" s="335"/>
    </row>
    <row r="453" spans="33:33" ht="15.75" customHeight="1">
      <c r="AG453" s="335"/>
    </row>
    <row r="454" spans="33:33" ht="15.75" customHeight="1">
      <c r="AG454" s="335"/>
    </row>
    <row r="455" spans="33:33" ht="15.75" customHeight="1">
      <c r="AG455" s="335"/>
    </row>
    <row r="456" spans="33:33" ht="15.75" customHeight="1">
      <c r="AG456" s="335"/>
    </row>
    <row r="457" spans="33:33" ht="15.75" customHeight="1">
      <c r="AG457" s="335"/>
    </row>
    <row r="458" spans="33:33" ht="15.75" customHeight="1">
      <c r="AG458" s="335"/>
    </row>
    <row r="459" spans="33:33" ht="15.75" customHeight="1">
      <c r="AG459" s="335"/>
    </row>
    <row r="460" spans="33:33" ht="15.75" customHeight="1">
      <c r="AG460" s="335"/>
    </row>
    <row r="461" spans="33:33" ht="15.75" customHeight="1">
      <c r="AG461" s="335"/>
    </row>
    <row r="462" spans="33:33" ht="15.75" customHeight="1">
      <c r="AG462" s="335"/>
    </row>
    <row r="463" spans="33:33" ht="15.75" customHeight="1">
      <c r="AG463" s="335"/>
    </row>
    <row r="464" spans="33:33" ht="15.75" customHeight="1">
      <c r="AG464" s="335"/>
    </row>
    <row r="465" spans="33:33" ht="15.75" customHeight="1">
      <c r="AG465" s="335"/>
    </row>
    <row r="466" spans="33:33" ht="15.75" customHeight="1">
      <c r="AG466" s="335"/>
    </row>
    <row r="467" spans="33:33" ht="15.75" customHeight="1">
      <c r="AG467" s="335"/>
    </row>
    <row r="468" spans="33:33" ht="15.75" customHeight="1">
      <c r="AG468" s="335"/>
    </row>
    <row r="469" spans="33:33" ht="15.75" customHeight="1">
      <c r="AG469" s="335"/>
    </row>
    <row r="470" spans="33:33" ht="15.75" customHeight="1">
      <c r="AG470" s="335"/>
    </row>
    <row r="471" spans="33:33" ht="15.75" customHeight="1">
      <c r="AG471" s="335"/>
    </row>
    <row r="472" spans="33:33" ht="15.75" customHeight="1">
      <c r="AG472" s="335"/>
    </row>
    <row r="473" spans="33:33" ht="15.75" customHeight="1">
      <c r="AG473" s="335"/>
    </row>
    <row r="474" spans="33:33" ht="15.75" customHeight="1">
      <c r="AG474" s="335"/>
    </row>
    <row r="475" spans="33:33" ht="15.75" customHeight="1">
      <c r="AG475" s="335"/>
    </row>
    <row r="476" spans="33:33" ht="15.75" customHeight="1">
      <c r="AG476" s="335"/>
    </row>
    <row r="477" spans="33:33" ht="15.75" customHeight="1">
      <c r="AG477" s="335"/>
    </row>
    <row r="478" spans="33:33" ht="15.75" customHeight="1">
      <c r="AG478" s="335"/>
    </row>
    <row r="479" spans="33:33" ht="15.75" customHeight="1">
      <c r="AG479" s="335"/>
    </row>
    <row r="480" spans="33:33" ht="15.75" customHeight="1">
      <c r="AG480" s="335"/>
    </row>
    <row r="481" spans="33:33" ht="15.75" customHeight="1">
      <c r="AG481" s="335"/>
    </row>
    <row r="482" spans="33:33" ht="15.75" customHeight="1">
      <c r="AG482" s="335"/>
    </row>
    <row r="483" spans="33:33" ht="15.75" customHeight="1">
      <c r="AG483" s="335"/>
    </row>
    <row r="484" spans="33:33" ht="15.75" customHeight="1">
      <c r="AG484" s="335"/>
    </row>
    <row r="485" spans="33:33" ht="15.75" customHeight="1">
      <c r="AG485" s="335"/>
    </row>
    <row r="486" spans="33:33" ht="15.75" customHeight="1">
      <c r="AG486" s="335"/>
    </row>
    <row r="487" spans="33:33" ht="15.75" customHeight="1">
      <c r="AG487" s="335"/>
    </row>
    <row r="488" spans="33:33" ht="15.75" customHeight="1">
      <c r="AG488" s="335"/>
    </row>
    <row r="489" spans="33:33" ht="15.75" customHeight="1">
      <c r="AG489" s="335"/>
    </row>
    <row r="490" spans="33:33" ht="15.75" customHeight="1">
      <c r="AG490" s="335"/>
    </row>
    <row r="491" spans="33:33" ht="15.75" customHeight="1">
      <c r="AG491" s="335"/>
    </row>
    <row r="492" spans="33:33" ht="15.75" customHeight="1">
      <c r="AG492" s="335"/>
    </row>
    <row r="493" spans="33:33" ht="15.75" customHeight="1">
      <c r="AG493" s="335"/>
    </row>
    <row r="494" spans="33:33" ht="15.75" customHeight="1">
      <c r="AG494" s="335"/>
    </row>
    <row r="495" spans="33:33" ht="15.75" customHeight="1">
      <c r="AG495" s="335"/>
    </row>
    <row r="496" spans="33:33" ht="15.75" customHeight="1">
      <c r="AG496" s="335"/>
    </row>
    <row r="497" spans="33:33" ht="15.75" customHeight="1">
      <c r="AG497" s="335"/>
    </row>
    <row r="498" spans="33:33" ht="15.75" customHeight="1">
      <c r="AG498" s="335"/>
    </row>
    <row r="499" spans="33:33" ht="15.75" customHeight="1">
      <c r="AG499" s="335"/>
    </row>
    <row r="500" spans="33:33" ht="15.75" customHeight="1">
      <c r="AG500" s="335"/>
    </row>
    <row r="501" spans="33:33" ht="15.75" customHeight="1">
      <c r="AG501" s="335"/>
    </row>
    <row r="502" spans="33:33" ht="15.75" customHeight="1">
      <c r="AG502" s="335"/>
    </row>
    <row r="503" spans="33:33" ht="15.75" customHeight="1">
      <c r="AG503" s="335"/>
    </row>
    <row r="504" spans="33:33" ht="15.75" customHeight="1">
      <c r="AG504" s="335"/>
    </row>
    <row r="505" spans="33:33" ht="15.75" customHeight="1">
      <c r="AG505" s="335"/>
    </row>
    <row r="506" spans="33:33" ht="15.75" customHeight="1">
      <c r="AG506" s="335"/>
    </row>
    <row r="507" spans="33:33" ht="15.75" customHeight="1">
      <c r="AG507" s="335"/>
    </row>
    <row r="508" spans="33:33" ht="15.75" customHeight="1">
      <c r="AG508" s="335"/>
    </row>
    <row r="509" spans="33:33" ht="15.75" customHeight="1">
      <c r="AG509" s="335"/>
    </row>
    <row r="510" spans="33:33" ht="15.75" customHeight="1">
      <c r="AG510" s="335"/>
    </row>
    <row r="511" spans="33:33" ht="15.75" customHeight="1">
      <c r="AG511" s="335"/>
    </row>
    <row r="512" spans="33:33" ht="15.75" customHeight="1">
      <c r="AG512" s="335"/>
    </row>
    <row r="513" spans="33:33" ht="15.75" customHeight="1">
      <c r="AG513" s="335"/>
    </row>
    <row r="514" spans="33:33" ht="15.75" customHeight="1">
      <c r="AG514" s="335"/>
    </row>
    <row r="515" spans="33:33" ht="15.75" customHeight="1">
      <c r="AG515" s="335"/>
    </row>
    <row r="516" spans="33:33" ht="15.75" customHeight="1">
      <c r="AG516" s="335"/>
    </row>
    <row r="517" spans="33:33" ht="15.75" customHeight="1">
      <c r="AG517" s="335"/>
    </row>
    <row r="518" spans="33:33" ht="15.75" customHeight="1">
      <c r="AG518" s="335"/>
    </row>
    <row r="519" spans="33:33" ht="15.75" customHeight="1">
      <c r="AG519" s="335"/>
    </row>
    <row r="520" spans="33:33" ht="15.75" customHeight="1">
      <c r="AG520" s="335"/>
    </row>
    <row r="521" spans="33:33" ht="15.75" customHeight="1">
      <c r="AG521" s="335"/>
    </row>
    <row r="522" spans="33:33" ht="15.75" customHeight="1">
      <c r="AG522" s="335"/>
    </row>
    <row r="523" spans="33:33" ht="15.75" customHeight="1">
      <c r="AG523" s="335"/>
    </row>
    <row r="524" spans="33:33" ht="15.75" customHeight="1">
      <c r="AG524" s="335"/>
    </row>
    <row r="525" spans="33:33" ht="15.75" customHeight="1">
      <c r="AG525" s="335"/>
    </row>
    <row r="526" spans="33:33" ht="15.75" customHeight="1">
      <c r="AG526" s="335"/>
    </row>
    <row r="527" spans="33:33" ht="15.75" customHeight="1">
      <c r="AG527" s="335"/>
    </row>
    <row r="528" spans="33:33" ht="15.75" customHeight="1">
      <c r="AG528" s="335"/>
    </row>
    <row r="529" spans="33:33" ht="15.75" customHeight="1">
      <c r="AG529" s="335"/>
    </row>
    <row r="530" spans="33:33" ht="15.75" customHeight="1">
      <c r="AG530" s="335"/>
    </row>
    <row r="531" spans="33:33" ht="15.75" customHeight="1">
      <c r="AG531" s="335"/>
    </row>
    <row r="532" spans="33:33" ht="15.75" customHeight="1">
      <c r="AG532" s="335"/>
    </row>
    <row r="533" spans="33:33" ht="15.75" customHeight="1">
      <c r="AG533" s="335"/>
    </row>
    <row r="534" spans="33:33" ht="15.75" customHeight="1">
      <c r="AG534" s="335"/>
    </row>
    <row r="535" spans="33:33" ht="15.75" customHeight="1">
      <c r="AG535" s="335"/>
    </row>
    <row r="536" spans="33:33" ht="15.75" customHeight="1">
      <c r="AG536" s="335"/>
    </row>
    <row r="537" spans="33:33" ht="15.75" customHeight="1">
      <c r="AG537" s="335"/>
    </row>
    <row r="538" spans="33:33" ht="15.75" customHeight="1">
      <c r="AG538" s="335"/>
    </row>
    <row r="539" spans="33:33" ht="15.75" customHeight="1">
      <c r="AG539" s="335"/>
    </row>
    <row r="540" spans="33:33" ht="15.75" customHeight="1">
      <c r="AG540" s="335"/>
    </row>
    <row r="541" spans="33:33" ht="15.75" customHeight="1">
      <c r="AG541" s="335"/>
    </row>
    <row r="542" spans="33:33" ht="15.75" customHeight="1">
      <c r="AG542" s="335"/>
    </row>
    <row r="543" spans="33:33" ht="15.75" customHeight="1">
      <c r="AG543" s="335"/>
    </row>
    <row r="544" spans="33:33" ht="15.75" customHeight="1">
      <c r="AG544" s="335"/>
    </row>
    <row r="545" spans="33:33" ht="15.75" customHeight="1">
      <c r="AG545" s="335"/>
    </row>
    <row r="546" spans="33:33" ht="15.75" customHeight="1">
      <c r="AG546" s="335"/>
    </row>
    <row r="547" spans="33:33" ht="15.75" customHeight="1">
      <c r="AG547" s="335"/>
    </row>
    <row r="548" spans="33:33" ht="15.75" customHeight="1">
      <c r="AG548" s="335"/>
    </row>
    <row r="549" spans="33:33" ht="15.75" customHeight="1">
      <c r="AG549" s="335"/>
    </row>
    <row r="550" spans="33:33" ht="15.75" customHeight="1">
      <c r="AG550" s="335"/>
    </row>
    <row r="551" spans="33:33" ht="15.75" customHeight="1">
      <c r="AG551" s="335"/>
    </row>
    <row r="552" spans="33:33" ht="15.75" customHeight="1">
      <c r="AG552" s="335"/>
    </row>
    <row r="553" spans="33:33" ht="15.75" customHeight="1">
      <c r="AG553" s="335"/>
    </row>
    <row r="554" spans="33:33" ht="15.75" customHeight="1">
      <c r="AG554" s="335"/>
    </row>
    <row r="555" spans="33:33" ht="15.75" customHeight="1">
      <c r="AG555" s="335"/>
    </row>
    <row r="556" spans="33:33" ht="15.75" customHeight="1">
      <c r="AG556" s="335"/>
    </row>
    <row r="557" spans="33:33" ht="15.75" customHeight="1">
      <c r="AG557" s="335"/>
    </row>
    <row r="558" spans="33:33" ht="15.75" customHeight="1">
      <c r="AG558" s="335"/>
    </row>
    <row r="559" spans="33:33" ht="15.75" customHeight="1">
      <c r="AG559" s="335"/>
    </row>
    <row r="560" spans="33:33" ht="15.75" customHeight="1">
      <c r="AG560" s="335"/>
    </row>
    <row r="561" spans="33:33" ht="15.75" customHeight="1">
      <c r="AG561" s="335"/>
    </row>
    <row r="562" spans="33:33" ht="15.75" customHeight="1">
      <c r="AG562" s="335"/>
    </row>
    <row r="563" spans="33:33" ht="15.75" customHeight="1">
      <c r="AG563" s="335"/>
    </row>
    <row r="564" spans="33:33" ht="15.75" customHeight="1">
      <c r="AG564" s="335"/>
    </row>
    <row r="565" spans="33:33" ht="15.75" customHeight="1">
      <c r="AG565" s="335"/>
    </row>
    <row r="566" spans="33:33" ht="15.75" customHeight="1">
      <c r="AG566" s="335"/>
    </row>
    <row r="567" spans="33:33" ht="15.75" customHeight="1">
      <c r="AG567" s="335"/>
    </row>
    <row r="568" spans="33:33" ht="15.75" customHeight="1">
      <c r="AG568" s="335"/>
    </row>
    <row r="569" spans="33:33" ht="15.75" customHeight="1">
      <c r="AG569" s="335"/>
    </row>
    <row r="570" spans="33:33" ht="15.75" customHeight="1">
      <c r="AG570" s="335"/>
    </row>
    <row r="571" spans="33:33" ht="15.75" customHeight="1">
      <c r="AG571" s="335"/>
    </row>
    <row r="572" spans="33:33" ht="15.75" customHeight="1">
      <c r="AG572" s="335"/>
    </row>
    <row r="573" spans="33:33" ht="15.75" customHeight="1">
      <c r="AG573" s="335"/>
    </row>
    <row r="574" spans="33:33" ht="15.75" customHeight="1">
      <c r="AG574" s="335"/>
    </row>
    <row r="575" spans="33:33" ht="15.75" customHeight="1">
      <c r="AG575" s="335"/>
    </row>
    <row r="576" spans="33:33" ht="15.75" customHeight="1">
      <c r="AG576" s="335"/>
    </row>
    <row r="577" spans="33:33" ht="15.75" customHeight="1">
      <c r="AG577" s="335"/>
    </row>
    <row r="578" spans="33:33" ht="15.75" customHeight="1">
      <c r="AG578" s="335"/>
    </row>
    <row r="579" spans="33:33" ht="15.75" customHeight="1">
      <c r="AG579" s="335"/>
    </row>
    <row r="580" spans="33:33" ht="15.75" customHeight="1">
      <c r="AG580" s="335"/>
    </row>
    <row r="581" spans="33:33" ht="15.75" customHeight="1">
      <c r="AG581" s="335"/>
    </row>
    <row r="582" spans="33:33" ht="15.75" customHeight="1">
      <c r="AG582" s="335"/>
    </row>
    <row r="583" spans="33:33" ht="15.75" customHeight="1">
      <c r="AG583" s="335"/>
    </row>
    <row r="584" spans="33:33" ht="15.75" customHeight="1">
      <c r="AG584" s="335"/>
    </row>
    <row r="585" spans="33:33" ht="15.75" customHeight="1">
      <c r="AG585" s="335"/>
    </row>
    <row r="586" spans="33:33" ht="15.75" customHeight="1">
      <c r="AG586" s="335"/>
    </row>
    <row r="587" spans="33:33" ht="15.75" customHeight="1">
      <c r="AG587" s="335"/>
    </row>
    <row r="588" spans="33:33" ht="15.75" customHeight="1">
      <c r="AG588" s="335"/>
    </row>
    <row r="589" spans="33:33" ht="15.75" customHeight="1">
      <c r="AG589" s="335"/>
    </row>
    <row r="590" spans="33:33" ht="15.75" customHeight="1">
      <c r="AG590" s="335"/>
    </row>
    <row r="591" spans="33:33" ht="15.75" customHeight="1">
      <c r="AG591" s="335"/>
    </row>
    <row r="592" spans="33:33" ht="15.75" customHeight="1">
      <c r="AG592" s="335"/>
    </row>
    <row r="593" spans="33:33" ht="15.75" customHeight="1">
      <c r="AG593" s="335"/>
    </row>
    <row r="594" spans="33:33" ht="15.75" customHeight="1">
      <c r="AG594" s="335"/>
    </row>
    <row r="595" spans="33:33" ht="15.75" customHeight="1">
      <c r="AG595" s="335"/>
    </row>
    <row r="596" spans="33:33" ht="15.75" customHeight="1">
      <c r="AG596" s="335"/>
    </row>
    <row r="597" spans="33:33" ht="15.75" customHeight="1">
      <c r="AG597" s="335"/>
    </row>
    <row r="598" spans="33:33" ht="15.75" customHeight="1">
      <c r="AG598" s="335"/>
    </row>
    <row r="599" spans="33:33" ht="15.75" customHeight="1">
      <c r="AG599" s="335"/>
    </row>
    <row r="600" spans="33:33" ht="15.75" customHeight="1">
      <c r="AG600" s="335"/>
    </row>
    <row r="601" spans="33:33" ht="15.75" customHeight="1">
      <c r="AG601" s="335"/>
    </row>
    <row r="602" spans="33:33" ht="15.75" customHeight="1">
      <c r="AG602" s="335"/>
    </row>
    <row r="603" spans="33:33" ht="15.75" customHeight="1">
      <c r="AG603" s="335"/>
    </row>
    <row r="604" spans="33:33" ht="15.75" customHeight="1">
      <c r="AG604" s="335"/>
    </row>
    <row r="605" spans="33:33" ht="15.75" customHeight="1">
      <c r="AG605" s="335"/>
    </row>
    <row r="606" spans="33:33" ht="15.75" customHeight="1">
      <c r="AG606" s="335"/>
    </row>
    <row r="607" spans="33:33" ht="15.75" customHeight="1">
      <c r="AG607" s="335"/>
    </row>
    <row r="608" spans="33:33" ht="15.75" customHeight="1">
      <c r="AG608" s="335"/>
    </row>
    <row r="609" spans="33:33" ht="15.75" customHeight="1">
      <c r="AG609" s="335"/>
    </row>
    <row r="610" spans="33:33" ht="15.75" customHeight="1">
      <c r="AG610" s="335"/>
    </row>
    <row r="611" spans="33:33" ht="15.75" customHeight="1">
      <c r="AG611" s="335"/>
    </row>
    <row r="612" spans="33:33" ht="15.75" customHeight="1">
      <c r="AG612" s="335"/>
    </row>
    <row r="613" spans="33:33" ht="15.75" customHeight="1">
      <c r="AG613" s="335"/>
    </row>
    <row r="614" spans="33:33" ht="15.75" customHeight="1">
      <c r="AG614" s="335"/>
    </row>
    <row r="615" spans="33:33" ht="15.75" customHeight="1">
      <c r="AG615" s="335"/>
    </row>
    <row r="616" spans="33:33" ht="15.75" customHeight="1">
      <c r="AG616" s="335"/>
    </row>
    <row r="617" spans="33:33" ht="15.75" customHeight="1">
      <c r="AG617" s="335"/>
    </row>
    <row r="618" spans="33:33" ht="15.75" customHeight="1">
      <c r="AG618" s="335"/>
    </row>
    <row r="619" spans="33:33" ht="15.75" customHeight="1">
      <c r="AG619" s="335"/>
    </row>
    <row r="620" spans="33:33" ht="15.75" customHeight="1">
      <c r="AG620" s="335"/>
    </row>
    <row r="621" spans="33:33" ht="15.75" customHeight="1">
      <c r="AG621" s="335"/>
    </row>
    <row r="622" spans="33:33" ht="15.75" customHeight="1">
      <c r="AG622" s="335"/>
    </row>
    <row r="623" spans="33:33" ht="15.75" customHeight="1">
      <c r="AG623" s="335"/>
    </row>
    <row r="624" spans="33:33" ht="15.75" customHeight="1">
      <c r="AG624" s="335"/>
    </row>
    <row r="625" spans="33:33" ht="15.75" customHeight="1">
      <c r="AG625" s="335"/>
    </row>
    <row r="626" spans="33:33" ht="15.75" customHeight="1">
      <c r="AG626" s="335"/>
    </row>
    <row r="627" spans="33:33" ht="15.75" customHeight="1">
      <c r="AG627" s="335"/>
    </row>
    <row r="628" spans="33:33" ht="15.75" customHeight="1">
      <c r="AG628" s="335"/>
    </row>
    <row r="629" spans="33:33" ht="15.75" customHeight="1">
      <c r="AG629" s="335"/>
    </row>
    <row r="630" spans="33:33" ht="15.75" customHeight="1">
      <c r="AG630" s="335"/>
    </row>
    <row r="631" spans="33:33" ht="15.75" customHeight="1">
      <c r="AG631" s="335"/>
    </row>
    <row r="632" spans="33:33" ht="15.75" customHeight="1">
      <c r="AG632" s="335"/>
    </row>
    <row r="633" spans="33:33" ht="15.75" customHeight="1">
      <c r="AG633" s="335"/>
    </row>
    <row r="634" spans="33:33" ht="15.75" customHeight="1">
      <c r="AG634" s="335"/>
    </row>
    <row r="635" spans="33:33" ht="15.75" customHeight="1">
      <c r="AG635" s="335"/>
    </row>
    <row r="636" spans="33:33" ht="15.75" customHeight="1">
      <c r="AG636" s="335"/>
    </row>
    <row r="637" spans="33:33" ht="15.75" customHeight="1">
      <c r="AG637" s="335"/>
    </row>
    <row r="638" spans="33:33" ht="15.75" customHeight="1">
      <c r="AG638" s="335"/>
    </row>
    <row r="639" spans="33:33" ht="15.75" customHeight="1">
      <c r="AG639" s="335"/>
    </row>
    <row r="640" spans="33:33" ht="15.75" customHeight="1">
      <c r="AG640" s="335"/>
    </row>
    <row r="641" spans="33:33" ht="15.75" customHeight="1">
      <c r="AG641" s="335"/>
    </row>
    <row r="642" spans="33:33" ht="15.75" customHeight="1">
      <c r="AG642" s="335"/>
    </row>
    <row r="643" spans="33:33" ht="15.75" customHeight="1">
      <c r="AG643" s="335"/>
    </row>
    <row r="644" spans="33:33" ht="15.75" customHeight="1">
      <c r="AG644" s="335"/>
    </row>
    <row r="645" spans="33:33" ht="15.75" customHeight="1">
      <c r="AG645" s="335"/>
    </row>
    <row r="646" spans="33:33" ht="15.75" customHeight="1">
      <c r="AG646" s="335"/>
    </row>
    <row r="647" spans="33:33" ht="15.75" customHeight="1">
      <c r="AG647" s="335"/>
    </row>
    <row r="648" spans="33:33" ht="15.75" customHeight="1">
      <c r="AG648" s="335"/>
    </row>
    <row r="649" spans="33:33" ht="15.75" customHeight="1">
      <c r="AG649" s="335"/>
    </row>
    <row r="650" spans="33:33" ht="15.75" customHeight="1">
      <c r="AG650" s="335"/>
    </row>
    <row r="651" spans="33:33" ht="15.75" customHeight="1">
      <c r="AG651" s="335"/>
    </row>
    <row r="652" spans="33:33" ht="15.75" customHeight="1">
      <c r="AG652" s="335"/>
    </row>
    <row r="653" spans="33:33" ht="15.75" customHeight="1">
      <c r="AG653" s="335"/>
    </row>
    <row r="654" spans="33:33" ht="15.75" customHeight="1">
      <c r="AG654" s="335"/>
    </row>
    <row r="655" spans="33:33" ht="15.75" customHeight="1">
      <c r="AG655" s="335"/>
    </row>
    <row r="656" spans="33:33" ht="15.75" customHeight="1">
      <c r="AG656" s="335"/>
    </row>
    <row r="657" spans="33:33" ht="15.75" customHeight="1">
      <c r="AG657" s="335"/>
    </row>
    <row r="658" spans="33:33" ht="15.75" customHeight="1">
      <c r="AG658" s="335"/>
    </row>
    <row r="659" spans="33:33" ht="15.75" customHeight="1">
      <c r="AG659" s="335"/>
    </row>
    <row r="660" spans="33:33" ht="15.75" customHeight="1">
      <c r="AG660" s="335"/>
    </row>
    <row r="661" spans="33:33" ht="15.75" customHeight="1">
      <c r="AG661" s="335"/>
    </row>
    <row r="662" spans="33:33" ht="15.75" customHeight="1">
      <c r="AG662" s="335"/>
    </row>
    <row r="663" spans="33:33" ht="15.75" customHeight="1">
      <c r="AG663" s="335"/>
    </row>
    <row r="664" spans="33:33" ht="15.75" customHeight="1">
      <c r="AG664" s="335"/>
    </row>
    <row r="665" spans="33:33" ht="15.75" customHeight="1">
      <c r="AG665" s="335"/>
    </row>
    <row r="666" spans="33:33" ht="15.75" customHeight="1">
      <c r="AG666" s="335"/>
    </row>
    <row r="667" spans="33:33" ht="15.75" customHeight="1">
      <c r="AG667" s="335"/>
    </row>
    <row r="668" spans="33:33" ht="15.75" customHeight="1">
      <c r="AG668" s="335"/>
    </row>
    <row r="669" spans="33:33" ht="15.75" customHeight="1">
      <c r="AG669" s="335"/>
    </row>
    <row r="670" spans="33:33" ht="15.75" customHeight="1">
      <c r="AG670" s="335"/>
    </row>
    <row r="671" spans="33:33" ht="15.75" customHeight="1">
      <c r="AG671" s="335"/>
    </row>
    <row r="672" spans="33:33" ht="15.75" customHeight="1">
      <c r="AG672" s="335"/>
    </row>
    <row r="673" spans="33:33" ht="15.75" customHeight="1">
      <c r="AG673" s="335"/>
    </row>
    <row r="674" spans="33:33" ht="15.75" customHeight="1">
      <c r="AG674" s="335"/>
    </row>
    <row r="675" spans="33:33" ht="15.75" customHeight="1">
      <c r="AG675" s="335"/>
    </row>
    <row r="676" spans="33:33" ht="15.75" customHeight="1">
      <c r="AG676" s="335"/>
    </row>
    <row r="677" spans="33:33" ht="15.75" customHeight="1">
      <c r="AG677" s="335"/>
    </row>
    <row r="678" spans="33:33" ht="15.75" customHeight="1">
      <c r="AG678" s="335"/>
    </row>
    <row r="679" spans="33:33" ht="15.75" customHeight="1">
      <c r="AG679" s="335"/>
    </row>
    <row r="680" spans="33:33" ht="15.75" customHeight="1">
      <c r="AG680" s="335"/>
    </row>
    <row r="681" spans="33:33" ht="15.75" customHeight="1">
      <c r="AG681" s="335"/>
    </row>
    <row r="682" spans="33:33" ht="15.75" customHeight="1">
      <c r="AG682" s="335"/>
    </row>
    <row r="683" spans="33:33" ht="15.75" customHeight="1">
      <c r="AG683" s="335"/>
    </row>
    <row r="684" spans="33:33" ht="15.75" customHeight="1">
      <c r="AG684" s="335"/>
    </row>
    <row r="685" spans="33:33" ht="15.75" customHeight="1">
      <c r="AG685" s="335"/>
    </row>
    <row r="686" spans="33:33" ht="15.75" customHeight="1">
      <c r="AG686" s="335"/>
    </row>
    <row r="687" spans="33:33" ht="15.75" customHeight="1">
      <c r="AG687" s="335"/>
    </row>
    <row r="688" spans="33:33" ht="15.75" customHeight="1">
      <c r="AG688" s="335"/>
    </row>
    <row r="689" spans="33:33" ht="15.75" customHeight="1">
      <c r="AG689" s="335"/>
    </row>
    <row r="690" spans="33:33" ht="15.75" customHeight="1">
      <c r="AG690" s="335"/>
    </row>
    <row r="691" spans="33:33" ht="15.75" customHeight="1">
      <c r="AG691" s="335"/>
    </row>
    <row r="692" spans="33:33" ht="15.75" customHeight="1">
      <c r="AG692" s="335"/>
    </row>
    <row r="693" spans="33:33" ht="15.75" customHeight="1">
      <c r="AG693" s="335"/>
    </row>
    <row r="694" spans="33:33" ht="15.75" customHeight="1">
      <c r="AG694" s="335"/>
    </row>
    <row r="695" spans="33:33" ht="15.75" customHeight="1">
      <c r="AG695" s="335"/>
    </row>
    <row r="696" spans="33:33" ht="15.75" customHeight="1">
      <c r="AG696" s="335"/>
    </row>
    <row r="697" spans="33:33" ht="15.75" customHeight="1">
      <c r="AG697" s="335"/>
    </row>
    <row r="698" spans="33:33" ht="15.75" customHeight="1">
      <c r="AG698" s="335"/>
    </row>
    <row r="699" spans="33:33" ht="15.75" customHeight="1">
      <c r="AG699" s="335"/>
    </row>
    <row r="700" spans="33:33" ht="15.75" customHeight="1">
      <c r="AG700" s="335"/>
    </row>
    <row r="701" spans="33:33" ht="15.75" customHeight="1">
      <c r="AG701" s="335"/>
    </row>
    <row r="702" spans="33:33" ht="15.75" customHeight="1">
      <c r="AG702" s="335"/>
    </row>
    <row r="703" spans="33:33" ht="15.75" customHeight="1">
      <c r="AG703" s="335"/>
    </row>
    <row r="704" spans="33:33" ht="15.75" customHeight="1">
      <c r="AG704" s="335"/>
    </row>
    <row r="705" spans="33:33" ht="15.75" customHeight="1">
      <c r="AG705" s="335"/>
    </row>
    <row r="706" spans="33:33" ht="15.75" customHeight="1">
      <c r="AG706" s="335"/>
    </row>
    <row r="707" spans="33:33" ht="15.75" customHeight="1">
      <c r="AG707" s="335"/>
    </row>
    <row r="708" spans="33:33" ht="15.75" customHeight="1">
      <c r="AG708" s="335"/>
    </row>
    <row r="709" spans="33:33" ht="15.75" customHeight="1">
      <c r="AG709" s="335"/>
    </row>
    <row r="710" spans="33:33" ht="15.75" customHeight="1">
      <c r="AG710" s="335"/>
    </row>
    <row r="711" spans="33:33" ht="15.75" customHeight="1">
      <c r="AG711" s="335"/>
    </row>
    <row r="712" spans="33:33" ht="15.75" customHeight="1">
      <c r="AG712" s="335"/>
    </row>
    <row r="713" spans="33:33" ht="15.75" customHeight="1">
      <c r="AG713" s="335"/>
    </row>
    <row r="714" spans="33:33" ht="15.75" customHeight="1">
      <c r="AG714" s="335"/>
    </row>
    <row r="715" spans="33:33" ht="15.75" customHeight="1">
      <c r="AG715" s="335"/>
    </row>
    <row r="716" spans="33:33" ht="15.75" customHeight="1">
      <c r="AG716" s="335"/>
    </row>
    <row r="717" spans="33:33" ht="15.75" customHeight="1">
      <c r="AG717" s="335"/>
    </row>
    <row r="718" spans="33:33" ht="15.75" customHeight="1">
      <c r="AG718" s="335"/>
    </row>
    <row r="719" spans="33:33" ht="15.75" customHeight="1">
      <c r="AG719" s="335"/>
    </row>
    <row r="720" spans="33:33" ht="15.75" customHeight="1">
      <c r="AG720" s="335"/>
    </row>
    <row r="721" spans="33:33" ht="15.75" customHeight="1">
      <c r="AG721" s="335"/>
    </row>
    <row r="722" spans="33:33" ht="15.75" customHeight="1">
      <c r="AG722" s="335"/>
    </row>
    <row r="723" spans="33:33" ht="15.75" customHeight="1">
      <c r="AG723" s="335"/>
    </row>
    <row r="724" spans="33:33" ht="15.75" customHeight="1">
      <c r="AG724" s="335"/>
    </row>
    <row r="725" spans="33:33" ht="15.75" customHeight="1">
      <c r="AG725" s="335"/>
    </row>
    <row r="726" spans="33:33" ht="15.75" customHeight="1">
      <c r="AG726" s="335"/>
    </row>
    <row r="727" spans="33:33" ht="15.75" customHeight="1">
      <c r="AG727" s="335"/>
    </row>
    <row r="728" spans="33:33" ht="15.75" customHeight="1">
      <c r="AG728" s="335"/>
    </row>
    <row r="729" spans="33:33" ht="15.75" customHeight="1">
      <c r="AG729" s="335"/>
    </row>
    <row r="730" spans="33:33" ht="15.75" customHeight="1">
      <c r="AG730" s="335"/>
    </row>
    <row r="731" spans="33:33" ht="15.75" customHeight="1">
      <c r="AG731" s="335"/>
    </row>
    <row r="732" spans="33:33" ht="15.75" customHeight="1">
      <c r="AG732" s="335"/>
    </row>
    <row r="733" spans="33:33" ht="15.75" customHeight="1">
      <c r="AG733" s="335"/>
    </row>
    <row r="734" spans="33:33" ht="15.75" customHeight="1">
      <c r="AG734" s="335"/>
    </row>
    <row r="735" spans="33:33" ht="15.75" customHeight="1">
      <c r="AG735" s="335"/>
    </row>
    <row r="736" spans="33:33" ht="15.75" customHeight="1">
      <c r="AG736" s="335"/>
    </row>
    <row r="737" spans="33:33" ht="15.75" customHeight="1">
      <c r="AG737" s="335"/>
    </row>
    <row r="738" spans="33:33" ht="15.75" customHeight="1">
      <c r="AG738" s="335"/>
    </row>
    <row r="739" spans="33:33" ht="15.75" customHeight="1">
      <c r="AG739" s="335"/>
    </row>
    <row r="740" spans="33:33" ht="15.75" customHeight="1">
      <c r="AG740" s="335"/>
    </row>
    <row r="741" spans="33:33" ht="15.75" customHeight="1">
      <c r="AG741" s="335"/>
    </row>
    <row r="742" spans="33:33" ht="15.75" customHeight="1">
      <c r="AG742" s="335"/>
    </row>
    <row r="743" spans="33:33" ht="15.75" customHeight="1">
      <c r="AG743" s="335"/>
    </row>
    <row r="744" spans="33:33" ht="15.75" customHeight="1">
      <c r="AG744" s="335"/>
    </row>
    <row r="745" spans="33:33" ht="15.75" customHeight="1">
      <c r="AG745" s="335"/>
    </row>
    <row r="746" spans="33:33" ht="15.75" customHeight="1">
      <c r="AG746" s="335"/>
    </row>
    <row r="747" spans="33:33" ht="15.75" customHeight="1">
      <c r="AG747" s="335"/>
    </row>
    <row r="748" spans="33:33" ht="15.75" customHeight="1">
      <c r="AG748" s="335"/>
    </row>
    <row r="749" spans="33:33" ht="15.75" customHeight="1">
      <c r="AG749" s="335"/>
    </row>
    <row r="750" spans="33:33" ht="15.75" customHeight="1">
      <c r="AG750" s="335"/>
    </row>
    <row r="751" spans="33:33" ht="15.75" customHeight="1">
      <c r="AG751" s="335"/>
    </row>
    <row r="752" spans="33:33" ht="15.75" customHeight="1">
      <c r="AG752" s="335"/>
    </row>
    <row r="753" spans="33:33" ht="15.75" customHeight="1">
      <c r="AG753" s="335"/>
    </row>
    <row r="754" spans="33:33" ht="15.75" customHeight="1">
      <c r="AG754" s="335"/>
    </row>
    <row r="755" spans="33:33" ht="15.75" customHeight="1">
      <c r="AG755" s="335"/>
    </row>
    <row r="756" spans="33:33" ht="15.75" customHeight="1">
      <c r="AG756" s="335"/>
    </row>
    <row r="757" spans="33:33" ht="15.75" customHeight="1">
      <c r="AG757" s="335"/>
    </row>
    <row r="758" spans="33:33" ht="15.75" customHeight="1">
      <c r="AG758" s="335"/>
    </row>
    <row r="759" spans="33:33" ht="15.75" customHeight="1">
      <c r="AG759" s="335"/>
    </row>
    <row r="760" spans="33:33" ht="15.75" customHeight="1">
      <c r="AG760" s="335"/>
    </row>
    <row r="761" spans="33:33" ht="15.75" customHeight="1">
      <c r="AG761" s="335"/>
    </row>
    <row r="762" spans="33:33" ht="15.75" customHeight="1">
      <c r="AG762" s="335"/>
    </row>
    <row r="763" spans="33:33" ht="15.75" customHeight="1">
      <c r="AG763" s="335"/>
    </row>
    <row r="764" spans="33:33" ht="15.75" customHeight="1">
      <c r="AG764" s="335"/>
    </row>
    <row r="765" spans="33:33" ht="15.75" customHeight="1">
      <c r="AG765" s="335"/>
    </row>
    <row r="766" spans="33:33" ht="15.75" customHeight="1">
      <c r="AG766" s="335"/>
    </row>
    <row r="767" spans="33:33" ht="15.75" customHeight="1">
      <c r="AG767" s="335"/>
    </row>
    <row r="768" spans="33:33" ht="15.75" customHeight="1">
      <c r="AG768" s="335"/>
    </row>
    <row r="769" spans="33:33" ht="15.75" customHeight="1">
      <c r="AG769" s="335"/>
    </row>
    <row r="770" spans="33:33" ht="15.75" customHeight="1">
      <c r="AG770" s="335"/>
    </row>
    <row r="771" spans="33:33" ht="15.75" customHeight="1">
      <c r="AG771" s="335"/>
    </row>
    <row r="772" spans="33:33" ht="15.75" customHeight="1">
      <c r="AG772" s="335"/>
    </row>
    <row r="773" spans="33:33" ht="15.75" customHeight="1">
      <c r="AG773" s="335"/>
    </row>
    <row r="774" spans="33:33" ht="15.75" customHeight="1">
      <c r="AG774" s="335"/>
    </row>
    <row r="775" spans="33:33" ht="15.75" customHeight="1">
      <c r="AG775" s="335"/>
    </row>
    <row r="776" spans="33:33" ht="15.75" customHeight="1">
      <c r="AG776" s="335"/>
    </row>
    <row r="777" spans="33:33" ht="15.75" customHeight="1">
      <c r="AG777" s="335"/>
    </row>
    <row r="778" spans="33:33" ht="15.75" customHeight="1">
      <c r="AG778" s="335"/>
    </row>
    <row r="779" spans="33:33" ht="15.75" customHeight="1">
      <c r="AG779" s="335"/>
    </row>
    <row r="780" spans="33:33" ht="15.75" customHeight="1">
      <c r="AG780" s="335"/>
    </row>
    <row r="781" spans="33:33" ht="15.75" customHeight="1">
      <c r="AG781" s="335"/>
    </row>
    <row r="782" spans="33:33" ht="15.75" customHeight="1">
      <c r="AG782" s="335"/>
    </row>
    <row r="783" spans="33:33" ht="15.75" customHeight="1">
      <c r="AG783" s="335"/>
    </row>
    <row r="784" spans="33:33" ht="15.75" customHeight="1">
      <c r="AG784" s="335"/>
    </row>
    <row r="785" spans="33:33" ht="15.75" customHeight="1">
      <c r="AG785" s="335"/>
    </row>
    <row r="786" spans="33:33" ht="15.75" customHeight="1">
      <c r="AG786" s="335"/>
    </row>
    <row r="787" spans="33:33" ht="15.75" customHeight="1">
      <c r="AG787" s="335"/>
    </row>
    <row r="788" spans="33:33" ht="15.75" customHeight="1">
      <c r="AG788" s="335"/>
    </row>
    <row r="789" spans="33:33" ht="15.75" customHeight="1">
      <c r="AG789" s="335"/>
    </row>
    <row r="790" spans="33:33" ht="15.75" customHeight="1">
      <c r="AG790" s="335"/>
    </row>
    <row r="791" spans="33:33" ht="15.75" customHeight="1">
      <c r="AG791" s="335"/>
    </row>
    <row r="792" spans="33:33" ht="15.75" customHeight="1">
      <c r="AG792" s="335"/>
    </row>
    <row r="793" spans="33:33" ht="15.75" customHeight="1">
      <c r="AG793" s="335"/>
    </row>
    <row r="794" spans="33:33" ht="15.75" customHeight="1">
      <c r="AG794" s="335"/>
    </row>
    <row r="795" spans="33:33" ht="15.75" customHeight="1">
      <c r="AG795" s="335"/>
    </row>
    <row r="796" spans="33:33" ht="15.75" customHeight="1">
      <c r="AG796" s="335"/>
    </row>
    <row r="797" spans="33:33" ht="15.75" customHeight="1">
      <c r="AG797" s="335"/>
    </row>
    <row r="798" spans="33:33" ht="15.75" customHeight="1">
      <c r="AG798" s="335"/>
    </row>
    <row r="799" spans="33:33" ht="15.75" customHeight="1">
      <c r="AG799" s="335"/>
    </row>
    <row r="800" spans="33:33" ht="15.75" customHeight="1">
      <c r="AG800" s="335"/>
    </row>
    <row r="801" spans="33:33" ht="15.75" customHeight="1">
      <c r="AG801" s="335"/>
    </row>
    <row r="802" spans="33:33" ht="15.75" customHeight="1">
      <c r="AG802" s="335"/>
    </row>
    <row r="803" spans="33:33" ht="15.75" customHeight="1">
      <c r="AG803" s="335"/>
    </row>
    <row r="804" spans="33:33" ht="15.75" customHeight="1">
      <c r="AG804" s="335"/>
    </row>
    <row r="805" spans="33:33" ht="15.75" customHeight="1">
      <c r="AG805" s="335"/>
    </row>
    <row r="806" spans="33:33" ht="15.75" customHeight="1">
      <c r="AG806" s="335"/>
    </row>
    <row r="807" spans="33:33" ht="15.75" customHeight="1">
      <c r="AG807" s="335"/>
    </row>
    <row r="808" spans="33:33" ht="15.75" customHeight="1">
      <c r="AG808" s="335"/>
    </row>
    <row r="809" spans="33:33" ht="15.75" customHeight="1">
      <c r="AG809" s="335"/>
    </row>
    <row r="810" spans="33:33" ht="15.75" customHeight="1">
      <c r="AG810" s="335"/>
    </row>
    <row r="811" spans="33:33" ht="15.75" customHeight="1">
      <c r="AG811" s="335"/>
    </row>
    <row r="812" spans="33:33" ht="15.75" customHeight="1">
      <c r="AG812" s="335"/>
    </row>
    <row r="813" spans="33:33" ht="15.75" customHeight="1">
      <c r="AG813" s="335"/>
    </row>
    <row r="814" spans="33:33" ht="15.75" customHeight="1">
      <c r="AG814" s="335"/>
    </row>
    <row r="815" spans="33:33" ht="15.75" customHeight="1">
      <c r="AG815" s="335"/>
    </row>
    <row r="816" spans="33:33" ht="15.75" customHeight="1">
      <c r="AG816" s="335"/>
    </row>
    <row r="817" spans="33:33" ht="15.75" customHeight="1">
      <c r="AG817" s="335"/>
    </row>
    <row r="818" spans="33:33" ht="15.75" customHeight="1">
      <c r="AG818" s="335"/>
    </row>
    <row r="819" spans="33:33" ht="15.75" customHeight="1">
      <c r="AG819" s="335"/>
    </row>
    <row r="820" spans="33:33" ht="15.75" customHeight="1">
      <c r="AG820" s="335"/>
    </row>
    <row r="821" spans="33:33" ht="15.75" customHeight="1">
      <c r="AG821" s="335"/>
    </row>
    <row r="822" spans="33:33" ht="15.75" customHeight="1">
      <c r="AG822" s="335"/>
    </row>
    <row r="823" spans="33:33" ht="15.75" customHeight="1">
      <c r="AG823" s="335"/>
    </row>
    <row r="824" spans="33:33" ht="15.75" customHeight="1">
      <c r="AG824" s="335"/>
    </row>
    <row r="825" spans="33:33" ht="15.75" customHeight="1">
      <c r="AG825" s="335"/>
    </row>
    <row r="826" spans="33:33" ht="15.75" customHeight="1">
      <c r="AG826" s="335"/>
    </row>
    <row r="827" spans="33:33" ht="15.75" customHeight="1">
      <c r="AG827" s="335"/>
    </row>
    <row r="828" spans="33:33" ht="15.75" customHeight="1">
      <c r="AG828" s="335"/>
    </row>
    <row r="829" spans="33:33" ht="15.75" customHeight="1">
      <c r="AG829" s="335"/>
    </row>
    <row r="830" spans="33:33" ht="15.75" customHeight="1">
      <c r="AG830" s="335"/>
    </row>
    <row r="831" spans="33:33" ht="15.75" customHeight="1">
      <c r="AG831" s="335"/>
    </row>
    <row r="832" spans="33:33" ht="15.75" customHeight="1">
      <c r="AG832" s="335"/>
    </row>
    <row r="833" spans="33:33" ht="15.75" customHeight="1">
      <c r="AG833" s="335"/>
    </row>
    <row r="834" spans="33:33" ht="15.75" customHeight="1">
      <c r="AG834" s="335"/>
    </row>
    <row r="835" spans="33:33" ht="15.75" customHeight="1">
      <c r="AG835" s="335"/>
    </row>
    <row r="836" spans="33:33" ht="15.75" customHeight="1">
      <c r="AG836" s="335"/>
    </row>
    <row r="837" spans="33:33" ht="15.75" customHeight="1">
      <c r="AG837" s="335"/>
    </row>
    <row r="838" spans="33:33" ht="15.75" customHeight="1">
      <c r="AG838" s="335"/>
    </row>
    <row r="839" spans="33:33" ht="15.75" customHeight="1">
      <c r="AG839" s="335"/>
    </row>
    <row r="840" spans="33:33" ht="15.75" customHeight="1">
      <c r="AG840" s="335"/>
    </row>
    <row r="841" spans="33:33" ht="15.75" customHeight="1">
      <c r="AG841" s="335"/>
    </row>
    <row r="842" spans="33:33" ht="15.75" customHeight="1">
      <c r="AG842" s="335"/>
    </row>
    <row r="843" spans="33:33" ht="15.75" customHeight="1">
      <c r="AG843" s="335"/>
    </row>
    <row r="844" spans="33:33" ht="15.75" customHeight="1">
      <c r="AG844" s="335"/>
    </row>
    <row r="845" spans="33:33" ht="15.75" customHeight="1">
      <c r="AG845" s="335"/>
    </row>
    <row r="846" spans="33:33" ht="15.75" customHeight="1">
      <c r="AG846" s="335"/>
    </row>
    <row r="847" spans="33:33" ht="15.75" customHeight="1">
      <c r="AG847" s="335"/>
    </row>
    <row r="848" spans="33:33" ht="15.75" customHeight="1">
      <c r="AG848" s="335"/>
    </row>
    <row r="849" spans="33:33" ht="15.75" customHeight="1">
      <c r="AG849" s="335"/>
    </row>
    <row r="850" spans="33:33" ht="15.75" customHeight="1">
      <c r="AG850" s="335"/>
    </row>
    <row r="851" spans="33:33" ht="15.75" customHeight="1">
      <c r="AG851" s="335"/>
    </row>
    <row r="852" spans="33:33" ht="15.75" customHeight="1">
      <c r="AG852" s="335"/>
    </row>
    <row r="853" spans="33:33" ht="15.75" customHeight="1">
      <c r="AG853" s="335"/>
    </row>
    <row r="854" spans="33:33" ht="15.75" customHeight="1">
      <c r="AG854" s="335"/>
    </row>
    <row r="855" spans="33:33" ht="15.75" customHeight="1">
      <c r="AG855" s="335"/>
    </row>
    <row r="856" spans="33:33" ht="15.75" customHeight="1">
      <c r="AG856" s="335"/>
    </row>
    <row r="857" spans="33:33" ht="15.75" customHeight="1">
      <c r="AG857" s="335"/>
    </row>
    <row r="858" spans="33:33" ht="15.75" customHeight="1">
      <c r="AG858" s="335"/>
    </row>
    <row r="859" spans="33:33" ht="15.75" customHeight="1">
      <c r="AG859" s="335"/>
    </row>
    <row r="860" spans="33:33" ht="15.75" customHeight="1">
      <c r="AG860" s="335"/>
    </row>
    <row r="861" spans="33:33" ht="15.75" customHeight="1">
      <c r="AG861" s="335"/>
    </row>
    <row r="862" spans="33:33" ht="15.75" customHeight="1">
      <c r="AG862" s="335"/>
    </row>
    <row r="863" spans="33:33" ht="15.75" customHeight="1">
      <c r="AG863" s="335"/>
    </row>
    <row r="864" spans="33:33" ht="15.75" customHeight="1">
      <c r="AG864" s="335"/>
    </row>
    <row r="865" spans="33:33" ht="15.75" customHeight="1">
      <c r="AG865" s="335"/>
    </row>
    <row r="866" spans="33:33" ht="15.75" customHeight="1">
      <c r="AG866" s="335"/>
    </row>
    <row r="867" spans="33:33" ht="15.75" customHeight="1">
      <c r="AG867" s="335"/>
    </row>
    <row r="868" spans="33:33" ht="15.75" customHeight="1">
      <c r="AG868" s="335"/>
    </row>
    <row r="869" spans="33:33" ht="15.75" customHeight="1">
      <c r="AG869" s="335"/>
    </row>
    <row r="870" spans="33:33" ht="15.75" customHeight="1">
      <c r="AG870" s="335"/>
    </row>
    <row r="871" spans="33:33" ht="15.75" customHeight="1">
      <c r="AG871" s="335"/>
    </row>
    <row r="872" spans="33:33" ht="15.75" customHeight="1">
      <c r="AG872" s="335"/>
    </row>
    <row r="873" spans="33:33" ht="15.75" customHeight="1">
      <c r="AG873" s="335"/>
    </row>
    <row r="874" spans="33:33" ht="15.75" customHeight="1">
      <c r="AG874" s="335"/>
    </row>
    <row r="875" spans="33:33" ht="15.75" customHeight="1">
      <c r="AG875" s="335"/>
    </row>
    <row r="876" spans="33:33" ht="15.75" customHeight="1">
      <c r="AG876" s="335"/>
    </row>
    <row r="877" spans="33:33" ht="15.75" customHeight="1">
      <c r="AG877" s="335"/>
    </row>
    <row r="878" spans="33:33" ht="15.75" customHeight="1">
      <c r="AG878" s="335"/>
    </row>
    <row r="879" spans="33:33" ht="15.75" customHeight="1">
      <c r="AG879" s="335"/>
    </row>
    <row r="880" spans="33:33" ht="15.75" customHeight="1">
      <c r="AG880" s="335"/>
    </row>
    <row r="881" spans="33:33" ht="15.75" customHeight="1">
      <c r="AG881" s="335"/>
    </row>
    <row r="882" spans="33:33" ht="15.75" customHeight="1">
      <c r="AG882" s="335"/>
    </row>
    <row r="883" spans="33:33" ht="15.75" customHeight="1">
      <c r="AG883" s="335"/>
    </row>
    <row r="884" spans="33:33" ht="15.75" customHeight="1">
      <c r="AG884" s="335"/>
    </row>
    <row r="885" spans="33:33" ht="15.75" customHeight="1">
      <c r="AG885" s="335"/>
    </row>
    <row r="886" spans="33:33" ht="15.75" customHeight="1">
      <c r="AG886" s="335"/>
    </row>
    <row r="887" spans="33:33" ht="15.75" customHeight="1">
      <c r="AG887" s="335"/>
    </row>
    <row r="888" spans="33:33" ht="15.75" customHeight="1">
      <c r="AG888" s="335"/>
    </row>
    <row r="889" spans="33:33" ht="15.75" customHeight="1">
      <c r="AG889" s="335"/>
    </row>
    <row r="890" spans="33:33" ht="15.75" customHeight="1">
      <c r="AG890" s="335"/>
    </row>
    <row r="891" spans="33:33" ht="15.75" customHeight="1">
      <c r="AG891" s="335"/>
    </row>
    <row r="892" spans="33:33" ht="15.75" customHeight="1">
      <c r="AG892" s="335"/>
    </row>
    <row r="893" spans="33:33" ht="15.75" customHeight="1">
      <c r="AG893" s="335"/>
    </row>
    <row r="894" spans="33:33" ht="15.75" customHeight="1">
      <c r="AG894" s="335"/>
    </row>
    <row r="895" spans="33:33" ht="15.75" customHeight="1">
      <c r="AG895" s="335"/>
    </row>
    <row r="896" spans="33:33" ht="15.75" customHeight="1">
      <c r="AG896" s="335"/>
    </row>
    <row r="897" spans="33:33" ht="15.75" customHeight="1">
      <c r="AG897" s="335"/>
    </row>
    <row r="898" spans="33:33" ht="15.75" customHeight="1">
      <c r="AG898" s="335"/>
    </row>
    <row r="899" spans="33:33" ht="15.75" customHeight="1">
      <c r="AG899" s="335"/>
    </row>
    <row r="900" spans="33:33" ht="15.75" customHeight="1">
      <c r="AG900" s="335"/>
    </row>
    <row r="901" spans="33:33" ht="15.75" customHeight="1">
      <c r="AG901" s="335"/>
    </row>
    <row r="902" spans="33:33" ht="15.75" customHeight="1">
      <c r="AG902" s="335"/>
    </row>
    <row r="903" spans="33:33" ht="15.75" customHeight="1">
      <c r="AG903" s="335"/>
    </row>
    <row r="904" spans="33:33" ht="15.75" customHeight="1">
      <c r="AG904" s="335"/>
    </row>
    <row r="905" spans="33:33" ht="15.75" customHeight="1">
      <c r="AG905" s="335"/>
    </row>
    <row r="906" spans="33:33" ht="15.75" customHeight="1">
      <c r="AG906" s="335"/>
    </row>
    <row r="907" spans="33:33" ht="15.75" customHeight="1">
      <c r="AG907" s="335"/>
    </row>
    <row r="908" spans="33:33" ht="15.75" customHeight="1">
      <c r="AG908" s="335"/>
    </row>
    <row r="909" spans="33:33" ht="15.75" customHeight="1">
      <c r="AG909" s="335"/>
    </row>
    <row r="910" spans="33:33" ht="15.75" customHeight="1">
      <c r="AG910" s="335"/>
    </row>
    <row r="911" spans="33:33" ht="15.75" customHeight="1">
      <c r="AG911" s="335"/>
    </row>
    <row r="912" spans="33:33" ht="15.75" customHeight="1">
      <c r="AG912" s="335"/>
    </row>
    <row r="913" spans="33:33" ht="15.75" customHeight="1">
      <c r="AG913" s="335"/>
    </row>
    <row r="914" spans="33:33" ht="15.75" customHeight="1">
      <c r="AG914" s="335"/>
    </row>
    <row r="915" spans="33:33" ht="15.75" customHeight="1">
      <c r="AG915" s="335"/>
    </row>
    <row r="916" spans="33:33" ht="15.75" customHeight="1">
      <c r="AG916" s="335"/>
    </row>
    <row r="917" spans="33:33" ht="15.75" customHeight="1">
      <c r="AG917" s="335"/>
    </row>
    <row r="918" spans="33:33" ht="15.75" customHeight="1">
      <c r="AG918" s="335"/>
    </row>
    <row r="919" spans="33:33" ht="15.75" customHeight="1">
      <c r="AG919" s="335"/>
    </row>
    <row r="920" spans="33:33" ht="15.75" customHeight="1">
      <c r="AG920" s="335"/>
    </row>
    <row r="921" spans="33:33" ht="15.75" customHeight="1">
      <c r="AG921" s="335"/>
    </row>
    <row r="922" spans="33:33" ht="15.75" customHeight="1">
      <c r="AG922" s="335"/>
    </row>
    <row r="923" spans="33:33" ht="15.75" customHeight="1">
      <c r="AG923" s="335"/>
    </row>
    <row r="924" spans="33:33" ht="15.75" customHeight="1">
      <c r="AG924" s="335"/>
    </row>
    <row r="925" spans="33:33" ht="15.75" customHeight="1">
      <c r="AG925" s="335"/>
    </row>
    <row r="926" spans="33:33" ht="15.75" customHeight="1">
      <c r="AG926" s="335"/>
    </row>
    <row r="927" spans="33:33" ht="15.75" customHeight="1">
      <c r="AG927" s="335"/>
    </row>
    <row r="928" spans="33:33" ht="15.75" customHeight="1">
      <c r="AG928" s="335"/>
    </row>
    <row r="929" spans="33:33" ht="15.75" customHeight="1">
      <c r="AG929" s="335"/>
    </row>
    <row r="930" spans="33:33" ht="15.75" customHeight="1">
      <c r="AG930" s="335"/>
    </row>
    <row r="931" spans="33:33" ht="15.75" customHeight="1">
      <c r="AG931" s="335"/>
    </row>
    <row r="932" spans="33:33" ht="15.75" customHeight="1">
      <c r="AG932" s="335"/>
    </row>
    <row r="933" spans="33:33" ht="15.75" customHeight="1">
      <c r="AG933" s="335"/>
    </row>
    <row r="934" spans="33:33" ht="15.75" customHeight="1">
      <c r="AG934" s="335"/>
    </row>
    <row r="935" spans="33:33" ht="15.75" customHeight="1">
      <c r="AG935" s="335"/>
    </row>
    <row r="936" spans="33:33" ht="15.75" customHeight="1">
      <c r="AG936" s="335"/>
    </row>
    <row r="937" spans="33:33" ht="15.75" customHeight="1">
      <c r="AG937" s="335"/>
    </row>
    <row r="938" spans="33:33" ht="15.75" customHeight="1">
      <c r="AG938" s="335"/>
    </row>
    <row r="939" spans="33:33" ht="15.75" customHeight="1">
      <c r="AG939" s="335"/>
    </row>
    <row r="940" spans="33:33" ht="15.75" customHeight="1">
      <c r="AG940" s="335"/>
    </row>
    <row r="941" spans="33:33" ht="15.75" customHeight="1">
      <c r="AG941" s="335"/>
    </row>
    <row r="942" spans="33:33" ht="15.75" customHeight="1">
      <c r="AG942" s="335"/>
    </row>
    <row r="943" spans="33:33" ht="15.75" customHeight="1">
      <c r="AG943" s="335"/>
    </row>
    <row r="944" spans="33:33" ht="15.75" customHeight="1">
      <c r="AG944" s="335"/>
    </row>
    <row r="945" spans="33:33" ht="15.75" customHeight="1">
      <c r="AG945" s="335"/>
    </row>
    <row r="946" spans="33:33" ht="15.75" customHeight="1">
      <c r="AG946" s="335"/>
    </row>
    <row r="947" spans="33:33" ht="15.75" customHeight="1">
      <c r="AG947" s="335"/>
    </row>
    <row r="948" spans="33:33" ht="15.75" customHeight="1">
      <c r="AG948" s="335"/>
    </row>
    <row r="949" spans="33:33" ht="15.75" customHeight="1">
      <c r="AG949" s="335"/>
    </row>
    <row r="950" spans="33:33" ht="15.75" customHeight="1">
      <c r="AG950" s="335"/>
    </row>
    <row r="951" spans="33:33" ht="15.75" customHeight="1">
      <c r="AG951" s="335"/>
    </row>
    <row r="952" spans="33:33" ht="15.75" customHeight="1">
      <c r="AG952" s="335"/>
    </row>
    <row r="953" spans="33:33" ht="15.75" customHeight="1">
      <c r="AG953" s="335"/>
    </row>
    <row r="954" spans="33:33" ht="15.75" customHeight="1">
      <c r="AG954" s="335"/>
    </row>
    <row r="955" spans="33:33" ht="15.75" customHeight="1">
      <c r="AG955" s="335"/>
    </row>
    <row r="956" spans="33:33" ht="15.75" customHeight="1">
      <c r="AG956" s="335"/>
    </row>
    <row r="957" spans="33:33" ht="15.75" customHeight="1">
      <c r="AG957" s="335"/>
    </row>
    <row r="958" spans="33:33" ht="15.75" customHeight="1">
      <c r="AG958" s="335"/>
    </row>
    <row r="959" spans="33:33" ht="15.75" customHeight="1">
      <c r="AG959" s="335"/>
    </row>
    <row r="960" spans="33:33" ht="15.75" customHeight="1">
      <c r="AG960" s="335"/>
    </row>
    <row r="961" spans="33:33" ht="15.75" customHeight="1">
      <c r="AG961" s="335"/>
    </row>
    <row r="962" spans="33:33" ht="15.75" customHeight="1">
      <c r="AG962" s="335"/>
    </row>
    <row r="963" spans="33:33" ht="15.75" customHeight="1">
      <c r="AG963" s="335"/>
    </row>
    <row r="964" spans="33:33" ht="15.75" customHeight="1">
      <c r="AG964" s="335"/>
    </row>
    <row r="965" spans="33:33" ht="15.75" customHeight="1">
      <c r="AG965" s="335"/>
    </row>
    <row r="966" spans="33:33" ht="15.75" customHeight="1">
      <c r="AG966" s="335"/>
    </row>
    <row r="967" spans="33:33" ht="15.75" customHeight="1">
      <c r="AG967" s="335"/>
    </row>
    <row r="968" spans="33:33" ht="15.75" customHeight="1">
      <c r="AG968" s="335"/>
    </row>
    <row r="969" spans="33:33" ht="15.75" customHeight="1">
      <c r="AG969" s="335"/>
    </row>
    <row r="970" spans="33:33" ht="15.75" customHeight="1">
      <c r="AG970" s="335"/>
    </row>
    <row r="971" spans="33:33" ht="15.75" customHeight="1">
      <c r="AG971" s="335"/>
    </row>
    <row r="972" spans="33:33" ht="15.75" customHeight="1">
      <c r="AG972" s="335"/>
    </row>
    <row r="973" spans="33:33" ht="15.75" customHeight="1">
      <c r="AG973" s="335"/>
    </row>
    <row r="974" spans="33:33" ht="15.75" customHeight="1">
      <c r="AG974" s="335"/>
    </row>
    <row r="975" spans="33:33" ht="15.75" customHeight="1">
      <c r="AG975" s="335"/>
    </row>
    <row r="976" spans="33:33" ht="15.75" customHeight="1">
      <c r="AG976" s="335"/>
    </row>
    <row r="977" spans="33:33" ht="15.75" customHeight="1">
      <c r="AG977" s="335"/>
    </row>
    <row r="978" spans="33:33" ht="15.75" customHeight="1">
      <c r="AG978" s="335"/>
    </row>
    <row r="979" spans="33:33" ht="15.75" customHeight="1">
      <c r="AG979" s="335"/>
    </row>
    <row r="980" spans="33:33" ht="15.75" customHeight="1">
      <c r="AG980" s="335"/>
    </row>
    <row r="981" spans="33:33" ht="15.75" customHeight="1">
      <c r="AG981" s="335"/>
    </row>
    <row r="982" spans="33:33" ht="15.75" customHeight="1">
      <c r="AG982" s="335"/>
    </row>
    <row r="983" spans="33:33" ht="15.75" customHeight="1">
      <c r="AG983" s="335"/>
    </row>
    <row r="984" spans="33:33" ht="15.75" customHeight="1">
      <c r="AG984" s="335"/>
    </row>
    <row r="985" spans="33:33" ht="15.75" customHeight="1">
      <c r="AG985" s="335"/>
    </row>
    <row r="986" spans="33:33" ht="15.75" customHeight="1">
      <c r="AG986" s="335"/>
    </row>
    <row r="987" spans="33:33" ht="15.75" customHeight="1">
      <c r="AG987" s="335"/>
    </row>
    <row r="988" spans="33:33" ht="15.75" customHeight="1">
      <c r="AG988" s="335"/>
    </row>
    <row r="989" spans="33:33" ht="15.75" customHeight="1">
      <c r="AG989" s="335"/>
    </row>
    <row r="990" spans="33:33" ht="15.75" customHeight="1">
      <c r="AG990" s="335"/>
    </row>
    <row r="991" spans="33:33" ht="15.75" customHeight="1">
      <c r="AG991" s="335"/>
    </row>
    <row r="992" spans="33:33" ht="15.75" customHeight="1">
      <c r="AG992" s="335"/>
    </row>
    <row r="993" spans="33:33" ht="15.75" customHeight="1">
      <c r="AG993" s="335"/>
    </row>
    <row r="994" spans="33:33" ht="15.75" customHeight="1">
      <c r="AG994" s="335"/>
    </row>
    <row r="995" spans="33:33" ht="15.75" customHeight="1">
      <c r="AG995" s="335"/>
    </row>
    <row r="996" spans="33:33" ht="15.75" customHeight="1">
      <c r="AG996" s="335"/>
    </row>
    <row r="997" spans="33:33" ht="15.75" customHeight="1">
      <c r="AG997" s="335"/>
    </row>
    <row r="998" spans="33:33" ht="15.75" customHeight="1">
      <c r="AG998" s="335"/>
    </row>
    <row r="999" spans="33:33" ht="15.75" customHeight="1">
      <c r="AG999" s="335"/>
    </row>
    <row r="1000" spans="33:33" ht="15.75" customHeight="1">
      <c r="AG1000" s="335"/>
    </row>
  </sheetData>
  <mergeCells count="27">
    <mergeCell ref="A73:AB73"/>
    <mergeCell ref="AS6:AS7"/>
    <mergeCell ref="AE3:AE4"/>
    <mergeCell ref="AF3:AF4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1:AE1"/>
    <mergeCell ref="AI1:AS1"/>
    <mergeCell ref="A2:AE2"/>
    <mergeCell ref="A3:C3"/>
    <mergeCell ref="AC3:AC4"/>
    <mergeCell ref="AD3:AD4"/>
    <mergeCell ref="AG3:AG4"/>
    <mergeCell ref="AI2:AS2"/>
    <mergeCell ref="AI3:AS3"/>
    <mergeCell ref="AI4:AO4"/>
    <mergeCell ref="AP4:AS4"/>
    <mergeCell ref="AI5:AO5"/>
    <mergeCell ref="AP5:AS5"/>
  </mergeCells>
  <conditionalFormatting sqref="G76:K77 G79:K82">
    <cfRule type="containsText" dxfId="0" priority="1" operator="containsText" text="A">
      <formula>NOT(ISERROR(SEARCH(("A"),(G76))))</formula>
    </cfRule>
  </conditionalFormatting>
  <pageMargins left="0.7" right="0.7" top="0.75" bottom="0.75" header="0" footer="0"/>
  <pageSetup paperSize="9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</vt:lpstr>
      <vt:lpstr>Internal</vt:lpstr>
      <vt:lpstr>OOPS</vt:lpstr>
      <vt:lpstr>DSA</vt:lpstr>
      <vt:lpstr>DOS</vt:lpstr>
      <vt:lpstr>M-III</vt:lpstr>
      <vt:lpstr>DE</vt:lpstr>
      <vt:lpstr>DSA LAB</vt:lpstr>
      <vt:lpstr>OOPS LAB</vt:lpstr>
      <vt:lpstr>IT WORKSHOP</vt:lpstr>
      <vt:lpstr>DE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Sukhdayal .</cp:lastModifiedBy>
  <dcterms:created xsi:type="dcterms:W3CDTF">2026-02-16T05:52:29Z</dcterms:created>
  <dcterms:modified xsi:type="dcterms:W3CDTF">2026-02-16T05:52:30Z</dcterms:modified>
</cp:coreProperties>
</file>