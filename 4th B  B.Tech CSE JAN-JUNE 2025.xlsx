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E928AC2-8B9E-4B6A-9E81-8231225D605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OVERALL" sheetId="1" r:id="rId1"/>
    <sheet name="INTERNAL" sheetId="3" r:id="rId2"/>
    <sheet name="DAA" sheetId="4" r:id="rId3"/>
    <sheet name="DM" sheetId="5" r:id="rId4"/>
    <sheet name="OS" sheetId="6" r:id="rId5"/>
    <sheet name="COA" sheetId="7" r:id="rId6"/>
    <sheet name="UHV2" sheetId="8" r:id="rId7"/>
    <sheet name="EVS" sheetId="9" r:id="rId8"/>
    <sheet name="OSlab" sheetId="10" r:id="rId9"/>
    <sheet name="COAlab" sheetId="11" r:id="rId10"/>
    <sheet name="DAAlab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0" i="12" l="1"/>
  <c r="B150" i="12"/>
  <c r="C149" i="12"/>
  <c r="B149" i="12"/>
  <c r="C148" i="12"/>
  <c r="B148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C124" i="12"/>
  <c r="B124" i="12"/>
  <c r="C123" i="12"/>
  <c r="B123" i="12"/>
  <c r="C122" i="12"/>
  <c r="B122" i="12"/>
  <c r="C121" i="12"/>
  <c r="B121" i="12"/>
  <c r="C120" i="12"/>
  <c r="B120" i="12"/>
  <c r="C119" i="12"/>
  <c r="B119" i="12"/>
  <c r="C118" i="12"/>
  <c r="B118" i="12"/>
  <c r="C117" i="12"/>
  <c r="B117" i="12"/>
  <c r="C116" i="12"/>
  <c r="B116" i="12"/>
  <c r="C115" i="12"/>
  <c r="B115" i="12"/>
  <c r="C114" i="12"/>
  <c r="B114" i="12"/>
  <c r="C113" i="12"/>
  <c r="B113" i="12"/>
  <c r="C112" i="12"/>
  <c r="B112" i="12"/>
  <c r="C111" i="12"/>
  <c r="B111" i="12"/>
  <c r="C110" i="12"/>
  <c r="B110" i="12"/>
  <c r="C109" i="12"/>
  <c r="B109" i="12"/>
  <c r="C108" i="12"/>
  <c r="B108" i="12"/>
  <c r="C107" i="12"/>
  <c r="B107" i="12"/>
  <c r="C106" i="12"/>
  <c r="B106" i="12"/>
  <c r="C105" i="12"/>
  <c r="B105" i="12"/>
  <c r="C104" i="12"/>
  <c r="B104" i="12"/>
  <c r="C103" i="12"/>
  <c r="B103" i="12"/>
  <c r="C102" i="12"/>
  <c r="B102" i="12"/>
  <c r="C101" i="12"/>
  <c r="B101" i="12"/>
  <c r="C100" i="12"/>
  <c r="B100" i="12"/>
  <c r="C99" i="12"/>
  <c r="B99" i="12"/>
  <c r="C98" i="12"/>
  <c r="B98" i="12"/>
  <c r="C97" i="12"/>
  <c r="B97" i="12"/>
  <c r="C96" i="12"/>
  <c r="B96" i="12"/>
  <c r="C95" i="12"/>
  <c r="B95" i="12"/>
  <c r="C94" i="12"/>
  <c r="B94" i="12"/>
  <c r="C93" i="12"/>
  <c r="B93" i="12"/>
  <c r="C92" i="12"/>
  <c r="B92" i="12"/>
  <c r="C91" i="12"/>
  <c r="B91" i="12"/>
  <c r="C90" i="12"/>
  <c r="B90" i="12"/>
  <c r="C89" i="12"/>
  <c r="B89" i="12"/>
  <c r="C88" i="12"/>
  <c r="B88" i="12"/>
  <c r="C87" i="12"/>
  <c r="B87" i="12"/>
  <c r="C86" i="12"/>
  <c r="B86" i="12"/>
  <c r="C85" i="12"/>
  <c r="B85" i="12"/>
  <c r="C84" i="12"/>
  <c r="B84" i="12"/>
  <c r="C83" i="12"/>
  <c r="B83" i="12"/>
  <c r="C82" i="12"/>
  <c r="B82" i="12"/>
  <c r="C81" i="12"/>
  <c r="B81" i="12"/>
  <c r="BQ76" i="12"/>
  <c r="BL76" i="12"/>
  <c r="BJ76" i="12"/>
  <c r="BI76" i="12"/>
  <c r="BD76" i="12"/>
  <c r="BF76" i="12" s="1"/>
  <c r="C76" i="12"/>
  <c r="B76" i="12"/>
  <c r="BQ75" i="12"/>
  <c r="BL75" i="12"/>
  <c r="BJ75" i="12"/>
  <c r="BI75" i="12"/>
  <c r="BD75" i="12"/>
  <c r="BF75" i="12" s="1"/>
  <c r="C75" i="12"/>
  <c r="B75" i="12"/>
  <c r="BQ74" i="12"/>
  <c r="BL74" i="12"/>
  <c r="BJ74" i="12"/>
  <c r="BI74" i="12"/>
  <c r="BD74" i="12"/>
  <c r="BF74" i="12" s="1"/>
  <c r="C74" i="12"/>
  <c r="B74" i="12"/>
  <c r="BQ73" i="12"/>
  <c r="BL73" i="12"/>
  <c r="BJ73" i="12"/>
  <c r="BI73" i="12"/>
  <c r="BD73" i="12"/>
  <c r="BF73" i="12" s="1"/>
  <c r="C73" i="12"/>
  <c r="B73" i="12"/>
  <c r="BQ72" i="12"/>
  <c r="BL72" i="12"/>
  <c r="BJ72" i="12"/>
  <c r="BI72" i="12"/>
  <c r="BD72" i="12"/>
  <c r="BF72" i="12" s="1"/>
  <c r="C72" i="12"/>
  <c r="B72" i="12"/>
  <c r="BQ71" i="12"/>
  <c r="BL71" i="12"/>
  <c r="BJ71" i="12"/>
  <c r="BI71" i="12"/>
  <c r="BD71" i="12"/>
  <c r="BF71" i="12" s="1"/>
  <c r="C71" i="12"/>
  <c r="B71" i="12"/>
  <c r="BQ70" i="12"/>
  <c r="BL70" i="12"/>
  <c r="BJ70" i="12"/>
  <c r="BI70" i="12"/>
  <c r="BD70" i="12"/>
  <c r="BF70" i="12" s="1"/>
  <c r="C70" i="12"/>
  <c r="B70" i="12"/>
  <c r="BQ69" i="12"/>
  <c r="BL69" i="12"/>
  <c r="BJ69" i="12"/>
  <c r="BI69" i="12"/>
  <c r="BD69" i="12"/>
  <c r="BF69" i="12" s="1"/>
  <c r="C69" i="12"/>
  <c r="B69" i="12"/>
  <c r="BQ68" i="12"/>
  <c r="BL68" i="12"/>
  <c r="BJ68" i="12"/>
  <c r="BI68" i="12"/>
  <c r="BD68" i="12"/>
  <c r="BF68" i="12" s="1"/>
  <c r="C68" i="12"/>
  <c r="B68" i="12"/>
  <c r="BQ67" i="12"/>
  <c r="BL67" i="12"/>
  <c r="BJ67" i="12"/>
  <c r="BI67" i="12"/>
  <c r="BD67" i="12"/>
  <c r="BF67" i="12" s="1"/>
  <c r="C67" i="12"/>
  <c r="B67" i="12"/>
  <c r="BQ66" i="12"/>
  <c r="BL66" i="12"/>
  <c r="BJ66" i="12"/>
  <c r="BI66" i="12"/>
  <c r="BD66" i="12"/>
  <c r="BF66" i="12" s="1"/>
  <c r="C66" i="12"/>
  <c r="B66" i="12"/>
  <c r="BQ65" i="12"/>
  <c r="BL65" i="12"/>
  <c r="BJ65" i="12"/>
  <c r="BI65" i="12"/>
  <c r="BD65" i="12"/>
  <c r="BF65" i="12" s="1"/>
  <c r="C65" i="12"/>
  <c r="B65" i="12"/>
  <c r="BQ64" i="12"/>
  <c r="BL64" i="12"/>
  <c r="BJ64" i="12"/>
  <c r="BI64" i="12"/>
  <c r="BD64" i="12"/>
  <c r="BF64" i="12" s="1"/>
  <c r="C64" i="12"/>
  <c r="B64" i="12"/>
  <c r="BQ63" i="12"/>
  <c r="BL63" i="12"/>
  <c r="BJ63" i="12"/>
  <c r="BI63" i="12"/>
  <c r="BD63" i="12"/>
  <c r="BF63" i="12" s="1"/>
  <c r="C63" i="12"/>
  <c r="B63" i="12"/>
  <c r="BQ62" i="12"/>
  <c r="BL62" i="12"/>
  <c r="BJ62" i="12"/>
  <c r="BI62" i="12"/>
  <c r="BD62" i="12"/>
  <c r="BF62" i="12" s="1"/>
  <c r="C62" i="12"/>
  <c r="B62" i="12"/>
  <c r="BQ61" i="12"/>
  <c r="BL61" i="12"/>
  <c r="BJ61" i="12"/>
  <c r="BI61" i="12"/>
  <c r="BD61" i="12"/>
  <c r="BF61" i="12" s="1"/>
  <c r="C61" i="12"/>
  <c r="B61" i="12"/>
  <c r="BQ60" i="12"/>
  <c r="BL60" i="12"/>
  <c r="BJ60" i="12"/>
  <c r="BI60" i="12"/>
  <c r="BD60" i="12"/>
  <c r="BF60" i="12" s="1"/>
  <c r="C60" i="12"/>
  <c r="B60" i="12"/>
  <c r="BQ59" i="12"/>
  <c r="BL59" i="12"/>
  <c r="BJ59" i="12"/>
  <c r="BI59" i="12"/>
  <c r="BD59" i="12"/>
  <c r="BF59" i="12" s="1"/>
  <c r="C59" i="12"/>
  <c r="B59" i="12"/>
  <c r="BQ58" i="12"/>
  <c r="BL58" i="12"/>
  <c r="BJ58" i="12"/>
  <c r="BI58" i="12"/>
  <c r="BD58" i="12"/>
  <c r="BF58" i="12" s="1"/>
  <c r="C58" i="12"/>
  <c r="B58" i="12"/>
  <c r="BQ57" i="12"/>
  <c r="BL57" i="12"/>
  <c r="BJ57" i="12"/>
  <c r="BI57" i="12"/>
  <c r="BD57" i="12"/>
  <c r="BF57" i="12" s="1"/>
  <c r="C57" i="12"/>
  <c r="B57" i="12"/>
  <c r="BQ56" i="12"/>
  <c r="BL56" i="12"/>
  <c r="BJ56" i="12"/>
  <c r="BI56" i="12"/>
  <c r="BD56" i="12"/>
  <c r="BF56" i="12" s="1"/>
  <c r="C56" i="12"/>
  <c r="B56" i="12"/>
  <c r="BQ55" i="12"/>
  <c r="BL55" i="12"/>
  <c r="BJ55" i="12"/>
  <c r="BI55" i="12"/>
  <c r="BD55" i="12"/>
  <c r="BF55" i="12" s="1"/>
  <c r="C55" i="12"/>
  <c r="B55" i="12"/>
  <c r="BQ54" i="12"/>
  <c r="BL54" i="12"/>
  <c r="BJ54" i="12"/>
  <c r="BI54" i="12"/>
  <c r="BD54" i="12"/>
  <c r="BF54" i="12" s="1"/>
  <c r="C54" i="12"/>
  <c r="B54" i="12"/>
  <c r="BQ53" i="12"/>
  <c r="BL53" i="12"/>
  <c r="BJ53" i="12"/>
  <c r="BI53" i="12"/>
  <c r="BD53" i="12"/>
  <c r="BF53" i="12" s="1"/>
  <c r="C53" i="12"/>
  <c r="B53" i="12"/>
  <c r="BQ52" i="12"/>
  <c r="BL52" i="12"/>
  <c r="BJ52" i="12"/>
  <c r="BI52" i="12"/>
  <c r="BD52" i="12"/>
  <c r="BF52" i="12" s="1"/>
  <c r="C52" i="12"/>
  <c r="B52" i="12"/>
  <c r="BQ51" i="12"/>
  <c r="BL51" i="12"/>
  <c r="BJ51" i="12"/>
  <c r="BI51" i="12"/>
  <c r="BD51" i="12"/>
  <c r="BF51" i="12" s="1"/>
  <c r="C51" i="12"/>
  <c r="B51" i="12"/>
  <c r="BQ50" i="12"/>
  <c r="BL50" i="12"/>
  <c r="BJ50" i="12"/>
  <c r="BI50" i="12"/>
  <c r="BD50" i="12"/>
  <c r="BF50" i="12" s="1"/>
  <c r="C50" i="12"/>
  <c r="B50" i="12"/>
  <c r="BQ49" i="12"/>
  <c r="BL49" i="12"/>
  <c r="BJ49" i="12"/>
  <c r="BI49" i="12"/>
  <c r="BD49" i="12"/>
  <c r="BF49" i="12" s="1"/>
  <c r="C49" i="12"/>
  <c r="B49" i="12"/>
  <c r="BQ48" i="12"/>
  <c r="BL48" i="12"/>
  <c r="BJ48" i="12"/>
  <c r="BI48" i="12"/>
  <c r="BD48" i="12"/>
  <c r="BF48" i="12" s="1"/>
  <c r="C48" i="12"/>
  <c r="B48" i="12"/>
  <c r="BQ47" i="12"/>
  <c r="BL47" i="12"/>
  <c r="BJ47" i="12"/>
  <c r="BI47" i="12"/>
  <c r="BD47" i="12"/>
  <c r="BF47" i="12" s="1"/>
  <c r="C47" i="12"/>
  <c r="B47" i="12"/>
  <c r="BQ46" i="12"/>
  <c r="BL46" i="12"/>
  <c r="BJ46" i="12"/>
  <c r="BI46" i="12"/>
  <c r="BD46" i="12"/>
  <c r="BF46" i="12" s="1"/>
  <c r="C46" i="12"/>
  <c r="B46" i="12"/>
  <c r="BQ45" i="12"/>
  <c r="BL45" i="12"/>
  <c r="BK45" i="12"/>
  <c r="BM45" i="12" s="1"/>
  <c r="BN45" i="12" s="1"/>
  <c r="BJ45" i="12"/>
  <c r="BI45" i="12"/>
  <c r="BD45" i="12"/>
  <c r="BF45" i="12" s="1"/>
  <c r="C45" i="12"/>
  <c r="B45" i="12"/>
  <c r="BQ44" i="12"/>
  <c r="BM44" i="12"/>
  <c r="BN44" i="12" s="1"/>
  <c r="BL44" i="12"/>
  <c r="BK44" i="12"/>
  <c r="BJ44" i="12"/>
  <c r="BI44" i="12"/>
  <c r="BD44" i="12"/>
  <c r="BF44" i="12" s="1"/>
  <c r="C44" i="12"/>
  <c r="B44" i="12"/>
  <c r="BQ43" i="12"/>
  <c r="BS43" i="12" s="1"/>
  <c r="BL43" i="12"/>
  <c r="BK43" i="12"/>
  <c r="BM43" i="12" s="1"/>
  <c r="BN43" i="12" s="1"/>
  <c r="BJ43" i="12"/>
  <c r="BI43" i="12"/>
  <c r="BD43" i="12"/>
  <c r="BF43" i="12" s="1"/>
  <c r="C43" i="12"/>
  <c r="B43" i="12"/>
  <c r="BQ42" i="12"/>
  <c r="BM42" i="12"/>
  <c r="BN42" i="12" s="1"/>
  <c r="BL42" i="12"/>
  <c r="BK42" i="12"/>
  <c r="BJ42" i="12"/>
  <c r="BI42" i="12"/>
  <c r="BD42" i="12"/>
  <c r="BF42" i="12" s="1"/>
  <c r="C42" i="12"/>
  <c r="B42" i="12"/>
  <c r="BQ41" i="12"/>
  <c r="BS41" i="12" s="1"/>
  <c r="BM41" i="12"/>
  <c r="BN41" i="12" s="1"/>
  <c r="BL41" i="12"/>
  <c r="BK41" i="12"/>
  <c r="BJ41" i="12"/>
  <c r="BI41" i="12"/>
  <c r="BD41" i="12"/>
  <c r="BF41" i="12" s="1"/>
  <c r="C41" i="12"/>
  <c r="B41" i="12"/>
  <c r="BQ40" i="12"/>
  <c r="BL40" i="12"/>
  <c r="BK40" i="12"/>
  <c r="BM40" i="12" s="1"/>
  <c r="BN40" i="12" s="1"/>
  <c r="BJ40" i="12"/>
  <c r="BI40" i="12"/>
  <c r="BD40" i="12"/>
  <c r="BF40" i="12" s="1"/>
  <c r="C40" i="12"/>
  <c r="B40" i="12"/>
  <c r="BQ39" i="12"/>
  <c r="BL39" i="12"/>
  <c r="BJ39" i="12"/>
  <c r="BI39" i="12"/>
  <c r="BD39" i="12"/>
  <c r="C39" i="12"/>
  <c r="B39" i="12"/>
  <c r="BQ38" i="12"/>
  <c r="BN38" i="12"/>
  <c r="BL38" i="12"/>
  <c r="BK38" i="12"/>
  <c r="BM38" i="12" s="1"/>
  <c r="BJ38" i="12"/>
  <c r="BI38" i="12"/>
  <c r="BD38" i="12"/>
  <c r="BF38" i="12" s="1"/>
  <c r="C38" i="12"/>
  <c r="B38" i="12"/>
  <c r="BQ37" i="12"/>
  <c r="BL37" i="12"/>
  <c r="BJ37" i="12"/>
  <c r="BI37" i="12"/>
  <c r="BD37" i="12"/>
  <c r="C37" i="12"/>
  <c r="B37" i="12"/>
  <c r="BQ36" i="12"/>
  <c r="BN36" i="12"/>
  <c r="BM36" i="12"/>
  <c r="BL36" i="12"/>
  <c r="BK36" i="12"/>
  <c r="BJ36" i="12"/>
  <c r="BI36" i="12"/>
  <c r="BD36" i="12"/>
  <c r="BF36" i="12" s="1"/>
  <c r="C36" i="12"/>
  <c r="B36" i="12"/>
  <c r="BQ35" i="12"/>
  <c r="BL35" i="12"/>
  <c r="BK35" i="12"/>
  <c r="BM35" i="12" s="1"/>
  <c r="BN35" i="12" s="1"/>
  <c r="BJ35" i="12"/>
  <c r="BI35" i="12"/>
  <c r="BD35" i="12"/>
  <c r="BF35" i="12" s="1"/>
  <c r="C35" i="12"/>
  <c r="B35" i="12"/>
  <c r="BQ34" i="12"/>
  <c r="BL34" i="12"/>
  <c r="BJ34" i="12"/>
  <c r="BI34" i="12"/>
  <c r="BD34" i="12"/>
  <c r="C34" i="12"/>
  <c r="B34" i="12"/>
  <c r="BQ33" i="12"/>
  <c r="BL33" i="12"/>
  <c r="BK33" i="12"/>
  <c r="BM33" i="12" s="1"/>
  <c r="BN33" i="12" s="1"/>
  <c r="BJ33" i="12"/>
  <c r="BI33" i="12"/>
  <c r="BD33" i="12"/>
  <c r="BF33" i="12" s="1"/>
  <c r="C33" i="12"/>
  <c r="B33" i="12"/>
  <c r="BQ32" i="12"/>
  <c r="BL32" i="12"/>
  <c r="BJ32" i="12"/>
  <c r="BI32" i="12"/>
  <c r="BD32" i="12"/>
  <c r="C32" i="12"/>
  <c r="B32" i="12"/>
  <c r="BQ31" i="12"/>
  <c r="BN31" i="12"/>
  <c r="BL31" i="12"/>
  <c r="BK31" i="12"/>
  <c r="BM31" i="12" s="1"/>
  <c r="BJ31" i="12"/>
  <c r="BI31" i="12"/>
  <c r="BD31" i="12"/>
  <c r="BF31" i="12" s="1"/>
  <c r="C31" i="12"/>
  <c r="B31" i="12"/>
  <c r="BQ30" i="12"/>
  <c r="BL30" i="12"/>
  <c r="BJ30" i="12"/>
  <c r="BI30" i="12"/>
  <c r="BD30" i="12"/>
  <c r="C30" i="12"/>
  <c r="B30" i="12"/>
  <c r="BQ29" i="12"/>
  <c r="BS29" i="12" s="1"/>
  <c r="BN29" i="12"/>
  <c r="BL29" i="12"/>
  <c r="BK29" i="12"/>
  <c r="BM29" i="12" s="1"/>
  <c r="BJ29" i="12"/>
  <c r="BI29" i="12"/>
  <c r="BD29" i="12"/>
  <c r="BF29" i="12" s="1"/>
  <c r="C29" i="12"/>
  <c r="B29" i="12"/>
  <c r="BQ28" i="12"/>
  <c r="BL28" i="12"/>
  <c r="BJ28" i="12"/>
  <c r="BI28" i="12"/>
  <c r="BD28" i="12"/>
  <c r="C28" i="12"/>
  <c r="B28" i="12"/>
  <c r="BQ27" i="12"/>
  <c r="BS27" i="12" s="1"/>
  <c r="BL27" i="12"/>
  <c r="BK27" i="12"/>
  <c r="BM27" i="12" s="1"/>
  <c r="BN27" i="12" s="1"/>
  <c r="BJ27" i="12"/>
  <c r="BI27" i="12"/>
  <c r="BD27" i="12"/>
  <c r="BF27" i="12" s="1"/>
  <c r="C27" i="12"/>
  <c r="B27" i="12"/>
  <c r="BQ26" i="12"/>
  <c r="BL26" i="12"/>
  <c r="BJ26" i="12"/>
  <c r="BI26" i="12"/>
  <c r="BD26" i="12"/>
  <c r="C26" i="12"/>
  <c r="B26" i="12"/>
  <c r="BQ25" i="12"/>
  <c r="BL25" i="12"/>
  <c r="BK25" i="12"/>
  <c r="BM25" i="12" s="1"/>
  <c r="BN25" i="12" s="1"/>
  <c r="BJ25" i="12"/>
  <c r="BI25" i="12"/>
  <c r="BD25" i="12"/>
  <c r="BF25" i="12" s="1"/>
  <c r="C25" i="12"/>
  <c r="B25" i="12"/>
  <c r="BQ24" i="12"/>
  <c r="BL24" i="12"/>
  <c r="BJ24" i="12"/>
  <c r="BI24" i="12"/>
  <c r="BD24" i="12"/>
  <c r="C24" i="12"/>
  <c r="B24" i="12"/>
  <c r="BQ23" i="12"/>
  <c r="BN23" i="12"/>
  <c r="BL23" i="12"/>
  <c r="BK23" i="12"/>
  <c r="BM23" i="12" s="1"/>
  <c r="BJ23" i="12"/>
  <c r="BI23" i="12"/>
  <c r="BD23" i="12"/>
  <c r="BF23" i="12" s="1"/>
  <c r="C23" i="12"/>
  <c r="B23" i="12"/>
  <c r="BQ22" i="12"/>
  <c r="BL22" i="12"/>
  <c r="BJ22" i="12"/>
  <c r="BI22" i="12"/>
  <c r="BD22" i="12"/>
  <c r="C22" i="12"/>
  <c r="B22" i="12"/>
  <c r="BQ21" i="12"/>
  <c r="BS21" i="12" s="1"/>
  <c r="BN21" i="12"/>
  <c r="BL21" i="12"/>
  <c r="BK21" i="12"/>
  <c r="BM21" i="12" s="1"/>
  <c r="BJ21" i="12"/>
  <c r="BI21" i="12"/>
  <c r="BD21" i="12"/>
  <c r="BF21" i="12" s="1"/>
  <c r="C21" i="12"/>
  <c r="B21" i="12"/>
  <c r="BQ20" i="12"/>
  <c r="BL20" i="12"/>
  <c r="BJ20" i="12"/>
  <c r="BI20" i="12"/>
  <c r="BD20" i="12"/>
  <c r="C20" i="12"/>
  <c r="B20" i="12"/>
  <c r="BQ19" i="12"/>
  <c r="BS19" i="12" s="1"/>
  <c r="BL19" i="12"/>
  <c r="BK19" i="12"/>
  <c r="BM19" i="12" s="1"/>
  <c r="BN19" i="12" s="1"/>
  <c r="BJ19" i="12"/>
  <c r="BI19" i="12"/>
  <c r="BD19" i="12"/>
  <c r="BF19" i="12" s="1"/>
  <c r="C19" i="12"/>
  <c r="B19" i="12"/>
  <c r="BQ18" i="12"/>
  <c r="BL18" i="12"/>
  <c r="BJ18" i="12"/>
  <c r="BI18" i="12"/>
  <c r="BD18" i="12"/>
  <c r="C18" i="12"/>
  <c r="B18" i="12"/>
  <c r="BQ17" i="12"/>
  <c r="BL17" i="12"/>
  <c r="BK17" i="12"/>
  <c r="BM17" i="12" s="1"/>
  <c r="BN17" i="12" s="1"/>
  <c r="BJ17" i="12"/>
  <c r="BI17" i="12"/>
  <c r="BD17" i="12"/>
  <c r="BF17" i="12" s="1"/>
  <c r="C17" i="12"/>
  <c r="B17" i="12"/>
  <c r="BQ16" i="12"/>
  <c r="BL16" i="12"/>
  <c r="BJ16" i="12"/>
  <c r="BI16" i="12"/>
  <c r="BD16" i="12"/>
  <c r="C16" i="12"/>
  <c r="B16" i="12"/>
  <c r="BQ15" i="12"/>
  <c r="BN15" i="12"/>
  <c r="BL15" i="12"/>
  <c r="BK15" i="12"/>
  <c r="BM15" i="12" s="1"/>
  <c r="BJ15" i="12"/>
  <c r="BI15" i="12"/>
  <c r="BD15" i="12"/>
  <c r="BF15" i="12" s="1"/>
  <c r="C15" i="12"/>
  <c r="B15" i="12"/>
  <c r="BQ14" i="12"/>
  <c r="BL14" i="12"/>
  <c r="BJ14" i="12"/>
  <c r="BI14" i="12"/>
  <c r="BD14" i="12"/>
  <c r="C14" i="12"/>
  <c r="B14" i="12"/>
  <c r="BQ13" i="12"/>
  <c r="BS13" i="12" s="1"/>
  <c r="BN13" i="12"/>
  <c r="BL13" i="12"/>
  <c r="BK13" i="12"/>
  <c r="BM13" i="12" s="1"/>
  <c r="BJ13" i="12"/>
  <c r="BI13" i="12"/>
  <c r="BD13" i="12"/>
  <c r="BF13" i="12" s="1"/>
  <c r="C13" i="12"/>
  <c r="B13" i="12"/>
  <c r="BQ12" i="12"/>
  <c r="BL12" i="12"/>
  <c r="BJ12" i="12"/>
  <c r="BI12" i="12"/>
  <c r="BD12" i="12"/>
  <c r="C12" i="12"/>
  <c r="B12" i="12"/>
  <c r="BQ11" i="12"/>
  <c r="BS11" i="12" s="1"/>
  <c r="BL11" i="12"/>
  <c r="BK11" i="12"/>
  <c r="BM11" i="12" s="1"/>
  <c r="BN11" i="12" s="1"/>
  <c r="BJ11" i="12"/>
  <c r="BI11" i="12"/>
  <c r="BD11" i="12"/>
  <c r="BF11" i="12" s="1"/>
  <c r="C11" i="12"/>
  <c r="B11" i="12"/>
  <c r="BQ10" i="12"/>
  <c r="BL10" i="12"/>
  <c r="BJ10" i="12"/>
  <c r="BI10" i="12"/>
  <c r="BD10" i="12"/>
  <c r="C10" i="12"/>
  <c r="B10" i="12"/>
  <c r="BQ9" i="12"/>
  <c r="BL9" i="12"/>
  <c r="BK9" i="12"/>
  <c r="BM9" i="12" s="1"/>
  <c r="BN9" i="12" s="1"/>
  <c r="BJ9" i="12"/>
  <c r="BI9" i="12"/>
  <c r="BD9" i="12"/>
  <c r="BF9" i="12" s="1"/>
  <c r="C9" i="12"/>
  <c r="B9" i="12"/>
  <c r="BQ8" i="12"/>
  <c r="BL8" i="12"/>
  <c r="BJ8" i="12"/>
  <c r="BI8" i="12"/>
  <c r="BD8" i="12"/>
  <c r="C8" i="12"/>
  <c r="B8" i="12"/>
  <c r="BQ7" i="12"/>
  <c r="BN7" i="12"/>
  <c r="BL7" i="12"/>
  <c r="BK7" i="12"/>
  <c r="BM7" i="12" s="1"/>
  <c r="BJ7" i="12"/>
  <c r="BI7" i="12"/>
  <c r="BD7" i="12"/>
  <c r="BF7" i="12" s="1"/>
  <c r="C7" i="12"/>
  <c r="B7" i="12"/>
  <c r="A1" i="12"/>
  <c r="C150" i="11"/>
  <c r="B150" i="11"/>
  <c r="C149" i="11"/>
  <c r="B149" i="11"/>
  <c r="C148" i="11"/>
  <c r="B148" i="11"/>
  <c r="C147" i="11"/>
  <c r="B147" i="11"/>
  <c r="C146" i="11"/>
  <c r="B146" i="11"/>
  <c r="C145" i="11"/>
  <c r="B145" i="11"/>
  <c r="C144" i="11"/>
  <c r="B144" i="11"/>
  <c r="C143" i="11"/>
  <c r="B143" i="11"/>
  <c r="C142" i="11"/>
  <c r="B142" i="11"/>
  <c r="C141" i="11"/>
  <c r="B141" i="11"/>
  <c r="C140" i="11"/>
  <c r="B140" i="11"/>
  <c r="C139" i="11"/>
  <c r="B139" i="11"/>
  <c r="C138" i="11"/>
  <c r="B138" i="11"/>
  <c r="C137" i="11"/>
  <c r="B137" i="11"/>
  <c r="C136" i="11"/>
  <c r="B136" i="11"/>
  <c r="C135" i="11"/>
  <c r="B135" i="11"/>
  <c r="C134" i="11"/>
  <c r="B134" i="11"/>
  <c r="C133" i="11"/>
  <c r="B133" i="11"/>
  <c r="C132" i="11"/>
  <c r="B132" i="11"/>
  <c r="C131" i="11"/>
  <c r="B131" i="11"/>
  <c r="C130" i="11"/>
  <c r="B130" i="11"/>
  <c r="C129" i="11"/>
  <c r="B129" i="11"/>
  <c r="C128" i="11"/>
  <c r="B128" i="11"/>
  <c r="C127" i="11"/>
  <c r="B127" i="11"/>
  <c r="C126" i="11"/>
  <c r="B126" i="11"/>
  <c r="C125" i="11"/>
  <c r="B125" i="11"/>
  <c r="C124" i="11"/>
  <c r="B124" i="11"/>
  <c r="C123" i="11"/>
  <c r="B123" i="11"/>
  <c r="C122" i="11"/>
  <c r="B122" i="11"/>
  <c r="C121" i="11"/>
  <c r="B121" i="11"/>
  <c r="C120" i="11"/>
  <c r="B120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C110" i="11"/>
  <c r="B110" i="11"/>
  <c r="C109" i="11"/>
  <c r="B109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97" i="11"/>
  <c r="B97" i="11"/>
  <c r="C96" i="11"/>
  <c r="B96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BQ76" i="11"/>
  <c r="BL76" i="11"/>
  <c r="BJ76" i="11"/>
  <c r="BI76" i="11"/>
  <c r="BD76" i="11"/>
  <c r="BF76" i="11" s="1"/>
  <c r="C76" i="11"/>
  <c r="B76" i="11"/>
  <c r="BQ75" i="11"/>
  <c r="BS75" i="11" s="1"/>
  <c r="BN75" i="11"/>
  <c r="BL75" i="11"/>
  <c r="BJ75" i="11"/>
  <c r="BI75" i="11"/>
  <c r="BF75" i="11"/>
  <c r="BD75" i="11"/>
  <c r="BK75" i="11" s="1"/>
  <c r="BM75" i="11" s="1"/>
  <c r="C75" i="11"/>
  <c r="B75" i="11"/>
  <c r="BQ74" i="11"/>
  <c r="BL74" i="11"/>
  <c r="BJ74" i="11"/>
  <c r="BI74" i="11"/>
  <c r="BD74" i="11"/>
  <c r="BF74" i="11" s="1"/>
  <c r="C74" i="11"/>
  <c r="B74" i="11"/>
  <c r="BQ73" i="11"/>
  <c r="BL73" i="11"/>
  <c r="BJ73" i="11"/>
  <c r="BI73" i="11"/>
  <c r="BD73" i="11"/>
  <c r="BF73" i="11" s="1"/>
  <c r="C73" i="11"/>
  <c r="B73" i="11"/>
  <c r="BQ72" i="11"/>
  <c r="BL72" i="11"/>
  <c r="BJ72" i="11"/>
  <c r="BI72" i="11"/>
  <c r="BD72" i="11"/>
  <c r="BF72" i="11" s="1"/>
  <c r="C72" i="11"/>
  <c r="B72" i="11"/>
  <c r="BQ71" i="11"/>
  <c r="BS71" i="11" s="1"/>
  <c r="BN71" i="11"/>
  <c r="BL71" i="11"/>
  <c r="BJ71" i="11"/>
  <c r="BI71" i="11"/>
  <c r="BF71" i="11"/>
  <c r="BD71" i="11"/>
  <c r="BK71" i="11" s="1"/>
  <c r="BM71" i="11" s="1"/>
  <c r="C71" i="11"/>
  <c r="B71" i="11"/>
  <c r="BQ70" i="11"/>
  <c r="BL70" i="11"/>
  <c r="BJ70" i="11"/>
  <c r="BI70" i="11"/>
  <c r="BF70" i="11"/>
  <c r="BD70" i="11"/>
  <c r="BK70" i="11" s="1"/>
  <c r="BM70" i="11" s="1"/>
  <c r="BN70" i="11" s="1"/>
  <c r="BS70" i="11" s="1"/>
  <c r="C70" i="11"/>
  <c r="B70" i="11"/>
  <c r="BQ69" i="11"/>
  <c r="BL69" i="11"/>
  <c r="BJ69" i="11"/>
  <c r="BI69" i="11"/>
  <c r="BD69" i="11"/>
  <c r="BF69" i="11" s="1"/>
  <c r="C69" i="11"/>
  <c r="B69" i="11"/>
  <c r="BQ68" i="11"/>
  <c r="BL68" i="11"/>
  <c r="BJ68" i="11"/>
  <c r="BI68" i="11"/>
  <c r="BD68" i="11"/>
  <c r="BF68" i="11" s="1"/>
  <c r="C68" i="11"/>
  <c r="B68" i="11"/>
  <c r="BQ67" i="11"/>
  <c r="BS67" i="11" s="1"/>
  <c r="BN67" i="11"/>
  <c r="BL67" i="11"/>
  <c r="BJ67" i="11"/>
  <c r="BI67" i="11"/>
  <c r="BF67" i="11"/>
  <c r="BD67" i="11"/>
  <c r="BK67" i="11" s="1"/>
  <c r="BM67" i="11" s="1"/>
  <c r="C67" i="11"/>
  <c r="B67" i="11"/>
  <c r="BQ66" i="11"/>
  <c r="BL66" i="11"/>
  <c r="BJ66" i="11"/>
  <c r="BI66" i="11"/>
  <c r="BF66" i="11"/>
  <c r="BD66" i="11"/>
  <c r="BK66" i="11" s="1"/>
  <c r="BM66" i="11" s="1"/>
  <c r="BN66" i="11" s="1"/>
  <c r="BS66" i="11" s="1"/>
  <c r="C66" i="11"/>
  <c r="B66" i="11"/>
  <c r="BQ65" i="11"/>
  <c r="BL65" i="11"/>
  <c r="BJ65" i="11"/>
  <c r="BI65" i="11"/>
  <c r="BD65" i="11"/>
  <c r="BF65" i="11" s="1"/>
  <c r="C65" i="11"/>
  <c r="B65" i="11"/>
  <c r="BQ64" i="11"/>
  <c r="BL64" i="11"/>
  <c r="BJ64" i="11"/>
  <c r="BI64" i="11"/>
  <c r="BD64" i="11"/>
  <c r="BF64" i="11" s="1"/>
  <c r="C64" i="11"/>
  <c r="B64" i="11"/>
  <c r="BQ63" i="11"/>
  <c r="BS63" i="11" s="1"/>
  <c r="BN63" i="11"/>
  <c r="BL63" i="11"/>
  <c r="BJ63" i="11"/>
  <c r="BI63" i="11"/>
  <c r="BF63" i="11"/>
  <c r="BD63" i="11"/>
  <c r="BK63" i="11" s="1"/>
  <c r="BM63" i="11" s="1"/>
  <c r="C63" i="11"/>
  <c r="B63" i="11"/>
  <c r="BQ62" i="11"/>
  <c r="BL62" i="11"/>
  <c r="BJ62" i="11"/>
  <c r="BI62" i="11"/>
  <c r="BD62" i="11"/>
  <c r="BF62" i="11" s="1"/>
  <c r="C62" i="11"/>
  <c r="B62" i="11"/>
  <c r="BQ61" i="11"/>
  <c r="BL61" i="11"/>
  <c r="BJ61" i="11"/>
  <c r="BI61" i="11"/>
  <c r="BD61" i="11"/>
  <c r="BF61" i="11" s="1"/>
  <c r="C61" i="11"/>
  <c r="B61" i="11"/>
  <c r="BQ60" i="11"/>
  <c r="BL60" i="11"/>
  <c r="BJ60" i="11"/>
  <c r="BI60" i="11"/>
  <c r="BD60" i="11"/>
  <c r="BF60" i="11" s="1"/>
  <c r="C60" i="11"/>
  <c r="B60" i="11"/>
  <c r="BQ59" i="11"/>
  <c r="BS59" i="11" s="1"/>
  <c r="BN59" i="11"/>
  <c r="BL59" i="11"/>
  <c r="BJ59" i="11"/>
  <c r="BI59" i="11"/>
  <c r="BF59" i="11"/>
  <c r="BD59" i="11"/>
  <c r="BK59" i="11" s="1"/>
  <c r="BM59" i="11" s="1"/>
  <c r="C59" i="11"/>
  <c r="B59" i="11"/>
  <c r="BQ58" i="11"/>
  <c r="BL58" i="11"/>
  <c r="BK58" i="11"/>
  <c r="BJ58" i="11"/>
  <c r="BI58" i="11"/>
  <c r="BD58" i="11"/>
  <c r="BF58" i="11" s="1"/>
  <c r="C58" i="11"/>
  <c r="B58" i="11"/>
  <c r="BQ57" i="11"/>
  <c r="BL57" i="11"/>
  <c r="BJ57" i="11"/>
  <c r="BI57" i="11"/>
  <c r="BD57" i="11"/>
  <c r="BF57" i="11" s="1"/>
  <c r="C57" i="11"/>
  <c r="B57" i="11"/>
  <c r="BQ56" i="11"/>
  <c r="BL56" i="11"/>
  <c r="BJ56" i="11"/>
  <c r="BI56" i="11"/>
  <c r="BD56" i="11"/>
  <c r="BF56" i="11" s="1"/>
  <c r="C56" i="11"/>
  <c r="B56" i="11"/>
  <c r="BQ55" i="11"/>
  <c r="BS55" i="11" s="1"/>
  <c r="BN55" i="11"/>
  <c r="BL55" i="11"/>
  <c r="BJ55" i="11"/>
  <c r="BI55" i="11"/>
  <c r="BF55" i="11"/>
  <c r="BD55" i="11"/>
  <c r="BK55" i="11" s="1"/>
  <c r="BM55" i="11" s="1"/>
  <c r="C55" i="11"/>
  <c r="B55" i="11"/>
  <c r="BQ54" i="11"/>
  <c r="BL54" i="11"/>
  <c r="BK54" i="11"/>
  <c r="BJ54" i="11"/>
  <c r="BI54" i="11"/>
  <c r="BD54" i="11"/>
  <c r="BF54" i="11" s="1"/>
  <c r="C54" i="11"/>
  <c r="B54" i="11"/>
  <c r="BQ53" i="11"/>
  <c r="BL53" i="11"/>
  <c r="BJ53" i="11"/>
  <c r="BI53" i="11"/>
  <c r="BD53" i="11"/>
  <c r="BF53" i="11" s="1"/>
  <c r="C53" i="11"/>
  <c r="B53" i="11"/>
  <c r="BQ52" i="11"/>
  <c r="BL52" i="11"/>
  <c r="BJ52" i="11"/>
  <c r="BI52" i="11"/>
  <c r="BD52" i="11"/>
  <c r="BF52" i="11" s="1"/>
  <c r="C52" i="11"/>
  <c r="B52" i="11"/>
  <c r="BQ51" i="11"/>
  <c r="BS51" i="11" s="1"/>
  <c r="BN51" i="11"/>
  <c r="BL51" i="11"/>
  <c r="BJ51" i="11"/>
  <c r="BI51" i="11"/>
  <c r="BF51" i="11"/>
  <c r="BD51" i="11"/>
  <c r="BK51" i="11" s="1"/>
  <c r="BM51" i="11" s="1"/>
  <c r="C51" i="11"/>
  <c r="B51" i="11"/>
  <c r="BQ50" i="11"/>
  <c r="BL50" i="11"/>
  <c r="BJ50" i="11"/>
  <c r="BI50" i="11"/>
  <c r="BF50" i="11"/>
  <c r="BD50" i="11"/>
  <c r="BK50" i="11" s="1"/>
  <c r="BM50" i="11" s="1"/>
  <c r="BN50" i="11" s="1"/>
  <c r="BS50" i="11" s="1"/>
  <c r="C50" i="11"/>
  <c r="B50" i="11"/>
  <c r="BQ49" i="11"/>
  <c r="BL49" i="11"/>
  <c r="BJ49" i="11"/>
  <c r="BI49" i="11"/>
  <c r="BD49" i="11"/>
  <c r="BF49" i="11" s="1"/>
  <c r="C49" i="11"/>
  <c r="B49" i="11"/>
  <c r="BQ48" i="11"/>
  <c r="BL48" i="11"/>
  <c r="BJ48" i="11"/>
  <c r="BI48" i="11"/>
  <c r="BD48" i="11"/>
  <c r="BF48" i="11" s="1"/>
  <c r="C48" i="11"/>
  <c r="B48" i="11"/>
  <c r="BQ47" i="11"/>
  <c r="BS47" i="11" s="1"/>
  <c r="BN47" i="11"/>
  <c r="BL47" i="11"/>
  <c r="BJ47" i="11"/>
  <c r="BI47" i="11"/>
  <c r="BF47" i="11"/>
  <c r="BD47" i="11"/>
  <c r="BK47" i="11" s="1"/>
  <c r="BM47" i="11" s="1"/>
  <c r="C47" i="11"/>
  <c r="B47" i="11"/>
  <c r="BQ46" i="11"/>
  <c r="BL46" i="11"/>
  <c r="BJ46" i="11"/>
  <c r="BI46" i="11"/>
  <c r="BD46" i="11"/>
  <c r="BF46" i="11" s="1"/>
  <c r="C46" i="11"/>
  <c r="B46" i="11"/>
  <c r="BQ45" i="11"/>
  <c r="BL45" i="11"/>
  <c r="BJ45" i="11"/>
  <c r="BI45" i="11"/>
  <c r="BD45" i="11"/>
  <c r="BF45" i="11" s="1"/>
  <c r="C45" i="11"/>
  <c r="B45" i="11"/>
  <c r="BQ44" i="11"/>
  <c r="BL44" i="11"/>
  <c r="BJ44" i="11"/>
  <c r="BI44" i="11"/>
  <c r="BD44" i="11"/>
  <c r="BF44" i="11" s="1"/>
  <c r="C44" i="11"/>
  <c r="B44" i="11"/>
  <c r="BQ43" i="11"/>
  <c r="BS43" i="11" s="1"/>
  <c r="BN43" i="11"/>
  <c r="BL43" i="11"/>
  <c r="BJ43" i="11"/>
  <c r="BI43" i="11"/>
  <c r="BF43" i="11"/>
  <c r="BD43" i="11"/>
  <c r="BK43" i="11" s="1"/>
  <c r="BM43" i="11" s="1"/>
  <c r="C43" i="11"/>
  <c r="B43" i="11"/>
  <c r="BQ42" i="11"/>
  <c r="BL42" i="11"/>
  <c r="BJ42" i="11"/>
  <c r="BI42" i="11"/>
  <c r="BD42" i="11"/>
  <c r="BF42" i="11" s="1"/>
  <c r="C42" i="11"/>
  <c r="B42" i="11"/>
  <c r="BQ41" i="11"/>
  <c r="BL41" i="11"/>
  <c r="BJ41" i="11"/>
  <c r="BI41" i="11"/>
  <c r="BD41" i="11"/>
  <c r="BF41" i="11" s="1"/>
  <c r="C41" i="11"/>
  <c r="B41" i="11"/>
  <c r="BQ40" i="11"/>
  <c r="BL40" i="11"/>
  <c r="BJ40" i="11"/>
  <c r="BI40" i="11"/>
  <c r="BD40" i="11"/>
  <c r="BF40" i="11" s="1"/>
  <c r="C40" i="11"/>
  <c r="B40" i="11"/>
  <c r="BQ39" i="11"/>
  <c r="BS39" i="11" s="1"/>
  <c r="BN39" i="11"/>
  <c r="BL39" i="11"/>
  <c r="BJ39" i="11"/>
  <c r="BI39" i="11"/>
  <c r="BF39" i="11"/>
  <c r="BD39" i="11"/>
  <c r="BK39" i="11" s="1"/>
  <c r="BM39" i="11" s="1"/>
  <c r="C39" i="11"/>
  <c r="B39" i="11"/>
  <c r="BQ38" i="11"/>
  <c r="BL38" i="11"/>
  <c r="W35" i="1" s="1"/>
  <c r="BJ38" i="11"/>
  <c r="BI38" i="11"/>
  <c r="BF38" i="11"/>
  <c r="BD38" i="11"/>
  <c r="BK38" i="11" s="1"/>
  <c r="C38" i="11"/>
  <c r="B38" i="11"/>
  <c r="BQ37" i="11"/>
  <c r="BL37" i="11"/>
  <c r="BJ37" i="11"/>
  <c r="BI37" i="11"/>
  <c r="BD37" i="11"/>
  <c r="BF37" i="11" s="1"/>
  <c r="C37" i="11"/>
  <c r="B37" i="11"/>
  <c r="BQ36" i="11"/>
  <c r="BL36" i="11"/>
  <c r="BJ36" i="11"/>
  <c r="BI36" i="11"/>
  <c r="BD36" i="11"/>
  <c r="BF36" i="11" s="1"/>
  <c r="C36" i="11"/>
  <c r="B36" i="11"/>
  <c r="BQ35" i="11"/>
  <c r="BS35" i="11" s="1"/>
  <c r="BN35" i="11"/>
  <c r="BL35" i="11"/>
  <c r="BJ35" i="11"/>
  <c r="BI35" i="11"/>
  <c r="BF35" i="11"/>
  <c r="BD35" i="11"/>
  <c r="BK35" i="11" s="1"/>
  <c r="BM35" i="11" s="1"/>
  <c r="C35" i="11"/>
  <c r="B35" i="11"/>
  <c r="BQ34" i="11"/>
  <c r="BL34" i="11"/>
  <c r="BJ34" i="11"/>
  <c r="BI34" i="11"/>
  <c r="BF34" i="11"/>
  <c r="BD34" i="11"/>
  <c r="BK34" i="11" s="1"/>
  <c r="BM34" i="11" s="1"/>
  <c r="BN34" i="11" s="1"/>
  <c r="BS34" i="11" s="1"/>
  <c r="C34" i="11"/>
  <c r="B34" i="11"/>
  <c r="BQ33" i="11"/>
  <c r="BL33" i="11"/>
  <c r="BJ33" i="11"/>
  <c r="BI33" i="11"/>
  <c r="BD33" i="11"/>
  <c r="BF33" i="11" s="1"/>
  <c r="C33" i="11"/>
  <c r="B33" i="11"/>
  <c r="BQ32" i="11"/>
  <c r="BS32" i="11" s="1"/>
  <c r="BL32" i="11"/>
  <c r="BK32" i="11"/>
  <c r="BM32" i="11" s="1"/>
  <c r="BN32" i="11" s="1"/>
  <c r="BJ32" i="11"/>
  <c r="BI32" i="11"/>
  <c r="BD32" i="11"/>
  <c r="BF32" i="11" s="1"/>
  <c r="C32" i="11"/>
  <c r="B32" i="11"/>
  <c r="BQ31" i="11"/>
  <c r="BL31" i="11"/>
  <c r="BJ31" i="11"/>
  <c r="BI31" i="11"/>
  <c r="BF31" i="11"/>
  <c r="BD31" i="11"/>
  <c r="BK31" i="11" s="1"/>
  <c r="BM31" i="11" s="1"/>
  <c r="BN31" i="11" s="1"/>
  <c r="C31" i="11"/>
  <c r="B31" i="11"/>
  <c r="BQ30" i="11"/>
  <c r="BL30" i="11"/>
  <c r="BJ30" i="11"/>
  <c r="BI30" i="11"/>
  <c r="BF30" i="11"/>
  <c r="BD30" i="11"/>
  <c r="BK30" i="11" s="1"/>
  <c r="BM30" i="11" s="1"/>
  <c r="BN30" i="11" s="1"/>
  <c r="BS30" i="11" s="1"/>
  <c r="C30" i="11"/>
  <c r="B30" i="11"/>
  <c r="BQ29" i="11"/>
  <c r="BL29" i="11"/>
  <c r="BJ29" i="11"/>
  <c r="BI29" i="11"/>
  <c r="BD29" i="11"/>
  <c r="BF29" i="11" s="1"/>
  <c r="C29" i="11"/>
  <c r="B29" i="11"/>
  <c r="BQ28" i="11"/>
  <c r="BS28" i="11" s="1"/>
  <c r="BL28" i="11"/>
  <c r="BK28" i="11"/>
  <c r="BM28" i="11" s="1"/>
  <c r="BN28" i="11" s="1"/>
  <c r="BJ28" i="11"/>
  <c r="BI28" i="11"/>
  <c r="BD28" i="11"/>
  <c r="BF28" i="11" s="1"/>
  <c r="C28" i="11"/>
  <c r="B28" i="11"/>
  <c r="BQ27" i="11"/>
  <c r="BL27" i="11"/>
  <c r="BJ27" i="11"/>
  <c r="BI27" i="11"/>
  <c r="BF27" i="11"/>
  <c r="BD27" i="11"/>
  <c r="BK27" i="11" s="1"/>
  <c r="BM27" i="11" s="1"/>
  <c r="BN27" i="11" s="1"/>
  <c r="C27" i="11"/>
  <c r="B27" i="11"/>
  <c r="BQ26" i="11"/>
  <c r="BN26" i="11"/>
  <c r="BS26" i="11" s="1"/>
  <c r="BL26" i="11"/>
  <c r="BJ26" i="11"/>
  <c r="BI26" i="11"/>
  <c r="BF26" i="11"/>
  <c r="BD26" i="11"/>
  <c r="BK26" i="11" s="1"/>
  <c r="BM26" i="11" s="1"/>
  <c r="C26" i="11"/>
  <c r="B26" i="11"/>
  <c r="BQ25" i="11"/>
  <c r="BL25" i="11"/>
  <c r="BJ25" i="11"/>
  <c r="BI25" i="11"/>
  <c r="BD25" i="11"/>
  <c r="BF25" i="11" s="1"/>
  <c r="C25" i="11"/>
  <c r="B25" i="11"/>
  <c r="BQ24" i="11"/>
  <c r="BS24" i="11" s="1"/>
  <c r="BL24" i="11"/>
  <c r="BK24" i="11"/>
  <c r="BM24" i="11" s="1"/>
  <c r="BN24" i="11" s="1"/>
  <c r="BJ24" i="11"/>
  <c r="BI24" i="11"/>
  <c r="BD24" i="11"/>
  <c r="BF24" i="11" s="1"/>
  <c r="C24" i="11"/>
  <c r="B24" i="11"/>
  <c r="BQ23" i="11"/>
  <c r="BL23" i="11"/>
  <c r="BJ23" i="11"/>
  <c r="BI23" i="11"/>
  <c r="BF23" i="11"/>
  <c r="BD23" i="11"/>
  <c r="BK23" i="11" s="1"/>
  <c r="BM23" i="11" s="1"/>
  <c r="BN23" i="11" s="1"/>
  <c r="C23" i="11"/>
  <c r="B23" i="11"/>
  <c r="BQ22" i="11"/>
  <c r="BN22" i="11"/>
  <c r="BS22" i="11" s="1"/>
  <c r="BL22" i="11"/>
  <c r="BJ22" i="11"/>
  <c r="BI22" i="11"/>
  <c r="BF22" i="11"/>
  <c r="BD22" i="11"/>
  <c r="BK22" i="11" s="1"/>
  <c r="BM22" i="11" s="1"/>
  <c r="C22" i="11"/>
  <c r="B22" i="11"/>
  <c r="BQ21" i="11"/>
  <c r="BL21" i="11"/>
  <c r="BJ21" i="11"/>
  <c r="BI21" i="11"/>
  <c r="BF21" i="11"/>
  <c r="BD21" i="11"/>
  <c r="BK21" i="11" s="1"/>
  <c r="BM21" i="11" s="1"/>
  <c r="BN21" i="11" s="1"/>
  <c r="BS21" i="11" s="1"/>
  <c r="C21" i="11"/>
  <c r="B21" i="11"/>
  <c r="BQ20" i="11"/>
  <c r="BL20" i="11"/>
  <c r="BK20" i="11"/>
  <c r="BM20" i="11" s="1"/>
  <c r="BN20" i="11" s="1"/>
  <c r="BS20" i="11" s="1"/>
  <c r="BJ20" i="11"/>
  <c r="BI20" i="11"/>
  <c r="BD20" i="11"/>
  <c r="BF20" i="11" s="1"/>
  <c r="C20" i="11"/>
  <c r="B20" i="11"/>
  <c r="BQ19" i="11"/>
  <c r="BL19" i="11"/>
  <c r="BJ19" i="11"/>
  <c r="BI19" i="11"/>
  <c r="BF19" i="11"/>
  <c r="BD19" i="11"/>
  <c r="BK19" i="11" s="1"/>
  <c r="BM19" i="11" s="1"/>
  <c r="BN19" i="11" s="1"/>
  <c r="C19" i="11"/>
  <c r="B19" i="11"/>
  <c r="BQ18" i="11"/>
  <c r="BL18" i="11"/>
  <c r="BJ18" i="11"/>
  <c r="BI18" i="11"/>
  <c r="BF18" i="11"/>
  <c r="BD18" i="11"/>
  <c r="BK18" i="11" s="1"/>
  <c r="BM18" i="11" s="1"/>
  <c r="BN18" i="11" s="1"/>
  <c r="BS18" i="11" s="1"/>
  <c r="C18" i="11"/>
  <c r="B18" i="11"/>
  <c r="BQ17" i="11"/>
  <c r="BL17" i="11"/>
  <c r="BJ17" i="11"/>
  <c r="BI17" i="11"/>
  <c r="BF17" i="11"/>
  <c r="BD17" i="11"/>
  <c r="BK17" i="11" s="1"/>
  <c r="BM17" i="11" s="1"/>
  <c r="BN17" i="11" s="1"/>
  <c r="BS17" i="11" s="1"/>
  <c r="C17" i="11"/>
  <c r="B17" i="11"/>
  <c r="BS16" i="11"/>
  <c r="BQ16" i="11"/>
  <c r="BL16" i="11"/>
  <c r="BK16" i="11"/>
  <c r="BM16" i="11" s="1"/>
  <c r="BN16" i="11" s="1"/>
  <c r="BJ16" i="11"/>
  <c r="BI16" i="11"/>
  <c r="BD16" i="11"/>
  <c r="BF16" i="11" s="1"/>
  <c r="C16" i="11"/>
  <c r="B16" i="11"/>
  <c r="BQ15" i="11"/>
  <c r="BL15" i="11"/>
  <c r="BJ15" i="11"/>
  <c r="BI15" i="11"/>
  <c r="BF15" i="11"/>
  <c r="BD15" i="11"/>
  <c r="BK15" i="11" s="1"/>
  <c r="BM15" i="11" s="1"/>
  <c r="BN15" i="11" s="1"/>
  <c r="C15" i="11"/>
  <c r="B15" i="11"/>
  <c r="BQ14" i="11"/>
  <c r="BL14" i="11"/>
  <c r="BJ14" i="11"/>
  <c r="BI14" i="11"/>
  <c r="BF14" i="11"/>
  <c r="BD14" i="11"/>
  <c r="BK14" i="11" s="1"/>
  <c r="BM14" i="11" s="1"/>
  <c r="BN14" i="11" s="1"/>
  <c r="BS14" i="11" s="1"/>
  <c r="C14" i="11"/>
  <c r="B14" i="11"/>
  <c r="BQ13" i="11"/>
  <c r="BL13" i="11"/>
  <c r="BJ13" i="11"/>
  <c r="BI13" i="11"/>
  <c r="BD13" i="11"/>
  <c r="BF13" i="11" s="1"/>
  <c r="C13" i="11"/>
  <c r="B13" i="11"/>
  <c r="BQ12" i="11"/>
  <c r="BS12" i="11" s="1"/>
  <c r="J8" i="3" s="1"/>
  <c r="BL12" i="11"/>
  <c r="BK12" i="11"/>
  <c r="BM12" i="11" s="1"/>
  <c r="BN12" i="11" s="1"/>
  <c r="BJ12" i="11"/>
  <c r="BI12" i="11"/>
  <c r="BD12" i="11"/>
  <c r="BF12" i="11" s="1"/>
  <c r="C12" i="11"/>
  <c r="B12" i="11"/>
  <c r="BQ11" i="11"/>
  <c r="BL11" i="11"/>
  <c r="BJ11" i="11"/>
  <c r="BI11" i="11"/>
  <c r="BF11" i="11"/>
  <c r="BD11" i="11"/>
  <c r="BK11" i="11" s="1"/>
  <c r="BM11" i="11" s="1"/>
  <c r="BN11" i="11" s="1"/>
  <c r="C11" i="11"/>
  <c r="B11" i="11"/>
  <c r="BQ10" i="11"/>
  <c r="BN10" i="11"/>
  <c r="BS10" i="11" s="1"/>
  <c r="BL10" i="11"/>
  <c r="BJ10" i="11"/>
  <c r="BI10" i="11"/>
  <c r="BF10" i="11"/>
  <c r="BD10" i="11"/>
  <c r="BK10" i="11" s="1"/>
  <c r="BM10" i="11" s="1"/>
  <c r="C10" i="11"/>
  <c r="B10" i="11"/>
  <c r="BQ9" i="11"/>
  <c r="BL9" i="11"/>
  <c r="BJ9" i="11"/>
  <c r="BI9" i="11"/>
  <c r="BF9" i="11"/>
  <c r="BD9" i="11"/>
  <c r="BK9" i="11" s="1"/>
  <c r="BM9" i="11" s="1"/>
  <c r="BN9" i="11" s="1"/>
  <c r="BS9" i="11" s="1"/>
  <c r="C9" i="11"/>
  <c r="B9" i="11"/>
  <c r="BQ8" i="11"/>
  <c r="BL8" i="11"/>
  <c r="BK8" i="11"/>
  <c r="BM8" i="11" s="1"/>
  <c r="BN8" i="11" s="1"/>
  <c r="BS8" i="11" s="1"/>
  <c r="J4" i="3" s="1"/>
  <c r="BJ8" i="11"/>
  <c r="BI8" i="11"/>
  <c r="BD8" i="11"/>
  <c r="BF8" i="11" s="1"/>
  <c r="C8" i="11"/>
  <c r="B8" i="11"/>
  <c r="BQ7" i="11"/>
  <c r="BL7" i="11"/>
  <c r="BJ7" i="11"/>
  <c r="BI7" i="11"/>
  <c r="BF7" i="11"/>
  <c r="BD7" i="11"/>
  <c r="BK7" i="11" s="1"/>
  <c r="BM7" i="11" s="1"/>
  <c r="BN7" i="11" s="1"/>
  <c r="C7" i="11"/>
  <c r="B7" i="11"/>
  <c r="A1" i="11"/>
  <c r="C149" i="10"/>
  <c r="B149" i="10"/>
  <c r="C148" i="10"/>
  <c r="B148" i="10"/>
  <c r="C147" i="10"/>
  <c r="B147" i="10"/>
  <c r="C146" i="10"/>
  <c r="B146" i="10"/>
  <c r="C145" i="10"/>
  <c r="B145" i="10"/>
  <c r="C144" i="10"/>
  <c r="B144" i="10"/>
  <c r="C143" i="10"/>
  <c r="B143" i="10"/>
  <c r="C142" i="10"/>
  <c r="B142" i="10"/>
  <c r="C141" i="10"/>
  <c r="B141" i="10"/>
  <c r="C140" i="10"/>
  <c r="B140" i="10"/>
  <c r="C139" i="10"/>
  <c r="B139" i="10"/>
  <c r="C138" i="10"/>
  <c r="B138" i="10"/>
  <c r="C137" i="10"/>
  <c r="B137" i="10"/>
  <c r="C136" i="10"/>
  <c r="B136" i="10"/>
  <c r="C135" i="10"/>
  <c r="B135" i="10"/>
  <c r="C134" i="10"/>
  <c r="B134" i="10"/>
  <c r="C133" i="10"/>
  <c r="B133" i="10"/>
  <c r="C132" i="10"/>
  <c r="B132" i="10"/>
  <c r="C131" i="10"/>
  <c r="B131" i="10"/>
  <c r="C130" i="10"/>
  <c r="B130" i="10"/>
  <c r="C129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C112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B99" i="10"/>
  <c r="C98" i="10"/>
  <c r="B98" i="10"/>
  <c r="C97" i="10"/>
  <c r="B97" i="10"/>
  <c r="C96" i="10"/>
  <c r="B96" i="10"/>
  <c r="C95" i="10"/>
  <c r="B95" i="10"/>
  <c r="C94" i="10"/>
  <c r="B94" i="10"/>
  <c r="C93" i="10"/>
  <c r="B93" i="10"/>
  <c r="C92" i="10"/>
  <c r="B92" i="10"/>
  <c r="C91" i="10"/>
  <c r="B91" i="10"/>
  <c r="C90" i="10"/>
  <c r="B90" i="10"/>
  <c r="C89" i="10"/>
  <c r="B89" i="10"/>
  <c r="C88" i="10"/>
  <c r="B88" i="10"/>
  <c r="C87" i="10"/>
  <c r="B87" i="10"/>
  <c r="C86" i="10"/>
  <c r="B86" i="10"/>
  <c r="C85" i="10"/>
  <c r="B85" i="10"/>
  <c r="C84" i="10"/>
  <c r="B84" i="10"/>
  <c r="C83" i="10"/>
  <c r="B83" i="10"/>
  <c r="C82" i="10"/>
  <c r="B82" i="10"/>
  <c r="C81" i="10"/>
  <c r="B81" i="10"/>
  <c r="C80" i="10"/>
  <c r="B80" i="10"/>
  <c r="BQ76" i="10"/>
  <c r="BM76" i="10"/>
  <c r="BN76" i="10" s="1"/>
  <c r="BL76" i="10"/>
  <c r="BJ76" i="10"/>
  <c r="BI76" i="10"/>
  <c r="BF76" i="10"/>
  <c r="BD76" i="10"/>
  <c r="BK76" i="10" s="1"/>
  <c r="C76" i="10"/>
  <c r="B76" i="10"/>
  <c r="BQ75" i="10"/>
  <c r="BL75" i="10"/>
  <c r="BJ75" i="10"/>
  <c r="BI75" i="10"/>
  <c r="BD75" i="10"/>
  <c r="BF75" i="10" s="1"/>
  <c r="C75" i="10"/>
  <c r="B75" i="10"/>
  <c r="BQ74" i="10"/>
  <c r="BS74" i="10" s="1"/>
  <c r="K70" i="3" s="1"/>
  <c r="BL74" i="10"/>
  <c r="BJ74" i="10"/>
  <c r="BI74" i="10"/>
  <c r="BF74" i="10"/>
  <c r="BD74" i="10"/>
  <c r="BK74" i="10" s="1"/>
  <c r="BM74" i="10" s="1"/>
  <c r="BN74" i="10" s="1"/>
  <c r="C74" i="10"/>
  <c r="B74" i="10"/>
  <c r="BQ73" i="10"/>
  <c r="BL73" i="10"/>
  <c r="BJ73" i="10"/>
  <c r="BI73" i="10"/>
  <c r="BD73" i="10"/>
  <c r="C73" i="10"/>
  <c r="B73" i="10"/>
  <c r="BQ72" i="10"/>
  <c r="BS72" i="10" s="1"/>
  <c r="BM72" i="10"/>
  <c r="BN72" i="10" s="1"/>
  <c r="BL72" i="10"/>
  <c r="BJ72" i="10"/>
  <c r="BI72" i="10"/>
  <c r="BF72" i="10"/>
  <c r="BD72" i="10"/>
  <c r="C72" i="10"/>
  <c r="B72" i="10"/>
  <c r="BQ71" i="10"/>
  <c r="BL71" i="10"/>
  <c r="BK71" i="10"/>
  <c r="BM71" i="10" s="1"/>
  <c r="BN71" i="10" s="1"/>
  <c r="BS71" i="10" s="1"/>
  <c r="BJ71" i="10"/>
  <c r="BI71" i="10"/>
  <c r="BD71" i="10"/>
  <c r="BF71" i="10" s="1"/>
  <c r="C71" i="10"/>
  <c r="B71" i="10"/>
  <c r="BQ70" i="10"/>
  <c r="BL70" i="10"/>
  <c r="BJ70" i="10"/>
  <c r="BI70" i="10"/>
  <c r="BD70" i="10"/>
  <c r="BF70" i="10" s="1"/>
  <c r="C70" i="10"/>
  <c r="B70" i="10"/>
  <c r="BQ69" i="10"/>
  <c r="BS69" i="10" s="1"/>
  <c r="BN69" i="10"/>
  <c r="BL69" i="10"/>
  <c r="BJ69" i="10"/>
  <c r="BI69" i="10"/>
  <c r="BF69" i="10"/>
  <c r="BD69" i="10"/>
  <c r="BK69" i="10" s="1"/>
  <c r="BM69" i="10" s="1"/>
  <c r="C69" i="10"/>
  <c r="B69" i="10"/>
  <c r="BQ68" i="10"/>
  <c r="BN68" i="10"/>
  <c r="BS68" i="10" s="1"/>
  <c r="BL68" i="10"/>
  <c r="BJ68" i="10"/>
  <c r="BI68" i="10"/>
  <c r="BF68" i="10"/>
  <c r="BD68" i="10"/>
  <c r="BK68" i="10" s="1"/>
  <c r="BM68" i="10" s="1"/>
  <c r="C68" i="10"/>
  <c r="B68" i="10"/>
  <c r="BS67" i="10"/>
  <c r="BQ67" i="10"/>
  <c r="BL67" i="10"/>
  <c r="BK67" i="10"/>
  <c r="BM67" i="10" s="1"/>
  <c r="BN67" i="10" s="1"/>
  <c r="BJ67" i="10"/>
  <c r="BI67" i="10"/>
  <c r="BD67" i="10"/>
  <c r="BF67" i="10" s="1"/>
  <c r="C67" i="10"/>
  <c r="B67" i="10"/>
  <c r="BQ66" i="10"/>
  <c r="BL66" i="10"/>
  <c r="BJ66" i="10"/>
  <c r="BI66" i="10"/>
  <c r="BD66" i="10"/>
  <c r="BF66" i="10" s="1"/>
  <c r="C66" i="10"/>
  <c r="B66" i="10"/>
  <c r="BQ65" i="10"/>
  <c r="BS65" i="10" s="1"/>
  <c r="BN65" i="10"/>
  <c r="BL65" i="10"/>
  <c r="BJ65" i="10"/>
  <c r="BI65" i="10"/>
  <c r="BF65" i="10"/>
  <c r="BD65" i="10"/>
  <c r="BK65" i="10" s="1"/>
  <c r="BM65" i="10" s="1"/>
  <c r="C65" i="10"/>
  <c r="B65" i="10"/>
  <c r="BQ64" i="10"/>
  <c r="BL64" i="10"/>
  <c r="BJ64" i="10"/>
  <c r="BI64" i="10"/>
  <c r="BF64" i="10"/>
  <c r="BD64" i="10"/>
  <c r="BK64" i="10" s="1"/>
  <c r="BM64" i="10" s="1"/>
  <c r="BN64" i="10" s="1"/>
  <c r="BS64" i="10" s="1"/>
  <c r="C64" i="10"/>
  <c r="B64" i="10"/>
  <c r="BQ63" i="10"/>
  <c r="BL63" i="10"/>
  <c r="BJ63" i="10"/>
  <c r="BI63" i="10"/>
  <c r="BD63" i="10"/>
  <c r="C63" i="10"/>
  <c r="B63" i="10"/>
  <c r="BQ62" i="10"/>
  <c r="BL62" i="10"/>
  <c r="BJ62" i="10"/>
  <c r="BI62" i="10"/>
  <c r="BD62" i="10"/>
  <c r="BF62" i="10" s="1"/>
  <c r="C62" i="10"/>
  <c r="B62" i="10"/>
  <c r="BQ61" i="10"/>
  <c r="BS61" i="10" s="1"/>
  <c r="K57" i="3" s="1"/>
  <c r="BN61" i="10"/>
  <c r="BL61" i="10"/>
  <c r="BJ61" i="10"/>
  <c r="BI61" i="10"/>
  <c r="BF61" i="10"/>
  <c r="BD61" i="10"/>
  <c r="BK61" i="10" s="1"/>
  <c r="BM61" i="10" s="1"/>
  <c r="C61" i="10"/>
  <c r="B61" i="10"/>
  <c r="BQ60" i="10"/>
  <c r="BM60" i="10"/>
  <c r="BN60" i="10" s="1"/>
  <c r="BS60" i="10" s="1"/>
  <c r="BL60" i="10"/>
  <c r="BJ60" i="10"/>
  <c r="BI60" i="10"/>
  <c r="BF60" i="10"/>
  <c r="BD60" i="10"/>
  <c r="BK60" i="10" s="1"/>
  <c r="C60" i="10"/>
  <c r="B60" i="10"/>
  <c r="BQ59" i="10"/>
  <c r="BM59" i="10"/>
  <c r="BN59" i="10" s="1"/>
  <c r="BS59" i="10" s="1"/>
  <c r="BL59" i="10"/>
  <c r="BJ59" i="10"/>
  <c r="BI59" i="10"/>
  <c r="BF59" i="10"/>
  <c r="BD59" i="10"/>
  <c r="BK59" i="10" s="1"/>
  <c r="C59" i="10"/>
  <c r="B59" i="10"/>
  <c r="BS58" i="10"/>
  <c r="BQ58" i="10"/>
  <c r="BL58" i="10"/>
  <c r="BJ58" i="10"/>
  <c r="BI58" i="10"/>
  <c r="BF58" i="10"/>
  <c r="BD58" i="10"/>
  <c r="BK58" i="10" s="1"/>
  <c r="BM58" i="10" s="1"/>
  <c r="BN58" i="10" s="1"/>
  <c r="C58" i="10"/>
  <c r="B58" i="10"/>
  <c r="BQ57" i="10"/>
  <c r="BN57" i="10"/>
  <c r="BS57" i="10" s="1"/>
  <c r="BM57" i="10"/>
  <c r="BL57" i="10"/>
  <c r="BJ57" i="10"/>
  <c r="BI57" i="10"/>
  <c r="BF57" i="10"/>
  <c r="BD57" i="10"/>
  <c r="BK57" i="10" s="1"/>
  <c r="C57" i="10"/>
  <c r="B57" i="10"/>
  <c r="BQ56" i="10"/>
  <c r="BN56" i="10"/>
  <c r="BS56" i="10" s="1"/>
  <c r="BM56" i="10"/>
  <c r="BL56" i="10"/>
  <c r="BJ56" i="10"/>
  <c r="BI56" i="10"/>
  <c r="BF56" i="10"/>
  <c r="BD56" i="10"/>
  <c r="BK56" i="10" s="1"/>
  <c r="C56" i="10"/>
  <c r="B56" i="10"/>
  <c r="BQ55" i="10"/>
  <c r="BM55" i="10"/>
  <c r="BN55" i="10" s="1"/>
  <c r="BS55" i="10" s="1"/>
  <c r="BL55" i="10"/>
  <c r="BJ55" i="10"/>
  <c r="BI55" i="10"/>
  <c r="BF55" i="10"/>
  <c r="BD55" i="10"/>
  <c r="BK55" i="10" s="1"/>
  <c r="C55" i="10"/>
  <c r="B55" i="10"/>
  <c r="BS54" i="10"/>
  <c r="BQ54" i="10"/>
  <c r="BL54" i="10"/>
  <c r="BJ54" i="10"/>
  <c r="BI54" i="10"/>
  <c r="BF54" i="10"/>
  <c r="BD54" i="10"/>
  <c r="BK54" i="10" s="1"/>
  <c r="BM54" i="10" s="1"/>
  <c r="BN54" i="10" s="1"/>
  <c r="C54" i="10"/>
  <c r="B54" i="10"/>
  <c r="BQ53" i="10"/>
  <c r="BN53" i="10"/>
  <c r="BS53" i="10" s="1"/>
  <c r="BM53" i="10"/>
  <c r="BL53" i="10"/>
  <c r="BJ53" i="10"/>
  <c r="BI53" i="10"/>
  <c r="BF53" i="10"/>
  <c r="BD53" i="10"/>
  <c r="BK53" i="10" s="1"/>
  <c r="C53" i="10"/>
  <c r="B53" i="10"/>
  <c r="BQ52" i="10"/>
  <c r="BN52" i="10"/>
  <c r="BS52" i="10" s="1"/>
  <c r="BM52" i="10"/>
  <c r="BL52" i="10"/>
  <c r="BJ52" i="10"/>
  <c r="BI52" i="10"/>
  <c r="BF52" i="10"/>
  <c r="BD52" i="10"/>
  <c r="BK52" i="10" s="1"/>
  <c r="C52" i="10"/>
  <c r="B52" i="10"/>
  <c r="BQ51" i="10"/>
  <c r="BL51" i="10"/>
  <c r="BJ51" i="10"/>
  <c r="BI51" i="10"/>
  <c r="BF51" i="10"/>
  <c r="BD51" i="10"/>
  <c r="BK51" i="10" s="1"/>
  <c r="C51" i="10"/>
  <c r="B51" i="10"/>
  <c r="BQ50" i="10"/>
  <c r="BL50" i="10"/>
  <c r="Z47" i="1" s="1"/>
  <c r="AF47" i="1" s="1"/>
  <c r="BJ50" i="10"/>
  <c r="BI50" i="10"/>
  <c r="BF50" i="10"/>
  <c r="BD50" i="10"/>
  <c r="BK50" i="10" s="1"/>
  <c r="BM50" i="10" s="1"/>
  <c r="BN50" i="10" s="1"/>
  <c r="BS50" i="10" s="1"/>
  <c r="K46" i="3" s="1"/>
  <c r="C50" i="10"/>
  <c r="B50" i="10"/>
  <c r="BQ49" i="10"/>
  <c r="BN49" i="10"/>
  <c r="BS49" i="10" s="1"/>
  <c r="K45" i="3" s="1"/>
  <c r="BM49" i="10"/>
  <c r="BL49" i="10"/>
  <c r="BJ49" i="10"/>
  <c r="BI49" i="10"/>
  <c r="BF49" i="10"/>
  <c r="BD49" i="10"/>
  <c r="BK49" i="10" s="1"/>
  <c r="C49" i="10"/>
  <c r="B49" i="10"/>
  <c r="BQ48" i="10"/>
  <c r="BM48" i="10"/>
  <c r="BN48" i="10" s="1"/>
  <c r="BS48" i="10" s="1"/>
  <c r="BL48" i="10"/>
  <c r="BJ48" i="10"/>
  <c r="BI48" i="10"/>
  <c r="BF48" i="10"/>
  <c r="BD48" i="10"/>
  <c r="BK48" i="10" s="1"/>
  <c r="C48" i="10"/>
  <c r="B48" i="10"/>
  <c r="BQ47" i="10"/>
  <c r="BL47" i="10"/>
  <c r="BJ47" i="10"/>
  <c r="BI47" i="10"/>
  <c r="BF47" i="10"/>
  <c r="BD47" i="10"/>
  <c r="BK47" i="10" s="1"/>
  <c r="BM47" i="10" s="1"/>
  <c r="BN47" i="10" s="1"/>
  <c r="BS47" i="10" s="1"/>
  <c r="C47" i="10"/>
  <c r="B47" i="10"/>
  <c r="BQ46" i="10"/>
  <c r="BL46" i="10"/>
  <c r="BJ46" i="10"/>
  <c r="BI46" i="10"/>
  <c r="BF46" i="10"/>
  <c r="BD46" i="10"/>
  <c r="BK46" i="10" s="1"/>
  <c r="BM46" i="10" s="1"/>
  <c r="BN46" i="10" s="1"/>
  <c r="BS46" i="10" s="1"/>
  <c r="C46" i="10"/>
  <c r="B46" i="10"/>
  <c r="BQ45" i="10"/>
  <c r="BN45" i="10"/>
  <c r="BS45" i="10" s="1"/>
  <c r="BM45" i="10"/>
  <c r="BL45" i="10"/>
  <c r="BJ45" i="10"/>
  <c r="BI45" i="10"/>
  <c r="BF45" i="10"/>
  <c r="BD45" i="10"/>
  <c r="BK45" i="10" s="1"/>
  <c r="C45" i="10"/>
  <c r="B45" i="10"/>
  <c r="BQ44" i="10"/>
  <c r="BM44" i="10"/>
  <c r="BN44" i="10" s="1"/>
  <c r="BS44" i="10" s="1"/>
  <c r="BL44" i="10"/>
  <c r="BJ44" i="10"/>
  <c r="BI44" i="10"/>
  <c r="BF44" i="10"/>
  <c r="BD44" i="10"/>
  <c r="BK44" i="10" s="1"/>
  <c r="C44" i="10"/>
  <c r="B44" i="10"/>
  <c r="BQ43" i="10"/>
  <c r="BM43" i="10"/>
  <c r="BN43" i="10" s="1"/>
  <c r="BS43" i="10" s="1"/>
  <c r="BL43" i="10"/>
  <c r="BJ43" i="10"/>
  <c r="BI43" i="10"/>
  <c r="BF43" i="10"/>
  <c r="BD43" i="10"/>
  <c r="BK43" i="10" s="1"/>
  <c r="C43" i="10"/>
  <c r="B43" i="10"/>
  <c r="BS42" i="10"/>
  <c r="BQ42" i="10"/>
  <c r="BL42" i="10"/>
  <c r="BJ42" i="10"/>
  <c r="BI42" i="10"/>
  <c r="BF42" i="10"/>
  <c r="BD42" i="10"/>
  <c r="BK42" i="10" s="1"/>
  <c r="BM42" i="10" s="1"/>
  <c r="BN42" i="10" s="1"/>
  <c r="C42" i="10"/>
  <c r="B42" i="10"/>
  <c r="BQ41" i="10"/>
  <c r="BN41" i="10"/>
  <c r="BS41" i="10" s="1"/>
  <c r="BM41" i="10"/>
  <c r="BL41" i="10"/>
  <c r="BJ41" i="10"/>
  <c r="BI41" i="10"/>
  <c r="BF41" i="10"/>
  <c r="BD41" i="10"/>
  <c r="BK41" i="10" s="1"/>
  <c r="C41" i="10"/>
  <c r="B41" i="10"/>
  <c r="BQ40" i="10"/>
  <c r="BN40" i="10"/>
  <c r="BS40" i="10" s="1"/>
  <c r="BM40" i="10"/>
  <c r="BL40" i="10"/>
  <c r="BJ40" i="10"/>
  <c r="BI40" i="10"/>
  <c r="BF40" i="10"/>
  <c r="BB40" i="10"/>
  <c r="BD40" i="10" s="1"/>
  <c r="BK40" i="10" s="1"/>
  <c r="C40" i="10"/>
  <c r="B40" i="10"/>
  <c r="BQ39" i="10"/>
  <c r="BL39" i="10"/>
  <c r="BK39" i="10"/>
  <c r="BM39" i="10" s="1"/>
  <c r="BN39" i="10" s="1"/>
  <c r="BJ39" i="10"/>
  <c r="BI39" i="10"/>
  <c r="BD39" i="10"/>
  <c r="BF39" i="10" s="1"/>
  <c r="C39" i="10"/>
  <c r="B39" i="10"/>
  <c r="BQ38" i="10"/>
  <c r="BL38" i="10"/>
  <c r="BJ38" i="10"/>
  <c r="BI38" i="10"/>
  <c r="BD38" i="10"/>
  <c r="BF38" i="10" s="1"/>
  <c r="C38" i="10"/>
  <c r="B38" i="10"/>
  <c r="BQ37" i="10"/>
  <c r="BL37" i="10"/>
  <c r="BJ37" i="10"/>
  <c r="BI37" i="10"/>
  <c r="BD37" i="10"/>
  <c r="C37" i="10"/>
  <c r="B37" i="10"/>
  <c r="BQ36" i="10"/>
  <c r="BL36" i="10"/>
  <c r="BJ36" i="10"/>
  <c r="BI36" i="10"/>
  <c r="BD36" i="10"/>
  <c r="BF36" i="10" s="1"/>
  <c r="C36" i="10"/>
  <c r="B36" i="10"/>
  <c r="BQ35" i="10"/>
  <c r="BL35" i="10"/>
  <c r="BJ35" i="10"/>
  <c r="BI35" i="10"/>
  <c r="BD35" i="10"/>
  <c r="C35" i="10"/>
  <c r="B35" i="10"/>
  <c r="BQ34" i="10"/>
  <c r="BL34" i="10"/>
  <c r="BJ34" i="10"/>
  <c r="BI34" i="10"/>
  <c r="BD34" i="10"/>
  <c r="BF34" i="10" s="1"/>
  <c r="C34" i="10"/>
  <c r="B34" i="10"/>
  <c r="BQ33" i="10"/>
  <c r="BS33" i="10" s="1"/>
  <c r="BL33" i="10"/>
  <c r="BK33" i="10"/>
  <c r="BM33" i="10" s="1"/>
  <c r="BN33" i="10" s="1"/>
  <c r="BJ33" i="10"/>
  <c r="BI33" i="10"/>
  <c r="BD33" i="10"/>
  <c r="BF33" i="10" s="1"/>
  <c r="C33" i="10"/>
  <c r="B33" i="10"/>
  <c r="BQ32" i="10"/>
  <c r="BL32" i="10"/>
  <c r="BJ32" i="10"/>
  <c r="BI32" i="10"/>
  <c r="BD32" i="10"/>
  <c r="BF32" i="10" s="1"/>
  <c r="C32" i="10"/>
  <c r="B32" i="10"/>
  <c r="BQ31" i="10"/>
  <c r="BL31" i="10"/>
  <c r="BK31" i="10"/>
  <c r="BM31" i="10" s="1"/>
  <c r="BN31" i="10" s="1"/>
  <c r="BJ31" i="10"/>
  <c r="BI31" i="10"/>
  <c r="BD31" i="10"/>
  <c r="BF31" i="10" s="1"/>
  <c r="C31" i="10"/>
  <c r="B31" i="10"/>
  <c r="BQ30" i="10"/>
  <c r="BL30" i="10"/>
  <c r="BJ30" i="10"/>
  <c r="BI30" i="10"/>
  <c r="BD30" i="10"/>
  <c r="BF30" i="10" s="1"/>
  <c r="C30" i="10"/>
  <c r="B30" i="10"/>
  <c r="BQ29" i="10"/>
  <c r="BL29" i="10"/>
  <c r="BJ29" i="10"/>
  <c r="BI29" i="10"/>
  <c r="BD29" i="10"/>
  <c r="C29" i="10"/>
  <c r="B29" i="10"/>
  <c r="BQ28" i="10"/>
  <c r="BL28" i="10"/>
  <c r="BJ28" i="10"/>
  <c r="BI28" i="10"/>
  <c r="BD28" i="10"/>
  <c r="BF28" i="10" s="1"/>
  <c r="C28" i="10"/>
  <c r="B28" i="10"/>
  <c r="BQ27" i="10"/>
  <c r="BL27" i="10"/>
  <c r="BJ27" i="10"/>
  <c r="BI27" i="10"/>
  <c r="BD27" i="10"/>
  <c r="C27" i="10"/>
  <c r="B27" i="10"/>
  <c r="BQ26" i="10"/>
  <c r="BL26" i="10"/>
  <c r="BJ26" i="10"/>
  <c r="BI26" i="10"/>
  <c r="BD26" i="10"/>
  <c r="BF26" i="10" s="1"/>
  <c r="C26" i="10"/>
  <c r="B26" i="10"/>
  <c r="BQ25" i="10"/>
  <c r="BS25" i="10" s="1"/>
  <c r="BL25" i="10"/>
  <c r="BK25" i="10"/>
  <c r="BM25" i="10" s="1"/>
  <c r="BN25" i="10" s="1"/>
  <c r="BJ25" i="10"/>
  <c r="BI25" i="10"/>
  <c r="BD25" i="10"/>
  <c r="BF25" i="10" s="1"/>
  <c r="C25" i="10"/>
  <c r="B25" i="10"/>
  <c r="BQ24" i="10"/>
  <c r="BL24" i="10"/>
  <c r="BJ24" i="10"/>
  <c r="BI24" i="10"/>
  <c r="BD24" i="10"/>
  <c r="BF24" i="10" s="1"/>
  <c r="C24" i="10"/>
  <c r="B24" i="10"/>
  <c r="BQ23" i="10"/>
  <c r="BL23" i="10"/>
  <c r="BK23" i="10"/>
  <c r="BM23" i="10" s="1"/>
  <c r="BN23" i="10" s="1"/>
  <c r="BJ23" i="10"/>
  <c r="BI23" i="10"/>
  <c r="BD23" i="10"/>
  <c r="BF23" i="10" s="1"/>
  <c r="C23" i="10"/>
  <c r="B23" i="10"/>
  <c r="BQ22" i="10"/>
  <c r="BL22" i="10"/>
  <c r="BJ22" i="10"/>
  <c r="BI22" i="10"/>
  <c r="BD22" i="10"/>
  <c r="BF22" i="10" s="1"/>
  <c r="C22" i="10"/>
  <c r="B22" i="10"/>
  <c r="BQ21" i="10"/>
  <c r="BL21" i="10"/>
  <c r="BK21" i="10"/>
  <c r="BM21" i="10" s="1"/>
  <c r="BN21" i="10" s="1"/>
  <c r="BJ21" i="10"/>
  <c r="BI21" i="10"/>
  <c r="BD21" i="10"/>
  <c r="BF21" i="10" s="1"/>
  <c r="C21" i="10"/>
  <c r="B21" i="10"/>
  <c r="BQ20" i="10"/>
  <c r="BL20" i="10"/>
  <c r="BJ20" i="10"/>
  <c r="BI20" i="10"/>
  <c r="BD20" i="10"/>
  <c r="BF20" i="10" s="1"/>
  <c r="C20" i="10"/>
  <c r="B20" i="10"/>
  <c r="BQ19" i="10"/>
  <c r="BL19" i="10"/>
  <c r="BJ19" i="10"/>
  <c r="BI19" i="10"/>
  <c r="BD19" i="10"/>
  <c r="C19" i="10"/>
  <c r="B19" i="10"/>
  <c r="BQ18" i="10"/>
  <c r="BL18" i="10"/>
  <c r="BJ18" i="10"/>
  <c r="BI18" i="10"/>
  <c r="BD18" i="10"/>
  <c r="BF18" i="10" s="1"/>
  <c r="C18" i="10"/>
  <c r="B18" i="10"/>
  <c r="BQ17" i="10"/>
  <c r="BS17" i="10" s="1"/>
  <c r="BL17" i="10"/>
  <c r="BK17" i="10"/>
  <c r="BM17" i="10" s="1"/>
  <c r="BN17" i="10" s="1"/>
  <c r="BJ17" i="10"/>
  <c r="BI17" i="10"/>
  <c r="BD17" i="10"/>
  <c r="BF17" i="10" s="1"/>
  <c r="C17" i="10"/>
  <c r="B17" i="10"/>
  <c r="BQ16" i="10"/>
  <c r="BL16" i="10"/>
  <c r="BJ16" i="10"/>
  <c r="BI16" i="10"/>
  <c r="BD16" i="10"/>
  <c r="BF16" i="10" s="1"/>
  <c r="C16" i="10"/>
  <c r="B16" i="10"/>
  <c r="BQ15" i="10"/>
  <c r="BL15" i="10"/>
  <c r="BK15" i="10"/>
  <c r="BM15" i="10" s="1"/>
  <c r="BN15" i="10" s="1"/>
  <c r="BJ15" i="10"/>
  <c r="BI15" i="10"/>
  <c r="BD15" i="10"/>
  <c r="BF15" i="10" s="1"/>
  <c r="C15" i="10"/>
  <c r="B15" i="10"/>
  <c r="BQ14" i="10"/>
  <c r="BL14" i="10"/>
  <c r="BJ14" i="10"/>
  <c r="BI14" i="10"/>
  <c r="BD14" i="10"/>
  <c r="BF14" i="10" s="1"/>
  <c r="C14" i="10"/>
  <c r="B14" i="10"/>
  <c r="BQ13" i="10"/>
  <c r="BL13" i="10"/>
  <c r="BJ13" i="10"/>
  <c r="BI13" i="10"/>
  <c r="BD13" i="10"/>
  <c r="BF13" i="10" s="1"/>
  <c r="C13" i="10"/>
  <c r="B13" i="10"/>
  <c r="BQ12" i="10"/>
  <c r="BL12" i="10"/>
  <c r="BJ12" i="10"/>
  <c r="BI12" i="10"/>
  <c r="BD12" i="10"/>
  <c r="BF12" i="10" s="1"/>
  <c r="C12" i="10"/>
  <c r="B12" i="10"/>
  <c r="BQ11" i="10"/>
  <c r="BL11" i="10"/>
  <c r="BJ11" i="10"/>
  <c r="BI11" i="10"/>
  <c r="BD11" i="10"/>
  <c r="C11" i="10"/>
  <c r="B11" i="10"/>
  <c r="BQ10" i="10"/>
  <c r="BL10" i="10"/>
  <c r="BJ10" i="10"/>
  <c r="BI10" i="10"/>
  <c r="BD10" i="10"/>
  <c r="BF10" i="10" s="1"/>
  <c r="C10" i="10"/>
  <c r="B10" i="10"/>
  <c r="BQ9" i="10"/>
  <c r="BS9" i="10" s="1"/>
  <c r="BL9" i="10"/>
  <c r="BK9" i="10"/>
  <c r="BM9" i="10" s="1"/>
  <c r="BN9" i="10" s="1"/>
  <c r="BJ9" i="10"/>
  <c r="BI9" i="10"/>
  <c r="BD9" i="10"/>
  <c r="BF9" i="10" s="1"/>
  <c r="C9" i="10"/>
  <c r="B9" i="10"/>
  <c r="BQ8" i="10"/>
  <c r="BL8" i="10"/>
  <c r="BJ8" i="10"/>
  <c r="BI8" i="10"/>
  <c r="BD8" i="10"/>
  <c r="BF8" i="10" s="1"/>
  <c r="C8" i="10"/>
  <c r="B8" i="10"/>
  <c r="BQ7" i="10"/>
  <c r="BL7" i="10"/>
  <c r="BK7" i="10"/>
  <c r="BM7" i="10" s="1"/>
  <c r="BN7" i="10" s="1"/>
  <c r="BJ7" i="10"/>
  <c r="BI7" i="10"/>
  <c r="BD7" i="10"/>
  <c r="BF7" i="10" s="1"/>
  <c r="C7" i="10"/>
  <c r="B7" i="10"/>
  <c r="A1" i="10"/>
  <c r="BL154" i="9"/>
  <c r="BL153" i="9"/>
  <c r="BL152" i="9"/>
  <c r="BL151" i="9"/>
  <c r="BL150" i="9"/>
  <c r="BL149" i="9"/>
  <c r="BL148" i="9"/>
  <c r="BL147" i="9"/>
  <c r="BL146" i="9"/>
  <c r="BL145" i="9"/>
  <c r="BL144" i="9"/>
  <c r="BL143" i="9"/>
  <c r="BL142" i="9"/>
  <c r="BL141" i="9"/>
  <c r="BL140" i="9"/>
  <c r="BL139" i="9"/>
  <c r="BL138" i="9"/>
  <c r="BL137" i="9"/>
  <c r="BL136" i="9"/>
  <c r="BL135" i="9"/>
  <c r="BL134" i="9"/>
  <c r="BL133" i="9"/>
  <c r="BL132" i="9"/>
  <c r="BL131" i="9"/>
  <c r="BL130" i="9"/>
  <c r="BL129" i="9"/>
  <c r="BL128" i="9"/>
  <c r="BL127" i="9"/>
  <c r="BL126" i="9"/>
  <c r="BL125" i="9"/>
  <c r="BL124" i="9"/>
  <c r="BL123" i="9"/>
  <c r="BL122" i="9"/>
  <c r="BL121" i="9"/>
  <c r="BL120" i="9"/>
  <c r="BL119" i="9"/>
  <c r="BL118" i="9"/>
  <c r="BL117" i="9"/>
  <c r="BL116" i="9"/>
  <c r="BL115" i="9"/>
  <c r="BL114" i="9"/>
  <c r="BL113" i="9"/>
  <c r="BL112" i="9"/>
  <c r="BL111" i="9"/>
  <c r="BL110" i="9"/>
  <c r="BL109" i="9"/>
  <c r="BL108" i="9"/>
  <c r="BL107" i="9"/>
  <c r="BL106" i="9"/>
  <c r="BL105" i="9"/>
  <c r="BL104" i="9"/>
  <c r="BL103" i="9"/>
  <c r="BL102" i="9"/>
  <c r="BL101" i="9"/>
  <c r="BL100" i="9"/>
  <c r="BL99" i="9"/>
  <c r="BL98" i="9"/>
  <c r="BL97" i="9"/>
  <c r="BL96" i="9"/>
  <c r="BL95" i="9"/>
  <c r="BL94" i="9"/>
  <c r="BL93" i="9"/>
  <c r="BL92" i="9"/>
  <c r="BL91" i="9"/>
  <c r="BL90" i="9"/>
  <c r="BL89" i="9"/>
  <c r="BL88" i="9"/>
  <c r="BL87" i="9"/>
  <c r="BL86" i="9"/>
  <c r="BL85" i="9"/>
  <c r="BU76" i="9"/>
  <c r="BQ76" i="9"/>
  <c r="BL76" i="9"/>
  <c r="BK76" i="9"/>
  <c r="BM76" i="9" s="1"/>
  <c r="BN76" i="9" s="1"/>
  <c r="BJ76" i="9"/>
  <c r="BI76" i="9"/>
  <c r="BF76" i="9"/>
  <c r="BB76" i="9"/>
  <c r="C76" i="9"/>
  <c r="B76" i="9"/>
  <c r="BU75" i="9"/>
  <c r="BQ75" i="9"/>
  <c r="BL75" i="9"/>
  <c r="BK75" i="9"/>
  <c r="BJ75" i="9"/>
  <c r="BI75" i="9"/>
  <c r="BF75" i="9"/>
  <c r="BB75" i="9"/>
  <c r="C75" i="9"/>
  <c r="B75" i="9"/>
  <c r="BU74" i="9"/>
  <c r="BQ74" i="9"/>
  <c r="BW74" i="9" s="1"/>
  <c r="BM74" i="9"/>
  <c r="BN74" i="9" s="1"/>
  <c r="BL74" i="9"/>
  <c r="BK74" i="9"/>
  <c r="BJ74" i="9"/>
  <c r="BI74" i="9"/>
  <c r="BF74" i="9"/>
  <c r="BB74" i="9"/>
  <c r="C74" i="9"/>
  <c r="B74" i="9"/>
  <c r="BU73" i="9"/>
  <c r="BQ73" i="9"/>
  <c r="BN73" i="9"/>
  <c r="BW73" i="9" s="1"/>
  <c r="BM73" i="9"/>
  <c r="BL73" i="9"/>
  <c r="BK73" i="9"/>
  <c r="BJ73" i="9"/>
  <c r="BI73" i="9"/>
  <c r="BF73" i="9"/>
  <c r="BB73" i="9"/>
  <c r="C73" i="9"/>
  <c r="B73" i="9"/>
  <c r="BU72" i="9"/>
  <c r="BQ72" i="9"/>
  <c r="BL72" i="9"/>
  <c r="T69" i="1" s="1"/>
  <c r="U69" i="1" s="1"/>
  <c r="BK72" i="9"/>
  <c r="BJ72" i="9"/>
  <c r="BI72" i="9"/>
  <c r="BF72" i="9"/>
  <c r="BB72" i="9"/>
  <c r="C72" i="9"/>
  <c r="B72" i="9"/>
  <c r="BW71" i="9"/>
  <c r="I67" i="3" s="1"/>
  <c r="BU71" i="9"/>
  <c r="BQ71" i="9"/>
  <c r="BL71" i="9"/>
  <c r="BM71" i="9" s="1"/>
  <c r="BN71" i="9" s="1"/>
  <c r="BK71" i="9"/>
  <c r="BJ71" i="9"/>
  <c r="BI71" i="9"/>
  <c r="BF71" i="9"/>
  <c r="BB71" i="9"/>
  <c r="C71" i="9"/>
  <c r="B71" i="9"/>
  <c r="BU70" i="9"/>
  <c r="BQ70" i="9"/>
  <c r="BM70" i="9"/>
  <c r="BN70" i="9" s="1"/>
  <c r="BW70" i="9" s="1"/>
  <c r="BL70" i="9"/>
  <c r="BK70" i="9"/>
  <c r="BJ70" i="9"/>
  <c r="BI70" i="9"/>
  <c r="BF70" i="9"/>
  <c r="BB70" i="9"/>
  <c r="C70" i="9"/>
  <c r="B70" i="9"/>
  <c r="BU69" i="9"/>
  <c r="BQ69" i="9"/>
  <c r="BL69" i="9"/>
  <c r="BK69" i="9"/>
  <c r="BM69" i="9" s="1"/>
  <c r="BN69" i="9" s="1"/>
  <c r="BJ69" i="9"/>
  <c r="BI69" i="9"/>
  <c r="BF69" i="9"/>
  <c r="BB69" i="9"/>
  <c r="C69" i="9"/>
  <c r="B69" i="9"/>
  <c r="BU68" i="9"/>
  <c r="BW68" i="9" s="1"/>
  <c r="I64" i="3" s="1"/>
  <c r="BQ68" i="9"/>
  <c r="BL68" i="9"/>
  <c r="BK68" i="9"/>
  <c r="BM68" i="9" s="1"/>
  <c r="BN68" i="9" s="1"/>
  <c r="BJ68" i="9"/>
  <c r="BI68" i="9"/>
  <c r="BF68" i="9"/>
  <c r="BB68" i="9"/>
  <c r="C68" i="9"/>
  <c r="B68" i="9"/>
  <c r="BU67" i="9"/>
  <c r="BQ67" i="9"/>
  <c r="BM67" i="9"/>
  <c r="BN67" i="9" s="1"/>
  <c r="BL67" i="9"/>
  <c r="BK67" i="9"/>
  <c r="BJ67" i="9"/>
  <c r="BI67" i="9"/>
  <c r="BF67" i="9"/>
  <c r="BB67" i="9"/>
  <c r="C67" i="9"/>
  <c r="B67" i="9"/>
  <c r="BU66" i="9"/>
  <c r="BQ66" i="9"/>
  <c r="BN66" i="9"/>
  <c r="BW66" i="9" s="1"/>
  <c r="BM66" i="9"/>
  <c r="BL66" i="9"/>
  <c r="BK66" i="9"/>
  <c r="BJ66" i="9"/>
  <c r="BI66" i="9"/>
  <c r="BF66" i="9"/>
  <c r="BB66" i="9"/>
  <c r="C66" i="9"/>
  <c r="B66" i="9"/>
  <c r="BU65" i="9"/>
  <c r="BQ65" i="9"/>
  <c r="BN65" i="9"/>
  <c r="BL65" i="9"/>
  <c r="BK65" i="9"/>
  <c r="BM65" i="9" s="1"/>
  <c r="BJ65" i="9"/>
  <c r="BI65" i="9"/>
  <c r="BF65" i="9"/>
  <c r="BB65" i="9"/>
  <c r="C65" i="9"/>
  <c r="B65" i="9"/>
  <c r="BU64" i="9"/>
  <c r="BQ64" i="9"/>
  <c r="BL64" i="9"/>
  <c r="BK64" i="9"/>
  <c r="BJ64" i="9"/>
  <c r="BI64" i="9"/>
  <c r="BF64" i="9"/>
  <c r="BB64" i="9"/>
  <c r="C64" i="9"/>
  <c r="B64" i="9"/>
  <c r="BU63" i="9"/>
  <c r="BW63" i="9" s="1"/>
  <c r="BQ63" i="9"/>
  <c r="BL63" i="9"/>
  <c r="BM63" i="9" s="1"/>
  <c r="BN63" i="9" s="1"/>
  <c r="BK63" i="9"/>
  <c r="BJ63" i="9"/>
  <c r="BI63" i="9"/>
  <c r="BF63" i="9"/>
  <c r="BB63" i="9"/>
  <c r="C63" i="9"/>
  <c r="B63" i="9"/>
  <c r="BU62" i="9"/>
  <c r="BQ62" i="9"/>
  <c r="BM62" i="9"/>
  <c r="BN62" i="9" s="1"/>
  <c r="BW62" i="9" s="1"/>
  <c r="BL62" i="9"/>
  <c r="BK62" i="9"/>
  <c r="BJ62" i="9"/>
  <c r="BI62" i="9"/>
  <c r="BF62" i="9"/>
  <c r="BB62" i="9"/>
  <c r="C62" i="9"/>
  <c r="B62" i="9"/>
  <c r="BU61" i="9"/>
  <c r="BQ61" i="9"/>
  <c r="BL61" i="9"/>
  <c r="BK61" i="9"/>
  <c r="BM61" i="9" s="1"/>
  <c r="BN61" i="9" s="1"/>
  <c r="BJ61" i="9"/>
  <c r="BI61" i="9"/>
  <c r="BF61" i="9"/>
  <c r="BB61" i="9"/>
  <c r="C61" i="9"/>
  <c r="B61" i="9"/>
  <c r="BU60" i="9"/>
  <c r="BW60" i="9" s="1"/>
  <c r="BQ60" i="9"/>
  <c r="BL60" i="9"/>
  <c r="BK60" i="9"/>
  <c r="BM60" i="9" s="1"/>
  <c r="BN60" i="9" s="1"/>
  <c r="BJ60" i="9"/>
  <c r="BI60" i="9"/>
  <c r="BF60" i="9"/>
  <c r="BB60" i="9"/>
  <c r="C60" i="9"/>
  <c r="B60" i="9"/>
  <c r="BU59" i="9"/>
  <c r="BQ59" i="9"/>
  <c r="BM59" i="9"/>
  <c r="BN59" i="9" s="1"/>
  <c r="BL59" i="9"/>
  <c r="BK59" i="9"/>
  <c r="BJ59" i="9"/>
  <c r="BI59" i="9"/>
  <c r="BF59" i="9"/>
  <c r="BB59" i="9"/>
  <c r="C59" i="9"/>
  <c r="B59" i="9"/>
  <c r="BU58" i="9"/>
  <c r="BQ58" i="9"/>
  <c r="BN58" i="9"/>
  <c r="BW58" i="9" s="1"/>
  <c r="BM58" i="9"/>
  <c r="BL58" i="9"/>
  <c r="BK58" i="9"/>
  <c r="BJ58" i="9"/>
  <c r="BI58" i="9"/>
  <c r="BF58" i="9"/>
  <c r="BB58" i="9"/>
  <c r="C58" i="9"/>
  <c r="B58" i="9"/>
  <c r="BU57" i="9"/>
  <c r="BQ57" i="9"/>
  <c r="BW57" i="9" s="1"/>
  <c r="BN57" i="9"/>
  <c r="BL57" i="9"/>
  <c r="BK57" i="9"/>
  <c r="BM57" i="9" s="1"/>
  <c r="BJ57" i="9"/>
  <c r="BI57" i="9"/>
  <c r="BF57" i="9"/>
  <c r="BB57" i="9"/>
  <c r="C57" i="9"/>
  <c r="B57" i="9"/>
  <c r="BU56" i="9"/>
  <c r="BQ56" i="9"/>
  <c r="BL56" i="9"/>
  <c r="BK56" i="9"/>
  <c r="BJ56" i="9"/>
  <c r="BI56" i="9"/>
  <c r="BF56" i="9"/>
  <c r="BB56" i="9"/>
  <c r="C56" i="9"/>
  <c r="B56" i="9"/>
  <c r="BU55" i="9"/>
  <c r="BQ55" i="9"/>
  <c r="BL55" i="9"/>
  <c r="BM55" i="9" s="1"/>
  <c r="BN55" i="9" s="1"/>
  <c r="BW55" i="9" s="1"/>
  <c r="BK55" i="9"/>
  <c r="BJ55" i="9"/>
  <c r="BI55" i="9"/>
  <c r="BF55" i="9"/>
  <c r="BB55" i="9"/>
  <c r="C55" i="9"/>
  <c r="B55" i="9"/>
  <c r="BU54" i="9"/>
  <c r="BQ54" i="9"/>
  <c r="BM54" i="9"/>
  <c r="BN54" i="9" s="1"/>
  <c r="BW54" i="9" s="1"/>
  <c r="BL54" i="9"/>
  <c r="BK54" i="9"/>
  <c r="BJ54" i="9"/>
  <c r="BI54" i="9"/>
  <c r="BF54" i="9"/>
  <c r="BB54" i="9"/>
  <c r="C54" i="9"/>
  <c r="B54" i="9"/>
  <c r="BU53" i="9"/>
  <c r="BQ53" i="9"/>
  <c r="BL53" i="9"/>
  <c r="BK53" i="9"/>
  <c r="BM53" i="9" s="1"/>
  <c r="BN53" i="9" s="1"/>
  <c r="BJ53" i="9"/>
  <c r="BI53" i="9"/>
  <c r="BF53" i="9"/>
  <c r="BB53" i="9"/>
  <c r="C53" i="9"/>
  <c r="B53" i="9"/>
  <c r="BU52" i="9"/>
  <c r="BQ52" i="9"/>
  <c r="BL52" i="9"/>
  <c r="BK52" i="9"/>
  <c r="BM52" i="9" s="1"/>
  <c r="BN52" i="9" s="1"/>
  <c r="BJ52" i="9"/>
  <c r="BI52" i="9"/>
  <c r="BF52" i="9"/>
  <c r="BB52" i="9"/>
  <c r="C52" i="9"/>
  <c r="B52" i="9"/>
  <c r="BU51" i="9"/>
  <c r="BW51" i="9" s="1"/>
  <c r="BQ51" i="9"/>
  <c r="BM51" i="9"/>
  <c r="BN51" i="9" s="1"/>
  <c r="BL51" i="9"/>
  <c r="BK51" i="9"/>
  <c r="BJ51" i="9"/>
  <c r="BI51" i="9"/>
  <c r="BF51" i="9"/>
  <c r="BB51" i="9"/>
  <c r="C51" i="9"/>
  <c r="B51" i="9"/>
  <c r="BU50" i="9"/>
  <c r="BQ50" i="9"/>
  <c r="BN50" i="9"/>
  <c r="BW50" i="9" s="1"/>
  <c r="BM50" i="9"/>
  <c r="BL50" i="9"/>
  <c r="BK50" i="9"/>
  <c r="BJ50" i="9"/>
  <c r="BI50" i="9"/>
  <c r="BF50" i="9"/>
  <c r="BB50" i="9"/>
  <c r="C50" i="9"/>
  <c r="B50" i="9"/>
  <c r="BU49" i="9"/>
  <c r="BQ49" i="9"/>
  <c r="BW49" i="9" s="1"/>
  <c r="BN49" i="9"/>
  <c r="BL49" i="9"/>
  <c r="BK49" i="9"/>
  <c r="BM49" i="9" s="1"/>
  <c r="BJ49" i="9"/>
  <c r="BI49" i="9"/>
  <c r="BF49" i="9"/>
  <c r="BB49" i="9"/>
  <c r="C49" i="9"/>
  <c r="B49" i="9"/>
  <c r="BU48" i="9"/>
  <c r="BQ48" i="9"/>
  <c r="BL48" i="9"/>
  <c r="BK48" i="9"/>
  <c r="BJ48" i="9"/>
  <c r="BI48" i="9"/>
  <c r="BF48" i="9"/>
  <c r="BB48" i="9"/>
  <c r="C48" i="9"/>
  <c r="B48" i="9"/>
  <c r="BU47" i="9"/>
  <c r="BQ47" i="9"/>
  <c r="BL47" i="9"/>
  <c r="BK47" i="9"/>
  <c r="BJ47" i="9"/>
  <c r="BI47" i="9"/>
  <c r="BF47" i="9"/>
  <c r="BB47" i="9"/>
  <c r="C47" i="9"/>
  <c r="B47" i="9"/>
  <c r="BW46" i="9"/>
  <c r="BU46" i="9"/>
  <c r="BQ46" i="9"/>
  <c r="BM46" i="9"/>
  <c r="BN46" i="9" s="1"/>
  <c r="BL46" i="9"/>
  <c r="BK46" i="9"/>
  <c r="BJ46" i="9"/>
  <c r="BI46" i="9"/>
  <c r="BF46" i="9"/>
  <c r="BB46" i="9"/>
  <c r="C46" i="9"/>
  <c r="B46" i="9"/>
  <c r="BU45" i="9"/>
  <c r="BQ45" i="9"/>
  <c r="BL45" i="9"/>
  <c r="BK45" i="9"/>
  <c r="BM45" i="9" s="1"/>
  <c r="BN45" i="9" s="1"/>
  <c r="BJ45" i="9"/>
  <c r="BI45" i="9"/>
  <c r="BF45" i="9"/>
  <c r="BB45" i="9"/>
  <c r="C45" i="9"/>
  <c r="B45" i="9"/>
  <c r="BU44" i="9"/>
  <c r="BW44" i="9" s="1"/>
  <c r="BQ44" i="9"/>
  <c r="BL44" i="9"/>
  <c r="BK44" i="9"/>
  <c r="BM44" i="9" s="1"/>
  <c r="BN44" i="9" s="1"/>
  <c r="BJ44" i="9"/>
  <c r="BI44" i="9"/>
  <c r="BF44" i="9"/>
  <c r="BB44" i="9"/>
  <c r="C44" i="9"/>
  <c r="B44" i="9"/>
  <c r="BU43" i="9"/>
  <c r="BW43" i="9" s="1"/>
  <c r="I39" i="3" s="1"/>
  <c r="BQ43" i="9"/>
  <c r="BM43" i="9"/>
  <c r="BN43" i="9" s="1"/>
  <c r="BL43" i="9"/>
  <c r="BK43" i="9"/>
  <c r="BJ43" i="9"/>
  <c r="BI43" i="9"/>
  <c r="BF43" i="9"/>
  <c r="BB43" i="9"/>
  <c r="C43" i="9"/>
  <c r="B43" i="9"/>
  <c r="BU42" i="9"/>
  <c r="BQ42" i="9"/>
  <c r="BN42" i="9"/>
  <c r="BW42" i="9" s="1"/>
  <c r="BM42" i="9"/>
  <c r="BL42" i="9"/>
  <c r="BK42" i="9"/>
  <c r="BJ42" i="9"/>
  <c r="BI42" i="9"/>
  <c r="BF42" i="9"/>
  <c r="BB42" i="9"/>
  <c r="C42" i="9"/>
  <c r="B42" i="9"/>
  <c r="BU41" i="9"/>
  <c r="BQ41" i="9"/>
  <c r="BW41" i="9" s="1"/>
  <c r="BN41" i="9"/>
  <c r="BL41" i="9"/>
  <c r="BK41" i="9"/>
  <c r="BM41" i="9" s="1"/>
  <c r="BJ41" i="9"/>
  <c r="BI41" i="9"/>
  <c r="BF41" i="9"/>
  <c r="BB41" i="9"/>
  <c r="C41" i="9"/>
  <c r="B41" i="9"/>
  <c r="BU40" i="9"/>
  <c r="BQ40" i="9"/>
  <c r="BL40" i="9"/>
  <c r="BK40" i="9"/>
  <c r="BJ40" i="9"/>
  <c r="BI40" i="9"/>
  <c r="BF40" i="9"/>
  <c r="BB40" i="9"/>
  <c r="C40" i="9"/>
  <c r="B40" i="9"/>
  <c r="BW39" i="9"/>
  <c r="I35" i="3" s="1"/>
  <c r="BU39" i="9"/>
  <c r="BQ39" i="9"/>
  <c r="BL39" i="9"/>
  <c r="BM39" i="9" s="1"/>
  <c r="BN39" i="9" s="1"/>
  <c r="BK39" i="9"/>
  <c r="BJ39" i="9"/>
  <c r="BI39" i="9"/>
  <c r="BF39" i="9"/>
  <c r="BB39" i="9"/>
  <c r="C39" i="9"/>
  <c r="B39" i="9"/>
  <c r="BU38" i="9"/>
  <c r="BQ38" i="9"/>
  <c r="BM38" i="9"/>
  <c r="BN38" i="9" s="1"/>
  <c r="BW38" i="9" s="1"/>
  <c r="BL38" i="9"/>
  <c r="BK38" i="9"/>
  <c r="BJ38" i="9"/>
  <c r="BI38" i="9"/>
  <c r="BF38" i="9"/>
  <c r="BB38" i="9"/>
  <c r="C38" i="9"/>
  <c r="B38" i="9"/>
  <c r="BU37" i="9"/>
  <c r="BQ37" i="9"/>
  <c r="BL37" i="9"/>
  <c r="BK37" i="9"/>
  <c r="BM37" i="9" s="1"/>
  <c r="BN37" i="9" s="1"/>
  <c r="BJ37" i="9"/>
  <c r="BI37" i="9"/>
  <c r="BF37" i="9"/>
  <c r="BB37" i="9"/>
  <c r="C37" i="9"/>
  <c r="B37" i="9"/>
  <c r="BU36" i="9"/>
  <c r="BW36" i="9" s="1"/>
  <c r="I32" i="3" s="1"/>
  <c r="BQ36" i="9"/>
  <c r="BL36" i="9"/>
  <c r="BK36" i="9"/>
  <c r="BM36" i="9" s="1"/>
  <c r="BN36" i="9" s="1"/>
  <c r="BJ36" i="9"/>
  <c r="BI36" i="9"/>
  <c r="BF36" i="9"/>
  <c r="BB36" i="9"/>
  <c r="C36" i="9"/>
  <c r="B36" i="9"/>
  <c r="BU35" i="9"/>
  <c r="BQ35" i="9"/>
  <c r="BM35" i="9"/>
  <c r="BN35" i="9" s="1"/>
  <c r="BL35" i="9"/>
  <c r="BK35" i="9"/>
  <c r="BJ35" i="9"/>
  <c r="BI35" i="9"/>
  <c r="BF35" i="9"/>
  <c r="BB35" i="9"/>
  <c r="C35" i="9"/>
  <c r="B35" i="9"/>
  <c r="BU34" i="9"/>
  <c r="BQ34" i="9"/>
  <c r="BN34" i="9"/>
  <c r="BL34" i="9"/>
  <c r="BM34" i="9" s="1"/>
  <c r="BK34" i="9"/>
  <c r="BJ34" i="9"/>
  <c r="BI34" i="9"/>
  <c r="BF34" i="9"/>
  <c r="BB34" i="9"/>
  <c r="C34" i="9"/>
  <c r="B34" i="9"/>
  <c r="BU33" i="9"/>
  <c r="BQ33" i="9"/>
  <c r="BL33" i="9"/>
  <c r="BK33" i="9"/>
  <c r="BM33" i="9" s="1"/>
  <c r="BN33" i="9" s="1"/>
  <c r="BJ33" i="9"/>
  <c r="BI33" i="9"/>
  <c r="BF33" i="9"/>
  <c r="BB33" i="9"/>
  <c r="C33" i="9"/>
  <c r="B33" i="9"/>
  <c r="BU32" i="9"/>
  <c r="BQ32" i="9"/>
  <c r="BL32" i="9"/>
  <c r="BK32" i="9"/>
  <c r="BM32" i="9" s="1"/>
  <c r="BN32" i="9" s="1"/>
  <c r="BJ32" i="9"/>
  <c r="BI32" i="9"/>
  <c r="BF32" i="9"/>
  <c r="BB32" i="9"/>
  <c r="C32" i="9"/>
  <c r="B32" i="9"/>
  <c r="BU31" i="9"/>
  <c r="BQ31" i="9"/>
  <c r="BL31" i="9"/>
  <c r="BK31" i="9"/>
  <c r="BM31" i="9" s="1"/>
  <c r="BN31" i="9" s="1"/>
  <c r="BJ31" i="9"/>
  <c r="BI31" i="9"/>
  <c r="BF31" i="9"/>
  <c r="BB31" i="9"/>
  <c r="C31" i="9"/>
  <c r="B31" i="9"/>
  <c r="BU30" i="9"/>
  <c r="BQ30" i="9"/>
  <c r="BL30" i="9"/>
  <c r="BM30" i="9" s="1"/>
  <c r="BN30" i="9" s="1"/>
  <c r="BK30" i="9"/>
  <c r="BJ30" i="9"/>
  <c r="BI30" i="9"/>
  <c r="BF30" i="9"/>
  <c r="BB30" i="9"/>
  <c r="C30" i="9"/>
  <c r="B30" i="9"/>
  <c r="BU29" i="9"/>
  <c r="BQ29" i="9"/>
  <c r="BM29" i="9"/>
  <c r="BN29" i="9" s="1"/>
  <c r="BW29" i="9" s="1"/>
  <c r="BL29" i="9"/>
  <c r="BK29" i="9"/>
  <c r="BJ29" i="9"/>
  <c r="BI29" i="9"/>
  <c r="BF29" i="9"/>
  <c r="BB29" i="9"/>
  <c r="C29" i="9"/>
  <c r="B29" i="9"/>
  <c r="BU28" i="9"/>
  <c r="BQ28" i="9"/>
  <c r="BL28" i="9"/>
  <c r="BK28" i="9"/>
  <c r="BM28" i="9" s="1"/>
  <c r="BN28" i="9" s="1"/>
  <c r="BJ28" i="9"/>
  <c r="BI28" i="9"/>
  <c r="BF28" i="9"/>
  <c r="BB28" i="9"/>
  <c r="C28" i="9"/>
  <c r="B28" i="9"/>
  <c r="BU27" i="9"/>
  <c r="BQ27" i="9"/>
  <c r="BL27" i="9"/>
  <c r="BK27" i="9"/>
  <c r="BJ27" i="9"/>
  <c r="BI27" i="9"/>
  <c r="BF27" i="9"/>
  <c r="BB27" i="9"/>
  <c r="C27" i="9"/>
  <c r="B27" i="9"/>
  <c r="BU26" i="9"/>
  <c r="BQ26" i="9"/>
  <c r="BM26" i="9"/>
  <c r="BN26" i="9" s="1"/>
  <c r="BW26" i="9" s="1"/>
  <c r="BL26" i="9"/>
  <c r="BK26" i="9"/>
  <c r="BJ26" i="9"/>
  <c r="BI26" i="9"/>
  <c r="BF26" i="9"/>
  <c r="BB26" i="9"/>
  <c r="C26" i="9"/>
  <c r="B26" i="9"/>
  <c r="BU25" i="9"/>
  <c r="BQ25" i="9"/>
  <c r="BN25" i="9"/>
  <c r="BW25" i="9" s="1"/>
  <c r="BM25" i="9"/>
  <c r="BL25" i="9"/>
  <c r="BK25" i="9"/>
  <c r="BJ25" i="9"/>
  <c r="BI25" i="9"/>
  <c r="BF25" i="9"/>
  <c r="BB25" i="9"/>
  <c r="C25" i="9"/>
  <c r="B25" i="9"/>
  <c r="BU24" i="9"/>
  <c r="BQ24" i="9"/>
  <c r="BL24" i="9"/>
  <c r="BK24" i="9"/>
  <c r="BJ24" i="9"/>
  <c r="BI24" i="9"/>
  <c r="BF24" i="9"/>
  <c r="BB24" i="9"/>
  <c r="C24" i="9"/>
  <c r="B24" i="9"/>
  <c r="BU23" i="9"/>
  <c r="BQ23" i="9"/>
  <c r="BN23" i="9"/>
  <c r="BW23" i="9" s="1"/>
  <c r="BM23" i="9"/>
  <c r="BL23" i="9"/>
  <c r="BK23" i="9"/>
  <c r="BJ23" i="9"/>
  <c r="BI23" i="9"/>
  <c r="BF23" i="9"/>
  <c r="BB23" i="9"/>
  <c r="C23" i="9"/>
  <c r="B23" i="9"/>
  <c r="BU22" i="9"/>
  <c r="BQ22" i="9"/>
  <c r="BN22" i="9"/>
  <c r="BL22" i="9"/>
  <c r="BK22" i="9"/>
  <c r="BM22" i="9" s="1"/>
  <c r="BJ22" i="9"/>
  <c r="BI22" i="9"/>
  <c r="BF22" i="9"/>
  <c r="BB22" i="9"/>
  <c r="C22" i="9"/>
  <c r="B22" i="9"/>
  <c r="BU21" i="9"/>
  <c r="BQ21" i="9"/>
  <c r="BL21" i="9"/>
  <c r="T18" i="1" s="1"/>
  <c r="BK21" i="9"/>
  <c r="BM21" i="9" s="1"/>
  <c r="BN21" i="9" s="1"/>
  <c r="BJ21" i="9"/>
  <c r="BI21" i="9"/>
  <c r="BF21" i="9"/>
  <c r="BB21" i="9"/>
  <c r="C21" i="9"/>
  <c r="B21" i="9"/>
  <c r="BU20" i="9"/>
  <c r="BW20" i="9" s="1"/>
  <c r="BQ20" i="9"/>
  <c r="BL20" i="9"/>
  <c r="BM20" i="9" s="1"/>
  <c r="BN20" i="9" s="1"/>
  <c r="BK20" i="9"/>
  <c r="BJ20" i="9"/>
  <c r="BI20" i="9"/>
  <c r="BF20" i="9"/>
  <c r="BB20" i="9"/>
  <c r="C20" i="9"/>
  <c r="B20" i="9"/>
  <c r="BU19" i="9"/>
  <c r="BQ19" i="9"/>
  <c r="BM19" i="9"/>
  <c r="BN19" i="9" s="1"/>
  <c r="BW19" i="9" s="1"/>
  <c r="BL19" i="9"/>
  <c r="BK19" i="9"/>
  <c r="BJ19" i="9"/>
  <c r="BI19" i="9"/>
  <c r="BF19" i="9"/>
  <c r="BB19" i="9"/>
  <c r="C19" i="9"/>
  <c r="B19" i="9"/>
  <c r="BU18" i="9"/>
  <c r="BQ18" i="9"/>
  <c r="BL18" i="9"/>
  <c r="BK18" i="9"/>
  <c r="BM18" i="9" s="1"/>
  <c r="BN18" i="9" s="1"/>
  <c r="BJ18" i="9"/>
  <c r="BI18" i="9"/>
  <c r="BF18" i="9"/>
  <c r="BB18" i="9"/>
  <c r="C18" i="9"/>
  <c r="B18" i="9"/>
  <c r="BU17" i="9"/>
  <c r="BQ17" i="9"/>
  <c r="BL17" i="9"/>
  <c r="BK17" i="9"/>
  <c r="BJ17" i="9"/>
  <c r="BI17" i="9"/>
  <c r="BF17" i="9"/>
  <c r="BB17" i="9"/>
  <c r="C17" i="9"/>
  <c r="B17" i="9"/>
  <c r="BU16" i="9"/>
  <c r="BQ16" i="9"/>
  <c r="BM16" i="9"/>
  <c r="BN16" i="9" s="1"/>
  <c r="BW16" i="9" s="1"/>
  <c r="I12" i="3" s="1"/>
  <c r="BL16" i="9"/>
  <c r="BK16" i="9"/>
  <c r="BJ16" i="9"/>
  <c r="BI16" i="9"/>
  <c r="BF16" i="9"/>
  <c r="BB16" i="9"/>
  <c r="C16" i="9"/>
  <c r="B16" i="9"/>
  <c r="BU15" i="9"/>
  <c r="BQ15" i="9"/>
  <c r="BN15" i="9"/>
  <c r="BW15" i="9" s="1"/>
  <c r="BM15" i="9"/>
  <c r="BL15" i="9"/>
  <c r="BK15" i="9"/>
  <c r="BJ15" i="9"/>
  <c r="BI15" i="9"/>
  <c r="BF15" i="9"/>
  <c r="BB15" i="9"/>
  <c r="C15" i="9"/>
  <c r="B15" i="9"/>
  <c r="BU14" i="9"/>
  <c r="BQ14" i="9"/>
  <c r="BN14" i="9"/>
  <c r="BL14" i="9"/>
  <c r="BK14" i="9"/>
  <c r="BM14" i="9" s="1"/>
  <c r="BJ14" i="9"/>
  <c r="BI14" i="9"/>
  <c r="BF14" i="9"/>
  <c r="BB14" i="9"/>
  <c r="C14" i="9"/>
  <c r="B14" i="9"/>
  <c r="BU13" i="9"/>
  <c r="BQ13" i="9"/>
  <c r="BL13" i="9"/>
  <c r="BK13" i="9"/>
  <c r="BM13" i="9" s="1"/>
  <c r="BN13" i="9" s="1"/>
  <c r="BJ13" i="9"/>
  <c r="BI13" i="9"/>
  <c r="BF13" i="9"/>
  <c r="BB13" i="9"/>
  <c r="C13" i="9"/>
  <c r="B13" i="9"/>
  <c r="BU12" i="9"/>
  <c r="BW12" i="9" s="1"/>
  <c r="BQ12" i="9"/>
  <c r="BL12" i="9"/>
  <c r="BM12" i="9" s="1"/>
  <c r="BN12" i="9" s="1"/>
  <c r="BK12" i="9"/>
  <c r="BJ12" i="9"/>
  <c r="BI12" i="9"/>
  <c r="BF12" i="9"/>
  <c r="BB12" i="9"/>
  <c r="C12" i="9"/>
  <c r="B12" i="9"/>
  <c r="BU11" i="9"/>
  <c r="BQ11" i="9"/>
  <c r="BM11" i="9"/>
  <c r="BN11" i="9" s="1"/>
  <c r="BW11" i="9" s="1"/>
  <c r="I7" i="3" s="1"/>
  <c r="BL11" i="9"/>
  <c r="BK11" i="9"/>
  <c r="BJ11" i="9"/>
  <c r="BI11" i="9"/>
  <c r="BF11" i="9"/>
  <c r="BB11" i="9"/>
  <c r="C11" i="9"/>
  <c r="B11" i="9"/>
  <c r="BU10" i="9"/>
  <c r="BQ10" i="9"/>
  <c r="BL10" i="9"/>
  <c r="BK10" i="9"/>
  <c r="BM10" i="9" s="1"/>
  <c r="BN10" i="9" s="1"/>
  <c r="BJ10" i="9"/>
  <c r="BI10" i="9"/>
  <c r="BF10" i="9"/>
  <c r="BB10" i="9"/>
  <c r="C10" i="9"/>
  <c r="B10" i="9"/>
  <c r="BU9" i="9"/>
  <c r="BQ9" i="9"/>
  <c r="BL9" i="9"/>
  <c r="BK9" i="9"/>
  <c r="BJ9" i="9"/>
  <c r="BI9" i="9"/>
  <c r="BF9" i="9"/>
  <c r="BB9" i="9"/>
  <c r="C9" i="9"/>
  <c r="B9" i="9"/>
  <c r="BU8" i="9"/>
  <c r="BQ8" i="9"/>
  <c r="BM8" i="9"/>
  <c r="BN8" i="9" s="1"/>
  <c r="BW8" i="9" s="1"/>
  <c r="BL8" i="9"/>
  <c r="BK8" i="9"/>
  <c r="BJ8" i="9"/>
  <c r="BI8" i="9"/>
  <c r="BF8" i="9"/>
  <c r="BB8" i="9"/>
  <c r="C8" i="9"/>
  <c r="B8" i="9"/>
  <c r="BU7" i="9"/>
  <c r="BQ7" i="9"/>
  <c r="BN7" i="9"/>
  <c r="BW7" i="9" s="1"/>
  <c r="BM7" i="9"/>
  <c r="BL7" i="9"/>
  <c r="BJ7" i="9"/>
  <c r="BI7" i="9"/>
  <c r="BF7" i="9"/>
  <c r="BB7" i="9"/>
  <c r="C7" i="9"/>
  <c r="B7" i="9"/>
  <c r="A1" i="9"/>
  <c r="BU76" i="8"/>
  <c r="BQ76" i="8"/>
  <c r="BN76" i="8"/>
  <c r="BM76" i="8"/>
  <c r="BJ76" i="8"/>
  <c r="BI76" i="8"/>
  <c r="BF76" i="8"/>
  <c r="BB76" i="8"/>
  <c r="BD76" i="8" s="1"/>
  <c r="C76" i="8"/>
  <c r="B76" i="8"/>
  <c r="BU75" i="8"/>
  <c r="BW75" i="8" s="1"/>
  <c r="BQ75" i="8"/>
  <c r="BN75" i="8"/>
  <c r="BM75" i="8"/>
  <c r="BJ75" i="8"/>
  <c r="BI75" i="8"/>
  <c r="BB75" i="8"/>
  <c r="BD75" i="8" s="1"/>
  <c r="BF75" i="8" s="1"/>
  <c r="C75" i="8"/>
  <c r="B75" i="8"/>
  <c r="BU74" i="8"/>
  <c r="BQ74" i="8"/>
  <c r="BN74" i="8"/>
  <c r="BM74" i="8"/>
  <c r="BJ74" i="8"/>
  <c r="BI74" i="8"/>
  <c r="BF74" i="8"/>
  <c r="BB74" i="8"/>
  <c r="BD74" i="8" s="1"/>
  <c r="C74" i="8"/>
  <c r="B74" i="8"/>
  <c r="BU73" i="8"/>
  <c r="BW73" i="8" s="1"/>
  <c r="BQ73" i="8"/>
  <c r="BN73" i="8"/>
  <c r="BM73" i="8"/>
  <c r="BJ73" i="8"/>
  <c r="BI73" i="8"/>
  <c r="BB73" i="8"/>
  <c r="BD73" i="8" s="1"/>
  <c r="BF73" i="8" s="1"/>
  <c r="C73" i="8"/>
  <c r="B73" i="8"/>
  <c r="BU72" i="8"/>
  <c r="BQ72" i="8"/>
  <c r="BN72" i="8"/>
  <c r="BM72" i="8"/>
  <c r="BJ72" i="8"/>
  <c r="BI72" i="8"/>
  <c r="BF72" i="8"/>
  <c r="BB72" i="8"/>
  <c r="BD72" i="8" s="1"/>
  <c r="C72" i="8"/>
  <c r="B72" i="8"/>
  <c r="BU71" i="8"/>
  <c r="BW71" i="8" s="1"/>
  <c r="H67" i="3" s="1"/>
  <c r="BQ71" i="8"/>
  <c r="BN71" i="8"/>
  <c r="BM71" i="8"/>
  <c r="BJ71" i="8"/>
  <c r="BI71" i="8"/>
  <c r="BB71" i="8"/>
  <c r="BD71" i="8" s="1"/>
  <c r="BF71" i="8" s="1"/>
  <c r="C71" i="8"/>
  <c r="B71" i="8"/>
  <c r="BU70" i="8"/>
  <c r="BQ70" i="8"/>
  <c r="BN70" i="8"/>
  <c r="BM70" i="8"/>
  <c r="BJ70" i="8"/>
  <c r="BI70" i="8"/>
  <c r="BF70" i="8"/>
  <c r="BB70" i="8"/>
  <c r="BD70" i="8" s="1"/>
  <c r="C70" i="8"/>
  <c r="B70" i="8"/>
  <c r="BU69" i="8"/>
  <c r="BW69" i="8" s="1"/>
  <c r="BQ69" i="8"/>
  <c r="BN69" i="8"/>
  <c r="BM69" i="8"/>
  <c r="BJ69" i="8"/>
  <c r="BI69" i="8"/>
  <c r="BB69" i="8"/>
  <c r="BD69" i="8" s="1"/>
  <c r="BF69" i="8" s="1"/>
  <c r="C69" i="8"/>
  <c r="B69" i="8"/>
  <c r="BU68" i="8"/>
  <c r="BQ68" i="8"/>
  <c r="BN68" i="8"/>
  <c r="BM68" i="8"/>
  <c r="BJ68" i="8"/>
  <c r="BI68" i="8"/>
  <c r="BF68" i="8"/>
  <c r="BB68" i="8"/>
  <c r="BD68" i="8" s="1"/>
  <c r="C68" i="8"/>
  <c r="B68" i="8"/>
  <c r="BU67" i="8"/>
  <c r="BW67" i="8" s="1"/>
  <c r="BQ67" i="8"/>
  <c r="BN67" i="8"/>
  <c r="BM67" i="8"/>
  <c r="BJ67" i="8"/>
  <c r="BI67" i="8"/>
  <c r="BB67" i="8"/>
  <c r="BD67" i="8" s="1"/>
  <c r="BF67" i="8" s="1"/>
  <c r="C67" i="8"/>
  <c r="B67" i="8"/>
  <c r="BU66" i="8"/>
  <c r="BQ66" i="8"/>
  <c r="BN66" i="8"/>
  <c r="BM66" i="8"/>
  <c r="BJ66" i="8"/>
  <c r="BI66" i="8"/>
  <c r="BF66" i="8"/>
  <c r="BB66" i="8"/>
  <c r="BD66" i="8" s="1"/>
  <c r="C66" i="8"/>
  <c r="B66" i="8"/>
  <c r="BU65" i="8"/>
  <c r="BW65" i="8" s="1"/>
  <c r="BQ65" i="8"/>
  <c r="BN65" i="8"/>
  <c r="BM65" i="8"/>
  <c r="BJ65" i="8"/>
  <c r="BI65" i="8"/>
  <c r="BB65" i="8"/>
  <c r="BD65" i="8" s="1"/>
  <c r="BF65" i="8" s="1"/>
  <c r="C65" i="8"/>
  <c r="B65" i="8"/>
  <c r="BU64" i="8"/>
  <c r="BQ64" i="8"/>
  <c r="BN64" i="8"/>
  <c r="BM64" i="8"/>
  <c r="BJ64" i="8"/>
  <c r="BI64" i="8"/>
  <c r="BF64" i="8"/>
  <c r="BB64" i="8"/>
  <c r="BD64" i="8" s="1"/>
  <c r="C64" i="8"/>
  <c r="B64" i="8"/>
  <c r="BU63" i="8"/>
  <c r="BW63" i="8" s="1"/>
  <c r="H59" i="3" s="1"/>
  <c r="BQ63" i="8"/>
  <c r="BN63" i="8"/>
  <c r="BM63" i="8"/>
  <c r="BJ63" i="8"/>
  <c r="BI63" i="8"/>
  <c r="BB63" i="8"/>
  <c r="BD63" i="8" s="1"/>
  <c r="BF63" i="8" s="1"/>
  <c r="C63" i="8"/>
  <c r="B63" i="8"/>
  <c r="BU62" i="8"/>
  <c r="BQ62" i="8"/>
  <c r="BN62" i="8"/>
  <c r="BM62" i="8"/>
  <c r="BJ62" i="8"/>
  <c r="BI62" i="8"/>
  <c r="BF62" i="8"/>
  <c r="BB62" i="8"/>
  <c r="BD62" i="8" s="1"/>
  <c r="C62" i="8"/>
  <c r="B62" i="8"/>
  <c r="BU61" i="8"/>
  <c r="BW61" i="8" s="1"/>
  <c r="BQ61" i="8"/>
  <c r="BN61" i="8"/>
  <c r="BM61" i="8"/>
  <c r="BJ61" i="8"/>
  <c r="BI61" i="8"/>
  <c r="BB61" i="8"/>
  <c r="BD61" i="8" s="1"/>
  <c r="BF61" i="8" s="1"/>
  <c r="C61" i="8"/>
  <c r="B61" i="8"/>
  <c r="BU60" i="8"/>
  <c r="BQ60" i="8"/>
  <c r="BN60" i="8"/>
  <c r="BM60" i="8"/>
  <c r="BJ60" i="8"/>
  <c r="BI60" i="8"/>
  <c r="BF60" i="8"/>
  <c r="BB60" i="8"/>
  <c r="BD60" i="8" s="1"/>
  <c r="C60" i="8"/>
  <c r="B60" i="8"/>
  <c r="BU59" i="8"/>
  <c r="BW59" i="8" s="1"/>
  <c r="BQ59" i="8"/>
  <c r="BN59" i="8"/>
  <c r="BM59" i="8"/>
  <c r="BJ59" i="8"/>
  <c r="BI59" i="8"/>
  <c r="BB59" i="8"/>
  <c r="BD59" i="8" s="1"/>
  <c r="BF59" i="8" s="1"/>
  <c r="C59" i="8"/>
  <c r="B59" i="8"/>
  <c r="BU58" i="8"/>
  <c r="BQ58" i="8"/>
  <c r="BN58" i="8"/>
  <c r="BM58" i="8"/>
  <c r="BJ58" i="8"/>
  <c r="BI58" i="8"/>
  <c r="BF58" i="8"/>
  <c r="BB58" i="8"/>
  <c r="BD58" i="8" s="1"/>
  <c r="C58" i="8"/>
  <c r="B58" i="8"/>
  <c r="BU57" i="8"/>
  <c r="BW57" i="8" s="1"/>
  <c r="BQ57" i="8"/>
  <c r="BN57" i="8"/>
  <c r="BM57" i="8"/>
  <c r="BJ57" i="8"/>
  <c r="BI57" i="8"/>
  <c r="BB57" i="8"/>
  <c r="BD57" i="8" s="1"/>
  <c r="BF57" i="8" s="1"/>
  <c r="C57" i="8"/>
  <c r="B57" i="8"/>
  <c r="BU56" i="8"/>
  <c r="BQ56" i="8"/>
  <c r="BN56" i="8"/>
  <c r="BM56" i="8"/>
  <c r="BJ56" i="8"/>
  <c r="BI56" i="8"/>
  <c r="BF56" i="8"/>
  <c r="BB56" i="8"/>
  <c r="BD56" i="8" s="1"/>
  <c r="C56" i="8"/>
  <c r="B56" i="8"/>
  <c r="BU55" i="8"/>
  <c r="BW55" i="8" s="1"/>
  <c r="BQ55" i="8"/>
  <c r="BN55" i="8"/>
  <c r="BM55" i="8"/>
  <c r="BJ55" i="8"/>
  <c r="BI55" i="8"/>
  <c r="BB55" i="8"/>
  <c r="BD55" i="8" s="1"/>
  <c r="BF55" i="8" s="1"/>
  <c r="C55" i="8"/>
  <c r="B55" i="8"/>
  <c r="BU54" i="8"/>
  <c r="BQ54" i="8"/>
  <c r="BN54" i="8"/>
  <c r="BM54" i="8"/>
  <c r="BJ54" i="8"/>
  <c r="BI54" i="8"/>
  <c r="BF54" i="8"/>
  <c r="BB54" i="8"/>
  <c r="BD54" i="8" s="1"/>
  <c r="C54" i="8"/>
  <c r="B54" i="8"/>
  <c r="BU53" i="8"/>
  <c r="BW53" i="8" s="1"/>
  <c r="H49" i="3" s="1"/>
  <c r="BQ53" i="8"/>
  <c r="BN53" i="8"/>
  <c r="BM53" i="8"/>
  <c r="BJ53" i="8"/>
  <c r="BI53" i="8"/>
  <c r="BB53" i="8"/>
  <c r="BD53" i="8" s="1"/>
  <c r="BF53" i="8" s="1"/>
  <c r="C53" i="8"/>
  <c r="B53" i="8"/>
  <c r="BU52" i="8"/>
  <c r="BQ52" i="8"/>
  <c r="BN52" i="8"/>
  <c r="BM52" i="8"/>
  <c r="BJ52" i="8"/>
  <c r="BI52" i="8"/>
  <c r="BF52" i="8"/>
  <c r="BB52" i="8"/>
  <c r="BD52" i="8" s="1"/>
  <c r="C52" i="8"/>
  <c r="B52" i="8"/>
  <c r="BU51" i="8"/>
  <c r="BW51" i="8" s="1"/>
  <c r="BQ51" i="8"/>
  <c r="BN51" i="8"/>
  <c r="BM51" i="8"/>
  <c r="BJ51" i="8"/>
  <c r="BI51" i="8"/>
  <c r="BB51" i="8"/>
  <c r="BD51" i="8" s="1"/>
  <c r="BF51" i="8" s="1"/>
  <c r="C51" i="8"/>
  <c r="B51" i="8"/>
  <c r="BU50" i="8"/>
  <c r="BQ50" i="8"/>
  <c r="BN50" i="8"/>
  <c r="BM50" i="8"/>
  <c r="BJ50" i="8"/>
  <c r="BI50" i="8"/>
  <c r="BF50" i="8"/>
  <c r="BB50" i="8"/>
  <c r="BD50" i="8" s="1"/>
  <c r="C50" i="8"/>
  <c r="B50" i="8"/>
  <c r="BU49" i="8"/>
  <c r="BW49" i="8" s="1"/>
  <c r="BQ49" i="8"/>
  <c r="BN49" i="8"/>
  <c r="BM49" i="8"/>
  <c r="BJ49" i="8"/>
  <c r="BI49" i="8"/>
  <c r="BB49" i="8"/>
  <c r="BD49" i="8" s="1"/>
  <c r="BF49" i="8" s="1"/>
  <c r="C49" i="8"/>
  <c r="B49" i="8"/>
  <c r="BU48" i="8"/>
  <c r="BQ48" i="8"/>
  <c r="BN48" i="8"/>
  <c r="BM48" i="8"/>
  <c r="BJ48" i="8"/>
  <c r="BI48" i="8"/>
  <c r="BF48" i="8"/>
  <c r="BB48" i="8"/>
  <c r="BD48" i="8" s="1"/>
  <c r="C48" i="8"/>
  <c r="B48" i="8"/>
  <c r="BU47" i="8"/>
  <c r="BW47" i="8" s="1"/>
  <c r="H43" i="3" s="1"/>
  <c r="BQ47" i="8"/>
  <c r="BN47" i="8"/>
  <c r="BM47" i="8"/>
  <c r="BJ47" i="8"/>
  <c r="BI47" i="8"/>
  <c r="BB47" i="8"/>
  <c r="BD47" i="8" s="1"/>
  <c r="BF47" i="8" s="1"/>
  <c r="C47" i="8"/>
  <c r="B47" i="8"/>
  <c r="BU46" i="8"/>
  <c r="BQ46" i="8"/>
  <c r="BN46" i="8"/>
  <c r="BM46" i="8"/>
  <c r="BJ46" i="8"/>
  <c r="BI46" i="8"/>
  <c r="BF46" i="8"/>
  <c r="BB46" i="8"/>
  <c r="BD46" i="8" s="1"/>
  <c r="C46" i="8"/>
  <c r="B46" i="8"/>
  <c r="BU45" i="8"/>
  <c r="BW45" i="8" s="1"/>
  <c r="BQ45" i="8"/>
  <c r="BN45" i="8"/>
  <c r="BM45" i="8"/>
  <c r="BJ45" i="8"/>
  <c r="BI45" i="8"/>
  <c r="BB45" i="8"/>
  <c r="BD45" i="8" s="1"/>
  <c r="BF45" i="8" s="1"/>
  <c r="C45" i="8"/>
  <c r="B45" i="8"/>
  <c r="BU44" i="8"/>
  <c r="BQ44" i="8"/>
  <c r="BN44" i="8"/>
  <c r="BM44" i="8"/>
  <c r="BJ44" i="8"/>
  <c r="BI44" i="8"/>
  <c r="BF44" i="8"/>
  <c r="BB44" i="8"/>
  <c r="BD44" i="8" s="1"/>
  <c r="C44" i="8"/>
  <c r="B44" i="8"/>
  <c r="BU43" i="8"/>
  <c r="BW43" i="8" s="1"/>
  <c r="BQ43" i="8"/>
  <c r="BN43" i="8"/>
  <c r="BM43" i="8"/>
  <c r="BJ43" i="8"/>
  <c r="BI43" i="8"/>
  <c r="BB43" i="8"/>
  <c r="BD43" i="8" s="1"/>
  <c r="BF43" i="8" s="1"/>
  <c r="C43" i="8"/>
  <c r="B43" i="8"/>
  <c r="BU42" i="8"/>
  <c r="BQ42" i="8"/>
  <c r="BN42" i="8"/>
  <c r="BM42" i="8"/>
  <c r="BJ42" i="8"/>
  <c r="BI42" i="8"/>
  <c r="BF42" i="8"/>
  <c r="BB42" i="8"/>
  <c r="BD42" i="8" s="1"/>
  <c r="C42" i="8"/>
  <c r="B42" i="8"/>
  <c r="BU41" i="8"/>
  <c r="BW41" i="8" s="1"/>
  <c r="BQ41" i="8"/>
  <c r="BN41" i="8"/>
  <c r="BM41" i="8"/>
  <c r="BJ41" i="8"/>
  <c r="BI41" i="8"/>
  <c r="BB41" i="8"/>
  <c r="BD41" i="8" s="1"/>
  <c r="BF41" i="8" s="1"/>
  <c r="C41" i="8"/>
  <c r="B41" i="8"/>
  <c r="BU40" i="8"/>
  <c r="BQ40" i="8"/>
  <c r="BN40" i="8"/>
  <c r="BM40" i="8"/>
  <c r="BJ40" i="8"/>
  <c r="BI40" i="8"/>
  <c r="BF40" i="8"/>
  <c r="BB40" i="8"/>
  <c r="BD40" i="8" s="1"/>
  <c r="C40" i="8"/>
  <c r="B40" i="8"/>
  <c r="BU39" i="8"/>
  <c r="BW39" i="8" s="1"/>
  <c r="H35" i="3" s="1"/>
  <c r="BQ39" i="8"/>
  <c r="BN39" i="8"/>
  <c r="BM39" i="8"/>
  <c r="BJ39" i="8"/>
  <c r="BI39" i="8"/>
  <c r="BB39" i="8"/>
  <c r="BD39" i="8" s="1"/>
  <c r="BF39" i="8" s="1"/>
  <c r="C39" i="8"/>
  <c r="B39" i="8"/>
  <c r="BU38" i="8"/>
  <c r="BQ38" i="8"/>
  <c r="BN38" i="8"/>
  <c r="BM38" i="8"/>
  <c r="BJ38" i="8"/>
  <c r="BI38" i="8"/>
  <c r="BF38" i="8"/>
  <c r="BB38" i="8"/>
  <c r="BD38" i="8" s="1"/>
  <c r="C38" i="8"/>
  <c r="B38" i="8"/>
  <c r="BU37" i="8"/>
  <c r="BW37" i="8" s="1"/>
  <c r="BQ37" i="8"/>
  <c r="BN37" i="8"/>
  <c r="BM37" i="8"/>
  <c r="BJ37" i="8"/>
  <c r="BI37" i="8"/>
  <c r="BB37" i="8"/>
  <c r="BD37" i="8" s="1"/>
  <c r="BF37" i="8" s="1"/>
  <c r="C37" i="8"/>
  <c r="B37" i="8"/>
  <c r="BU36" i="8"/>
  <c r="BQ36" i="8"/>
  <c r="BN36" i="8"/>
  <c r="BM36" i="8"/>
  <c r="BJ36" i="8"/>
  <c r="BI36" i="8"/>
  <c r="BF36" i="8"/>
  <c r="BB36" i="8"/>
  <c r="BD36" i="8" s="1"/>
  <c r="C36" i="8"/>
  <c r="B36" i="8"/>
  <c r="BU35" i="8"/>
  <c r="BW35" i="8" s="1"/>
  <c r="BQ35" i="8"/>
  <c r="BN35" i="8"/>
  <c r="BM35" i="8"/>
  <c r="BJ35" i="8"/>
  <c r="BI35" i="8"/>
  <c r="BB35" i="8"/>
  <c r="BD35" i="8" s="1"/>
  <c r="BF35" i="8" s="1"/>
  <c r="C35" i="8"/>
  <c r="B35" i="8"/>
  <c r="BU34" i="8"/>
  <c r="BQ34" i="8"/>
  <c r="BN34" i="8"/>
  <c r="BM34" i="8"/>
  <c r="BJ34" i="8"/>
  <c r="BI34" i="8"/>
  <c r="BF34" i="8"/>
  <c r="BB34" i="8"/>
  <c r="BD34" i="8" s="1"/>
  <c r="C34" i="8"/>
  <c r="B34" i="8"/>
  <c r="BU33" i="8"/>
  <c r="BW33" i="8" s="1"/>
  <c r="BQ33" i="8"/>
  <c r="BN33" i="8"/>
  <c r="BM33" i="8"/>
  <c r="BJ33" i="8"/>
  <c r="BI33" i="8"/>
  <c r="BB33" i="8"/>
  <c r="BD33" i="8" s="1"/>
  <c r="BF33" i="8" s="1"/>
  <c r="C33" i="8"/>
  <c r="B33" i="8"/>
  <c r="BU32" i="8"/>
  <c r="BQ32" i="8"/>
  <c r="BN32" i="8"/>
  <c r="BM32" i="8"/>
  <c r="BJ32" i="8"/>
  <c r="BI32" i="8"/>
  <c r="BF32" i="8"/>
  <c r="BB32" i="8"/>
  <c r="BD32" i="8" s="1"/>
  <c r="C32" i="8"/>
  <c r="B32" i="8"/>
  <c r="BU31" i="8"/>
  <c r="BW31" i="8" s="1"/>
  <c r="H27" i="3" s="1"/>
  <c r="BQ31" i="8"/>
  <c r="BN31" i="8"/>
  <c r="BM31" i="8"/>
  <c r="BJ31" i="8"/>
  <c r="BI31" i="8"/>
  <c r="BB31" i="8"/>
  <c r="BD31" i="8" s="1"/>
  <c r="BF31" i="8" s="1"/>
  <c r="C31" i="8"/>
  <c r="B31" i="8"/>
  <c r="BU30" i="8"/>
  <c r="BQ30" i="8"/>
  <c r="BN30" i="8"/>
  <c r="BM30" i="8"/>
  <c r="BJ30" i="8"/>
  <c r="BI30" i="8"/>
  <c r="BF30" i="8"/>
  <c r="BB30" i="8"/>
  <c r="BD30" i="8" s="1"/>
  <c r="C30" i="8"/>
  <c r="B30" i="8"/>
  <c r="BU29" i="8"/>
  <c r="BW29" i="8" s="1"/>
  <c r="BQ29" i="8"/>
  <c r="BN29" i="8"/>
  <c r="BM29" i="8"/>
  <c r="BJ29" i="8"/>
  <c r="BI29" i="8"/>
  <c r="BB29" i="8"/>
  <c r="BD29" i="8" s="1"/>
  <c r="BF29" i="8" s="1"/>
  <c r="C29" i="8"/>
  <c r="B29" i="8"/>
  <c r="BU28" i="8"/>
  <c r="BQ28" i="8"/>
  <c r="BN28" i="8"/>
  <c r="BM28" i="8"/>
  <c r="BJ28" i="8"/>
  <c r="BI28" i="8"/>
  <c r="BF28" i="8"/>
  <c r="BB28" i="8"/>
  <c r="BD28" i="8" s="1"/>
  <c r="C28" i="8"/>
  <c r="B28" i="8"/>
  <c r="BU27" i="8"/>
  <c r="BW27" i="8" s="1"/>
  <c r="BQ27" i="8"/>
  <c r="BN27" i="8"/>
  <c r="BM27" i="8"/>
  <c r="BJ27" i="8"/>
  <c r="BI27" i="8"/>
  <c r="BB27" i="8"/>
  <c r="BD27" i="8" s="1"/>
  <c r="BF27" i="8" s="1"/>
  <c r="C27" i="8"/>
  <c r="B27" i="8"/>
  <c r="BU26" i="8"/>
  <c r="BQ26" i="8"/>
  <c r="BN26" i="8"/>
  <c r="BM26" i="8"/>
  <c r="BJ26" i="8"/>
  <c r="BI26" i="8"/>
  <c r="BF26" i="8"/>
  <c r="BB26" i="8"/>
  <c r="BD26" i="8" s="1"/>
  <c r="C26" i="8"/>
  <c r="B26" i="8"/>
  <c r="BU25" i="8"/>
  <c r="BW25" i="8" s="1"/>
  <c r="BQ25" i="8"/>
  <c r="BN25" i="8"/>
  <c r="BM25" i="8"/>
  <c r="BJ25" i="8"/>
  <c r="BI25" i="8"/>
  <c r="BB25" i="8"/>
  <c r="BD25" i="8" s="1"/>
  <c r="BF25" i="8" s="1"/>
  <c r="C25" i="8"/>
  <c r="B25" i="8"/>
  <c r="BU24" i="8"/>
  <c r="BQ24" i="8"/>
  <c r="BN24" i="8"/>
  <c r="BM24" i="8"/>
  <c r="BJ24" i="8"/>
  <c r="BI24" i="8"/>
  <c r="BF24" i="8"/>
  <c r="BB24" i="8"/>
  <c r="BD24" i="8" s="1"/>
  <c r="C24" i="8"/>
  <c r="B24" i="8"/>
  <c r="BU23" i="8"/>
  <c r="BW23" i="8" s="1"/>
  <c r="H19" i="3" s="1"/>
  <c r="BQ23" i="8"/>
  <c r="BN23" i="8"/>
  <c r="BM23" i="8"/>
  <c r="BJ23" i="8"/>
  <c r="BI23" i="8"/>
  <c r="BB23" i="8"/>
  <c r="BD23" i="8" s="1"/>
  <c r="BF23" i="8" s="1"/>
  <c r="C23" i="8"/>
  <c r="B23" i="8"/>
  <c r="BU22" i="8"/>
  <c r="BQ22" i="8"/>
  <c r="BN22" i="8"/>
  <c r="BM22" i="8"/>
  <c r="BJ22" i="8"/>
  <c r="BI22" i="8"/>
  <c r="BF22" i="8"/>
  <c r="BB22" i="8"/>
  <c r="BD22" i="8" s="1"/>
  <c r="C22" i="8"/>
  <c r="B22" i="8"/>
  <c r="BU21" i="8"/>
  <c r="BW21" i="8" s="1"/>
  <c r="BQ21" i="8"/>
  <c r="BN21" i="8"/>
  <c r="BM21" i="8"/>
  <c r="BJ21" i="8"/>
  <c r="BI21" i="8"/>
  <c r="BB21" i="8"/>
  <c r="BD21" i="8" s="1"/>
  <c r="BF21" i="8" s="1"/>
  <c r="C21" i="8"/>
  <c r="B21" i="8"/>
  <c r="BU20" i="8"/>
  <c r="BQ20" i="8"/>
  <c r="BN20" i="8"/>
  <c r="BM20" i="8"/>
  <c r="BJ20" i="8"/>
  <c r="BI20" i="8"/>
  <c r="BF20" i="8"/>
  <c r="BB20" i="8"/>
  <c r="BD20" i="8" s="1"/>
  <c r="C20" i="8"/>
  <c r="B20" i="8"/>
  <c r="BU19" i="8"/>
  <c r="BW19" i="8" s="1"/>
  <c r="BQ19" i="8"/>
  <c r="BN19" i="8"/>
  <c r="BM19" i="8"/>
  <c r="BJ19" i="8"/>
  <c r="BI19" i="8"/>
  <c r="BB19" i="8"/>
  <c r="BD19" i="8" s="1"/>
  <c r="BF19" i="8" s="1"/>
  <c r="C19" i="8"/>
  <c r="B19" i="8"/>
  <c r="BU18" i="8"/>
  <c r="BQ18" i="8"/>
  <c r="BN18" i="8"/>
  <c r="BM18" i="8"/>
  <c r="BJ18" i="8"/>
  <c r="BI18" i="8"/>
  <c r="BF18" i="8"/>
  <c r="BB18" i="8"/>
  <c r="BD18" i="8" s="1"/>
  <c r="C18" i="8"/>
  <c r="B18" i="8"/>
  <c r="BU17" i="8"/>
  <c r="BW17" i="8" s="1"/>
  <c r="BQ17" i="8"/>
  <c r="BN17" i="8"/>
  <c r="BM17" i="8"/>
  <c r="BJ17" i="8"/>
  <c r="BI17" i="8"/>
  <c r="BB17" i="8"/>
  <c r="BD17" i="8" s="1"/>
  <c r="BF17" i="8" s="1"/>
  <c r="C17" i="8"/>
  <c r="B17" i="8"/>
  <c r="BU16" i="8"/>
  <c r="BQ16" i="8"/>
  <c r="BN16" i="8"/>
  <c r="BM16" i="8"/>
  <c r="BJ16" i="8"/>
  <c r="BI16" i="8"/>
  <c r="BF16" i="8"/>
  <c r="BB16" i="8"/>
  <c r="BD16" i="8" s="1"/>
  <c r="C16" i="8"/>
  <c r="B16" i="8"/>
  <c r="BU15" i="8"/>
  <c r="BW15" i="8" s="1"/>
  <c r="H11" i="3" s="1"/>
  <c r="BQ15" i="8"/>
  <c r="BN15" i="8"/>
  <c r="BM15" i="8"/>
  <c r="BJ15" i="8"/>
  <c r="BI15" i="8"/>
  <c r="BB15" i="8"/>
  <c r="BD15" i="8" s="1"/>
  <c r="BF15" i="8" s="1"/>
  <c r="C15" i="8"/>
  <c r="B15" i="8"/>
  <c r="BU14" i="8"/>
  <c r="BQ14" i="8"/>
  <c r="BN14" i="8"/>
  <c r="BM14" i="8"/>
  <c r="BJ14" i="8"/>
  <c r="BI14" i="8"/>
  <c r="BF14" i="8"/>
  <c r="BB14" i="8"/>
  <c r="BD14" i="8" s="1"/>
  <c r="C14" i="8"/>
  <c r="B14" i="8"/>
  <c r="BU13" i="8"/>
  <c r="BW13" i="8" s="1"/>
  <c r="H9" i="3" s="1"/>
  <c r="BQ13" i="8"/>
  <c r="BN13" i="8"/>
  <c r="BM13" i="8"/>
  <c r="BJ13" i="8"/>
  <c r="BI13" i="8"/>
  <c r="BB13" i="8"/>
  <c r="BD13" i="8" s="1"/>
  <c r="BF13" i="8" s="1"/>
  <c r="C13" i="8"/>
  <c r="B13" i="8"/>
  <c r="BU12" i="8"/>
  <c r="BQ12" i="8"/>
  <c r="BN12" i="8"/>
  <c r="BM12" i="8"/>
  <c r="BJ12" i="8"/>
  <c r="BI12" i="8"/>
  <c r="BF12" i="8"/>
  <c r="BB12" i="8"/>
  <c r="BD12" i="8" s="1"/>
  <c r="C12" i="8"/>
  <c r="B12" i="8"/>
  <c r="BU11" i="8"/>
  <c r="BW11" i="8" s="1"/>
  <c r="BQ11" i="8"/>
  <c r="BN11" i="8"/>
  <c r="BM11" i="8"/>
  <c r="BJ11" i="8"/>
  <c r="BI11" i="8"/>
  <c r="BB11" i="8"/>
  <c r="BD11" i="8" s="1"/>
  <c r="BF11" i="8" s="1"/>
  <c r="C11" i="8"/>
  <c r="B11" i="8"/>
  <c r="BU10" i="8"/>
  <c r="BQ10" i="8"/>
  <c r="BN10" i="8"/>
  <c r="BM10" i="8"/>
  <c r="BJ10" i="8"/>
  <c r="BI10" i="8"/>
  <c r="BF10" i="8"/>
  <c r="BB10" i="8"/>
  <c r="BD10" i="8" s="1"/>
  <c r="C10" i="8"/>
  <c r="B10" i="8"/>
  <c r="BU9" i="8"/>
  <c r="BW9" i="8" s="1"/>
  <c r="BQ9" i="8"/>
  <c r="BN9" i="8"/>
  <c r="BM9" i="8"/>
  <c r="BJ9" i="8"/>
  <c r="BI9" i="8"/>
  <c r="BB9" i="8"/>
  <c r="BD9" i="8" s="1"/>
  <c r="BF9" i="8" s="1"/>
  <c r="C9" i="8"/>
  <c r="B9" i="8"/>
  <c r="BU8" i="8"/>
  <c r="BQ8" i="8"/>
  <c r="BN8" i="8"/>
  <c r="BM8" i="8"/>
  <c r="BJ8" i="8"/>
  <c r="BI8" i="8"/>
  <c r="BF8" i="8"/>
  <c r="BB8" i="8"/>
  <c r="BD8" i="8" s="1"/>
  <c r="C8" i="8"/>
  <c r="B8" i="8"/>
  <c r="BU7" i="8"/>
  <c r="BW7" i="8" s="1"/>
  <c r="H3" i="3" s="1"/>
  <c r="BQ7" i="8"/>
  <c r="BN7" i="8"/>
  <c r="BM7" i="8"/>
  <c r="BJ7" i="8"/>
  <c r="BI7" i="8"/>
  <c r="BB7" i="8"/>
  <c r="BD7" i="8" s="1"/>
  <c r="BF7" i="8" s="1"/>
  <c r="C7" i="8"/>
  <c r="B7" i="8"/>
  <c r="A1" i="8"/>
  <c r="BU76" i="7"/>
  <c r="BQ76" i="7"/>
  <c r="BL76" i="7"/>
  <c r="BJ76" i="7"/>
  <c r="BI76" i="7"/>
  <c r="BF76" i="7"/>
  <c r="BD76" i="7"/>
  <c r="BK76" i="7" s="1"/>
  <c r="C76" i="7"/>
  <c r="B76" i="7"/>
  <c r="BU75" i="7"/>
  <c r="BQ75" i="7"/>
  <c r="BM75" i="7"/>
  <c r="BN75" i="7" s="1"/>
  <c r="BW75" i="7" s="1"/>
  <c r="E71" i="3" s="1"/>
  <c r="BL75" i="7"/>
  <c r="BJ75" i="7"/>
  <c r="BI75" i="7"/>
  <c r="BF75" i="7"/>
  <c r="BD75" i="7"/>
  <c r="BK75" i="7" s="1"/>
  <c r="C75" i="7"/>
  <c r="B75" i="7"/>
  <c r="BU74" i="7"/>
  <c r="BQ74" i="7"/>
  <c r="BL74" i="7"/>
  <c r="BJ74" i="7"/>
  <c r="BI74" i="7"/>
  <c r="BD74" i="7"/>
  <c r="C74" i="7"/>
  <c r="B74" i="7"/>
  <c r="BU73" i="7"/>
  <c r="BQ73" i="7"/>
  <c r="BL73" i="7"/>
  <c r="BJ73" i="7"/>
  <c r="BI73" i="7"/>
  <c r="BD73" i="7"/>
  <c r="C73" i="7"/>
  <c r="B73" i="7"/>
  <c r="BU72" i="7"/>
  <c r="BQ72" i="7"/>
  <c r="BL72" i="7"/>
  <c r="BJ72" i="7"/>
  <c r="BI72" i="7"/>
  <c r="BD72" i="7"/>
  <c r="BF72" i="7" s="1"/>
  <c r="C72" i="7"/>
  <c r="B72" i="7"/>
  <c r="BU71" i="7"/>
  <c r="BW71" i="7" s="1"/>
  <c r="E67" i="3" s="1"/>
  <c r="BQ71" i="7"/>
  <c r="BL71" i="7"/>
  <c r="BJ71" i="7"/>
  <c r="BI71" i="7"/>
  <c r="BF71" i="7"/>
  <c r="BD71" i="7"/>
  <c r="BK71" i="7" s="1"/>
  <c r="BM71" i="7" s="1"/>
  <c r="BN71" i="7" s="1"/>
  <c r="C71" i="7"/>
  <c r="B71" i="7"/>
  <c r="BU70" i="7"/>
  <c r="BQ70" i="7"/>
  <c r="BL70" i="7"/>
  <c r="BK70" i="7"/>
  <c r="BJ70" i="7"/>
  <c r="BI70" i="7"/>
  <c r="BD70" i="7"/>
  <c r="BF70" i="7" s="1"/>
  <c r="C70" i="7"/>
  <c r="B70" i="7"/>
  <c r="BU69" i="7"/>
  <c r="BQ69" i="7"/>
  <c r="BN69" i="7"/>
  <c r="BL69" i="7"/>
  <c r="BJ69" i="7"/>
  <c r="BI69" i="7"/>
  <c r="BF69" i="7"/>
  <c r="BD69" i="7"/>
  <c r="BK69" i="7" s="1"/>
  <c r="BM69" i="7" s="1"/>
  <c r="C69" i="7"/>
  <c r="B69" i="7"/>
  <c r="BU68" i="7"/>
  <c r="BQ68" i="7"/>
  <c r="BL68" i="7"/>
  <c r="BJ68" i="7"/>
  <c r="BI68" i="7"/>
  <c r="BF68" i="7"/>
  <c r="BD68" i="7"/>
  <c r="BK68" i="7" s="1"/>
  <c r="C68" i="7"/>
  <c r="B68" i="7"/>
  <c r="BU67" i="7"/>
  <c r="BQ67" i="7"/>
  <c r="BN67" i="7"/>
  <c r="BW67" i="7" s="1"/>
  <c r="BM67" i="7"/>
  <c r="BL67" i="7"/>
  <c r="BJ67" i="7"/>
  <c r="BI67" i="7"/>
  <c r="BF67" i="7"/>
  <c r="BD67" i="7"/>
  <c r="BK67" i="7" s="1"/>
  <c r="C67" i="7"/>
  <c r="B67" i="7"/>
  <c r="BU66" i="7"/>
  <c r="BQ66" i="7"/>
  <c r="BN66" i="7"/>
  <c r="BL66" i="7"/>
  <c r="BK66" i="7"/>
  <c r="BM66" i="7" s="1"/>
  <c r="BJ66" i="7"/>
  <c r="BI66" i="7"/>
  <c r="BD66" i="7"/>
  <c r="BF66" i="7" s="1"/>
  <c r="C66" i="7"/>
  <c r="B66" i="7"/>
  <c r="BU65" i="7"/>
  <c r="BQ65" i="7"/>
  <c r="BN65" i="7"/>
  <c r="BL65" i="7"/>
  <c r="BJ65" i="7"/>
  <c r="BI65" i="7"/>
  <c r="BF65" i="7"/>
  <c r="BD65" i="7"/>
  <c r="BK65" i="7" s="1"/>
  <c r="BM65" i="7" s="1"/>
  <c r="C65" i="7"/>
  <c r="B65" i="7"/>
  <c r="BU64" i="7"/>
  <c r="BQ64" i="7"/>
  <c r="BM64" i="7"/>
  <c r="BN64" i="7" s="1"/>
  <c r="BW64" i="7" s="1"/>
  <c r="E60" i="3" s="1"/>
  <c r="BL64" i="7"/>
  <c r="BJ64" i="7"/>
  <c r="BI64" i="7"/>
  <c r="BF64" i="7"/>
  <c r="BD64" i="7"/>
  <c r="BK64" i="7" s="1"/>
  <c r="C64" i="7"/>
  <c r="B64" i="7"/>
  <c r="BU63" i="7"/>
  <c r="BQ63" i="7"/>
  <c r="BN63" i="7"/>
  <c r="BW63" i="7" s="1"/>
  <c r="BM63" i="7"/>
  <c r="BL63" i="7"/>
  <c r="BJ63" i="7"/>
  <c r="BI63" i="7"/>
  <c r="BF63" i="7"/>
  <c r="BD63" i="7"/>
  <c r="BK63" i="7" s="1"/>
  <c r="C63" i="7"/>
  <c r="B63" i="7"/>
  <c r="BU62" i="7"/>
  <c r="BQ62" i="7"/>
  <c r="BL62" i="7"/>
  <c r="BJ62" i="7"/>
  <c r="BI62" i="7"/>
  <c r="BD62" i="7"/>
  <c r="BF62" i="7" s="1"/>
  <c r="C62" i="7"/>
  <c r="B62" i="7"/>
  <c r="BU61" i="7"/>
  <c r="BQ61" i="7"/>
  <c r="BL61" i="7"/>
  <c r="BJ61" i="7"/>
  <c r="BI61" i="7"/>
  <c r="BF61" i="7"/>
  <c r="BD61" i="7"/>
  <c r="BK61" i="7" s="1"/>
  <c r="BM61" i="7" s="1"/>
  <c r="BN61" i="7" s="1"/>
  <c r="C61" i="7"/>
  <c r="B61" i="7"/>
  <c r="BU60" i="7"/>
  <c r="BQ60" i="7"/>
  <c r="BL60" i="7"/>
  <c r="H57" i="1" s="1"/>
  <c r="BJ60" i="7"/>
  <c r="BI60" i="7"/>
  <c r="BF60" i="7"/>
  <c r="BD60" i="7"/>
  <c r="BK60" i="7" s="1"/>
  <c r="C60" i="7"/>
  <c r="B60" i="7"/>
  <c r="BU59" i="7"/>
  <c r="BQ59" i="7"/>
  <c r="BL59" i="7"/>
  <c r="H56" i="1" s="1"/>
  <c r="BJ59" i="7"/>
  <c r="BI59" i="7"/>
  <c r="BF59" i="7"/>
  <c r="BD59" i="7"/>
  <c r="BK59" i="7" s="1"/>
  <c r="G56" i="1" s="1"/>
  <c r="I56" i="1" s="1"/>
  <c r="C59" i="7"/>
  <c r="B59" i="7"/>
  <c r="BU58" i="7"/>
  <c r="BQ58" i="7"/>
  <c r="BL58" i="7"/>
  <c r="BJ58" i="7"/>
  <c r="BI58" i="7"/>
  <c r="BD58" i="7"/>
  <c r="C58" i="7"/>
  <c r="B58" i="7"/>
  <c r="BU57" i="7"/>
  <c r="BQ57" i="7"/>
  <c r="BL57" i="7"/>
  <c r="BJ57" i="7"/>
  <c r="BI57" i="7"/>
  <c r="BD57" i="7"/>
  <c r="BF57" i="7" s="1"/>
  <c r="C57" i="7"/>
  <c r="B57" i="7"/>
  <c r="BU56" i="7"/>
  <c r="BQ56" i="7"/>
  <c r="BL56" i="7"/>
  <c r="BJ56" i="7"/>
  <c r="BI56" i="7"/>
  <c r="BD56" i="7"/>
  <c r="C56" i="7"/>
  <c r="B56" i="7"/>
  <c r="BU55" i="7"/>
  <c r="BW55" i="7" s="1"/>
  <c r="E51" i="3" s="1"/>
  <c r="BQ55" i="7"/>
  <c r="BL55" i="7"/>
  <c r="BJ55" i="7"/>
  <c r="BI55" i="7"/>
  <c r="BF55" i="7"/>
  <c r="BD55" i="7"/>
  <c r="BK55" i="7" s="1"/>
  <c r="BM55" i="7" s="1"/>
  <c r="BN55" i="7" s="1"/>
  <c r="C55" i="7"/>
  <c r="B55" i="7"/>
  <c r="BU54" i="7"/>
  <c r="BQ54" i="7"/>
  <c r="BL54" i="7"/>
  <c r="BK54" i="7"/>
  <c r="BJ54" i="7"/>
  <c r="BI54" i="7"/>
  <c r="BD54" i="7"/>
  <c r="BF54" i="7" s="1"/>
  <c r="C54" i="7"/>
  <c r="B54" i="7"/>
  <c r="BU53" i="7"/>
  <c r="BQ53" i="7"/>
  <c r="BN53" i="7"/>
  <c r="BL53" i="7"/>
  <c r="BJ53" i="7"/>
  <c r="BI53" i="7"/>
  <c r="BF53" i="7"/>
  <c r="BD53" i="7"/>
  <c r="BK53" i="7" s="1"/>
  <c r="BM53" i="7" s="1"/>
  <c r="C53" i="7"/>
  <c r="B53" i="7"/>
  <c r="BU52" i="7"/>
  <c r="BQ52" i="7"/>
  <c r="BW52" i="7" s="1"/>
  <c r="BM52" i="7"/>
  <c r="BN52" i="7" s="1"/>
  <c r="BL52" i="7"/>
  <c r="BJ52" i="7"/>
  <c r="BI52" i="7"/>
  <c r="BF52" i="7"/>
  <c r="BD52" i="7"/>
  <c r="BK52" i="7" s="1"/>
  <c r="C52" i="7"/>
  <c r="B52" i="7"/>
  <c r="BU51" i="7"/>
  <c r="BQ51" i="7"/>
  <c r="BN51" i="7"/>
  <c r="BW51" i="7" s="1"/>
  <c r="E47" i="3" s="1"/>
  <c r="BM51" i="7"/>
  <c r="BL51" i="7"/>
  <c r="BJ51" i="7"/>
  <c r="BI51" i="7"/>
  <c r="BF51" i="7"/>
  <c r="BD51" i="7"/>
  <c r="BK51" i="7" s="1"/>
  <c r="C51" i="7"/>
  <c r="B51" i="7"/>
  <c r="BU50" i="7"/>
  <c r="BQ50" i="7"/>
  <c r="BL50" i="7"/>
  <c r="BK50" i="7"/>
  <c r="BJ50" i="7"/>
  <c r="BI50" i="7"/>
  <c r="BD50" i="7"/>
  <c r="BF50" i="7" s="1"/>
  <c r="C50" i="7"/>
  <c r="B50" i="7"/>
  <c r="BU49" i="7"/>
  <c r="BQ49" i="7"/>
  <c r="BN49" i="7"/>
  <c r="BL49" i="7"/>
  <c r="BJ49" i="7"/>
  <c r="BI49" i="7"/>
  <c r="BF49" i="7"/>
  <c r="BD49" i="7"/>
  <c r="BK49" i="7" s="1"/>
  <c r="BM49" i="7" s="1"/>
  <c r="C49" i="7"/>
  <c r="B49" i="7"/>
  <c r="BU48" i="7"/>
  <c r="BQ48" i="7"/>
  <c r="BL48" i="7"/>
  <c r="H45" i="1" s="1"/>
  <c r="BJ48" i="7"/>
  <c r="BI48" i="7"/>
  <c r="BF48" i="7"/>
  <c r="BD48" i="7"/>
  <c r="BK48" i="7" s="1"/>
  <c r="G45" i="1" s="1"/>
  <c r="C48" i="7"/>
  <c r="B48" i="7"/>
  <c r="BW47" i="7"/>
  <c r="E43" i="3" s="1"/>
  <c r="BU47" i="7"/>
  <c r="BQ47" i="7"/>
  <c r="BM47" i="7"/>
  <c r="BN47" i="7" s="1"/>
  <c r="BL47" i="7"/>
  <c r="BJ47" i="7"/>
  <c r="BI47" i="7"/>
  <c r="BF47" i="7"/>
  <c r="BD47" i="7"/>
  <c r="BK47" i="7" s="1"/>
  <c r="C47" i="7"/>
  <c r="B47" i="7"/>
  <c r="BU46" i="7"/>
  <c r="BQ46" i="7"/>
  <c r="BL46" i="7"/>
  <c r="BJ46" i="7"/>
  <c r="BI46" i="7"/>
  <c r="BD46" i="7"/>
  <c r="BF46" i="7" s="1"/>
  <c r="C46" i="7"/>
  <c r="B46" i="7"/>
  <c r="BU45" i="7"/>
  <c r="BQ45" i="7"/>
  <c r="BL45" i="7"/>
  <c r="H42" i="1" s="1"/>
  <c r="BJ45" i="7"/>
  <c r="BI45" i="7"/>
  <c r="BF45" i="7"/>
  <c r="BD45" i="7"/>
  <c r="BK45" i="7" s="1"/>
  <c r="BM45" i="7" s="1"/>
  <c r="BN45" i="7" s="1"/>
  <c r="C45" i="7"/>
  <c r="B45" i="7"/>
  <c r="BU44" i="7"/>
  <c r="BQ44" i="7"/>
  <c r="BL44" i="7"/>
  <c r="H41" i="1" s="1"/>
  <c r="BJ44" i="7"/>
  <c r="BI44" i="7"/>
  <c r="BF44" i="7"/>
  <c r="BD44" i="7"/>
  <c r="BK44" i="7" s="1"/>
  <c r="C44" i="7"/>
  <c r="B44" i="7"/>
  <c r="BW43" i="7"/>
  <c r="E39" i="3" s="1"/>
  <c r="BU43" i="7"/>
  <c r="BQ43" i="7"/>
  <c r="BL43" i="7"/>
  <c r="H40" i="1" s="1"/>
  <c r="BJ43" i="7"/>
  <c r="BI43" i="7"/>
  <c r="BF43" i="7"/>
  <c r="BD43" i="7"/>
  <c r="BK43" i="7" s="1"/>
  <c r="BM43" i="7" s="1"/>
  <c r="BN43" i="7" s="1"/>
  <c r="C43" i="7"/>
  <c r="B43" i="7"/>
  <c r="BU42" i="7"/>
  <c r="BQ42" i="7"/>
  <c r="BL42" i="7"/>
  <c r="BJ42" i="7"/>
  <c r="BI42" i="7"/>
  <c r="BD42" i="7"/>
  <c r="C42" i="7"/>
  <c r="B42" i="7"/>
  <c r="BU41" i="7"/>
  <c r="BQ41" i="7"/>
  <c r="BL41" i="7"/>
  <c r="BK41" i="7"/>
  <c r="BM41" i="7" s="1"/>
  <c r="BN41" i="7" s="1"/>
  <c r="BJ41" i="7"/>
  <c r="BI41" i="7"/>
  <c r="BD41" i="7"/>
  <c r="BF41" i="7" s="1"/>
  <c r="C41" i="7"/>
  <c r="B41" i="7"/>
  <c r="BU40" i="7"/>
  <c r="BQ40" i="7"/>
  <c r="BL40" i="7"/>
  <c r="BJ40" i="7"/>
  <c r="BI40" i="7"/>
  <c r="BD40" i="7"/>
  <c r="BF40" i="7" s="1"/>
  <c r="BB40" i="7"/>
  <c r="C40" i="7"/>
  <c r="B40" i="7"/>
  <c r="BU39" i="7"/>
  <c r="BQ39" i="7"/>
  <c r="BL39" i="7"/>
  <c r="BJ39" i="7"/>
  <c r="BI39" i="7"/>
  <c r="BD39" i="7"/>
  <c r="C39" i="7"/>
  <c r="B39" i="7"/>
  <c r="BU38" i="7"/>
  <c r="BQ38" i="7"/>
  <c r="BL38" i="7"/>
  <c r="BJ38" i="7"/>
  <c r="BI38" i="7"/>
  <c r="BD38" i="7"/>
  <c r="BF38" i="7" s="1"/>
  <c r="BB38" i="7"/>
  <c r="C38" i="7"/>
  <c r="B38" i="7"/>
  <c r="BW37" i="7"/>
  <c r="BU37" i="7"/>
  <c r="BQ37" i="7"/>
  <c r="BL37" i="7"/>
  <c r="H34" i="1" s="1"/>
  <c r="BJ37" i="7"/>
  <c r="BI37" i="7"/>
  <c r="BF37" i="7"/>
  <c r="BD37" i="7"/>
  <c r="BK37" i="7" s="1"/>
  <c r="BM37" i="7" s="1"/>
  <c r="BN37" i="7" s="1"/>
  <c r="C37" i="7"/>
  <c r="B37" i="7"/>
  <c r="BU36" i="7"/>
  <c r="BQ36" i="7"/>
  <c r="BL36" i="7"/>
  <c r="BJ36" i="7"/>
  <c r="BI36" i="7"/>
  <c r="BD36" i="7"/>
  <c r="C36" i="7"/>
  <c r="B36" i="7"/>
  <c r="BU35" i="7"/>
  <c r="BQ35" i="7"/>
  <c r="BL35" i="7"/>
  <c r="BK35" i="7"/>
  <c r="BM35" i="7" s="1"/>
  <c r="BN35" i="7" s="1"/>
  <c r="BJ35" i="7"/>
  <c r="BI35" i="7"/>
  <c r="BD35" i="7"/>
  <c r="BF35" i="7" s="1"/>
  <c r="C35" i="7"/>
  <c r="B35" i="7"/>
  <c r="BU34" i="7"/>
  <c r="BQ34" i="7"/>
  <c r="BL34" i="7"/>
  <c r="BJ34" i="7"/>
  <c r="BI34" i="7"/>
  <c r="BD34" i="7"/>
  <c r="BF34" i="7" s="1"/>
  <c r="C34" i="7"/>
  <c r="B34" i="7"/>
  <c r="BU33" i="7"/>
  <c r="BQ33" i="7"/>
  <c r="BL33" i="7"/>
  <c r="H30" i="1" s="1"/>
  <c r="BJ33" i="7"/>
  <c r="BI33" i="7"/>
  <c r="BF33" i="7"/>
  <c r="BD33" i="7"/>
  <c r="BK33" i="7" s="1"/>
  <c r="BM33" i="7" s="1"/>
  <c r="BN33" i="7" s="1"/>
  <c r="C33" i="7"/>
  <c r="B33" i="7"/>
  <c r="BU32" i="7"/>
  <c r="BQ32" i="7"/>
  <c r="BL32" i="7"/>
  <c r="BJ32" i="7"/>
  <c r="BI32" i="7"/>
  <c r="BD32" i="7"/>
  <c r="BF32" i="7" s="1"/>
  <c r="C32" i="7"/>
  <c r="B32" i="7"/>
  <c r="BU31" i="7"/>
  <c r="BQ31" i="7"/>
  <c r="BL31" i="7"/>
  <c r="BJ31" i="7"/>
  <c r="BI31" i="7"/>
  <c r="BF31" i="7"/>
  <c r="BD31" i="7"/>
  <c r="BK31" i="7" s="1"/>
  <c r="BM31" i="7" s="1"/>
  <c r="BN31" i="7" s="1"/>
  <c r="C31" i="7"/>
  <c r="B31" i="7"/>
  <c r="BU30" i="7"/>
  <c r="BQ30" i="7"/>
  <c r="BM30" i="7"/>
  <c r="BN30" i="7" s="1"/>
  <c r="BL30" i="7"/>
  <c r="BJ30" i="7"/>
  <c r="BI30" i="7"/>
  <c r="BF30" i="7"/>
  <c r="BD30" i="7"/>
  <c r="BK30" i="7" s="1"/>
  <c r="C30" i="7"/>
  <c r="B30" i="7"/>
  <c r="BU29" i="7"/>
  <c r="BQ29" i="7"/>
  <c r="BN29" i="7"/>
  <c r="BW29" i="7" s="1"/>
  <c r="BM29" i="7"/>
  <c r="BL29" i="7"/>
  <c r="BJ29" i="7"/>
  <c r="BI29" i="7"/>
  <c r="BF29" i="7"/>
  <c r="BD29" i="7"/>
  <c r="BK29" i="7" s="1"/>
  <c r="C29" i="7"/>
  <c r="B29" i="7"/>
  <c r="BU28" i="7"/>
  <c r="BQ28" i="7"/>
  <c r="BW28" i="7" s="1"/>
  <c r="E24" i="3" s="1"/>
  <c r="BL28" i="7"/>
  <c r="BK28" i="7"/>
  <c r="BM28" i="7" s="1"/>
  <c r="BN28" i="7" s="1"/>
  <c r="BJ28" i="7"/>
  <c r="BI28" i="7"/>
  <c r="BD28" i="7"/>
  <c r="BF28" i="7" s="1"/>
  <c r="C28" i="7"/>
  <c r="B28" i="7"/>
  <c r="BU27" i="7"/>
  <c r="BQ27" i="7"/>
  <c r="BL27" i="7"/>
  <c r="H24" i="1" s="1"/>
  <c r="BJ27" i="7"/>
  <c r="BI27" i="7"/>
  <c r="BF27" i="7"/>
  <c r="BD27" i="7"/>
  <c r="BK27" i="7" s="1"/>
  <c r="BM27" i="7" s="1"/>
  <c r="BN27" i="7" s="1"/>
  <c r="C27" i="7"/>
  <c r="B27" i="7"/>
  <c r="BU26" i="7"/>
  <c r="BQ26" i="7"/>
  <c r="BL26" i="7"/>
  <c r="BJ26" i="7"/>
  <c r="BI26" i="7"/>
  <c r="BF26" i="7"/>
  <c r="BD26" i="7"/>
  <c r="BK26" i="7" s="1"/>
  <c r="BM26" i="7" s="1"/>
  <c r="BN26" i="7" s="1"/>
  <c r="BW26" i="7" s="1"/>
  <c r="C26" i="7"/>
  <c r="B26" i="7"/>
  <c r="BU25" i="7"/>
  <c r="BQ25" i="7"/>
  <c r="BN25" i="7"/>
  <c r="BW25" i="7" s="1"/>
  <c r="BM25" i="7"/>
  <c r="BL25" i="7"/>
  <c r="BJ25" i="7"/>
  <c r="BI25" i="7"/>
  <c r="BF25" i="7"/>
  <c r="BD25" i="7"/>
  <c r="BK25" i="7" s="1"/>
  <c r="C25" i="7"/>
  <c r="B25" i="7"/>
  <c r="BU24" i="7"/>
  <c r="BQ24" i="7"/>
  <c r="BL24" i="7"/>
  <c r="BJ24" i="7"/>
  <c r="BI24" i="7"/>
  <c r="BD24" i="7"/>
  <c r="BF24" i="7" s="1"/>
  <c r="C24" i="7"/>
  <c r="B24" i="7"/>
  <c r="BU23" i="7"/>
  <c r="BQ23" i="7"/>
  <c r="BL23" i="7"/>
  <c r="BJ23" i="7"/>
  <c r="BI23" i="7"/>
  <c r="BF23" i="7"/>
  <c r="BD23" i="7"/>
  <c r="BK23" i="7" s="1"/>
  <c r="C23" i="7"/>
  <c r="B23" i="7"/>
  <c r="BU22" i="7"/>
  <c r="BQ22" i="7"/>
  <c r="BL22" i="7"/>
  <c r="BJ22" i="7"/>
  <c r="BI22" i="7"/>
  <c r="BD22" i="7"/>
  <c r="BF22" i="7" s="1"/>
  <c r="C22" i="7"/>
  <c r="B22" i="7"/>
  <c r="BU21" i="7"/>
  <c r="BW21" i="7" s="1"/>
  <c r="BQ21" i="7"/>
  <c r="BM21" i="7"/>
  <c r="BN21" i="7" s="1"/>
  <c r="BL21" i="7"/>
  <c r="BJ21" i="7"/>
  <c r="BI21" i="7"/>
  <c r="BF21" i="7"/>
  <c r="BD21" i="7"/>
  <c r="BK21" i="7" s="1"/>
  <c r="C21" i="7"/>
  <c r="B21" i="7"/>
  <c r="BU20" i="7"/>
  <c r="BQ20" i="7"/>
  <c r="BL20" i="7"/>
  <c r="BJ20" i="7"/>
  <c r="BI20" i="7"/>
  <c r="BD20" i="7"/>
  <c r="C20" i="7"/>
  <c r="B20" i="7"/>
  <c r="BU19" i="7"/>
  <c r="BQ19" i="7"/>
  <c r="BL19" i="7"/>
  <c r="BJ19" i="7"/>
  <c r="BI19" i="7"/>
  <c r="BD19" i="7"/>
  <c r="BF19" i="7" s="1"/>
  <c r="C19" i="7"/>
  <c r="B19" i="7"/>
  <c r="BU18" i="7"/>
  <c r="BQ18" i="7"/>
  <c r="BL18" i="7"/>
  <c r="BK18" i="7"/>
  <c r="BM18" i="7" s="1"/>
  <c r="BN18" i="7" s="1"/>
  <c r="BJ18" i="7"/>
  <c r="BI18" i="7"/>
  <c r="BD18" i="7"/>
  <c r="BF18" i="7" s="1"/>
  <c r="C18" i="7"/>
  <c r="B18" i="7"/>
  <c r="BU17" i="7"/>
  <c r="BQ17" i="7"/>
  <c r="BL17" i="7"/>
  <c r="BJ17" i="7"/>
  <c r="BI17" i="7"/>
  <c r="BF17" i="7"/>
  <c r="BD17" i="7"/>
  <c r="BK17" i="7" s="1"/>
  <c r="BM17" i="7" s="1"/>
  <c r="BN17" i="7" s="1"/>
  <c r="C17" i="7"/>
  <c r="B17" i="7"/>
  <c r="BU16" i="7"/>
  <c r="BQ16" i="7"/>
  <c r="BL16" i="7"/>
  <c r="BJ16" i="7"/>
  <c r="BI16" i="7"/>
  <c r="BD16" i="7"/>
  <c r="C16" i="7"/>
  <c r="B16" i="7"/>
  <c r="BU15" i="7"/>
  <c r="BQ15" i="7"/>
  <c r="BN15" i="7"/>
  <c r="BL15" i="7"/>
  <c r="BJ15" i="7"/>
  <c r="BI15" i="7"/>
  <c r="BF15" i="7"/>
  <c r="BD15" i="7"/>
  <c r="BK15" i="7" s="1"/>
  <c r="BM15" i="7" s="1"/>
  <c r="C15" i="7"/>
  <c r="B15" i="7"/>
  <c r="BU14" i="7"/>
  <c r="BQ14" i="7"/>
  <c r="BM14" i="7"/>
  <c r="BN14" i="7" s="1"/>
  <c r="BL14" i="7"/>
  <c r="BJ14" i="7"/>
  <c r="BI14" i="7"/>
  <c r="BF14" i="7"/>
  <c r="BD14" i="7"/>
  <c r="BK14" i="7" s="1"/>
  <c r="C14" i="7"/>
  <c r="B14" i="7"/>
  <c r="BU13" i="7"/>
  <c r="BQ13" i="7"/>
  <c r="BN13" i="7"/>
  <c r="BW13" i="7" s="1"/>
  <c r="BM13" i="7"/>
  <c r="BL13" i="7"/>
  <c r="BJ13" i="7"/>
  <c r="BI13" i="7"/>
  <c r="BF13" i="7"/>
  <c r="BD13" i="7"/>
  <c r="BK13" i="7" s="1"/>
  <c r="C13" i="7"/>
  <c r="B13" i="7"/>
  <c r="BU12" i="7"/>
  <c r="BQ12" i="7"/>
  <c r="BW12" i="7" s="1"/>
  <c r="BN12" i="7"/>
  <c r="BL12" i="7"/>
  <c r="BK12" i="7"/>
  <c r="BM12" i="7" s="1"/>
  <c r="BJ12" i="7"/>
  <c r="BI12" i="7"/>
  <c r="BD12" i="7"/>
  <c r="BF12" i="7" s="1"/>
  <c r="C12" i="7"/>
  <c r="B12" i="7"/>
  <c r="BU11" i="7"/>
  <c r="BQ11" i="7"/>
  <c r="BL11" i="7"/>
  <c r="H8" i="1" s="1"/>
  <c r="BJ11" i="7"/>
  <c r="BI11" i="7"/>
  <c r="BF11" i="7"/>
  <c r="BD11" i="7"/>
  <c r="BK11" i="7" s="1"/>
  <c r="BM11" i="7" s="1"/>
  <c r="BN11" i="7" s="1"/>
  <c r="C11" i="7"/>
  <c r="B11" i="7"/>
  <c r="BU10" i="7"/>
  <c r="BQ10" i="7"/>
  <c r="BM10" i="7"/>
  <c r="BN10" i="7" s="1"/>
  <c r="BW10" i="7" s="1"/>
  <c r="E6" i="3" s="1"/>
  <c r="BL10" i="7"/>
  <c r="BJ10" i="7"/>
  <c r="BI10" i="7"/>
  <c r="BF10" i="7"/>
  <c r="BD10" i="7"/>
  <c r="BK10" i="7" s="1"/>
  <c r="C10" i="7"/>
  <c r="B10" i="7"/>
  <c r="BU9" i="7"/>
  <c r="BQ9" i="7"/>
  <c r="BN9" i="7"/>
  <c r="BW9" i="7" s="1"/>
  <c r="BM9" i="7"/>
  <c r="BL9" i="7"/>
  <c r="BJ9" i="7"/>
  <c r="BI9" i="7"/>
  <c r="BF9" i="7"/>
  <c r="BD9" i="7"/>
  <c r="BK9" i="7" s="1"/>
  <c r="C9" i="7"/>
  <c r="B9" i="7"/>
  <c r="BU8" i="7"/>
  <c r="BQ8" i="7"/>
  <c r="BL8" i="7"/>
  <c r="BJ8" i="7"/>
  <c r="BI8" i="7"/>
  <c r="BD8" i="7"/>
  <c r="BF8" i="7" s="1"/>
  <c r="C8" i="7"/>
  <c r="B8" i="7"/>
  <c r="BU7" i="7"/>
  <c r="BW7" i="7" s="1"/>
  <c r="BQ7" i="7"/>
  <c r="BL7" i="7"/>
  <c r="BK7" i="7"/>
  <c r="BM7" i="7" s="1"/>
  <c r="BN7" i="7" s="1"/>
  <c r="BJ7" i="7"/>
  <c r="BI7" i="7"/>
  <c r="BD7" i="7"/>
  <c r="BF7" i="7" s="1"/>
  <c r="C7" i="7"/>
  <c r="B7" i="7"/>
  <c r="A1" i="7"/>
  <c r="BU77" i="6"/>
  <c r="BQ77" i="6"/>
  <c r="BU76" i="6"/>
  <c r="BQ76" i="6"/>
  <c r="BN76" i="6"/>
  <c r="BM76" i="6"/>
  <c r="BJ76" i="6"/>
  <c r="BI76" i="6"/>
  <c r="BF76" i="6"/>
  <c r="BD76" i="6"/>
  <c r="C76" i="6"/>
  <c r="B76" i="6"/>
  <c r="BU75" i="6"/>
  <c r="BQ75" i="6"/>
  <c r="BM75" i="6"/>
  <c r="BN75" i="6" s="1"/>
  <c r="BW75" i="6" s="1"/>
  <c r="BJ75" i="6"/>
  <c r="BI75" i="6"/>
  <c r="BD75" i="6"/>
  <c r="BF75" i="6" s="1"/>
  <c r="C75" i="6"/>
  <c r="B75" i="6"/>
  <c r="BU74" i="6"/>
  <c r="BW74" i="6" s="1"/>
  <c r="BQ74" i="6"/>
  <c r="BM74" i="6"/>
  <c r="BN74" i="6" s="1"/>
  <c r="BJ74" i="6"/>
  <c r="BI74" i="6"/>
  <c r="BD74" i="6"/>
  <c r="BF74" i="6" s="1"/>
  <c r="C74" i="6"/>
  <c r="B74" i="6"/>
  <c r="BU73" i="6"/>
  <c r="BQ73" i="6"/>
  <c r="BM73" i="6"/>
  <c r="BN73" i="6" s="1"/>
  <c r="BJ73" i="6"/>
  <c r="BI73" i="6"/>
  <c r="BD73" i="6"/>
  <c r="BF73" i="6" s="1"/>
  <c r="C73" i="6"/>
  <c r="B73" i="6"/>
  <c r="BU72" i="6"/>
  <c r="BQ72" i="6"/>
  <c r="BN72" i="6"/>
  <c r="BM72" i="6"/>
  <c r="BJ72" i="6"/>
  <c r="BI72" i="6"/>
  <c r="BF72" i="6"/>
  <c r="BD72" i="6"/>
  <c r="C72" i="6"/>
  <c r="B72" i="6"/>
  <c r="BU71" i="6"/>
  <c r="BQ71" i="6"/>
  <c r="BN71" i="6"/>
  <c r="BM71" i="6"/>
  <c r="BJ71" i="6"/>
  <c r="BI71" i="6"/>
  <c r="BF71" i="6"/>
  <c r="BD71" i="6"/>
  <c r="C71" i="6"/>
  <c r="B71" i="6"/>
  <c r="BW70" i="6"/>
  <c r="BU70" i="6"/>
  <c r="BQ70" i="6"/>
  <c r="BM70" i="6"/>
  <c r="BN70" i="6" s="1"/>
  <c r="BJ70" i="6"/>
  <c r="BI70" i="6"/>
  <c r="BD70" i="6"/>
  <c r="BF70" i="6" s="1"/>
  <c r="C70" i="6"/>
  <c r="B70" i="6"/>
  <c r="BU69" i="6"/>
  <c r="BW69" i="6" s="1"/>
  <c r="F65" i="3" s="1"/>
  <c r="BQ69" i="6"/>
  <c r="BM69" i="6"/>
  <c r="BN69" i="6" s="1"/>
  <c r="BJ69" i="6"/>
  <c r="BI69" i="6"/>
  <c r="BD69" i="6"/>
  <c r="BF69" i="6" s="1"/>
  <c r="C69" i="6"/>
  <c r="B69" i="6"/>
  <c r="BU68" i="6"/>
  <c r="BW68" i="6" s="1"/>
  <c r="F64" i="3" s="1"/>
  <c r="BQ68" i="6"/>
  <c r="BN68" i="6"/>
  <c r="BM68" i="6"/>
  <c r="BJ68" i="6"/>
  <c r="BI68" i="6"/>
  <c r="BF68" i="6"/>
  <c r="BD68" i="6"/>
  <c r="C68" i="6"/>
  <c r="B68" i="6"/>
  <c r="BU67" i="6"/>
  <c r="BQ67" i="6"/>
  <c r="BW67" i="6" s="1"/>
  <c r="BN67" i="6"/>
  <c r="BM67" i="6"/>
  <c r="BJ67" i="6"/>
  <c r="BI67" i="6"/>
  <c r="BF67" i="6"/>
  <c r="BD67" i="6"/>
  <c r="C67" i="6"/>
  <c r="B67" i="6"/>
  <c r="BU66" i="6"/>
  <c r="BQ66" i="6"/>
  <c r="BN66" i="6"/>
  <c r="BW66" i="6" s="1"/>
  <c r="BM66" i="6"/>
  <c r="BJ66" i="6"/>
  <c r="BI66" i="6"/>
  <c r="BF66" i="6"/>
  <c r="BD66" i="6"/>
  <c r="C66" i="6"/>
  <c r="B66" i="6"/>
  <c r="BU65" i="6"/>
  <c r="BQ65" i="6"/>
  <c r="BM65" i="6"/>
  <c r="BN65" i="6" s="1"/>
  <c r="BW65" i="6" s="1"/>
  <c r="F61" i="3" s="1"/>
  <c r="BJ65" i="6"/>
  <c r="BI65" i="6"/>
  <c r="BD65" i="6"/>
  <c r="BF65" i="6" s="1"/>
  <c r="C65" i="6"/>
  <c r="B65" i="6"/>
  <c r="BU64" i="6"/>
  <c r="BQ64" i="6"/>
  <c r="BN64" i="6"/>
  <c r="BM64" i="6"/>
  <c r="BJ64" i="6"/>
  <c r="BI64" i="6"/>
  <c r="BF64" i="6"/>
  <c r="BD64" i="6"/>
  <c r="C64" i="6"/>
  <c r="B64" i="6"/>
  <c r="BW63" i="6"/>
  <c r="F59" i="3" s="1"/>
  <c r="BU63" i="6"/>
  <c r="BQ63" i="6"/>
  <c r="BM63" i="6"/>
  <c r="BN63" i="6" s="1"/>
  <c r="BJ63" i="6"/>
  <c r="BI63" i="6"/>
  <c r="BD63" i="6"/>
  <c r="BF63" i="6" s="1"/>
  <c r="C63" i="6"/>
  <c r="B63" i="6"/>
  <c r="BU62" i="6"/>
  <c r="BW62" i="6" s="1"/>
  <c r="BQ62" i="6"/>
  <c r="BN62" i="6"/>
  <c r="BM62" i="6"/>
  <c r="BJ62" i="6"/>
  <c r="BI62" i="6"/>
  <c r="BF62" i="6"/>
  <c r="BD62" i="6"/>
  <c r="C62" i="6"/>
  <c r="B62" i="6"/>
  <c r="BU61" i="6"/>
  <c r="BQ61" i="6"/>
  <c r="BW61" i="6" s="1"/>
  <c r="F57" i="3" s="1"/>
  <c r="BM61" i="6"/>
  <c r="BN61" i="6" s="1"/>
  <c r="BJ61" i="6"/>
  <c r="BI61" i="6"/>
  <c r="BD61" i="6"/>
  <c r="BF61" i="6" s="1"/>
  <c r="C61" i="6"/>
  <c r="B61" i="6"/>
  <c r="BU60" i="6"/>
  <c r="BQ60" i="6"/>
  <c r="BN60" i="6"/>
  <c r="BM60" i="6"/>
  <c r="BJ60" i="6"/>
  <c r="BI60" i="6"/>
  <c r="BF60" i="6"/>
  <c r="BD60" i="6"/>
  <c r="C60" i="6"/>
  <c r="B60" i="6"/>
  <c r="BU59" i="6"/>
  <c r="BQ59" i="6"/>
  <c r="BN59" i="6"/>
  <c r="BW59" i="6" s="1"/>
  <c r="F55" i="3" s="1"/>
  <c r="BM59" i="6"/>
  <c r="BJ59" i="6"/>
  <c r="BI59" i="6"/>
  <c r="BF59" i="6"/>
  <c r="BD59" i="6"/>
  <c r="C59" i="6"/>
  <c r="B59" i="6"/>
  <c r="BW58" i="6"/>
  <c r="BU58" i="6"/>
  <c r="BQ58" i="6"/>
  <c r="BM58" i="6"/>
  <c r="BN58" i="6" s="1"/>
  <c r="BJ58" i="6"/>
  <c r="BI58" i="6"/>
  <c r="BD58" i="6"/>
  <c r="BF58" i="6" s="1"/>
  <c r="C58" i="6"/>
  <c r="B58" i="6"/>
  <c r="BU57" i="6"/>
  <c r="BW57" i="6" s="1"/>
  <c r="BQ57" i="6"/>
  <c r="BM57" i="6"/>
  <c r="BN57" i="6" s="1"/>
  <c r="BJ57" i="6"/>
  <c r="BI57" i="6"/>
  <c r="BD57" i="6"/>
  <c r="BF57" i="6" s="1"/>
  <c r="C57" i="6"/>
  <c r="B57" i="6"/>
  <c r="BU56" i="6"/>
  <c r="BW56" i="6" s="1"/>
  <c r="BQ56" i="6"/>
  <c r="BN56" i="6"/>
  <c r="BM56" i="6"/>
  <c r="BJ56" i="6"/>
  <c r="BI56" i="6"/>
  <c r="BF56" i="6"/>
  <c r="BD56" i="6"/>
  <c r="C56" i="6"/>
  <c r="B56" i="6"/>
  <c r="BU55" i="6"/>
  <c r="BQ55" i="6"/>
  <c r="BW55" i="6" s="1"/>
  <c r="BN55" i="6"/>
  <c r="BM55" i="6"/>
  <c r="BJ55" i="6"/>
  <c r="BI55" i="6"/>
  <c r="BF55" i="6"/>
  <c r="BD55" i="6"/>
  <c r="C55" i="6"/>
  <c r="B55" i="6"/>
  <c r="BU54" i="6"/>
  <c r="BQ54" i="6"/>
  <c r="BN54" i="6"/>
  <c r="BW54" i="6" s="1"/>
  <c r="BM54" i="6"/>
  <c r="BJ54" i="6"/>
  <c r="BI54" i="6"/>
  <c r="BF54" i="6"/>
  <c r="BD54" i="6"/>
  <c r="C54" i="6"/>
  <c r="B54" i="6"/>
  <c r="BW53" i="6"/>
  <c r="BU53" i="6"/>
  <c r="BQ53" i="6"/>
  <c r="BM53" i="6"/>
  <c r="BN53" i="6" s="1"/>
  <c r="BJ53" i="6"/>
  <c r="BI53" i="6"/>
  <c r="BD53" i="6"/>
  <c r="BF53" i="6" s="1"/>
  <c r="C53" i="6"/>
  <c r="B53" i="6"/>
  <c r="BU52" i="6"/>
  <c r="BW52" i="6" s="1"/>
  <c r="BQ52" i="6"/>
  <c r="BN52" i="6"/>
  <c r="BM52" i="6"/>
  <c r="BJ52" i="6"/>
  <c r="BI52" i="6"/>
  <c r="BF52" i="6"/>
  <c r="BD52" i="6"/>
  <c r="C52" i="6"/>
  <c r="B52" i="6"/>
  <c r="BU51" i="6"/>
  <c r="BQ51" i="6"/>
  <c r="BW51" i="6" s="1"/>
  <c r="BN51" i="6"/>
  <c r="BM51" i="6"/>
  <c r="BJ51" i="6"/>
  <c r="BI51" i="6"/>
  <c r="BF51" i="6"/>
  <c r="BD51" i="6"/>
  <c r="C51" i="6"/>
  <c r="B51" i="6"/>
  <c r="BU50" i="6"/>
  <c r="BQ50" i="6"/>
  <c r="BN50" i="6"/>
  <c r="BW50" i="6" s="1"/>
  <c r="BM50" i="6"/>
  <c r="BJ50" i="6"/>
  <c r="BI50" i="6"/>
  <c r="BF50" i="6"/>
  <c r="BD50" i="6"/>
  <c r="C50" i="6"/>
  <c r="B50" i="6"/>
  <c r="BW49" i="6"/>
  <c r="F45" i="3" s="1"/>
  <c r="BU49" i="6"/>
  <c r="BQ49" i="6"/>
  <c r="BM49" i="6"/>
  <c r="BN49" i="6" s="1"/>
  <c r="BJ49" i="6"/>
  <c r="BI49" i="6"/>
  <c r="BD49" i="6"/>
  <c r="BF49" i="6" s="1"/>
  <c r="C49" i="6"/>
  <c r="B49" i="6"/>
  <c r="BU48" i="6"/>
  <c r="BQ48" i="6"/>
  <c r="BM48" i="6"/>
  <c r="BN48" i="6" s="1"/>
  <c r="BJ48" i="6"/>
  <c r="BI48" i="6"/>
  <c r="BD48" i="6"/>
  <c r="BF48" i="6" s="1"/>
  <c r="C48" i="6"/>
  <c r="B48" i="6"/>
  <c r="BU47" i="6"/>
  <c r="BW47" i="6" s="1"/>
  <c r="BQ47" i="6"/>
  <c r="BM47" i="6"/>
  <c r="BN47" i="6" s="1"/>
  <c r="BJ47" i="6"/>
  <c r="BI47" i="6"/>
  <c r="BD47" i="6"/>
  <c r="BF47" i="6" s="1"/>
  <c r="C47" i="6"/>
  <c r="B47" i="6"/>
  <c r="BU46" i="6"/>
  <c r="BQ46" i="6"/>
  <c r="BN46" i="6"/>
  <c r="BM46" i="6"/>
  <c r="BJ46" i="6"/>
  <c r="BI46" i="6"/>
  <c r="BF46" i="6"/>
  <c r="BD46" i="6"/>
  <c r="C46" i="6"/>
  <c r="B46" i="6"/>
  <c r="BU45" i="6"/>
  <c r="BQ45" i="6"/>
  <c r="BN45" i="6"/>
  <c r="BM45" i="6"/>
  <c r="BJ45" i="6"/>
  <c r="BI45" i="6"/>
  <c r="BF45" i="6"/>
  <c r="BD45" i="6"/>
  <c r="C45" i="6"/>
  <c r="B45" i="6"/>
  <c r="BU44" i="6"/>
  <c r="BQ44" i="6"/>
  <c r="BM44" i="6"/>
  <c r="BN44" i="6" s="1"/>
  <c r="BW44" i="6" s="1"/>
  <c r="BJ44" i="6"/>
  <c r="BI44" i="6"/>
  <c r="BD44" i="6"/>
  <c r="BF44" i="6" s="1"/>
  <c r="C44" i="6"/>
  <c r="B44" i="6"/>
  <c r="BU43" i="6"/>
  <c r="BW43" i="6" s="1"/>
  <c r="BQ43" i="6"/>
  <c r="BM43" i="6"/>
  <c r="BN43" i="6" s="1"/>
  <c r="BJ43" i="6"/>
  <c r="BI43" i="6"/>
  <c r="BD43" i="6"/>
  <c r="BF43" i="6" s="1"/>
  <c r="C43" i="6"/>
  <c r="B43" i="6"/>
  <c r="BU42" i="6"/>
  <c r="BQ42" i="6"/>
  <c r="BN42" i="6"/>
  <c r="BM42" i="6"/>
  <c r="BJ42" i="6"/>
  <c r="BI42" i="6"/>
  <c r="BF42" i="6"/>
  <c r="BD42" i="6"/>
  <c r="C42" i="6"/>
  <c r="B42" i="6"/>
  <c r="BU41" i="6"/>
  <c r="BQ41" i="6"/>
  <c r="BN41" i="6"/>
  <c r="BM41" i="6"/>
  <c r="BJ41" i="6"/>
  <c r="BI41" i="6"/>
  <c r="BF41" i="6"/>
  <c r="BD41" i="6"/>
  <c r="C41" i="6"/>
  <c r="B41" i="6"/>
  <c r="BW40" i="6"/>
  <c r="F36" i="3" s="1"/>
  <c r="BU40" i="6"/>
  <c r="BQ40" i="6"/>
  <c r="BM40" i="6"/>
  <c r="BN40" i="6" s="1"/>
  <c r="BJ40" i="6"/>
  <c r="BI40" i="6"/>
  <c r="BD40" i="6"/>
  <c r="BF40" i="6" s="1"/>
  <c r="C40" i="6"/>
  <c r="B40" i="6"/>
  <c r="BU39" i="6"/>
  <c r="BW39" i="6" s="1"/>
  <c r="BQ39" i="6"/>
  <c r="BM39" i="6"/>
  <c r="BN39" i="6" s="1"/>
  <c r="BJ39" i="6"/>
  <c r="BI39" i="6"/>
  <c r="BD39" i="6"/>
  <c r="BF39" i="6" s="1"/>
  <c r="C39" i="6"/>
  <c r="B39" i="6"/>
  <c r="BU38" i="6"/>
  <c r="BW38" i="6" s="1"/>
  <c r="BQ38" i="6"/>
  <c r="BN38" i="6"/>
  <c r="BM38" i="6"/>
  <c r="BJ38" i="6"/>
  <c r="BI38" i="6"/>
  <c r="BF38" i="6"/>
  <c r="BD38" i="6"/>
  <c r="C38" i="6"/>
  <c r="B38" i="6"/>
  <c r="BU37" i="6"/>
  <c r="BQ37" i="6"/>
  <c r="BN37" i="6"/>
  <c r="BM37" i="6"/>
  <c r="BJ37" i="6"/>
  <c r="BI37" i="6"/>
  <c r="BF37" i="6"/>
  <c r="BD37" i="6"/>
  <c r="C37" i="6"/>
  <c r="B37" i="6"/>
  <c r="BW36" i="6"/>
  <c r="BU36" i="6"/>
  <c r="BQ36" i="6"/>
  <c r="BM36" i="6"/>
  <c r="BN36" i="6" s="1"/>
  <c r="BJ36" i="6"/>
  <c r="BI36" i="6"/>
  <c r="BD36" i="6"/>
  <c r="BF36" i="6" s="1"/>
  <c r="C36" i="6"/>
  <c r="B36" i="6"/>
  <c r="BU35" i="6"/>
  <c r="BW35" i="6" s="1"/>
  <c r="BQ35" i="6"/>
  <c r="BM35" i="6"/>
  <c r="BN35" i="6" s="1"/>
  <c r="BJ35" i="6"/>
  <c r="BI35" i="6"/>
  <c r="BD35" i="6"/>
  <c r="BF35" i="6" s="1"/>
  <c r="C35" i="6"/>
  <c r="B35" i="6"/>
  <c r="BU34" i="6"/>
  <c r="BW34" i="6" s="1"/>
  <c r="BQ34" i="6"/>
  <c r="BN34" i="6"/>
  <c r="BM34" i="6"/>
  <c r="BJ34" i="6"/>
  <c r="BI34" i="6"/>
  <c r="BF34" i="6"/>
  <c r="BD34" i="6"/>
  <c r="C34" i="6"/>
  <c r="B34" i="6"/>
  <c r="BU33" i="6"/>
  <c r="BQ33" i="6"/>
  <c r="BN33" i="6"/>
  <c r="BM33" i="6"/>
  <c r="BJ33" i="6"/>
  <c r="BI33" i="6"/>
  <c r="BF33" i="6"/>
  <c r="BD33" i="6"/>
  <c r="C33" i="6"/>
  <c r="B33" i="6"/>
  <c r="BU32" i="6"/>
  <c r="BQ32" i="6"/>
  <c r="BM32" i="6"/>
  <c r="BN32" i="6" s="1"/>
  <c r="BW32" i="6" s="1"/>
  <c r="F28" i="3" s="1"/>
  <c r="BJ32" i="6"/>
  <c r="BI32" i="6"/>
  <c r="BD32" i="6"/>
  <c r="BF32" i="6" s="1"/>
  <c r="C32" i="6"/>
  <c r="B32" i="6"/>
  <c r="BU31" i="6"/>
  <c r="BW31" i="6" s="1"/>
  <c r="BQ31" i="6"/>
  <c r="BM31" i="6"/>
  <c r="BN31" i="6" s="1"/>
  <c r="BJ31" i="6"/>
  <c r="BI31" i="6"/>
  <c r="BD31" i="6"/>
  <c r="BF31" i="6" s="1"/>
  <c r="C31" i="6"/>
  <c r="B31" i="6"/>
  <c r="BU30" i="6"/>
  <c r="BQ30" i="6"/>
  <c r="BN30" i="6"/>
  <c r="BM30" i="6"/>
  <c r="BJ30" i="6"/>
  <c r="BI30" i="6"/>
  <c r="BF30" i="6"/>
  <c r="BD30" i="6"/>
  <c r="C30" i="6"/>
  <c r="B30" i="6"/>
  <c r="BU29" i="6"/>
  <c r="BQ29" i="6"/>
  <c r="BN29" i="6"/>
  <c r="BM29" i="6"/>
  <c r="BJ29" i="6"/>
  <c r="BI29" i="6"/>
  <c r="BF29" i="6"/>
  <c r="BD29" i="6"/>
  <c r="C29" i="6"/>
  <c r="B29" i="6"/>
  <c r="BU28" i="6"/>
  <c r="BQ28" i="6"/>
  <c r="BM28" i="6"/>
  <c r="BN28" i="6" s="1"/>
  <c r="BW28" i="6" s="1"/>
  <c r="BJ28" i="6"/>
  <c r="BI28" i="6"/>
  <c r="BD28" i="6"/>
  <c r="BF28" i="6" s="1"/>
  <c r="C28" i="6"/>
  <c r="B28" i="6"/>
  <c r="BU27" i="6"/>
  <c r="BW27" i="6" s="1"/>
  <c r="BQ27" i="6"/>
  <c r="BM27" i="6"/>
  <c r="BN27" i="6" s="1"/>
  <c r="BJ27" i="6"/>
  <c r="BI27" i="6"/>
  <c r="BD27" i="6"/>
  <c r="BF27" i="6" s="1"/>
  <c r="C27" i="6"/>
  <c r="B27" i="6"/>
  <c r="BU26" i="6"/>
  <c r="BQ26" i="6"/>
  <c r="BN26" i="6"/>
  <c r="BM26" i="6"/>
  <c r="BJ26" i="6"/>
  <c r="BI26" i="6"/>
  <c r="BF26" i="6"/>
  <c r="BD26" i="6"/>
  <c r="C26" i="6"/>
  <c r="B26" i="6"/>
  <c r="BU25" i="6"/>
  <c r="BQ25" i="6"/>
  <c r="BN25" i="6"/>
  <c r="BM25" i="6"/>
  <c r="BJ25" i="6"/>
  <c r="BI25" i="6"/>
  <c r="BF25" i="6"/>
  <c r="BD25" i="6"/>
  <c r="C25" i="6"/>
  <c r="B25" i="6"/>
  <c r="BW24" i="6"/>
  <c r="BU24" i="6"/>
  <c r="BQ24" i="6"/>
  <c r="BM24" i="6"/>
  <c r="BN24" i="6" s="1"/>
  <c r="BJ24" i="6"/>
  <c r="BI24" i="6"/>
  <c r="BD24" i="6"/>
  <c r="BF24" i="6" s="1"/>
  <c r="C24" i="6"/>
  <c r="B24" i="6"/>
  <c r="BU23" i="6"/>
  <c r="BW23" i="6" s="1"/>
  <c r="BQ23" i="6"/>
  <c r="BM23" i="6"/>
  <c r="BN23" i="6" s="1"/>
  <c r="BJ23" i="6"/>
  <c r="BI23" i="6"/>
  <c r="BD23" i="6"/>
  <c r="BF23" i="6" s="1"/>
  <c r="C23" i="6"/>
  <c r="B23" i="6"/>
  <c r="BU22" i="6"/>
  <c r="BW22" i="6" s="1"/>
  <c r="BQ22" i="6"/>
  <c r="BN22" i="6"/>
  <c r="BM22" i="6"/>
  <c r="BJ22" i="6"/>
  <c r="BI22" i="6"/>
  <c r="BF22" i="6"/>
  <c r="BD22" i="6"/>
  <c r="C22" i="6"/>
  <c r="B22" i="6"/>
  <c r="BU21" i="6"/>
  <c r="BQ21" i="6"/>
  <c r="BN21" i="6"/>
  <c r="BM21" i="6"/>
  <c r="BJ21" i="6"/>
  <c r="BI21" i="6"/>
  <c r="BF21" i="6"/>
  <c r="BD21" i="6"/>
  <c r="C21" i="6"/>
  <c r="B21" i="6"/>
  <c r="BW20" i="6"/>
  <c r="BU20" i="6"/>
  <c r="BQ20" i="6"/>
  <c r="BM20" i="6"/>
  <c r="BN20" i="6" s="1"/>
  <c r="BJ20" i="6"/>
  <c r="BI20" i="6"/>
  <c r="BD20" i="6"/>
  <c r="BF20" i="6" s="1"/>
  <c r="C20" i="6"/>
  <c r="B20" i="6"/>
  <c r="BU19" i="6"/>
  <c r="BW19" i="6" s="1"/>
  <c r="BQ19" i="6"/>
  <c r="BM19" i="6"/>
  <c r="BN19" i="6" s="1"/>
  <c r="BJ19" i="6"/>
  <c r="BI19" i="6"/>
  <c r="BD19" i="6"/>
  <c r="BF19" i="6" s="1"/>
  <c r="C19" i="6"/>
  <c r="B19" i="6"/>
  <c r="BU18" i="6"/>
  <c r="BW18" i="6" s="1"/>
  <c r="BQ18" i="6"/>
  <c r="BN18" i="6"/>
  <c r="BM18" i="6"/>
  <c r="BJ18" i="6"/>
  <c r="BI18" i="6"/>
  <c r="BF18" i="6"/>
  <c r="BD18" i="6"/>
  <c r="C18" i="6"/>
  <c r="B18" i="6"/>
  <c r="BU17" i="6"/>
  <c r="BQ17" i="6"/>
  <c r="BN17" i="6"/>
  <c r="BM17" i="6"/>
  <c r="BJ17" i="6"/>
  <c r="BI17" i="6"/>
  <c r="BF17" i="6"/>
  <c r="BD17" i="6"/>
  <c r="C17" i="6"/>
  <c r="B17" i="6"/>
  <c r="BU16" i="6"/>
  <c r="BQ16" i="6"/>
  <c r="BM16" i="6"/>
  <c r="BN16" i="6" s="1"/>
  <c r="BW16" i="6" s="1"/>
  <c r="BJ16" i="6"/>
  <c r="BI16" i="6"/>
  <c r="BD16" i="6"/>
  <c r="BF16" i="6" s="1"/>
  <c r="C16" i="6"/>
  <c r="B16" i="6"/>
  <c r="BU15" i="6"/>
  <c r="BW15" i="6" s="1"/>
  <c r="BQ15" i="6"/>
  <c r="BM15" i="6"/>
  <c r="BN15" i="6" s="1"/>
  <c r="BJ15" i="6"/>
  <c r="BI15" i="6"/>
  <c r="BD15" i="6"/>
  <c r="BF15" i="6" s="1"/>
  <c r="C15" i="6"/>
  <c r="B15" i="6"/>
  <c r="BU14" i="6"/>
  <c r="BQ14" i="6"/>
  <c r="BN14" i="6"/>
  <c r="BM14" i="6"/>
  <c r="BJ14" i="6"/>
  <c r="BI14" i="6"/>
  <c r="BF14" i="6"/>
  <c r="BD14" i="6"/>
  <c r="C14" i="6"/>
  <c r="B14" i="6"/>
  <c r="BU13" i="6"/>
  <c r="BQ13" i="6"/>
  <c r="BN13" i="6"/>
  <c r="BM13" i="6"/>
  <c r="BJ13" i="6"/>
  <c r="BI13" i="6"/>
  <c r="BF13" i="6"/>
  <c r="BD13" i="6"/>
  <c r="C13" i="6"/>
  <c r="B13" i="6"/>
  <c r="BU12" i="6"/>
  <c r="BQ12" i="6"/>
  <c r="BM12" i="6"/>
  <c r="BN12" i="6" s="1"/>
  <c r="BW12" i="6" s="1"/>
  <c r="BJ12" i="6"/>
  <c r="BI12" i="6"/>
  <c r="BD12" i="6"/>
  <c r="BF12" i="6" s="1"/>
  <c r="C12" i="6"/>
  <c r="B12" i="6"/>
  <c r="BU11" i="6"/>
  <c r="BW11" i="6" s="1"/>
  <c r="BQ11" i="6"/>
  <c r="BM11" i="6"/>
  <c r="BN11" i="6" s="1"/>
  <c r="BJ11" i="6"/>
  <c r="BI11" i="6"/>
  <c r="BD11" i="6"/>
  <c r="BF11" i="6" s="1"/>
  <c r="C11" i="6"/>
  <c r="B11" i="6"/>
  <c r="BU10" i="6"/>
  <c r="BQ10" i="6"/>
  <c r="BN10" i="6"/>
  <c r="BM10" i="6"/>
  <c r="BJ10" i="6"/>
  <c r="BI10" i="6"/>
  <c r="BF10" i="6"/>
  <c r="BD10" i="6"/>
  <c r="C10" i="6"/>
  <c r="B10" i="6"/>
  <c r="BU9" i="6"/>
  <c r="BQ9" i="6"/>
  <c r="BN9" i="6"/>
  <c r="BM9" i="6"/>
  <c r="BJ9" i="6"/>
  <c r="BI9" i="6"/>
  <c r="BF9" i="6"/>
  <c r="BD9" i="6"/>
  <c r="C9" i="6"/>
  <c r="B9" i="6"/>
  <c r="BW8" i="6"/>
  <c r="F4" i="3" s="1"/>
  <c r="BU8" i="6"/>
  <c r="BQ8" i="6"/>
  <c r="BM8" i="6"/>
  <c r="BN8" i="6" s="1"/>
  <c r="BJ8" i="6"/>
  <c r="BI8" i="6"/>
  <c r="BD8" i="6"/>
  <c r="BF8" i="6" s="1"/>
  <c r="C8" i="6"/>
  <c r="B8" i="6"/>
  <c r="BU7" i="6"/>
  <c r="BW7" i="6" s="1"/>
  <c r="BQ7" i="6"/>
  <c r="BM7" i="6"/>
  <c r="BN7" i="6" s="1"/>
  <c r="BJ7" i="6"/>
  <c r="BI7" i="6"/>
  <c r="BD7" i="6"/>
  <c r="BF7" i="6" s="1"/>
  <c r="C7" i="6"/>
  <c r="B7" i="6"/>
  <c r="A1" i="6"/>
  <c r="BU76" i="5"/>
  <c r="BQ76" i="5"/>
  <c r="BM76" i="5"/>
  <c r="BN76" i="5" s="1"/>
  <c r="BW76" i="5" s="1"/>
  <c r="BL76" i="5"/>
  <c r="BJ76" i="5"/>
  <c r="BI76" i="5"/>
  <c r="BF76" i="5"/>
  <c r="BD76" i="5"/>
  <c r="BK76" i="5" s="1"/>
  <c r="C76" i="5"/>
  <c r="B76" i="5"/>
  <c r="BU75" i="5"/>
  <c r="BQ75" i="5"/>
  <c r="BL75" i="5"/>
  <c r="BJ75" i="5"/>
  <c r="BI75" i="5"/>
  <c r="BF75" i="5"/>
  <c r="BD75" i="5"/>
  <c r="BK75" i="5" s="1"/>
  <c r="D72" i="1" s="1"/>
  <c r="F72" i="1" s="1"/>
  <c r="C75" i="5"/>
  <c r="B75" i="5"/>
  <c r="BU74" i="5"/>
  <c r="BQ74" i="5"/>
  <c r="BW74" i="5" s="1"/>
  <c r="D70" i="3" s="1"/>
  <c r="BL74" i="5"/>
  <c r="BK74" i="5"/>
  <c r="BM74" i="5" s="1"/>
  <c r="BN74" i="5" s="1"/>
  <c r="BJ74" i="5"/>
  <c r="BI74" i="5"/>
  <c r="BD74" i="5"/>
  <c r="BF74" i="5" s="1"/>
  <c r="C74" i="5"/>
  <c r="B74" i="5"/>
  <c r="BU73" i="5"/>
  <c r="BQ73" i="5"/>
  <c r="BL73" i="5"/>
  <c r="E70" i="1" s="1"/>
  <c r="BJ73" i="5"/>
  <c r="BI73" i="5"/>
  <c r="BD73" i="5"/>
  <c r="BK73" i="5" s="1"/>
  <c r="C73" i="5"/>
  <c r="B73" i="5"/>
  <c r="BU72" i="5"/>
  <c r="BW72" i="5" s="1"/>
  <c r="BQ72" i="5"/>
  <c r="BL72" i="5"/>
  <c r="BJ72" i="5"/>
  <c r="BI72" i="5"/>
  <c r="BF72" i="5"/>
  <c r="BD72" i="5"/>
  <c r="BK72" i="5" s="1"/>
  <c r="BM72" i="5" s="1"/>
  <c r="BN72" i="5" s="1"/>
  <c r="C72" i="5"/>
  <c r="B72" i="5"/>
  <c r="BU71" i="5"/>
  <c r="BQ71" i="5"/>
  <c r="BL71" i="5"/>
  <c r="BJ71" i="5"/>
  <c r="BI71" i="5"/>
  <c r="BF71" i="5"/>
  <c r="BD71" i="5"/>
  <c r="BK71" i="5" s="1"/>
  <c r="C71" i="5"/>
  <c r="B71" i="5"/>
  <c r="BU70" i="5"/>
  <c r="BQ70" i="5"/>
  <c r="BL70" i="5"/>
  <c r="BJ70" i="5"/>
  <c r="BI70" i="5"/>
  <c r="BD70" i="5"/>
  <c r="BF70" i="5" s="1"/>
  <c r="C70" i="5"/>
  <c r="B70" i="5"/>
  <c r="BU69" i="5"/>
  <c r="BQ69" i="5"/>
  <c r="BL69" i="5"/>
  <c r="BJ69" i="5"/>
  <c r="BI69" i="5"/>
  <c r="BD69" i="5"/>
  <c r="BF69" i="5" s="1"/>
  <c r="C69" i="5"/>
  <c r="B69" i="5"/>
  <c r="BU68" i="5"/>
  <c r="BW68" i="5" s="1"/>
  <c r="BQ68" i="5"/>
  <c r="BM68" i="5"/>
  <c r="BN68" i="5" s="1"/>
  <c r="BL68" i="5"/>
  <c r="BJ68" i="5"/>
  <c r="BI68" i="5"/>
  <c r="BF68" i="5"/>
  <c r="BD68" i="5"/>
  <c r="BK68" i="5" s="1"/>
  <c r="C68" i="5"/>
  <c r="B68" i="5"/>
  <c r="BU67" i="5"/>
  <c r="BQ67" i="5"/>
  <c r="BN67" i="5"/>
  <c r="BW67" i="5" s="1"/>
  <c r="D63" i="3" s="1"/>
  <c r="BM67" i="5"/>
  <c r="BL67" i="5"/>
  <c r="BJ67" i="5"/>
  <c r="BI67" i="5"/>
  <c r="BF67" i="5"/>
  <c r="BD67" i="5"/>
  <c r="BK67" i="5" s="1"/>
  <c r="C67" i="5"/>
  <c r="B67" i="5"/>
  <c r="BU66" i="5"/>
  <c r="BQ66" i="5"/>
  <c r="BL66" i="5"/>
  <c r="BJ66" i="5"/>
  <c r="BI66" i="5"/>
  <c r="BD66" i="5"/>
  <c r="C66" i="5"/>
  <c r="B66" i="5"/>
  <c r="BU65" i="5"/>
  <c r="BQ65" i="5"/>
  <c r="BL65" i="5"/>
  <c r="BJ65" i="5"/>
  <c r="BI65" i="5"/>
  <c r="BF65" i="5"/>
  <c r="BD65" i="5"/>
  <c r="BK65" i="5" s="1"/>
  <c r="C65" i="5"/>
  <c r="B65" i="5"/>
  <c r="BU64" i="5"/>
  <c r="BQ64" i="5"/>
  <c r="BM64" i="5"/>
  <c r="BN64" i="5" s="1"/>
  <c r="BW64" i="5" s="1"/>
  <c r="D60" i="3" s="1"/>
  <c r="BL64" i="5"/>
  <c r="BJ64" i="5"/>
  <c r="BI64" i="5"/>
  <c r="BF64" i="5"/>
  <c r="BD64" i="5"/>
  <c r="BK64" i="5" s="1"/>
  <c r="C64" i="5"/>
  <c r="B64" i="5"/>
  <c r="BU63" i="5"/>
  <c r="BQ63" i="5"/>
  <c r="BM63" i="5"/>
  <c r="BN63" i="5" s="1"/>
  <c r="BW63" i="5" s="1"/>
  <c r="BL63" i="5"/>
  <c r="BJ63" i="5"/>
  <c r="BI63" i="5"/>
  <c r="BF63" i="5"/>
  <c r="BD63" i="5"/>
  <c r="BK63" i="5" s="1"/>
  <c r="C63" i="5"/>
  <c r="B63" i="5"/>
  <c r="BU62" i="5"/>
  <c r="BQ62" i="5"/>
  <c r="BL62" i="5"/>
  <c r="BK62" i="5"/>
  <c r="BM62" i="5" s="1"/>
  <c r="BN62" i="5" s="1"/>
  <c r="BJ62" i="5"/>
  <c r="BI62" i="5"/>
  <c r="BD62" i="5"/>
  <c r="BF62" i="5" s="1"/>
  <c r="C62" i="5"/>
  <c r="B62" i="5"/>
  <c r="BU61" i="5"/>
  <c r="BQ61" i="5"/>
  <c r="BL61" i="5"/>
  <c r="E58" i="1" s="1"/>
  <c r="BJ61" i="5"/>
  <c r="BI61" i="5"/>
  <c r="BF61" i="5"/>
  <c r="BD61" i="5"/>
  <c r="BK61" i="5" s="1"/>
  <c r="C61" i="5"/>
  <c r="B61" i="5"/>
  <c r="BU60" i="5"/>
  <c r="BQ60" i="5"/>
  <c r="BM60" i="5"/>
  <c r="BN60" i="5" s="1"/>
  <c r="BW60" i="5" s="1"/>
  <c r="BL60" i="5"/>
  <c r="BJ60" i="5"/>
  <c r="BI60" i="5"/>
  <c r="BF60" i="5"/>
  <c r="BD60" i="5"/>
  <c r="BK60" i="5" s="1"/>
  <c r="C60" i="5"/>
  <c r="B60" i="5"/>
  <c r="BU59" i="5"/>
  <c r="BQ59" i="5"/>
  <c r="BM59" i="5"/>
  <c r="BN59" i="5" s="1"/>
  <c r="BW59" i="5" s="1"/>
  <c r="BL59" i="5"/>
  <c r="BJ59" i="5"/>
  <c r="BI59" i="5"/>
  <c r="BF59" i="5"/>
  <c r="BD59" i="5"/>
  <c r="BK59" i="5" s="1"/>
  <c r="D56" i="1" s="1"/>
  <c r="C59" i="5"/>
  <c r="B59" i="5"/>
  <c r="BU58" i="5"/>
  <c r="BQ58" i="5"/>
  <c r="BL58" i="5"/>
  <c r="BK58" i="5"/>
  <c r="BM58" i="5" s="1"/>
  <c r="BN58" i="5" s="1"/>
  <c r="BJ58" i="5"/>
  <c r="BI58" i="5"/>
  <c r="BD58" i="5"/>
  <c r="BF58" i="5" s="1"/>
  <c r="C58" i="5"/>
  <c r="B58" i="5"/>
  <c r="BU57" i="5"/>
  <c r="BQ57" i="5"/>
  <c r="BL57" i="5"/>
  <c r="E54" i="1" s="1"/>
  <c r="BJ57" i="5"/>
  <c r="BI57" i="5"/>
  <c r="BD57" i="5"/>
  <c r="BF57" i="5" s="1"/>
  <c r="C57" i="5"/>
  <c r="B57" i="5"/>
  <c r="BU56" i="5"/>
  <c r="BW56" i="5" s="1"/>
  <c r="BQ56" i="5"/>
  <c r="BL56" i="5"/>
  <c r="BJ56" i="5"/>
  <c r="BI56" i="5"/>
  <c r="BF56" i="5"/>
  <c r="BD56" i="5"/>
  <c r="BK56" i="5" s="1"/>
  <c r="BM56" i="5" s="1"/>
  <c r="BN56" i="5" s="1"/>
  <c r="C56" i="5"/>
  <c r="B56" i="5"/>
  <c r="BU55" i="5"/>
  <c r="BQ55" i="5"/>
  <c r="BL55" i="5"/>
  <c r="BJ55" i="5"/>
  <c r="BI55" i="5"/>
  <c r="BF55" i="5"/>
  <c r="BD55" i="5"/>
  <c r="BK55" i="5" s="1"/>
  <c r="C55" i="5"/>
  <c r="B55" i="5"/>
  <c r="BU54" i="5"/>
  <c r="BQ54" i="5"/>
  <c r="BL54" i="5"/>
  <c r="BJ54" i="5"/>
  <c r="BI54" i="5"/>
  <c r="BD54" i="5"/>
  <c r="BF54" i="5" s="1"/>
  <c r="C54" i="5"/>
  <c r="B54" i="5"/>
  <c r="BU53" i="5"/>
  <c r="BQ53" i="5"/>
  <c r="BL53" i="5"/>
  <c r="BJ53" i="5"/>
  <c r="BI53" i="5"/>
  <c r="BD53" i="5"/>
  <c r="BF53" i="5" s="1"/>
  <c r="C53" i="5"/>
  <c r="B53" i="5"/>
  <c r="BU52" i="5"/>
  <c r="BW52" i="5" s="1"/>
  <c r="BQ52" i="5"/>
  <c r="BM52" i="5"/>
  <c r="BN52" i="5" s="1"/>
  <c r="BL52" i="5"/>
  <c r="BJ52" i="5"/>
  <c r="BI52" i="5"/>
  <c r="BF52" i="5"/>
  <c r="BD52" i="5"/>
  <c r="BK52" i="5" s="1"/>
  <c r="C52" i="5"/>
  <c r="B52" i="5"/>
  <c r="BU51" i="5"/>
  <c r="BQ51" i="5"/>
  <c r="BN51" i="5"/>
  <c r="BW51" i="5" s="1"/>
  <c r="D47" i="3" s="1"/>
  <c r="BM51" i="5"/>
  <c r="BL51" i="5"/>
  <c r="BJ51" i="5"/>
  <c r="BI51" i="5"/>
  <c r="BF51" i="5"/>
  <c r="BD51" i="5"/>
  <c r="BK51" i="5" s="1"/>
  <c r="C51" i="5"/>
  <c r="B51" i="5"/>
  <c r="BU50" i="5"/>
  <c r="BQ50" i="5"/>
  <c r="BL50" i="5"/>
  <c r="BJ50" i="5"/>
  <c r="BI50" i="5"/>
  <c r="BD50" i="5"/>
  <c r="C50" i="5"/>
  <c r="B50" i="5"/>
  <c r="BU49" i="5"/>
  <c r="BQ49" i="5"/>
  <c r="BL49" i="5"/>
  <c r="BJ49" i="5"/>
  <c r="BI49" i="5"/>
  <c r="BF49" i="5"/>
  <c r="BD49" i="5"/>
  <c r="BK49" i="5" s="1"/>
  <c r="C49" i="5"/>
  <c r="B49" i="5"/>
  <c r="BU48" i="5"/>
  <c r="BQ48" i="5"/>
  <c r="BM48" i="5"/>
  <c r="BN48" i="5" s="1"/>
  <c r="BW48" i="5" s="1"/>
  <c r="BL48" i="5"/>
  <c r="BJ48" i="5"/>
  <c r="BI48" i="5"/>
  <c r="BF48" i="5"/>
  <c r="BD48" i="5"/>
  <c r="BK48" i="5" s="1"/>
  <c r="C48" i="5"/>
  <c r="B48" i="5"/>
  <c r="BU47" i="5"/>
  <c r="BQ47" i="5"/>
  <c r="BN47" i="5"/>
  <c r="BW47" i="5" s="1"/>
  <c r="BM47" i="5"/>
  <c r="BL47" i="5"/>
  <c r="BJ47" i="5"/>
  <c r="BI47" i="5"/>
  <c r="BF47" i="5"/>
  <c r="BD47" i="5"/>
  <c r="BK47" i="5" s="1"/>
  <c r="C47" i="5"/>
  <c r="B47" i="5"/>
  <c r="BU46" i="5"/>
  <c r="BQ46" i="5"/>
  <c r="BL46" i="5"/>
  <c r="BK46" i="5"/>
  <c r="BM46" i="5" s="1"/>
  <c r="BN46" i="5" s="1"/>
  <c r="BJ46" i="5"/>
  <c r="BI46" i="5"/>
  <c r="BD46" i="5"/>
  <c r="BF46" i="5" s="1"/>
  <c r="C46" i="5"/>
  <c r="B46" i="5"/>
  <c r="BU45" i="5"/>
  <c r="BQ45" i="5"/>
  <c r="BL45" i="5"/>
  <c r="E42" i="1" s="1"/>
  <c r="BJ45" i="5"/>
  <c r="BI45" i="5"/>
  <c r="BF45" i="5"/>
  <c r="BD45" i="5"/>
  <c r="BK45" i="5" s="1"/>
  <c r="C45" i="5"/>
  <c r="B45" i="5"/>
  <c r="BU44" i="5"/>
  <c r="BQ44" i="5"/>
  <c r="BL44" i="5"/>
  <c r="E41" i="1" s="1"/>
  <c r="BJ44" i="5"/>
  <c r="BI44" i="5"/>
  <c r="BF44" i="5"/>
  <c r="BD44" i="5"/>
  <c r="BK44" i="5" s="1"/>
  <c r="BM44" i="5" s="1"/>
  <c r="BN44" i="5" s="1"/>
  <c r="BW44" i="5" s="1"/>
  <c r="C44" i="5"/>
  <c r="B44" i="5"/>
  <c r="BU43" i="5"/>
  <c r="BQ43" i="5"/>
  <c r="BM43" i="5"/>
  <c r="BN43" i="5" s="1"/>
  <c r="BW43" i="5" s="1"/>
  <c r="BL43" i="5"/>
  <c r="BJ43" i="5"/>
  <c r="BI43" i="5"/>
  <c r="BF43" i="5"/>
  <c r="BD43" i="5"/>
  <c r="BK43" i="5" s="1"/>
  <c r="D40" i="1" s="1"/>
  <c r="C43" i="5"/>
  <c r="B43" i="5"/>
  <c r="BU42" i="5"/>
  <c r="BQ42" i="5"/>
  <c r="BL42" i="5"/>
  <c r="BK42" i="5"/>
  <c r="BM42" i="5" s="1"/>
  <c r="BN42" i="5" s="1"/>
  <c r="BJ42" i="5"/>
  <c r="BI42" i="5"/>
  <c r="BD42" i="5"/>
  <c r="BF42" i="5" s="1"/>
  <c r="C42" i="5"/>
  <c r="B42" i="5"/>
  <c r="BU41" i="5"/>
  <c r="BQ41" i="5"/>
  <c r="BL41" i="5"/>
  <c r="E38" i="1" s="1"/>
  <c r="BJ41" i="5"/>
  <c r="BI41" i="5"/>
  <c r="BF41" i="5"/>
  <c r="BD41" i="5"/>
  <c r="BK41" i="5" s="1"/>
  <c r="C41" i="5"/>
  <c r="B41" i="5"/>
  <c r="BW40" i="5"/>
  <c r="BU40" i="5"/>
  <c r="BQ40" i="5"/>
  <c r="BL40" i="5"/>
  <c r="BJ40" i="5"/>
  <c r="BI40" i="5"/>
  <c r="BF40" i="5"/>
  <c r="BD40" i="5"/>
  <c r="BK40" i="5" s="1"/>
  <c r="BM40" i="5" s="1"/>
  <c r="BN40" i="5" s="1"/>
  <c r="C40" i="5"/>
  <c r="B40" i="5"/>
  <c r="BU39" i="5"/>
  <c r="BQ39" i="5"/>
  <c r="BL39" i="5"/>
  <c r="BJ39" i="5"/>
  <c r="BI39" i="5"/>
  <c r="BF39" i="5"/>
  <c r="BD39" i="5"/>
  <c r="BK39" i="5" s="1"/>
  <c r="C39" i="5"/>
  <c r="B39" i="5"/>
  <c r="BU38" i="5"/>
  <c r="BQ38" i="5"/>
  <c r="BL38" i="5"/>
  <c r="BJ38" i="5"/>
  <c r="BI38" i="5"/>
  <c r="BD38" i="5"/>
  <c r="BF38" i="5" s="1"/>
  <c r="C38" i="5"/>
  <c r="B38" i="5"/>
  <c r="BU37" i="5"/>
  <c r="BQ37" i="5"/>
  <c r="BL37" i="5"/>
  <c r="BK37" i="5"/>
  <c r="BJ37" i="5"/>
  <c r="BI37" i="5"/>
  <c r="BD37" i="5"/>
  <c r="BF37" i="5" s="1"/>
  <c r="C37" i="5"/>
  <c r="B37" i="5"/>
  <c r="BU36" i="5"/>
  <c r="BW36" i="5" s="1"/>
  <c r="BQ36" i="5"/>
  <c r="BM36" i="5"/>
  <c r="BN36" i="5" s="1"/>
  <c r="BL36" i="5"/>
  <c r="BJ36" i="5"/>
  <c r="BI36" i="5"/>
  <c r="BF36" i="5"/>
  <c r="BD36" i="5"/>
  <c r="BK36" i="5" s="1"/>
  <c r="C36" i="5"/>
  <c r="B36" i="5"/>
  <c r="BU35" i="5"/>
  <c r="BQ35" i="5"/>
  <c r="BN35" i="5"/>
  <c r="BW35" i="5" s="1"/>
  <c r="D31" i="3" s="1"/>
  <c r="BM35" i="5"/>
  <c r="BL35" i="5"/>
  <c r="BJ35" i="5"/>
  <c r="BI35" i="5"/>
  <c r="BF35" i="5"/>
  <c r="BD35" i="5"/>
  <c r="BK35" i="5" s="1"/>
  <c r="C35" i="5"/>
  <c r="B35" i="5"/>
  <c r="BU34" i="5"/>
  <c r="BQ34" i="5"/>
  <c r="BL34" i="5"/>
  <c r="BJ34" i="5"/>
  <c r="BI34" i="5"/>
  <c r="BD34" i="5"/>
  <c r="C34" i="5"/>
  <c r="B34" i="5"/>
  <c r="BU33" i="5"/>
  <c r="BQ33" i="5"/>
  <c r="BL33" i="5"/>
  <c r="BJ33" i="5"/>
  <c r="BI33" i="5"/>
  <c r="BF33" i="5"/>
  <c r="BD33" i="5"/>
  <c r="BK33" i="5" s="1"/>
  <c r="C33" i="5"/>
  <c r="B33" i="5"/>
  <c r="BU32" i="5"/>
  <c r="BQ32" i="5"/>
  <c r="BM32" i="5"/>
  <c r="BN32" i="5" s="1"/>
  <c r="BW32" i="5" s="1"/>
  <c r="BL32" i="5"/>
  <c r="BJ32" i="5"/>
  <c r="BI32" i="5"/>
  <c r="BF32" i="5"/>
  <c r="BD32" i="5"/>
  <c r="BK32" i="5" s="1"/>
  <c r="C32" i="5"/>
  <c r="B32" i="5"/>
  <c r="BU31" i="5"/>
  <c r="BQ31" i="5"/>
  <c r="BN31" i="5"/>
  <c r="BW31" i="5" s="1"/>
  <c r="BM31" i="5"/>
  <c r="BL31" i="5"/>
  <c r="BJ31" i="5"/>
  <c r="BI31" i="5"/>
  <c r="BF31" i="5"/>
  <c r="BD31" i="5"/>
  <c r="BK31" i="5" s="1"/>
  <c r="C31" i="5"/>
  <c r="B31" i="5"/>
  <c r="BU30" i="5"/>
  <c r="BQ30" i="5"/>
  <c r="BL30" i="5"/>
  <c r="BJ30" i="5"/>
  <c r="BI30" i="5"/>
  <c r="BD30" i="5"/>
  <c r="BF30" i="5" s="1"/>
  <c r="C30" i="5"/>
  <c r="B30" i="5"/>
  <c r="BU29" i="5"/>
  <c r="BQ29" i="5"/>
  <c r="BL29" i="5"/>
  <c r="BJ29" i="5"/>
  <c r="BI29" i="5"/>
  <c r="BF29" i="5"/>
  <c r="BD29" i="5"/>
  <c r="BK29" i="5" s="1"/>
  <c r="BM29" i="5" s="1"/>
  <c r="BN29" i="5" s="1"/>
  <c r="C29" i="5"/>
  <c r="B29" i="5"/>
  <c r="BU28" i="5"/>
  <c r="BQ28" i="5"/>
  <c r="BL28" i="5"/>
  <c r="E25" i="1" s="1"/>
  <c r="BJ28" i="5"/>
  <c r="BI28" i="5"/>
  <c r="BF28" i="5"/>
  <c r="BD28" i="5"/>
  <c r="BK28" i="5" s="1"/>
  <c r="BM28" i="5" s="1"/>
  <c r="BN28" i="5" s="1"/>
  <c r="BW28" i="5" s="1"/>
  <c r="C28" i="5"/>
  <c r="B28" i="5"/>
  <c r="BU27" i="5"/>
  <c r="BQ27" i="5"/>
  <c r="BL27" i="5"/>
  <c r="BJ27" i="5"/>
  <c r="BI27" i="5"/>
  <c r="BF27" i="5"/>
  <c r="BD27" i="5"/>
  <c r="BK27" i="5" s="1"/>
  <c r="BM27" i="5" s="1"/>
  <c r="BN27" i="5" s="1"/>
  <c r="BW27" i="5" s="1"/>
  <c r="C27" i="5"/>
  <c r="B27" i="5"/>
  <c r="BU26" i="5"/>
  <c r="BQ26" i="5"/>
  <c r="BW26" i="5" s="1"/>
  <c r="BL26" i="5"/>
  <c r="BK26" i="5"/>
  <c r="BM26" i="5" s="1"/>
  <c r="BN26" i="5" s="1"/>
  <c r="BJ26" i="5"/>
  <c r="BI26" i="5"/>
  <c r="BD26" i="5"/>
  <c r="BF26" i="5" s="1"/>
  <c r="C26" i="5"/>
  <c r="B26" i="5"/>
  <c r="BU25" i="5"/>
  <c r="BQ25" i="5"/>
  <c r="BL25" i="5"/>
  <c r="BJ25" i="5"/>
  <c r="BI25" i="5"/>
  <c r="BF25" i="5"/>
  <c r="BD25" i="5"/>
  <c r="BK25" i="5" s="1"/>
  <c r="C25" i="5"/>
  <c r="B25" i="5"/>
  <c r="BU24" i="5"/>
  <c r="BQ24" i="5"/>
  <c r="BL24" i="5"/>
  <c r="E21" i="1" s="1"/>
  <c r="BJ24" i="5"/>
  <c r="BI24" i="5"/>
  <c r="BF24" i="5"/>
  <c r="BD24" i="5"/>
  <c r="BK24" i="5" s="1"/>
  <c r="BM24" i="5" s="1"/>
  <c r="BN24" i="5" s="1"/>
  <c r="BW24" i="5" s="1"/>
  <c r="C24" i="5"/>
  <c r="B24" i="5"/>
  <c r="BU23" i="5"/>
  <c r="BQ23" i="5"/>
  <c r="BL23" i="5"/>
  <c r="BJ23" i="5"/>
  <c r="BI23" i="5"/>
  <c r="BF23" i="5"/>
  <c r="BD23" i="5"/>
  <c r="BK23" i="5" s="1"/>
  <c r="BM23" i="5" s="1"/>
  <c r="BN23" i="5" s="1"/>
  <c r="BW23" i="5" s="1"/>
  <c r="D19" i="3" s="1"/>
  <c r="C23" i="5"/>
  <c r="B23" i="5"/>
  <c r="BU22" i="5"/>
  <c r="BQ22" i="5"/>
  <c r="BL22" i="5"/>
  <c r="BJ22" i="5"/>
  <c r="BI22" i="5"/>
  <c r="BD22" i="5"/>
  <c r="BF22" i="5" s="1"/>
  <c r="C22" i="5"/>
  <c r="B22" i="5"/>
  <c r="BU21" i="5"/>
  <c r="BQ21" i="5"/>
  <c r="BL21" i="5"/>
  <c r="BK21" i="5"/>
  <c r="BM21" i="5" s="1"/>
  <c r="BN21" i="5" s="1"/>
  <c r="BJ21" i="5"/>
  <c r="BI21" i="5"/>
  <c r="BD21" i="5"/>
  <c r="BF21" i="5" s="1"/>
  <c r="C21" i="5"/>
  <c r="B21" i="5"/>
  <c r="BU20" i="5"/>
  <c r="BW20" i="5" s="1"/>
  <c r="BQ20" i="5"/>
  <c r="BM20" i="5"/>
  <c r="BN20" i="5" s="1"/>
  <c r="BL20" i="5"/>
  <c r="BJ20" i="5"/>
  <c r="BI20" i="5"/>
  <c r="BF20" i="5"/>
  <c r="BD20" i="5"/>
  <c r="BK20" i="5" s="1"/>
  <c r="C20" i="5"/>
  <c r="B20" i="5"/>
  <c r="BU19" i="5"/>
  <c r="BQ19" i="5"/>
  <c r="BN19" i="5"/>
  <c r="BW19" i="5" s="1"/>
  <c r="D15" i="3" s="1"/>
  <c r="BM19" i="5"/>
  <c r="BL19" i="5"/>
  <c r="BJ19" i="5"/>
  <c r="BI19" i="5"/>
  <c r="BF19" i="5"/>
  <c r="BD19" i="5"/>
  <c r="BK19" i="5" s="1"/>
  <c r="C19" i="5"/>
  <c r="B19" i="5"/>
  <c r="BU18" i="5"/>
  <c r="BQ18" i="5"/>
  <c r="BL18" i="5"/>
  <c r="BJ18" i="5"/>
  <c r="BI18" i="5"/>
  <c r="BD18" i="5"/>
  <c r="C18" i="5"/>
  <c r="B18" i="5"/>
  <c r="BU17" i="5"/>
  <c r="BW17" i="5" s="1"/>
  <c r="BQ17" i="5"/>
  <c r="BL17" i="5"/>
  <c r="BJ17" i="5"/>
  <c r="BI17" i="5"/>
  <c r="BF17" i="5"/>
  <c r="BD17" i="5"/>
  <c r="BK17" i="5" s="1"/>
  <c r="BM17" i="5" s="1"/>
  <c r="BN17" i="5" s="1"/>
  <c r="C17" i="5"/>
  <c r="B17" i="5"/>
  <c r="BU16" i="5"/>
  <c r="BQ16" i="5"/>
  <c r="BM16" i="5"/>
  <c r="BN16" i="5" s="1"/>
  <c r="BW16" i="5" s="1"/>
  <c r="D12" i="3" s="1"/>
  <c r="BL16" i="5"/>
  <c r="BJ16" i="5"/>
  <c r="BI16" i="5"/>
  <c r="BF16" i="5"/>
  <c r="BD16" i="5"/>
  <c r="BK16" i="5" s="1"/>
  <c r="C16" i="5"/>
  <c r="B16" i="5"/>
  <c r="BU15" i="5"/>
  <c r="BQ15" i="5"/>
  <c r="BM15" i="5"/>
  <c r="BN15" i="5" s="1"/>
  <c r="BW15" i="5" s="1"/>
  <c r="BL15" i="5"/>
  <c r="BJ15" i="5"/>
  <c r="BI15" i="5"/>
  <c r="BF15" i="5"/>
  <c r="BD15" i="5"/>
  <c r="BK15" i="5" s="1"/>
  <c r="C15" i="5"/>
  <c r="B15" i="5"/>
  <c r="BU14" i="5"/>
  <c r="BQ14" i="5"/>
  <c r="BL14" i="5"/>
  <c r="BJ14" i="5"/>
  <c r="BI14" i="5"/>
  <c r="BD14" i="5"/>
  <c r="BF14" i="5" s="1"/>
  <c r="C14" i="5"/>
  <c r="B14" i="5"/>
  <c r="BU13" i="5"/>
  <c r="BQ13" i="5"/>
  <c r="BL13" i="5"/>
  <c r="BJ13" i="5"/>
  <c r="BI13" i="5"/>
  <c r="BF13" i="5"/>
  <c r="BD13" i="5"/>
  <c r="BK13" i="5" s="1"/>
  <c r="BM13" i="5" s="1"/>
  <c r="BN13" i="5" s="1"/>
  <c r="C13" i="5"/>
  <c r="B13" i="5"/>
  <c r="BU12" i="5"/>
  <c r="BQ12" i="5"/>
  <c r="BM12" i="5"/>
  <c r="BN12" i="5" s="1"/>
  <c r="BW12" i="5" s="1"/>
  <c r="BL12" i="5"/>
  <c r="BJ12" i="5"/>
  <c r="BI12" i="5"/>
  <c r="BF12" i="5"/>
  <c r="BD12" i="5"/>
  <c r="BK12" i="5" s="1"/>
  <c r="C12" i="5"/>
  <c r="B12" i="5"/>
  <c r="BU11" i="5"/>
  <c r="BQ11" i="5"/>
  <c r="BL11" i="5"/>
  <c r="BJ11" i="5"/>
  <c r="BI11" i="5"/>
  <c r="BF11" i="5"/>
  <c r="BD11" i="5"/>
  <c r="BK11" i="5" s="1"/>
  <c r="BM11" i="5" s="1"/>
  <c r="BN11" i="5" s="1"/>
  <c r="BW11" i="5" s="1"/>
  <c r="C11" i="5"/>
  <c r="B11" i="5"/>
  <c r="BU10" i="5"/>
  <c r="BQ10" i="5"/>
  <c r="BW10" i="5" s="1"/>
  <c r="D6" i="3" s="1"/>
  <c r="BL10" i="5"/>
  <c r="BK10" i="5"/>
  <c r="BM10" i="5" s="1"/>
  <c r="BN10" i="5" s="1"/>
  <c r="BJ10" i="5"/>
  <c r="BI10" i="5"/>
  <c r="BD10" i="5"/>
  <c r="BF10" i="5" s="1"/>
  <c r="C10" i="5"/>
  <c r="B10" i="5"/>
  <c r="BU9" i="5"/>
  <c r="BQ9" i="5"/>
  <c r="BL9" i="5"/>
  <c r="BJ9" i="5"/>
  <c r="BI9" i="5"/>
  <c r="BD9" i="5"/>
  <c r="BK9" i="5" s="1"/>
  <c r="C9" i="5"/>
  <c r="B9" i="5"/>
  <c r="BU8" i="5"/>
  <c r="BW8" i="5" s="1"/>
  <c r="BQ8" i="5"/>
  <c r="BL8" i="5"/>
  <c r="BJ8" i="5"/>
  <c r="BI8" i="5"/>
  <c r="BF8" i="5"/>
  <c r="BD8" i="5"/>
  <c r="BK8" i="5" s="1"/>
  <c r="BM8" i="5" s="1"/>
  <c r="BN8" i="5" s="1"/>
  <c r="C8" i="5"/>
  <c r="B8" i="5"/>
  <c r="BU7" i="5"/>
  <c r="BQ7" i="5"/>
  <c r="BL7" i="5"/>
  <c r="BJ7" i="5"/>
  <c r="BI7" i="5"/>
  <c r="BF7" i="5"/>
  <c r="BD7" i="5"/>
  <c r="BK7" i="5" s="1"/>
  <c r="BM7" i="5" s="1"/>
  <c r="BN7" i="5" s="1"/>
  <c r="BW7" i="5" s="1"/>
  <c r="D3" i="3" s="1"/>
  <c r="C7" i="5"/>
  <c r="B7" i="5"/>
  <c r="BU76" i="4"/>
  <c r="BQ76" i="4"/>
  <c r="BL76" i="4"/>
  <c r="BJ76" i="4"/>
  <c r="BI76" i="4"/>
  <c r="BD76" i="4"/>
  <c r="BF76" i="4" s="1"/>
  <c r="C76" i="4"/>
  <c r="B76" i="4"/>
  <c r="BU75" i="4"/>
  <c r="BQ75" i="4"/>
  <c r="BL75" i="4"/>
  <c r="BJ75" i="4"/>
  <c r="BI75" i="4"/>
  <c r="BD75" i="4"/>
  <c r="BF75" i="4" s="1"/>
  <c r="C75" i="4"/>
  <c r="B75" i="4"/>
  <c r="BU74" i="4"/>
  <c r="BW74" i="4" s="1"/>
  <c r="G70" i="3" s="1"/>
  <c r="BQ74" i="4"/>
  <c r="BM74" i="4"/>
  <c r="BN74" i="4" s="1"/>
  <c r="BL74" i="4"/>
  <c r="BJ74" i="4"/>
  <c r="BI74" i="4"/>
  <c r="BF74" i="4"/>
  <c r="BD74" i="4"/>
  <c r="BK74" i="4" s="1"/>
  <c r="C74" i="4"/>
  <c r="B74" i="4"/>
  <c r="BU73" i="4"/>
  <c r="BQ73" i="4"/>
  <c r="BN73" i="4"/>
  <c r="BW73" i="4" s="1"/>
  <c r="G69" i="3" s="1"/>
  <c r="BM73" i="4"/>
  <c r="BL73" i="4"/>
  <c r="BJ73" i="4"/>
  <c r="BI73" i="4"/>
  <c r="BF73" i="4"/>
  <c r="BD73" i="4"/>
  <c r="BK73" i="4" s="1"/>
  <c r="C73" i="4"/>
  <c r="B73" i="4"/>
  <c r="BU72" i="4"/>
  <c r="BQ72" i="4"/>
  <c r="BL72" i="4"/>
  <c r="BJ72" i="4"/>
  <c r="BI72" i="4"/>
  <c r="BD72" i="4"/>
  <c r="C72" i="4"/>
  <c r="B72" i="4"/>
  <c r="BU71" i="4"/>
  <c r="BQ71" i="4"/>
  <c r="BL71" i="4"/>
  <c r="BJ71" i="4"/>
  <c r="BI71" i="4"/>
  <c r="BF71" i="4"/>
  <c r="BD71" i="4"/>
  <c r="BK71" i="4" s="1"/>
  <c r="C71" i="4"/>
  <c r="B71" i="4"/>
  <c r="BU70" i="4"/>
  <c r="BQ70" i="4"/>
  <c r="BM70" i="4"/>
  <c r="BN70" i="4" s="1"/>
  <c r="BW70" i="4" s="1"/>
  <c r="G66" i="3" s="1"/>
  <c r="BL70" i="4"/>
  <c r="BJ70" i="4"/>
  <c r="BI70" i="4"/>
  <c r="BF70" i="4"/>
  <c r="BD70" i="4"/>
  <c r="BK70" i="4" s="1"/>
  <c r="C70" i="4"/>
  <c r="B70" i="4"/>
  <c r="BU69" i="4"/>
  <c r="BQ69" i="4"/>
  <c r="BL69" i="4"/>
  <c r="BJ69" i="4"/>
  <c r="BI69" i="4"/>
  <c r="BD69" i="4"/>
  <c r="BF69" i="4" s="1"/>
  <c r="C69" i="4"/>
  <c r="B69" i="4"/>
  <c r="BU68" i="4"/>
  <c r="BQ68" i="4"/>
  <c r="BW68" i="4" s="1"/>
  <c r="G64" i="3" s="1"/>
  <c r="BL68" i="4"/>
  <c r="BK68" i="4"/>
  <c r="BM68" i="4" s="1"/>
  <c r="BN68" i="4" s="1"/>
  <c r="BJ68" i="4"/>
  <c r="BI68" i="4"/>
  <c r="BD68" i="4"/>
  <c r="BF68" i="4" s="1"/>
  <c r="C68" i="4"/>
  <c r="B68" i="4"/>
  <c r="BU67" i="4"/>
  <c r="BQ67" i="4"/>
  <c r="BL67" i="4"/>
  <c r="BJ67" i="4"/>
  <c r="BI67" i="4"/>
  <c r="BD67" i="4"/>
  <c r="BK67" i="4" s="1"/>
  <c r="C67" i="4"/>
  <c r="B67" i="4"/>
  <c r="BU66" i="4"/>
  <c r="BW66" i="4" s="1"/>
  <c r="BQ66" i="4"/>
  <c r="BL66" i="4"/>
  <c r="N63" i="1" s="1"/>
  <c r="BJ66" i="4"/>
  <c r="BI66" i="4"/>
  <c r="BF66" i="4"/>
  <c r="BD66" i="4"/>
  <c r="BK66" i="4" s="1"/>
  <c r="BM66" i="4" s="1"/>
  <c r="BN66" i="4" s="1"/>
  <c r="C66" i="4"/>
  <c r="B66" i="4"/>
  <c r="BU65" i="4"/>
  <c r="BQ65" i="4"/>
  <c r="BL65" i="4"/>
  <c r="BJ65" i="4"/>
  <c r="BI65" i="4"/>
  <c r="BF65" i="4"/>
  <c r="BD65" i="4"/>
  <c r="BK65" i="4" s="1"/>
  <c r="C65" i="4"/>
  <c r="B65" i="4"/>
  <c r="BU64" i="4"/>
  <c r="BQ64" i="4"/>
  <c r="BL64" i="4"/>
  <c r="BJ64" i="4"/>
  <c r="BI64" i="4"/>
  <c r="BD64" i="4"/>
  <c r="BF64" i="4" s="1"/>
  <c r="C64" i="4"/>
  <c r="B64" i="4"/>
  <c r="BU63" i="4"/>
  <c r="BQ63" i="4"/>
  <c r="BL63" i="4"/>
  <c r="BJ63" i="4"/>
  <c r="BI63" i="4"/>
  <c r="BD63" i="4"/>
  <c r="BF63" i="4" s="1"/>
  <c r="C63" i="4"/>
  <c r="B63" i="4"/>
  <c r="BU62" i="4"/>
  <c r="BW62" i="4" s="1"/>
  <c r="BQ62" i="4"/>
  <c r="BM62" i="4"/>
  <c r="BN62" i="4" s="1"/>
  <c r="BL62" i="4"/>
  <c r="BJ62" i="4"/>
  <c r="BI62" i="4"/>
  <c r="BF62" i="4"/>
  <c r="BD62" i="4"/>
  <c r="BK62" i="4" s="1"/>
  <c r="C62" i="4"/>
  <c r="B62" i="4"/>
  <c r="BU61" i="4"/>
  <c r="BQ61" i="4"/>
  <c r="BN61" i="4"/>
  <c r="BW61" i="4" s="1"/>
  <c r="G57" i="3" s="1"/>
  <c r="BM61" i="4"/>
  <c r="BL61" i="4"/>
  <c r="BJ61" i="4"/>
  <c r="BI61" i="4"/>
  <c r="BF61" i="4"/>
  <c r="BD61" i="4"/>
  <c r="BK61" i="4" s="1"/>
  <c r="C61" i="4"/>
  <c r="B61" i="4"/>
  <c r="BU60" i="4"/>
  <c r="BQ60" i="4"/>
  <c r="BL60" i="4"/>
  <c r="BJ60" i="4"/>
  <c r="BI60" i="4"/>
  <c r="BD60" i="4"/>
  <c r="C60" i="4"/>
  <c r="B60" i="4"/>
  <c r="BU59" i="4"/>
  <c r="BQ59" i="4"/>
  <c r="BL59" i="4"/>
  <c r="BJ59" i="4"/>
  <c r="BI59" i="4"/>
  <c r="BF59" i="4"/>
  <c r="BD59" i="4"/>
  <c r="BK59" i="4" s="1"/>
  <c r="C59" i="4"/>
  <c r="B59" i="4"/>
  <c r="BU58" i="4"/>
  <c r="BQ58" i="4"/>
  <c r="BM58" i="4"/>
  <c r="BN58" i="4" s="1"/>
  <c r="BW58" i="4" s="1"/>
  <c r="G54" i="3" s="1"/>
  <c r="BL58" i="4"/>
  <c r="BJ58" i="4"/>
  <c r="BI58" i="4"/>
  <c r="BF58" i="4"/>
  <c r="BD58" i="4"/>
  <c r="BK58" i="4" s="1"/>
  <c r="C58" i="4"/>
  <c r="B58" i="4"/>
  <c r="BU57" i="4"/>
  <c r="BQ57" i="4"/>
  <c r="BN57" i="4"/>
  <c r="BW57" i="4" s="1"/>
  <c r="BM57" i="4"/>
  <c r="BL57" i="4"/>
  <c r="BJ57" i="4"/>
  <c r="BI57" i="4"/>
  <c r="BF57" i="4"/>
  <c r="BD57" i="4"/>
  <c r="BK57" i="4" s="1"/>
  <c r="C57" i="4"/>
  <c r="B57" i="4"/>
  <c r="BU56" i="4"/>
  <c r="BQ56" i="4"/>
  <c r="BL56" i="4"/>
  <c r="BK56" i="4"/>
  <c r="BM56" i="4" s="1"/>
  <c r="BN56" i="4" s="1"/>
  <c r="BJ56" i="4"/>
  <c r="BI56" i="4"/>
  <c r="BD56" i="4"/>
  <c r="BF56" i="4" s="1"/>
  <c r="C56" i="4"/>
  <c r="B56" i="4"/>
  <c r="BU55" i="4"/>
  <c r="BQ55" i="4"/>
  <c r="BL55" i="4"/>
  <c r="BJ55" i="4"/>
  <c r="BI55" i="4"/>
  <c r="BD55" i="4"/>
  <c r="BF55" i="4" s="1"/>
  <c r="C55" i="4"/>
  <c r="B55" i="4"/>
  <c r="BU54" i="4"/>
  <c r="BQ54" i="4"/>
  <c r="BL54" i="4"/>
  <c r="N51" i="1" s="1"/>
  <c r="BJ54" i="4"/>
  <c r="BI54" i="4"/>
  <c r="BF54" i="4"/>
  <c r="BD54" i="4"/>
  <c r="BK54" i="4" s="1"/>
  <c r="C54" i="4"/>
  <c r="B54" i="4"/>
  <c r="BU53" i="4"/>
  <c r="BQ53" i="4"/>
  <c r="BM53" i="4"/>
  <c r="BN53" i="4" s="1"/>
  <c r="BW53" i="4" s="1"/>
  <c r="BL53" i="4"/>
  <c r="BJ53" i="4"/>
  <c r="BI53" i="4"/>
  <c r="BF53" i="4"/>
  <c r="BD53" i="4"/>
  <c r="BK53" i="4" s="1"/>
  <c r="M50" i="1" s="1"/>
  <c r="C53" i="4"/>
  <c r="B53" i="4"/>
  <c r="BU52" i="4"/>
  <c r="BQ52" i="4"/>
  <c r="BM52" i="4"/>
  <c r="BN52" i="4" s="1"/>
  <c r="BW52" i="4" s="1"/>
  <c r="BL52" i="4"/>
  <c r="BJ52" i="4"/>
  <c r="BI52" i="4"/>
  <c r="BF52" i="4"/>
  <c r="BD52" i="4"/>
  <c r="BK52" i="4" s="1"/>
  <c r="C52" i="4"/>
  <c r="B52" i="4"/>
  <c r="BU51" i="4"/>
  <c r="BQ51" i="4"/>
  <c r="BL51" i="4"/>
  <c r="BK51" i="4"/>
  <c r="BJ51" i="4"/>
  <c r="BI51" i="4"/>
  <c r="BD51" i="4"/>
  <c r="BF51" i="4" s="1"/>
  <c r="C51" i="4"/>
  <c r="B51" i="4"/>
  <c r="BU50" i="4"/>
  <c r="BQ50" i="4"/>
  <c r="BL50" i="4"/>
  <c r="N47" i="1" s="1"/>
  <c r="BJ50" i="4"/>
  <c r="BI50" i="4"/>
  <c r="BF50" i="4"/>
  <c r="BD50" i="4"/>
  <c r="BK50" i="4" s="1"/>
  <c r="C50" i="4"/>
  <c r="B50" i="4"/>
  <c r="BU49" i="4"/>
  <c r="BQ49" i="4"/>
  <c r="BL49" i="4"/>
  <c r="N46" i="1" s="1"/>
  <c r="BJ49" i="4"/>
  <c r="BI49" i="4"/>
  <c r="BF49" i="4"/>
  <c r="BD49" i="4"/>
  <c r="BK49" i="4" s="1"/>
  <c r="M46" i="1" s="1"/>
  <c r="O46" i="1" s="1"/>
  <c r="C49" i="4"/>
  <c r="B49" i="4"/>
  <c r="BU48" i="4"/>
  <c r="BQ48" i="4"/>
  <c r="BL48" i="4"/>
  <c r="BJ48" i="4"/>
  <c r="BI48" i="4"/>
  <c r="BF48" i="4"/>
  <c r="BD48" i="4"/>
  <c r="BK48" i="4" s="1"/>
  <c r="BM48" i="4" s="1"/>
  <c r="BN48" i="4" s="1"/>
  <c r="BW48" i="4" s="1"/>
  <c r="C48" i="4"/>
  <c r="B48" i="4"/>
  <c r="BU47" i="4"/>
  <c r="BQ47" i="4"/>
  <c r="BL47" i="4"/>
  <c r="BK47" i="4"/>
  <c r="BJ47" i="4"/>
  <c r="BI47" i="4"/>
  <c r="BD47" i="4"/>
  <c r="BF47" i="4" s="1"/>
  <c r="C47" i="4"/>
  <c r="B47" i="4"/>
  <c r="BU46" i="4"/>
  <c r="BQ46" i="4"/>
  <c r="BL46" i="4"/>
  <c r="N43" i="1" s="1"/>
  <c r="BJ46" i="4"/>
  <c r="BI46" i="4"/>
  <c r="BD46" i="4"/>
  <c r="BK46" i="4" s="1"/>
  <c r="C46" i="4"/>
  <c r="B46" i="4"/>
  <c r="BU45" i="4"/>
  <c r="BQ45" i="4"/>
  <c r="BL45" i="4"/>
  <c r="N42" i="1" s="1"/>
  <c r="BJ45" i="4"/>
  <c r="BI45" i="4"/>
  <c r="BF45" i="4"/>
  <c r="BD45" i="4"/>
  <c r="BK45" i="4" s="1"/>
  <c r="M42" i="1" s="1"/>
  <c r="C45" i="4"/>
  <c r="B45" i="4"/>
  <c r="BU44" i="4"/>
  <c r="BQ44" i="4"/>
  <c r="BL44" i="4"/>
  <c r="BJ44" i="4"/>
  <c r="BI44" i="4"/>
  <c r="BF44" i="4"/>
  <c r="BD44" i="4"/>
  <c r="BK44" i="4" s="1"/>
  <c r="BM44" i="4" s="1"/>
  <c r="BN44" i="4" s="1"/>
  <c r="BW44" i="4" s="1"/>
  <c r="C44" i="4"/>
  <c r="B44" i="4"/>
  <c r="BU43" i="4"/>
  <c r="BQ43" i="4"/>
  <c r="BL43" i="4"/>
  <c r="BJ43" i="4"/>
  <c r="BI43" i="4"/>
  <c r="BD43" i="4"/>
  <c r="BF43" i="4" s="1"/>
  <c r="C43" i="4"/>
  <c r="B43" i="4"/>
  <c r="BU42" i="4"/>
  <c r="BQ42" i="4"/>
  <c r="BL42" i="4"/>
  <c r="N39" i="1" s="1"/>
  <c r="BJ42" i="4"/>
  <c r="BI42" i="4"/>
  <c r="BD42" i="4"/>
  <c r="BK42" i="4" s="1"/>
  <c r="C42" i="4"/>
  <c r="B42" i="4"/>
  <c r="BU41" i="4"/>
  <c r="BW41" i="4" s="1"/>
  <c r="BQ41" i="4"/>
  <c r="BM41" i="4"/>
  <c r="BN41" i="4" s="1"/>
  <c r="BL41" i="4"/>
  <c r="BJ41" i="4"/>
  <c r="BI41" i="4"/>
  <c r="BF41" i="4"/>
  <c r="BD41" i="4"/>
  <c r="BK41" i="4" s="1"/>
  <c r="M38" i="1" s="1"/>
  <c r="C41" i="4"/>
  <c r="B41" i="4"/>
  <c r="BU40" i="4"/>
  <c r="BQ40" i="4"/>
  <c r="BN40" i="4"/>
  <c r="BW40" i="4" s="1"/>
  <c r="BM40" i="4"/>
  <c r="BL40" i="4"/>
  <c r="BJ40" i="4"/>
  <c r="BI40" i="4"/>
  <c r="BF40" i="4"/>
  <c r="BD40" i="4"/>
  <c r="BK40" i="4" s="1"/>
  <c r="C40" i="4"/>
  <c r="B40" i="4"/>
  <c r="BU39" i="4"/>
  <c r="BQ39" i="4"/>
  <c r="BL39" i="4"/>
  <c r="BJ39" i="4"/>
  <c r="BI39" i="4"/>
  <c r="BD39" i="4"/>
  <c r="BF39" i="4" s="1"/>
  <c r="C39" i="4"/>
  <c r="B39" i="4"/>
  <c r="BU38" i="4"/>
  <c r="BQ38" i="4"/>
  <c r="BL38" i="4"/>
  <c r="N35" i="1" s="1"/>
  <c r="BJ38" i="4"/>
  <c r="BI38" i="4"/>
  <c r="BF38" i="4"/>
  <c r="BD38" i="4"/>
  <c r="BK38" i="4" s="1"/>
  <c r="BB38" i="4"/>
  <c r="C38" i="4"/>
  <c r="B38" i="4"/>
  <c r="BU37" i="4"/>
  <c r="BQ37" i="4"/>
  <c r="BL37" i="4"/>
  <c r="BJ37" i="4"/>
  <c r="BI37" i="4"/>
  <c r="BF37" i="4"/>
  <c r="BD37" i="4"/>
  <c r="BK37" i="4" s="1"/>
  <c r="M34" i="1" s="1"/>
  <c r="O34" i="1" s="1"/>
  <c r="C37" i="4"/>
  <c r="B37" i="4"/>
  <c r="BU36" i="4"/>
  <c r="BQ36" i="4"/>
  <c r="BL36" i="4"/>
  <c r="BJ36" i="4"/>
  <c r="BI36" i="4"/>
  <c r="BD36" i="4"/>
  <c r="BF36" i="4" s="1"/>
  <c r="C36" i="4"/>
  <c r="B36" i="4"/>
  <c r="BU35" i="4"/>
  <c r="BQ35" i="4"/>
  <c r="BL35" i="4"/>
  <c r="BJ35" i="4"/>
  <c r="BI35" i="4"/>
  <c r="BD35" i="4"/>
  <c r="BF35" i="4" s="1"/>
  <c r="C35" i="4"/>
  <c r="B35" i="4"/>
  <c r="BU34" i="4"/>
  <c r="BW34" i="4" s="1"/>
  <c r="BQ34" i="4"/>
  <c r="BM34" i="4"/>
  <c r="BN34" i="4" s="1"/>
  <c r="BL34" i="4"/>
  <c r="N31" i="1" s="1"/>
  <c r="BJ34" i="4"/>
  <c r="BI34" i="4"/>
  <c r="BF34" i="4"/>
  <c r="BD34" i="4"/>
  <c r="BK34" i="4" s="1"/>
  <c r="C34" i="4"/>
  <c r="B34" i="4"/>
  <c r="BU33" i="4"/>
  <c r="BQ33" i="4"/>
  <c r="BN33" i="4"/>
  <c r="BW33" i="4" s="1"/>
  <c r="BM33" i="4"/>
  <c r="BL33" i="4"/>
  <c r="BJ33" i="4"/>
  <c r="BI33" i="4"/>
  <c r="BF33" i="4"/>
  <c r="BD33" i="4"/>
  <c r="BK33" i="4" s="1"/>
  <c r="M30" i="1" s="1"/>
  <c r="C33" i="4"/>
  <c r="B33" i="4"/>
  <c r="BU32" i="4"/>
  <c r="BQ32" i="4"/>
  <c r="BL32" i="4"/>
  <c r="BJ32" i="4"/>
  <c r="BI32" i="4"/>
  <c r="BD32" i="4"/>
  <c r="BF32" i="4" s="1"/>
  <c r="C32" i="4"/>
  <c r="B32" i="4"/>
  <c r="BU31" i="4"/>
  <c r="BQ31" i="4"/>
  <c r="BL31" i="4"/>
  <c r="BJ31" i="4"/>
  <c r="BI31" i="4"/>
  <c r="BF31" i="4"/>
  <c r="BD31" i="4"/>
  <c r="BK31" i="4" s="1"/>
  <c r="C31" i="4"/>
  <c r="B31" i="4"/>
  <c r="BU30" i="4"/>
  <c r="BQ30" i="4"/>
  <c r="BM30" i="4"/>
  <c r="BN30" i="4" s="1"/>
  <c r="BW30" i="4" s="1"/>
  <c r="BL30" i="4"/>
  <c r="BJ30" i="4"/>
  <c r="BI30" i="4"/>
  <c r="BF30" i="4"/>
  <c r="BD30" i="4"/>
  <c r="BK30" i="4" s="1"/>
  <c r="C30" i="4"/>
  <c r="B30" i="4"/>
  <c r="BU29" i="4"/>
  <c r="BQ29" i="4"/>
  <c r="BM29" i="4"/>
  <c r="BN29" i="4" s="1"/>
  <c r="BW29" i="4" s="1"/>
  <c r="BL29" i="4"/>
  <c r="BJ29" i="4"/>
  <c r="BI29" i="4"/>
  <c r="BF29" i="4"/>
  <c r="BD29" i="4"/>
  <c r="BK29" i="4" s="1"/>
  <c r="C29" i="4"/>
  <c r="B29" i="4"/>
  <c r="BU28" i="4"/>
  <c r="BQ28" i="4"/>
  <c r="BL28" i="4"/>
  <c r="BK28" i="4"/>
  <c r="BM28" i="4" s="1"/>
  <c r="BN28" i="4" s="1"/>
  <c r="BJ28" i="4"/>
  <c r="BI28" i="4"/>
  <c r="BD28" i="4"/>
  <c r="BF28" i="4" s="1"/>
  <c r="C28" i="4"/>
  <c r="B28" i="4"/>
  <c r="BU27" i="4"/>
  <c r="BQ27" i="4"/>
  <c r="BL27" i="4"/>
  <c r="BJ27" i="4"/>
  <c r="BI27" i="4"/>
  <c r="BF27" i="4"/>
  <c r="BD27" i="4"/>
  <c r="BK27" i="4" s="1"/>
  <c r="C27" i="4"/>
  <c r="B27" i="4"/>
  <c r="BU26" i="4"/>
  <c r="BQ26" i="4"/>
  <c r="BL26" i="4"/>
  <c r="N23" i="1" s="1"/>
  <c r="BJ26" i="4"/>
  <c r="BI26" i="4"/>
  <c r="BF26" i="4"/>
  <c r="BD26" i="4"/>
  <c r="BK26" i="4" s="1"/>
  <c r="BM26" i="4" s="1"/>
  <c r="BN26" i="4" s="1"/>
  <c r="BW26" i="4" s="1"/>
  <c r="C26" i="4"/>
  <c r="B26" i="4"/>
  <c r="BU25" i="4"/>
  <c r="BQ25" i="4"/>
  <c r="BL25" i="4"/>
  <c r="BJ25" i="4"/>
  <c r="BI25" i="4"/>
  <c r="BF25" i="4"/>
  <c r="BD25" i="4"/>
  <c r="BK25" i="4" s="1"/>
  <c r="M22" i="1" s="1"/>
  <c r="C25" i="4"/>
  <c r="B25" i="4"/>
  <c r="BU24" i="4"/>
  <c r="BQ24" i="4"/>
  <c r="BL24" i="4"/>
  <c r="BK24" i="4"/>
  <c r="BM24" i="4" s="1"/>
  <c r="BN24" i="4" s="1"/>
  <c r="BJ24" i="4"/>
  <c r="BI24" i="4"/>
  <c r="BD24" i="4"/>
  <c r="BF24" i="4" s="1"/>
  <c r="C24" i="4"/>
  <c r="B24" i="4"/>
  <c r="BU23" i="4"/>
  <c r="BQ23" i="4"/>
  <c r="BL23" i="4"/>
  <c r="BJ23" i="4"/>
  <c r="BI23" i="4"/>
  <c r="BD23" i="4"/>
  <c r="BF23" i="4" s="1"/>
  <c r="C23" i="4"/>
  <c r="B23" i="4"/>
  <c r="BU22" i="4"/>
  <c r="BQ22" i="4"/>
  <c r="BL22" i="4"/>
  <c r="N19" i="1" s="1"/>
  <c r="BJ22" i="4"/>
  <c r="BI22" i="4"/>
  <c r="BF22" i="4"/>
  <c r="BD22" i="4"/>
  <c r="BK22" i="4" s="1"/>
  <c r="BM22" i="4" s="1"/>
  <c r="BN22" i="4" s="1"/>
  <c r="C22" i="4"/>
  <c r="B22" i="4"/>
  <c r="BU21" i="4"/>
  <c r="BQ21" i="4"/>
  <c r="BL21" i="4"/>
  <c r="BJ21" i="4"/>
  <c r="BI21" i="4"/>
  <c r="BF21" i="4"/>
  <c r="BD21" i="4"/>
  <c r="BK21" i="4" s="1"/>
  <c r="M18" i="1" s="1"/>
  <c r="C21" i="4"/>
  <c r="B21" i="4"/>
  <c r="BU20" i="4"/>
  <c r="BQ20" i="4"/>
  <c r="BL20" i="4"/>
  <c r="BJ20" i="4"/>
  <c r="BI20" i="4"/>
  <c r="BD20" i="4"/>
  <c r="BF20" i="4" s="1"/>
  <c r="C20" i="4"/>
  <c r="B20" i="4"/>
  <c r="BU19" i="4"/>
  <c r="BQ19" i="4"/>
  <c r="BL19" i="4"/>
  <c r="BJ19" i="4"/>
  <c r="BI19" i="4"/>
  <c r="BD19" i="4"/>
  <c r="BF19" i="4" s="1"/>
  <c r="C19" i="4"/>
  <c r="B19" i="4"/>
  <c r="BU18" i="4"/>
  <c r="BW18" i="4" s="1"/>
  <c r="BQ18" i="4"/>
  <c r="BM18" i="4"/>
  <c r="BN18" i="4" s="1"/>
  <c r="BL18" i="4"/>
  <c r="BJ18" i="4"/>
  <c r="BI18" i="4"/>
  <c r="BF18" i="4"/>
  <c r="BD18" i="4"/>
  <c r="BK18" i="4" s="1"/>
  <c r="C18" i="4"/>
  <c r="B18" i="4"/>
  <c r="BU17" i="4"/>
  <c r="BQ17" i="4"/>
  <c r="BN17" i="4"/>
  <c r="BW17" i="4" s="1"/>
  <c r="G13" i="3" s="1"/>
  <c r="BM17" i="4"/>
  <c r="BL17" i="4"/>
  <c r="BJ17" i="4"/>
  <c r="BI17" i="4"/>
  <c r="BF17" i="4"/>
  <c r="BD17" i="4"/>
  <c r="BK17" i="4" s="1"/>
  <c r="C17" i="4"/>
  <c r="B17" i="4"/>
  <c r="BU16" i="4"/>
  <c r="BQ16" i="4"/>
  <c r="BL16" i="4"/>
  <c r="BJ16" i="4"/>
  <c r="BI16" i="4"/>
  <c r="BD16" i="4"/>
  <c r="BF16" i="4" s="1"/>
  <c r="C16" i="4"/>
  <c r="B16" i="4"/>
  <c r="BU15" i="4"/>
  <c r="BQ15" i="4"/>
  <c r="BL15" i="4"/>
  <c r="BJ15" i="4"/>
  <c r="BI15" i="4"/>
  <c r="BF15" i="4"/>
  <c r="BD15" i="4"/>
  <c r="BK15" i="4" s="1"/>
  <c r="C15" i="4"/>
  <c r="B15" i="4"/>
  <c r="BU14" i="4"/>
  <c r="BQ14" i="4"/>
  <c r="BM14" i="4"/>
  <c r="BN14" i="4" s="1"/>
  <c r="BW14" i="4" s="1"/>
  <c r="BL14" i="4"/>
  <c r="BJ14" i="4"/>
  <c r="BI14" i="4"/>
  <c r="BF14" i="4"/>
  <c r="BD14" i="4"/>
  <c r="BK14" i="4" s="1"/>
  <c r="C14" i="4"/>
  <c r="B14" i="4"/>
  <c r="BU13" i="4"/>
  <c r="BQ13" i="4"/>
  <c r="BM13" i="4"/>
  <c r="BN13" i="4" s="1"/>
  <c r="BW13" i="4" s="1"/>
  <c r="BL13" i="4"/>
  <c r="BJ13" i="4"/>
  <c r="BI13" i="4"/>
  <c r="BF13" i="4"/>
  <c r="BD13" i="4"/>
  <c r="BK13" i="4" s="1"/>
  <c r="C13" i="4"/>
  <c r="B13" i="4"/>
  <c r="BU12" i="4"/>
  <c r="BQ12" i="4"/>
  <c r="BL12" i="4"/>
  <c r="BK12" i="4"/>
  <c r="BM12" i="4" s="1"/>
  <c r="BN12" i="4" s="1"/>
  <c r="BJ12" i="4"/>
  <c r="BI12" i="4"/>
  <c r="BD12" i="4"/>
  <c r="BF12" i="4" s="1"/>
  <c r="C12" i="4"/>
  <c r="B12" i="4"/>
  <c r="BU11" i="4"/>
  <c r="BQ11" i="4"/>
  <c r="BL11" i="4"/>
  <c r="BJ11" i="4"/>
  <c r="BI11" i="4"/>
  <c r="BF11" i="4"/>
  <c r="BD11" i="4"/>
  <c r="BK11" i="4" s="1"/>
  <c r="C11" i="4"/>
  <c r="B11" i="4"/>
  <c r="BU10" i="4"/>
  <c r="BQ10" i="4"/>
  <c r="BL10" i="4"/>
  <c r="N7" i="1" s="1"/>
  <c r="BJ10" i="4"/>
  <c r="BI10" i="4"/>
  <c r="BF10" i="4"/>
  <c r="BD10" i="4"/>
  <c r="BK10" i="4" s="1"/>
  <c r="BM10" i="4" s="1"/>
  <c r="BN10" i="4" s="1"/>
  <c r="BW10" i="4" s="1"/>
  <c r="C10" i="4"/>
  <c r="B10" i="4"/>
  <c r="BU9" i="4"/>
  <c r="BQ9" i="4"/>
  <c r="BL9" i="4"/>
  <c r="BJ9" i="4"/>
  <c r="BI9" i="4"/>
  <c r="BF9" i="4"/>
  <c r="BD9" i="4"/>
  <c r="BK9" i="4" s="1"/>
  <c r="M6" i="1" s="1"/>
  <c r="O6" i="1" s="1"/>
  <c r="C9" i="4"/>
  <c r="B9" i="4"/>
  <c r="BU8" i="4"/>
  <c r="BQ8" i="4"/>
  <c r="BL8" i="4"/>
  <c r="BK8" i="4"/>
  <c r="BM8" i="4" s="1"/>
  <c r="BN8" i="4" s="1"/>
  <c r="BJ8" i="4"/>
  <c r="BI8" i="4"/>
  <c r="BD8" i="4"/>
  <c r="BF8" i="4" s="1"/>
  <c r="C8" i="4"/>
  <c r="B8" i="4"/>
  <c r="BU7" i="4"/>
  <c r="BQ7" i="4"/>
  <c r="BL7" i="4"/>
  <c r="BJ7" i="4"/>
  <c r="BI7" i="4"/>
  <c r="BD7" i="4"/>
  <c r="BF7" i="4" s="1"/>
  <c r="C7" i="4"/>
  <c r="B7" i="4"/>
  <c r="A1" i="4"/>
  <c r="L76" i="3"/>
  <c r="K76" i="3"/>
  <c r="J76" i="3"/>
  <c r="I76" i="3"/>
  <c r="H76" i="3"/>
  <c r="G76" i="3"/>
  <c r="F76" i="3"/>
  <c r="E76" i="3"/>
  <c r="C72" i="3"/>
  <c r="B72" i="3"/>
  <c r="J71" i="3"/>
  <c r="H71" i="3"/>
  <c r="C71" i="3"/>
  <c r="B71" i="3"/>
  <c r="I70" i="3"/>
  <c r="C70" i="3"/>
  <c r="B70" i="3"/>
  <c r="H69" i="3"/>
  <c r="C69" i="3"/>
  <c r="B69" i="3"/>
  <c r="K68" i="3"/>
  <c r="C68" i="3"/>
  <c r="B68" i="3"/>
  <c r="K67" i="3"/>
  <c r="J67" i="3"/>
  <c r="C67" i="3"/>
  <c r="B67" i="3"/>
  <c r="J66" i="3"/>
  <c r="I66" i="3"/>
  <c r="F66" i="3"/>
  <c r="C66" i="3"/>
  <c r="B66" i="3"/>
  <c r="K65" i="3"/>
  <c r="C65" i="3"/>
  <c r="B65" i="3"/>
  <c r="K64" i="3"/>
  <c r="D64" i="3"/>
  <c r="C64" i="3"/>
  <c r="B64" i="3"/>
  <c r="K63" i="3"/>
  <c r="J63" i="3"/>
  <c r="H63" i="3"/>
  <c r="F63" i="3"/>
  <c r="C63" i="3"/>
  <c r="B63" i="3"/>
  <c r="J62" i="3"/>
  <c r="I62" i="3"/>
  <c r="F62" i="3"/>
  <c r="C62" i="3"/>
  <c r="B62" i="3"/>
  <c r="H61" i="3"/>
  <c r="C61" i="3"/>
  <c r="B61" i="3"/>
  <c r="K60" i="3"/>
  <c r="C60" i="3"/>
  <c r="B60" i="3"/>
  <c r="J59" i="3"/>
  <c r="I59" i="3"/>
  <c r="C59" i="3"/>
  <c r="B59" i="3"/>
  <c r="I58" i="3"/>
  <c r="F58" i="3"/>
  <c r="C58" i="3"/>
  <c r="B58" i="3"/>
  <c r="H57" i="3"/>
  <c r="C57" i="3"/>
  <c r="B57" i="3"/>
  <c r="K56" i="3"/>
  <c r="I56" i="3"/>
  <c r="C56" i="3"/>
  <c r="B56" i="3"/>
  <c r="K55" i="3"/>
  <c r="J55" i="3"/>
  <c r="H55" i="3"/>
  <c r="C55" i="3"/>
  <c r="B55" i="3"/>
  <c r="K54" i="3"/>
  <c r="I54" i="3"/>
  <c r="F54" i="3"/>
  <c r="C54" i="3"/>
  <c r="B54" i="3"/>
  <c r="K53" i="3"/>
  <c r="I53" i="3"/>
  <c r="H53" i="3"/>
  <c r="F53" i="3"/>
  <c r="C53" i="3"/>
  <c r="B53" i="3"/>
  <c r="K52" i="3"/>
  <c r="F52" i="3"/>
  <c r="C52" i="3"/>
  <c r="B52" i="3"/>
  <c r="K51" i="3"/>
  <c r="J51" i="3"/>
  <c r="I51" i="3"/>
  <c r="F51" i="3"/>
  <c r="C51" i="3"/>
  <c r="B51" i="3"/>
  <c r="K50" i="3"/>
  <c r="I50" i="3"/>
  <c r="F50" i="3"/>
  <c r="C50" i="3"/>
  <c r="B50" i="3"/>
  <c r="K49" i="3"/>
  <c r="C49" i="3"/>
  <c r="B49" i="3"/>
  <c r="K48" i="3"/>
  <c r="F48" i="3"/>
  <c r="C48" i="3"/>
  <c r="B48" i="3"/>
  <c r="J47" i="3"/>
  <c r="I47" i="3"/>
  <c r="H47" i="3"/>
  <c r="F47" i="3"/>
  <c r="C47" i="3"/>
  <c r="B47" i="3"/>
  <c r="J46" i="3"/>
  <c r="I46" i="3"/>
  <c r="F46" i="3"/>
  <c r="C46" i="3"/>
  <c r="B46" i="3"/>
  <c r="I45" i="3"/>
  <c r="H45" i="3"/>
  <c r="C45" i="3"/>
  <c r="B45" i="3"/>
  <c r="K44" i="3"/>
  <c r="D44" i="3"/>
  <c r="C44" i="3"/>
  <c r="B44" i="3"/>
  <c r="K43" i="3"/>
  <c r="J43" i="3"/>
  <c r="F43" i="3"/>
  <c r="C43" i="3"/>
  <c r="B43" i="3"/>
  <c r="K42" i="3"/>
  <c r="I42" i="3"/>
  <c r="C42" i="3"/>
  <c r="B42" i="3"/>
  <c r="K41" i="3"/>
  <c r="C41" i="3"/>
  <c r="B41" i="3"/>
  <c r="K40" i="3"/>
  <c r="I40" i="3"/>
  <c r="C40" i="3"/>
  <c r="B40" i="3"/>
  <c r="L39" i="3"/>
  <c r="K39" i="3"/>
  <c r="J39" i="3"/>
  <c r="H39" i="3"/>
  <c r="F39" i="3"/>
  <c r="C39" i="3"/>
  <c r="B39" i="3"/>
  <c r="K38" i="3"/>
  <c r="I38" i="3"/>
  <c r="C38" i="3"/>
  <c r="B38" i="3"/>
  <c r="L37" i="3"/>
  <c r="K37" i="3"/>
  <c r="I37" i="3"/>
  <c r="H37" i="3"/>
  <c r="C37" i="3"/>
  <c r="B37" i="3"/>
  <c r="K36" i="3"/>
  <c r="C36" i="3"/>
  <c r="B36" i="3"/>
  <c r="J35" i="3"/>
  <c r="F35" i="3"/>
  <c r="C35" i="3"/>
  <c r="B35" i="3"/>
  <c r="I34" i="3"/>
  <c r="C34" i="3"/>
  <c r="B34" i="3"/>
  <c r="E33" i="3"/>
  <c r="C33" i="3"/>
  <c r="B33" i="3"/>
  <c r="D32" i="3"/>
  <c r="C32" i="3"/>
  <c r="B32" i="3"/>
  <c r="J31" i="3"/>
  <c r="H31" i="3"/>
  <c r="F31" i="3"/>
  <c r="C31" i="3"/>
  <c r="B31" i="3"/>
  <c r="J30" i="3"/>
  <c r="F30" i="3"/>
  <c r="C30" i="3"/>
  <c r="B30" i="3"/>
  <c r="H29" i="3"/>
  <c r="C29" i="3"/>
  <c r="B29" i="3"/>
  <c r="D28" i="3"/>
  <c r="C28" i="3"/>
  <c r="B28" i="3"/>
  <c r="F27" i="3"/>
  <c r="C27" i="3"/>
  <c r="B27" i="3"/>
  <c r="J26" i="3"/>
  <c r="C26" i="3"/>
  <c r="B26" i="3"/>
  <c r="L25" i="3"/>
  <c r="H25" i="3"/>
  <c r="E25" i="3"/>
  <c r="C25" i="3"/>
  <c r="B25" i="3"/>
  <c r="J24" i="3"/>
  <c r="C24" i="3"/>
  <c r="B24" i="3"/>
  <c r="L23" i="3"/>
  <c r="H23" i="3"/>
  <c r="C23" i="3"/>
  <c r="B23" i="3"/>
  <c r="J22" i="3"/>
  <c r="I22" i="3"/>
  <c r="C22" i="3"/>
  <c r="B22" i="3"/>
  <c r="K21" i="3"/>
  <c r="I21" i="3"/>
  <c r="H21" i="3"/>
  <c r="E21" i="3"/>
  <c r="C21" i="3"/>
  <c r="B21" i="3"/>
  <c r="J20" i="3"/>
  <c r="C20" i="3"/>
  <c r="B20" i="3"/>
  <c r="C19" i="3"/>
  <c r="B19" i="3"/>
  <c r="J18" i="3"/>
  <c r="C18" i="3"/>
  <c r="B18" i="3"/>
  <c r="L17" i="3"/>
  <c r="J17" i="3"/>
  <c r="E17" i="3"/>
  <c r="C17" i="3"/>
  <c r="B17" i="3"/>
  <c r="J16" i="3"/>
  <c r="D16" i="3"/>
  <c r="C16" i="3"/>
  <c r="B16" i="3"/>
  <c r="L15" i="3"/>
  <c r="H15" i="3"/>
  <c r="F15" i="3"/>
  <c r="C15" i="3"/>
  <c r="B15" i="3"/>
  <c r="J14" i="3"/>
  <c r="F14" i="3"/>
  <c r="C14" i="3"/>
  <c r="B14" i="3"/>
  <c r="K13" i="3"/>
  <c r="H13" i="3"/>
  <c r="C13" i="3"/>
  <c r="B13" i="3"/>
  <c r="C12" i="3"/>
  <c r="B12" i="3"/>
  <c r="F11" i="3"/>
  <c r="C11" i="3"/>
  <c r="B11" i="3"/>
  <c r="J10" i="3"/>
  <c r="C10" i="3"/>
  <c r="B10" i="3"/>
  <c r="L9" i="3"/>
  <c r="E9" i="3"/>
  <c r="C9" i="3"/>
  <c r="B9" i="3"/>
  <c r="C8" i="3"/>
  <c r="B8" i="3"/>
  <c r="L7" i="3"/>
  <c r="H7" i="3"/>
  <c r="F7" i="3"/>
  <c r="C7" i="3"/>
  <c r="B7" i="3"/>
  <c r="J6" i="3"/>
  <c r="C6" i="3"/>
  <c r="B6" i="3"/>
  <c r="K5" i="3"/>
  <c r="J5" i="3"/>
  <c r="H5" i="3"/>
  <c r="E5" i="3"/>
  <c r="C5" i="3"/>
  <c r="B5" i="3"/>
  <c r="C4" i="3"/>
  <c r="B4" i="3"/>
  <c r="I3" i="3"/>
  <c r="F3" i="3"/>
  <c r="C3" i="3"/>
  <c r="B3" i="3"/>
  <c r="A1" i="3"/>
  <c r="AC73" i="1"/>
  <c r="AF73" i="1" s="1"/>
  <c r="Z73" i="1"/>
  <c r="Y73" i="1"/>
  <c r="AA73" i="1" s="1"/>
  <c r="W73" i="1"/>
  <c r="U73" i="1"/>
  <c r="T73" i="1"/>
  <c r="S73" i="1"/>
  <c r="Q73" i="1"/>
  <c r="P73" i="1"/>
  <c r="N73" i="1"/>
  <c r="L73" i="1"/>
  <c r="K73" i="1"/>
  <c r="J73" i="1"/>
  <c r="H73" i="1"/>
  <c r="E73" i="1"/>
  <c r="D73" i="1"/>
  <c r="AC72" i="1"/>
  <c r="Z72" i="1"/>
  <c r="W72" i="1"/>
  <c r="V72" i="1"/>
  <c r="T72" i="1"/>
  <c r="S72" i="1"/>
  <c r="U72" i="1" s="1"/>
  <c r="R72" i="1"/>
  <c r="Q72" i="1"/>
  <c r="P72" i="1"/>
  <c r="N72" i="1"/>
  <c r="K72" i="1"/>
  <c r="J72" i="1"/>
  <c r="H72" i="1"/>
  <c r="G72" i="1"/>
  <c r="I72" i="1" s="1"/>
  <c r="E72" i="1"/>
  <c r="AC71" i="1"/>
  <c r="Z71" i="1"/>
  <c r="Y71" i="1"/>
  <c r="AA71" i="1" s="1"/>
  <c r="W71" i="1"/>
  <c r="T71" i="1"/>
  <c r="AF71" i="1" s="1"/>
  <c r="S71" i="1"/>
  <c r="Q71" i="1"/>
  <c r="P71" i="1"/>
  <c r="R71" i="1" s="1"/>
  <c r="N71" i="1"/>
  <c r="M71" i="1"/>
  <c r="O71" i="1" s="1"/>
  <c r="L71" i="1"/>
  <c r="K71" i="1"/>
  <c r="J71" i="1"/>
  <c r="H71" i="1"/>
  <c r="E71" i="1"/>
  <c r="D71" i="1"/>
  <c r="F71" i="1" s="1"/>
  <c r="AC70" i="1"/>
  <c r="Z70" i="1"/>
  <c r="W70" i="1"/>
  <c r="T70" i="1"/>
  <c r="S70" i="1"/>
  <c r="U70" i="1" s="1"/>
  <c r="R70" i="1"/>
  <c r="Q70" i="1"/>
  <c r="P70" i="1"/>
  <c r="O70" i="1"/>
  <c r="N70" i="1"/>
  <c r="M70" i="1"/>
  <c r="K70" i="1"/>
  <c r="J70" i="1"/>
  <c r="H70" i="1"/>
  <c r="AC69" i="1"/>
  <c r="AF69" i="1" s="1"/>
  <c r="Z69" i="1"/>
  <c r="Y69" i="1"/>
  <c r="AA69" i="1" s="1"/>
  <c r="W69" i="1"/>
  <c r="S69" i="1"/>
  <c r="Q69" i="1"/>
  <c r="P69" i="1"/>
  <c r="N69" i="1"/>
  <c r="L69" i="1"/>
  <c r="K69" i="1"/>
  <c r="J69" i="1"/>
  <c r="H69" i="1"/>
  <c r="E69" i="1"/>
  <c r="D69" i="1"/>
  <c r="AC68" i="1"/>
  <c r="Z68" i="1"/>
  <c r="AF68" i="1" s="1"/>
  <c r="Y68" i="1"/>
  <c r="W68" i="1"/>
  <c r="V68" i="1"/>
  <c r="T68" i="1"/>
  <c r="S68" i="1"/>
  <c r="U68" i="1" s="1"/>
  <c r="R68" i="1"/>
  <c r="Q68" i="1"/>
  <c r="P68" i="1"/>
  <c r="N68" i="1"/>
  <c r="K68" i="1"/>
  <c r="J68" i="1"/>
  <c r="L68" i="1" s="1"/>
  <c r="H68" i="1"/>
  <c r="G68" i="1"/>
  <c r="I68" i="1" s="1"/>
  <c r="E68" i="1"/>
  <c r="AC67" i="1"/>
  <c r="Z67" i="1"/>
  <c r="X67" i="1"/>
  <c r="W67" i="1"/>
  <c r="V67" i="1"/>
  <c r="U67" i="1"/>
  <c r="T67" i="1"/>
  <c r="S67" i="1"/>
  <c r="Q67" i="1"/>
  <c r="AF67" i="1" s="1"/>
  <c r="P67" i="1"/>
  <c r="N67" i="1"/>
  <c r="M67" i="1"/>
  <c r="O67" i="1" s="1"/>
  <c r="L67" i="1"/>
  <c r="K67" i="1"/>
  <c r="J67" i="1"/>
  <c r="H67" i="1"/>
  <c r="E67" i="1"/>
  <c r="AC66" i="1"/>
  <c r="Z66" i="1"/>
  <c r="AF66" i="1" s="1"/>
  <c r="Y66" i="1"/>
  <c r="W66" i="1"/>
  <c r="T66" i="1"/>
  <c r="S66" i="1"/>
  <c r="U66" i="1" s="1"/>
  <c r="R66" i="1"/>
  <c r="Q66" i="1"/>
  <c r="P66" i="1"/>
  <c r="N66" i="1"/>
  <c r="K66" i="1"/>
  <c r="J66" i="1"/>
  <c r="L66" i="1" s="1"/>
  <c r="H66" i="1"/>
  <c r="G66" i="1"/>
  <c r="I66" i="1" s="1"/>
  <c r="E66" i="1"/>
  <c r="AC65" i="1"/>
  <c r="Z65" i="1"/>
  <c r="Y65" i="1"/>
  <c r="AA65" i="1" s="1"/>
  <c r="W65" i="1"/>
  <c r="U65" i="1"/>
  <c r="T65" i="1"/>
  <c r="AF65" i="1" s="1"/>
  <c r="S65" i="1"/>
  <c r="Q65" i="1"/>
  <c r="P65" i="1"/>
  <c r="R65" i="1" s="1"/>
  <c r="N65" i="1"/>
  <c r="M65" i="1"/>
  <c r="O65" i="1" s="1"/>
  <c r="L65" i="1"/>
  <c r="K65" i="1"/>
  <c r="J65" i="1"/>
  <c r="H65" i="1"/>
  <c r="E65" i="1"/>
  <c r="D65" i="1"/>
  <c r="AC64" i="1"/>
  <c r="AA64" i="1"/>
  <c r="Z64" i="1"/>
  <c r="Y64" i="1"/>
  <c r="W64" i="1"/>
  <c r="V64" i="1"/>
  <c r="T64" i="1"/>
  <c r="S64" i="1"/>
  <c r="U64" i="1" s="1"/>
  <c r="R64" i="1"/>
  <c r="Q64" i="1"/>
  <c r="P64" i="1"/>
  <c r="N64" i="1"/>
  <c r="K64" i="1"/>
  <c r="J64" i="1"/>
  <c r="H64" i="1"/>
  <c r="G64" i="1"/>
  <c r="I64" i="1" s="1"/>
  <c r="F64" i="1"/>
  <c r="E64" i="1"/>
  <c r="D64" i="1"/>
  <c r="AC63" i="1"/>
  <c r="Z63" i="1"/>
  <c r="X63" i="1"/>
  <c r="W63" i="1"/>
  <c r="V63" i="1"/>
  <c r="U63" i="1"/>
  <c r="T63" i="1"/>
  <c r="S63" i="1"/>
  <c r="Q63" i="1"/>
  <c r="AF63" i="1" s="1"/>
  <c r="P63" i="1"/>
  <c r="M63" i="1"/>
  <c r="O63" i="1" s="1"/>
  <c r="L63" i="1"/>
  <c r="K63" i="1"/>
  <c r="J63" i="1"/>
  <c r="H63" i="1"/>
  <c r="I63" i="1" s="1"/>
  <c r="G63" i="1"/>
  <c r="E63" i="1"/>
  <c r="AC62" i="1"/>
  <c r="Z62" i="1"/>
  <c r="AF62" i="1" s="1"/>
  <c r="Y62" i="1"/>
  <c r="W62" i="1"/>
  <c r="T62" i="1"/>
  <c r="S62" i="1"/>
  <c r="U62" i="1" s="1"/>
  <c r="R62" i="1"/>
  <c r="Q62" i="1"/>
  <c r="P62" i="1"/>
  <c r="N62" i="1"/>
  <c r="K62" i="1"/>
  <c r="J62" i="1"/>
  <c r="L62" i="1" s="1"/>
  <c r="H62" i="1"/>
  <c r="G62" i="1"/>
  <c r="I62" i="1" s="1"/>
  <c r="E62" i="1"/>
  <c r="AC61" i="1"/>
  <c r="Z61" i="1"/>
  <c r="Y61" i="1"/>
  <c r="AA61" i="1" s="1"/>
  <c r="W61" i="1"/>
  <c r="T61" i="1"/>
  <c r="Q61" i="1"/>
  <c r="P61" i="1"/>
  <c r="R61" i="1" s="1"/>
  <c r="N61" i="1"/>
  <c r="L61" i="1"/>
  <c r="K61" i="1"/>
  <c r="J61" i="1"/>
  <c r="I61" i="1"/>
  <c r="H61" i="1"/>
  <c r="G61" i="1"/>
  <c r="E61" i="1"/>
  <c r="D61" i="1"/>
  <c r="AC60" i="1"/>
  <c r="Z60" i="1"/>
  <c r="W60" i="1"/>
  <c r="V60" i="1"/>
  <c r="X60" i="1" s="1"/>
  <c r="T60" i="1"/>
  <c r="S60" i="1"/>
  <c r="U60" i="1" s="1"/>
  <c r="R60" i="1"/>
  <c r="Q60" i="1"/>
  <c r="P60" i="1"/>
  <c r="N60" i="1"/>
  <c r="K60" i="1"/>
  <c r="J60" i="1"/>
  <c r="H60" i="1"/>
  <c r="G60" i="1"/>
  <c r="I60" i="1" s="1"/>
  <c r="F60" i="1"/>
  <c r="E60" i="1"/>
  <c r="D60" i="1"/>
  <c r="AC59" i="1"/>
  <c r="Z59" i="1"/>
  <c r="W59" i="1"/>
  <c r="T59" i="1"/>
  <c r="U59" i="1" s="1"/>
  <c r="S59" i="1"/>
  <c r="Q59" i="1"/>
  <c r="P59" i="1"/>
  <c r="R59" i="1" s="1"/>
  <c r="N59" i="1"/>
  <c r="M59" i="1"/>
  <c r="O59" i="1" s="1"/>
  <c r="L59" i="1"/>
  <c r="K59" i="1"/>
  <c r="J59" i="1"/>
  <c r="H59" i="1"/>
  <c r="E59" i="1"/>
  <c r="D59" i="1"/>
  <c r="F59" i="1" s="1"/>
  <c r="AC58" i="1"/>
  <c r="AA58" i="1"/>
  <c r="Z58" i="1"/>
  <c r="Y58" i="1"/>
  <c r="W58" i="1"/>
  <c r="T58" i="1"/>
  <c r="S58" i="1"/>
  <c r="U58" i="1" s="1"/>
  <c r="R58" i="1"/>
  <c r="Q58" i="1"/>
  <c r="P58" i="1"/>
  <c r="N58" i="1"/>
  <c r="O58" i="1" s="1"/>
  <c r="M58" i="1"/>
  <c r="K58" i="1"/>
  <c r="J58" i="1"/>
  <c r="H58" i="1"/>
  <c r="G58" i="1"/>
  <c r="I58" i="1" s="1"/>
  <c r="AC57" i="1"/>
  <c r="AF57" i="1" s="1"/>
  <c r="Z57" i="1"/>
  <c r="Y57" i="1"/>
  <c r="AA57" i="1" s="1"/>
  <c r="W57" i="1"/>
  <c r="T57" i="1"/>
  <c r="U57" i="1" s="1"/>
  <c r="S57" i="1"/>
  <c r="Q57" i="1"/>
  <c r="P57" i="1"/>
  <c r="N57" i="1"/>
  <c r="L57" i="1"/>
  <c r="K57" i="1"/>
  <c r="J57" i="1"/>
  <c r="E57" i="1"/>
  <c r="D57" i="1"/>
  <c r="F57" i="1" s="1"/>
  <c r="AC56" i="1"/>
  <c r="Z56" i="1"/>
  <c r="Y56" i="1"/>
  <c r="W56" i="1"/>
  <c r="V56" i="1"/>
  <c r="X56" i="1" s="1"/>
  <c r="T56" i="1"/>
  <c r="S56" i="1"/>
  <c r="U56" i="1" s="1"/>
  <c r="R56" i="1"/>
  <c r="Q56" i="1"/>
  <c r="P56" i="1"/>
  <c r="N56" i="1"/>
  <c r="K56" i="1"/>
  <c r="J56" i="1"/>
  <c r="L56" i="1" s="1"/>
  <c r="F56" i="1"/>
  <c r="E56" i="1"/>
  <c r="AC55" i="1"/>
  <c r="Z55" i="1"/>
  <c r="Y55" i="1"/>
  <c r="AA55" i="1" s="1"/>
  <c r="W55" i="1"/>
  <c r="U55" i="1"/>
  <c r="T55" i="1"/>
  <c r="AF55" i="1" s="1"/>
  <c r="S55" i="1"/>
  <c r="Q55" i="1"/>
  <c r="P55" i="1"/>
  <c r="R55" i="1" s="1"/>
  <c r="N55" i="1"/>
  <c r="M55" i="1"/>
  <c r="O55" i="1" s="1"/>
  <c r="L55" i="1"/>
  <c r="K55" i="1"/>
  <c r="J55" i="1"/>
  <c r="H55" i="1"/>
  <c r="E55" i="1"/>
  <c r="AC54" i="1"/>
  <c r="AA54" i="1"/>
  <c r="Z54" i="1"/>
  <c r="Y54" i="1"/>
  <c r="W54" i="1"/>
  <c r="T54" i="1"/>
  <c r="S54" i="1"/>
  <c r="U54" i="1" s="1"/>
  <c r="R54" i="1"/>
  <c r="Q54" i="1"/>
  <c r="P54" i="1"/>
  <c r="N54" i="1"/>
  <c r="O54" i="1" s="1"/>
  <c r="M54" i="1"/>
  <c r="K54" i="1"/>
  <c r="J54" i="1"/>
  <c r="L54" i="1" s="1"/>
  <c r="H54" i="1"/>
  <c r="AF53" i="1"/>
  <c r="AC53" i="1"/>
  <c r="Z53" i="1"/>
  <c r="Y53" i="1"/>
  <c r="AA53" i="1" s="1"/>
  <c r="W53" i="1"/>
  <c r="T53" i="1"/>
  <c r="U53" i="1" s="1"/>
  <c r="S53" i="1"/>
  <c r="Q53" i="1"/>
  <c r="P53" i="1"/>
  <c r="R53" i="1" s="1"/>
  <c r="N53" i="1"/>
  <c r="L53" i="1"/>
  <c r="K53" i="1"/>
  <c r="J53" i="1"/>
  <c r="H53" i="1"/>
  <c r="E53" i="1"/>
  <c r="D53" i="1"/>
  <c r="F53" i="1" s="1"/>
  <c r="AC52" i="1"/>
  <c r="AA52" i="1"/>
  <c r="Z52" i="1"/>
  <c r="Y52" i="1"/>
  <c r="W52" i="1"/>
  <c r="V52" i="1"/>
  <c r="X52" i="1" s="1"/>
  <c r="T52" i="1"/>
  <c r="S52" i="1"/>
  <c r="U52" i="1" s="1"/>
  <c r="R52" i="1"/>
  <c r="Q52" i="1"/>
  <c r="P52" i="1"/>
  <c r="N52" i="1"/>
  <c r="K52" i="1"/>
  <c r="J52" i="1"/>
  <c r="H52" i="1"/>
  <c r="G52" i="1"/>
  <c r="I52" i="1" s="1"/>
  <c r="E52" i="1"/>
  <c r="AC51" i="1"/>
  <c r="AF51" i="1" s="1"/>
  <c r="Z51" i="1"/>
  <c r="Y51" i="1"/>
  <c r="AA51" i="1" s="1"/>
  <c r="W51" i="1"/>
  <c r="T51" i="1"/>
  <c r="U51" i="1" s="1"/>
  <c r="S51" i="1"/>
  <c r="Q51" i="1"/>
  <c r="P51" i="1"/>
  <c r="L51" i="1"/>
  <c r="K51" i="1"/>
  <c r="J51" i="1"/>
  <c r="H51" i="1"/>
  <c r="E51" i="1"/>
  <c r="AC50" i="1"/>
  <c r="Z50" i="1"/>
  <c r="AA50" i="1" s="1"/>
  <c r="Y50" i="1"/>
  <c r="W50" i="1"/>
  <c r="T50" i="1"/>
  <c r="S50" i="1"/>
  <c r="U50" i="1" s="1"/>
  <c r="R50" i="1"/>
  <c r="Q50" i="1"/>
  <c r="P50" i="1"/>
  <c r="O50" i="1"/>
  <c r="N50" i="1"/>
  <c r="K50" i="1"/>
  <c r="J50" i="1"/>
  <c r="L50" i="1" s="1"/>
  <c r="H50" i="1"/>
  <c r="G50" i="1"/>
  <c r="I50" i="1" s="1"/>
  <c r="E50" i="1"/>
  <c r="AC49" i="1"/>
  <c r="Z49" i="1"/>
  <c r="Y49" i="1"/>
  <c r="AA49" i="1" s="1"/>
  <c r="W49" i="1"/>
  <c r="U49" i="1"/>
  <c r="T49" i="1"/>
  <c r="AF49" i="1" s="1"/>
  <c r="S49" i="1"/>
  <c r="Q49" i="1"/>
  <c r="P49" i="1"/>
  <c r="R49" i="1" s="1"/>
  <c r="N49" i="1"/>
  <c r="M49" i="1"/>
  <c r="O49" i="1" s="1"/>
  <c r="L49" i="1"/>
  <c r="K49" i="1"/>
  <c r="J49" i="1"/>
  <c r="H49" i="1"/>
  <c r="I49" i="1" s="1"/>
  <c r="G49" i="1"/>
  <c r="E49" i="1"/>
  <c r="D49" i="1"/>
  <c r="AC48" i="1"/>
  <c r="Z48" i="1"/>
  <c r="W48" i="1"/>
  <c r="V48" i="1"/>
  <c r="T48" i="1"/>
  <c r="S48" i="1"/>
  <c r="U48" i="1" s="1"/>
  <c r="R48" i="1"/>
  <c r="Q48" i="1"/>
  <c r="P48" i="1"/>
  <c r="N48" i="1"/>
  <c r="K48" i="1"/>
  <c r="J48" i="1"/>
  <c r="H48" i="1"/>
  <c r="G48" i="1"/>
  <c r="I48" i="1" s="1"/>
  <c r="F48" i="1"/>
  <c r="E48" i="1"/>
  <c r="D48" i="1"/>
  <c r="AC47" i="1"/>
  <c r="Y47" i="1"/>
  <c r="AA47" i="1" s="1"/>
  <c r="X47" i="1"/>
  <c r="W47" i="1"/>
  <c r="V47" i="1"/>
  <c r="U47" i="1"/>
  <c r="T47" i="1"/>
  <c r="S47" i="1"/>
  <c r="Q47" i="1"/>
  <c r="P47" i="1"/>
  <c r="R47" i="1" s="1"/>
  <c r="L47" i="1"/>
  <c r="K47" i="1"/>
  <c r="J47" i="1"/>
  <c r="H47" i="1"/>
  <c r="E47" i="1"/>
  <c r="AC46" i="1"/>
  <c r="AA46" i="1"/>
  <c r="Z46" i="1"/>
  <c r="Y46" i="1"/>
  <c r="W46" i="1"/>
  <c r="T46" i="1"/>
  <c r="S46" i="1"/>
  <c r="U46" i="1" s="1"/>
  <c r="R46" i="1"/>
  <c r="Q46" i="1"/>
  <c r="P46" i="1"/>
  <c r="K46" i="1"/>
  <c r="J46" i="1"/>
  <c r="H46" i="1"/>
  <c r="G46" i="1"/>
  <c r="I46" i="1" s="1"/>
  <c r="E46" i="1"/>
  <c r="AC45" i="1"/>
  <c r="AF45" i="1" s="1"/>
  <c r="Z45" i="1"/>
  <c r="Y45" i="1"/>
  <c r="AA45" i="1" s="1"/>
  <c r="W45" i="1"/>
  <c r="T45" i="1"/>
  <c r="U45" i="1" s="1"/>
  <c r="S45" i="1"/>
  <c r="Q45" i="1"/>
  <c r="P45" i="1"/>
  <c r="N45" i="1"/>
  <c r="M45" i="1"/>
  <c r="O45" i="1" s="1"/>
  <c r="L45" i="1"/>
  <c r="K45" i="1"/>
  <c r="J45" i="1"/>
  <c r="I45" i="1"/>
  <c r="E45" i="1"/>
  <c r="D45" i="1"/>
  <c r="F45" i="1" s="1"/>
  <c r="AC44" i="1"/>
  <c r="Z44" i="1"/>
  <c r="Y44" i="1"/>
  <c r="W44" i="1"/>
  <c r="V44" i="1"/>
  <c r="X44" i="1" s="1"/>
  <c r="S44" i="1"/>
  <c r="R44" i="1"/>
  <c r="Q44" i="1"/>
  <c r="P44" i="1"/>
  <c r="N44" i="1"/>
  <c r="K44" i="1"/>
  <c r="J44" i="1"/>
  <c r="L44" i="1" s="1"/>
  <c r="H44" i="1"/>
  <c r="G44" i="1"/>
  <c r="I44" i="1" s="1"/>
  <c r="F44" i="1"/>
  <c r="E44" i="1"/>
  <c r="D44" i="1"/>
  <c r="AC43" i="1"/>
  <c r="Z43" i="1"/>
  <c r="Y43" i="1"/>
  <c r="AA43" i="1" s="1"/>
  <c r="W43" i="1"/>
  <c r="U43" i="1"/>
  <c r="T43" i="1"/>
  <c r="S43" i="1"/>
  <c r="Q43" i="1"/>
  <c r="P43" i="1"/>
  <c r="L43" i="1"/>
  <c r="K43" i="1"/>
  <c r="J43" i="1"/>
  <c r="H43" i="1"/>
  <c r="E43" i="1"/>
  <c r="AD42" i="1"/>
  <c r="AC42" i="1"/>
  <c r="AB42" i="1"/>
  <c r="Z42" i="1"/>
  <c r="AA42" i="1" s="1"/>
  <c r="Y42" i="1"/>
  <c r="W42" i="1"/>
  <c r="T42" i="1"/>
  <c r="S42" i="1"/>
  <c r="U42" i="1" s="1"/>
  <c r="R42" i="1"/>
  <c r="Q42" i="1"/>
  <c r="P42" i="1"/>
  <c r="O42" i="1"/>
  <c r="K42" i="1"/>
  <c r="J42" i="1"/>
  <c r="L42" i="1" s="1"/>
  <c r="G42" i="1"/>
  <c r="I42" i="1" s="1"/>
  <c r="AC41" i="1"/>
  <c r="AF41" i="1" s="1"/>
  <c r="AB41" i="1"/>
  <c r="Z41" i="1"/>
  <c r="Y41" i="1"/>
  <c r="AA41" i="1" s="1"/>
  <c r="W41" i="1"/>
  <c r="T41" i="1"/>
  <c r="U41" i="1" s="1"/>
  <c r="S41" i="1"/>
  <c r="Q41" i="1"/>
  <c r="P41" i="1"/>
  <c r="N41" i="1"/>
  <c r="M41" i="1"/>
  <c r="O41" i="1" s="1"/>
  <c r="L41" i="1"/>
  <c r="K41" i="1"/>
  <c r="J41" i="1"/>
  <c r="D41" i="1"/>
  <c r="AD40" i="1"/>
  <c r="AC40" i="1"/>
  <c r="AB40" i="1"/>
  <c r="AA40" i="1"/>
  <c r="Z40" i="1"/>
  <c r="Y40" i="1"/>
  <c r="W40" i="1"/>
  <c r="V40" i="1"/>
  <c r="X40" i="1" s="1"/>
  <c r="T40" i="1"/>
  <c r="S40" i="1"/>
  <c r="U40" i="1" s="1"/>
  <c r="R40" i="1"/>
  <c r="Q40" i="1"/>
  <c r="P40" i="1"/>
  <c r="N40" i="1"/>
  <c r="K40" i="1"/>
  <c r="J40" i="1"/>
  <c r="F40" i="1"/>
  <c r="E40" i="1"/>
  <c r="AC39" i="1"/>
  <c r="AB39" i="1"/>
  <c r="Z39" i="1"/>
  <c r="Y39" i="1"/>
  <c r="AA39" i="1" s="1"/>
  <c r="W39" i="1"/>
  <c r="U39" i="1"/>
  <c r="T39" i="1"/>
  <c r="S39" i="1"/>
  <c r="Q39" i="1"/>
  <c r="P39" i="1"/>
  <c r="L39" i="1"/>
  <c r="K39" i="1"/>
  <c r="J39" i="1"/>
  <c r="H39" i="1"/>
  <c r="E39" i="1"/>
  <c r="AD38" i="1"/>
  <c r="AC38" i="1"/>
  <c r="AB38" i="1"/>
  <c r="Z38" i="1"/>
  <c r="Y38" i="1"/>
  <c r="W38" i="1"/>
  <c r="T38" i="1"/>
  <c r="S38" i="1"/>
  <c r="U38" i="1" s="1"/>
  <c r="R38" i="1"/>
  <c r="Q38" i="1"/>
  <c r="P38" i="1"/>
  <c r="O38" i="1"/>
  <c r="N38" i="1"/>
  <c r="K38" i="1"/>
  <c r="J38" i="1"/>
  <c r="L38" i="1" s="1"/>
  <c r="H38" i="1"/>
  <c r="G38" i="1"/>
  <c r="I38" i="1" s="1"/>
  <c r="AF37" i="1"/>
  <c r="AC37" i="1"/>
  <c r="AB37" i="1"/>
  <c r="Z37" i="1"/>
  <c r="Y37" i="1"/>
  <c r="AA37" i="1" s="1"/>
  <c r="W37" i="1"/>
  <c r="T37" i="1"/>
  <c r="U37" i="1" s="1"/>
  <c r="S37" i="1"/>
  <c r="Q37" i="1"/>
  <c r="P37" i="1"/>
  <c r="R37" i="1" s="1"/>
  <c r="N37" i="1"/>
  <c r="M37" i="1"/>
  <c r="O37" i="1" s="1"/>
  <c r="L37" i="1"/>
  <c r="K37" i="1"/>
  <c r="J37" i="1"/>
  <c r="H37" i="1"/>
  <c r="E37" i="1"/>
  <c r="D37" i="1"/>
  <c r="F37" i="1" s="1"/>
  <c r="AC36" i="1"/>
  <c r="AA36" i="1"/>
  <c r="Z36" i="1"/>
  <c r="Y36" i="1"/>
  <c r="W36" i="1"/>
  <c r="V36" i="1"/>
  <c r="X36" i="1" s="1"/>
  <c r="T36" i="1"/>
  <c r="S36" i="1"/>
  <c r="U36" i="1" s="1"/>
  <c r="R36" i="1"/>
  <c r="Q36" i="1"/>
  <c r="P36" i="1"/>
  <c r="N36" i="1"/>
  <c r="K36" i="1"/>
  <c r="J36" i="1"/>
  <c r="H36" i="1"/>
  <c r="E36" i="1"/>
  <c r="AC35" i="1"/>
  <c r="AB35" i="1"/>
  <c r="Z35" i="1"/>
  <c r="U35" i="1"/>
  <c r="T35" i="1"/>
  <c r="S35" i="1"/>
  <c r="Q35" i="1"/>
  <c r="P35" i="1"/>
  <c r="L35" i="1"/>
  <c r="K35" i="1"/>
  <c r="J35" i="1"/>
  <c r="H35" i="1"/>
  <c r="E35" i="1"/>
  <c r="AC34" i="1"/>
  <c r="Z34" i="1"/>
  <c r="W34" i="1"/>
  <c r="T34" i="1"/>
  <c r="S34" i="1"/>
  <c r="U34" i="1" s="1"/>
  <c r="R34" i="1"/>
  <c r="Q34" i="1"/>
  <c r="P34" i="1"/>
  <c r="N34" i="1"/>
  <c r="K34" i="1"/>
  <c r="J34" i="1"/>
  <c r="E34" i="1"/>
  <c r="AC33" i="1"/>
  <c r="AB33" i="1"/>
  <c r="Z33" i="1"/>
  <c r="W33" i="1"/>
  <c r="U33" i="1"/>
  <c r="T33" i="1"/>
  <c r="S33" i="1"/>
  <c r="Q33" i="1"/>
  <c r="P33" i="1"/>
  <c r="N33" i="1"/>
  <c r="L33" i="1"/>
  <c r="K33" i="1"/>
  <c r="J33" i="1"/>
  <c r="H33" i="1"/>
  <c r="E33" i="1"/>
  <c r="D33" i="1"/>
  <c r="AD32" i="1"/>
  <c r="AC32" i="1"/>
  <c r="AB32" i="1"/>
  <c r="Z32" i="1"/>
  <c r="AF32" i="1" s="1"/>
  <c r="W32" i="1"/>
  <c r="V32" i="1"/>
  <c r="T32" i="1"/>
  <c r="S32" i="1"/>
  <c r="U32" i="1" s="1"/>
  <c r="R32" i="1"/>
  <c r="Q32" i="1"/>
  <c r="P32" i="1"/>
  <c r="N32" i="1"/>
  <c r="K32" i="1"/>
  <c r="J32" i="1"/>
  <c r="L32" i="1" s="1"/>
  <c r="H32" i="1"/>
  <c r="G32" i="1"/>
  <c r="I32" i="1" s="1"/>
  <c r="F32" i="1"/>
  <c r="E32" i="1"/>
  <c r="D32" i="1"/>
  <c r="AC31" i="1"/>
  <c r="Z31" i="1"/>
  <c r="X31" i="1"/>
  <c r="W31" i="1"/>
  <c r="V31" i="1"/>
  <c r="T31" i="1"/>
  <c r="U31" i="1" s="1"/>
  <c r="S31" i="1"/>
  <c r="Q31" i="1"/>
  <c r="P31" i="1"/>
  <c r="M31" i="1"/>
  <c r="O31" i="1" s="1"/>
  <c r="L31" i="1"/>
  <c r="K31" i="1"/>
  <c r="J31" i="1"/>
  <c r="H31" i="1"/>
  <c r="E31" i="1"/>
  <c r="AD30" i="1"/>
  <c r="AC30" i="1"/>
  <c r="AB30" i="1"/>
  <c r="Z30" i="1"/>
  <c r="Y30" i="1"/>
  <c r="W30" i="1"/>
  <c r="T30" i="1"/>
  <c r="R30" i="1"/>
  <c r="Q30" i="1"/>
  <c r="P30" i="1"/>
  <c r="O30" i="1"/>
  <c r="N30" i="1"/>
  <c r="K30" i="1"/>
  <c r="J30" i="1"/>
  <c r="L30" i="1" s="1"/>
  <c r="G30" i="1"/>
  <c r="I30" i="1" s="1"/>
  <c r="E30" i="1"/>
  <c r="AC29" i="1"/>
  <c r="Z29" i="1"/>
  <c r="X29" i="1"/>
  <c r="W29" i="1"/>
  <c r="V29" i="1"/>
  <c r="U29" i="1"/>
  <c r="T29" i="1"/>
  <c r="S29" i="1"/>
  <c r="Q29" i="1"/>
  <c r="P29" i="1"/>
  <c r="N29" i="1"/>
  <c r="L29" i="1"/>
  <c r="K29" i="1"/>
  <c r="J29" i="1"/>
  <c r="H29" i="1"/>
  <c r="E29" i="1"/>
  <c r="D29" i="1"/>
  <c r="AC28" i="1"/>
  <c r="AB28" i="1"/>
  <c r="AD28" i="1" s="1"/>
  <c r="AA28" i="1"/>
  <c r="Z28" i="1"/>
  <c r="Y28" i="1"/>
  <c r="W28" i="1"/>
  <c r="V28" i="1"/>
  <c r="T28" i="1"/>
  <c r="R28" i="1"/>
  <c r="Q28" i="1"/>
  <c r="P28" i="1"/>
  <c r="N28" i="1"/>
  <c r="K28" i="1"/>
  <c r="J28" i="1"/>
  <c r="L28" i="1" s="1"/>
  <c r="H28" i="1"/>
  <c r="E28" i="1"/>
  <c r="D28" i="1"/>
  <c r="F28" i="1" s="1"/>
  <c r="AC27" i="1"/>
  <c r="Z27" i="1"/>
  <c r="X27" i="1"/>
  <c r="W27" i="1"/>
  <c r="V27" i="1"/>
  <c r="T27" i="1"/>
  <c r="U27" i="1" s="1"/>
  <c r="S27" i="1"/>
  <c r="Q27" i="1"/>
  <c r="P27" i="1"/>
  <c r="R27" i="1" s="1"/>
  <c r="N27" i="1"/>
  <c r="M27" i="1"/>
  <c r="O27" i="1" s="1"/>
  <c r="L27" i="1"/>
  <c r="K27" i="1"/>
  <c r="J27" i="1"/>
  <c r="H27" i="1"/>
  <c r="I27" i="1" s="1"/>
  <c r="G27" i="1"/>
  <c r="E27" i="1"/>
  <c r="AD26" i="1"/>
  <c r="AC26" i="1"/>
  <c r="AF26" i="1" s="1"/>
  <c r="AB26" i="1"/>
  <c r="Z26" i="1"/>
  <c r="W26" i="1"/>
  <c r="T26" i="1"/>
  <c r="S26" i="1"/>
  <c r="U26" i="1" s="1"/>
  <c r="R26" i="1"/>
  <c r="Q26" i="1"/>
  <c r="P26" i="1"/>
  <c r="N26" i="1"/>
  <c r="O26" i="1" s="1"/>
  <c r="M26" i="1"/>
  <c r="K26" i="1"/>
  <c r="J26" i="1"/>
  <c r="L26" i="1" s="1"/>
  <c r="H26" i="1"/>
  <c r="G26" i="1"/>
  <c r="I26" i="1" s="1"/>
  <c r="F26" i="1"/>
  <c r="E26" i="1"/>
  <c r="D26" i="1"/>
  <c r="AF25" i="1"/>
  <c r="AC25" i="1"/>
  <c r="Z25" i="1"/>
  <c r="X25" i="1"/>
  <c r="W25" i="1"/>
  <c r="V25" i="1"/>
  <c r="T25" i="1"/>
  <c r="Q25" i="1"/>
  <c r="P25" i="1"/>
  <c r="R25" i="1" s="1"/>
  <c r="N25" i="1"/>
  <c r="L25" i="1"/>
  <c r="K25" i="1"/>
  <c r="J25" i="1"/>
  <c r="H25" i="1"/>
  <c r="I25" i="1" s="1"/>
  <c r="G25" i="1"/>
  <c r="D25" i="1"/>
  <c r="F25" i="1" s="1"/>
  <c r="AD24" i="1"/>
  <c r="AC24" i="1"/>
  <c r="AB24" i="1"/>
  <c r="Z24" i="1"/>
  <c r="W24" i="1"/>
  <c r="V24" i="1"/>
  <c r="X24" i="1" s="1"/>
  <c r="T24" i="1"/>
  <c r="S24" i="1"/>
  <c r="U24" i="1" s="1"/>
  <c r="R24" i="1"/>
  <c r="Q24" i="1"/>
  <c r="P24" i="1"/>
  <c r="N24" i="1"/>
  <c r="K24" i="1"/>
  <c r="J24" i="1"/>
  <c r="L24" i="1" s="1"/>
  <c r="G24" i="1"/>
  <c r="E24" i="1"/>
  <c r="AC23" i="1"/>
  <c r="Z23" i="1"/>
  <c r="X23" i="1"/>
  <c r="W23" i="1"/>
  <c r="V23" i="1"/>
  <c r="T23" i="1"/>
  <c r="U23" i="1" s="1"/>
  <c r="S23" i="1"/>
  <c r="Q23" i="1"/>
  <c r="P23" i="1"/>
  <c r="R23" i="1" s="1"/>
  <c r="L23" i="1"/>
  <c r="K23" i="1"/>
  <c r="J23" i="1"/>
  <c r="H23" i="1"/>
  <c r="I23" i="1" s="1"/>
  <c r="G23" i="1"/>
  <c r="E23" i="1"/>
  <c r="D23" i="1"/>
  <c r="F23" i="1" s="1"/>
  <c r="AD22" i="1"/>
  <c r="AC22" i="1"/>
  <c r="AF22" i="1" s="1"/>
  <c r="AB22" i="1"/>
  <c r="Z22" i="1"/>
  <c r="AA22" i="1" s="1"/>
  <c r="Y22" i="1"/>
  <c r="W22" i="1"/>
  <c r="T22" i="1"/>
  <c r="S22" i="1"/>
  <c r="U22" i="1" s="1"/>
  <c r="R22" i="1"/>
  <c r="Q22" i="1"/>
  <c r="P22" i="1"/>
  <c r="N22" i="1"/>
  <c r="K22" i="1"/>
  <c r="J22" i="1"/>
  <c r="L22" i="1" s="1"/>
  <c r="H22" i="1"/>
  <c r="G22" i="1"/>
  <c r="I22" i="1" s="1"/>
  <c r="E22" i="1"/>
  <c r="AC21" i="1"/>
  <c r="Z21" i="1"/>
  <c r="X21" i="1"/>
  <c r="W21" i="1"/>
  <c r="V21" i="1"/>
  <c r="T21" i="1"/>
  <c r="U21" i="1" s="1"/>
  <c r="S21" i="1"/>
  <c r="Q21" i="1"/>
  <c r="P21" i="1"/>
  <c r="R21" i="1" s="1"/>
  <c r="N21" i="1"/>
  <c r="M21" i="1"/>
  <c r="O21" i="1" s="1"/>
  <c r="L21" i="1"/>
  <c r="K21" i="1"/>
  <c r="J21" i="1"/>
  <c r="H21" i="1"/>
  <c r="D21" i="1"/>
  <c r="F21" i="1" s="1"/>
  <c r="AD20" i="1"/>
  <c r="AC20" i="1"/>
  <c r="AB20" i="1"/>
  <c r="Z20" i="1"/>
  <c r="W20" i="1"/>
  <c r="V20" i="1"/>
  <c r="X20" i="1" s="1"/>
  <c r="T20" i="1"/>
  <c r="S20" i="1"/>
  <c r="U20" i="1" s="1"/>
  <c r="R20" i="1"/>
  <c r="Q20" i="1"/>
  <c r="P20" i="1"/>
  <c r="N20" i="1"/>
  <c r="K20" i="1"/>
  <c r="J20" i="1"/>
  <c r="L20" i="1" s="1"/>
  <c r="H20" i="1"/>
  <c r="F20" i="1"/>
  <c r="E20" i="1"/>
  <c r="D20" i="1"/>
  <c r="AC19" i="1"/>
  <c r="Z19" i="1"/>
  <c r="X19" i="1"/>
  <c r="W19" i="1"/>
  <c r="V19" i="1"/>
  <c r="T19" i="1"/>
  <c r="U19" i="1" s="1"/>
  <c r="S19" i="1"/>
  <c r="Q19" i="1"/>
  <c r="P19" i="1"/>
  <c r="R19" i="1" s="1"/>
  <c r="M19" i="1"/>
  <c r="L19" i="1"/>
  <c r="K19" i="1"/>
  <c r="J19" i="1"/>
  <c r="H19" i="1"/>
  <c r="E19" i="1"/>
  <c r="AD18" i="1"/>
  <c r="AC18" i="1"/>
  <c r="AB18" i="1"/>
  <c r="Z18" i="1"/>
  <c r="W18" i="1"/>
  <c r="V18" i="1"/>
  <c r="X18" i="1" s="1"/>
  <c r="R18" i="1"/>
  <c r="Q18" i="1"/>
  <c r="P18" i="1"/>
  <c r="N18" i="1"/>
  <c r="K18" i="1"/>
  <c r="J18" i="1"/>
  <c r="L18" i="1" s="1"/>
  <c r="H18" i="1"/>
  <c r="G18" i="1"/>
  <c r="I18" i="1" s="1"/>
  <c r="E18" i="1"/>
  <c r="AF17" i="1"/>
  <c r="AC17" i="1"/>
  <c r="Z17" i="1"/>
  <c r="X17" i="1"/>
  <c r="W17" i="1"/>
  <c r="V17" i="1"/>
  <c r="T17" i="1"/>
  <c r="U17" i="1" s="1"/>
  <c r="S17" i="1"/>
  <c r="Q17" i="1"/>
  <c r="P17" i="1"/>
  <c r="R17" i="1" s="1"/>
  <c r="N17" i="1"/>
  <c r="L17" i="1"/>
  <c r="K17" i="1"/>
  <c r="J17" i="1"/>
  <c r="H17" i="1"/>
  <c r="E17" i="1"/>
  <c r="D17" i="1"/>
  <c r="F17" i="1" s="1"/>
  <c r="AD16" i="1"/>
  <c r="AC16" i="1"/>
  <c r="AB16" i="1"/>
  <c r="Z16" i="1"/>
  <c r="W16" i="1"/>
  <c r="V16" i="1"/>
  <c r="X16" i="1" s="1"/>
  <c r="T16" i="1"/>
  <c r="S16" i="1"/>
  <c r="U16" i="1" s="1"/>
  <c r="R16" i="1"/>
  <c r="Q16" i="1"/>
  <c r="P16" i="1"/>
  <c r="N16" i="1"/>
  <c r="K16" i="1"/>
  <c r="J16" i="1"/>
  <c r="L16" i="1" s="1"/>
  <c r="H16" i="1"/>
  <c r="F16" i="1"/>
  <c r="E16" i="1"/>
  <c r="D16" i="1"/>
  <c r="AC15" i="1"/>
  <c r="Z15" i="1"/>
  <c r="X15" i="1"/>
  <c r="W15" i="1"/>
  <c r="V15" i="1"/>
  <c r="T15" i="1"/>
  <c r="U15" i="1" s="1"/>
  <c r="S15" i="1"/>
  <c r="Q15" i="1"/>
  <c r="P15" i="1"/>
  <c r="R15" i="1" s="1"/>
  <c r="N15" i="1"/>
  <c r="M15" i="1"/>
  <c r="O15" i="1" s="1"/>
  <c r="L15" i="1"/>
  <c r="K15" i="1"/>
  <c r="J15" i="1"/>
  <c r="H15" i="1"/>
  <c r="I15" i="1" s="1"/>
  <c r="G15" i="1"/>
  <c r="E15" i="1"/>
  <c r="AD14" i="1"/>
  <c r="AC14" i="1"/>
  <c r="AB14" i="1"/>
  <c r="Z14" i="1"/>
  <c r="Y14" i="1"/>
  <c r="W14" i="1"/>
  <c r="V14" i="1"/>
  <c r="T14" i="1"/>
  <c r="S14" i="1"/>
  <c r="U14" i="1" s="1"/>
  <c r="R14" i="1"/>
  <c r="Q14" i="1"/>
  <c r="P14" i="1"/>
  <c r="N14" i="1"/>
  <c r="O14" i="1" s="1"/>
  <c r="M14" i="1"/>
  <c r="K14" i="1"/>
  <c r="J14" i="1"/>
  <c r="L14" i="1" s="1"/>
  <c r="H14" i="1"/>
  <c r="G14" i="1"/>
  <c r="I14" i="1" s="1"/>
  <c r="F14" i="1"/>
  <c r="E14" i="1"/>
  <c r="D14" i="1"/>
  <c r="AC13" i="1"/>
  <c r="Z13" i="1"/>
  <c r="X13" i="1"/>
  <c r="W13" i="1"/>
  <c r="V13" i="1"/>
  <c r="T13" i="1"/>
  <c r="U13" i="1" s="1"/>
  <c r="S13" i="1"/>
  <c r="Q13" i="1"/>
  <c r="P13" i="1"/>
  <c r="R13" i="1" s="1"/>
  <c r="N13" i="1"/>
  <c r="L13" i="1"/>
  <c r="K13" i="1"/>
  <c r="J13" i="1"/>
  <c r="H13" i="1"/>
  <c r="E13" i="1"/>
  <c r="D13" i="1"/>
  <c r="F13" i="1" s="1"/>
  <c r="AD12" i="1"/>
  <c r="AC12" i="1"/>
  <c r="AB12" i="1"/>
  <c r="Z12" i="1"/>
  <c r="Y12" i="1"/>
  <c r="W12" i="1"/>
  <c r="V12" i="1"/>
  <c r="T12" i="1"/>
  <c r="S12" i="1"/>
  <c r="U12" i="1" s="1"/>
  <c r="R12" i="1"/>
  <c r="Q12" i="1"/>
  <c r="P12" i="1"/>
  <c r="N12" i="1"/>
  <c r="K12" i="1"/>
  <c r="J12" i="1"/>
  <c r="L12" i="1" s="1"/>
  <c r="H12" i="1"/>
  <c r="G12" i="1"/>
  <c r="I12" i="1" s="1"/>
  <c r="F12" i="1"/>
  <c r="E12" i="1"/>
  <c r="D12" i="1"/>
  <c r="AC11" i="1"/>
  <c r="Z11" i="1"/>
  <c r="X11" i="1"/>
  <c r="W11" i="1"/>
  <c r="V11" i="1"/>
  <c r="T11" i="1"/>
  <c r="U11" i="1" s="1"/>
  <c r="S11" i="1"/>
  <c r="Q11" i="1"/>
  <c r="P11" i="1"/>
  <c r="R11" i="1" s="1"/>
  <c r="N11" i="1"/>
  <c r="M11" i="1"/>
  <c r="O11" i="1" s="1"/>
  <c r="L11" i="1"/>
  <c r="K11" i="1"/>
  <c r="J11" i="1"/>
  <c r="H11" i="1"/>
  <c r="I11" i="1" s="1"/>
  <c r="G11" i="1"/>
  <c r="E11" i="1"/>
  <c r="AD10" i="1"/>
  <c r="AC10" i="1"/>
  <c r="AB10" i="1"/>
  <c r="Z10" i="1"/>
  <c r="W10" i="1"/>
  <c r="T10" i="1"/>
  <c r="S10" i="1"/>
  <c r="U10" i="1" s="1"/>
  <c r="R10" i="1"/>
  <c r="Q10" i="1"/>
  <c r="P10" i="1"/>
  <c r="N10" i="1"/>
  <c r="O10" i="1" s="1"/>
  <c r="M10" i="1"/>
  <c r="K10" i="1"/>
  <c r="J10" i="1"/>
  <c r="L10" i="1" s="1"/>
  <c r="H10" i="1"/>
  <c r="G10" i="1"/>
  <c r="I10" i="1" s="1"/>
  <c r="F10" i="1"/>
  <c r="E10" i="1"/>
  <c r="D10" i="1"/>
  <c r="AF9" i="1"/>
  <c r="AC9" i="1"/>
  <c r="Z9" i="1"/>
  <c r="X9" i="1"/>
  <c r="W9" i="1"/>
  <c r="V9" i="1"/>
  <c r="T9" i="1"/>
  <c r="U9" i="1" s="1"/>
  <c r="S9" i="1"/>
  <c r="Q9" i="1"/>
  <c r="P9" i="1"/>
  <c r="R9" i="1" s="1"/>
  <c r="N9" i="1"/>
  <c r="L9" i="1"/>
  <c r="K9" i="1"/>
  <c r="J9" i="1"/>
  <c r="H9" i="1"/>
  <c r="I9" i="1" s="1"/>
  <c r="G9" i="1"/>
  <c r="E9" i="1"/>
  <c r="D9" i="1"/>
  <c r="F9" i="1" s="1"/>
  <c r="AD8" i="1"/>
  <c r="AC8" i="1"/>
  <c r="AB8" i="1"/>
  <c r="Z8" i="1"/>
  <c r="W8" i="1"/>
  <c r="V8" i="1"/>
  <c r="X8" i="1" s="1"/>
  <c r="T8" i="1"/>
  <c r="S8" i="1"/>
  <c r="U8" i="1" s="1"/>
  <c r="R8" i="1"/>
  <c r="Q8" i="1"/>
  <c r="P8" i="1"/>
  <c r="N8" i="1"/>
  <c r="K8" i="1"/>
  <c r="J8" i="1"/>
  <c r="L8" i="1" s="1"/>
  <c r="G8" i="1"/>
  <c r="I8" i="1" s="1"/>
  <c r="E8" i="1"/>
  <c r="AF7" i="1"/>
  <c r="AC7" i="1"/>
  <c r="Z7" i="1"/>
  <c r="X7" i="1"/>
  <c r="W7" i="1"/>
  <c r="V7" i="1"/>
  <c r="T7" i="1"/>
  <c r="U7" i="1" s="1"/>
  <c r="S7" i="1"/>
  <c r="Q7" i="1"/>
  <c r="P7" i="1"/>
  <c r="R7" i="1" s="1"/>
  <c r="L7" i="1"/>
  <c r="K7" i="1"/>
  <c r="J7" i="1"/>
  <c r="H7" i="1"/>
  <c r="I7" i="1" s="1"/>
  <c r="G7" i="1"/>
  <c r="E7" i="1"/>
  <c r="D7" i="1"/>
  <c r="F7" i="1" s="1"/>
  <c r="AD6" i="1"/>
  <c r="AC6" i="1"/>
  <c r="AB6" i="1"/>
  <c r="Z6" i="1"/>
  <c r="Y6" i="1"/>
  <c r="W6" i="1"/>
  <c r="V6" i="1"/>
  <c r="T6" i="1"/>
  <c r="S6" i="1"/>
  <c r="U6" i="1" s="1"/>
  <c r="R6" i="1"/>
  <c r="Q6" i="1"/>
  <c r="P6" i="1"/>
  <c r="N6" i="1"/>
  <c r="K6" i="1"/>
  <c r="J6" i="1"/>
  <c r="L6" i="1" s="1"/>
  <c r="H6" i="1"/>
  <c r="G6" i="1"/>
  <c r="I6" i="1" s="1"/>
  <c r="E6" i="1"/>
  <c r="AF5" i="1"/>
  <c r="AC5" i="1"/>
  <c r="Z5" i="1"/>
  <c r="W5" i="1"/>
  <c r="T5" i="1"/>
  <c r="U5" i="1" s="1"/>
  <c r="S5" i="1"/>
  <c r="Q5" i="1"/>
  <c r="P5" i="1"/>
  <c r="R5" i="1" s="1"/>
  <c r="N5" i="1"/>
  <c r="M5" i="1"/>
  <c r="O5" i="1" s="1"/>
  <c r="L5" i="1"/>
  <c r="K5" i="1"/>
  <c r="J5" i="1"/>
  <c r="H5" i="1"/>
  <c r="E5" i="1"/>
  <c r="D5" i="1"/>
  <c r="F5" i="1" s="1"/>
  <c r="AD4" i="1"/>
  <c r="AC4" i="1"/>
  <c r="AB4" i="1"/>
  <c r="Z4" i="1"/>
  <c r="Y4" i="1"/>
  <c r="W4" i="1"/>
  <c r="V4" i="1"/>
  <c r="T4" i="1"/>
  <c r="S4" i="1"/>
  <c r="U4" i="1" s="1"/>
  <c r="R4" i="1"/>
  <c r="Q4" i="1"/>
  <c r="P4" i="1"/>
  <c r="N4" i="1"/>
  <c r="K4" i="1"/>
  <c r="J4" i="1"/>
  <c r="L4" i="1" s="1"/>
  <c r="H4" i="1"/>
  <c r="G4" i="1"/>
  <c r="I4" i="1" s="1"/>
  <c r="F4" i="1"/>
  <c r="E4" i="1"/>
  <c r="D4" i="1"/>
  <c r="AA6" i="1" l="1"/>
  <c r="AF6" i="1"/>
  <c r="AF15" i="1"/>
  <c r="AF30" i="1"/>
  <c r="AA30" i="1"/>
  <c r="AD39" i="1"/>
  <c r="AA44" i="1"/>
  <c r="G14" i="3"/>
  <c r="G40" i="3"/>
  <c r="D8" i="3"/>
  <c r="D52" i="3"/>
  <c r="AF11" i="1"/>
  <c r="AA14" i="1"/>
  <c r="AF14" i="1"/>
  <c r="AF39" i="1"/>
  <c r="G29" i="3"/>
  <c r="G30" i="3"/>
  <c r="G37" i="3"/>
  <c r="BM50" i="4"/>
  <c r="BN50" i="4" s="1"/>
  <c r="M47" i="1"/>
  <c r="O47" i="1" s="1"/>
  <c r="BM9" i="5"/>
  <c r="BN9" i="5" s="1"/>
  <c r="D6" i="1"/>
  <c r="F6" i="1" s="1"/>
  <c r="D23" i="3"/>
  <c r="D55" i="3"/>
  <c r="D72" i="3"/>
  <c r="F24" i="3"/>
  <c r="E59" i="3"/>
  <c r="AF10" i="1"/>
  <c r="AF12" i="1"/>
  <c r="AA12" i="1"/>
  <c r="X14" i="1"/>
  <c r="AE14" i="1"/>
  <c r="AG14" i="1" s="1"/>
  <c r="AF19" i="1"/>
  <c r="AF21" i="1"/>
  <c r="I24" i="1"/>
  <c r="AF29" i="1"/>
  <c r="AD33" i="1"/>
  <c r="AF35" i="1"/>
  <c r="AF59" i="1"/>
  <c r="G6" i="3"/>
  <c r="G9" i="3"/>
  <c r="BW22" i="4"/>
  <c r="O22" i="1"/>
  <c r="M28" i="1"/>
  <c r="O28" i="1" s="1"/>
  <c r="BM31" i="4"/>
  <c r="BN31" i="4" s="1"/>
  <c r="BW31" i="4" s="1"/>
  <c r="BM38" i="4"/>
  <c r="BN38" i="4" s="1"/>
  <c r="BW38" i="4" s="1"/>
  <c r="M35" i="1"/>
  <c r="O35" i="1" s="1"/>
  <c r="BM46" i="4"/>
  <c r="BN46" i="4" s="1"/>
  <c r="M43" i="1"/>
  <c r="O43" i="1" s="1"/>
  <c r="G49" i="3"/>
  <c r="BM67" i="4"/>
  <c r="BN67" i="4" s="1"/>
  <c r="M64" i="1"/>
  <c r="O64" i="1" s="1"/>
  <c r="D4" i="3"/>
  <c r="D7" i="3"/>
  <c r="D20" i="3"/>
  <c r="D24" i="3"/>
  <c r="D27" i="3"/>
  <c r="D39" i="3"/>
  <c r="BM73" i="5"/>
  <c r="BN73" i="5" s="1"/>
  <c r="BW73" i="5" s="1"/>
  <c r="D70" i="1"/>
  <c r="F70" i="1" s="1"/>
  <c r="F71" i="3"/>
  <c r="BM44" i="7"/>
  <c r="BN44" i="7" s="1"/>
  <c r="BW44" i="7" s="1"/>
  <c r="G41" i="1"/>
  <c r="I41" i="1" s="1"/>
  <c r="I25" i="3"/>
  <c r="X4" i="1"/>
  <c r="G10" i="3"/>
  <c r="BM27" i="4"/>
  <c r="BN27" i="4" s="1"/>
  <c r="M24" i="1"/>
  <c r="O24" i="1" s="1"/>
  <c r="BM42" i="4"/>
  <c r="BN42" i="4" s="1"/>
  <c r="BW42" i="4" s="1"/>
  <c r="M39" i="1"/>
  <c r="O39" i="1" s="1"/>
  <c r="G48" i="3"/>
  <c r="D43" i="3"/>
  <c r="BM23" i="7"/>
  <c r="BN23" i="7" s="1"/>
  <c r="G20" i="1"/>
  <c r="I20" i="1" s="1"/>
  <c r="E22" i="3"/>
  <c r="X6" i="1"/>
  <c r="AF56" i="1"/>
  <c r="AA56" i="1"/>
  <c r="BM15" i="4"/>
  <c r="BN15" i="4" s="1"/>
  <c r="M12" i="1"/>
  <c r="O12" i="1" s="1"/>
  <c r="G26" i="3"/>
  <c r="G36" i="3"/>
  <c r="AF4" i="1"/>
  <c r="AA4" i="1"/>
  <c r="AF8" i="1"/>
  <c r="AE12" i="1"/>
  <c r="X12" i="1"/>
  <c r="AF13" i="1"/>
  <c r="AF16" i="1"/>
  <c r="AF18" i="1"/>
  <c r="O19" i="1"/>
  <c r="AF20" i="1"/>
  <c r="AF23" i="1"/>
  <c r="AF24" i="1"/>
  <c r="AF27" i="1"/>
  <c r="AF28" i="1"/>
  <c r="X28" i="1"/>
  <c r="AF31" i="1"/>
  <c r="AF33" i="1"/>
  <c r="AF43" i="1"/>
  <c r="AF61" i="1"/>
  <c r="BM11" i="4"/>
  <c r="BN11" i="4" s="1"/>
  <c r="BW11" i="4" s="1"/>
  <c r="M8" i="1"/>
  <c r="O8" i="1" s="1"/>
  <c r="O18" i="1"/>
  <c r="G22" i="3"/>
  <c r="G25" i="3"/>
  <c r="BW45" i="4"/>
  <c r="G44" i="3"/>
  <c r="BM54" i="4"/>
  <c r="BN54" i="4" s="1"/>
  <c r="M51" i="1"/>
  <c r="O51" i="1" s="1"/>
  <c r="G62" i="3"/>
  <c r="D11" i="3"/>
  <c r="BM25" i="5"/>
  <c r="BN25" i="5" s="1"/>
  <c r="BW25" i="5" s="1"/>
  <c r="D22" i="1"/>
  <c r="F22" i="1" s="1"/>
  <c r="BM41" i="5"/>
  <c r="BN41" i="5" s="1"/>
  <c r="D38" i="1"/>
  <c r="F38" i="1" s="1"/>
  <c r="D40" i="3"/>
  <c r="D56" i="3"/>
  <c r="D59" i="3"/>
  <c r="D68" i="3"/>
  <c r="F8" i="3"/>
  <c r="F12" i="3"/>
  <c r="F40" i="3"/>
  <c r="I16" i="3"/>
  <c r="BW8" i="4"/>
  <c r="BK23" i="4"/>
  <c r="BW56" i="4"/>
  <c r="BM45" i="5"/>
  <c r="BN45" i="5" s="1"/>
  <c r="D42" i="1"/>
  <c r="F42" i="1" s="1"/>
  <c r="BM49" i="5"/>
  <c r="BN49" i="5" s="1"/>
  <c r="D46" i="1"/>
  <c r="F46" i="1" s="1"/>
  <c r="BK57" i="5"/>
  <c r="F16" i="3"/>
  <c r="E3" i="3"/>
  <c r="E8" i="3"/>
  <c r="BM50" i="7"/>
  <c r="BN50" i="7" s="1"/>
  <c r="BW50" i="7" s="1"/>
  <c r="G47" i="1"/>
  <c r="I47" i="1" s="1"/>
  <c r="BM54" i="7"/>
  <c r="BN54" i="7" s="1"/>
  <c r="G51" i="1"/>
  <c r="I51" i="1" s="1"/>
  <c r="I15" i="3"/>
  <c r="I19" i="3"/>
  <c r="BF27" i="10"/>
  <c r="BK27" i="10"/>
  <c r="M9" i="1"/>
  <c r="O9" i="1" s="1"/>
  <c r="S18" i="1"/>
  <c r="U18" i="1" s="1"/>
  <c r="M23" i="1"/>
  <c r="O23" i="1" s="1"/>
  <c r="AF38" i="1"/>
  <c r="U71" i="1"/>
  <c r="F18" i="3"/>
  <c r="BK19" i="4"/>
  <c r="BK35" i="4"/>
  <c r="BF46" i="4"/>
  <c r="BM65" i="5"/>
  <c r="BN65" i="5" s="1"/>
  <c r="BW65" i="5" s="1"/>
  <c r="D62" i="1"/>
  <c r="F62" i="1" s="1"/>
  <c r="BW10" i="6"/>
  <c r="F20" i="3"/>
  <c r="BW26" i="6"/>
  <c r="BW73" i="6"/>
  <c r="BF20" i="7"/>
  <c r="BK20" i="7"/>
  <c r="V5" i="1"/>
  <c r="X5" i="1" s="1"/>
  <c r="D8" i="1"/>
  <c r="F8" i="1" s="1"/>
  <c r="D18" i="1"/>
  <c r="F18" i="1" s="1"/>
  <c r="D24" i="1"/>
  <c r="F24" i="1" s="1"/>
  <c r="F29" i="1"/>
  <c r="R31" i="1"/>
  <c r="X32" i="1"/>
  <c r="F33" i="1"/>
  <c r="G34" i="1"/>
  <c r="I34" i="1" s="1"/>
  <c r="AF34" i="1"/>
  <c r="AD37" i="1"/>
  <c r="AA38" i="1"/>
  <c r="G40" i="1"/>
  <c r="I40" i="1" s="1"/>
  <c r="R41" i="1"/>
  <c r="R45" i="1"/>
  <c r="L48" i="1"/>
  <c r="F49" i="1"/>
  <c r="R51" i="1"/>
  <c r="AF54" i="1"/>
  <c r="R57" i="1"/>
  <c r="L58" i="1"/>
  <c r="AF60" i="1"/>
  <c r="AA62" i="1"/>
  <c r="L64" i="1"/>
  <c r="AF64" i="1"/>
  <c r="AA66" i="1"/>
  <c r="X68" i="1"/>
  <c r="AA68" i="1"/>
  <c r="F69" i="1"/>
  <c r="L72" i="1"/>
  <c r="F73" i="1"/>
  <c r="D13" i="3"/>
  <c r="H17" i="3"/>
  <c r="F19" i="3"/>
  <c r="F23" i="3"/>
  <c r="D36" i="3"/>
  <c r="H41" i="3"/>
  <c r="H65" i="3"/>
  <c r="I69" i="3"/>
  <c r="BK20" i="4"/>
  <c r="BM21" i="4"/>
  <c r="BN21" i="4" s="1"/>
  <c r="BW21" i="4" s="1"/>
  <c r="BW27" i="4"/>
  <c r="BK36" i="4"/>
  <c r="BM37" i="4"/>
  <c r="BN37" i="4" s="1"/>
  <c r="BW37" i="4" s="1"/>
  <c r="BF42" i="4"/>
  <c r="BK43" i="4"/>
  <c r="BM45" i="4"/>
  <c r="BN45" i="4" s="1"/>
  <c r="BW50" i="4"/>
  <c r="G53" i="3"/>
  <c r="BF60" i="4"/>
  <c r="BK60" i="4"/>
  <c r="M62" i="1"/>
  <c r="O62" i="1" s="1"/>
  <c r="BM65" i="4"/>
  <c r="BN65" i="4" s="1"/>
  <c r="BW65" i="4" s="1"/>
  <c r="BF67" i="4"/>
  <c r="BF72" i="4"/>
  <c r="BK72" i="4"/>
  <c r="BF9" i="5"/>
  <c r="BK14" i="5"/>
  <c r="BW42" i="5"/>
  <c r="BW49" i="5"/>
  <c r="BK53" i="5"/>
  <c r="BF66" i="5"/>
  <c r="BK66" i="5"/>
  <c r="BM71" i="5"/>
  <c r="BN71" i="5" s="1"/>
  <c r="BW71" i="5" s="1"/>
  <c r="D68" i="1"/>
  <c r="F68" i="1" s="1"/>
  <c r="BF73" i="5"/>
  <c r="BW14" i="6"/>
  <c r="F10" i="3" s="1"/>
  <c r="BW30" i="6"/>
  <c r="BW46" i="6"/>
  <c r="F49" i="3"/>
  <c r="BW18" i="7"/>
  <c r="BK34" i="7"/>
  <c r="BW35" i="7"/>
  <c r="BK40" i="7"/>
  <c r="BW41" i="7"/>
  <c r="BK57" i="7"/>
  <c r="BM59" i="7"/>
  <c r="BN59" i="7" s="1"/>
  <c r="BW59" i="7" s="1"/>
  <c r="G65" i="1"/>
  <c r="I65" i="1" s="1"/>
  <c r="BM68" i="7"/>
  <c r="BN68" i="7" s="1"/>
  <c r="I11" i="3"/>
  <c r="BM64" i="9"/>
  <c r="BN64" i="9" s="1"/>
  <c r="S61" i="1"/>
  <c r="U61" i="1" s="1"/>
  <c r="K29" i="3"/>
  <c r="J13" i="3"/>
  <c r="BM38" i="11"/>
  <c r="BN38" i="11" s="1"/>
  <c r="BS38" i="11" s="1"/>
  <c r="V35" i="1"/>
  <c r="X35" i="1" s="1"/>
  <c r="BM58" i="11"/>
  <c r="BN58" i="11" s="1"/>
  <c r="BS58" i="11" s="1"/>
  <c r="V55" i="1"/>
  <c r="X55" i="1" s="1"/>
  <c r="BK7" i="4"/>
  <c r="BW24" i="4"/>
  <c r="BM51" i="4"/>
  <c r="BN51" i="4" s="1"/>
  <c r="BW51" i="4" s="1"/>
  <c r="M48" i="1"/>
  <c r="O48" i="1" s="1"/>
  <c r="BF34" i="5"/>
  <c r="BK34" i="5"/>
  <c r="BW37" i="5"/>
  <c r="BM39" i="5"/>
  <c r="BN39" i="5" s="1"/>
  <c r="BW39" i="5" s="1"/>
  <c r="D36" i="1"/>
  <c r="F36" i="1" s="1"/>
  <c r="F32" i="3"/>
  <c r="BM60" i="7"/>
  <c r="BN60" i="7" s="1"/>
  <c r="BW60" i="7" s="1"/>
  <c r="G57" i="1"/>
  <c r="I57" i="1" s="1"/>
  <c r="BM70" i="7"/>
  <c r="BN70" i="7" s="1"/>
  <c r="G67" i="1"/>
  <c r="I67" i="1" s="1"/>
  <c r="I4" i="3"/>
  <c r="M7" i="1"/>
  <c r="O7" i="1" s="1"/>
  <c r="M25" i="1"/>
  <c r="O25" i="1" s="1"/>
  <c r="S28" i="1"/>
  <c r="F41" i="1"/>
  <c r="AF42" i="1"/>
  <c r="AF52" i="1"/>
  <c r="AF58" i="1"/>
  <c r="AF72" i="1"/>
  <c r="H33" i="3"/>
  <c r="D48" i="3"/>
  <c r="BM9" i="4"/>
  <c r="BN9" i="4" s="1"/>
  <c r="BW9" i="4" s="1"/>
  <c r="BW15" i="4"/>
  <c r="BM25" i="4"/>
  <c r="BN25" i="4" s="1"/>
  <c r="BW25" i="4" s="1"/>
  <c r="BM47" i="4"/>
  <c r="BN47" i="4" s="1"/>
  <c r="BW47" i="4" s="1"/>
  <c r="M44" i="1"/>
  <c r="O44" i="1" s="1"/>
  <c r="BM49" i="4"/>
  <c r="BN49" i="4" s="1"/>
  <c r="BW49" i="4" s="1"/>
  <c r="BW54" i="4"/>
  <c r="BM59" i="4"/>
  <c r="BN59" i="4" s="1"/>
  <c r="BW59" i="4" s="1"/>
  <c r="M56" i="1"/>
  <c r="O56" i="1" s="1"/>
  <c r="G58" i="3"/>
  <c r="BM71" i="4"/>
  <c r="BN71" i="4" s="1"/>
  <c r="BW71" i="4" s="1"/>
  <c r="M68" i="1"/>
  <c r="O68" i="1" s="1"/>
  <c r="D22" i="3"/>
  <c r="BW33" i="5"/>
  <c r="D29" i="3" s="1"/>
  <c r="BM37" i="5"/>
  <c r="BN37" i="5" s="1"/>
  <c r="D34" i="1"/>
  <c r="F34" i="1" s="1"/>
  <c r="BF50" i="5"/>
  <c r="BK50" i="5"/>
  <c r="BM55" i="5"/>
  <c r="BN55" i="5" s="1"/>
  <c r="BW55" i="5" s="1"/>
  <c r="D52" i="1"/>
  <c r="F52" i="1" s="1"/>
  <c r="BM61" i="5"/>
  <c r="BN61" i="5" s="1"/>
  <c r="BW61" i="5" s="1"/>
  <c r="D57" i="3" s="1"/>
  <c r="D58" i="1"/>
  <c r="F58" i="1" s="1"/>
  <c r="BM75" i="5"/>
  <c r="BN75" i="5" s="1"/>
  <c r="BW75" i="5" s="1"/>
  <c r="BW42" i="6"/>
  <c r="BW72" i="6"/>
  <c r="BW30" i="7"/>
  <c r="BM48" i="7"/>
  <c r="BN48" i="7" s="1"/>
  <c r="BW48" i="7" s="1"/>
  <c r="E63" i="3"/>
  <c r="BM51" i="10"/>
  <c r="BN51" i="10" s="1"/>
  <c r="BS51" i="10" s="1"/>
  <c r="Y48" i="1"/>
  <c r="AA48" i="1" s="1"/>
  <c r="Y18" i="1"/>
  <c r="Y20" i="1"/>
  <c r="S25" i="1"/>
  <c r="U25" i="1" s="1"/>
  <c r="G28" i="1"/>
  <c r="I28" i="1" s="1"/>
  <c r="R29" i="1"/>
  <c r="S30" i="1"/>
  <c r="U30" i="1" s="1"/>
  <c r="R33" i="1"/>
  <c r="L34" i="1"/>
  <c r="R35" i="1"/>
  <c r="AD35" i="1"/>
  <c r="L36" i="1"/>
  <c r="AF36" i="1"/>
  <c r="D39" i="1"/>
  <c r="F39" i="1" s="1"/>
  <c r="R39" i="1"/>
  <c r="L40" i="1"/>
  <c r="AF40" i="1"/>
  <c r="AD41" i="1"/>
  <c r="D43" i="1"/>
  <c r="F43" i="1" s="1"/>
  <c r="R43" i="1"/>
  <c r="L46" i="1"/>
  <c r="AF46" i="1"/>
  <c r="X48" i="1"/>
  <c r="AF48" i="1"/>
  <c r="AF50" i="1"/>
  <c r="L52" i="1"/>
  <c r="M53" i="1"/>
  <c r="O53" i="1" s="1"/>
  <c r="D55" i="1"/>
  <c r="F55" i="1" s="1"/>
  <c r="L60" i="1"/>
  <c r="F61" i="1"/>
  <c r="R63" i="1"/>
  <c r="X64" i="1"/>
  <c r="F65" i="1"/>
  <c r="R67" i="1"/>
  <c r="R69" i="1"/>
  <c r="L70" i="1"/>
  <c r="AF70" i="1"/>
  <c r="X72" i="1"/>
  <c r="R73" i="1"/>
  <c r="F34" i="3"/>
  <c r="F70" i="3"/>
  <c r="BW12" i="4"/>
  <c r="BK16" i="4"/>
  <c r="BW28" i="4"/>
  <c r="BK32" i="4"/>
  <c r="BK39" i="4"/>
  <c r="BW46" i="4"/>
  <c r="BK55" i="4"/>
  <c r="BK63" i="4"/>
  <c r="BK75" i="4"/>
  <c r="BF18" i="5"/>
  <c r="BK18" i="5"/>
  <c r="BW21" i="5"/>
  <c r="BK30" i="5"/>
  <c r="BM33" i="5"/>
  <c r="BN33" i="5" s="1"/>
  <c r="D30" i="1"/>
  <c r="F30" i="1" s="1"/>
  <c r="BW58" i="5"/>
  <c r="BK69" i="5"/>
  <c r="BF16" i="7"/>
  <c r="BK16" i="7"/>
  <c r="BK22" i="7"/>
  <c r="BK38" i="7"/>
  <c r="E48" i="3"/>
  <c r="BF56" i="7"/>
  <c r="BK56" i="7"/>
  <c r="BW61" i="7"/>
  <c r="BF73" i="7"/>
  <c r="BK73" i="7"/>
  <c r="BF74" i="7"/>
  <c r="BK74" i="7"/>
  <c r="BM76" i="7"/>
  <c r="BN76" i="7" s="1"/>
  <c r="BW76" i="7" s="1"/>
  <c r="G73" i="1"/>
  <c r="I73" i="1" s="1"/>
  <c r="H51" i="3"/>
  <c r="I8" i="3"/>
  <c r="BW28" i="9"/>
  <c r="BW31" i="9"/>
  <c r="BM47" i="9"/>
  <c r="BN47" i="9" s="1"/>
  <c r="BW47" i="9" s="1"/>
  <c r="T44" i="1"/>
  <c r="AF44" i="1" s="1"/>
  <c r="BF29" i="10"/>
  <c r="BK29" i="10"/>
  <c r="K61" i="3"/>
  <c r="J12" i="3"/>
  <c r="J28" i="3"/>
  <c r="BM54" i="11"/>
  <c r="BN54" i="11" s="1"/>
  <c r="BS54" i="11" s="1"/>
  <c r="V51" i="1"/>
  <c r="X51" i="1" s="1"/>
  <c r="BK64" i="4"/>
  <c r="BK76" i="4"/>
  <c r="BW13" i="5"/>
  <c r="BK22" i="5"/>
  <c r="BW29" i="5"/>
  <c r="BK38" i="5"/>
  <c r="BW45" i="5"/>
  <c r="BK54" i="5"/>
  <c r="BK70" i="5"/>
  <c r="BW9" i="6"/>
  <c r="BW13" i="6"/>
  <c r="BW17" i="6"/>
  <c r="BW21" i="6"/>
  <c r="BW25" i="6"/>
  <c r="BW29" i="6"/>
  <c r="BW33" i="6"/>
  <c r="BW37" i="6"/>
  <c r="BW41" i="6"/>
  <c r="BW45" i="6"/>
  <c r="BW71" i="6"/>
  <c r="BW14" i="7"/>
  <c r="BK19" i="7"/>
  <c r="BK32" i="7"/>
  <c r="BW33" i="7"/>
  <c r="BF39" i="7"/>
  <c r="BK39" i="7"/>
  <c r="BW45" i="7"/>
  <c r="BF58" i="7"/>
  <c r="BK58" i="7"/>
  <c r="BW66" i="7"/>
  <c r="BW70" i="7"/>
  <c r="BK72" i="7"/>
  <c r="BW18" i="9"/>
  <c r="BF37" i="10"/>
  <c r="BK37" i="10"/>
  <c r="BF16" i="12"/>
  <c r="BK16" i="12"/>
  <c r="BW67" i="4"/>
  <c r="BW9" i="5"/>
  <c r="BW41" i="5"/>
  <c r="BW46" i="5"/>
  <c r="BW62" i="5"/>
  <c r="BW17" i="7"/>
  <c r="BW23" i="7"/>
  <c r="BF36" i="7"/>
  <c r="BK36" i="7"/>
  <c r="BF42" i="7"/>
  <c r="BK42" i="7"/>
  <c r="BW54" i="7"/>
  <c r="BW68" i="7"/>
  <c r="BW10" i="9"/>
  <c r="BM40" i="9"/>
  <c r="BN40" i="9" s="1"/>
  <c r="BW40" i="9" s="1"/>
  <c r="BM72" i="9"/>
  <c r="BN72" i="9" s="1"/>
  <c r="BW72" i="9" s="1"/>
  <c r="BF35" i="10"/>
  <c r="BK35" i="10"/>
  <c r="BF63" i="10"/>
  <c r="BK63" i="10"/>
  <c r="BF8" i="12"/>
  <c r="BK8" i="12"/>
  <c r="BK69" i="4"/>
  <c r="BW60" i="6"/>
  <c r="BW76" i="6"/>
  <c r="BK8" i="7"/>
  <c r="BW15" i="7"/>
  <c r="BK24" i="7"/>
  <c r="BW31" i="7"/>
  <c r="BK46" i="7"/>
  <c r="BW53" i="7"/>
  <c r="BK62" i="7"/>
  <c r="BW69" i="7"/>
  <c r="BW8" i="8"/>
  <c r="H4" i="3" s="1"/>
  <c r="BW10" i="8"/>
  <c r="BW12" i="8"/>
  <c r="BW14" i="8"/>
  <c r="BW16" i="8"/>
  <c r="BW18" i="8"/>
  <c r="BW20" i="8"/>
  <c r="BW22" i="8"/>
  <c r="BW24" i="8"/>
  <c r="BW26" i="8"/>
  <c r="BW28" i="8"/>
  <c r="BW30" i="8"/>
  <c r="BW32" i="8"/>
  <c r="BW34" i="8"/>
  <c r="BW36" i="8"/>
  <c r="H32" i="3" s="1"/>
  <c r="BW38" i="8"/>
  <c r="BW40" i="8"/>
  <c r="BW42" i="8"/>
  <c r="BW44" i="8"/>
  <c r="BW46" i="8"/>
  <c r="BW48" i="8"/>
  <c r="BW50" i="8"/>
  <c r="BW52" i="8"/>
  <c r="BW54" i="8"/>
  <c r="BW56" i="8"/>
  <c r="BW58" i="8"/>
  <c r="BW60" i="8"/>
  <c r="BW62" i="8"/>
  <c r="BW64" i="8"/>
  <c r="BW66" i="8"/>
  <c r="BW68" i="8"/>
  <c r="BW70" i="8"/>
  <c r="BW72" i="8"/>
  <c r="BW74" i="8"/>
  <c r="BW76" i="8"/>
  <c r="BM9" i="9"/>
  <c r="BN9" i="9" s="1"/>
  <c r="BW9" i="9" s="1"/>
  <c r="BW14" i="9"/>
  <c r="BM17" i="9"/>
  <c r="BN17" i="9" s="1"/>
  <c r="BW17" i="9" s="1"/>
  <c r="BW22" i="9"/>
  <c r="BM27" i="9"/>
  <c r="BN27" i="9" s="1"/>
  <c r="BW27" i="9" s="1"/>
  <c r="BW30" i="9"/>
  <c r="BW32" i="9"/>
  <c r="BW35" i="9"/>
  <c r="BW52" i="9"/>
  <c r="BM56" i="9"/>
  <c r="BN56" i="9" s="1"/>
  <c r="BW65" i="9"/>
  <c r="BW67" i="9"/>
  <c r="BK13" i="10"/>
  <c r="BF19" i="10"/>
  <c r="BK19" i="10"/>
  <c r="BK75" i="10"/>
  <c r="BS76" i="10"/>
  <c r="BK13" i="11"/>
  <c r="BK29" i="11"/>
  <c r="BK42" i="11"/>
  <c r="BK74" i="11"/>
  <c r="BF32" i="12"/>
  <c r="BK32" i="12"/>
  <c r="BW48" i="6"/>
  <c r="BW64" i="6"/>
  <c r="BW11" i="7"/>
  <c r="BW27" i="7"/>
  <c r="BW49" i="7"/>
  <c r="BW65" i="7"/>
  <c r="BW13" i="9"/>
  <c r="BW21" i="9"/>
  <c r="BW33" i="9"/>
  <c r="BW34" i="9"/>
  <c r="BM48" i="9"/>
  <c r="BN48" i="9" s="1"/>
  <c r="BW59" i="9"/>
  <c r="BF11" i="10"/>
  <c r="BK11" i="10"/>
  <c r="BF73" i="10"/>
  <c r="BK73" i="10"/>
  <c r="BF24" i="12"/>
  <c r="BK24" i="12"/>
  <c r="BF37" i="12"/>
  <c r="BK37" i="12"/>
  <c r="BF39" i="12"/>
  <c r="BK39" i="12"/>
  <c r="BS21" i="10"/>
  <c r="BK25" i="11"/>
  <c r="BK46" i="11"/>
  <c r="BK62" i="11"/>
  <c r="BM24" i="9"/>
  <c r="BN24" i="9" s="1"/>
  <c r="BW24" i="9"/>
  <c r="BW37" i="9"/>
  <c r="BW45" i="9"/>
  <c r="BW48" i="9"/>
  <c r="BW53" i="9"/>
  <c r="BW56" i="9"/>
  <c r="BW61" i="9"/>
  <c r="I57" i="3" s="1"/>
  <c r="BW64" i="9"/>
  <c r="BW69" i="9"/>
  <c r="BW76" i="9"/>
  <c r="BS7" i="10"/>
  <c r="BS15" i="10"/>
  <c r="BS23" i="10"/>
  <c r="BS31" i="10"/>
  <c r="BS39" i="10"/>
  <c r="BF14" i="12"/>
  <c r="BK14" i="12"/>
  <c r="BF22" i="12"/>
  <c r="BK22" i="12"/>
  <c r="BF30" i="12"/>
  <c r="BK30" i="12"/>
  <c r="BM75" i="9"/>
  <c r="BN75" i="9" s="1"/>
  <c r="BW75" i="9"/>
  <c r="BK8" i="10"/>
  <c r="BK10" i="10"/>
  <c r="BK12" i="10"/>
  <c r="BK14" i="10"/>
  <c r="BK16" i="10"/>
  <c r="BK18" i="10"/>
  <c r="BK20" i="10"/>
  <c r="BK22" i="10"/>
  <c r="BK24" i="10"/>
  <c r="BK26" i="10"/>
  <c r="BK28" i="10"/>
  <c r="BK30" i="10"/>
  <c r="BK32" i="10"/>
  <c r="BK34" i="10"/>
  <c r="BK36" i="10"/>
  <c r="BK38" i="10"/>
  <c r="BK62" i="10"/>
  <c r="BK66" i="10"/>
  <c r="BK70" i="10"/>
  <c r="BK33" i="11"/>
  <c r="BK37" i="11"/>
  <c r="BK41" i="11"/>
  <c r="BK45" i="11"/>
  <c r="BK49" i="11"/>
  <c r="BK53" i="11"/>
  <c r="BK57" i="11"/>
  <c r="BK61" i="11"/>
  <c r="BK65" i="11"/>
  <c r="BK69" i="11"/>
  <c r="BK73" i="11"/>
  <c r="BS7" i="12"/>
  <c r="BF10" i="12"/>
  <c r="BK10" i="12"/>
  <c r="BS15" i="12"/>
  <c r="BF18" i="12"/>
  <c r="BK18" i="12"/>
  <c r="BS23" i="12"/>
  <c r="BF26" i="12"/>
  <c r="BK26" i="12"/>
  <c r="BS31" i="12"/>
  <c r="BF34" i="12"/>
  <c r="BK34" i="12"/>
  <c r="BS38" i="12"/>
  <c r="BS40" i="12"/>
  <c r="BS7" i="11"/>
  <c r="BS11" i="11"/>
  <c r="BS15" i="11"/>
  <c r="BS19" i="11"/>
  <c r="BS23" i="11"/>
  <c r="BS27" i="11"/>
  <c r="BS31" i="11"/>
  <c r="BS9" i="12"/>
  <c r="BF12" i="12"/>
  <c r="BK12" i="12"/>
  <c r="BS17" i="12"/>
  <c r="BF20" i="12"/>
  <c r="BK20" i="12"/>
  <c r="BS25" i="12"/>
  <c r="BF28" i="12"/>
  <c r="BK28" i="12"/>
  <c r="BS33" i="12"/>
  <c r="BS35" i="12"/>
  <c r="BK36" i="11"/>
  <c r="BK40" i="11"/>
  <c r="BK44" i="11"/>
  <c r="BK48" i="11"/>
  <c r="BK52" i="11"/>
  <c r="BK56" i="11"/>
  <c r="BK60" i="11"/>
  <c r="BK64" i="11"/>
  <c r="BK68" i="11"/>
  <c r="BK72" i="11"/>
  <c r="BK76" i="11"/>
  <c r="BS36" i="12"/>
  <c r="BS44" i="12"/>
  <c r="BS42" i="12"/>
  <c r="BS45" i="12"/>
  <c r="BK46" i="12"/>
  <c r="BK47" i="12"/>
  <c r="BK48" i="12"/>
  <c r="BK49" i="12"/>
  <c r="BK50" i="12"/>
  <c r="BK51" i="12"/>
  <c r="BK52" i="12"/>
  <c r="BK53" i="12"/>
  <c r="BK54" i="12"/>
  <c r="BK55" i="12"/>
  <c r="BK56" i="12"/>
  <c r="BK57" i="12"/>
  <c r="BK58" i="12"/>
  <c r="BK59" i="12"/>
  <c r="BK60" i="12"/>
  <c r="BK61" i="12"/>
  <c r="BK62" i="12"/>
  <c r="BK63" i="12"/>
  <c r="BK64" i="12"/>
  <c r="BK65" i="12"/>
  <c r="BK66" i="12"/>
  <c r="BK67" i="12"/>
  <c r="BK68" i="12"/>
  <c r="BK69" i="12"/>
  <c r="BK70" i="12"/>
  <c r="BK71" i="12"/>
  <c r="BK72" i="12"/>
  <c r="BK73" i="12"/>
  <c r="BK74" i="12"/>
  <c r="BK75" i="12"/>
  <c r="BK76" i="12"/>
  <c r="I5" i="3" l="1"/>
  <c r="D69" i="3"/>
  <c r="G34" i="3"/>
  <c r="I68" i="3"/>
  <c r="E72" i="3"/>
  <c r="D21" i="3"/>
  <c r="G7" i="3"/>
  <c r="G27" i="3"/>
  <c r="I13" i="3"/>
  <c r="I36" i="3"/>
  <c r="G47" i="3"/>
  <c r="D61" i="3"/>
  <c r="I23" i="3"/>
  <c r="G67" i="3"/>
  <c r="G55" i="3"/>
  <c r="G43" i="3"/>
  <c r="E46" i="3"/>
  <c r="G38" i="3"/>
  <c r="BM71" i="12"/>
  <c r="BN71" i="12" s="1"/>
  <c r="BS71" i="12" s="1"/>
  <c r="AB68" i="1"/>
  <c r="BM63" i="12"/>
  <c r="BN63" i="12" s="1"/>
  <c r="BS63" i="12" s="1"/>
  <c r="AB60" i="1"/>
  <c r="BM55" i="12"/>
  <c r="BN55" i="12" s="1"/>
  <c r="BS55" i="12" s="1"/>
  <c r="AB52" i="1"/>
  <c r="BM47" i="12"/>
  <c r="BN47" i="12" s="1"/>
  <c r="BS47" i="12" s="1"/>
  <c r="AB44" i="1"/>
  <c r="BM64" i="11"/>
  <c r="BN64" i="11" s="1"/>
  <c r="BS64" i="11" s="1"/>
  <c r="V61" i="1"/>
  <c r="X61" i="1" s="1"/>
  <c r="L31" i="3"/>
  <c r="BM12" i="12"/>
  <c r="BN12" i="12" s="1"/>
  <c r="BS12" i="12" s="1"/>
  <c r="AB9" i="1"/>
  <c r="J7" i="3"/>
  <c r="L27" i="3"/>
  <c r="BM65" i="11"/>
  <c r="BN65" i="11" s="1"/>
  <c r="BS65" i="11" s="1"/>
  <c r="V62" i="1"/>
  <c r="X62" i="1" s="1"/>
  <c r="BM33" i="11"/>
  <c r="BN33" i="11" s="1"/>
  <c r="BS33" i="11" s="1"/>
  <c r="V30" i="1"/>
  <c r="K11" i="3"/>
  <c r="I65" i="3"/>
  <c r="I33" i="3"/>
  <c r="BM46" i="11"/>
  <c r="BN46" i="11" s="1"/>
  <c r="BS46" i="11" s="1"/>
  <c r="V43" i="1"/>
  <c r="X43" i="1" s="1"/>
  <c r="BM39" i="12"/>
  <c r="BN39" i="12" s="1"/>
  <c r="BS39" i="12" s="1"/>
  <c r="AB36" i="1"/>
  <c r="I17" i="3"/>
  <c r="BM42" i="11"/>
  <c r="BN42" i="11" s="1"/>
  <c r="BS42" i="11" s="1"/>
  <c r="V39" i="1"/>
  <c r="BM13" i="10"/>
  <c r="BN13" i="10" s="1"/>
  <c r="BS13" i="10" s="1"/>
  <c r="Y10" i="1"/>
  <c r="I48" i="3"/>
  <c r="H58" i="3"/>
  <c r="H42" i="3"/>
  <c r="H18" i="3"/>
  <c r="F72" i="3"/>
  <c r="BM63" i="10"/>
  <c r="BN63" i="10" s="1"/>
  <c r="BS63" i="10" s="1"/>
  <c r="Y60" i="1"/>
  <c r="AA60" i="1" s="1"/>
  <c r="BM42" i="7"/>
  <c r="BN42" i="7" s="1"/>
  <c r="BW42" i="7" s="1"/>
  <c r="G39" i="1"/>
  <c r="I39" i="1" s="1"/>
  <c r="BM36" i="7"/>
  <c r="BN36" i="7" s="1"/>
  <c r="BW36" i="7" s="1"/>
  <c r="E32" i="3" s="1"/>
  <c r="G33" i="1"/>
  <c r="I33" i="1" s="1"/>
  <c r="E13" i="3"/>
  <c r="E66" i="3"/>
  <c r="E29" i="3"/>
  <c r="F29" i="3"/>
  <c r="D41" i="3"/>
  <c r="BM64" i="4"/>
  <c r="BN64" i="4" s="1"/>
  <c r="BW64" i="4" s="1"/>
  <c r="M61" i="1"/>
  <c r="O61" i="1" s="1"/>
  <c r="G71" i="1"/>
  <c r="I71" i="1" s="1"/>
  <c r="BM74" i="7"/>
  <c r="BN74" i="7" s="1"/>
  <c r="BW74" i="7" s="1"/>
  <c r="BM16" i="7"/>
  <c r="BN16" i="7" s="1"/>
  <c r="BW16" i="7" s="1"/>
  <c r="G13" i="1"/>
  <c r="I13" i="1" s="1"/>
  <c r="BM75" i="4"/>
  <c r="BN75" i="4" s="1"/>
  <c r="BW75" i="4" s="1"/>
  <c r="M72" i="1"/>
  <c r="O72" i="1" s="1"/>
  <c r="BM55" i="4"/>
  <c r="BN55" i="4" s="1"/>
  <c r="BW55" i="4" s="1"/>
  <c r="M52" i="1"/>
  <c r="O52" i="1" s="1"/>
  <c r="BM32" i="4"/>
  <c r="BN32" i="4" s="1"/>
  <c r="BW32" i="4" s="1"/>
  <c r="G28" i="3" s="1"/>
  <c r="M29" i="1"/>
  <c r="O29" i="1" s="1"/>
  <c r="F68" i="3"/>
  <c r="G5" i="3"/>
  <c r="D33" i="3"/>
  <c r="BM7" i="4"/>
  <c r="BN7" i="4" s="1"/>
  <c r="BW7" i="4" s="1"/>
  <c r="M4" i="1"/>
  <c r="J34" i="3"/>
  <c r="BM34" i="7"/>
  <c r="BN34" i="7" s="1"/>
  <c r="BW34" i="7" s="1"/>
  <c r="G31" i="1"/>
  <c r="I31" i="1" s="1"/>
  <c r="G61" i="3"/>
  <c r="G52" i="3"/>
  <c r="G18" i="3"/>
  <c r="BM70" i="12"/>
  <c r="BN70" i="12" s="1"/>
  <c r="BS70" i="12" s="1"/>
  <c r="AB67" i="1"/>
  <c r="BM62" i="12"/>
  <c r="BN62" i="12" s="1"/>
  <c r="BS62" i="12" s="1"/>
  <c r="AB59" i="1"/>
  <c r="BM54" i="12"/>
  <c r="BN54" i="12" s="1"/>
  <c r="BS54" i="12" s="1"/>
  <c r="AB51" i="1"/>
  <c r="BM46" i="12"/>
  <c r="BN46" i="12" s="1"/>
  <c r="BS46" i="12" s="1"/>
  <c r="AB43" i="1"/>
  <c r="BM76" i="11"/>
  <c r="BN76" i="11" s="1"/>
  <c r="BS76" i="11" s="1"/>
  <c r="V73" i="1"/>
  <c r="X73" i="1" s="1"/>
  <c r="BM44" i="11"/>
  <c r="BN44" i="11" s="1"/>
  <c r="BS44" i="11" s="1"/>
  <c r="V41" i="1"/>
  <c r="BM20" i="12"/>
  <c r="BN20" i="12" s="1"/>
  <c r="BS20" i="12" s="1"/>
  <c r="AB17" i="1"/>
  <c r="J19" i="3"/>
  <c r="BM61" i="11"/>
  <c r="BN61" i="11" s="1"/>
  <c r="BS61" i="11" s="1"/>
  <c r="V58" i="1"/>
  <c r="X58" i="1" s="1"/>
  <c r="BM70" i="10"/>
  <c r="BN70" i="10" s="1"/>
  <c r="BS70" i="10" s="1"/>
  <c r="Y67" i="1"/>
  <c r="AA67" i="1" s="1"/>
  <c r="BM34" i="10"/>
  <c r="BN34" i="10" s="1"/>
  <c r="BS34" i="10" s="1"/>
  <c r="Y31" i="1"/>
  <c r="AA31" i="1" s="1"/>
  <c r="BM30" i="10"/>
  <c r="BN30" i="10" s="1"/>
  <c r="BS30" i="10" s="1"/>
  <c r="Y27" i="1"/>
  <c r="AA27" i="1" s="1"/>
  <c r="BM22" i="10"/>
  <c r="BN22" i="10" s="1"/>
  <c r="BS22" i="10" s="1"/>
  <c r="Y19" i="1"/>
  <c r="AA19" i="1" s="1"/>
  <c r="BM18" i="10"/>
  <c r="BN18" i="10" s="1"/>
  <c r="BS18" i="10" s="1"/>
  <c r="Y15" i="1"/>
  <c r="AA15" i="1" s="1"/>
  <c r="BM10" i="10"/>
  <c r="BN10" i="10" s="1"/>
  <c r="BS10" i="10" s="1"/>
  <c r="Y7" i="1"/>
  <c r="AA7" i="1" s="1"/>
  <c r="BM22" i="12"/>
  <c r="BN22" i="12" s="1"/>
  <c r="BS22" i="12" s="1"/>
  <c r="AB19" i="1"/>
  <c r="K3" i="3"/>
  <c r="I60" i="3"/>
  <c r="I20" i="3"/>
  <c r="I9" i="3"/>
  <c r="I31" i="3"/>
  <c r="H72" i="3"/>
  <c r="H56" i="3"/>
  <c r="H8" i="3"/>
  <c r="F56" i="3"/>
  <c r="D5" i="3"/>
  <c r="I14" i="3"/>
  <c r="E62" i="3"/>
  <c r="BM32" i="7"/>
  <c r="BN32" i="7" s="1"/>
  <c r="BW32" i="7" s="1"/>
  <c r="G29" i="1"/>
  <c r="I29" i="1" s="1"/>
  <c r="F25" i="3"/>
  <c r="J50" i="3"/>
  <c r="BM38" i="7"/>
  <c r="BN38" i="7" s="1"/>
  <c r="BW38" i="7" s="1"/>
  <c r="G35" i="1"/>
  <c r="I35" i="1" s="1"/>
  <c r="D17" i="3"/>
  <c r="K47" i="3"/>
  <c r="G50" i="3"/>
  <c r="BM34" i="5"/>
  <c r="BN34" i="5" s="1"/>
  <c r="BW34" i="5" s="1"/>
  <c r="D30" i="3" s="1"/>
  <c r="D31" i="1"/>
  <c r="F31" i="1" s="1"/>
  <c r="E37" i="3"/>
  <c r="BM72" i="4"/>
  <c r="BN72" i="4" s="1"/>
  <c r="BW72" i="4" s="1"/>
  <c r="M69" i="1"/>
  <c r="O69" i="1" s="1"/>
  <c r="G23" i="3"/>
  <c r="BM27" i="10"/>
  <c r="BN27" i="10" s="1"/>
  <c r="BS27" i="10" s="1"/>
  <c r="Y24" i="1"/>
  <c r="AG12" i="1"/>
  <c r="BM73" i="12"/>
  <c r="BN73" i="12" s="1"/>
  <c r="BS73" i="12" s="1"/>
  <c r="AB70" i="1"/>
  <c r="BM61" i="12"/>
  <c r="BN61" i="12" s="1"/>
  <c r="BS61" i="12" s="1"/>
  <c r="AB58" i="1"/>
  <c r="BM53" i="12"/>
  <c r="BN53" i="12" s="1"/>
  <c r="BS53" i="12" s="1"/>
  <c r="AB50" i="1"/>
  <c r="BM72" i="11"/>
  <c r="BN72" i="11" s="1"/>
  <c r="BS72" i="11" s="1"/>
  <c r="V69" i="1"/>
  <c r="X69" i="1" s="1"/>
  <c r="BM40" i="11"/>
  <c r="BN40" i="11" s="1"/>
  <c r="BS40" i="11" s="1"/>
  <c r="V37" i="1"/>
  <c r="BM57" i="11"/>
  <c r="BN57" i="11" s="1"/>
  <c r="BS57" i="11" s="1"/>
  <c r="V54" i="1"/>
  <c r="X54" i="1" s="1"/>
  <c r="BM19" i="7"/>
  <c r="BN19" i="7" s="1"/>
  <c r="BW19" i="7" s="1"/>
  <c r="G16" i="1"/>
  <c r="I16" i="1" s="1"/>
  <c r="F21" i="3"/>
  <c r="BM54" i="5"/>
  <c r="BN54" i="5" s="1"/>
  <c r="BW54" i="5" s="1"/>
  <c r="D51" i="1"/>
  <c r="F51" i="1" s="1"/>
  <c r="D9" i="3"/>
  <c r="BM29" i="10"/>
  <c r="BN29" i="10" s="1"/>
  <c r="BS29" i="10" s="1"/>
  <c r="Y26" i="1"/>
  <c r="BM73" i="7"/>
  <c r="BN73" i="7" s="1"/>
  <c r="BW73" i="7" s="1"/>
  <c r="G70" i="1"/>
  <c r="I70" i="1" s="1"/>
  <c r="BM22" i="7"/>
  <c r="BN22" i="7" s="1"/>
  <c r="BW22" i="7" s="1"/>
  <c r="G19" i="1"/>
  <c r="I19" i="1" s="1"/>
  <c r="BM69" i="5"/>
  <c r="BN69" i="5" s="1"/>
  <c r="BW69" i="5" s="1"/>
  <c r="D65" i="3" s="1"/>
  <c r="D66" i="1"/>
  <c r="F66" i="1" s="1"/>
  <c r="BM18" i="5"/>
  <c r="BN18" i="5" s="1"/>
  <c r="BW18" i="5" s="1"/>
  <c r="D14" i="3" s="1"/>
  <c r="D15" i="1"/>
  <c r="F15" i="1" s="1"/>
  <c r="BM63" i="4"/>
  <c r="BN63" i="4" s="1"/>
  <c r="BW63" i="4" s="1"/>
  <c r="G59" i="3" s="1"/>
  <c r="M60" i="1"/>
  <c r="O60" i="1" s="1"/>
  <c r="G42" i="3"/>
  <c r="E44" i="3"/>
  <c r="D51" i="3"/>
  <c r="G45" i="3"/>
  <c r="D35" i="3"/>
  <c r="BM40" i="7"/>
  <c r="BN40" i="7" s="1"/>
  <c r="BW40" i="7" s="1"/>
  <c r="G37" i="1"/>
  <c r="I37" i="1" s="1"/>
  <c r="F42" i="3"/>
  <c r="BM66" i="5"/>
  <c r="BN66" i="5" s="1"/>
  <c r="BW66" i="5" s="1"/>
  <c r="D63" i="1"/>
  <c r="F63" i="1" s="1"/>
  <c r="D38" i="3"/>
  <c r="G33" i="3"/>
  <c r="G17" i="3"/>
  <c r="F69" i="3"/>
  <c r="F6" i="3"/>
  <c r="BM23" i="4"/>
  <c r="BN23" i="4" s="1"/>
  <c r="BW23" i="4" s="1"/>
  <c r="M20" i="1"/>
  <c r="O20" i="1" s="1"/>
  <c r="AE6" i="1"/>
  <c r="AG6" i="1" s="1"/>
  <c r="U44" i="1"/>
  <c r="BM75" i="12"/>
  <c r="BN75" i="12" s="1"/>
  <c r="BS75" i="12" s="1"/>
  <c r="AB72" i="1"/>
  <c r="BM67" i="12"/>
  <c r="BN67" i="12" s="1"/>
  <c r="BS67" i="12" s="1"/>
  <c r="AB64" i="1"/>
  <c r="BM59" i="12"/>
  <c r="BN59" i="12" s="1"/>
  <c r="BS59" i="12" s="1"/>
  <c r="AB56" i="1"/>
  <c r="BM51" i="12"/>
  <c r="BN51" i="12" s="1"/>
  <c r="BS51" i="12" s="1"/>
  <c r="AB48" i="1"/>
  <c r="L32" i="3"/>
  <c r="BM48" i="11"/>
  <c r="BN48" i="11" s="1"/>
  <c r="BS48" i="11" s="1"/>
  <c r="V45" i="1"/>
  <c r="X45" i="1" s="1"/>
  <c r="L21" i="3"/>
  <c r="J23" i="3"/>
  <c r="L36" i="3"/>
  <c r="BM18" i="12"/>
  <c r="BN18" i="12" s="1"/>
  <c r="BS18" i="12" s="1"/>
  <c r="AB15" i="1"/>
  <c r="BM49" i="11"/>
  <c r="BN49" i="11" s="1"/>
  <c r="BS49" i="11" s="1"/>
  <c r="V46" i="1"/>
  <c r="X46" i="1" s="1"/>
  <c r="I71" i="3"/>
  <c r="I49" i="3"/>
  <c r="BM24" i="12"/>
  <c r="BN24" i="12" s="1"/>
  <c r="BS24" i="12" s="1"/>
  <c r="AB21" i="1"/>
  <c r="I55" i="3"/>
  <c r="E23" i="3"/>
  <c r="BM74" i="11"/>
  <c r="BN74" i="11" s="1"/>
  <c r="BS74" i="11" s="1"/>
  <c r="V71" i="1"/>
  <c r="X71" i="1" s="1"/>
  <c r="BM75" i="10"/>
  <c r="BN75" i="10" s="1"/>
  <c r="BS75" i="10" s="1"/>
  <c r="Y72" i="1"/>
  <c r="AA72" i="1" s="1"/>
  <c r="H66" i="3"/>
  <c r="H50" i="3"/>
  <c r="H34" i="3"/>
  <c r="H26" i="3"/>
  <c r="H10" i="3"/>
  <c r="E65" i="3"/>
  <c r="E27" i="3"/>
  <c r="E64" i="3"/>
  <c r="D42" i="3"/>
  <c r="BM16" i="12"/>
  <c r="BN16" i="12" s="1"/>
  <c r="BS16" i="12" s="1"/>
  <c r="AB13" i="1"/>
  <c r="F67" i="3"/>
  <c r="F13" i="3"/>
  <c r="BM22" i="5"/>
  <c r="BN22" i="5" s="1"/>
  <c r="BW22" i="5" s="1"/>
  <c r="D19" i="1"/>
  <c r="F19" i="1" s="1"/>
  <c r="E57" i="3"/>
  <c r="D54" i="3"/>
  <c r="G8" i="3"/>
  <c r="BM50" i="5"/>
  <c r="BN50" i="5" s="1"/>
  <c r="BW50" i="5" s="1"/>
  <c r="D47" i="1"/>
  <c r="F47" i="1" s="1"/>
  <c r="E56" i="3"/>
  <c r="BM57" i="7"/>
  <c r="BN57" i="7" s="1"/>
  <c r="BW57" i="7" s="1"/>
  <c r="G54" i="1"/>
  <c r="I54" i="1" s="1"/>
  <c r="BM53" i="5"/>
  <c r="BN53" i="5" s="1"/>
  <c r="BW53" i="5" s="1"/>
  <c r="D50" i="1"/>
  <c r="F50" i="1" s="1"/>
  <c r="BM60" i="4"/>
  <c r="BN60" i="4" s="1"/>
  <c r="BW60" i="4" s="1"/>
  <c r="M57" i="1"/>
  <c r="O57" i="1" s="1"/>
  <c r="G17" i="1"/>
  <c r="I17" i="1" s="1"/>
  <c r="BM20" i="7"/>
  <c r="BN20" i="7" s="1"/>
  <c r="BW20" i="7" s="1"/>
  <c r="BM19" i="4"/>
  <c r="BN19" i="4" s="1"/>
  <c r="BW19" i="4" s="1"/>
  <c r="M16" i="1"/>
  <c r="O16" i="1" s="1"/>
  <c r="G4" i="3"/>
  <c r="E40" i="3"/>
  <c r="BM74" i="12"/>
  <c r="BN74" i="12" s="1"/>
  <c r="BS74" i="12" s="1"/>
  <c r="AB71" i="1"/>
  <c r="BM66" i="12"/>
  <c r="BN66" i="12" s="1"/>
  <c r="BS66" i="12" s="1"/>
  <c r="AB63" i="1"/>
  <c r="BM58" i="12"/>
  <c r="BN58" i="12" s="1"/>
  <c r="BS58" i="12" s="1"/>
  <c r="AB55" i="1"/>
  <c r="BM50" i="12"/>
  <c r="BN50" i="12" s="1"/>
  <c r="BS50" i="12" s="1"/>
  <c r="AB47" i="1"/>
  <c r="L41" i="3"/>
  <c r="BM60" i="11"/>
  <c r="BN60" i="11" s="1"/>
  <c r="BS60" i="11" s="1"/>
  <c r="V57" i="1"/>
  <c r="X57" i="1" s="1"/>
  <c r="L29" i="3"/>
  <c r="J3" i="3"/>
  <c r="L34" i="3"/>
  <c r="BM26" i="12"/>
  <c r="BN26" i="12" s="1"/>
  <c r="BS26" i="12" s="1"/>
  <c r="AB23" i="1"/>
  <c r="L3" i="3"/>
  <c r="BM45" i="11"/>
  <c r="BN45" i="11" s="1"/>
  <c r="BS45" i="11" s="1"/>
  <c r="V42" i="1"/>
  <c r="BM38" i="10"/>
  <c r="BN38" i="10" s="1"/>
  <c r="BS38" i="10" s="1"/>
  <c r="Y35" i="1"/>
  <c r="BM26" i="10"/>
  <c r="BN26" i="10" s="1"/>
  <c r="BS26" i="10" s="1"/>
  <c r="Y23" i="1"/>
  <c r="AA23" i="1" s="1"/>
  <c r="BM14" i="10"/>
  <c r="BN14" i="10" s="1"/>
  <c r="BS14" i="10" s="1"/>
  <c r="Y11" i="1"/>
  <c r="AA11" i="1" s="1"/>
  <c r="K35" i="3"/>
  <c r="I44" i="3"/>
  <c r="K17" i="3"/>
  <c r="E7" i="3"/>
  <c r="BM29" i="11"/>
  <c r="BN29" i="11" s="1"/>
  <c r="BS29" i="11" s="1"/>
  <c r="V26" i="1"/>
  <c r="X26" i="1" s="1"/>
  <c r="I63" i="3"/>
  <c r="I18" i="3"/>
  <c r="H64" i="3"/>
  <c r="H48" i="3"/>
  <c r="H40" i="3"/>
  <c r="H24" i="3"/>
  <c r="H16" i="3"/>
  <c r="G59" i="1"/>
  <c r="I59" i="1" s="1"/>
  <c r="BM62" i="7"/>
  <c r="BN62" i="7" s="1"/>
  <c r="BW62" i="7" s="1"/>
  <c r="BM24" i="7"/>
  <c r="BN24" i="7" s="1"/>
  <c r="BW24" i="7" s="1"/>
  <c r="G21" i="1"/>
  <c r="I21" i="1" s="1"/>
  <c r="D37" i="3"/>
  <c r="E41" i="3"/>
  <c r="F41" i="3"/>
  <c r="F9" i="3"/>
  <c r="BM38" i="5"/>
  <c r="BN38" i="5" s="1"/>
  <c r="BW38" i="5" s="1"/>
  <c r="D35" i="1"/>
  <c r="F35" i="1" s="1"/>
  <c r="I43" i="3"/>
  <c r="BM56" i="7"/>
  <c r="BN56" i="7" s="1"/>
  <c r="BW56" i="7" s="1"/>
  <c r="G53" i="1"/>
  <c r="I53" i="1" s="1"/>
  <c r="G24" i="3"/>
  <c r="F38" i="3"/>
  <c r="J54" i="3"/>
  <c r="D45" i="3"/>
  <c r="G46" i="3"/>
  <c r="M32" i="1"/>
  <c r="O32" i="1" s="1"/>
  <c r="BM35" i="4"/>
  <c r="BN35" i="4" s="1"/>
  <c r="BW35" i="4" s="1"/>
  <c r="G41" i="3"/>
  <c r="BM69" i="12"/>
  <c r="BN69" i="12" s="1"/>
  <c r="BS69" i="12" s="1"/>
  <c r="AB66" i="1"/>
  <c r="BM65" i="12"/>
  <c r="BN65" i="12" s="1"/>
  <c r="BS65" i="12" s="1"/>
  <c r="AB62" i="1"/>
  <c r="BM57" i="12"/>
  <c r="BN57" i="12" s="1"/>
  <c r="BS57" i="12" s="1"/>
  <c r="AB54" i="1"/>
  <c r="BM49" i="12"/>
  <c r="BN49" i="12" s="1"/>
  <c r="BS49" i="12" s="1"/>
  <c r="AB46" i="1"/>
  <c r="L38" i="3"/>
  <c r="L40" i="3"/>
  <c r="BM56" i="11"/>
  <c r="BN56" i="11" s="1"/>
  <c r="BS56" i="11" s="1"/>
  <c r="V53" i="1"/>
  <c r="X53" i="1" s="1"/>
  <c r="BM28" i="12"/>
  <c r="BN28" i="12" s="1"/>
  <c r="BS28" i="12" s="1"/>
  <c r="AB25" i="1"/>
  <c r="L5" i="3"/>
  <c r="J15" i="3"/>
  <c r="BM34" i="12"/>
  <c r="BN34" i="12" s="1"/>
  <c r="BS34" i="12" s="1"/>
  <c r="AB31" i="1"/>
  <c r="L11" i="3"/>
  <c r="BM73" i="11"/>
  <c r="BN73" i="11" s="1"/>
  <c r="BS73" i="11" s="1"/>
  <c r="V70" i="1"/>
  <c r="X70" i="1" s="1"/>
  <c r="BM41" i="11"/>
  <c r="BN41" i="11" s="1"/>
  <c r="BS41" i="11" s="1"/>
  <c r="V38" i="1"/>
  <c r="BM66" i="10"/>
  <c r="BN66" i="10" s="1"/>
  <c r="BS66" i="10" s="1"/>
  <c r="Y63" i="1"/>
  <c r="AA63" i="1" s="1"/>
  <c r="K27" i="3"/>
  <c r="I72" i="3"/>
  <c r="I41" i="3"/>
  <c r="BM62" i="11"/>
  <c r="BN62" i="11" s="1"/>
  <c r="BS62" i="11" s="1"/>
  <c r="V59" i="1"/>
  <c r="X59" i="1" s="1"/>
  <c r="BM25" i="11"/>
  <c r="BN25" i="11" s="1"/>
  <c r="BS25" i="11" s="1"/>
  <c r="V22" i="1"/>
  <c r="BM37" i="12"/>
  <c r="BN37" i="12" s="1"/>
  <c r="BS37" i="12" s="1"/>
  <c r="AB34" i="1"/>
  <c r="BM11" i="10"/>
  <c r="BN11" i="10" s="1"/>
  <c r="BS11" i="10" s="1"/>
  <c r="Y8" i="1"/>
  <c r="I30" i="3"/>
  <c r="E61" i="3"/>
  <c r="F60" i="3"/>
  <c r="BM32" i="12"/>
  <c r="BN32" i="12" s="1"/>
  <c r="BS32" i="12" s="1"/>
  <c r="AB29" i="1"/>
  <c r="BM13" i="11"/>
  <c r="BN13" i="11" s="1"/>
  <c r="BS13" i="11" s="1"/>
  <c r="V10" i="1"/>
  <c r="X10" i="1" s="1"/>
  <c r="BM19" i="10"/>
  <c r="BN19" i="10" s="1"/>
  <c r="BS19" i="10" s="1"/>
  <c r="Y16" i="1"/>
  <c r="I61" i="3"/>
  <c r="I28" i="3"/>
  <c r="H70" i="3"/>
  <c r="H62" i="3"/>
  <c r="H54" i="3"/>
  <c r="H46" i="3"/>
  <c r="H38" i="3"/>
  <c r="H30" i="3"/>
  <c r="H22" i="3"/>
  <c r="H14" i="3"/>
  <c r="H75" i="3" s="1"/>
  <c r="H6" i="3"/>
  <c r="E49" i="3"/>
  <c r="E11" i="3"/>
  <c r="M66" i="1"/>
  <c r="O66" i="1" s="1"/>
  <c r="BM69" i="4"/>
  <c r="BN69" i="4" s="1"/>
  <c r="BW69" i="4" s="1"/>
  <c r="E50" i="3"/>
  <c r="D58" i="3"/>
  <c r="BM37" i="10"/>
  <c r="BN37" i="10" s="1"/>
  <c r="BS37" i="10" s="1"/>
  <c r="Y34" i="1"/>
  <c r="AA34" i="1" s="1"/>
  <c r="G55" i="1"/>
  <c r="I55" i="1" s="1"/>
  <c r="BM58" i="7"/>
  <c r="BN58" i="7" s="1"/>
  <c r="BW58" i="7" s="1"/>
  <c r="BM39" i="7"/>
  <c r="BN39" i="7" s="1"/>
  <c r="BW39" i="7" s="1"/>
  <c r="G36" i="1"/>
  <c r="I36" i="1" s="1"/>
  <c r="F37" i="3"/>
  <c r="F5" i="3"/>
  <c r="I27" i="3"/>
  <c r="AA20" i="1"/>
  <c r="AE20" i="1"/>
  <c r="AG20" i="1" s="1"/>
  <c r="D71" i="3"/>
  <c r="G21" i="3"/>
  <c r="BM76" i="12"/>
  <c r="BN76" i="12" s="1"/>
  <c r="BS76" i="12" s="1"/>
  <c r="AB73" i="1"/>
  <c r="BM72" i="12"/>
  <c r="BN72" i="12" s="1"/>
  <c r="BS72" i="12" s="1"/>
  <c r="AB69" i="1"/>
  <c r="BM68" i="12"/>
  <c r="BN68" i="12" s="1"/>
  <c r="BS68" i="12" s="1"/>
  <c r="AB65" i="1"/>
  <c r="BM64" i="12"/>
  <c r="BN64" i="12" s="1"/>
  <c r="BS64" i="12" s="1"/>
  <c r="AB61" i="1"/>
  <c r="BM60" i="12"/>
  <c r="BN60" i="12" s="1"/>
  <c r="BS60" i="12" s="1"/>
  <c r="AB57" i="1"/>
  <c r="BM56" i="12"/>
  <c r="BN56" i="12" s="1"/>
  <c r="BS56" i="12" s="1"/>
  <c r="AB53" i="1"/>
  <c r="BM52" i="12"/>
  <c r="BN52" i="12" s="1"/>
  <c r="BS52" i="12" s="1"/>
  <c r="AB49" i="1"/>
  <c r="BM48" i="12"/>
  <c r="BN48" i="12" s="1"/>
  <c r="BS48" i="12" s="1"/>
  <c r="AB45" i="1"/>
  <c r="BM68" i="11"/>
  <c r="BN68" i="11" s="1"/>
  <c r="BS68" i="11" s="1"/>
  <c r="V65" i="1"/>
  <c r="X65" i="1" s="1"/>
  <c r="BM52" i="11"/>
  <c r="BN52" i="11" s="1"/>
  <c r="BS52" i="11" s="1"/>
  <c r="V49" i="1"/>
  <c r="X49" i="1" s="1"/>
  <c r="BM36" i="11"/>
  <c r="BN36" i="11" s="1"/>
  <c r="BS36" i="11" s="1"/>
  <c r="V33" i="1"/>
  <c r="X33" i="1" s="1"/>
  <c r="L13" i="3"/>
  <c r="J27" i="3"/>
  <c r="J11" i="3"/>
  <c r="L19" i="3"/>
  <c r="BM10" i="12"/>
  <c r="BN10" i="12" s="1"/>
  <c r="BS10" i="12" s="1"/>
  <c r="AB7" i="1"/>
  <c r="BM69" i="11"/>
  <c r="BN69" i="11" s="1"/>
  <c r="BS69" i="11" s="1"/>
  <c r="V66" i="1"/>
  <c r="X66" i="1" s="1"/>
  <c r="BM53" i="11"/>
  <c r="BN53" i="11" s="1"/>
  <c r="BS53" i="11" s="1"/>
  <c r="V50" i="1"/>
  <c r="X50" i="1" s="1"/>
  <c r="BM37" i="11"/>
  <c r="BN37" i="11" s="1"/>
  <c r="BS37" i="11" s="1"/>
  <c r="V34" i="1"/>
  <c r="X34" i="1" s="1"/>
  <c r="BM62" i="10"/>
  <c r="BN62" i="10" s="1"/>
  <c r="BS62" i="10" s="1"/>
  <c r="Y59" i="1"/>
  <c r="AA59" i="1" s="1"/>
  <c r="BM36" i="10"/>
  <c r="BN36" i="10" s="1"/>
  <c r="BS36" i="10" s="1"/>
  <c r="Y33" i="1"/>
  <c r="BM32" i="10"/>
  <c r="BN32" i="10" s="1"/>
  <c r="BS32" i="10" s="1"/>
  <c r="Y29" i="1"/>
  <c r="AA29" i="1" s="1"/>
  <c r="BM28" i="10"/>
  <c r="BN28" i="10" s="1"/>
  <c r="BS28" i="10" s="1"/>
  <c r="Y25" i="1"/>
  <c r="AA25" i="1" s="1"/>
  <c r="BM24" i="10"/>
  <c r="BN24" i="10" s="1"/>
  <c r="BS24" i="10" s="1"/>
  <c r="Y21" i="1"/>
  <c r="AA21" i="1" s="1"/>
  <c r="BM20" i="10"/>
  <c r="BN20" i="10" s="1"/>
  <c r="BS20" i="10" s="1"/>
  <c r="Y17" i="1"/>
  <c r="AA17" i="1" s="1"/>
  <c r="BM16" i="10"/>
  <c r="BN16" i="10" s="1"/>
  <c r="BS16" i="10" s="1"/>
  <c r="Y13" i="1"/>
  <c r="AA13" i="1" s="1"/>
  <c r="BM12" i="10"/>
  <c r="BN12" i="10" s="1"/>
  <c r="BS12" i="10" s="1"/>
  <c r="Y9" i="1"/>
  <c r="AA9" i="1" s="1"/>
  <c r="BM8" i="10"/>
  <c r="BN8" i="10" s="1"/>
  <c r="BS8" i="10" s="1"/>
  <c r="Y5" i="1"/>
  <c r="AA5" i="1" s="1"/>
  <c r="BM30" i="12"/>
  <c r="BN30" i="12" s="1"/>
  <c r="BS30" i="12" s="1"/>
  <c r="AB27" i="1"/>
  <c r="BM14" i="12"/>
  <c r="BN14" i="12" s="1"/>
  <c r="BS14" i="12" s="1"/>
  <c r="AB11" i="1"/>
  <c r="K19" i="3"/>
  <c r="I52" i="3"/>
  <c r="BM73" i="10"/>
  <c r="BN73" i="10" s="1"/>
  <c r="BS73" i="10" s="1"/>
  <c r="Y70" i="1"/>
  <c r="AA70" i="1" s="1"/>
  <c r="I29" i="3"/>
  <c r="E45" i="3"/>
  <c r="F44" i="3"/>
  <c r="K72" i="3"/>
  <c r="I26" i="3"/>
  <c r="I10" i="3"/>
  <c r="H68" i="3"/>
  <c r="H60" i="3"/>
  <c r="H52" i="3"/>
  <c r="H44" i="3"/>
  <c r="H36" i="3"/>
  <c r="H28" i="3"/>
  <c r="H20" i="3"/>
  <c r="H12" i="3"/>
  <c r="G43" i="1"/>
  <c r="I43" i="1" s="1"/>
  <c r="BM46" i="7"/>
  <c r="BN46" i="7" s="1"/>
  <c r="BW46" i="7" s="1"/>
  <c r="BM8" i="7"/>
  <c r="BN8" i="7" s="1"/>
  <c r="BW8" i="7" s="1"/>
  <c r="G5" i="1"/>
  <c r="I5" i="1" s="1"/>
  <c r="BM8" i="12"/>
  <c r="BN8" i="12" s="1"/>
  <c r="BS8" i="12" s="1"/>
  <c r="AB5" i="1"/>
  <c r="BM35" i="10"/>
  <c r="BN35" i="10" s="1"/>
  <c r="BS35" i="10" s="1"/>
  <c r="Y32" i="1"/>
  <c r="I6" i="3"/>
  <c r="I74" i="3" s="1"/>
  <c r="E19" i="3"/>
  <c r="G63" i="3"/>
  <c r="BM72" i="7"/>
  <c r="BN72" i="7" s="1"/>
  <c r="BW72" i="7" s="1"/>
  <c r="G69" i="1"/>
  <c r="I69" i="1" s="1"/>
  <c r="E10" i="3"/>
  <c r="F33" i="3"/>
  <c r="F17" i="3"/>
  <c r="BM70" i="5"/>
  <c r="BN70" i="5" s="1"/>
  <c r="BW70" i="5" s="1"/>
  <c r="D67" i="1"/>
  <c r="F67" i="1" s="1"/>
  <c r="D25" i="3"/>
  <c r="BM76" i="4"/>
  <c r="BN76" i="4" s="1"/>
  <c r="BW76" i="4" s="1"/>
  <c r="M73" i="1"/>
  <c r="O73" i="1" s="1"/>
  <c r="I24" i="3"/>
  <c r="BM30" i="5"/>
  <c r="BN30" i="5" s="1"/>
  <c r="BW30" i="5" s="1"/>
  <c r="D27" i="1"/>
  <c r="F27" i="1" s="1"/>
  <c r="BM39" i="4"/>
  <c r="BN39" i="4" s="1"/>
  <c r="BW39" i="4" s="1"/>
  <c r="M36" i="1"/>
  <c r="O36" i="1" s="1"/>
  <c r="BM16" i="4"/>
  <c r="BN16" i="4" s="1"/>
  <c r="BW16" i="4" s="1"/>
  <c r="M13" i="1"/>
  <c r="O13" i="1" s="1"/>
  <c r="AE18" i="1"/>
  <c r="AG18" i="1" s="1"/>
  <c r="AA18" i="1"/>
  <c r="E26" i="3"/>
  <c r="G11" i="3"/>
  <c r="U28" i="1"/>
  <c r="AE28" i="1"/>
  <c r="AG28" i="1" s="1"/>
  <c r="I75" i="3"/>
  <c r="G20" i="3"/>
  <c r="E55" i="3"/>
  <c r="E31" i="3"/>
  <c r="E14" i="3"/>
  <c r="F26" i="3"/>
  <c r="D67" i="3"/>
  <c r="BM14" i="5"/>
  <c r="BN14" i="5" s="1"/>
  <c r="BW14" i="5" s="1"/>
  <c r="D10" i="3" s="1"/>
  <c r="D11" i="1"/>
  <c r="F11" i="1" s="1"/>
  <c r="BM43" i="4"/>
  <c r="BN43" i="4" s="1"/>
  <c r="BW43" i="4" s="1"/>
  <c r="M40" i="1"/>
  <c r="BM36" i="4"/>
  <c r="BN36" i="4" s="1"/>
  <c r="BW36" i="4" s="1"/>
  <c r="M33" i="1"/>
  <c r="O33" i="1" s="1"/>
  <c r="BM20" i="4"/>
  <c r="BN20" i="4" s="1"/>
  <c r="BW20" i="4" s="1"/>
  <c r="M17" i="1"/>
  <c r="O17" i="1" s="1"/>
  <c r="F22" i="3"/>
  <c r="BM57" i="5"/>
  <c r="BN57" i="5" s="1"/>
  <c r="BW57" i="5" s="1"/>
  <c r="D54" i="1"/>
  <c r="F54" i="1" s="1"/>
  <c r="G35" i="3" l="1"/>
  <c r="AE11" i="1"/>
  <c r="AG11" i="1" s="1"/>
  <c r="AD11" i="1"/>
  <c r="AE7" i="1"/>
  <c r="AG7" i="1" s="1"/>
  <c r="AD7" i="1"/>
  <c r="AE53" i="1"/>
  <c r="AG53" i="1" s="1"/>
  <c r="AD53" i="1"/>
  <c r="K15" i="3"/>
  <c r="K7" i="3"/>
  <c r="J37" i="3"/>
  <c r="L45" i="3"/>
  <c r="E20" i="3"/>
  <c r="K10" i="3"/>
  <c r="L54" i="3"/>
  <c r="AE72" i="1"/>
  <c r="AG72" i="1" s="1"/>
  <c r="AD72" i="1"/>
  <c r="K25" i="3"/>
  <c r="E15" i="3"/>
  <c r="L49" i="3"/>
  <c r="E34" i="3"/>
  <c r="L18" i="3"/>
  <c r="K26" i="3"/>
  <c r="J40" i="3"/>
  <c r="L58" i="3"/>
  <c r="E38" i="3"/>
  <c r="L35" i="3"/>
  <c r="L43" i="3"/>
  <c r="L59" i="3"/>
  <c r="AE32" i="1"/>
  <c r="AG32" i="1" s="1"/>
  <c r="AA32" i="1"/>
  <c r="K4" i="3"/>
  <c r="K75" i="3" s="1"/>
  <c r="K12" i="3"/>
  <c r="K28" i="3"/>
  <c r="J49" i="3"/>
  <c r="J48" i="3"/>
  <c r="L44" i="3"/>
  <c r="L60" i="3"/>
  <c r="G31" i="3"/>
  <c r="E58" i="3"/>
  <c r="X42" i="1"/>
  <c r="AE42" i="1"/>
  <c r="AG42" i="1" s="1"/>
  <c r="AE23" i="1"/>
  <c r="AG23" i="1" s="1"/>
  <c r="AD23" i="1"/>
  <c r="AE47" i="1"/>
  <c r="AG47" i="1" s="1"/>
  <c r="AD47" i="1"/>
  <c r="AE63" i="1"/>
  <c r="AG63" i="1" s="1"/>
  <c r="AD63" i="1"/>
  <c r="G15" i="3"/>
  <c r="G56" i="3"/>
  <c r="D46" i="3"/>
  <c r="D18" i="3"/>
  <c r="D73" i="3" s="1"/>
  <c r="L55" i="3"/>
  <c r="G19" i="3"/>
  <c r="AE58" i="1"/>
  <c r="AG58" i="1" s="1"/>
  <c r="AD58" i="1"/>
  <c r="AE51" i="1"/>
  <c r="AG51" i="1" s="1"/>
  <c r="AD51" i="1"/>
  <c r="AE67" i="1"/>
  <c r="AG67" i="1" s="1"/>
  <c r="AD67" i="1"/>
  <c r="AA10" i="1"/>
  <c r="AE10" i="1"/>
  <c r="AG10" i="1" s="1"/>
  <c r="AE9" i="1"/>
  <c r="AG9" i="1" s="1"/>
  <c r="AD9" i="1"/>
  <c r="AE68" i="1"/>
  <c r="AG68" i="1" s="1"/>
  <c r="AD68" i="1"/>
  <c r="I73" i="3"/>
  <c r="G32" i="3"/>
  <c r="G12" i="3"/>
  <c r="D26" i="3"/>
  <c r="G72" i="3"/>
  <c r="D66" i="3"/>
  <c r="E68" i="3"/>
  <c r="K31" i="3"/>
  <c r="E4" i="3"/>
  <c r="AE27" i="1"/>
  <c r="AG27" i="1" s="1"/>
  <c r="AD27" i="1"/>
  <c r="AA33" i="1"/>
  <c r="AE33" i="1"/>
  <c r="AG33" i="1" s="1"/>
  <c r="AE49" i="1"/>
  <c r="AG49" i="1" s="1"/>
  <c r="AD49" i="1"/>
  <c r="AE57" i="1"/>
  <c r="AG57" i="1" s="1"/>
  <c r="AD57" i="1"/>
  <c r="AE65" i="1"/>
  <c r="AG65" i="1" s="1"/>
  <c r="AD65" i="1"/>
  <c r="AE73" i="1"/>
  <c r="AG73" i="1" s="1"/>
  <c r="AD73" i="1"/>
  <c r="E35" i="3"/>
  <c r="K33" i="3"/>
  <c r="H74" i="3"/>
  <c r="H73" i="3"/>
  <c r="J9" i="3"/>
  <c r="J74" i="3" s="1"/>
  <c r="L33" i="3"/>
  <c r="J58" i="3"/>
  <c r="K62" i="3"/>
  <c r="J69" i="3"/>
  <c r="L30" i="3"/>
  <c r="J52" i="3"/>
  <c r="L53" i="3"/>
  <c r="L65" i="3"/>
  <c r="E52" i="3"/>
  <c r="D34" i="3"/>
  <c r="J25" i="3"/>
  <c r="K22" i="3"/>
  <c r="J41" i="3"/>
  <c r="L22" i="3"/>
  <c r="J56" i="3"/>
  <c r="L46" i="3"/>
  <c r="L62" i="3"/>
  <c r="E16" i="3"/>
  <c r="AE13" i="1"/>
  <c r="AG13" i="1" s="1"/>
  <c r="AD13" i="1"/>
  <c r="AE21" i="1"/>
  <c r="AG21" i="1" s="1"/>
  <c r="AD21" i="1"/>
  <c r="AE15" i="1"/>
  <c r="AG15" i="1" s="1"/>
  <c r="AD15" i="1"/>
  <c r="AE48" i="1"/>
  <c r="AG48" i="1" s="1"/>
  <c r="AD48" i="1"/>
  <c r="AE64" i="1"/>
  <c r="AG64" i="1" s="1"/>
  <c r="AD64" i="1"/>
  <c r="D62" i="3"/>
  <c r="E36" i="3"/>
  <c r="E69" i="3"/>
  <c r="J53" i="3"/>
  <c r="J68" i="3"/>
  <c r="L57" i="3"/>
  <c r="AA24" i="1"/>
  <c r="AE24" i="1"/>
  <c r="AG24" i="1" s="1"/>
  <c r="E28" i="3"/>
  <c r="K6" i="3"/>
  <c r="K18" i="3"/>
  <c r="K30" i="3"/>
  <c r="J57" i="3"/>
  <c r="L16" i="3"/>
  <c r="J72" i="3"/>
  <c r="L50" i="3"/>
  <c r="L66" i="3"/>
  <c r="O4" i="1"/>
  <c r="AE4" i="1"/>
  <c r="AG4" i="1" s="1"/>
  <c r="G51" i="3"/>
  <c r="E12" i="3"/>
  <c r="G60" i="3"/>
  <c r="K59" i="3"/>
  <c r="K9" i="3"/>
  <c r="J42" i="3"/>
  <c r="J29" i="3"/>
  <c r="L8" i="3"/>
  <c r="J60" i="3"/>
  <c r="L51" i="3"/>
  <c r="L67" i="3"/>
  <c r="D53" i="3"/>
  <c r="G16" i="3"/>
  <c r="G39" i="3"/>
  <c r="L4" i="3"/>
  <c r="L73" i="3" s="1"/>
  <c r="AE45" i="1"/>
  <c r="AG45" i="1" s="1"/>
  <c r="AD45" i="1"/>
  <c r="AE61" i="1"/>
  <c r="AG61" i="1" s="1"/>
  <c r="AD61" i="1"/>
  <c r="AE69" i="1"/>
  <c r="AG69" i="1" s="1"/>
  <c r="AD69" i="1"/>
  <c r="L28" i="3"/>
  <c r="J21" i="3"/>
  <c r="J75" i="3" s="1"/>
  <c r="L24" i="3"/>
  <c r="L61" i="3"/>
  <c r="K34" i="3"/>
  <c r="L70" i="3"/>
  <c r="AD56" i="1"/>
  <c r="AE56" i="1"/>
  <c r="AG56" i="1" s="1"/>
  <c r="E18" i="3"/>
  <c r="D50" i="3"/>
  <c r="J36" i="3"/>
  <c r="L69" i="3"/>
  <c r="K14" i="3"/>
  <c r="K73" i="3" s="1"/>
  <c r="K66" i="3"/>
  <c r="L42" i="3"/>
  <c r="G71" i="3"/>
  <c r="J38" i="3"/>
  <c r="J61" i="3"/>
  <c r="L10" i="3"/>
  <c r="K20" i="3"/>
  <c r="K58" i="3"/>
  <c r="L6" i="3"/>
  <c r="L52" i="3"/>
  <c r="L68" i="3"/>
  <c r="F74" i="3"/>
  <c r="F73" i="3"/>
  <c r="F75" i="3"/>
  <c r="AD34" i="1"/>
  <c r="AE34" i="1"/>
  <c r="AG34" i="1" s="1"/>
  <c r="AE31" i="1"/>
  <c r="AG31" i="1" s="1"/>
  <c r="AD31" i="1"/>
  <c r="AD54" i="1"/>
  <c r="AE54" i="1"/>
  <c r="AG54" i="1" s="1"/>
  <c r="AE66" i="1"/>
  <c r="AG66" i="1" s="1"/>
  <c r="AD66" i="1"/>
  <c r="E53" i="3"/>
  <c r="J70" i="3"/>
  <c r="J45" i="3"/>
  <c r="L71" i="3"/>
  <c r="AE17" i="1"/>
  <c r="AG17" i="1" s="1"/>
  <c r="AD17" i="1"/>
  <c r="X30" i="1"/>
  <c r="AE30" i="1"/>
  <c r="AG30" i="1" s="1"/>
  <c r="AE52" i="1"/>
  <c r="AG52" i="1" s="1"/>
  <c r="AD52" i="1"/>
  <c r="O40" i="1"/>
  <c r="AE40" i="1"/>
  <c r="AG40" i="1" s="1"/>
  <c r="AE5" i="1"/>
  <c r="AG5" i="1" s="1"/>
  <c r="AD5" i="1"/>
  <c r="E42" i="3"/>
  <c r="K69" i="3"/>
  <c r="L26" i="3"/>
  <c r="L74" i="3" s="1"/>
  <c r="K8" i="3"/>
  <c r="K16" i="3"/>
  <c r="K24" i="3"/>
  <c r="K32" i="3"/>
  <c r="J33" i="3"/>
  <c r="J65" i="3"/>
  <c r="J32" i="3"/>
  <c r="J64" i="3"/>
  <c r="L48" i="3"/>
  <c r="L56" i="3"/>
  <c r="L64" i="3"/>
  <c r="L72" i="3"/>
  <c r="E54" i="3"/>
  <c r="G65" i="3"/>
  <c r="AE16" i="1"/>
  <c r="AG16" i="1" s="1"/>
  <c r="AA16" i="1"/>
  <c r="AE29" i="1"/>
  <c r="AG29" i="1" s="1"/>
  <c r="AD29" i="1"/>
  <c r="AE8" i="1"/>
  <c r="AG8" i="1" s="1"/>
  <c r="AA8" i="1"/>
  <c r="AE22" i="1"/>
  <c r="AG22" i="1" s="1"/>
  <c r="X22" i="1"/>
  <c r="X38" i="1"/>
  <c r="AE38" i="1"/>
  <c r="AG38" i="1" s="1"/>
  <c r="AE25" i="1"/>
  <c r="AG25" i="1" s="1"/>
  <c r="AD25" i="1"/>
  <c r="AE46" i="1"/>
  <c r="AG46" i="1" s="1"/>
  <c r="AD46" i="1"/>
  <c r="AE62" i="1"/>
  <c r="AG62" i="1" s="1"/>
  <c r="AD62" i="1"/>
  <c r="AA35" i="1"/>
  <c r="AE35" i="1"/>
  <c r="AG35" i="1" s="1"/>
  <c r="AE55" i="1"/>
  <c r="AG55" i="1" s="1"/>
  <c r="AD55" i="1"/>
  <c r="AE71" i="1"/>
  <c r="AG71" i="1" s="1"/>
  <c r="AD71" i="1"/>
  <c r="D49" i="3"/>
  <c r="D74" i="3" s="1"/>
  <c r="L12" i="3"/>
  <c r="K71" i="3"/>
  <c r="L20" i="3"/>
  <c r="L14" i="3"/>
  <c r="J44" i="3"/>
  <c r="L47" i="3"/>
  <c r="L63" i="3"/>
  <c r="AA26" i="1"/>
  <c r="AE26" i="1"/>
  <c r="AG26" i="1" s="1"/>
  <c r="X37" i="1"/>
  <c r="AE37" i="1"/>
  <c r="AG37" i="1" s="1"/>
  <c r="AE50" i="1"/>
  <c r="AG50" i="1" s="1"/>
  <c r="AD50" i="1"/>
  <c r="AE70" i="1"/>
  <c r="AG70" i="1" s="1"/>
  <c r="AD70" i="1"/>
  <c r="K23" i="3"/>
  <c r="G68" i="3"/>
  <c r="AE19" i="1"/>
  <c r="AG19" i="1" s="1"/>
  <c r="AD19" i="1"/>
  <c r="X41" i="1"/>
  <c r="AE41" i="1"/>
  <c r="AG41" i="1" s="1"/>
  <c r="AE43" i="1"/>
  <c r="AG43" i="1" s="1"/>
  <c r="AD43" i="1"/>
  <c r="AE59" i="1"/>
  <c r="AG59" i="1" s="1"/>
  <c r="AD59" i="1"/>
  <c r="E30" i="3"/>
  <c r="G3" i="3"/>
  <c r="E70" i="3"/>
  <c r="X39" i="1"/>
  <c r="AE39" i="1"/>
  <c r="AG39" i="1" s="1"/>
  <c r="AE36" i="1"/>
  <c r="AG36" i="1" s="1"/>
  <c r="AD36" i="1"/>
  <c r="AD44" i="1"/>
  <c r="AE44" i="1"/>
  <c r="AG44" i="1" s="1"/>
  <c r="AE60" i="1"/>
  <c r="AG60" i="1" s="1"/>
  <c r="AD60" i="1"/>
  <c r="L75" i="3" l="1"/>
  <c r="E73" i="3"/>
  <c r="E74" i="3"/>
  <c r="E75" i="3"/>
  <c r="K74" i="3"/>
  <c r="J73" i="3"/>
  <c r="D75" i="3"/>
  <c r="G75" i="3"/>
  <c r="G74" i="3"/>
  <c r="G73" i="3"/>
</calcChain>
</file>

<file path=xl/sharedStrings.xml><?xml version="1.0" encoding="utf-8"?>
<sst xmlns="http://schemas.openxmlformats.org/spreadsheetml/2006/main" count="414" uniqueCount="147">
  <si>
    <t>ATTENDANCE RECORD JAN-JUNE 2025 (B.Tech CSE 4B)</t>
  </si>
  <si>
    <t>S.No.</t>
  </si>
  <si>
    <t>Reg No.</t>
  </si>
  <si>
    <t>Name of Student</t>
  </si>
  <si>
    <t>DM</t>
  </si>
  <si>
    <t>COA</t>
  </si>
  <si>
    <t>OS</t>
  </si>
  <si>
    <t>DAA</t>
  </si>
  <si>
    <t>UHV2</t>
  </si>
  <si>
    <t>EVS</t>
  </si>
  <si>
    <t>COA LAB</t>
  </si>
  <si>
    <t>OS LAB</t>
  </si>
  <si>
    <t>DAA LAB</t>
  </si>
  <si>
    <t>OVERALL</t>
  </si>
  <si>
    <t>TA</t>
  </si>
  <si>
    <t>TD</t>
  </si>
  <si>
    <t>Att %age</t>
  </si>
  <si>
    <t>Rahul Sharma</t>
  </si>
  <si>
    <t>Raj Kumar</t>
  </si>
  <si>
    <t>Rajan Sharma</t>
  </si>
  <si>
    <t>Rajwinder Kaur</t>
  </si>
  <si>
    <t>Ravi Bhushan Kumar</t>
  </si>
  <si>
    <t>Reshma</t>
  </si>
  <si>
    <t>Ritesh Kumar Choudhary</t>
  </si>
  <si>
    <t>Ritesh Thakur</t>
  </si>
  <si>
    <t>Riya Thakur</t>
  </si>
  <si>
    <t>Rounit Dhiman</t>
  </si>
  <si>
    <t>Rubby Kumari</t>
  </si>
  <si>
    <t>Sakshi Devi</t>
  </si>
  <si>
    <t>Sanchi Sharma</t>
  </si>
  <si>
    <t>Sarbjit Singh</t>
  </si>
  <si>
    <t>Sarif Mayangmayum</t>
  </si>
  <si>
    <t>Shivam Kumar Chaubey</t>
  </si>
  <si>
    <t>Simba Godfrey</t>
  </si>
  <si>
    <t>Simran Kaur</t>
  </si>
  <si>
    <t>Simranjit Singh</t>
  </si>
  <si>
    <t>Sudip Sunar</t>
  </si>
  <si>
    <t>Sujal Sharma</t>
  </si>
  <si>
    <t>Sukhraj Singh</t>
  </si>
  <si>
    <t>Sukhreet Kaur</t>
  </si>
  <si>
    <t>Suman Krishna</t>
  </si>
  <si>
    <t>Tamana</t>
  </si>
  <si>
    <t>Tamana Farooq Khanday</t>
  </si>
  <si>
    <t>Tania</t>
  </si>
  <si>
    <t>Taniya</t>
  </si>
  <si>
    <t>Taziko Trakha</t>
  </si>
  <si>
    <t>Vaibhav Shahi</t>
  </si>
  <si>
    <t>Vansh Sharma</t>
  </si>
  <si>
    <t>Vikramjit Singh</t>
  </si>
  <si>
    <t>TANISHA</t>
  </si>
  <si>
    <t>TOHIED AHMED</t>
  </si>
  <si>
    <t>Leet</t>
  </si>
  <si>
    <t>Gagan</t>
  </si>
  <si>
    <t>Manisha</t>
  </si>
  <si>
    <t>Richa</t>
  </si>
  <si>
    <t>Prakriti</t>
  </si>
  <si>
    <t>leet</t>
  </si>
  <si>
    <t>Shubham</t>
  </si>
  <si>
    <t>ADITYA</t>
  </si>
  <si>
    <t>ANMOL</t>
  </si>
  <si>
    <t>AURSH SHARMA</t>
  </si>
  <si>
    <t>AVNEET SINGH</t>
  </si>
  <si>
    <t>BOBBY</t>
  </si>
  <si>
    <t>CHARANJIT SINGH</t>
  </si>
  <si>
    <t>INDERBIR SINGH</t>
  </si>
  <si>
    <t>JASMEEN</t>
  </si>
  <si>
    <t>KUNDAN</t>
  </si>
  <si>
    <t>MANVEER SINGH</t>
  </si>
  <si>
    <t>MOHIT KUMAR</t>
  </si>
  <si>
    <t>NAVNEET</t>
  </si>
  <si>
    <t>NITIN VERMA</t>
  </si>
  <si>
    <t>POOJA</t>
  </si>
  <si>
    <t>PRIYA</t>
  </si>
  <si>
    <t>SAHIL</t>
  </si>
  <si>
    <t>SANJANA</t>
  </si>
  <si>
    <t>SANJAY</t>
  </si>
  <si>
    <t>SMILE JASSAL</t>
  </si>
  <si>
    <t>SUMIT BHARAJ</t>
  </si>
  <si>
    <t>SUNAKSHI</t>
  </si>
  <si>
    <t>VANSH</t>
  </si>
  <si>
    <t>VARINDER BHATOY</t>
  </si>
  <si>
    <t>YASHODHA</t>
  </si>
  <si>
    <t>YOGESH SINGH</t>
  </si>
  <si>
    <t>BHAWANI THAKUR</t>
  </si>
  <si>
    <t>HARGUN KAUR</t>
  </si>
  <si>
    <t>PAWAN KUMAR</t>
  </si>
  <si>
    <t>PRINCE ABHISHEK</t>
  </si>
  <si>
    <t>SUMIT MAHEY</t>
  </si>
  <si>
    <t>USMAN ALI</t>
  </si>
  <si>
    <t>Marathon</t>
  </si>
  <si>
    <t xml:space="preserve">HIGHEST MARKS </t>
  </si>
  <si>
    <t>LOWEST MARKS</t>
  </si>
  <si>
    <t>AVG INTERNAL</t>
  </si>
  <si>
    <t>NAME OF SUBJECT INCHARGE</t>
  </si>
  <si>
    <t>Ms. Ritika Agnihotri</t>
  </si>
  <si>
    <t xml:space="preserve">CTIEMT : Evaluation Sheet for Internal Awards (Theory) </t>
  </si>
  <si>
    <t>Session: JAN TO JUNE 2025</t>
  </si>
  <si>
    <t>Department: CSE</t>
  </si>
  <si>
    <t>Semester: B.TECH 4B</t>
  </si>
  <si>
    <t>Ms. Monika Gharu</t>
  </si>
  <si>
    <t>Subject Name: Design and Analysis of Algorithms</t>
  </si>
  <si>
    <t>Subject Code: BTCS 403-18</t>
  </si>
  <si>
    <t>DATE</t>
  </si>
  <si>
    <t>PRESENT</t>
  </si>
  <si>
    <t>DL (IF ANY)</t>
  </si>
  <si>
    <t>Total Attended</t>
  </si>
  <si>
    <t>Total Delievered</t>
  </si>
  <si>
    <t>PERCENTAGE</t>
  </si>
  <si>
    <t>Total Lec Att</t>
  </si>
  <si>
    <t>Total Lec Del</t>
  </si>
  <si>
    <t>Att Marks
(6)</t>
  </si>
  <si>
    <t>MST I (24)</t>
  </si>
  <si>
    <t>MST II (24)</t>
  </si>
  <si>
    <t>Average MST I &amp; II (24)</t>
  </si>
  <si>
    <t>Assignments</t>
  </si>
  <si>
    <t>Assignments AVG
(10)</t>
  </si>
  <si>
    <t>Grand Total
(40)</t>
  </si>
  <si>
    <t>ATTENDANCE RECORD JAN-JUNE2025 (B.Tech CSE 4B)</t>
  </si>
  <si>
    <t>Subject Name: Discrete Mathematics</t>
  </si>
  <si>
    <t>Subject Code: BTCS 401-18</t>
  </si>
  <si>
    <t>Grace</t>
  </si>
  <si>
    <t>Dr. Sandeep Ranjan</t>
  </si>
  <si>
    <t>Subject Name: Operating Systems</t>
  </si>
  <si>
    <t>Subject Code: BTCS 402-18</t>
  </si>
  <si>
    <t>Vishavjit Singh</t>
  </si>
  <si>
    <t>Mr. Sukhdayal Dhanday</t>
  </si>
  <si>
    <t>Subject Name: Computer Organization &amp; Architecture</t>
  </si>
  <si>
    <t>Subject Code: BTES 401-18</t>
  </si>
  <si>
    <t>Ms. Simranjit</t>
  </si>
  <si>
    <t>Subject Name: Universal Human Values 2</t>
  </si>
  <si>
    <t>Subject Code: HSMC 122-18</t>
  </si>
  <si>
    <t>Ms. Simranjit Kaur</t>
  </si>
  <si>
    <t>Subject Name: Environmental Sciences</t>
  </si>
  <si>
    <t>Subject Code: EVS 101-18</t>
  </si>
  <si>
    <t xml:space="preserve">CTIEMT : Evaluation Sheet for Internal Awards (PRACTICAL) </t>
  </si>
  <si>
    <t>Ms. Shaveta, Ms. Ranjana</t>
  </si>
  <si>
    <t>Subject Name: Operating Systems Lab</t>
  </si>
  <si>
    <t>Subject Code: BTCS 404-18</t>
  </si>
  <si>
    <t>Marks of Practical File 
(7)</t>
  </si>
  <si>
    <t>Marks in vive voca
(7)</t>
  </si>
  <si>
    <t>Weighted Marks of Performance in Labs (10)</t>
  </si>
  <si>
    <t>Grand Total
(30)</t>
  </si>
  <si>
    <t>DAILY PERFORMANCE MARKS OUT OF 10</t>
  </si>
  <si>
    <t>Subject Name: Computer Organization &amp; Architecture Lab</t>
  </si>
  <si>
    <t>Subject Code: BTES 402-18</t>
  </si>
  <si>
    <t>Subject Name: Design and Analysis of Algorithms Lab</t>
  </si>
  <si>
    <t>Subject Code: BTCS 405-18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</si>
</sst>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scheme val="minor"/>
    </font>
    <font>
      <sz val="18"/>
      <color theme="1"/>
      <name val="Times New Roman"/>
    </font>
    <font>
      <sz val="11"/>
      <name val="Calibri"/>
    </font>
    <font>
      <sz val="14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8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20"/>
      <color theme="1"/>
      <name val="Times New Roman"/>
    </font>
    <font>
      <b/>
      <sz val="18"/>
      <color theme="1"/>
      <name val="Times New Roman"/>
    </font>
    <font>
      <b/>
      <i/>
      <sz val="16"/>
      <color theme="1"/>
      <name val="Times New Roman"/>
    </font>
    <font>
      <b/>
      <sz val="14"/>
      <color theme="1"/>
      <name val="Times New Roman"/>
    </font>
    <font>
      <sz val="16"/>
      <color theme="1"/>
      <name val="Times New Roman"/>
    </font>
    <font>
      <sz val="11"/>
      <color theme="1"/>
      <name val="Calibri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u/>
      <sz val="12"/>
      <color rgb="FF000000"/>
      <name val="&quot;Times New Roman&quot;"/>
    </font>
    <font>
      <sz val="11"/>
      <color theme="1"/>
      <name val="Arial"/>
    </font>
    <font>
      <b/>
      <sz val="16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1" fontId="3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vertical="center"/>
    </xf>
    <xf numFmtId="1" fontId="4" fillId="2" borderId="6" xfId="0" applyNumberFormat="1" applyFont="1" applyFill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/>
    <xf numFmtId="164" fontId="4" fillId="0" borderId="6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" fontId="4" fillId="2" borderId="6" xfId="0" applyNumberFormat="1" applyFont="1" applyFill="1" applyBorder="1"/>
    <xf numFmtId="164" fontId="4" fillId="2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2" fontId="14" fillId="0" borderId="0" xfId="0" applyNumberFormat="1" applyFont="1"/>
    <xf numFmtId="1" fontId="14" fillId="0" borderId="0" xfId="0" applyNumberFormat="1" applyFont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2" borderId="1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4" borderId="14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" fontId="8" fillId="5" borderId="5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/>
    </xf>
    <xf numFmtId="1" fontId="8" fillId="5" borderId="6" xfId="0" applyNumberFormat="1" applyFont="1" applyFill="1" applyBorder="1" applyAlignment="1">
      <alignment horizontal="center"/>
    </xf>
    <xf numFmtId="1" fontId="8" fillId="2" borderId="5" xfId="0" applyNumberFormat="1" applyFont="1" applyFill="1" applyBorder="1" applyAlignment="1">
      <alignment horizontal="center"/>
    </xf>
    <xf numFmtId="1" fontId="8" fillId="4" borderId="5" xfId="0" applyNumberFormat="1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2" fontId="4" fillId="2" borderId="6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1" fontId="8" fillId="5" borderId="14" xfId="0" applyNumberFormat="1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" fontId="1" fillId="0" borderId="1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 vertical="center"/>
    </xf>
    <xf numFmtId="0" fontId="2" fillId="0" borderId="5" xfId="0" applyFont="1" applyBorder="1"/>
    <xf numFmtId="1" fontId="3" fillId="0" borderId="4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90" wrapText="1"/>
    </xf>
    <xf numFmtId="2" fontId="4" fillId="0" borderId="4" xfId="0" applyNumberFormat="1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 textRotation="90" wrapText="1"/>
    </xf>
    <xf numFmtId="164" fontId="4" fillId="0" borderId="4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6.88671875" customWidth="1"/>
    <col min="2" max="2" width="9.5546875" customWidth="1"/>
    <col min="3" max="3" width="23.33203125" customWidth="1"/>
    <col min="4" max="5" width="4.33203125" customWidth="1"/>
    <col min="6" max="6" width="11.109375" customWidth="1"/>
    <col min="7" max="8" width="4.33203125" customWidth="1"/>
    <col min="9" max="9" width="11.109375" customWidth="1"/>
    <col min="10" max="11" width="4.33203125" customWidth="1"/>
    <col min="12" max="12" width="11.109375" customWidth="1"/>
    <col min="13" max="13" width="6.88671875" customWidth="1"/>
    <col min="14" max="14" width="4.33203125" customWidth="1"/>
    <col min="15" max="15" width="11.109375" customWidth="1"/>
    <col min="16" max="17" width="4.33203125" customWidth="1"/>
    <col min="18" max="18" width="11.109375" customWidth="1"/>
    <col min="19" max="20" width="4.33203125" customWidth="1"/>
    <col min="21" max="21" width="11.109375" customWidth="1"/>
    <col min="22" max="23" width="4.33203125" customWidth="1"/>
    <col min="24" max="24" width="11.109375" customWidth="1"/>
    <col min="25" max="26" width="4.33203125" customWidth="1"/>
    <col min="27" max="27" width="11.109375" customWidth="1"/>
    <col min="28" max="28" width="4.33203125" customWidth="1"/>
    <col min="29" max="29" width="4.6640625" customWidth="1"/>
    <col min="30" max="30" width="11.109375" customWidth="1"/>
    <col min="31" max="31" width="7.33203125" customWidth="1"/>
    <col min="32" max="32" width="5.109375" customWidth="1"/>
    <col min="33" max="33" width="11.109375" customWidth="1"/>
  </cols>
  <sheetData>
    <row r="1" spans="1:33" ht="22.8">
      <c r="A1" s="90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9"/>
    </row>
    <row r="2" spans="1:33" ht="18">
      <c r="A2" s="91" t="s">
        <v>1</v>
      </c>
      <c r="B2" s="91" t="s">
        <v>2</v>
      </c>
      <c r="C2" s="93" t="s">
        <v>3</v>
      </c>
      <c r="D2" s="87" t="s">
        <v>4</v>
      </c>
      <c r="E2" s="88"/>
      <c r="F2" s="89"/>
      <c r="G2" s="87" t="s">
        <v>5</v>
      </c>
      <c r="H2" s="88"/>
      <c r="I2" s="89"/>
      <c r="J2" s="87" t="s">
        <v>6</v>
      </c>
      <c r="K2" s="88"/>
      <c r="L2" s="89"/>
      <c r="M2" s="87" t="s">
        <v>7</v>
      </c>
      <c r="N2" s="88"/>
      <c r="O2" s="89"/>
      <c r="P2" s="87" t="s">
        <v>8</v>
      </c>
      <c r="Q2" s="88"/>
      <c r="R2" s="89"/>
      <c r="S2" s="87" t="s">
        <v>9</v>
      </c>
      <c r="T2" s="88"/>
      <c r="U2" s="89"/>
      <c r="V2" s="87" t="s">
        <v>10</v>
      </c>
      <c r="W2" s="88"/>
      <c r="X2" s="89"/>
      <c r="Y2" s="87" t="s">
        <v>11</v>
      </c>
      <c r="Z2" s="88"/>
      <c r="AA2" s="89"/>
      <c r="AB2" s="87" t="s">
        <v>12</v>
      </c>
      <c r="AC2" s="88"/>
      <c r="AD2" s="89"/>
      <c r="AE2" s="87" t="s">
        <v>13</v>
      </c>
      <c r="AF2" s="88"/>
      <c r="AG2" s="89"/>
    </row>
    <row r="3" spans="1:33" ht="18">
      <c r="A3" s="92"/>
      <c r="B3" s="92"/>
      <c r="C3" s="92"/>
      <c r="D3" s="1" t="s">
        <v>14</v>
      </c>
      <c r="E3" s="1" t="s">
        <v>15</v>
      </c>
      <c r="F3" s="1" t="s">
        <v>16</v>
      </c>
      <c r="G3" s="1" t="s">
        <v>14</v>
      </c>
      <c r="H3" s="1" t="s">
        <v>15</v>
      </c>
      <c r="I3" s="1" t="s">
        <v>16</v>
      </c>
      <c r="J3" s="1" t="s">
        <v>14</v>
      </c>
      <c r="K3" s="1" t="s">
        <v>15</v>
      </c>
      <c r="L3" s="1" t="s">
        <v>16</v>
      </c>
      <c r="M3" s="1" t="s">
        <v>14</v>
      </c>
      <c r="N3" s="1" t="s">
        <v>15</v>
      </c>
      <c r="O3" s="1" t="s">
        <v>16</v>
      </c>
      <c r="P3" s="1" t="s">
        <v>14</v>
      </c>
      <c r="Q3" s="1" t="s">
        <v>15</v>
      </c>
      <c r="R3" s="1" t="s">
        <v>16</v>
      </c>
      <c r="S3" s="1" t="s">
        <v>14</v>
      </c>
      <c r="T3" s="1" t="s">
        <v>15</v>
      </c>
      <c r="U3" s="1" t="s">
        <v>16</v>
      </c>
      <c r="V3" s="1" t="s">
        <v>14</v>
      </c>
      <c r="W3" s="1" t="s">
        <v>15</v>
      </c>
      <c r="X3" s="1" t="s">
        <v>16</v>
      </c>
      <c r="Y3" s="1" t="s">
        <v>14</v>
      </c>
      <c r="Z3" s="1" t="s">
        <v>15</v>
      </c>
      <c r="AA3" s="1" t="s">
        <v>16</v>
      </c>
      <c r="AB3" s="1" t="s">
        <v>14</v>
      </c>
      <c r="AC3" s="1" t="s">
        <v>15</v>
      </c>
      <c r="AD3" s="1" t="s">
        <v>16</v>
      </c>
      <c r="AE3" s="1" t="s">
        <v>14</v>
      </c>
      <c r="AF3" s="1" t="s">
        <v>15</v>
      </c>
      <c r="AG3" s="1" t="s">
        <v>16</v>
      </c>
    </row>
    <row r="4" spans="1:33" ht="19.5" customHeight="1">
      <c r="A4" s="2">
        <v>1</v>
      </c>
      <c r="B4" s="2">
        <v>2301249</v>
      </c>
      <c r="C4" s="3" t="s">
        <v>17</v>
      </c>
      <c r="D4" s="1">
        <f>DM!BK7</f>
        <v>19</v>
      </c>
      <c r="E4" s="1">
        <f>DM!BL7</f>
        <v>45</v>
      </c>
      <c r="F4" s="1">
        <f t="shared" ref="F4:F73" si="0">(D4/E4)*100</f>
        <v>42.222222222222221</v>
      </c>
      <c r="G4" s="1">
        <f>COA!BK7</f>
        <v>15</v>
      </c>
      <c r="H4" s="1">
        <f>COA!BL7</f>
        <v>30</v>
      </c>
      <c r="I4" s="1">
        <f t="shared" ref="I4:I73" si="1">(G4/H4)*100</f>
        <v>50</v>
      </c>
      <c r="J4" s="1">
        <f>OS!BK7</f>
        <v>17</v>
      </c>
      <c r="K4" s="1">
        <f>OS!BL7</f>
        <v>33</v>
      </c>
      <c r="L4" s="1">
        <f t="shared" ref="L4:L73" si="2">(J4/K4)*100</f>
        <v>51.515151515151516</v>
      </c>
      <c r="M4" s="1">
        <f>DAA!BK7</f>
        <v>30</v>
      </c>
      <c r="N4" s="1">
        <f>DAA!BL7</f>
        <v>33</v>
      </c>
      <c r="O4" s="1">
        <f t="shared" ref="O4:O73" si="3">(M4/N4)*100</f>
        <v>90.909090909090907</v>
      </c>
      <c r="P4" s="1">
        <f>'UHV2'!BK7</f>
        <v>14</v>
      </c>
      <c r="Q4" s="1">
        <f>'UHV2'!BL7</f>
        <v>29</v>
      </c>
      <c r="R4" s="1">
        <f t="shared" ref="R4:R73" si="4">(P4/Q4)*100</f>
        <v>48.275862068965516</v>
      </c>
      <c r="S4" s="1">
        <f>EVS!BK7</f>
        <v>18</v>
      </c>
      <c r="T4" s="1">
        <f>EVS!BL7</f>
        <v>29</v>
      </c>
      <c r="U4" s="1">
        <f t="shared" ref="U4:U73" si="5">(S4/T4)*100</f>
        <v>62.068965517241381</v>
      </c>
      <c r="V4" s="1">
        <f>COAlab!BK7</f>
        <v>10</v>
      </c>
      <c r="W4" s="1">
        <f>COAlab!BL7</f>
        <v>22</v>
      </c>
      <c r="X4" s="1">
        <f t="shared" ref="X4:X73" si="6">(V4/W4)*100</f>
        <v>45.454545454545453</v>
      </c>
      <c r="Y4" s="1">
        <f>OSlab!BK7</f>
        <v>21</v>
      </c>
      <c r="Z4" s="1">
        <f>OSlab!BL7</f>
        <v>43</v>
      </c>
      <c r="AA4" s="1">
        <f t="shared" ref="AA4:AA73" si="7">(Y4/Z4)*100</f>
        <v>48.837209302325576</v>
      </c>
      <c r="AB4" s="1">
        <f>DAAlab!BK7</f>
        <v>34</v>
      </c>
      <c r="AC4" s="1">
        <f>DAAlab!BL7</f>
        <v>44</v>
      </c>
      <c r="AD4" s="1">
        <f t="shared" ref="AD4:AD73" si="8">(AB4/AC4)*100</f>
        <v>77.272727272727266</v>
      </c>
      <c r="AE4" s="1">
        <f t="shared" ref="AE4:AF4" si="9">AB4+Y4+V4+S4+P4+M4+J4+G4+D4</f>
        <v>178</v>
      </c>
      <c r="AF4" s="1">
        <f t="shared" si="9"/>
        <v>308</v>
      </c>
      <c r="AG4" s="1">
        <f t="shared" ref="AG4:AG73" si="10">(AE4/AF4)*100</f>
        <v>57.792207792207797</v>
      </c>
    </row>
    <row r="5" spans="1:33" ht="19.5" customHeight="1">
      <c r="A5" s="2">
        <v>2</v>
      </c>
      <c r="B5" s="2">
        <v>2301251</v>
      </c>
      <c r="C5" s="3" t="s">
        <v>18</v>
      </c>
      <c r="D5" s="1">
        <f>DM!BK8</f>
        <v>29</v>
      </c>
      <c r="E5" s="1">
        <f>DM!BL8</f>
        <v>45</v>
      </c>
      <c r="F5" s="1">
        <f t="shared" si="0"/>
        <v>64.444444444444443</v>
      </c>
      <c r="G5" s="1">
        <f>COA!BK8</f>
        <v>18</v>
      </c>
      <c r="H5" s="1">
        <f>COA!BL8</f>
        <v>30</v>
      </c>
      <c r="I5" s="1">
        <f t="shared" si="1"/>
        <v>60</v>
      </c>
      <c r="J5" s="1">
        <f>OS!BK8</f>
        <v>21</v>
      </c>
      <c r="K5" s="1">
        <f>OS!BL8</f>
        <v>33</v>
      </c>
      <c r="L5" s="1">
        <f t="shared" si="2"/>
        <v>63.636363636363633</v>
      </c>
      <c r="M5" s="1">
        <f>DAA!BK8</f>
        <v>21</v>
      </c>
      <c r="N5" s="1">
        <f>DAA!BL8</f>
        <v>33</v>
      </c>
      <c r="O5" s="1">
        <f t="shared" si="3"/>
        <v>63.636363636363633</v>
      </c>
      <c r="P5" s="1">
        <f>'UHV2'!BK8</f>
        <v>21</v>
      </c>
      <c r="Q5" s="1">
        <f>'UHV2'!BL8</f>
        <v>29</v>
      </c>
      <c r="R5" s="1">
        <f t="shared" si="4"/>
        <v>72.41379310344827</v>
      </c>
      <c r="S5" s="1">
        <f>EVS!BK8</f>
        <v>20</v>
      </c>
      <c r="T5" s="1">
        <f>EVS!BL8</f>
        <v>29</v>
      </c>
      <c r="U5" s="1">
        <f t="shared" si="5"/>
        <v>68.965517241379317</v>
      </c>
      <c r="V5" s="1">
        <f>COAlab!BK8</f>
        <v>6</v>
      </c>
      <c r="W5" s="1">
        <f>COAlab!BL8</f>
        <v>22</v>
      </c>
      <c r="X5" s="1">
        <f t="shared" si="6"/>
        <v>27.27272727272727</v>
      </c>
      <c r="Y5" s="1">
        <f>OSlab!BK8</f>
        <v>36</v>
      </c>
      <c r="Z5" s="1">
        <f>OSlab!BL8</f>
        <v>43</v>
      </c>
      <c r="AA5" s="1">
        <f t="shared" si="7"/>
        <v>83.720930232558146</v>
      </c>
      <c r="AB5" s="1">
        <f>DAAlab!BK8</f>
        <v>34</v>
      </c>
      <c r="AC5" s="1">
        <f>DAAlab!BL8</f>
        <v>44</v>
      </c>
      <c r="AD5" s="1">
        <f t="shared" si="8"/>
        <v>77.272727272727266</v>
      </c>
      <c r="AE5" s="1">
        <f t="shared" ref="AE5:AF5" si="11">AB5+Y5+V5+S5+P5+M5+J5+G5+D5</f>
        <v>206</v>
      </c>
      <c r="AF5" s="1">
        <f t="shared" si="11"/>
        <v>308</v>
      </c>
      <c r="AG5" s="1">
        <f t="shared" si="10"/>
        <v>66.883116883116884</v>
      </c>
    </row>
    <row r="6" spans="1:33" ht="19.5" customHeight="1">
      <c r="A6" s="2">
        <v>3</v>
      </c>
      <c r="B6" s="2">
        <v>2301252</v>
      </c>
      <c r="C6" s="3" t="s">
        <v>19</v>
      </c>
      <c r="D6" s="1">
        <f>DM!BK9</f>
        <v>34</v>
      </c>
      <c r="E6" s="1">
        <f>DM!BL9</f>
        <v>45</v>
      </c>
      <c r="F6" s="1">
        <f t="shared" si="0"/>
        <v>75.555555555555557</v>
      </c>
      <c r="G6" s="1">
        <f>COA!BK9</f>
        <v>20</v>
      </c>
      <c r="H6" s="1">
        <f>COA!BL9</f>
        <v>30</v>
      </c>
      <c r="I6" s="1">
        <f t="shared" si="1"/>
        <v>66.666666666666657</v>
      </c>
      <c r="J6" s="1">
        <f>OS!BK9</f>
        <v>27</v>
      </c>
      <c r="K6" s="1">
        <f>OS!BL9</f>
        <v>33</v>
      </c>
      <c r="L6" s="1">
        <f t="shared" si="2"/>
        <v>81.818181818181827</v>
      </c>
      <c r="M6" s="1">
        <f>DAA!BK9</f>
        <v>22</v>
      </c>
      <c r="N6" s="1">
        <f>DAA!BL9</f>
        <v>33</v>
      </c>
      <c r="O6" s="1">
        <f t="shared" si="3"/>
        <v>66.666666666666657</v>
      </c>
      <c r="P6" s="1">
        <f>'UHV2'!BK9</f>
        <v>24</v>
      </c>
      <c r="Q6" s="1">
        <f>'UHV2'!BL9</f>
        <v>29</v>
      </c>
      <c r="R6" s="1">
        <f t="shared" si="4"/>
        <v>82.758620689655174</v>
      </c>
      <c r="S6" s="1">
        <f>EVS!BK9</f>
        <v>22</v>
      </c>
      <c r="T6" s="1">
        <f>EVS!BL9</f>
        <v>29</v>
      </c>
      <c r="U6" s="1">
        <f t="shared" si="5"/>
        <v>75.862068965517238</v>
      </c>
      <c r="V6" s="1">
        <f>COAlab!BK9</f>
        <v>18</v>
      </c>
      <c r="W6" s="1">
        <f>COAlab!BL9</f>
        <v>22</v>
      </c>
      <c r="X6" s="1">
        <f t="shared" si="6"/>
        <v>81.818181818181827</v>
      </c>
      <c r="Y6" s="1">
        <f>OSlab!BK9</f>
        <v>36</v>
      </c>
      <c r="Z6" s="1">
        <f>OSlab!BL9</f>
        <v>43</v>
      </c>
      <c r="AA6" s="1">
        <f t="shared" si="7"/>
        <v>83.720930232558146</v>
      </c>
      <c r="AB6" s="1">
        <f>DAAlab!BK9</f>
        <v>30</v>
      </c>
      <c r="AC6" s="1">
        <f>DAAlab!BL9</f>
        <v>44</v>
      </c>
      <c r="AD6" s="1">
        <f t="shared" si="8"/>
        <v>68.181818181818173</v>
      </c>
      <c r="AE6" s="1">
        <f t="shared" ref="AE6:AF6" si="12">AB6+Y6+V6+S6+P6+M6+J6+G6+D6</f>
        <v>233</v>
      </c>
      <c r="AF6" s="1">
        <f t="shared" si="12"/>
        <v>308</v>
      </c>
      <c r="AG6" s="1">
        <f t="shared" si="10"/>
        <v>75.649350649350637</v>
      </c>
    </row>
    <row r="7" spans="1:33" ht="19.5" customHeight="1">
      <c r="A7" s="2">
        <v>4</v>
      </c>
      <c r="B7" s="2">
        <v>2301253</v>
      </c>
      <c r="C7" s="3" t="s">
        <v>20</v>
      </c>
      <c r="D7" s="1">
        <f>DM!BK10</f>
        <v>30</v>
      </c>
      <c r="E7" s="1">
        <f>DM!BL10</f>
        <v>45</v>
      </c>
      <c r="F7" s="1">
        <f t="shared" si="0"/>
        <v>66.666666666666657</v>
      </c>
      <c r="G7" s="1">
        <f>COA!BK10</f>
        <v>24</v>
      </c>
      <c r="H7" s="1">
        <f>COA!BL10</f>
        <v>30</v>
      </c>
      <c r="I7" s="1">
        <f t="shared" si="1"/>
        <v>80</v>
      </c>
      <c r="J7" s="1">
        <f>OS!BK10</f>
        <v>28</v>
      </c>
      <c r="K7" s="1">
        <f>OS!BL10</f>
        <v>33</v>
      </c>
      <c r="L7" s="1">
        <f t="shared" si="2"/>
        <v>84.848484848484844</v>
      </c>
      <c r="M7" s="1">
        <f>DAA!BK10</f>
        <v>26</v>
      </c>
      <c r="N7" s="1">
        <f>DAA!BL10</f>
        <v>33</v>
      </c>
      <c r="O7" s="1">
        <f t="shared" si="3"/>
        <v>78.787878787878782</v>
      </c>
      <c r="P7" s="1">
        <f>'UHV2'!BK10</f>
        <v>21</v>
      </c>
      <c r="Q7" s="1">
        <f>'UHV2'!BL10</f>
        <v>29</v>
      </c>
      <c r="R7" s="1">
        <f t="shared" si="4"/>
        <v>72.41379310344827</v>
      </c>
      <c r="S7" s="1">
        <f>EVS!BK10</f>
        <v>26</v>
      </c>
      <c r="T7" s="1">
        <f>EVS!BL10</f>
        <v>29</v>
      </c>
      <c r="U7" s="1">
        <f t="shared" si="5"/>
        <v>89.65517241379311</v>
      </c>
      <c r="V7" s="1">
        <f>COAlab!BK10</f>
        <v>17</v>
      </c>
      <c r="W7" s="1">
        <f>COAlab!BL10</f>
        <v>22</v>
      </c>
      <c r="X7" s="1">
        <f t="shared" si="6"/>
        <v>77.272727272727266</v>
      </c>
      <c r="Y7" s="1">
        <f>OSlab!BK10</f>
        <v>22</v>
      </c>
      <c r="Z7" s="1">
        <f>OSlab!BL10</f>
        <v>43</v>
      </c>
      <c r="AA7" s="1">
        <f t="shared" si="7"/>
        <v>51.162790697674424</v>
      </c>
      <c r="AB7" s="1">
        <f>DAAlab!BK10</f>
        <v>39</v>
      </c>
      <c r="AC7" s="1">
        <f>DAAlab!BL10</f>
        <v>44</v>
      </c>
      <c r="AD7" s="1">
        <f t="shared" si="8"/>
        <v>88.63636363636364</v>
      </c>
      <c r="AE7" s="1">
        <f t="shared" ref="AE7:AF7" si="13">AB7+Y7+V7+S7+P7+M7+J7+G7+D7</f>
        <v>233</v>
      </c>
      <c r="AF7" s="1">
        <f t="shared" si="13"/>
        <v>308</v>
      </c>
      <c r="AG7" s="1">
        <f t="shared" si="10"/>
        <v>75.649350649350637</v>
      </c>
    </row>
    <row r="8" spans="1:33" ht="19.5" customHeight="1">
      <c r="A8" s="2">
        <v>5</v>
      </c>
      <c r="B8" s="2">
        <v>2301255</v>
      </c>
      <c r="C8" s="3" t="s">
        <v>21</v>
      </c>
      <c r="D8" s="1">
        <f>DM!BK11</f>
        <v>36</v>
      </c>
      <c r="E8" s="1">
        <f>DM!BL11</f>
        <v>45</v>
      </c>
      <c r="F8" s="1">
        <f t="shared" si="0"/>
        <v>80</v>
      </c>
      <c r="G8" s="1">
        <f>COA!BK11</f>
        <v>26</v>
      </c>
      <c r="H8" s="1">
        <f>COA!BL11</f>
        <v>30</v>
      </c>
      <c r="I8" s="1">
        <f t="shared" si="1"/>
        <v>86.666666666666671</v>
      </c>
      <c r="J8" s="1">
        <f>OS!BK11</f>
        <v>25</v>
      </c>
      <c r="K8" s="1">
        <f>OS!BL11</f>
        <v>33</v>
      </c>
      <c r="L8" s="1">
        <f t="shared" si="2"/>
        <v>75.757575757575751</v>
      </c>
      <c r="M8" s="1">
        <f>DAA!BK11</f>
        <v>27</v>
      </c>
      <c r="N8" s="1">
        <f>DAA!BL11</f>
        <v>33</v>
      </c>
      <c r="O8" s="1">
        <f t="shared" si="3"/>
        <v>81.818181818181827</v>
      </c>
      <c r="P8" s="1">
        <f>'UHV2'!BK11</f>
        <v>23</v>
      </c>
      <c r="Q8" s="1">
        <f>'UHV2'!BL11</f>
        <v>29</v>
      </c>
      <c r="R8" s="1">
        <f t="shared" si="4"/>
        <v>79.310344827586206</v>
      </c>
      <c r="S8" s="1">
        <f>EVS!BK11</f>
        <v>22</v>
      </c>
      <c r="T8" s="1">
        <f>EVS!BL11</f>
        <v>29</v>
      </c>
      <c r="U8" s="1">
        <f t="shared" si="5"/>
        <v>75.862068965517238</v>
      </c>
      <c r="V8" s="1">
        <f>COAlab!BK11</f>
        <v>20</v>
      </c>
      <c r="W8" s="1">
        <f>COAlab!BL11</f>
        <v>22</v>
      </c>
      <c r="X8" s="1">
        <f t="shared" si="6"/>
        <v>90.909090909090907</v>
      </c>
      <c r="Y8" s="1">
        <f>OSlab!BK11</f>
        <v>39</v>
      </c>
      <c r="Z8" s="1">
        <f>OSlab!BL11</f>
        <v>43</v>
      </c>
      <c r="AA8" s="1">
        <f t="shared" si="7"/>
        <v>90.697674418604649</v>
      </c>
      <c r="AB8" s="1">
        <f>DAAlab!BK11</f>
        <v>38</v>
      </c>
      <c r="AC8" s="1">
        <f>DAAlab!BL11</f>
        <v>44</v>
      </c>
      <c r="AD8" s="1">
        <f t="shared" si="8"/>
        <v>86.36363636363636</v>
      </c>
      <c r="AE8" s="1">
        <f t="shared" ref="AE8:AF8" si="14">AB8+Y8+V8+S8+P8+M8+J8+G8+D8</f>
        <v>256</v>
      </c>
      <c r="AF8" s="1">
        <f t="shared" si="14"/>
        <v>308</v>
      </c>
      <c r="AG8" s="1">
        <f t="shared" si="10"/>
        <v>83.116883116883116</v>
      </c>
    </row>
    <row r="9" spans="1:33" ht="19.5" customHeight="1">
      <c r="A9" s="2">
        <v>6</v>
      </c>
      <c r="B9" s="2">
        <v>2301256</v>
      </c>
      <c r="C9" s="3" t="s">
        <v>22</v>
      </c>
      <c r="D9" s="1">
        <f>DM!BK12</f>
        <v>37</v>
      </c>
      <c r="E9" s="1">
        <f>DM!BL12</f>
        <v>45</v>
      </c>
      <c r="F9" s="1">
        <f t="shared" si="0"/>
        <v>82.222222222222214</v>
      </c>
      <c r="G9" s="1">
        <f>COA!BK12</f>
        <v>30</v>
      </c>
      <c r="H9" s="1">
        <f>COA!BL12</f>
        <v>30</v>
      </c>
      <c r="I9" s="1">
        <f t="shared" si="1"/>
        <v>100</v>
      </c>
      <c r="J9" s="1">
        <f>OS!BK12</f>
        <v>31</v>
      </c>
      <c r="K9" s="1">
        <f>OS!BL12</f>
        <v>33</v>
      </c>
      <c r="L9" s="1">
        <f t="shared" si="2"/>
        <v>93.939393939393938</v>
      </c>
      <c r="M9" s="1">
        <f>DAA!BK12</f>
        <v>31</v>
      </c>
      <c r="N9" s="1">
        <f>DAA!BL12</f>
        <v>33</v>
      </c>
      <c r="O9" s="1">
        <f t="shared" si="3"/>
        <v>93.939393939393938</v>
      </c>
      <c r="P9" s="1">
        <f>'UHV2'!BK12</f>
        <v>22</v>
      </c>
      <c r="Q9" s="1">
        <f>'UHV2'!BL12</f>
        <v>29</v>
      </c>
      <c r="R9" s="1">
        <f t="shared" si="4"/>
        <v>75.862068965517238</v>
      </c>
      <c r="S9" s="1">
        <f>EVS!BK12</f>
        <v>25</v>
      </c>
      <c r="T9" s="1">
        <f>EVS!BL12</f>
        <v>29</v>
      </c>
      <c r="U9" s="1">
        <f t="shared" si="5"/>
        <v>86.206896551724128</v>
      </c>
      <c r="V9" s="1">
        <f>COAlab!BK12</f>
        <v>22</v>
      </c>
      <c r="W9" s="1">
        <f>COAlab!BL12</f>
        <v>22</v>
      </c>
      <c r="X9" s="1">
        <f t="shared" si="6"/>
        <v>100</v>
      </c>
      <c r="Y9" s="1">
        <f>OSlab!BK12</f>
        <v>36</v>
      </c>
      <c r="Z9" s="1">
        <f>OSlab!BL12</f>
        <v>43</v>
      </c>
      <c r="AA9" s="1">
        <f t="shared" si="7"/>
        <v>83.720930232558146</v>
      </c>
      <c r="AB9" s="1">
        <f>DAAlab!BK12</f>
        <v>34</v>
      </c>
      <c r="AC9" s="1">
        <f>DAAlab!BL12</f>
        <v>44</v>
      </c>
      <c r="AD9" s="1">
        <f t="shared" si="8"/>
        <v>77.272727272727266</v>
      </c>
      <c r="AE9" s="1">
        <f t="shared" ref="AE9:AF9" si="15">AB9+Y9+V9+S9+P9+M9+J9+G9+D9</f>
        <v>268</v>
      </c>
      <c r="AF9" s="1">
        <f t="shared" si="15"/>
        <v>308</v>
      </c>
      <c r="AG9" s="1">
        <f t="shared" si="10"/>
        <v>87.012987012987011</v>
      </c>
    </row>
    <row r="10" spans="1:33" ht="19.5" customHeight="1">
      <c r="A10" s="2">
        <v>7</v>
      </c>
      <c r="B10" s="2">
        <v>2301257</v>
      </c>
      <c r="C10" s="3" t="s">
        <v>23</v>
      </c>
      <c r="D10" s="1">
        <f>DM!BK13</f>
        <v>30</v>
      </c>
      <c r="E10" s="1">
        <f>DM!BL13</f>
        <v>45</v>
      </c>
      <c r="F10" s="1">
        <f t="shared" si="0"/>
        <v>66.666666666666657</v>
      </c>
      <c r="G10" s="1">
        <f>COA!BK13</f>
        <v>16</v>
      </c>
      <c r="H10" s="1">
        <f>COA!BL13</f>
        <v>30</v>
      </c>
      <c r="I10" s="1">
        <f t="shared" si="1"/>
        <v>53.333333333333336</v>
      </c>
      <c r="J10" s="1">
        <f>OS!BK13</f>
        <v>22</v>
      </c>
      <c r="K10" s="1">
        <f>OS!BL13</f>
        <v>33</v>
      </c>
      <c r="L10" s="1">
        <f t="shared" si="2"/>
        <v>66.666666666666657</v>
      </c>
      <c r="M10" s="1">
        <f>DAA!BK13</f>
        <v>30</v>
      </c>
      <c r="N10" s="1">
        <f>DAA!BL13</f>
        <v>33</v>
      </c>
      <c r="O10" s="1">
        <f t="shared" si="3"/>
        <v>90.909090909090907</v>
      </c>
      <c r="P10" s="1">
        <f>'UHV2'!BK13</f>
        <v>20</v>
      </c>
      <c r="Q10" s="1">
        <f>'UHV2'!BL13</f>
        <v>29</v>
      </c>
      <c r="R10" s="1">
        <f t="shared" si="4"/>
        <v>68.965517241379317</v>
      </c>
      <c r="S10" s="1">
        <f>EVS!BK13</f>
        <v>22</v>
      </c>
      <c r="T10" s="1">
        <f>EVS!BL13</f>
        <v>29</v>
      </c>
      <c r="U10" s="1">
        <f t="shared" si="5"/>
        <v>75.862068965517238</v>
      </c>
      <c r="V10" s="1">
        <f>COAlab!BK13</f>
        <v>10</v>
      </c>
      <c r="W10" s="1">
        <f>COAlab!BL13</f>
        <v>22</v>
      </c>
      <c r="X10" s="1">
        <f t="shared" si="6"/>
        <v>45.454545454545453</v>
      </c>
      <c r="Y10" s="1">
        <f>OSlab!BK13</f>
        <v>32</v>
      </c>
      <c r="Z10" s="1">
        <f>OSlab!BL13</f>
        <v>43</v>
      </c>
      <c r="AA10" s="1">
        <f t="shared" si="7"/>
        <v>74.418604651162795</v>
      </c>
      <c r="AB10" s="1">
        <f>DAAlab!BK13</f>
        <v>28</v>
      </c>
      <c r="AC10" s="1">
        <f>DAAlab!BL13</f>
        <v>44</v>
      </c>
      <c r="AD10" s="1">
        <f t="shared" si="8"/>
        <v>63.636363636363633</v>
      </c>
      <c r="AE10" s="1">
        <f t="shared" ref="AE10:AF10" si="16">AB10+Y10+V10+S10+P10+M10+J10+G10+D10</f>
        <v>210</v>
      </c>
      <c r="AF10" s="1">
        <f t="shared" si="16"/>
        <v>308</v>
      </c>
      <c r="AG10" s="1">
        <f t="shared" si="10"/>
        <v>68.181818181818173</v>
      </c>
    </row>
    <row r="11" spans="1:33" ht="19.5" customHeight="1">
      <c r="A11" s="2">
        <v>8</v>
      </c>
      <c r="B11" s="2">
        <v>2301258</v>
      </c>
      <c r="C11" s="3" t="s">
        <v>24</v>
      </c>
      <c r="D11" s="1">
        <f>DM!BK14</f>
        <v>8</v>
      </c>
      <c r="E11" s="1">
        <f>DM!BL14</f>
        <v>45</v>
      </c>
      <c r="F11" s="1">
        <f t="shared" si="0"/>
        <v>17.777777777777779</v>
      </c>
      <c r="G11" s="1">
        <f>COA!BK14</f>
        <v>1</v>
      </c>
      <c r="H11" s="1">
        <f>COA!BL14</f>
        <v>30</v>
      </c>
      <c r="I11" s="1">
        <f t="shared" si="1"/>
        <v>3.3333333333333335</v>
      </c>
      <c r="J11" s="1">
        <f>OS!BK14</f>
        <v>4</v>
      </c>
      <c r="K11" s="1">
        <f>OS!BL14</f>
        <v>33</v>
      </c>
      <c r="L11" s="1">
        <f t="shared" si="2"/>
        <v>12.121212121212121</v>
      </c>
      <c r="M11" s="1">
        <f>DAA!BK14</f>
        <v>4</v>
      </c>
      <c r="N11" s="1">
        <f>DAA!BL14</f>
        <v>33</v>
      </c>
      <c r="O11" s="1">
        <f t="shared" si="3"/>
        <v>12.121212121212121</v>
      </c>
      <c r="P11" s="1">
        <f>'UHV2'!BK14</f>
        <v>14</v>
      </c>
      <c r="Q11" s="1">
        <f>'UHV2'!BL14</f>
        <v>29</v>
      </c>
      <c r="R11" s="1">
        <f t="shared" si="4"/>
        <v>48.275862068965516</v>
      </c>
      <c r="S11" s="1">
        <f>EVS!BK14</f>
        <v>13</v>
      </c>
      <c r="T11" s="1">
        <f>EVS!BL14</f>
        <v>29</v>
      </c>
      <c r="U11" s="1">
        <f t="shared" si="5"/>
        <v>44.827586206896555</v>
      </c>
      <c r="V11" s="1">
        <f>COAlab!BK14</f>
        <v>4</v>
      </c>
      <c r="W11" s="1">
        <f>COAlab!BL14</f>
        <v>22</v>
      </c>
      <c r="X11" s="1">
        <f t="shared" si="6"/>
        <v>18.181818181818183</v>
      </c>
      <c r="Y11" s="1">
        <f>OSlab!BK14</f>
        <v>6</v>
      </c>
      <c r="Z11" s="1">
        <f>OSlab!BL14</f>
        <v>43</v>
      </c>
      <c r="AA11" s="1">
        <f t="shared" si="7"/>
        <v>13.953488372093023</v>
      </c>
      <c r="AB11" s="1">
        <f>DAAlab!BK14</f>
        <v>12</v>
      </c>
      <c r="AC11" s="1">
        <f>DAAlab!BL14</f>
        <v>44</v>
      </c>
      <c r="AD11" s="1">
        <f t="shared" si="8"/>
        <v>27.27272727272727</v>
      </c>
      <c r="AE11" s="1">
        <f t="shared" ref="AE11:AF11" si="17">AB11+Y11+V11+S11+P11+M11+J11+G11+D11</f>
        <v>66</v>
      </c>
      <c r="AF11" s="1">
        <f t="shared" si="17"/>
        <v>308</v>
      </c>
      <c r="AG11" s="1">
        <f t="shared" si="10"/>
        <v>21.428571428571427</v>
      </c>
    </row>
    <row r="12" spans="1:33" ht="19.5" customHeight="1">
      <c r="A12" s="2">
        <v>9</v>
      </c>
      <c r="B12" s="2">
        <v>2301259</v>
      </c>
      <c r="C12" s="3" t="s">
        <v>25</v>
      </c>
      <c r="D12" s="1">
        <f>DM!BK15</f>
        <v>29</v>
      </c>
      <c r="E12" s="1">
        <f>DM!BL15</f>
        <v>45</v>
      </c>
      <c r="F12" s="1">
        <f t="shared" si="0"/>
        <v>64.444444444444443</v>
      </c>
      <c r="G12" s="1">
        <f>COA!BK15</f>
        <v>26</v>
      </c>
      <c r="H12" s="1">
        <f>COA!BL15</f>
        <v>30</v>
      </c>
      <c r="I12" s="1">
        <f t="shared" si="1"/>
        <v>86.666666666666671</v>
      </c>
      <c r="J12" s="1">
        <f>OS!BK15</f>
        <v>26</v>
      </c>
      <c r="K12" s="1">
        <f>OS!BL15</f>
        <v>33</v>
      </c>
      <c r="L12" s="1">
        <f t="shared" si="2"/>
        <v>78.787878787878782</v>
      </c>
      <c r="M12" s="1">
        <f>DAA!BK15</f>
        <v>26</v>
      </c>
      <c r="N12" s="1">
        <f>DAA!BL15</f>
        <v>33</v>
      </c>
      <c r="O12" s="1">
        <f t="shared" si="3"/>
        <v>78.787878787878782</v>
      </c>
      <c r="P12" s="1">
        <f>'UHV2'!BK15</f>
        <v>19</v>
      </c>
      <c r="Q12" s="1">
        <f>'UHV2'!BL15</f>
        <v>29</v>
      </c>
      <c r="R12" s="1">
        <f t="shared" si="4"/>
        <v>65.517241379310349</v>
      </c>
      <c r="S12" s="1">
        <f>EVS!BK15</f>
        <v>23</v>
      </c>
      <c r="T12" s="1">
        <f>EVS!BL15</f>
        <v>29</v>
      </c>
      <c r="U12" s="1">
        <f t="shared" si="5"/>
        <v>79.310344827586206</v>
      </c>
      <c r="V12" s="1">
        <f>COAlab!BK15</f>
        <v>20</v>
      </c>
      <c r="W12" s="1">
        <f>COAlab!BL15</f>
        <v>22</v>
      </c>
      <c r="X12" s="1">
        <f t="shared" si="6"/>
        <v>90.909090909090907</v>
      </c>
      <c r="Y12" s="1">
        <f>OSlab!BK15</f>
        <v>26</v>
      </c>
      <c r="Z12" s="1">
        <f>OSlab!BL15</f>
        <v>43</v>
      </c>
      <c r="AA12" s="1">
        <f t="shared" si="7"/>
        <v>60.465116279069761</v>
      </c>
      <c r="AB12" s="1">
        <f>DAAlab!BK15</f>
        <v>34</v>
      </c>
      <c r="AC12" s="1">
        <f>DAAlab!BL15</f>
        <v>44</v>
      </c>
      <c r="AD12" s="1">
        <f t="shared" si="8"/>
        <v>77.272727272727266</v>
      </c>
      <c r="AE12" s="1">
        <f t="shared" ref="AE12:AF12" si="18">AB12+Y12+V12+S12+P12+M12+J12+G12+D12</f>
        <v>229</v>
      </c>
      <c r="AF12" s="1">
        <f t="shared" si="18"/>
        <v>308</v>
      </c>
      <c r="AG12" s="1">
        <f t="shared" si="10"/>
        <v>74.350649350649363</v>
      </c>
    </row>
    <row r="13" spans="1:33" ht="19.5" customHeight="1">
      <c r="A13" s="2">
        <v>10</v>
      </c>
      <c r="B13" s="2">
        <v>2301260</v>
      </c>
      <c r="C13" s="3" t="s">
        <v>26</v>
      </c>
      <c r="D13" s="1">
        <f>DM!BK16</f>
        <v>34</v>
      </c>
      <c r="E13" s="1">
        <f>DM!BL16</f>
        <v>45</v>
      </c>
      <c r="F13" s="1">
        <f t="shared" si="0"/>
        <v>75.555555555555557</v>
      </c>
      <c r="G13" s="1">
        <f>COA!BK16</f>
        <v>26</v>
      </c>
      <c r="H13" s="1">
        <f>COA!BL16</f>
        <v>30</v>
      </c>
      <c r="I13" s="1">
        <f t="shared" si="1"/>
        <v>86.666666666666671</v>
      </c>
      <c r="J13" s="1">
        <f>OS!BK16</f>
        <v>28</v>
      </c>
      <c r="K13" s="1">
        <f>OS!BL16</f>
        <v>33</v>
      </c>
      <c r="L13" s="1">
        <f t="shared" si="2"/>
        <v>84.848484848484844</v>
      </c>
      <c r="M13" s="1">
        <f>DAA!BK16</f>
        <v>25</v>
      </c>
      <c r="N13" s="1">
        <f>DAA!BL16</f>
        <v>33</v>
      </c>
      <c r="O13" s="1">
        <f t="shared" si="3"/>
        <v>75.757575757575751</v>
      </c>
      <c r="P13" s="1">
        <f>'UHV2'!BK16</f>
        <v>22</v>
      </c>
      <c r="Q13" s="1">
        <f>'UHV2'!BL16</f>
        <v>29</v>
      </c>
      <c r="R13" s="1">
        <f t="shared" si="4"/>
        <v>75.862068965517238</v>
      </c>
      <c r="S13" s="1">
        <f>EVS!BK16</f>
        <v>24</v>
      </c>
      <c r="T13" s="1">
        <f>EVS!BL16</f>
        <v>29</v>
      </c>
      <c r="U13" s="1">
        <f t="shared" si="5"/>
        <v>82.758620689655174</v>
      </c>
      <c r="V13" s="1">
        <f>COAlab!BK16</f>
        <v>20</v>
      </c>
      <c r="W13" s="1">
        <f>COAlab!BL16</f>
        <v>22</v>
      </c>
      <c r="X13" s="1">
        <f t="shared" si="6"/>
        <v>90.909090909090907</v>
      </c>
      <c r="Y13" s="1">
        <f>OSlab!BK16</f>
        <v>38</v>
      </c>
      <c r="Z13" s="1">
        <f>OSlab!BL16</f>
        <v>43</v>
      </c>
      <c r="AA13" s="1">
        <f t="shared" si="7"/>
        <v>88.372093023255815</v>
      </c>
      <c r="AB13" s="1">
        <f>DAAlab!BK16</f>
        <v>36</v>
      </c>
      <c r="AC13" s="1">
        <f>DAAlab!BL16</f>
        <v>44</v>
      </c>
      <c r="AD13" s="1">
        <f t="shared" si="8"/>
        <v>81.818181818181827</v>
      </c>
      <c r="AE13" s="1">
        <f t="shared" ref="AE13:AF13" si="19">AB13+Y13+V13+S13+P13+M13+J13+G13+D13</f>
        <v>253</v>
      </c>
      <c r="AF13" s="1">
        <f t="shared" si="19"/>
        <v>308</v>
      </c>
      <c r="AG13" s="1">
        <f t="shared" si="10"/>
        <v>82.142857142857139</v>
      </c>
    </row>
    <row r="14" spans="1:33" ht="19.5" customHeight="1">
      <c r="A14" s="2">
        <v>11</v>
      </c>
      <c r="B14" s="2">
        <v>2301261</v>
      </c>
      <c r="C14" s="3" t="s">
        <v>27</v>
      </c>
      <c r="D14" s="1">
        <f>DM!BK17</f>
        <v>15</v>
      </c>
      <c r="E14" s="1">
        <f>DM!BL17</f>
        <v>45</v>
      </c>
      <c r="F14" s="1">
        <f t="shared" si="0"/>
        <v>33.333333333333329</v>
      </c>
      <c r="G14" s="1">
        <f>COA!BK17</f>
        <v>14</v>
      </c>
      <c r="H14" s="1">
        <f>COA!BL17</f>
        <v>30</v>
      </c>
      <c r="I14" s="1">
        <f t="shared" si="1"/>
        <v>46.666666666666664</v>
      </c>
      <c r="J14" s="1">
        <f>OS!BK17</f>
        <v>17</v>
      </c>
      <c r="K14" s="1">
        <f>OS!BL17</f>
        <v>33</v>
      </c>
      <c r="L14" s="1">
        <f t="shared" si="2"/>
        <v>51.515151515151516</v>
      </c>
      <c r="M14" s="1">
        <f>DAA!BK17</f>
        <v>18</v>
      </c>
      <c r="N14" s="1">
        <f>DAA!BL17</f>
        <v>33</v>
      </c>
      <c r="O14" s="1">
        <f t="shared" si="3"/>
        <v>54.54545454545454</v>
      </c>
      <c r="P14" s="1">
        <f>'UHV2'!BK17</f>
        <v>11</v>
      </c>
      <c r="Q14" s="1">
        <f>'UHV2'!BL17</f>
        <v>29</v>
      </c>
      <c r="R14" s="1">
        <f t="shared" si="4"/>
        <v>37.931034482758619</v>
      </c>
      <c r="S14" s="1">
        <f>EVS!BK17</f>
        <v>14</v>
      </c>
      <c r="T14" s="1">
        <f>EVS!BL17</f>
        <v>29</v>
      </c>
      <c r="U14" s="1">
        <f t="shared" si="5"/>
        <v>48.275862068965516</v>
      </c>
      <c r="V14" s="1">
        <f>COAlab!BK17</f>
        <v>8</v>
      </c>
      <c r="W14" s="1">
        <f>COAlab!BL17</f>
        <v>22</v>
      </c>
      <c r="X14" s="1">
        <f t="shared" si="6"/>
        <v>36.363636363636367</v>
      </c>
      <c r="Y14" s="1">
        <f>OSlab!BK17</f>
        <v>14</v>
      </c>
      <c r="Z14" s="1">
        <f>OSlab!BL17</f>
        <v>43</v>
      </c>
      <c r="AA14" s="1">
        <f t="shared" si="7"/>
        <v>32.558139534883722</v>
      </c>
      <c r="AB14" s="1">
        <f>DAAlab!BK17</f>
        <v>26</v>
      </c>
      <c r="AC14" s="1">
        <f>DAAlab!BL17</f>
        <v>44</v>
      </c>
      <c r="AD14" s="1">
        <f t="shared" si="8"/>
        <v>59.090909090909093</v>
      </c>
      <c r="AE14" s="1">
        <f t="shared" ref="AE14:AF14" si="20">AB14+Y14+V14+S14+P14+M14+J14+G14+D14</f>
        <v>137</v>
      </c>
      <c r="AF14" s="1">
        <f t="shared" si="20"/>
        <v>308</v>
      </c>
      <c r="AG14" s="1">
        <f t="shared" si="10"/>
        <v>44.480519480519483</v>
      </c>
    </row>
    <row r="15" spans="1:33" ht="19.5" customHeight="1">
      <c r="A15" s="2">
        <v>12</v>
      </c>
      <c r="B15" s="2">
        <v>2301262</v>
      </c>
      <c r="C15" s="3" t="s">
        <v>28</v>
      </c>
      <c r="D15" s="1">
        <f>DM!BK18</f>
        <v>33</v>
      </c>
      <c r="E15" s="1">
        <f>DM!BL18</f>
        <v>45</v>
      </c>
      <c r="F15" s="1">
        <f t="shared" si="0"/>
        <v>73.333333333333329</v>
      </c>
      <c r="G15" s="1">
        <f>COA!BK18</f>
        <v>25</v>
      </c>
      <c r="H15" s="1">
        <f>COA!BL18</f>
        <v>30</v>
      </c>
      <c r="I15" s="1">
        <f t="shared" si="1"/>
        <v>83.333333333333343</v>
      </c>
      <c r="J15" s="1">
        <f>OS!BK18</f>
        <v>28</v>
      </c>
      <c r="K15" s="1">
        <f>OS!BL18</f>
        <v>33</v>
      </c>
      <c r="L15" s="1">
        <f t="shared" si="2"/>
        <v>84.848484848484844</v>
      </c>
      <c r="M15" s="1">
        <f>DAA!BK18</f>
        <v>25</v>
      </c>
      <c r="N15" s="1">
        <f>DAA!BL18</f>
        <v>33</v>
      </c>
      <c r="O15" s="1">
        <f t="shared" si="3"/>
        <v>75.757575757575751</v>
      </c>
      <c r="P15" s="1">
        <f>'UHV2'!BK18</f>
        <v>21</v>
      </c>
      <c r="Q15" s="1">
        <f>'UHV2'!BL18</f>
        <v>29</v>
      </c>
      <c r="R15" s="1">
        <f t="shared" si="4"/>
        <v>72.41379310344827</v>
      </c>
      <c r="S15" s="1">
        <f>EVS!BK18</f>
        <v>25</v>
      </c>
      <c r="T15" s="1">
        <f>EVS!BL18</f>
        <v>29</v>
      </c>
      <c r="U15" s="1">
        <f t="shared" si="5"/>
        <v>86.206896551724128</v>
      </c>
      <c r="V15" s="1">
        <f>COAlab!BK18</f>
        <v>20</v>
      </c>
      <c r="W15" s="1">
        <f>COAlab!BL18</f>
        <v>22</v>
      </c>
      <c r="X15" s="1">
        <f t="shared" si="6"/>
        <v>90.909090909090907</v>
      </c>
      <c r="Y15" s="1">
        <f>OSlab!BK18</f>
        <v>32</v>
      </c>
      <c r="Z15" s="1">
        <f>OSlab!BL18</f>
        <v>43</v>
      </c>
      <c r="AA15" s="1">
        <f t="shared" si="7"/>
        <v>74.418604651162795</v>
      </c>
      <c r="AB15" s="1">
        <f>DAAlab!BK18</f>
        <v>32</v>
      </c>
      <c r="AC15" s="1">
        <f>DAAlab!BL18</f>
        <v>44</v>
      </c>
      <c r="AD15" s="1">
        <f t="shared" si="8"/>
        <v>72.727272727272734</v>
      </c>
      <c r="AE15" s="1">
        <f t="shared" ref="AE15:AF15" si="21">AB15+Y15+V15+S15+P15+M15+J15+G15+D15</f>
        <v>241</v>
      </c>
      <c r="AF15" s="1">
        <f t="shared" si="21"/>
        <v>308</v>
      </c>
      <c r="AG15" s="1">
        <f t="shared" si="10"/>
        <v>78.246753246753244</v>
      </c>
    </row>
    <row r="16" spans="1:33" ht="19.5" customHeight="1">
      <c r="A16" s="2">
        <v>13</v>
      </c>
      <c r="B16" s="2">
        <v>2301263</v>
      </c>
      <c r="C16" s="3" t="s">
        <v>29</v>
      </c>
      <c r="D16" s="1">
        <f>DM!BK19</f>
        <v>42</v>
      </c>
      <c r="E16" s="1">
        <f>DM!BL19</f>
        <v>45</v>
      </c>
      <c r="F16" s="1">
        <f t="shared" si="0"/>
        <v>93.333333333333329</v>
      </c>
      <c r="G16" s="1">
        <f>COA!BK19</f>
        <v>29</v>
      </c>
      <c r="H16" s="1">
        <f>COA!BL19</f>
        <v>30</v>
      </c>
      <c r="I16" s="1">
        <f t="shared" si="1"/>
        <v>96.666666666666671</v>
      </c>
      <c r="J16" s="1">
        <f>OS!BK19</f>
        <v>30</v>
      </c>
      <c r="K16" s="1">
        <f>OS!BL19</f>
        <v>33</v>
      </c>
      <c r="L16" s="1">
        <f t="shared" si="2"/>
        <v>90.909090909090907</v>
      </c>
      <c r="M16" s="1">
        <f>DAA!BK19</f>
        <v>32</v>
      </c>
      <c r="N16" s="1">
        <f>DAA!BL19</f>
        <v>33</v>
      </c>
      <c r="O16" s="1">
        <f t="shared" si="3"/>
        <v>96.969696969696969</v>
      </c>
      <c r="P16" s="1">
        <f>'UHV2'!BK19</f>
        <v>24</v>
      </c>
      <c r="Q16" s="1">
        <f>'UHV2'!BL19</f>
        <v>29</v>
      </c>
      <c r="R16" s="1">
        <f t="shared" si="4"/>
        <v>82.758620689655174</v>
      </c>
      <c r="S16" s="1">
        <f>EVS!BK19</f>
        <v>26</v>
      </c>
      <c r="T16" s="1">
        <f>EVS!BL19</f>
        <v>29</v>
      </c>
      <c r="U16" s="1">
        <f t="shared" si="5"/>
        <v>89.65517241379311</v>
      </c>
      <c r="V16" s="1">
        <f>COAlab!BK19</f>
        <v>22</v>
      </c>
      <c r="W16" s="1">
        <f>COAlab!BL19</f>
        <v>22</v>
      </c>
      <c r="X16" s="1">
        <f t="shared" si="6"/>
        <v>100</v>
      </c>
      <c r="Y16" s="1">
        <f>OSlab!BK19</f>
        <v>39</v>
      </c>
      <c r="Z16" s="1">
        <f>OSlab!BL19</f>
        <v>43</v>
      </c>
      <c r="AA16" s="1">
        <f t="shared" si="7"/>
        <v>90.697674418604649</v>
      </c>
      <c r="AB16" s="1">
        <f>DAAlab!BK19</f>
        <v>44</v>
      </c>
      <c r="AC16" s="1">
        <f>DAAlab!BL19</f>
        <v>44</v>
      </c>
      <c r="AD16" s="1">
        <f t="shared" si="8"/>
        <v>100</v>
      </c>
      <c r="AE16" s="1">
        <f t="shared" ref="AE16:AF16" si="22">AB16+Y16+V16+S16+P16+M16+J16+G16+D16</f>
        <v>288</v>
      </c>
      <c r="AF16" s="1">
        <f t="shared" si="22"/>
        <v>308</v>
      </c>
      <c r="AG16" s="1">
        <f t="shared" si="10"/>
        <v>93.506493506493499</v>
      </c>
    </row>
    <row r="17" spans="1:33" ht="19.5" customHeight="1">
      <c r="A17" s="2">
        <v>14</v>
      </c>
      <c r="B17" s="2">
        <v>2301264</v>
      </c>
      <c r="C17" s="3" t="s">
        <v>30</v>
      </c>
      <c r="D17" s="1">
        <f>DM!BK20</f>
        <v>21</v>
      </c>
      <c r="E17" s="1">
        <f>DM!BL20</f>
        <v>45</v>
      </c>
      <c r="F17" s="1">
        <f t="shared" si="0"/>
        <v>46.666666666666664</v>
      </c>
      <c r="G17" s="1">
        <f>COA!BK20</f>
        <v>17</v>
      </c>
      <c r="H17" s="1">
        <f>COA!BL20</f>
        <v>30</v>
      </c>
      <c r="I17" s="1">
        <f t="shared" si="1"/>
        <v>56.666666666666664</v>
      </c>
      <c r="J17" s="1">
        <f>OS!BK20</f>
        <v>20</v>
      </c>
      <c r="K17" s="1">
        <f>OS!BL20</f>
        <v>33</v>
      </c>
      <c r="L17" s="1">
        <f t="shared" si="2"/>
        <v>60.606060606060609</v>
      </c>
      <c r="M17" s="1">
        <f>DAA!BK20</f>
        <v>20</v>
      </c>
      <c r="N17" s="1">
        <f>DAA!BL20</f>
        <v>33</v>
      </c>
      <c r="O17" s="1">
        <f t="shared" si="3"/>
        <v>60.606060606060609</v>
      </c>
      <c r="P17" s="1">
        <f>'UHV2'!BK20</f>
        <v>14</v>
      </c>
      <c r="Q17" s="1">
        <f>'UHV2'!BL20</f>
        <v>29</v>
      </c>
      <c r="R17" s="1">
        <f t="shared" si="4"/>
        <v>48.275862068965516</v>
      </c>
      <c r="S17" s="1">
        <f>EVS!BK20</f>
        <v>9</v>
      </c>
      <c r="T17" s="1">
        <f>EVS!BL20</f>
        <v>29</v>
      </c>
      <c r="U17" s="1">
        <f t="shared" si="5"/>
        <v>31.03448275862069</v>
      </c>
      <c r="V17" s="1">
        <f>COAlab!BK20</f>
        <v>12</v>
      </c>
      <c r="W17" s="1">
        <f>COAlab!BL20</f>
        <v>22</v>
      </c>
      <c r="X17" s="1">
        <f t="shared" si="6"/>
        <v>54.54545454545454</v>
      </c>
      <c r="Y17" s="1">
        <f>OSlab!BK20</f>
        <v>19</v>
      </c>
      <c r="Z17" s="1">
        <f>OSlab!BL20</f>
        <v>43</v>
      </c>
      <c r="AA17" s="1">
        <f t="shared" si="7"/>
        <v>44.186046511627907</v>
      </c>
      <c r="AB17" s="1">
        <f>DAAlab!BK20</f>
        <v>22</v>
      </c>
      <c r="AC17" s="1">
        <f>DAAlab!BL20</f>
        <v>44</v>
      </c>
      <c r="AD17" s="1">
        <f t="shared" si="8"/>
        <v>50</v>
      </c>
      <c r="AE17" s="1">
        <f t="shared" ref="AE17:AF17" si="23">AB17+Y17+V17+S17+P17+M17+J17+G17+D17</f>
        <v>154</v>
      </c>
      <c r="AF17" s="1">
        <f t="shared" si="23"/>
        <v>308</v>
      </c>
      <c r="AG17" s="1">
        <f t="shared" si="10"/>
        <v>50</v>
      </c>
    </row>
    <row r="18" spans="1:33" ht="19.5" customHeight="1">
      <c r="A18" s="2">
        <v>15</v>
      </c>
      <c r="B18" s="2">
        <v>2301265</v>
      </c>
      <c r="C18" s="3" t="s">
        <v>31</v>
      </c>
      <c r="D18" s="1">
        <f>DM!BK21</f>
        <v>35</v>
      </c>
      <c r="E18" s="1">
        <f>DM!BL21</f>
        <v>45</v>
      </c>
      <c r="F18" s="1">
        <f t="shared" si="0"/>
        <v>77.777777777777786</v>
      </c>
      <c r="G18" s="1">
        <f>COA!BK21</f>
        <v>24</v>
      </c>
      <c r="H18" s="1">
        <f>COA!BL21</f>
        <v>30</v>
      </c>
      <c r="I18" s="1">
        <f t="shared" si="1"/>
        <v>80</v>
      </c>
      <c r="J18" s="1">
        <f>OS!BK21</f>
        <v>23</v>
      </c>
      <c r="K18" s="1">
        <f>OS!BL21</f>
        <v>33</v>
      </c>
      <c r="L18" s="1">
        <f t="shared" si="2"/>
        <v>69.696969696969703</v>
      </c>
      <c r="M18" s="1">
        <f>DAA!BK21</f>
        <v>26</v>
      </c>
      <c r="N18" s="1">
        <f>DAA!BL21</f>
        <v>33</v>
      </c>
      <c r="O18" s="1">
        <f t="shared" si="3"/>
        <v>78.787878787878782</v>
      </c>
      <c r="P18" s="1">
        <f>'UHV2'!BK21</f>
        <v>25</v>
      </c>
      <c r="Q18" s="1">
        <f>'UHV2'!BL21</f>
        <v>29</v>
      </c>
      <c r="R18" s="1">
        <f t="shared" si="4"/>
        <v>86.206896551724128</v>
      </c>
      <c r="S18" s="1">
        <f>EVS!BK21</f>
        <v>21</v>
      </c>
      <c r="T18" s="1">
        <f>EVS!BL21</f>
        <v>29</v>
      </c>
      <c r="U18" s="1">
        <f t="shared" si="5"/>
        <v>72.41379310344827</v>
      </c>
      <c r="V18" s="1">
        <f>COAlab!BK21</f>
        <v>16</v>
      </c>
      <c r="W18" s="1">
        <f>COAlab!BL21</f>
        <v>22</v>
      </c>
      <c r="X18" s="1">
        <f t="shared" si="6"/>
        <v>72.727272727272734</v>
      </c>
      <c r="Y18" s="1">
        <f>OSlab!BK21</f>
        <v>29</v>
      </c>
      <c r="Z18" s="1">
        <f>OSlab!BL21</f>
        <v>43</v>
      </c>
      <c r="AA18" s="1">
        <f t="shared" si="7"/>
        <v>67.441860465116278</v>
      </c>
      <c r="AB18" s="1">
        <f>DAAlab!BK21</f>
        <v>40</v>
      </c>
      <c r="AC18" s="1">
        <f>DAAlab!BL21</f>
        <v>44</v>
      </c>
      <c r="AD18" s="1">
        <f t="shared" si="8"/>
        <v>90.909090909090907</v>
      </c>
      <c r="AE18" s="1">
        <f t="shared" ref="AE18:AF18" si="24">AB18+Y18+V18+S18+P18+M18+J18+G18+D18</f>
        <v>239</v>
      </c>
      <c r="AF18" s="1">
        <f t="shared" si="24"/>
        <v>308</v>
      </c>
      <c r="AG18" s="1">
        <f t="shared" si="10"/>
        <v>77.597402597402592</v>
      </c>
    </row>
    <row r="19" spans="1:33" ht="19.5" customHeight="1">
      <c r="A19" s="2">
        <v>16</v>
      </c>
      <c r="B19" s="2">
        <v>2301267</v>
      </c>
      <c r="C19" s="3" t="s">
        <v>32</v>
      </c>
      <c r="D19" s="1">
        <f>DM!BK22</f>
        <v>29</v>
      </c>
      <c r="E19" s="1">
        <f>DM!BL22</f>
        <v>45</v>
      </c>
      <c r="F19" s="1">
        <f t="shared" si="0"/>
        <v>64.444444444444443</v>
      </c>
      <c r="G19" s="1">
        <f>COA!BK22</f>
        <v>22</v>
      </c>
      <c r="H19" s="1">
        <f>COA!BL22</f>
        <v>30</v>
      </c>
      <c r="I19" s="1">
        <f t="shared" si="1"/>
        <v>73.333333333333329</v>
      </c>
      <c r="J19" s="1">
        <f>OS!BK22</f>
        <v>26</v>
      </c>
      <c r="K19" s="1">
        <f>OS!BL22</f>
        <v>33</v>
      </c>
      <c r="L19" s="1">
        <f t="shared" si="2"/>
        <v>78.787878787878782</v>
      </c>
      <c r="M19" s="1">
        <f>DAA!BK22</f>
        <v>28</v>
      </c>
      <c r="N19" s="1">
        <f>DAA!BL22</f>
        <v>33</v>
      </c>
      <c r="O19" s="1">
        <f t="shared" si="3"/>
        <v>84.848484848484844</v>
      </c>
      <c r="P19" s="1">
        <f>'UHV2'!BK22</f>
        <v>17</v>
      </c>
      <c r="Q19" s="1">
        <f>'UHV2'!BL22</f>
        <v>29</v>
      </c>
      <c r="R19" s="1">
        <f t="shared" si="4"/>
        <v>58.620689655172406</v>
      </c>
      <c r="S19" s="1">
        <f>EVS!BK22</f>
        <v>23</v>
      </c>
      <c r="T19" s="1">
        <f>EVS!BL22</f>
        <v>29</v>
      </c>
      <c r="U19" s="1">
        <f t="shared" si="5"/>
        <v>79.310344827586206</v>
      </c>
      <c r="V19" s="1">
        <f>COAlab!BK22</f>
        <v>18</v>
      </c>
      <c r="W19" s="1">
        <f>COAlab!BL22</f>
        <v>22</v>
      </c>
      <c r="X19" s="1">
        <f t="shared" si="6"/>
        <v>81.818181818181827</v>
      </c>
      <c r="Y19" s="1">
        <f>OSlab!BK22</f>
        <v>30</v>
      </c>
      <c r="Z19" s="1">
        <f>OSlab!BL22</f>
        <v>43</v>
      </c>
      <c r="AA19" s="1">
        <f t="shared" si="7"/>
        <v>69.767441860465112</v>
      </c>
      <c r="AB19" s="1">
        <f>DAAlab!BK22</f>
        <v>30</v>
      </c>
      <c r="AC19" s="1">
        <f>DAAlab!BL22</f>
        <v>44</v>
      </c>
      <c r="AD19" s="1">
        <f t="shared" si="8"/>
        <v>68.181818181818173</v>
      </c>
      <c r="AE19" s="1">
        <f t="shared" ref="AE19:AF19" si="25">AB19+Y19+V19+S19+P19+M19+J19+G19+D19</f>
        <v>223</v>
      </c>
      <c r="AF19" s="1">
        <f t="shared" si="25"/>
        <v>308</v>
      </c>
      <c r="AG19" s="1">
        <f t="shared" si="10"/>
        <v>72.402597402597408</v>
      </c>
    </row>
    <row r="20" spans="1:33" ht="19.5" customHeight="1">
      <c r="A20" s="2">
        <v>17</v>
      </c>
      <c r="B20" s="2">
        <v>2301268</v>
      </c>
      <c r="C20" s="3" t="s">
        <v>33</v>
      </c>
      <c r="D20" s="1">
        <f>DM!BK23</f>
        <v>31</v>
      </c>
      <c r="E20" s="1">
        <f>DM!BL23</f>
        <v>45</v>
      </c>
      <c r="F20" s="1">
        <f t="shared" si="0"/>
        <v>68.888888888888886</v>
      </c>
      <c r="G20" s="1">
        <f>COA!BK23</f>
        <v>22</v>
      </c>
      <c r="H20" s="1">
        <f>COA!BL23</f>
        <v>30</v>
      </c>
      <c r="I20" s="1">
        <f t="shared" si="1"/>
        <v>73.333333333333329</v>
      </c>
      <c r="J20" s="1">
        <f>OS!BK23</f>
        <v>25</v>
      </c>
      <c r="K20" s="1">
        <f>OS!BL23</f>
        <v>33</v>
      </c>
      <c r="L20" s="1">
        <f t="shared" si="2"/>
        <v>75.757575757575751</v>
      </c>
      <c r="M20" s="1">
        <f>DAA!BK23</f>
        <v>26</v>
      </c>
      <c r="N20" s="1">
        <f>DAA!BL23</f>
        <v>33</v>
      </c>
      <c r="O20" s="1">
        <f t="shared" si="3"/>
        <v>78.787878787878782</v>
      </c>
      <c r="P20" s="1">
        <f>'UHV2'!BK23</f>
        <v>19</v>
      </c>
      <c r="Q20" s="1">
        <f>'UHV2'!BL23</f>
        <v>29</v>
      </c>
      <c r="R20" s="1">
        <f t="shared" si="4"/>
        <v>65.517241379310349</v>
      </c>
      <c r="S20" s="1">
        <f>EVS!BK23</f>
        <v>21</v>
      </c>
      <c r="T20" s="1">
        <f>EVS!BL23</f>
        <v>29</v>
      </c>
      <c r="U20" s="1">
        <f t="shared" si="5"/>
        <v>72.41379310344827</v>
      </c>
      <c r="V20" s="1">
        <f>COAlab!BK23</f>
        <v>14</v>
      </c>
      <c r="W20" s="1">
        <f>COAlab!BL23</f>
        <v>22</v>
      </c>
      <c r="X20" s="1">
        <f t="shared" si="6"/>
        <v>63.636363636363633</v>
      </c>
      <c r="Y20" s="1">
        <f>OSlab!BK23</f>
        <v>23</v>
      </c>
      <c r="Z20" s="1">
        <f>OSlab!BL23</f>
        <v>43</v>
      </c>
      <c r="AA20" s="1">
        <f t="shared" si="7"/>
        <v>53.488372093023251</v>
      </c>
      <c r="AB20" s="1">
        <f>DAAlab!BK23</f>
        <v>26</v>
      </c>
      <c r="AC20" s="1">
        <f>DAAlab!BL23</f>
        <v>44</v>
      </c>
      <c r="AD20" s="1">
        <f t="shared" si="8"/>
        <v>59.090909090909093</v>
      </c>
      <c r="AE20" s="1">
        <f t="shared" ref="AE20:AF20" si="26">AB20+Y20+V20+S20+P20+M20+J20+G20+D20</f>
        <v>207</v>
      </c>
      <c r="AF20" s="1">
        <f t="shared" si="26"/>
        <v>308</v>
      </c>
      <c r="AG20" s="1">
        <f t="shared" si="10"/>
        <v>67.20779220779221</v>
      </c>
    </row>
    <row r="21" spans="1:33" ht="19.5" customHeight="1">
      <c r="A21" s="2">
        <v>18</v>
      </c>
      <c r="B21" s="2">
        <v>2301269</v>
      </c>
      <c r="C21" s="3" t="s">
        <v>34</v>
      </c>
      <c r="D21" s="1">
        <f>DM!BK24</f>
        <v>39</v>
      </c>
      <c r="E21" s="1">
        <f>DM!BL24</f>
        <v>45</v>
      </c>
      <c r="F21" s="1">
        <f t="shared" si="0"/>
        <v>86.666666666666671</v>
      </c>
      <c r="G21" s="1">
        <f>COA!BK24</f>
        <v>26</v>
      </c>
      <c r="H21" s="1">
        <f>COA!BL24</f>
        <v>30</v>
      </c>
      <c r="I21" s="1">
        <f t="shared" si="1"/>
        <v>86.666666666666671</v>
      </c>
      <c r="J21" s="1">
        <f>OS!BK24</f>
        <v>29</v>
      </c>
      <c r="K21" s="1">
        <f>OS!BL24</f>
        <v>33</v>
      </c>
      <c r="L21" s="1">
        <f t="shared" si="2"/>
        <v>87.878787878787875</v>
      </c>
      <c r="M21" s="1">
        <f>DAA!BK24</f>
        <v>27</v>
      </c>
      <c r="N21" s="1">
        <f>DAA!BL24</f>
        <v>33</v>
      </c>
      <c r="O21" s="1">
        <f t="shared" si="3"/>
        <v>81.818181818181827</v>
      </c>
      <c r="P21" s="1">
        <f>'UHV2'!BK24</f>
        <v>23</v>
      </c>
      <c r="Q21" s="1">
        <f>'UHV2'!BL24</f>
        <v>29</v>
      </c>
      <c r="R21" s="1">
        <f t="shared" si="4"/>
        <v>79.310344827586206</v>
      </c>
      <c r="S21" s="1">
        <f>EVS!BK24</f>
        <v>26</v>
      </c>
      <c r="T21" s="1">
        <f>EVS!BL24</f>
        <v>29</v>
      </c>
      <c r="U21" s="1">
        <f t="shared" si="5"/>
        <v>89.65517241379311</v>
      </c>
      <c r="V21" s="1">
        <f>COAlab!BK24</f>
        <v>22</v>
      </c>
      <c r="W21" s="1">
        <f>COAlab!BL24</f>
        <v>22</v>
      </c>
      <c r="X21" s="1">
        <f t="shared" si="6"/>
        <v>100</v>
      </c>
      <c r="Y21" s="1">
        <f>OSlab!BK24</f>
        <v>37</v>
      </c>
      <c r="Z21" s="1">
        <f>OSlab!BL24</f>
        <v>43</v>
      </c>
      <c r="AA21" s="1">
        <f t="shared" si="7"/>
        <v>86.04651162790698</v>
      </c>
      <c r="AB21" s="1">
        <f>DAAlab!BK24</f>
        <v>38</v>
      </c>
      <c r="AC21" s="1">
        <f>DAAlab!BL24</f>
        <v>44</v>
      </c>
      <c r="AD21" s="1">
        <f t="shared" si="8"/>
        <v>86.36363636363636</v>
      </c>
      <c r="AE21" s="1">
        <f t="shared" ref="AE21:AF21" si="27">AB21+Y21+V21+S21+P21+M21+J21+G21+D21</f>
        <v>267</v>
      </c>
      <c r="AF21" s="1">
        <f t="shared" si="27"/>
        <v>308</v>
      </c>
      <c r="AG21" s="1">
        <f t="shared" si="10"/>
        <v>86.688311688311686</v>
      </c>
    </row>
    <row r="22" spans="1:33" ht="19.5" customHeight="1">
      <c r="A22" s="2">
        <v>19</v>
      </c>
      <c r="B22" s="2">
        <v>2301270</v>
      </c>
      <c r="C22" s="3" t="s">
        <v>35</v>
      </c>
      <c r="D22" s="1">
        <f>DM!BK25</f>
        <v>23</v>
      </c>
      <c r="E22" s="1">
        <f>DM!BL25</f>
        <v>45</v>
      </c>
      <c r="F22" s="1">
        <f t="shared" si="0"/>
        <v>51.111111111111107</v>
      </c>
      <c r="G22" s="1">
        <f>COA!BK25</f>
        <v>22</v>
      </c>
      <c r="H22" s="1">
        <f>COA!BL25</f>
        <v>30</v>
      </c>
      <c r="I22" s="1">
        <f t="shared" si="1"/>
        <v>73.333333333333329</v>
      </c>
      <c r="J22" s="1">
        <f>OS!BK25</f>
        <v>20</v>
      </c>
      <c r="K22" s="1">
        <f>OS!BL25</f>
        <v>33</v>
      </c>
      <c r="L22" s="1">
        <f t="shared" si="2"/>
        <v>60.606060606060609</v>
      </c>
      <c r="M22" s="1">
        <f>DAA!BK25</f>
        <v>27</v>
      </c>
      <c r="N22" s="1">
        <f>DAA!BL25</f>
        <v>33</v>
      </c>
      <c r="O22" s="1">
        <f t="shared" si="3"/>
        <v>81.818181818181827</v>
      </c>
      <c r="P22" s="1">
        <f>'UHV2'!BK25</f>
        <v>17</v>
      </c>
      <c r="Q22" s="1">
        <f>'UHV2'!BL25</f>
        <v>29</v>
      </c>
      <c r="R22" s="1">
        <f t="shared" si="4"/>
        <v>58.620689655172406</v>
      </c>
      <c r="S22" s="1">
        <f>EVS!BK25</f>
        <v>19</v>
      </c>
      <c r="T22" s="1">
        <f>EVS!BL25</f>
        <v>29</v>
      </c>
      <c r="U22" s="1">
        <f t="shared" si="5"/>
        <v>65.517241379310349</v>
      </c>
      <c r="V22" s="1">
        <f>COAlab!BK25</f>
        <v>14</v>
      </c>
      <c r="W22" s="1">
        <f>COAlab!BL25</f>
        <v>22</v>
      </c>
      <c r="X22" s="1">
        <f t="shared" si="6"/>
        <v>63.636363636363633</v>
      </c>
      <c r="Y22" s="1">
        <f>OSlab!BK25</f>
        <v>38</v>
      </c>
      <c r="Z22" s="1">
        <f>OSlab!BL25</f>
        <v>43</v>
      </c>
      <c r="AA22" s="1">
        <f t="shared" si="7"/>
        <v>88.372093023255815</v>
      </c>
      <c r="AB22" s="1">
        <f>DAAlab!BK25</f>
        <v>32</v>
      </c>
      <c r="AC22" s="1">
        <f>DAAlab!BL25</f>
        <v>44</v>
      </c>
      <c r="AD22" s="1">
        <f t="shared" si="8"/>
        <v>72.727272727272734</v>
      </c>
      <c r="AE22" s="1">
        <f t="shared" ref="AE22:AF22" si="28">AB22+Y22+V22+S22+P22+M22+J22+G22+D22</f>
        <v>212</v>
      </c>
      <c r="AF22" s="1">
        <f t="shared" si="28"/>
        <v>308</v>
      </c>
      <c r="AG22" s="1">
        <f t="shared" si="10"/>
        <v>68.831168831168839</v>
      </c>
    </row>
    <row r="23" spans="1:33" ht="19.5" customHeight="1">
      <c r="A23" s="2">
        <v>20</v>
      </c>
      <c r="B23" s="2">
        <v>2301271</v>
      </c>
      <c r="C23" s="3" t="s">
        <v>36</v>
      </c>
      <c r="D23" s="1">
        <f>DM!BK26</f>
        <v>33</v>
      </c>
      <c r="E23" s="1">
        <f>DM!BL26</f>
        <v>45</v>
      </c>
      <c r="F23" s="1">
        <f t="shared" si="0"/>
        <v>73.333333333333329</v>
      </c>
      <c r="G23" s="1">
        <f>COA!BK26</f>
        <v>25</v>
      </c>
      <c r="H23" s="1">
        <f>COA!BL26</f>
        <v>30</v>
      </c>
      <c r="I23" s="1">
        <f t="shared" si="1"/>
        <v>83.333333333333343</v>
      </c>
      <c r="J23" s="1">
        <f>OS!BK26</f>
        <v>26</v>
      </c>
      <c r="K23" s="1">
        <f>OS!BL26</f>
        <v>33</v>
      </c>
      <c r="L23" s="1">
        <f t="shared" si="2"/>
        <v>78.787878787878782</v>
      </c>
      <c r="M23" s="1">
        <f>DAA!BK26</f>
        <v>26</v>
      </c>
      <c r="N23" s="1">
        <f>DAA!BL26</f>
        <v>33</v>
      </c>
      <c r="O23" s="1">
        <f t="shared" si="3"/>
        <v>78.787878787878782</v>
      </c>
      <c r="P23" s="1">
        <f>'UHV2'!BK26</f>
        <v>23</v>
      </c>
      <c r="Q23" s="1">
        <f>'UHV2'!BL26</f>
        <v>29</v>
      </c>
      <c r="R23" s="1">
        <f t="shared" si="4"/>
        <v>79.310344827586206</v>
      </c>
      <c r="S23" s="1">
        <f>EVS!BK26</f>
        <v>17</v>
      </c>
      <c r="T23" s="1">
        <f>EVS!BL26</f>
        <v>29</v>
      </c>
      <c r="U23" s="1">
        <f t="shared" si="5"/>
        <v>58.620689655172406</v>
      </c>
      <c r="V23" s="1">
        <f>COAlab!BK26</f>
        <v>12</v>
      </c>
      <c r="W23" s="1">
        <f>COAlab!BL26</f>
        <v>22</v>
      </c>
      <c r="X23" s="1">
        <f t="shared" si="6"/>
        <v>54.54545454545454</v>
      </c>
      <c r="Y23" s="1">
        <f>OSlab!BK26</f>
        <v>33</v>
      </c>
      <c r="Z23" s="1">
        <f>OSlab!BL26</f>
        <v>43</v>
      </c>
      <c r="AA23" s="1">
        <f t="shared" si="7"/>
        <v>76.744186046511629</v>
      </c>
      <c r="AB23" s="1">
        <f>DAAlab!BK26</f>
        <v>24</v>
      </c>
      <c r="AC23" s="1">
        <f>DAAlab!BL26</f>
        <v>44</v>
      </c>
      <c r="AD23" s="1">
        <f t="shared" si="8"/>
        <v>54.54545454545454</v>
      </c>
      <c r="AE23" s="1">
        <f t="shared" ref="AE23:AF23" si="29">AB23+Y23+V23+S23+P23+M23+J23+G23+D23</f>
        <v>219</v>
      </c>
      <c r="AF23" s="1">
        <f t="shared" si="29"/>
        <v>308</v>
      </c>
      <c r="AG23" s="1">
        <f t="shared" si="10"/>
        <v>71.103896103896105</v>
      </c>
    </row>
    <row r="24" spans="1:33" ht="19.5" customHeight="1">
      <c r="A24" s="2">
        <v>21</v>
      </c>
      <c r="B24" s="2">
        <v>2301272</v>
      </c>
      <c r="C24" s="3" t="s">
        <v>37</v>
      </c>
      <c r="D24" s="1">
        <f>DM!BK27</f>
        <v>2</v>
      </c>
      <c r="E24" s="1">
        <f>DM!BL27</f>
        <v>45</v>
      </c>
      <c r="F24" s="1">
        <f t="shared" si="0"/>
        <v>4.4444444444444446</v>
      </c>
      <c r="G24" s="1">
        <f>COA!BK27</f>
        <v>0</v>
      </c>
      <c r="H24" s="1">
        <f>COA!BL27</f>
        <v>30</v>
      </c>
      <c r="I24" s="1">
        <f t="shared" si="1"/>
        <v>0</v>
      </c>
      <c r="J24" s="1">
        <f>OS!BK27</f>
        <v>2</v>
      </c>
      <c r="K24" s="1">
        <f>OS!BL27</f>
        <v>33</v>
      </c>
      <c r="L24" s="1">
        <f t="shared" si="2"/>
        <v>6.0606060606060606</v>
      </c>
      <c r="M24" s="1">
        <f>DAA!BK27</f>
        <v>7</v>
      </c>
      <c r="N24" s="1">
        <f>DAA!BL27</f>
        <v>33</v>
      </c>
      <c r="O24" s="1">
        <f t="shared" si="3"/>
        <v>21.212121212121211</v>
      </c>
      <c r="P24" s="1">
        <f>'UHV2'!BK27</f>
        <v>0</v>
      </c>
      <c r="Q24" s="1">
        <f>'UHV2'!BL27</f>
        <v>29</v>
      </c>
      <c r="R24" s="1">
        <f t="shared" si="4"/>
        <v>0</v>
      </c>
      <c r="S24" s="1">
        <f>EVS!BK27</f>
        <v>0</v>
      </c>
      <c r="T24" s="1">
        <f>EVS!BL27</f>
        <v>29</v>
      </c>
      <c r="U24" s="1">
        <f t="shared" si="5"/>
        <v>0</v>
      </c>
      <c r="V24" s="1">
        <f>COAlab!BK27</f>
        <v>0</v>
      </c>
      <c r="W24" s="1">
        <f>COAlab!BL27</f>
        <v>22</v>
      </c>
      <c r="X24" s="1">
        <f t="shared" si="6"/>
        <v>0</v>
      </c>
      <c r="Y24" s="1">
        <f>OSlab!BK27</f>
        <v>0</v>
      </c>
      <c r="Z24" s="1">
        <f>OSlab!BL27</f>
        <v>43</v>
      </c>
      <c r="AA24" s="1">
        <f t="shared" si="7"/>
        <v>0</v>
      </c>
      <c r="AB24" s="1">
        <f>DAAlab!BK27</f>
        <v>4</v>
      </c>
      <c r="AC24" s="1">
        <f>DAAlab!BL27</f>
        <v>44</v>
      </c>
      <c r="AD24" s="1">
        <f t="shared" si="8"/>
        <v>9.0909090909090917</v>
      </c>
      <c r="AE24" s="1">
        <f t="shared" ref="AE24:AF24" si="30">AB24+Y24+V24+S24+P24+M24+J24+G24+D24</f>
        <v>15</v>
      </c>
      <c r="AF24" s="1">
        <f t="shared" si="30"/>
        <v>308</v>
      </c>
      <c r="AG24" s="1">
        <f t="shared" si="10"/>
        <v>4.8701298701298708</v>
      </c>
    </row>
    <row r="25" spans="1:33" ht="19.5" customHeight="1">
      <c r="A25" s="2">
        <v>22</v>
      </c>
      <c r="B25" s="2">
        <v>2301273</v>
      </c>
      <c r="C25" s="3" t="s">
        <v>38</v>
      </c>
      <c r="D25" s="1">
        <f>DM!BK28</f>
        <v>25</v>
      </c>
      <c r="E25" s="1">
        <f>DM!BL28</f>
        <v>45</v>
      </c>
      <c r="F25" s="1">
        <f t="shared" si="0"/>
        <v>55.555555555555557</v>
      </c>
      <c r="G25" s="1">
        <f>COA!BK28</f>
        <v>18</v>
      </c>
      <c r="H25" s="1">
        <f>COA!BL28</f>
        <v>30</v>
      </c>
      <c r="I25" s="1">
        <f t="shared" si="1"/>
        <v>60</v>
      </c>
      <c r="J25" s="1">
        <f>OS!BK28</f>
        <v>19</v>
      </c>
      <c r="K25" s="1">
        <f>OS!BL28</f>
        <v>33</v>
      </c>
      <c r="L25" s="1">
        <f t="shared" si="2"/>
        <v>57.575757575757578</v>
      </c>
      <c r="M25" s="1">
        <f>DAA!BK28</f>
        <v>22</v>
      </c>
      <c r="N25" s="1">
        <f>DAA!BL28</f>
        <v>33</v>
      </c>
      <c r="O25" s="1">
        <f t="shared" si="3"/>
        <v>66.666666666666657</v>
      </c>
      <c r="P25" s="1">
        <f>'UHV2'!BK28</f>
        <v>15</v>
      </c>
      <c r="Q25" s="1">
        <f>'UHV2'!BL28</f>
        <v>29</v>
      </c>
      <c r="R25" s="1">
        <f t="shared" si="4"/>
        <v>51.724137931034484</v>
      </c>
      <c r="S25" s="1">
        <f>EVS!BK28</f>
        <v>20</v>
      </c>
      <c r="T25" s="1">
        <f>EVS!BL28</f>
        <v>29</v>
      </c>
      <c r="U25" s="1">
        <f t="shared" si="5"/>
        <v>68.965517241379317</v>
      </c>
      <c r="V25" s="1">
        <f>COAlab!BK28</f>
        <v>13</v>
      </c>
      <c r="W25" s="1">
        <f>COAlab!BL28</f>
        <v>22</v>
      </c>
      <c r="X25" s="1">
        <f t="shared" si="6"/>
        <v>59.090909090909093</v>
      </c>
      <c r="Y25" s="1">
        <f>OSlab!BK28</f>
        <v>26</v>
      </c>
      <c r="Z25" s="1">
        <f>OSlab!BL28</f>
        <v>43</v>
      </c>
      <c r="AA25" s="1">
        <f t="shared" si="7"/>
        <v>60.465116279069761</v>
      </c>
      <c r="AB25" s="1">
        <f>DAAlab!BK28</f>
        <v>29</v>
      </c>
      <c r="AC25" s="1">
        <f>DAAlab!BL28</f>
        <v>44</v>
      </c>
      <c r="AD25" s="1">
        <f t="shared" si="8"/>
        <v>65.909090909090907</v>
      </c>
      <c r="AE25" s="1">
        <f t="shared" ref="AE25:AF25" si="31">AB25+Y25+V25+S25+P25+M25+J25+G25+D25</f>
        <v>187</v>
      </c>
      <c r="AF25" s="1">
        <f t="shared" si="31"/>
        <v>308</v>
      </c>
      <c r="AG25" s="1">
        <f t="shared" si="10"/>
        <v>60.714285714285708</v>
      </c>
    </row>
    <row r="26" spans="1:33" ht="19.5" customHeight="1">
      <c r="A26" s="2">
        <v>23</v>
      </c>
      <c r="B26" s="2">
        <v>2301274</v>
      </c>
      <c r="C26" s="3" t="s">
        <v>39</v>
      </c>
      <c r="D26" s="1">
        <f>DM!BK29</f>
        <v>31</v>
      </c>
      <c r="E26" s="1">
        <f>DM!BL29</f>
        <v>45</v>
      </c>
      <c r="F26" s="1">
        <f t="shared" si="0"/>
        <v>68.888888888888886</v>
      </c>
      <c r="G26" s="1">
        <f>COA!BK29</f>
        <v>21</v>
      </c>
      <c r="H26" s="1">
        <f>COA!BL29</f>
        <v>30</v>
      </c>
      <c r="I26" s="1">
        <f t="shared" si="1"/>
        <v>70</v>
      </c>
      <c r="J26" s="1">
        <f>OS!BK29</f>
        <v>26</v>
      </c>
      <c r="K26" s="1">
        <f>OS!BL29</f>
        <v>33</v>
      </c>
      <c r="L26" s="1">
        <f t="shared" si="2"/>
        <v>78.787878787878782</v>
      </c>
      <c r="M26" s="1">
        <f>DAA!BK29</f>
        <v>25</v>
      </c>
      <c r="N26" s="1">
        <f>DAA!BL29</f>
        <v>33</v>
      </c>
      <c r="O26" s="1">
        <f t="shared" si="3"/>
        <v>75.757575757575751</v>
      </c>
      <c r="P26" s="1">
        <f>'UHV2'!BK29</f>
        <v>20</v>
      </c>
      <c r="Q26" s="1">
        <f>'UHV2'!BL29</f>
        <v>29</v>
      </c>
      <c r="R26" s="1">
        <f t="shared" si="4"/>
        <v>68.965517241379317</v>
      </c>
      <c r="S26" s="1">
        <f>EVS!BK29</f>
        <v>21</v>
      </c>
      <c r="T26" s="1">
        <f>EVS!BL29</f>
        <v>29</v>
      </c>
      <c r="U26" s="1">
        <f t="shared" si="5"/>
        <v>72.41379310344827</v>
      </c>
      <c r="V26" s="1">
        <f>COAlab!BK29</f>
        <v>14</v>
      </c>
      <c r="W26" s="1">
        <f>COAlab!BL29</f>
        <v>22</v>
      </c>
      <c r="X26" s="1">
        <f t="shared" si="6"/>
        <v>63.636363636363633</v>
      </c>
      <c r="Y26" s="1">
        <f>OSlab!BK29</f>
        <v>32</v>
      </c>
      <c r="Z26" s="1">
        <f>OSlab!BL29</f>
        <v>43</v>
      </c>
      <c r="AA26" s="1">
        <f t="shared" si="7"/>
        <v>74.418604651162795</v>
      </c>
      <c r="AB26" s="1">
        <f>DAAlab!BK29</f>
        <v>41</v>
      </c>
      <c r="AC26" s="1">
        <f>DAAlab!BL29</f>
        <v>44</v>
      </c>
      <c r="AD26" s="1">
        <f t="shared" si="8"/>
        <v>93.181818181818173</v>
      </c>
      <c r="AE26" s="1">
        <f t="shared" ref="AE26:AF26" si="32">AB26+Y26+V26+S26+P26+M26+J26+G26+D26</f>
        <v>231</v>
      </c>
      <c r="AF26" s="1">
        <f t="shared" si="32"/>
        <v>308</v>
      </c>
      <c r="AG26" s="1">
        <f t="shared" si="10"/>
        <v>75</v>
      </c>
    </row>
    <row r="27" spans="1:33" ht="19.5" customHeight="1">
      <c r="A27" s="2">
        <v>24</v>
      </c>
      <c r="B27" s="2">
        <v>2301275</v>
      </c>
      <c r="C27" s="3" t="s">
        <v>40</v>
      </c>
      <c r="D27" s="1">
        <f>DM!BK30</f>
        <v>28</v>
      </c>
      <c r="E27" s="1">
        <f>DM!BL30</f>
        <v>45</v>
      </c>
      <c r="F27" s="1">
        <f t="shared" si="0"/>
        <v>62.222222222222221</v>
      </c>
      <c r="G27" s="1">
        <f>COA!BK30</f>
        <v>15</v>
      </c>
      <c r="H27" s="1">
        <f>COA!BL30</f>
        <v>30</v>
      </c>
      <c r="I27" s="1">
        <f t="shared" si="1"/>
        <v>50</v>
      </c>
      <c r="J27" s="1">
        <f>OS!BK30</f>
        <v>23</v>
      </c>
      <c r="K27" s="1">
        <f>OS!BL30</f>
        <v>33</v>
      </c>
      <c r="L27" s="1">
        <f t="shared" si="2"/>
        <v>69.696969696969703</v>
      </c>
      <c r="M27" s="1">
        <f>DAA!BK30</f>
        <v>23</v>
      </c>
      <c r="N27" s="1">
        <f>DAA!BL30</f>
        <v>33</v>
      </c>
      <c r="O27" s="1">
        <f t="shared" si="3"/>
        <v>69.696969696969703</v>
      </c>
      <c r="P27" s="1">
        <f>'UHV2'!BK30</f>
        <v>16</v>
      </c>
      <c r="Q27" s="1">
        <f>'UHV2'!BL30</f>
        <v>29</v>
      </c>
      <c r="R27" s="1">
        <f t="shared" si="4"/>
        <v>55.172413793103445</v>
      </c>
      <c r="S27" s="1">
        <f>EVS!BK30</f>
        <v>17</v>
      </c>
      <c r="T27" s="1">
        <f>EVS!BL30</f>
        <v>29</v>
      </c>
      <c r="U27" s="1">
        <f t="shared" si="5"/>
        <v>58.620689655172406</v>
      </c>
      <c r="V27" s="1">
        <f>COAlab!BK30</f>
        <v>12</v>
      </c>
      <c r="W27" s="1">
        <f>COAlab!BL30</f>
        <v>22</v>
      </c>
      <c r="X27" s="1">
        <f t="shared" si="6"/>
        <v>54.54545454545454</v>
      </c>
      <c r="Y27" s="1">
        <f>OSlab!BK30</f>
        <v>29</v>
      </c>
      <c r="Z27" s="1">
        <f>OSlab!BL30</f>
        <v>43</v>
      </c>
      <c r="AA27" s="1">
        <f t="shared" si="7"/>
        <v>67.441860465116278</v>
      </c>
      <c r="AB27" s="1">
        <f>DAAlab!BK30</f>
        <v>30</v>
      </c>
      <c r="AC27" s="1">
        <f>DAAlab!BL30</f>
        <v>44</v>
      </c>
      <c r="AD27" s="1">
        <f t="shared" si="8"/>
        <v>68.181818181818173</v>
      </c>
      <c r="AE27" s="1">
        <f t="shared" ref="AE27:AF27" si="33">AB27+Y27+V27+S27+P27+M27+J27+G27+D27</f>
        <v>193</v>
      </c>
      <c r="AF27" s="1">
        <f t="shared" si="33"/>
        <v>308</v>
      </c>
      <c r="AG27" s="1">
        <f t="shared" si="10"/>
        <v>62.662337662337663</v>
      </c>
    </row>
    <row r="28" spans="1:33" ht="19.5" customHeight="1">
      <c r="A28" s="2">
        <v>25</v>
      </c>
      <c r="B28" s="2">
        <v>2301277</v>
      </c>
      <c r="C28" s="3" t="s">
        <v>41</v>
      </c>
      <c r="D28" s="1">
        <f>DM!BK31</f>
        <v>24</v>
      </c>
      <c r="E28" s="1">
        <f>DM!BL31</f>
        <v>45</v>
      </c>
      <c r="F28" s="1">
        <f t="shared" si="0"/>
        <v>53.333333333333336</v>
      </c>
      <c r="G28" s="1">
        <f>COA!BK31</f>
        <v>15</v>
      </c>
      <c r="H28" s="1">
        <f>COA!BL31</f>
        <v>30</v>
      </c>
      <c r="I28" s="1">
        <f t="shared" si="1"/>
        <v>50</v>
      </c>
      <c r="J28" s="1">
        <f>OS!BK31</f>
        <v>22</v>
      </c>
      <c r="K28" s="1">
        <f>OS!BL31</f>
        <v>33</v>
      </c>
      <c r="L28" s="1">
        <f t="shared" si="2"/>
        <v>66.666666666666657</v>
      </c>
      <c r="M28" s="1">
        <f>DAA!BK31</f>
        <v>24</v>
      </c>
      <c r="N28" s="1">
        <f>DAA!BL31</f>
        <v>33</v>
      </c>
      <c r="O28" s="1">
        <f t="shared" si="3"/>
        <v>72.727272727272734</v>
      </c>
      <c r="P28" s="1">
        <f>'UHV2'!BK31</f>
        <v>15</v>
      </c>
      <c r="Q28" s="1">
        <f>'UHV2'!BL31</f>
        <v>29</v>
      </c>
      <c r="R28" s="1">
        <f t="shared" si="4"/>
        <v>51.724137931034484</v>
      </c>
      <c r="S28" s="1">
        <f>EVS!BK31</f>
        <v>11</v>
      </c>
      <c r="T28" s="1">
        <f>EVS!BL31</f>
        <v>29</v>
      </c>
      <c r="U28" s="1">
        <f t="shared" si="5"/>
        <v>37.931034482758619</v>
      </c>
      <c r="V28" s="1">
        <f>COAlab!BK31</f>
        <v>10</v>
      </c>
      <c r="W28" s="1">
        <f>COAlab!BL31</f>
        <v>22</v>
      </c>
      <c r="X28" s="1">
        <f t="shared" si="6"/>
        <v>45.454545454545453</v>
      </c>
      <c r="Y28" s="1">
        <f>OSlab!BK31</f>
        <v>26</v>
      </c>
      <c r="Z28" s="1">
        <f>OSlab!BL31</f>
        <v>43</v>
      </c>
      <c r="AA28" s="1">
        <f t="shared" si="7"/>
        <v>60.465116279069761</v>
      </c>
      <c r="AB28" s="1">
        <f>DAAlab!BK31</f>
        <v>32</v>
      </c>
      <c r="AC28" s="1">
        <f>DAAlab!BL31</f>
        <v>44</v>
      </c>
      <c r="AD28" s="1">
        <f t="shared" si="8"/>
        <v>72.727272727272734</v>
      </c>
      <c r="AE28" s="1">
        <f t="shared" ref="AE28:AF28" si="34">AB28+Y28+V28+S28+P28+M28+J28+G28+D28</f>
        <v>179</v>
      </c>
      <c r="AF28" s="1">
        <f t="shared" si="34"/>
        <v>308</v>
      </c>
      <c r="AG28" s="1">
        <f t="shared" si="10"/>
        <v>58.116883116883123</v>
      </c>
    </row>
    <row r="29" spans="1:33" ht="19.5" customHeight="1">
      <c r="A29" s="2">
        <v>26</v>
      </c>
      <c r="B29" s="2">
        <v>2301278</v>
      </c>
      <c r="C29" s="3" t="s">
        <v>42</v>
      </c>
      <c r="D29" s="1">
        <f>DM!BK32</f>
        <v>11</v>
      </c>
      <c r="E29" s="1">
        <f>DM!BL32</f>
        <v>45</v>
      </c>
      <c r="F29" s="1">
        <f t="shared" si="0"/>
        <v>24.444444444444443</v>
      </c>
      <c r="G29" s="1">
        <f>COA!BK32</f>
        <v>5</v>
      </c>
      <c r="H29" s="1">
        <f>COA!BL32</f>
        <v>30</v>
      </c>
      <c r="I29" s="1">
        <f t="shared" si="1"/>
        <v>16.666666666666664</v>
      </c>
      <c r="J29" s="1">
        <f>OS!BK32</f>
        <v>8</v>
      </c>
      <c r="K29" s="1">
        <f>OS!BL32</f>
        <v>33</v>
      </c>
      <c r="L29" s="1">
        <f t="shared" si="2"/>
        <v>24.242424242424242</v>
      </c>
      <c r="M29" s="1">
        <f>DAA!BK32</f>
        <v>9</v>
      </c>
      <c r="N29" s="1">
        <f>DAA!BL32</f>
        <v>33</v>
      </c>
      <c r="O29" s="1">
        <f t="shared" si="3"/>
        <v>27.27272727272727</v>
      </c>
      <c r="P29" s="1">
        <f>'UHV2'!BK32</f>
        <v>5</v>
      </c>
      <c r="Q29" s="1">
        <f>'UHV2'!BL32</f>
        <v>29</v>
      </c>
      <c r="R29" s="1">
        <f t="shared" si="4"/>
        <v>17.241379310344829</v>
      </c>
      <c r="S29" s="1">
        <f>EVS!BK32</f>
        <v>3</v>
      </c>
      <c r="T29" s="1">
        <f>EVS!BL32</f>
        <v>29</v>
      </c>
      <c r="U29" s="1">
        <f t="shared" si="5"/>
        <v>10.344827586206897</v>
      </c>
      <c r="V29" s="1">
        <f>COAlab!BK32</f>
        <v>4</v>
      </c>
      <c r="W29" s="1">
        <f>COAlab!BL32</f>
        <v>22</v>
      </c>
      <c r="X29" s="1">
        <f t="shared" si="6"/>
        <v>18.181818181818183</v>
      </c>
      <c r="Y29" s="1">
        <f>OSlab!BK32</f>
        <v>6</v>
      </c>
      <c r="Z29" s="1">
        <f>OSlab!BL32</f>
        <v>43</v>
      </c>
      <c r="AA29" s="1">
        <f t="shared" si="7"/>
        <v>13.953488372093023</v>
      </c>
      <c r="AB29" s="1">
        <f>DAAlab!BK32</f>
        <v>16</v>
      </c>
      <c r="AC29" s="1">
        <f>DAAlab!BL32</f>
        <v>44</v>
      </c>
      <c r="AD29" s="1">
        <f t="shared" si="8"/>
        <v>36.363636363636367</v>
      </c>
      <c r="AE29" s="1">
        <f t="shared" ref="AE29:AF29" si="35">AB29+Y29+V29+S29+P29+M29+J29+G29+D29</f>
        <v>67</v>
      </c>
      <c r="AF29" s="1">
        <f t="shared" si="35"/>
        <v>308</v>
      </c>
      <c r="AG29" s="1">
        <f t="shared" si="10"/>
        <v>21.753246753246753</v>
      </c>
    </row>
    <row r="30" spans="1:33" ht="19.5" customHeight="1">
      <c r="A30" s="2">
        <v>27</v>
      </c>
      <c r="B30" s="2">
        <v>2301279</v>
      </c>
      <c r="C30" s="3" t="s">
        <v>43</v>
      </c>
      <c r="D30" s="1">
        <f>DM!BK33</f>
        <v>33</v>
      </c>
      <c r="E30" s="1">
        <f>DM!BL33</f>
        <v>45</v>
      </c>
      <c r="F30" s="1">
        <f t="shared" si="0"/>
        <v>73.333333333333329</v>
      </c>
      <c r="G30" s="1">
        <f>COA!BK33</f>
        <v>30</v>
      </c>
      <c r="H30" s="1">
        <f>COA!BL33</f>
        <v>30</v>
      </c>
      <c r="I30" s="1">
        <f t="shared" si="1"/>
        <v>100</v>
      </c>
      <c r="J30" s="1">
        <f>OS!BK33</f>
        <v>30</v>
      </c>
      <c r="K30" s="1">
        <f>OS!BL33</f>
        <v>33</v>
      </c>
      <c r="L30" s="1">
        <f t="shared" si="2"/>
        <v>90.909090909090907</v>
      </c>
      <c r="M30" s="1">
        <f>DAA!BK33</f>
        <v>29</v>
      </c>
      <c r="N30" s="1">
        <f>DAA!BL33</f>
        <v>33</v>
      </c>
      <c r="O30" s="1">
        <f t="shared" si="3"/>
        <v>87.878787878787875</v>
      </c>
      <c r="P30" s="1">
        <f>'UHV2'!BK33</f>
        <v>21</v>
      </c>
      <c r="Q30" s="1">
        <f>'UHV2'!BL33</f>
        <v>29</v>
      </c>
      <c r="R30" s="1">
        <f t="shared" si="4"/>
        <v>72.41379310344827</v>
      </c>
      <c r="S30" s="1">
        <f>EVS!BK33</f>
        <v>27</v>
      </c>
      <c r="T30" s="1">
        <f>EVS!BL33</f>
        <v>29</v>
      </c>
      <c r="U30" s="1">
        <f t="shared" si="5"/>
        <v>93.103448275862064</v>
      </c>
      <c r="V30" s="1">
        <f>COAlab!BK33</f>
        <v>22</v>
      </c>
      <c r="W30" s="1">
        <f>COAlab!BL33</f>
        <v>22</v>
      </c>
      <c r="X30" s="1">
        <f t="shared" si="6"/>
        <v>100</v>
      </c>
      <c r="Y30" s="1">
        <f>OSlab!BK33</f>
        <v>33</v>
      </c>
      <c r="Z30" s="1">
        <f>OSlab!BL33</f>
        <v>43</v>
      </c>
      <c r="AA30" s="1">
        <f t="shared" si="7"/>
        <v>76.744186046511629</v>
      </c>
      <c r="AB30" s="1">
        <f>DAAlab!BK33</f>
        <v>36</v>
      </c>
      <c r="AC30" s="1">
        <f>DAAlab!BL33</f>
        <v>44</v>
      </c>
      <c r="AD30" s="1">
        <f t="shared" si="8"/>
        <v>81.818181818181827</v>
      </c>
      <c r="AE30" s="1">
        <f t="shared" ref="AE30:AF30" si="36">AB30+Y30+V30+S30+P30+M30+J30+G30+D30</f>
        <v>261</v>
      </c>
      <c r="AF30" s="1">
        <f t="shared" si="36"/>
        <v>308</v>
      </c>
      <c r="AG30" s="1">
        <f t="shared" si="10"/>
        <v>84.740259740259745</v>
      </c>
    </row>
    <row r="31" spans="1:33" ht="19.5" customHeight="1">
      <c r="A31" s="2">
        <v>28</v>
      </c>
      <c r="B31" s="2">
        <v>2301280</v>
      </c>
      <c r="C31" s="3" t="s">
        <v>44</v>
      </c>
      <c r="D31" s="1">
        <f>DM!BK34</f>
        <v>21</v>
      </c>
      <c r="E31" s="1">
        <f>DM!BL34</f>
        <v>45</v>
      </c>
      <c r="F31" s="1">
        <f t="shared" si="0"/>
        <v>46.666666666666664</v>
      </c>
      <c r="G31" s="1">
        <f>COA!BK34</f>
        <v>15</v>
      </c>
      <c r="H31" s="1">
        <f>COA!BL34</f>
        <v>30</v>
      </c>
      <c r="I31" s="1">
        <f t="shared" si="1"/>
        <v>50</v>
      </c>
      <c r="J31" s="1">
        <f>OS!BK34</f>
        <v>21</v>
      </c>
      <c r="K31" s="1">
        <f>OS!BL34</f>
        <v>33</v>
      </c>
      <c r="L31" s="1">
        <f t="shared" si="2"/>
        <v>63.636363636363633</v>
      </c>
      <c r="M31" s="1">
        <f>DAA!BK34</f>
        <v>23</v>
      </c>
      <c r="N31" s="1">
        <f>DAA!BL34</f>
        <v>33</v>
      </c>
      <c r="O31" s="1">
        <f t="shared" si="3"/>
        <v>69.696969696969703</v>
      </c>
      <c r="P31" s="1">
        <f>'UHV2'!BK34</f>
        <v>15</v>
      </c>
      <c r="Q31" s="1">
        <f>'UHV2'!BL34</f>
        <v>29</v>
      </c>
      <c r="R31" s="1">
        <f t="shared" si="4"/>
        <v>51.724137931034484</v>
      </c>
      <c r="S31" s="1">
        <f>EVS!BK34</f>
        <v>15</v>
      </c>
      <c r="T31" s="1">
        <f>EVS!BL34</f>
        <v>29</v>
      </c>
      <c r="U31" s="1">
        <f t="shared" si="5"/>
        <v>51.724137931034484</v>
      </c>
      <c r="V31" s="1">
        <f>COAlab!BK34</f>
        <v>8</v>
      </c>
      <c r="W31" s="1">
        <f>COAlab!BL34</f>
        <v>22</v>
      </c>
      <c r="X31" s="1">
        <f t="shared" si="6"/>
        <v>36.363636363636367</v>
      </c>
      <c r="Y31" s="1">
        <f>OSlab!BK34</f>
        <v>21</v>
      </c>
      <c r="Z31" s="1">
        <f>OSlab!BL34</f>
        <v>43</v>
      </c>
      <c r="AA31" s="1">
        <f t="shared" si="7"/>
        <v>48.837209302325576</v>
      </c>
      <c r="AB31" s="1">
        <f>DAAlab!BK34</f>
        <v>26</v>
      </c>
      <c r="AC31" s="1">
        <f>DAAlab!BL34</f>
        <v>44</v>
      </c>
      <c r="AD31" s="1">
        <f t="shared" si="8"/>
        <v>59.090909090909093</v>
      </c>
      <c r="AE31" s="1">
        <f t="shared" ref="AE31:AF31" si="37">AB31+Y31+V31+S31+P31+M31+J31+G31+D31</f>
        <v>165</v>
      </c>
      <c r="AF31" s="1">
        <f t="shared" si="37"/>
        <v>308</v>
      </c>
      <c r="AG31" s="1">
        <f t="shared" si="10"/>
        <v>53.571428571428569</v>
      </c>
    </row>
    <row r="32" spans="1:33" ht="19.5" customHeight="1">
      <c r="A32" s="2">
        <v>29</v>
      </c>
      <c r="B32" s="2">
        <v>2301281</v>
      </c>
      <c r="C32" s="3" t="s">
        <v>45</v>
      </c>
      <c r="D32" s="1">
        <f>DM!BK35</f>
        <v>32</v>
      </c>
      <c r="E32" s="1">
        <f>DM!BL35</f>
        <v>45</v>
      </c>
      <c r="F32" s="1">
        <f t="shared" si="0"/>
        <v>71.111111111111114</v>
      </c>
      <c r="G32" s="1">
        <f>COA!BK35</f>
        <v>20</v>
      </c>
      <c r="H32" s="1">
        <f>COA!BL35</f>
        <v>30</v>
      </c>
      <c r="I32" s="1">
        <f t="shared" si="1"/>
        <v>66.666666666666657</v>
      </c>
      <c r="J32" s="1">
        <f>OS!BK35</f>
        <v>23</v>
      </c>
      <c r="K32" s="1">
        <f>OS!BL35</f>
        <v>33</v>
      </c>
      <c r="L32" s="1">
        <f t="shared" si="2"/>
        <v>69.696969696969703</v>
      </c>
      <c r="M32" s="1">
        <f>DAA!BK35</f>
        <v>24</v>
      </c>
      <c r="N32" s="1">
        <f>DAA!BL35</f>
        <v>33</v>
      </c>
      <c r="O32" s="1">
        <f t="shared" si="3"/>
        <v>72.727272727272734</v>
      </c>
      <c r="P32" s="1">
        <f>'UHV2'!BK35</f>
        <v>22</v>
      </c>
      <c r="Q32" s="1">
        <f>'UHV2'!BL35</f>
        <v>29</v>
      </c>
      <c r="R32" s="1">
        <f t="shared" si="4"/>
        <v>75.862068965517238</v>
      </c>
      <c r="S32" s="1">
        <f>EVS!BK35</f>
        <v>15</v>
      </c>
      <c r="T32" s="1">
        <f>EVS!BL35</f>
        <v>29</v>
      </c>
      <c r="U32" s="1">
        <f t="shared" si="5"/>
        <v>51.724137931034484</v>
      </c>
      <c r="V32" s="1">
        <f>COAlab!BK35</f>
        <v>8</v>
      </c>
      <c r="W32" s="1">
        <f>COAlab!BL35</f>
        <v>22</v>
      </c>
      <c r="X32" s="1">
        <f t="shared" si="6"/>
        <v>36.363636363636367</v>
      </c>
      <c r="Y32" s="1">
        <f>OSlab!BK35</f>
        <v>16</v>
      </c>
      <c r="Z32" s="1">
        <f>OSlab!BL35</f>
        <v>43</v>
      </c>
      <c r="AA32" s="1">
        <f t="shared" si="7"/>
        <v>37.209302325581397</v>
      </c>
      <c r="AB32" s="1">
        <f>DAAlab!BK35</f>
        <v>26</v>
      </c>
      <c r="AC32" s="1">
        <f>DAAlab!BL35</f>
        <v>44</v>
      </c>
      <c r="AD32" s="1">
        <f t="shared" si="8"/>
        <v>59.090909090909093</v>
      </c>
      <c r="AE32" s="1">
        <f t="shared" ref="AE32:AF32" si="38">AB32+Y32+V32+S32+P32+M32+J32+G32+D32</f>
        <v>186</v>
      </c>
      <c r="AF32" s="1">
        <f t="shared" si="38"/>
        <v>308</v>
      </c>
      <c r="AG32" s="1">
        <f t="shared" si="10"/>
        <v>60.389610389610397</v>
      </c>
    </row>
    <row r="33" spans="1:33" ht="19.5" customHeight="1">
      <c r="A33" s="2">
        <v>30</v>
      </c>
      <c r="B33" s="2">
        <v>2301283</v>
      </c>
      <c r="C33" s="3" t="s">
        <v>46</v>
      </c>
      <c r="D33" s="1">
        <f>DM!BK36</f>
        <v>24</v>
      </c>
      <c r="E33" s="1">
        <f>DM!BL36</f>
        <v>45</v>
      </c>
      <c r="F33" s="1">
        <f t="shared" si="0"/>
        <v>53.333333333333336</v>
      </c>
      <c r="G33" s="1">
        <f>COA!BK36</f>
        <v>14</v>
      </c>
      <c r="H33" s="1">
        <f>COA!BL36</f>
        <v>30</v>
      </c>
      <c r="I33" s="1">
        <f t="shared" si="1"/>
        <v>46.666666666666664</v>
      </c>
      <c r="J33" s="1">
        <f>OS!BK36</f>
        <v>20</v>
      </c>
      <c r="K33" s="1">
        <f>OS!BL36</f>
        <v>33</v>
      </c>
      <c r="L33" s="1">
        <f t="shared" si="2"/>
        <v>60.606060606060609</v>
      </c>
      <c r="M33" s="1">
        <f>DAA!BK36</f>
        <v>24</v>
      </c>
      <c r="N33" s="1">
        <f>DAA!BL36</f>
        <v>33</v>
      </c>
      <c r="O33" s="1">
        <f t="shared" si="3"/>
        <v>72.727272727272734</v>
      </c>
      <c r="P33" s="1">
        <f>'UHV2'!BK36</f>
        <v>13</v>
      </c>
      <c r="Q33" s="1">
        <f>'UHV2'!BL36</f>
        <v>29</v>
      </c>
      <c r="R33" s="1">
        <f t="shared" si="4"/>
        <v>44.827586206896555</v>
      </c>
      <c r="S33" s="1">
        <f>EVS!BK36</f>
        <v>14</v>
      </c>
      <c r="T33" s="1">
        <f>EVS!BL36</f>
        <v>29</v>
      </c>
      <c r="U33" s="1">
        <f t="shared" si="5"/>
        <v>48.275862068965516</v>
      </c>
      <c r="V33" s="1">
        <f>COAlab!BK36</f>
        <v>6</v>
      </c>
      <c r="W33" s="1">
        <f>COAlab!BL36</f>
        <v>22</v>
      </c>
      <c r="X33" s="1">
        <f t="shared" si="6"/>
        <v>27.27272727272727</v>
      </c>
      <c r="Y33" s="1">
        <f>OSlab!BK36</f>
        <v>24</v>
      </c>
      <c r="Z33" s="1">
        <f>OSlab!BL36</f>
        <v>43</v>
      </c>
      <c r="AA33" s="1">
        <f t="shared" si="7"/>
        <v>55.813953488372093</v>
      </c>
      <c r="AB33" s="1">
        <f>DAAlab!BK36</f>
        <v>27</v>
      </c>
      <c r="AC33" s="1">
        <f>DAAlab!BL36</f>
        <v>44</v>
      </c>
      <c r="AD33" s="1">
        <f t="shared" si="8"/>
        <v>61.363636363636367</v>
      </c>
      <c r="AE33" s="1">
        <f t="shared" ref="AE33:AF33" si="39">AB33+Y33+V33+S33+P33+M33+J33+G33+D33</f>
        <v>166</v>
      </c>
      <c r="AF33" s="1">
        <f t="shared" si="39"/>
        <v>308</v>
      </c>
      <c r="AG33" s="1">
        <f t="shared" si="10"/>
        <v>53.896103896103895</v>
      </c>
    </row>
    <row r="34" spans="1:33" ht="19.5" customHeight="1">
      <c r="A34" s="2">
        <v>31</v>
      </c>
      <c r="B34" s="2">
        <v>2301285</v>
      </c>
      <c r="C34" s="3" t="s">
        <v>47</v>
      </c>
      <c r="D34" s="1">
        <f>DM!BK37</f>
        <v>8</v>
      </c>
      <c r="E34" s="1">
        <f>DM!BL37</f>
        <v>45</v>
      </c>
      <c r="F34" s="1">
        <f t="shared" si="0"/>
        <v>17.777777777777779</v>
      </c>
      <c r="G34" s="1">
        <f>COA!BK37</f>
        <v>12</v>
      </c>
      <c r="H34" s="1">
        <f>COA!BL37</f>
        <v>30</v>
      </c>
      <c r="I34" s="1">
        <f t="shared" si="1"/>
        <v>40</v>
      </c>
      <c r="J34" s="1">
        <f>OS!BK37</f>
        <v>7</v>
      </c>
      <c r="K34" s="1">
        <f>OS!BL37</f>
        <v>33</v>
      </c>
      <c r="L34" s="1">
        <f t="shared" si="2"/>
        <v>21.212121212121211</v>
      </c>
      <c r="M34" s="1">
        <f>DAA!BK37</f>
        <v>9</v>
      </c>
      <c r="N34" s="1">
        <f>DAA!BL37</f>
        <v>33</v>
      </c>
      <c r="O34" s="1">
        <f t="shared" si="3"/>
        <v>27.27272727272727</v>
      </c>
      <c r="P34" s="1">
        <f>'UHV2'!BK37</f>
        <v>4</v>
      </c>
      <c r="Q34" s="1">
        <f>'UHV2'!BL37</f>
        <v>29</v>
      </c>
      <c r="R34" s="1">
        <f t="shared" si="4"/>
        <v>13.793103448275861</v>
      </c>
      <c r="S34" s="1">
        <f>EVS!BK37</f>
        <v>10</v>
      </c>
      <c r="T34" s="1">
        <f>EVS!BL37</f>
        <v>29</v>
      </c>
      <c r="U34" s="1">
        <f t="shared" si="5"/>
        <v>34.482758620689658</v>
      </c>
      <c r="V34" s="1">
        <f>COAlab!BK37</f>
        <v>12</v>
      </c>
      <c r="W34" s="1">
        <f>COAlab!BL37</f>
        <v>22</v>
      </c>
      <c r="X34" s="1">
        <f t="shared" si="6"/>
        <v>54.54545454545454</v>
      </c>
      <c r="Y34" s="1">
        <f>OSlab!BK37</f>
        <v>13</v>
      </c>
      <c r="Z34" s="1">
        <f>OSlab!BL37</f>
        <v>43</v>
      </c>
      <c r="AA34" s="1">
        <f t="shared" si="7"/>
        <v>30.232558139534881</v>
      </c>
      <c r="AB34" s="1">
        <f>DAAlab!BK37</f>
        <v>12</v>
      </c>
      <c r="AC34" s="1">
        <f>DAAlab!BL37</f>
        <v>44</v>
      </c>
      <c r="AD34" s="1">
        <f t="shared" si="8"/>
        <v>27.27272727272727</v>
      </c>
      <c r="AE34" s="1">
        <f t="shared" ref="AE34:AF34" si="40">AB34+Y34+V34+S34+P34+M34+J34+G34+D34</f>
        <v>87</v>
      </c>
      <c r="AF34" s="1">
        <f t="shared" si="40"/>
        <v>308</v>
      </c>
      <c r="AG34" s="1">
        <f t="shared" si="10"/>
        <v>28.246753246753247</v>
      </c>
    </row>
    <row r="35" spans="1:33" ht="19.5" customHeight="1">
      <c r="A35" s="2">
        <v>32</v>
      </c>
      <c r="B35" s="2">
        <v>2301286</v>
      </c>
      <c r="C35" s="3" t="s">
        <v>48</v>
      </c>
      <c r="D35" s="1">
        <f>DM!BK38</f>
        <v>7</v>
      </c>
      <c r="E35" s="1">
        <f>DM!BL38</f>
        <v>45</v>
      </c>
      <c r="F35" s="1">
        <f t="shared" si="0"/>
        <v>15.555555555555555</v>
      </c>
      <c r="G35" s="1">
        <f>COA!BK38</f>
        <v>0</v>
      </c>
      <c r="H35" s="1">
        <f>COA!BL38</f>
        <v>30</v>
      </c>
      <c r="I35" s="1">
        <f t="shared" si="1"/>
        <v>0</v>
      </c>
      <c r="J35" s="1">
        <f>OS!BK38</f>
        <v>3</v>
      </c>
      <c r="K35" s="1">
        <f>OS!BL38</f>
        <v>33</v>
      </c>
      <c r="L35" s="1">
        <f t="shared" si="2"/>
        <v>9.0909090909090917</v>
      </c>
      <c r="M35" s="1">
        <f>DAA!BK38</f>
        <v>0</v>
      </c>
      <c r="N35" s="1">
        <f>DAA!BL38</f>
        <v>33</v>
      </c>
      <c r="O35" s="1">
        <f t="shared" si="3"/>
        <v>0</v>
      </c>
      <c r="P35" s="1">
        <f>'UHV2'!BK38</f>
        <v>4</v>
      </c>
      <c r="Q35" s="1">
        <f>'UHV2'!BL38</f>
        <v>29</v>
      </c>
      <c r="R35" s="1">
        <f t="shared" si="4"/>
        <v>13.793103448275861</v>
      </c>
      <c r="S35" s="1">
        <f>EVS!BK38</f>
        <v>5</v>
      </c>
      <c r="T35" s="1">
        <f>EVS!BL38</f>
        <v>29</v>
      </c>
      <c r="U35" s="1">
        <f t="shared" si="5"/>
        <v>17.241379310344829</v>
      </c>
      <c r="V35" s="1">
        <f>COAlab!BK38</f>
        <v>0</v>
      </c>
      <c r="W35" s="1">
        <f>COAlab!BL38</f>
        <v>22</v>
      </c>
      <c r="X35" s="1">
        <f t="shared" si="6"/>
        <v>0</v>
      </c>
      <c r="Y35" s="1">
        <f>OSlab!BK38</f>
        <v>4</v>
      </c>
      <c r="Z35" s="1">
        <f>OSlab!BL38</f>
        <v>43</v>
      </c>
      <c r="AA35" s="1">
        <f t="shared" si="7"/>
        <v>9.3023255813953494</v>
      </c>
      <c r="AB35" s="1">
        <f>DAAlab!BK38</f>
        <v>6</v>
      </c>
      <c r="AC35" s="1">
        <f>DAAlab!BL38</f>
        <v>44</v>
      </c>
      <c r="AD35" s="1">
        <f t="shared" si="8"/>
        <v>13.636363636363635</v>
      </c>
      <c r="AE35" s="1">
        <f t="shared" ref="AE35:AF35" si="41">AB35+Y35+V35+S35+P35+M35+J35+G35+D35</f>
        <v>29</v>
      </c>
      <c r="AF35" s="1">
        <f t="shared" si="41"/>
        <v>308</v>
      </c>
      <c r="AG35" s="1">
        <f t="shared" si="10"/>
        <v>9.4155844155844157</v>
      </c>
    </row>
    <row r="36" spans="1:33" ht="19.5" customHeight="1">
      <c r="A36" s="2">
        <v>33</v>
      </c>
      <c r="B36" s="2">
        <v>2339508</v>
      </c>
      <c r="C36" s="3" t="s">
        <v>49</v>
      </c>
      <c r="D36" s="1">
        <f>DM!BK39</f>
        <v>28</v>
      </c>
      <c r="E36" s="1">
        <f>DM!BL39</f>
        <v>45</v>
      </c>
      <c r="F36" s="1">
        <f t="shared" si="0"/>
        <v>62.222222222222221</v>
      </c>
      <c r="G36" s="1">
        <f>COA!BK39</f>
        <v>21</v>
      </c>
      <c r="H36" s="1">
        <f>COA!BL39</f>
        <v>30</v>
      </c>
      <c r="I36" s="1">
        <f t="shared" si="1"/>
        <v>70</v>
      </c>
      <c r="J36" s="1">
        <f>OS!BK39</f>
        <v>18</v>
      </c>
      <c r="K36" s="1">
        <f>OS!BL39</f>
        <v>33</v>
      </c>
      <c r="L36" s="1">
        <f t="shared" si="2"/>
        <v>54.54545454545454</v>
      </c>
      <c r="M36" s="1">
        <f>DAA!BK39</f>
        <v>25</v>
      </c>
      <c r="N36" s="1">
        <f>DAA!BL39</f>
        <v>33</v>
      </c>
      <c r="O36" s="1">
        <f t="shared" si="3"/>
        <v>75.757575757575751</v>
      </c>
      <c r="P36" s="1">
        <f>'UHV2'!BK39</f>
        <v>17</v>
      </c>
      <c r="Q36" s="1">
        <f>'UHV2'!BL39</f>
        <v>29</v>
      </c>
      <c r="R36" s="1">
        <f t="shared" si="4"/>
        <v>58.620689655172406</v>
      </c>
      <c r="S36" s="1">
        <f>EVS!BK39</f>
        <v>20</v>
      </c>
      <c r="T36" s="1">
        <f>EVS!BL39</f>
        <v>29</v>
      </c>
      <c r="U36" s="1">
        <f t="shared" si="5"/>
        <v>68.965517241379317</v>
      </c>
      <c r="V36" s="1">
        <f>COAlab!BK39</f>
        <v>16</v>
      </c>
      <c r="W36" s="1">
        <f>COAlab!BL39</f>
        <v>22</v>
      </c>
      <c r="X36" s="1">
        <f t="shared" si="6"/>
        <v>72.727272727272734</v>
      </c>
      <c r="Y36" s="1">
        <f>OSlab!BK39</f>
        <v>31</v>
      </c>
      <c r="Z36" s="1">
        <f>OSlab!BL39</f>
        <v>43</v>
      </c>
      <c r="AA36" s="1">
        <f t="shared" si="7"/>
        <v>72.093023255813947</v>
      </c>
      <c r="AB36" s="1">
        <f>DAAlab!BK39</f>
        <v>28</v>
      </c>
      <c r="AC36" s="1">
        <f>DAAlab!BL39</f>
        <v>44</v>
      </c>
      <c r="AD36" s="1">
        <f t="shared" si="8"/>
        <v>63.636363636363633</v>
      </c>
      <c r="AE36" s="1">
        <f t="shared" ref="AE36:AF36" si="42">AB36+Y36+V36+S36+P36+M36+J36+G36+D36</f>
        <v>204</v>
      </c>
      <c r="AF36" s="1">
        <f t="shared" si="42"/>
        <v>308</v>
      </c>
      <c r="AG36" s="1">
        <f t="shared" si="10"/>
        <v>66.233766233766232</v>
      </c>
    </row>
    <row r="37" spans="1:33" ht="19.5" customHeight="1">
      <c r="A37" s="2">
        <v>34</v>
      </c>
      <c r="B37" s="2">
        <v>2339509</v>
      </c>
      <c r="C37" s="3" t="s">
        <v>50</v>
      </c>
      <c r="D37" s="1">
        <f>DM!BK40</f>
        <v>5</v>
      </c>
      <c r="E37" s="1">
        <f>DM!BL40</f>
        <v>45</v>
      </c>
      <c r="F37" s="1">
        <f t="shared" si="0"/>
        <v>11.111111111111111</v>
      </c>
      <c r="G37" s="1">
        <f>COA!BK40</f>
        <v>0</v>
      </c>
      <c r="H37" s="1">
        <f>COA!BL40</f>
        <v>30</v>
      </c>
      <c r="I37" s="1">
        <f t="shared" si="1"/>
        <v>0</v>
      </c>
      <c r="J37" s="1">
        <f>OS!BK40</f>
        <v>6</v>
      </c>
      <c r="K37" s="1">
        <f>OS!BL40</f>
        <v>33</v>
      </c>
      <c r="L37" s="1">
        <f t="shared" si="2"/>
        <v>18.181818181818183</v>
      </c>
      <c r="M37" s="1">
        <f>DAA!BK40</f>
        <v>3</v>
      </c>
      <c r="N37" s="1">
        <f>DAA!BL40</f>
        <v>33</v>
      </c>
      <c r="O37" s="1">
        <f t="shared" si="3"/>
        <v>9.0909090909090917</v>
      </c>
      <c r="P37" s="1">
        <f>'UHV2'!BK40</f>
        <v>1</v>
      </c>
      <c r="Q37" s="1">
        <f>'UHV2'!BL40</f>
        <v>29</v>
      </c>
      <c r="R37" s="1">
        <f t="shared" si="4"/>
        <v>3.4482758620689653</v>
      </c>
      <c r="S37" s="1">
        <f>EVS!BK40</f>
        <v>2</v>
      </c>
      <c r="T37" s="1">
        <f>EVS!BL40</f>
        <v>29</v>
      </c>
      <c r="U37" s="1">
        <f t="shared" si="5"/>
        <v>6.8965517241379306</v>
      </c>
      <c r="V37" s="1">
        <f>COAlab!BK40</f>
        <v>0</v>
      </c>
      <c r="W37" s="1">
        <f>COAlab!BL40</f>
        <v>22</v>
      </c>
      <c r="X37" s="1">
        <f t="shared" si="6"/>
        <v>0</v>
      </c>
      <c r="Y37" s="1">
        <f>OSlab!BK40</f>
        <v>0</v>
      </c>
      <c r="Z37" s="1">
        <f>OSlab!BL40</f>
        <v>43</v>
      </c>
      <c r="AA37" s="1">
        <f t="shared" si="7"/>
        <v>0</v>
      </c>
      <c r="AB37" s="1">
        <f>DAAlab!BK40</f>
        <v>2</v>
      </c>
      <c r="AC37" s="1">
        <f>DAAlab!BL40</f>
        <v>44</v>
      </c>
      <c r="AD37" s="1">
        <f t="shared" si="8"/>
        <v>4.5454545454545459</v>
      </c>
      <c r="AE37" s="1">
        <f t="shared" ref="AE37:AF37" si="43">AB37+Y37+V37+S37+P37+M37+J37+G37+D37</f>
        <v>19</v>
      </c>
      <c r="AF37" s="1">
        <f t="shared" si="43"/>
        <v>308</v>
      </c>
      <c r="AG37" s="1">
        <f t="shared" si="10"/>
        <v>6.1688311688311686</v>
      </c>
    </row>
    <row r="38" spans="1:33" ht="19.5" customHeight="1">
      <c r="A38" s="2">
        <v>35</v>
      </c>
      <c r="B38" s="2" t="s">
        <v>51</v>
      </c>
      <c r="C38" s="3" t="s">
        <v>52</v>
      </c>
      <c r="D38" s="1">
        <f>DM!BK41</f>
        <v>32</v>
      </c>
      <c r="E38" s="1">
        <f>DM!BL41</f>
        <v>45</v>
      </c>
      <c r="F38" s="1">
        <f t="shared" si="0"/>
        <v>71.111111111111114</v>
      </c>
      <c r="G38" s="1">
        <f>COA!BK41</f>
        <v>26</v>
      </c>
      <c r="H38" s="1">
        <f>COA!BL41</f>
        <v>30</v>
      </c>
      <c r="I38" s="1">
        <f t="shared" si="1"/>
        <v>86.666666666666671</v>
      </c>
      <c r="J38" s="1">
        <f>OS!BK41</f>
        <v>28</v>
      </c>
      <c r="K38" s="1">
        <f>OS!BL41</f>
        <v>33</v>
      </c>
      <c r="L38" s="1">
        <f t="shared" si="2"/>
        <v>84.848484848484844</v>
      </c>
      <c r="M38" s="1">
        <f>DAA!BK41</f>
        <v>29</v>
      </c>
      <c r="N38" s="1">
        <f>DAA!BL41</f>
        <v>33</v>
      </c>
      <c r="O38" s="1">
        <f t="shared" si="3"/>
        <v>87.878787878787875</v>
      </c>
      <c r="P38" s="1">
        <f>'UHV2'!BK41</f>
        <v>16</v>
      </c>
      <c r="Q38" s="1">
        <f>'UHV2'!BL41</f>
        <v>29</v>
      </c>
      <c r="R38" s="1">
        <f t="shared" si="4"/>
        <v>55.172413793103445</v>
      </c>
      <c r="S38" s="1">
        <f>EVS!BK41</f>
        <v>26</v>
      </c>
      <c r="T38" s="1">
        <f>EVS!BL41</f>
        <v>29</v>
      </c>
      <c r="U38" s="1">
        <f t="shared" si="5"/>
        <v>89.65517241379311</v>
      </c>
      <c r="V38" s="1">
        <f>COAlab!BK41</f>
        <v>22</v>
      </c>
      <c r="W38" s="1">
        <f>COAlab!BL41</f>
        <v>22</v>
      </c>
      <c r="X38" s="1">
        <f t="shared" si="6"/>
        <v>100</v>
      </c>
      <c r="Y38" s="1">
        <f>OSlab!BK41</f>
        <v>35</v>
      </c>
      <c r="Z38" s="1">
        <f>OSlab!BL41</f>
        <v>43</v>
      </c>
      <c r="AA38" s="1">
        <f t="shared" si="7"/>
        <v>81.395348837209298</v>
      </c>
      <c r="AB38" s="1">
        <f>DAAlab!BK41</f>
        <v>34</v>
      </c>
      <c r="AC38" s="1">
        <f>DAAlab!BL41</f>
        <v>44</v>
      </c>
      <c r="AD38" s="1">
        <f t="shared" si="8"/>
        <v>77.272727272727266</v>
      </c>
      <c r="AE38" s="1">
        <f t="shared" ref="AE38:AF38" si="44">AB38+Y38+V38+S38+P38+M38+J38+G38+D38</f>
        <v>248</v>
      </c>
      <c r="AF38" s="1">
        <f t="shared" si="44"/>
        <v>308</v>
      </c>
      <c r="AG38" s="1">
        <f t="shared" si="10"/>
        <v>80.519480519480524</v>
      </c>
    </row>
    <row r="39" spans="1:33" ht="19.5" customHeight="1">
      <c r="A39" s="2">
        <v>36</v>
      </c>
      <c r="B39" s="2" t="s">
        <v>51</v>
      </c>
      <c r="C39" s="3" t="s">
        <v>53</v>
      </c>
      <c r="D39" s="1">
        <f>DM!BK42</f>
        <v>39</v>
      </c>
      <c r="E39" s="1">
        <f>DM!BL42</f>
        <v>45</v>
      </c>
      <c r="F39" s="1">
        <f t="shared" si="0"/>
        <v>86.666666666666671</v>
      </c>
      <c r="G39" s="1">
        <f>COA!BK42</f>
        <v>28</v>
      </c>
      <c r="H39" s="1">
        <f>COA!BL42</f>
        <v>30</v>
      </c>
      <c r="I39" s="1">
        <f t="shared" si="1"/>
        <v>93.333333333333329</v>
      </c>
      <c r="J39" s="1">
        <f>OS!BK42</f>
        <v>29</v>
      </c>
      <c r="K39" s="1">
        <f>OS!BL42</f>
        <v>33</v>
      </c>
      <c r="L39" s="1">
        <f t="shared" si="2"/>
        <v>87.878787878787875</v>
      </c>
      <c r="M39" s="1">
        <f>DAA!BK42</f>
        <v>32</v>
      </c>
      <c r="N39" s="1">
        <f>DAA!BL42</f>
        <v>33</v>
      </c>
      <c r="O39" s="1">
        <f t="shared" si="3"/>
        <v>96.969696969696969</v>
      </c>
      <c r="P39" s="1">
        <f>'UHV2'!BK42</f>
        <v>22</v>
      </c>
      <c r="Q39" s="1">
        <f>'UHV2'!BL42</f>
        <v>29</v>
      </c>
      <c r="R39" s="1">
        <f t="shared" si="4"/>
        <v>75.862068965517238</v>
      </c>
      <c r="S39" s="1">
        <f>EVS!BK42</f>
        <v>27</v>
      </c>
      <c r="T39" s="1">
        <f>EVS!BL42</f>
        <v>29</v>
      </c>
      <c r="U39" s="1">
        <f t="shared" si="5"/>
        <v>93.103448275862064</v>
      </c>
      <c r="V39" s="1">
        <f>COAlab!BK42</f>
        <v>22</v>
      </c>
      <c r="W39" s="1">
        <f>COAlab!BL42</f>
        <v>22</v>
      </c>
      <c r="X39" s="1">
        <f t="shared" si="6"/>
        <v>100</v>
      </c>
      <c r="Y39" s="1">
        <f>OSlab!BK42</f>
        <v>37</v>
      </c>
      <c r="Z39" s="1">
        <f>OSlab!BL42</f>
        <v>43</v>
      </c>
      <c r="AA39" s="1">
        <f t="shared" si="7"/>
        <v>86.04651162790698</v>
      </c>
      <c r="AB39" s="1">
        <f>DAAlab!BK42</f>
        <v>40</v>
      </c>
      <c r="AC39" s="1">
        <f>DAAlab!BL42</f>
        <v>44</v>
      </c>
      <c r="AD39" s="1">
        <f t="shared" si="8"/>
        <v>90.909090909090907</v>
      </c>
      <c r="AE39" s="1">
        <f t="shared" ref="AE39:AF39" si="45">AB39+Y39+V39+S39+P39+M39+J39+G39+D39</f>
        <v>276</v>
      </c>
      <c r="AF39" s="1">
        <f t="shared" si="45"/>
        <v>308</v>
      </c>
      <c r="AG39" s="1">
        <f t="shared" si="10"/>
        <v>89.610389610389603</v>
      </c>
    </row>
    <row r="40" spans="1:33" ht="19.5" customHeight="1">
      <c r="A40" s="2">
        <v>37</v>
      </c>
      <c r="B40" s="2" t="s">
        <v>51</v>
      </c>
      <c r="C40" s="3" t="s">
        <v>54</v>
      </c>
      <c r="D40" s="1">
        <f>DM!BK43</f>
        <v>31</v>
      </c>
      <c r="E40" s="1">
        <f>DM!BL43</f>
        <v>45</v>
      </c>
      <c r="F40" s="1">
        <f t="shared" si="0"/>
        <v>68.888888888888886</v>
      </c>
      <c r="G40" s="1">
        <f>COA!BK43</f>
        <v>27</v>
      </c>
      <c r="H40" s="1">
        <f>COA!BL43</f>
        <v>30</v>
      </c>
      <c r="I40" s="1">
        <f t="shared" si="1"/>
        <v>90</v>
      </c>
      <c r="J40" s="1">
        <f>OS!BK43</f>
        <v>29</v>
      </c>
      <c r="K40" s="1">
        <f>OS!BL43</f>
        <v>33</v>
      </c>
      <c r="L40" s="1">
        <f t="shared" si="2"/>
        <v>87.878787878787875</v>
      </c>
      <c r="M40" s="1">
        <f>DAA!BK43</f>
        <v>28</v>
      </c>
      <c r="N40" s="1">
        <f>DAA!BL43</f>
        <v>33</v>
      </c>
      <c r="O40" s="1">
        <f t="shared" si="3"/>
        <v>84.848484848484844</v>
      </c>
      <c r="P40" s="1">
        <f>'UHV2'!BK44</f>
        <v>20</v>
      </c>
      <c r="Q40" s="1">
        <f>'UHV2'!BL43</f>
        <v>29</v>
      </c>
      <c r="R40" s="1">
        <f t="shared" si="4"/>
        <v>68.965517241379317</v>
      </c>
      <c r="S40" s="1">
        <f>EVS!BK43</f>
        <v>23</v>
      </c>
      <c r="T40" s="1">
        <f>EVS!BL43</f>
        <v>29</v>
      </c>
      <c r="U40" s="1">
        <f t="shared" si="5"/>
        <v>79.310344827586206</v>
      </c>
      <c r="V40" s="1">
        <f>COAlab!BK43</f>
        <v>22</v>
      </c>
      <c r="W40" s="1">
        <f>COAlab!BL43</f>
        <v>22</v>
      </c>
      <c r="X40" s="1">
        <f t="shared" si="6"/>
        <v>100</v>
      </c>
      <c r="Y40" s="1">
        <f>OSlab!BK43</f>
        <v>27</v>
      </c>
      <c r="Z40" s="1">
        <f>OSlab!BL43</f>
        <v>43</v>
      </c>
      <c r="AA40" s="1">
        <f t="shared" si="7"/>
        <v>62.790697674418603</v>
      </c>
      <c r="AB40" s="1">
        <f>DAAlab!BK43</f>
        <v>40</v>
      </c>
      <c r="AC40" s="1">
        <f>DAAlab!BL43</f>
        <v>44</v>
      </c>
      <c r="AD40" s="1">
        <f t="shared" si="8"/>
        <v>90.909090909090907</v>
      </c>
      <c r="AE40" s="1">
        <f t="shared" ref="AE40:AF40" si="46">AB40+Y40+V40+S40+P40+M40+J40+G40+D40</f>
        <v>247</v>
      </c>
      <c r="AF40" s="1">
        <f t="shared" si="46"/>
        <v>308</v>
      </c>
      <c r="AG40" s="1">
        <f t="shared" si="10"/>
        <v>80.194805194805198</v>
      </c>
    </row>
    <row r="41" spans="1:33" ht="19.5" customHeight="1">
      <c r="A41" s="2">
        <v>38</v>
      </c>
      <c r="B41" s="2" t="s">
        <v>51</v>
      </c>
      <c r="C41" s="3" t="s">
        <v>55</v>
      </c>
      <c r="D41" s="1">
        <f>DM!BK44</f>
        <v>35</v>
      </c>
      <c r="E41" s="1">
        <f>DM!BL44</f>
        <v>45</v>
      </c>
      <c r="F41" s="1">
        <f t="shared" si="0"/>
        <v>77.777777777777786</v>
      </c>
      <c r="G41" s="1">
        <f>COA!BK44</f>
        <v>27</v>
      </c>
      <c r="H41" s="1">
        <f>COA!BL44</f>
        <v>30</v>
      </c>
      <c r="I41" s="1">
        <f t="shared" si="1"/>
        <v>90</v>
      </c>
      <c r="J41" s="1">
        <f>OS!BK44</f>
        <v>31</v>
      </c>
      <c r="K41" s="1">
        <f>OS!BL44</f>
        <v>33</v>
      </c>
      <c r="L41" s="1">
        <f t="shared" si="2"/>
        <v>93.939393939393938</v>
      </c>
      <c r="M41" s="1">
        <f>DAA!BK44</f>
        <v>31</v>
      </c>
      <c r="N41" s="1">
        <f>DAA!BL44</f>
        <v>33</v>
      </c>
      <c r="O41" s="1">
        <f t="shared" si="3"/>
        <v>93.939393939393938</v>
      </c>
      <c r="P41" s="1">
        <f>'UHV2'!BK44</f>
        <v>20</v>
      </c>
      <c r="Q41" s="1">
        <f>'UHV2'!BL44</f>
        <v>29</v>
      </c>
      <c r="R41" s="1">
        <f t="shared" si="4"/>
        <v>68.965517241379317</v>
      </c>
      <c r="S41" s="1">
        <f>EVS!BK44</f>
        <v>24</v>
      </c>
      <c r="T41" s="1">
        <f>EVS!BL44</f>
        <v>29</v>
      </c>
      <c r="U41" s="1">
        <f t="shared" si="5"/>
        <v>82.758620689655174</v>
      </c>
      <c r="V41" s="1">
        <f>COAlab!BK44</f>
        <v>18</v>
      </c>
      <c r="W41" s="1">
        <f>COAlab!BL44</f>
        <v>22</v>
      </c>
      <c r="X41" s="1">
        <f t="shared" si="6"/>
        <v>81.818181818181827</v>
      </c>
      <c r="Y41" s="1">
        <f>OSlab!BK44</f>
        <v>37</v>
      </c>
      <c r="Z41" s="1">
        <f>OSlab!BL44</f>
        <v>43</v>
      </c>
      <c r="AA41" s="1">
        <f t="shared" si="7"/>
        <v>86.04651162790698</v>
      </c>
      <c r="AB41" s="1">
        <f>DAAlab!BK44</f>
        <v>38</v>
      </c>
      <c r="AC41" s="1">
        <f>DAAlab!BL44</f>
        <v>44</v>
      </c>
      <c r="AD41" s="1">
        <f t="shared" si="8"/>
        <v>86.36363636363636</v>
      </c>
      <c r="AE41" s="1">
        <f t="shared" ref="AE41:AF41" si="47">AB41+Y41+V41+S41+P41+M41+J41+G41+D41</f>
        <v>261</v>
      </c>
      <c r="AF41" s="1">
        <f t="shared" si="47"/>
        <v>308</v>
      </c>
      <c r="AG41" s="1">
        <f t="shared" si="10"/>
        <v>84.740259740259745</v>
      </c>
    </row>
    <row r="42" spans="1:33" ht="19.5" customHeight="1">
      <c r="A42" s="2">
        <v>39</v>
      </c>
      <c r="B42" s="2" t="s">
        <v>56</v>
      </c>
      <c r="C42" s="3" t="s">
        <v>57</v>
      </c>
      <c r="D42" s="1">
        <f>DM!BK45</f>
        <v>29</v>
      </c>
      <c r="E42" s="1">
        <f>DM!BL45</f>
        <v>45</v>
      </c>
      <c r="F42" s="1">
        <f t="shared" si="0"/>
        <v>64.444444444444443</v>
      </c>
      <c r="G42" s="1">
        <f>COA!BK45</f>
        <v>22</v>
      </c>
      <c r="H42" s="1">
        <f>COA!BL45</f>
        <v>30</v>
      </c>
      <c r="I42" s="1">
        <f t="shared" si="1"/>
        <v>73.333333333333329</v>
      </c>
      <c r="J42" s="1">
        <f>OS!BK45</f>
        <v>73</v>
      </c>
      <c r="K42" s="1">
        <f>OS!BL45</f>
        <v>33</v>
      </c>
      <c r="L42" s="1">
        <f t="shared" si="2"/>
        <v>221.21212121212119</v>
      </c>
      <c r="M42" s="1">
        <f>DAA!BK45</f>
        <v>25</v>
      </c>
      <c r="N42" s="1">
        <f>DAA!BL45</f>
        <v>33</v>
      </c>
      <c r="O42" s="1">
        <f t="shared" si="3"/>
        <v>75.757575757575751</v>
      </c>
      <c r="P42" s="1">
        <f>'UHV2'!BK45</f>
        <v>20</v>
      </c>
      <c r="Q42" s="1">
        <f>'UHV2'!BL45</f>
        <v>29</v>
      </c>
      <c r="R42" s="1">
        <f t="shared" si="4"/>
        <v>68.965517241379317</v>
      </c>
      <c r="S42" s="1">
        <f>EVS!BK45</f>
        <v>24</v>
      </c>
      <c r="T42" s="1">
        <f>EVS!BL45</f>
        <v>29</v>
      </c>
      <c r="U42" s="1">
        <f t="shared" si="5"/>
        <v>82.758620689655174</v>
      </c>
      <c r="V42" s="1">
        <f>COAlab!BK45</f>
        <v>16</v>
      </c>
      <c r="W42" s="1">
        <f>COAlab!BL45</f>
        <v>22</v>
      </c>
      <c r="X42" s="1">
        <f t="shared" si="6"/>
        <v>72.727272727272734</v>
      </c>
      <c r="Y42" s="1">
        <f>OSlab!BK45</f>
        <v>34</v>
      </c>
      <c r="Z42" s="1">
        <f>OSlab!BL45</f>
        <v>43</v>
      </c>
      <c r="AA42" s="1">
        <f t="shared" si="7"/>
        <v>79.069767441860463</v>
      </c>
      <c r="AB42" s="1">
        <f>DAAlab!BK45</f>
        <v>32</v>
      </c>
      <c r="AC42" s="1">
        <f>DAAlab!BL45</f>
        <v>44</v>
      </c>
      <c r="AD42" s="1">
        <f t="shared" si="8"/>
        <v>72.727272727272734</v>
      </c>
      <c r="AE42" s="1">
        <f t="shared" ref="AE42:AF42" si="48">AB42+Y42+V42+S42+P42+M42+J42+G42+D42</f>
        <v>275</v>
      </c>
      <c r="AF42" s="1">
        <f t="shared" si="48"/>
        <v>308</v>
      </c>
      <c r="AG42" s="1">
        <f t="shared" si="10"/>
        <v>89.285714285714292</v>
      </c>
    </row>
    <row r="43" spans="1:33" ht="19.5" customHeight="1">
      <c r="A43" s="2">
        <v>40</v>
      </c>
      <c r="B43" s="2">
        <v>2301381</v>
      </c>
      <c r="C43" s="3" t="s">
        <v>58</v>
      </c>
      <c r="D43" s="1">
        <f>DM!BK46</f>
        <v>35</v>
      </c>
      <c r="E43" s="1">
        <f>DM!BL46</f>
        <v>45</v>
      </c>
      <c r="F43" s="1">
        <f t="shared" si="0"/>
        <v>77.777777777777786</v>
      </c>
      <c r="G43" s="1">
        <f>COA!BK46</f>
        <v>29</v>
      </c>
      <c r="H43" s="1">
        <f>COA!BL46</f>
        <v>30</v>
      </c>
      <c r="I43" s="1">
        <f t="shared" si="1"/>
        <v>96.666666666666671</v>
      </c>
      <c r="J43" s="1">
        <f>OS!BK46</f>
        <v>33</v>
      </c>
      <c r="K43" s="1">
        <f>OS!BL46</f>
        <v>33</v>
      </c>
      <c r="L43" s="1">
        <f t="shared" si="2"/>
        <v>100</v>
      </c>
      <c r="M43" s="1">
        <f>DAA!BK46</f>
        <v>28</v>
      </c>
      <c r="N43" s="1">
        <f>DAA!BL46</f>
        <v>33</v>
      </c>
      <c r="O43" s="1">
        <f t="shared" si="3"/>
        <v>84.848484848484844</v>
      </c>
      <c r="P43" s="1">
        <f>'UHV2'!BK46</f>
        <v>26</v>
      </c>
      <c r="Q43" s="1">
        <f>'UHV2'!BL46</f>
        <v>29</v>
      </c>
      <c r="R43" s="1">
        <f t="shared" si="4"/>
        <v>89.65517241379311</v>
      </c>
      <c r="S43" s="1">
        <f>EVS!BK46</f>
        <v>27</v>
      </c>
      <c r="T43" s="1">
        <f>EVS!BL46</f>
        <v>29</v>
      </c>
      <c r="U43" s="1">
        <f t="shared" si="5"/>
        <v>93.103448275862064</v>
      </c>
      <c r="V43" s="1">
        <f>COAlab!BK46</f>
        <v>28</v>
      </c>
      <c r="W43" s="1">
        <f>COAlab!BL46</f>
        <v>28</v>
      </c>
      <c r="X43" s="1">
        <f t="shared" si="6"/>
        <v>100</v>
      </c>
      <c r="Y43" s="1">
        <f>OSlab!BK46</f>
        <v>36</v>
      </c>
      <c r="Z43" s="1">
        <f>OSlab!BL46</f>
        <v>40</v>
      </c>
      <c r="AA43" s="1">
        <f t="shared" si="7"/>
        <v>90</v>
      </c>
      <c r="AB43" s="1">
        <f>DAAlab!BK46</f>
        <v>40</v>
      </c>
      <c r="AC43" s="1">
        <f>DAAlab!BL46</f>
        <v>42</v>
      </c>
      <c r="AD43" s="1">
        <f t="shared" si="8"/>
        <v>95.238095238095227</v>
      </c>
      <c r="AE43" s="1">
        <f t="shared" ref="AE43:AF43" si="49">AB43+Y43+V43+S43+P43+M43+J43+G43+D43</f>
        <v>282</v>
      </c>
      <c r="AF43" s="1">
        <f t="shared" si="49"/>
        <v>309</v>
      </c>
      <c r="AG43" s="1">
        <f t="shared" si="10"/>
        <v>91.262135922330103</v>
      </c>
    </row>
    <row r="44" spans="1:33" ht="19.5" customHeight="1">
      <c r="A44" s="2">
        <v>41</v>
      </c>
      <c r="B44" s="2">
        <v>2301382</v>
      </c>
      <c r="C44" s="3" t="s">
        <v>59</v>
      </c>
      <c r="D44" s="1">
        <f>DM!BK47</f>
        <v>20</v>
      </c>
      <c r="E44" s="1">
        <f>DM!BL47</f>
        <v>45</v>
      </c>
      <c r="F44" s="1">
        <f t="shared" si="0"/>
        <v>44.444444444444443</v>
      </c>
      <c r="G44" s="1">
        <f>COA!BK47</f>
        <v>21</v>
      </c>
      <c r="H44" s="1">
        <f>COA!BL47</f>
        <v>30</v>
      </c>
      <c r="I44" s="1">
        <f t="shared" si="1"/>
        <v>70</v>
      </c>
      <c r="J44" s="1">
        <f>OS!BK47</f>
        <v>22</v>
      </c>
      <c r="K44" s="1">
        <f>OS!BL47</f>
        <v>33</v>
      </c>
      <c r="L44" s="1">
        <f t="shared" si="2"/>
        <v>66.666666666666657</v>
      </c>
      <c r="M44" s="1">
        <f>DAA!BK47</f>
        <v>25</v>
      </c>
      <c r="N44" s="1">
        <f>DAA!BL47</f>
        <v>33</v>
      </c>
      <c r="O44" s="1">
        <f t="shared" si="3"/>
        <v>75.757575757575751</v>
      </c>
      <c r="P44" s="1">
        <f>'UHV2'!BK47</f>
        <v>18</v>
      </c>
      <c r="Q44" s="1">
        <f>'UHV2'!BL47</f>
        <v>29</v>
      </c>
      <c r="R44" s="1">
        <f t="shared" si="4"/>
        <v>62.068965517241381</v>
      </c>
      <c r="S44" s="1">
        <f>EVS!BK47</f>
        <v>20</v>
      </c>
      <c r="T44" s="1">
        <f>EVS!BL47</f>
        <v>29</v>
      </c>
      <c r="U44" s="1">
        <f t="shared" si="5"/>
        <v>68.965517241379317</v>
      </c>
      <c r="V44" s="1">
        <f>COAlab!BK47</f>
        <v>18</v>
      </c>
      <c r="W44" s="1">
        <f>COAlab!BL47</f>
        <v>28</v>
      </c>
      <c r="X44" s="1">
        <f t="shared" si="6"/>
        <v>64.285714285714292</v>
      </c>
      <c r="Y44" s="1">
        <f>OSlab!BK47</f>
        <v>26</v>
      </c>
      <c r="Z44" s="1">
        <f>OSlab!BL47</f>
        <v>40</v>
      </c>
      <c r="AA44" s="1">
        <f t="shared" si="7"/>
        <v>65</v>
      </c>
      <c r="AB44" s="1">
        <f>DAAlab!BK47</f>
        <v>34</v>
      </c>
      <c r="AC44" s="1">
        <f>DAAlab!BL47</f>
        <v>42</v>
      </c>
      <c r="AD44" s="1">
        <f t="shared" si="8"/>
        <v>80.952380952380949</v>
      </c>
      <c r="AE44" s="1">
        <f t="shared" ref="AE44:AF44" si="50">AB44+Y44+V44+S44+P44+M44+J44+G44+D44</f>
        <v>204</v>
      </c>
      <c r="AF44" s="1">
        <f t="shared" si="50"/>
        <v>309</v>
      </c>
      <c r="AG44" s="1">
        <f t="shared" si="10"/>
        <v>66.019417475728162</v>
      </c>
    </row>
    <row r="45" spans="1:33" ht="19.5" customHeight="1">
      <c r="A45" s="2">
        <v>42</v>
      </c>
      <c r="B45" s="2">
        <v>2301383</v>
      </c>
      <c r="C45" s="3" t="s">
        <v>60</v>
      </c>
      <c r="D45" s="1">
        <f>DM!BK48</f>
        <v>34</v>
      </c>
      <c r="E45" s="1">
        <f>DM!BL48</f>
        <v>45</v>
      </c>
      <c r="F45" s="1">
        <f t="shared" si="0"/>
        <v>75.555555555555557</v>
      </c>
      <c r="G45" s="1">
        <f>COA!BK48</f>
        <v>23</v>
      </c>
      <c r="H45" s="1">
        <f>COA!BL48</f>
        <v>30</v>
      </c>
      <c r="I45" s="1">
        <f t="shared" si="1"/>
        <v>76.666666666666671</v>
      </c>
      <c r="J45" s="1">
        <f>OS!BK48</f>
        <v>25</v>
      </c>
      <c r="K45" s="1">
        <f>OS!BL48</f>
        <v>33</v>
      </c>
      <c r="L45" s="1">
        <f t="shared" si="2"/>
        <v>75.757575757575751</v>
      </c>
      <c r="M45" s="1">
        <f>DAA!BK48</f>
        <v>26</v>
      </c>
      <c r="N45" s="1">
        <f>DAA!BL48</f>
        <v>33</v>
      </c>
      <c r="O45" s="1">
        <f t="shared" si="3"/>
        <v>78.787878787878782</v>
      </c>
      <c r="P45" s="1">
        <f>'UHV2'!BK48</f>
        <v>21</v>
      </c>
      <c r="Q45" s="1">
        <f>'UHV2'!BL48</f>
        <v>29</v>
      </c>
      <c r="R45" s="1">
        <f t="shared" si="4"/>
        <v>72.41379310344827</v>
      </c>
      <c r="S45" s="1">
        <f>EVS!BK48</f>
        <v>19</v>
      </c>
      <c r="T45" s="1">
        <f>EVS!BL48</f>
        <v>29</v>
      </c>
      <c r="U45" s="1">
        <f t="shared" si="5"/>
        <v>65.517241379310349</v>
      </c>
      <c r="V45" s="1">
        <f>COAlab!BK48</f>
        <v>18</v>
      </c>
      <c r="W45" s="1">
        <f>COAlab!BL48</f>
        <v>28</v>
      </c>
      <c r="X45" s="1">
        <f t="shared" si="6"/>
        <v>64.285714285714292</v>
      </c>
      <c r="Y45" s="1">
        <f>OSlab!BK48</f>
        <v>26</v>
      </c>
      <c r="Z45" s="1">
        <f>OSlab!BL48</f>
        <v>40</v>
      </c>
      <c r="AA45" s="1">
        <f t="shared" si="7"/>
        <v>65</v>
      </c>
      <c r="AB45" s="1">
        <f>DAAlab!BK48</f>
        <v>32</v>
      </c>
      <c r="AC45" s="1">
        <f>DAAlab!BL48</f>
        <v>42</v>
      </c>
      <c r="AD45" s="1">
        <f t="shared" si="8"/>
        <v>76.19047619047619</v>
      </c>
      <c r="AE45" s="1">
        <f t="shared" ref="AE45:AF45" si="51">AB45+Y45+V45+S45+P45+M45+J45+G45+D45</f>
        <v>224</v>
      </c>
      <c r="AF45" s="1">
        <f t="shared" si="51"/>
        <v>309</v>
      </c>
      <c r="AG45" s="1">
        <f t="shared" si="10"/>
        <v>72.491909385113274</v>
      </c>
    </row>
    <row r="46" spans="1:33" ht="19.5" customHeight="1">
      <c r="A46" s="2">
        <v>43</v>
      </c>
      <c r="B46" s="2">
        <v>2301384</v>
      </c>
      <c r="C46" s="3" t="s">
        <v>61</v>
      </c>
      <c r="D46" s="1">
        <f>DM!BK49</f>
        <v>28</v>
      </c>
      <c r="E46" s="1">
        <f>DM!BL49</f>
        <v>45</v>
      </c>
      <c r="F46" s="1">
        <f t="shared" si="0"/>
        <v>62.222222222222221</v>
      </c>
      <c r="G46" s="1">
        <f>COA!BK49</f>
        <v>22</v>
      </c>
      <c r="H46" s="1">
        <f>COA!BL49</f>
        <v>30</v>
      </c>
      <c r="I46" s="1">
        <f t="shared" si="1"/>
        <v>73.333333333333329</v>
      </c>
      <c r="J46" s="1">
        <f>OS!BK49</f>
        <v>20</v>
      </c>
      <c r="K46" s="1">
        <f>OS!BL49</f>
        <v>33</v>
      </c>
      <c r="L46" s="1">
        <f t="shared" si="2"/>
        <v>60.606060606060609</v>
      </c>
      <c r="M46" s="1">
        <f>DAA!BK49</f>
        <v>23</v>
      </c>
      <c r="N46" s="1">
        <f>DAA!BL49</f>
        <v>33</v>
      </c>
      <c r="O46" s="1">
        <f t="shared" si="3"/>
        <v>69.696969696969703</v>
      </c>
      <c r="P46" s="1">
        <f>'UHV2'!BK49</f>
        <v>21</v>
      </c>
      <c r="Q46" s="1">
        <f>'UHV2'!BL49</f>
        <v>29</v>
      </c>
      <c r="R46" s="1">
        <f t="shared" si="4"/>
        <v>72.41379310344827</v>
      </c>
      <c r="S46" s="1">
        <f>EVS!BK49</f>
        <v>18</v>
      </c>
      <c r="T46" s="1">
        <f>EVS!BL49</f>
        <v>29</v>
      </c>
      <c r="U46" s="1">
        <f t="shared" si="5"/>
        <v>62.068965517241381</v>
      </c>
      <c r="V46" s="1">
        <f>COAlab!BK49</f>
        <v>16</v>
      </c>
      <c r="W46" s="1">
        <f>COAlab!BL49</f>
        <v>28</v>
      </c>
      <c r="X46" s="1">
        <f t="shared" si="6"/>
        <v>57.142857142857139</v>
      </c>
      <c r="Y46" s="1">
        <f>OSlab!BK49</f>
        <v>28</v>
      </c>
      <c r="Z46" s="1">
        <f>OSlab!BL49</f>
        <v>40</v>
      </c>
      <c r="AA46" s="1">
        <f t="shared" si="7"/>
        <v>70</v>
      </c>
      <c r="AB46" s="1">
        <f>DAAlab!BK49</f>
        <v>30</v>
      </c>
      <c r="AC46" s="1">
        <f>DAAlab!BL49</f>
        <v>42</v>
      </c>
      <c r="AD46" s="1">
        <f t="shared" si="8"/>
        <v>71.428571428571431</v>
      </c>
      <c r="AE46" s="1">
        <f t="shared" ref="AE46:AF46" si="52">AB46+Y46+V46+S46+P46+M46+J46+G46+D46</f>
        <v>206</v>
      </c>
      <c r="AF46" s="1">
        <f t="shared" si="52"/>
        <v>309</v>
      </c>
      <c r="AG46" s="1">
        <f t="shared" si="10"/>
        <v>66.666666666666657</v>
      </c>
    </row>
    <row r="47" spans="1:33" ht="19.5" customHeight="1">
      <c r="A47" s="2">
        <v>44</v>
      </c>
      <c r="B47" s="2">
        <v>2301385</v>
      </c>
      <c r="C47" s="3" t="s">
        <v>62</v>
      </c>
      <c r="D47" s="1">
        <f>DM!BK50</f>
        <v>26</v>
      </c>
      <c r="E47" s="1">
        <f>DM!BL50</f>
        <v>45</v>
      </c>
      <c r="F47" s="1">
        <f t="shared" si="0"/>
        <v>57.777777777777771</v>
      </c>
      <c r="G47" s="1">
        <f>COA!BK50</f>
        <v>23</v>
      </c>
      <c r="H47" s="1">
        <f>COA!BL50</f>
        <v>30</v>
      </c>
      <c r="I47" s="1">
        <f t="shared" si="1"/>
        <v>76.666666666666671</v>
      </c>
      <c r="J47" s="1">
        <f>OS!BK50</f>
        <v>25</v>
      </c>
      <c r="K47" s="1">
        <f>OS!BL50</f>
        <v>33</v>
      </c>
      <c r="L47" s="1">
        <f t="shared" si="2"/>
        <v>75.757575757575751</v>
      </c>
      <c r="M47" s="1">
        <f>DAA!BK50</f>
        <v>23</v>
      </c>
      <c r="N47" s="1">
        <f>DAA!BL50</f>
        <v>33</v>
      </c>
      <c r="O47" s="1">
        <f t="shared" si="3"/>
        <v>69.696969696969703</v>
      </c>
      <c r="P47" s="1">
        <f>'UHV2'!BK50</f>
        <v>25</v>
      </c>
      <c r="Q47" s="1">
        <f>'UHV2'!BL50</f>
        <v>29</v>
      </c>
      <c r="R47" s="1">
        <f t="shared" si="4"/>
        <v>86.206896551724128</v>
      </c>
      <c r="S47" s="1">
        <f>EVS!BK50</f>
        <v>17</v>
      </c>
      <c r="T47" s="1">
        <f>EVS!BL50</f>
        <v>29</v>
      </c>
      <c r="U47" s="1">
        <f t="shared" si="5"/>
        <v>58.620689655172406</v>
      </c>
      <c r="V47" s="1">
        <f>COAlab!BK50</f>
        <v>24</v>
      </c>
      <c r="W47" s="1">
        <f>COAlab!BL50</f>
        <v>28</v>
      </c>
      <c r="X47" s="1">
        <f t="shared" si="6"/>
        <v>85.714285714285708</v>
      </c>
      <c r="Y47" s="1">
        <f>OSlab!BK50</f>
        <v>30</v>
      </c>
      <c r="Z47" s="1">
        <f>OSlab!BL50</f>
        <v>40</v>
      </c>
      <c r="AA47" s="1">
        <f t="shared" si="7"/>
        <v>75</v>
      </c>
      <c r="AB47" s="1">
        <f>DAAlab!BK50</f>
        <v>34</v>
      </c>
      <c r="AC47" s="1">
        <f>DAAlab!BL50</f>
        <v>42</v>
      </c>
      <c r="AD47" s="1">
        <f t="shared" si="8"/>
        <v>80.952380952380949</v>
      </c>
      <c r="AE47" s="1">
        <f t="shared" ref="AE47:AF47" si="53">AB47+Y47+V47+S47+P47+M47+J47+G47+D47</f>
        <v>227</v>
      </c>
      <c r="AF47" s="1">
        <f t="shared" si="53"/>
        <v>309</v>
      </c>
      <c r="AG47" s="1">
        <f t="shared" si="10"/>
        <v>73.462783171521039</v>
      </c>
    </row>
    <row r="48" spans="1:33" ht="19.5" customHeight="1">
      <c r="A48" s="2">
        <v>45</v>
      </c>
      <c r="B48" s="2">
        <v>2301386</v>
      </c>
      <c r="C48" s="3" t="s">
        <v>63</v>
      </c>
      <c r="D48" s="1">
        <f>DM!BK51</f>
        <v>16</v>
      </c>
      <c r="E48" s="1">
        <f>DM!BL51</f>
        <v>45</v>
      </c>
      <c r="F48" s="1">
        <f t="shared" si="0"/>
        <v>35.555555555555557</v>
      </c>
      <c r="G48" s="1">
        <f>COA!BK51</f>
        <v>13</v>
      </c>
      <c r="H48" s="1">
        <f>COA!BL51</f>
        <v>30</v>
      </c>
      <c r="I48" s="1">
        <f t="shared" si="1"/>
        <v>43.333333333333336</v>
      </c>
      <c r="J48" s="1">
        <f>OS!BK51</f>
        <v>13</v>
      </c>
      <c r="K48" s="1">
        <f>OS!BL51</f>
        <v>33</v>
      </c>
      <c r="L48" s="1">
        <f t="shared" si="2"/>
        <v>39.393939393939391</v>
      </c>
      <c r="M48" s="1">
        <f>DAA!BK51</f>
        <v>18</v>
      </c>
      <c r="N48" s="1">
        <f>DAA!BL51</f>
        <v>33</v>
      </c>
      <c r="O48" s="1">
        <f t="shared" si="3"/>
        <v>54.54545454545454</v>
      </c>
      <c r="P48" s="1">
        <f>'UHV2'!BK51</f>
        <v>8</v>
      </c>
      <c r="Q48" s="1">
        <f>'UHV2'!BL51</f>
        <v>29</v>
      </c>
      <c r="R48" s="1">
        <f t="shared" si="4"/>
        <v>27.586206896551722</v>
      </c>
      <c r="S48" s="1">
        <f>EVS!BK51</f>
        <v>8</v>
      </c>
      <c r="T48" s="1">
        <f>EVS!BL51</f>
        <v>29</v>
      </c>
      <c r="U48" s="1">
        <f t="shared" si="5"/>
        <v>27.586206896551722</v>
      </c>
      <c r="V48" s="1">
        <f>COAlab!BK51</f>
        <v>12</v>
      </c>
      <c r="W48" s="1">
        <f>COAlab!BL51</f>
        <v>28</v>
      </c>
      <c r="X48" s="1">
        <f t="shared" si="6"/>
        <v>42.857142857142854</v>
      </c>
      <c r="Y48" s="1">
        <f>OSlab!BK51</f>
        <v>18</v>
      </c>
      <c r="Z48" s="1">
        <f>OSlab!BL51</f>
        <v>40</v>
      </c>
      <c r="AA48" s="1">
        <f t="shared" si="7"/>
        <v>45</v>
      </c>
      <c r="AB48" s="1">
        <f>DAAlab!BK51</f>
        <v>18</v>
      </c>
      <c r="AC48" s="1">
        <f>DAAlab!BL51</f>
        <v>42</v>
      </c>
      <c r="AD48" s="1">
        <f t="shared" si="8"/>
        <v>42.857142857142854</v>
      </c>
      <c r="AE48" s="1">
        <f t="shared" ref="AE48:AF48" si="54">AB48+Y48+V48+S48+P48+M48+J48+G48+D48</f>
        <v>124</v>
      </c>
      <c r="AF48" s="1">
        <f t="shared" si="54"/>
        <v>309</v>
      </c>
      <c r="AG48" s="1">
        <f t="shared" si="10"/>
        <v>40.129449838187703</v>
      </c>
    </row>
    <row r="49" spans="1:33" ht="19.5" customHeight="1">
      <c r="A49" s="2">
        <v>46</v>
      </c>
      <c r="B49" s="2">
        <v>2301387</v>
      </c>
      <c r="C49" s="3" t="s">
        <v>64</v>
      </c>
      <c r="D49" s="1">
        <f>DM!BK52</f>
        <v>15</v>
      </c>
      <c r="E49" s="1">
        <f>DM!BL52</f>
        <v>45</v>
      </c>
      <c r="F49" s="1">
        <f t="shared" si="0"/>
        <v>33.333333333333329</v>
      </c>
      <c r="G49" s="1">
        <f>COA!BK52</f>
        <v>19</v>
      </c>
      <c r="H49" s="1">
        <f>COA!BL52</f>
        <v>30</v>
      </c>
      <c r="I49" s="1">
        <f t="shared" si="1"/>
        <v>63.333333333333329</v>
      </c>
      <c r="J49" s="1">
        <f>OS!BK52</f>
        <v>13</v>
      </c>
      <c r="K49" s="1">
        <f>OS!BL52</f>
        <v>33</v>
      </c>
      <c r="L49" s="1">
        <f t="shared" si="2"/>
        <v>39.393939393939391</v>
      </c>
      <c r="M49" s="1">
        <f>DAA!BK52</f>
        <v>16</v>
      </c>
      <c r="N49" s="1">
        <f>DAA!BL52</f>
        <v>33</v>
      </c>
      <c r="O49" s="1">
        <f t="shared" si="3"/>
        <v>48.484848484848484</v>
      </c>
      <c r="P49" s="1">
        <f>'UHV2'!BK52</f>
        <v>12</v>
      </c>
      <c r="Q49" s="1">
        <f>'UHV2'!BL52</f>
        <v>29</v>
      </c>
      <c r="R49" s="1">
        <f t="shared" si="4"/>
        <v>41.379310344827587</v>
      </c>
      <c r="S49" s="1">
        <f>EVS!BK52</f>
        <v>11</v>
      </c>
      <c r="T49" s="1">
        <f>EVS!BL52</f>
        <v>29</v>
      </c>
      <c r="U49" s="1">
        <f t="shared" si="5"/>
        <v>37.931034482758619</v>
      </c>
      <c r="V49" s="1">
        <f>COAlab!BK52</f>
        <v>16</v>
      </c>
      <c r="W49" s="1">
        <f>COAlab!BL52</f>
        <v>28</v>
      </c>
      <c r="X49" s="1">
        <f t="shared" si="6"/>
        <v>57.142857142857139</v>
      </c>
      <c r="Y49" s="1">
        <f>OSlab!BK52</f>
        <v>22</v>
      </c>
      <c r="Z49" s="1">
        <f>OSlab!BL52</f>
        <v>40</v>
      </c>
      <c r="AA49" s="1">
        <f t="shared" si="7"/>
        <v>55.000000000000007</v>
      </c>
      <c r="AB49" s="1">
        <f>DAAlab!BK52</f>
        <v>24</v>
      </c>
      <c r="AC49" s="1">
        <f>DAAlab!BL52</f>
        <v>42</v>
      </c>
      <c r="AD49" s="1">
        <f t="shared" si="8"/>
        <v>57.142857142857139</v>
      </c>
      <c r="AE49" s="1">
        <f t="shared" ref="AE49:AF49" si="55">AB49+Y49+V49+S49+P49+M49+J49+G49+D49</f>
        <v>148</v>
      </c>
      <c r="AF49" s="1">
        <f t="shared" si="55"/>
        <v>309</v>
      </c>
      <c r="AG49" s="1">
        <f t="shared" si="10"/>
        <v>47.896440129449836</v>
      </c>
    </row>
    <row r="50" spans="1:33" ht="19.5" customHeight="1">
      <c r="A50" s="2">
        <v>47</v>
      </c>
      <c r="B50" s="2">
        <v>2301389</v>
      </c>
      <c r="C50" s="3" t="s">
        <v>65</v>
      </c>
      <c r="D50" s="1">
        <f>DM!BK53</f>
        <v>27</v>
      </c>
      <c r="E50" s="1">
        <f>DM!BL53</f>
        <v>45</v>
      </c>
      <c r="F50" s="1">
        <f t="shared" si="0"/>
        <v>60</v>
      </c>
      <c r="G50" s="1">
        <f>COA!BK53</f>
        <v>14</v>
      </c>
      <c r="H50" s="1">
        <f>COA!BL53</f>
        <v>30</v>
      </c>
      <c r="I50" s="1">
        <f t="shared" si="1"/>
        <v>46.666666666666664</v>
      </c>
      <c r="J50" s="1">
        <f>OS!BK53</f>
        <v>19</v>
      </c>
      <c r="K50" s="1">
        <f>OS!BL53</f>
        <v>33</v>
      </c>
      <c r="L50" s="1">
        <f t="shared" si="2"/>
        <v>57.575757575757578</v>
      </c>
      <c r="M50" s="1">
        <f>DAA!BK53</f>
        <v>24</v>
      </c>
      <c r="N50" s="1">
        <f>DAA!BL53</f>
        <v>33</v>
      </c>
      <c r="O50" s="1">
        <f t="shared" si="3"/>
        <v>72.727272727272734</v>
      </c>
      <c r="P50" s="1">
        <f>'UHV2'!BK53</f>
        <v>12</v>
      </c>
      <c r="Q50" s="1">
        <f>'UHV2'!BL53</f>
        <v>29</v>
      </c>
      <c r="R50" s="1">
        <f t="shared" si="4"/>
        <v>41.379310344827587</v>
      </c>
      <c r="S50" s="1">
        <f>EVS!BK53</f>
        <v>14</v>
      </c>
      <c r="T50" s="1">
        <f>EVS!BL53</f>
        <v>29</v>
      </c>
      <c r="U50" s="1">
        <f t="shared" si="5"/>
        <v>48.275862068965516</v>
      </c>
      <c r="V50" s="1">
        <f>COAlab!BK53</f>
        <v>20</v>
      </c>
      <c r="W50" s="1">
        <f>COAlab!BL53</f>
        <v>28</v>
      </c>
      <c r="X50" s="1">
        <f t="shared" si="6"/>
        <v>71.428571428571431</v>
      </c>
      <c r="Y50" s="1">
        <f>OSlab!BK53</f>
        <v>20</v>
      </c>
      <c r="Z50" s="1">
        <f>OSlab!BL53</f>
        <v>40</v>
      </c>
      <c r="AA50" s="1">
        <f t="shared" si="7"/>
        <v>50</v>
      </c>
      <c r="AB50" s="1">
        <f>DAAlab!BK53</f>
        <v>32</v>
      </c>
      <c r="AC50" s="1">
        <f>DAAlab!BL53</f>
        <v>42</v>
      </c>
      <c r="AD50" s="1">
        <f t="shared" si="8"/>
        <v>76.19047619047619</v>
      </c>
      <c r="AE50" s="1">
        <f t="shared" ref="AE50:AF50" si="56">AB50+Y50+V50+S50+P50+M50+J50+G50+D50</f>
        <v>182</v>
      </c>
      <c r="AF50" s="1">
        <f t="shared" si="56"/>
        <v>309</v>
      </c>
      <c r="AG50" s="1">
        <f t="shared" si="10"/>
        <v>58.899676375404532</v>
      </c>
    </row>
    <row r="51" spans="1:33" ht="19.5" customHeight="1">
      <c r="A51" s="2">
        <v>48</v>
      </c>
      <c r="B51" s="2">
        <v>2301390</v>
      </c>
      <c r="C51" s="3" t="s">
        <v>66</v>
      </c>
      <c r="D51" s="1">
        <f>DM!BK54</f>
        <v>30</v>
      </c>
      <c r="E51" s="1">
        <f>DM!BL54</f>
        <v>45</v>
      </c>
      <c r="F51" s="1">
        <f t="shared" si="0"/>
        <v>66.666666666666657</v>
      </c>
      <c r="G51" s="1">
        <f>COA!BK54</f>
        <v>28</v>
      </c>
      <c r="H51" s="1">
        <f>COA!BL54</f>
        <v>30</v>
      </c>
      <c r="I51" s="1">
        <f t="shared" si="1"/>
        <v>93.333333333333329</v>
      </c>
      <c r="J51" s="1">
        <f>OS!BK54</f>
        <v>23</v>
      </c>
      <c r="K51" s="1">
        <f>OS!BL54</f>
        <v>33</v>
      </c>
      <c r="L51" s="1">
        <f t="shared" si="2"/>
        <v>69.696969696969703</v>
      </c>
      <c r="M51" s="1">
        <f>DAA!BK54</f>
        <v>23</v>
      </c>
      <c r="N51" s="1">
        <f>DAA!BL54</f>
        <v>33</v>
      </c>
      <c r="O51" s="1">
        <f t="shared" si="3"/>
        <v>69.696969696969703</v>
      </c>
      <c r="P51" s="1">
        <f>'UHV2'!BK54</f>
        <v>21</v>
      </c>
      <c r="Q51" s="1">
        <f>'UHV2'!BL54</f>
        <v>29</v>
      </c>
      <c r="R51" s="1">
        <f t="shared" si="4"/>
        <v>72.41379310344827</v>
      </c>
      <c r="S51" s="1">
        <f>EVS!BK54</f>
        <v>26</v>
      </c>
      <c r="T51" s="1">
        <f>EVS!BL54</f>
        <v>29</v>
      </c>
      <c r="U51" s="1">
        <f t="shared" si="5"/>
        <v>89.65517241379311</v>
      </c>
      <c r="V51" s="1">
        <f>COAlab!BK54</f>
        <v>20</v>
      </c>
      <c r="W51" s="1">
        <f>COAlab!BL54</f>
        <v>28</v>
      </c>
      <c r="X51" s="1">
        <f t="shared" si="6"/>
        <v>71.428571428571431</v>
      </c>
      <c r="Y51" s="1">
        <f>OSlab!BK54</f>
        <v>36</v>
      </c>
      <c r="Z51" s="1">
        <f>OSlab!BL54</f>
        <v>40</v>
      </c>
      <c r="AA51" s="1">
        <f t="shared" si="7"/>
        <v>90</v>
      </c>
      <c r="AB51" s="1">
        <f>DAAlab!BK54</f>
        <v>30</v>
      </c>
      <c r="AC51" s="1">
        <f>DAAlab!BL54</f>
        <v>42</v>
      </c>
      <c r="AD51" s="1">
        <f t="shared" si="8"/>
        <v>71.428571428571431</v>
      </c>
      <c r="AE51" s="1">
        <f t="shared" ref="AE51:AF51" si="57">AB51+Y51+V51+S51+P51+M51+J51+G51+D51</f>
        <v>237</v>
      </c>
      <c r="AF51" s="1">
        <f t="shared" si="57"/>
        <v>309</v>
      </c>
      <c r="AG51" s="1">
        <f t="shared" si="10"/>
        <v>76.699029126213588</v>
      </c>
    </row>
    <row r="52" spans="1:33" ht="19.5" customHeight="1">
      <c r="A52" s="2">
        <v>49</v>
      </c>
      <c r="B52" s="2">
        <v>2301391</v>
      </c>
      <c r="C52" s="3" t="s">
        <v>67</v>
      </c>
      <c r="D52" s="1">
        <f>DM!BK55</f>
        <v>33</v>
      </c>
      <c r="E52" s="1">
        <f>DM!BL55</f>
        <v>45</v>
      </c>
      <c r="F52" s="1">
        <f t="shared" si="0"/>
        <v>73.333333333333329</v>
      </c>
      <c r="G52" s="1">
        <f>COA!BK55</f>
        <v>22</v>
      </c>
      <c r="H52" s="1">
        <f>COA!BL55</f>
        <v>30</v>
      </c>
      <c r="I52" s="1">
        <f t="shared" si="1"/>
        <v>73.333333333333329</v>
      </c>
      <c r="J52" s="1">
        <f>OS!BK55</f>
        <v>25</v>
      </c>
      <c r="K52" s="1">
        <f>OS!BL55</f>
        <v>33</v>
      </c>
      <c r="L52" s="1">
        <f t="shared" si="2"/>
        <v>75.757575757575751</v>
      </c>
      <c r="M52" s="1">
        <f>DAA!BK55</f>
        <v>26</v>
      </c>
      <c r="N52" s="1">
        <f>DAA!BL55</f>
        <v>33</v>
      </c>
      <c r="O52" s="1">
        <f t="shared" si="3"/>
        <v>78.787878787878782</v>
      </c>
      <c r="P52" s="1">
        <f>'UHV2'!BK55</f>
        <v>17</v>
      </c>
      <c r="Q52" s="1">
        <f>'UHV2'!BL55</f>
        <v>29</v>
      </c>
      <c r="R52" s="1">
        <f t="shared" si="4"/>
        <v>58.620689655172406</v>
      </c>
      <c r="S52" s="1">
        <f>EVS!BK55</f>
        <v>20</v>
      </c>
      <c r="T52" s="1">
        <f>EVS!BL55</f>
        <v>29</v>
      </c>
      <c r="U52" s="1">
        <f t="shared" si="5"/>
        <v>68.965517241379317</v>
      </c>
      <c r="V52" s="1">
        <f>COAlab!BK55</f>
        <v>26</v>
      </c>
      <c r="W52" s="1">
        <f>COAlab!BL55</f>
        <v>28</v>
      </c>
      <c r="X52" s="1">
        <f t="shared" si="6"/>
        <v>92.857142857142861</v>
      </c>
      <c r="Y52" s="1">
        <f>OSlab!BK55</f>
        <v>26</v>
      </c>
      <c r="Z52" s="1">
        <f>OSlab!BL55</f>
        <v>40</v>
      </c>
      <c r="AA52" s="1">
        <f t="shared" si="7"/>
        <v>65</v>
      </c>
      <c r="AB52" s="1">
        <f>DAAlab!BK55</f>
        <v>28</v>
      </c>
      <c r="AC52" s="1">
        <f>DAAlab!BL55</f>
        <v>42</v>
      </c>
      <c r="AD52" s="1">
        <f t="shared" si="8"/>
        <v>66.666666666666657</v>
      </c>
      <c r="AE52" s="1">
        <f t="shared" ref="AE52:AF52" si="58">AB52+Y52+V52+S52+P52+M52+J52+G52+D52</f>
        <v>223</v>
      </c>
      <c r="AF52" s="1">
        <f t="shared" si="58"/>
        <v>309</v>
      </c>
      <c r="AG52" s="1">
        <f t="shared" si="10"/>
        <v>72.168284789644005</v>
      </c>
    </row>
    <row r="53" spans="1:33" ht="19.5" customHeight="1">
      <c r="A53" s="2">
        <v>50</v>
      </c>
      <c r="B53" s="2">
        <v>2301392</v>
      </c>
      <c r="C53" s="3" t="s">
        <v>68</v>
      </c>
      <c r="D53" s="1">
        <f>DM!BK56</f>
        <v>26</v>
      </c>
      <c r="E53" s="1">
        <f>DM!BL56</f>
        <v>45</v>
      </c>
      <c r="F53" s="1">
        <f t="shared" si="0"/>
        <v>57.777777777777771</v>
      </c>
      <c r="G53" s="1">
        <f>COA!BK56</f>
        <v>19</v>
      </c>
      <c r="H53" s="1">
        <f>COA!BL56</f>
        <v>30</v>
      </c>
      <c r="I53" s="1">
        <f t="shared" si="1"/>
        <v>63.333333333333329</v>
      </c>
      <c r="J53" s="1">
        <f>OS!BK56</f>
        <v>19</v>
      </c>
      <c r="K53" s="1">
        <f>OS!BL56</f>
        <v>33</v>
      </c>
      <c r="L53" s="1">
        <f t="shared" si="2"/>
        <v>57.575757575757578</v>
      </c>
      <c r="M53" s="1">
        <f>DAA!BK56</f>
        <v>26</v>
      </c>
      <c r="N53" s="1">
        <f>DAA!BL56</f>
        <v>33</v>
      </c>
      <c r="O53" s="1">
        <f t="shared" si="3"/>
        <v>78.787878787878782</v>
      </c>
      <c r="P53" s="1">
        <f>'UHV2'!BK56</f>
        <v>17</v>
      </c>
      <c r="Q53" s="1">
        <f>'UHV2'!BL56</f>
        <v>29</v>
      </c>
      <c r="R53" s="1">
        <f t="shared" si="4"/>
        <v>58.620689655172406</v>
      </c>
      <c r="S53" s="1">
        <f>EVS!BK56</f>
        <v>16</v>
      </c>
      <c r="T53" s="1">
        <f>EVS!BL56</f>
        <v>29</v>
      </c>
      <c r="U53" s="1">
        <f t="shared" si="5"/>
        <v>55.172413793103445</v>
      </c>
      <c r="V53" s="1">
        <f>COAlab!BK56</f>
        <v>12</v>
      </c>
      <c r="W53" s="1">
        <f>COAlab!BL56</f>
        <v>28</v>
      </c>
      <c r="X53" s="1">
        <f t="shared" si="6"/>
        <v>42.857142857142854</v>
      </c>
      <c r="Y53" s="1">
        <f>OSlab!BK56</f>
        <v>16</v>
      </c>
      <c r="Z53" s="1">
        <f>OSlab!BL56</f>
        <v>40</v>
      </c>
      <c r="AA53" s="1">
        <f t="shared" si="7"/>
        <v>40</v>
      </c>
      <c r="AB53" s="1">
        <f>DAAlab!BK56</f>
        <v>20</v>
      </c>
      <c r="AC53" s="1">
        <f>DAAlab!BL56</f>
        <v>42</v>
      </c>
      <c r="AD53" s="1">
        <f t="shared" si="8"/>
        <v>47.619047619047613</v>
      </c>
      <c r="AE53" s="1">
        <f t="shared" ref="AE53:AF53" si="59">AB53+Y53+V53+S53+P53+M53+J53+G53+D53</f>
        <v>171</v>
      </c>
      <c r="AF53" s="1">
        <f t="shared" si="59"/>
        <v>309</v>
      </c>
      <c r="AG53" s="1">
        <f t="shared" si="10"/>
        <v>55.339805825242713</v>
      </c>
    </row>
    <row r="54" spans="1:33" ht="19.5" customHeight="1">
      <c r="A54" s="2">
        <v>51</v>
      </c>
      <c r="B54" s="2">
        <v>2301393</v>
      </c>
      <c r="C54" s="3" t="s">
        <v>69</v>
      </c>
      <c r="D54" s="1">
        <f>DM!BK57</f>
        <v>16</v>
      </c>
      <c r="E54" s="1">
        <f>DM!BL57</f>
        <v>45</v>
      </c>
      <c r="F54" s="1">
        <f t="shared" si="0"/>
        <v>35.555555555555557</v>
      </c>
      <c r="G54" s="1">
        <f>COA!BK57</f>
        <v>13</v>
      </c>
      <c r="H54" s="1">
        <f>COA!BL57</f>
        <v>30</v>
      </c>
      <c r="I54" s="1">
        <f t="shared" si="1"/>
        <v>43.333333333333336</v>
      </c>
      <c r="J54" s="1">
        <f>OS!BK57</f>
        <v>11</v>
      </c>
      <c r="K54" s="1">
        <f>OS!BL57</f>
        <v>33</v>
      </c>
      <c r="L54" s="1">
        <f t="shared" si="2"/>
        <v>33.333333333333329</v>
      </c>
      <c r="M54" s="1">
        <f>DAA!BK57</f>
        <v>15</v>
      </c>
      <c r="N54" s="1">
        <f>DAA!BL57</f>
        <v>33</v>
      </c>
      <c r="O54" s="1">
        <f t="shared" si="3"/>
        <v>45.454545454545453</v>
      </c>
      <c r="P54" s="1">
        <f>'UHV2'!BK57</f>
        <v>11</v>
      </c>
      <c r="Q54" s="1">
        <f>'UHV2'!BL57</f>
        <v>29</v>
      </c>
      <c r="R54" s="1">
        <f t="shared" si="4"/>
        <v>37.931034482758619</v>
      </c>
      <c r="S54" s="1">
        <f>EVS!BK57</f>
        <v>3</v>
      </c>
      <c r="T54" s="1">
        <f>EVS!BL57</f>
        <v>29</v>
      </c>
      <c r="U54" s="1">
        <f t="shared" si="5"/>
        <v>10.344827586206897</v>
      </c>
      <c r="V54" s="1">
        <f>COAlab!BK57</f>
        <v>10</v>
      </c>
      <c r="W54" s="1">
        <f>COAlab!BL57</f>
        <v>28</v>
      </c>
      <c r="X54" s="1">
        <f t="shared" si="6"/>
        <v>35.714285714285715</v>
      </c>
      <c r="Y54" s="1">
        <f>OSlab!BK57</f>
        <v>10</v>
      </c>
      <c r="Z54" s="1">
        <f>OSlab!BL57</f>
        <v>40</v>
      </c>
      <c r="AA54" s="1">
        <f t="shared" si="7"/>
        <v>25</v>
      </c>
      <c r="AB54" s="1">
        <f>DAAlab!BK57</f>
        <v>16</v>
      </c>
      <c r="AC54" s="1">
        <f>DAAlab!BL57</f>
        <v>42</v>
      </c>
      <c r="AD54" s="1">
        <f t="shared" si="8"/>
        <v>38.095238095238095</v>
      </c>
      <c r="AE54" s="1">
        <f t="shared" ref="AE54:AF54" si="60">AB54+Y54+V54+S54+P54+M54+J54+G54+D54</f>
        <v>105</v>
      </c>
      <c r="AF54" s="1">
        <f t="shared" si="60"/>
        <v>309</v>
      </c>
      <c r="AG54" s="1">
        <f t="shared" si="10"/>
        <v>33.980582524271846</v>
      </c>
    </row>
    <row r="55" spans="1:33" ht="19.5" customHeight="1">
      <c r="A55" s="2">
        <v>52</v>
      </c>
      <c r="B55" s="2">
        <v>2301394</v>
      </c>
      <c r="C55" s="3" t="s">
        <v>70</v>
      </c>
      <c r="D55" s="1">
        <f>DM!BK58</f>
        <v>30</v>
      </c>
      <c r="E55" s="1">
        <f>DM!BL58</f>
        <v>45</v>
      </c>
      <c r="F55" s="1">
        <f t="shared" si="0"/>
        <v>66.666666666666657</v>
      </c>
      <c r="G55" s="1">
        <f>COA!BK58</f>
        <v>17</v>
      </c>
      <c r="H55" s="1">
        <f>COA!BL58</f>
        <v>30</v>
      </c>
      <c r="I55" s="1">
        <f t="shared" si="1"/>
        <v>56.666666666666664</v>
      </c>
      <c r="J55" s="1">
        <f>OS!BK58</f>
        <v>23</v>
      </c>
      <c r="K55" s="1">
        <f>OS!BL58</f>
        <v>33</v>
      </c>
      <c r="L55" s="1">
        <f t="shared" si="2"/>
        <v>69.696969696969703</v>
      </c>
      <c r="M55" s="1">
        <f>DAA!BK58</f>
        <v>29</v>
      </c>
      <c r="N55" s="1">
        <f>DAA!BL58</f>
        <v>33</v>
      </c>
      <c r="O55" s="1">
        <f t="shared" si="3"/>
        <v>87.878787878787875</v>
      </c>
      <c r="P55" s="1">
        <f>'UHV2'!BK58</f>
        <v>13</v>
      </c>
      <c r="Q55" s="1">
        <f>'UHV2'!BL58</f>
        <v>29</v>
      </c>
      <c r="R55" s="1">
        <f t="shared" si="4"/>
        <v>44.827586206896555</v>
      </c>
      <c r="S55" s="1">
        <f>EVS!BK58</f>
        <v>18</v>
      </c>
      <c r="T55" s="1">
        <f>EVS!BL58</f>
        <v>29</v>
      </c>
      <c r="U55" s="1">
        <f t="shared" si="5"/>
        <v>62.068965517241381</v>
      </c>
      <c r="V55" s="1">
        <f>COAlab!BK58</f>
        <v>22</v>
      </c>
      <c r="W55" s="1">
        <f>COAlab!BL58</f>
        <v>28</v>
      </c>
      <c r="X55" s="1">
        <f t="shared" si="6"/>
        <v>78.571428571428569</v>
      </c>
      <c r="Y55" s="1">
        <f>OSlab!BK58</f>
        <v>30</v>
      </c>
      <c r="Z55" s="1">
        <f>OSlab!BL58</f>
        <v>40</v>
      </c>
      <c r="AA55" s="1">
        <f t="shared" si="7"/>
        <v>75</v>
      </c>
      <c r="AB55" s="1">
        <f>DAAlab!BK58</f>
        <v>32</v>
      </c>
      <c r="AC55" s="1">
        <f>DAAlab!BL58</f>
        <v>42</v>
      </c>
      <c r="AD55" s="1">
        <f t="shared" si="8"/>
        <v>76.19047619047619</v>
      </c>
      <c r="AE55" s="1">
        <f t="shared" ref="AE55:AF55" si="61">AB55+Y55+V55+S55+P55+M55+J55+G55+D55</f>
        <v>214</v>
      </c>
      <c r="AF55" s="1">
        <f t="shared" si="61"/>
        <v>309</v>
      </c>
      <c r="AG55" s="1">
        <f t="shared" si="10"/>
        <v>69.255663430420711</v>
      </c>
    </row>
    <row r="56" spans="1:33" ht="19.5" customHeight="1">
      <c r="A56" s="2">
        <v>53</v>
      </c>
      <c r="B56" s="2">
        <v>2301395</v>
      </c>
      <c r="C56" s="3" t="s">
        <v>71</v>
      </c>
      <c r="D56" s="1">
        <f>DM!BK59</f>
        <v>13</v>
      </c>
      <c r="E56" s="1">
        <f>DM!BL59</f>
        <v>45</v>
      </c>
      <c r="F56" s="1">
        <f t="shared" si="0"/>
        <v>28.888888888888886</v>
      </c>
      <c r="G56" s="1">
        <f>COA!BK59</f>
        <v>21</v>
      </c>
      <c r="H56" s="1">
        <f>COA!BL59</f>
        <v>30</v>
      </c>
      <c r="I56" s="1">
        <f t="shared" si="1"/>
        <v>70</v>
      </c>
      <c r="J56" s="1">
        <f>OS!BK59</f>
        <v>15</v>
      </c>
      <c r="K56" s="1">
        <f>OS!BL59</f>
        <v>33</v>
      </c>
      <c r="L56" s="1">
        <f t="shared" si="2"/>
        <v>45.454545454545453</v>
      </c>
      <c r="M56" s="1">
        <f>DAA!BK59</f>
        <v>24</v>
      </c>
      <c r="N56" s="1">
        <f>DAA!BL59</f>
        <v>33</v>
      </c>
      <c r="O56" s="1">
        <f t="shared" si="3"/>
        <v>72.727272727272734</v>
      </c>
      <c r="P56" s="1">
        <f>'UHV2'!BK59</f>
        <v>14</v>
      </c>
      <c r="Q56" s="1">
        <f>'UHV2'!BL59</f>
        <v>29</v>
      </c>
      <c r="R56" s="1">
        <f t="shared" si="4"/>
        <v>48.275862068965516</v>
      </c>
      <c r="S56" s="1">
        <f>EVS!BK59</f>
        <v>13</v>
      </c>
      <c r="T56" s="1">
        <f>EVS!BL59</f>
        <v>29</v>
      </c>
      <c r="U56" s="1">
        <f t="shared" si="5"/>
        <v>44.827586206896555</v>
      </c>
      <c r="V56" s="1">
        <f>COAlab!BK59</f>
        <v>18</v>
      </c>
      <c r="W56" s="1">
        <f>COAlab!BL59</f>
        <v>28</v>
      </c>
      <c r="X56" s="1">
        <f t="shared" si="6"/>
        <v>64.285714285714292</v>
      </c>
      <c r="Y56" s="1">
        <f>OSlab!BK59</f>
        <v>22</v>
      </c>
      <c r="Z56" s="1">
        <f>OSlab!BL59</f>
        <v>40</v>
      </c>
      <c r="AA56" s="1">
        <f t="shared" si="7"/>
        <v>55.000000000000007</v>
      </c>
      <c r="AB56" s="1">
        <f>DAAlab!BK59</f>
        <v>32</v>
      </c>
      <c r="AC56" s="1">
        <f>DAAlab!BL59</f>
        <v>42</v>
      </c>
      <c r="AD56" s="1">
        <f t="shared" si="8"/>
        <v>76.19047619047619</v>
      </c>
      <c r="AE56" s="1">
        <f t="shared" ref="AE56:AF56" si="62">AB56+Y56+V56+S56+P56+M56+J56+G56+D56</f>
        <v>172</v>
      </c>
      <c r="AF56" s="1">
        <f t="shared" si="62"/>
        <v>309</v>
      </c>
      <c r="AG56" s="1">
        <f t="shared" si="10"/>
        <v>55.663430420711975</v>
      </c>
    </row>
    <row r="57" spans="1:33" ht="19.5" customHeight="1">
      <c r="A57" s="2">
        <v>54</v>
      </c>
      <c r="B57" s="2">
        <v>2301396</v>
      </c>
      <c r="C57" s="3" t="s">
        <v>72</v>
      </c>
      <c r="D57" s="1">
        <f>DM!BK60</f>
        <v>36</v>
      </c>
      <c r="E57" s="1">
        <f>DM!BL60</f>
        <v>45</v>
      </c>
      <c r="F57" s="1">
        <f t="shared" si="0"/>
        <v>80</v>
      </c>
      <c r="G57" s="1">
        <f>COA!BK60</f>
        <v>29</v>
      </c>
      <c r="H57" s="1">
        <f>COA!BL60</f>
        <v>30</v>
      </c>
      <c r="I57" s="1">
        <f t="shared" si="1"/>
        <v>96.666666666666671</v>
      </c>
      <c r="J57" s="1">
        <f>OS!BK60</f>
        <v>26</v>
      </c>
      <c r="K57" s="1">
        <f>OS!BL60</f>
        <v>33</v>
      </c>
      <c r="L57" s="1">
        <f t="shared" si="2"/>
        <v>78.787878787878782</v>
      </c>
      <c r="M57" s="1">
        <f>DAA!BK60</f>
        <v>30</v>
      </c>
      <c r="N57" s="1">
        <f>DAA!BL60</f>
        <v>33</v>
      </c>
      <c r="O57" s="1">
        <f t="shared" si="3"/>
        <v>90.909090909090907</v>
      </c>
      <c r="P57" s="1">
        <f>'UHV2'!BK60</f>
        <v>25</v>
      </c>
      <c r="Q57" s="1">
        <f>'UHV2'!BL60</f>
        <v>29</v>
      </c>
      <c r="R57" s="1">
        <f t="shared" si="4"/>
        <v>86.206896551724128</v>
      </c>
      <c r="S57" s="1">
        <f>EVS!BK60</f>
        <v>23</v>
      </c>
      <c r="T57" s="1">
        <f>EVS!BL60</f>
        <v>29</v>
      </c>
      <c r="U57" s="1">
        <f t="shared" si="5"/>
        <v>79.310344827586206</v>
      </c>
      <c r="V57" s="1">
        <f>COAlab!BK60</f>
        <v>24</v>
      </c>
      <c r="W57" s="1">
        <f>COAlab!BL60</f>
        <v>28</v>
      </c>
      <c r="X57" s="1">
        <f t="shared" si="6"/>
        <v>85.714285714285708</v>
      </c>
      <c r="Y57" s="1">
        <f>OSlab!BK60</f>
        <v>40</v>
      </c>
      <c r="Z57" s="1">
        <f>OSlab!BL60</f>
        <v>40</v>
      </c>
      <c r="AA57" s="1">
        <f t="shared" si="7"/>
        <v>100</v>
      </c>
      <c r="AB57" s="1">
        <f>DAAlab!BK60</f>
        <v>38</v>
      </c>
      <c r="AC57" s="1">
        <f>DAAlab!BL60</f>
        <v>42</v>
      </c>
      <c r="AD57" s="1">
        <f t="shared" si="8"/>
        <v>90.476190476190482</v>
      </c>
      <c r="AE57" s="1">
        <f t="shared" ref="AE57:AF57" si="63">AB57+Y57+V57+S57+P57+M57+J57+G57+D57</f>
        <v>271</v>
      </c>
      <c r="AF57" s="1">
        <f t="shared" si="63"/>
        <v>309</v>
      </c>
      <c r="AG57" s="1">
        <f t="shared" si="10"/>
        <v>87.702265372168284</v>
      </c>
    </row>
    <row r="58" spans="1:33" ht="19.5" customHeight="1">
      <c r="A58" s="2">
        <v>55</v>
      </c>
      <c r="B58" s="2">
        <v>2301397</v>
      </c>
      <c r="C58" s="3" t="s">
        <v>73</v>
      </c>
      <c r="D58" s="1">
        <f>DM!BK61</f>
        <v>25</v>
      </c>
      <c r="E58" s="1">
        <f>DM!BL61</f>
        <v>45</v>
      </c>
      <c r="F58" s="1">
        <f t="shared" si="0"/>
        <v>55.555555555555557</v>
      </c>
      <c r="G58" s="1">
        <f>COA!BK61</f>
        <v>19</v>
      </c>
      <c r="H58" s="1">
        <f>COA!BL61</f>
        <v>30</v>
      </c>
      <c r="I58" s="1">
        <f t="shared" si="1"/>
        <v>63.333333333333329</v>
      </c>
      <c r="J58" s="1">
        <f>OS!BK61</f>
        <v>18</v>
      </c>
      <c r="K58" s="1">
        <f>OS!BL61</f>
        <v>33</v>
      </c>
      <c r="L58" s="1">
        <f t="shared" si="2"/>
        <v>54.54545454545454</v>
      </c>
      <c r="M58" s="1">
        <f>DAA!BK61</f>
        <v>19</v>
      </c>
      <c r="N58" s="1">
        <f>DAA!BL61</f>
        <v>33</v>
      </c>
      <c r="O58" s="1">
        <f t="shared" si="3"/>
        <v>57.575757575757578</v>
      </c>
      <c r="P58" s="1">
        <f>'UHV2'!BK61</f>
        <v>23</v>
      </c>
      <c r="Q58" s="1">
        <f>'UHV2'!BL61</f>
        <v>29</v>
      </c>
      <c r="R58" s="1">
        <f t="shared" si="4"/>
        <v>79.310344827586206</v>
      </c>
      <c r="S58" s="1">
        <f>EVS!BK61</f>
        <v>19</v>
      </c>
      <c r="T58" s="1">
        <f>EVS!BL61</f>
        <v>29</v>
      </c>
      <c r="U58" s="1">
        <f t="shared" si="5"/>
        <v>65.517241379310349</v>
      </c>
      <c r="V58" s="1">
        <f>COAlab!BK61</f>
        <v>26</v>
      </c>
      <c r="W58" s="1">
        <f>COAlab!BL61</f>
        <v>28</v>
      </c>
      <c r="X58" s="1">
        <f t="shared" si="6"/>
        <v>92.857142857142861</v>
      </c>
      <c r="Y58" s="1">
        <f>OSlab!BK61</f>
        <v>20</v>
      </c>
      <c r="Z58" s="1">
        <f>OSlab!BL61</f>
        <v>40</v>
      </c>
      <c r="AA58" s="1">
        <f t="shared" si="7"/>
        <v>50</v>
      </c>
      <c r="AB58" s="1">
        <f>DAAlab!BK61</f>
        <v>30</v>
      </c>
      <c r="AC58" s="1">
        <f>DAAlab!BL61</f>
        <v>42</v>
      </c>
      <c r="AD58" s="1">
        <f t="shared" si="8"/>
        <v>71.428571428571431</v>
      </c>
      <c r="AE58" s="1">
        <f t="shared" ref="AE58:AF58" si="64">AB58+Y58+V58+S58+P58+M58+J58+G58+D58</f>
        <v>199</v>
      </c>
      <c r="AF58" s="1">
        <f t="shared" si="64"/>
        <v>309</v>
      </c>
      <c r="AG58" s="1">
        <f t="shared" si="10"/>
        <v>64.401294498381873</v>
      </c>
    </row>
    <row r="59" spans="1:33" ht="19.5" customHeight="1">
      <c r="A59" s="2">
        <v>56</v>
      </c>
      <c r="B59" s="2">
        <v>2301398</v>
      </c>
      <c r="C59" s="3" t="s">
        <v>74</v>
      </c>
      <c r="D59" s="1">
        <f>DM!BK62</f>
        <v>30</v>
      </c>
      <c r="E59" s="1">
        <f>DM!BL62</f>
        <v>45</v>
      </c>
      <c r="F59" s="1">
        <f t="shared" si="0"/>
        <v>66.666666666666657</v>
      </c>
      <c r="G59" s="1">
        <f>COA!BK62</f>
        <v>24</v>
      </c>
      <c r="H59" s="1">
        <f>COA!BL62</f>
        <v>30</v>
      </c>
      <c r="I59" s="1">
        <f t="shared" si="1"/>
        <v>80</v>
      </c>
      <c r="J59" s="1">
        <f>OS!BK62</f>
        <v>22</v>
      </c>
      <c r="K59" s="1">
        <f>OS!BL62</f>
        <v>33</v>
      </c>
      <c r="L59" s="1">
        <f t="shared" si="2"/>
        <v>66.666666666666657</v>
      </c>
      <c r="M59" s="1">
        <f>DAA!BK62</f>
        <v>29</v>
      </c>
      <c r="N59" s="1">
        <f>DAA!BL62</f>
        <v>33</v>
      </c>
      <c r="O59" s="1">
        <f t="shared" si="3"/>
        <v>87.878787878787875</v>
      </c>
      <c r="P59" s="1">
        <f>'UHV2'!BK62</f>
        <v>23</v>
      </c>
      <c r="Q59" s="1">
        <f>'UHV2'!BL62</f>
        <v>29</v>
      </c>
      <c r="R59" s="1">
        <f t="shared" si="4"/>
        <v>79.310344827586206</v>
      </c>
      <c r="S59" s="1">
        <f>EVS!BK62</f>
        <v>23</v>
      </c>
      <c r="T59" s="1">
        <f>EVS!BL62</f>
        <v>29</v>
      </c>
      <c r="U59" s="1">
        <f t="shared" si="5"/>
        <v>79.310344827586206</v>
      </c>
      <c r="V59" s="1">
        <f>COAlab!BK62</f>
        <v>18</v>
      </c>
      <c r="W59" s="1">
        <f>COAlab!BL62</f>
        <v>28</v>
      </c>
      <c r="X59" s="1">
        <f t="shared" si="6"/>
        <v>64.285714285714292</v>
      </c>
      <c r="Y59" s="1">
        <f>OSlab!BK62</f>
        <v>36</v>
      </c>
      <c r="Z59" s="1">
        <f>OSlab!BL62</f>
        <v>40</v>
      </c>
      <c r="AA59" s="1">
        <f t="shared" si="7"/>
        <v>90</v>
      </c>
      <c r="AB59" s="1">
        <f>DAAlab!BK62</f>
        <v>34</v>
      </c>
      <c r="AC59" s="1">
        <f>DAAlab!BL62</f>
        <v>42</v>
      </c>
      <c r="AD59" s="1">
        <f t="shared" si="8"/>
        <v>80.952380952380949</v>
      </c>
      <c r="AE59" s="1">
        <f t="shared" ref="AE59:AF59" si="65">AB59+Y59+V59+S59+P59+M59+J59+G59+D59</f>
        <v>239</v>
      </c>
      <c r="AF59" s="1">
        <f t="shared" si="65"/>
        <v>309</v>
      </c>
      <c r="AG59" s="1">
        <f t="shared" si="10"/>
        <v>77.346278317152112</v>
      </c>
    </row>
    <row r="60" spans="1:33" ht="19.5" customHeight="1">
      <c r="A60" s="2">
        <v>57</v>
      </c>
      <c r="B60" s="2">
        <v>2301399</v>
      </c>
      <c r="C60" s="3" t="s">
        <v>75</v>
      </c>
      <c r="D60" s="1">
        <f>DM!BK63</f>
        <v>22</v>
      </c>
      <c r="E60" s="1">
        <f>DM!BL63</f>
        <v>45</v>
      </c>
      <c r="F60" s="1">
        <f t="shared" si="0"/>
        <v>48.888888888888886</v>
      </c>
      <c r="G60" s="1">
        <f>COA!BK63</f>
        <v>12</v>
      </c>
      <c r="H60" s="1">
        <f>COA!BL63</f>
        <v>30</v>
      </c>
      <c r="I60" s="1">
        <f t="shared" si="1"/>
        <v>40</v>
      </c>
      <c r="J60" s="1">
        <f>OS!BK63</f>
        <v>15</v>
      </c>
      <c r="K60" s="1">
        <f>OS!BL63</f>
        <v>33</v>
      </c>
      <c r="L60" s="1">
        <f t="shared" si="2"/>
        <v>45.454545454545453</v>
      </c>
      <c r="M60" s="1">
        <f>DAA!BK63</f>
        <v>23</v>
      </c>
      <c r="N60" s="1">
        <f>DAA!BL63</f>
        <v>33</v>
      </c>
      <c r="O60" s="1">
        <f t="shared" si="3"/>
        <v>69.696969696969703</v>
      </c>
      <c r="P60" s="1">
        <f>'UHV2'!BK63</f>
        <v>18</v>
      </c>
      <c r="Q60" s="1">
        <f>'UHV2'!BL63</f>
        <v>29</v>
      </c>
      <c r="R60" s="1">
        <f t="shared" si="4"/>
        <v>62.068965517241381</v>
      </c>
      <c r="S60" s="1">
        <f>EVS!BK63</f>
        <v>14</v>
      </c>
      <c r="T60" s="1">
        <f>EVS!BL63</f>
        <v>29</v>
      </c>
      <c r="U60" s="1">
        <f t="shared" si="5"/>
        <v>48.275862068965516</v>
      </c>
      <c r="V60" s="1">
        <f>COAlab!BK63</f>
        <v>6</v>
      </c>
      <c r="W60" s="1">
        <f>COAlab!BL63</f>
        <v>28</v>
      </c>
      <c r="X60" s="1">
        <f t="shared" si="6"/>
        <v>21.428571428571427</v>
      </c>
      <c r="Y60" s="1">
        <f>OSlab!BK63</f>
        <v>18</v>
      </c>
      <c r="Z60" s="1">
        <f>OSlab!BL63</f>
        <v>40</v>
      </c>
      <c r="AA60" s="1">
        <f t="shared" si="7"/>
        <v>45</v>
      </c>
      <c r="AB60" s="1">
        <f>DAAlab!BK63</f>
        <v>28</v>
      </c>
      <c r="AC60" s="1">
        <f>DAAlab!BL63</f>
        <v>42</v>
      </c>
      <c r="AD60" s="1">
        <f t="shared" si="8"/>
        <v>66.666666666666657</v>
      </c>
      <c r="AE60" s="1">
        <f t="shared" ref="AE60:AF60" si="66">AB60+Y60+V60+S60+P60+M60+J60+G60+D60</f>
        <v>156</v>
      </c>
      <c r="AF60" s="1">
        <f t="shared" si="66"/>
        <v>309</v>
      </c>
      <c r="AG60" s="1">
        <f t="shared" si="10"/>
        <v>50.485436893203882</v>
      </c>
    </row>
    <row r="61" spans="1:33" ht="19.5" customHeight="1">
      <c r="A61" s="2">
        <v>58</v>
      </c>
      <c r="B61" s="2">
        <v>2301401</v>
      </c>
      <c r="C61" s="3" t="s">
        <v>76</v>
      </c>
      <c r="D61" s="1">
        <f>DM!BK64</f>
        <v>35</v>
      </c>
      <c r="E61" s="1">
        <f>DM!BL64</f>
        <v>45</v>
      </c>
      <c r="F61" s="1">
        <f t="shared" si="0"/>
        <v>77.777777777777786</v>
      </c>
      <c r="G61" s="1">
        <f>COA!BK64</f>
        <v>25</v>
      </c>
      <c r="H61" s="1">
        <f>COA!BL64</f>
        <v>30</v>
      </c>
      <c r="I61" s="1">
        <f t="shared" si="1"/>
        <v>83.333333333333343</v>
      </c>
      <c r="J61" s="1">
        <f>OS!BK64</f>
        <v>26</v>
      </c>
      <c r="K61" s="1">
        <f>OS!BL64</f>
        <v>33</v>
      </c>
      <c r="L61" s="1">
        <f t="shared" si="2"/>
        <v>78.787878787878782</v>
      </c>
      <c r="M61" s="1">
        <f>DAA!BK64</f>
        <v>28</v>
      </c>
      <c r="N61" s="1">
        <f>DAA!BL64</f>
        <v>33</v>
      </c>
      <c r="O61" s="1">
        <f t="shared" si="3"/>
        <v>84.848484848484844</v>
      </c>
      <c r="P61" s="1">
        <f>'UHV2'!BK64</f>
        <v>25</v>
      </c>
      <c r="Q61" s="1">
        <f>'UHV2'!BL64</f>
        <v>29</v>
      </c>
      <c r="R61" s="1">
        <f t="shared" si="4"/>
        <v>86.206896551724128</v>
      </c>
      <c r="S61" s="1">
        <f>EVS!BK64</f>
        <v>25</v>
      </c>
      <c r="T61" s="1">
        <f>EVS!BL64</f>
        <v>29</v>
      </c>
      <c r="U61" s="1">
        <f t="shared" si="5"/>
        <v>86.206896551724128</v>
      </c>
      <c r="V61" s="1">
        <f>COAlab!BK64</f>
        <v>24</v>
      </c>
      <c r="W61" s="1">
        <f>COAlab!BL64</f>
        <v>28</v>
      </c>
      <c r="X61" s="1">
        <f t="shared" si="6"/>
        <v>85.714285714285708</v>
      </c>
      <c r="Y61" s="1">
        <f>OSlab!BK64</f>
        <v>30</v>
      </c>
      <c r="Z61" s="1">
        <f>OSlab!BL64</f>
        <v>40</v>
      </c>
      <c r="AA61" s="1">
        <f t="shared" si="7"/>
        <v>75</v>
      </c>
      <c r="AB61" s="1">
        <f>DAAlab!BK64</f>
        <v>38</v>
      </c>
      <c r="AC61" s="1">
        <f>DAAlab!BL64</f>
        <v>42</v>
      </c>
      <c r="AD61" s="1">
        <f t="shared" si="8"/>
        <v>90.476190476190482</v>
      </c>
      <c r="AE61" s="1">
        <f t="shared" ref="AE61:AF61" si="67">AB61+Y61+V61+S61+P61+M61+J61+G61+D61</f>
        <v>256</v>
      </c>
      <c r="AF61" s="1">
        <f t="shared" si="67"/>
        <v>309</v>
      </c>
      <c r="AG61" s="1">
        <f t="shared" si="10"/>
        <v>82.84789644012946</v>
      </c>
    </row>
    <row r="62" spans="1:33" ht="19.5" customHeight="1">
      <c r="A62" s="2">
        <v>59</v>
      </c>
      <c r="B62" s="2">
        <v>2301402</v>
      </c>
      <c r="C62" s="3" t="s">
        <v>77</v>
      </c>
      <c r="D62" s="1">
        <f>DM!BK65</f>
        <v>28</v>
      </c>
      <c r="E62" s="1">
        <f>DM!BL65</f>
        <v>45</v>
      </c>
      <c r="F62" s="1">
        <f t="shared" si="0"/>
        <v>62.222222222222221</v>
      </c>
      <c r="G62" s="1">
        <f>COA!BK65</f>
        <v>25</v>
      </c>
      <c r="H62" s="1">
        <f>COA!BL65</f>
        <v>30</v>
      </c>
      <c r="I62" s="1">
        <f t="shared" si="1"/>
        <v>83.333333333333343</v>
      </c>
      <c r="J62" s="1">
        <f>OS!BK65</f>
        <v>20</v>
      </c>
      <c r="K62" s="1">
        <f>OS!BL65</f>
        <v>33</v>
      </c>
      <c r="L62" s="1">
        <f t="shared" si="2"/>
        <v>60.606060606060609</v>
      </c>
      <c r="M62" s="1">
        <f>DAA!BK65</f>
        <v>25</v>
      </c>
      <c r="N62" s="1">
        <f>DAA!BL65</f>
        <v>33</v>
      </c>
      <c r="O62" s="1">
        <f t="shared" si="3"/>
        <v>75.757575757575751</v>
      </c>
      <c r="P62" s="1">
        <f>'UHV2'!BK65</f>
        <v>21</v>
      </c>
      <c r="Q62" s="1">
        <f>'UHV2'!BL65</f>
        <v>29</v>
      </c>
      <c r="R62" s="1">
        <f t="shared" si="4"/>
        <v>72.41379310344827</v>
      </c>
      <c r="S62" s="1">
        <f>EVS!BK65</f>
        <v>25</v>
      </c>
      <c r="T62" s="1">
        <f>EVS!BL65</f>
        <v>29</v>
      </c>
      <c r="U62" s="1">
        <f t="shared" si="5"/>
        <v>86.206896551724128</v>
      </c>
      <c r="V62" s="1">
        <f>COAlab!BK65</f>
        <v>16</v>
      </c>
      <c r="W62" s="1">
        <f>COAlab!BL65</f>
        <v>28</v>
      </c>
      <c r="X62" s="1">
        <f t="shared" si="6"/>
        <v>57.142857142857139</v>
      </c>
      <c r="Y62" s="1">
        <f>OSlab!BK65</f>
        <v>36</v>
      </c>
      <c r="Z62" s="1">
        <f>OSlab!BL65</f>
        <v>40</v>
      </c>
      <c r="AA62" s="1">
        <f t="shared" si="7"/>
        <v>90</v>
      </c>
      <c r="AB62" s="1">
        <f>DAAlab!BK65</f>
        <v>32</v>
      </c>
      <c r="AC62" s="1">
        <f>DAAlab!BL65</f>
        <v>42</v>
      </c>
      <c r="AD62" s="1">
        <f t="shared" si="8"/>
        <v>76.19047619047619</v>
      </c>
      <c r="AE62" s="1">
        <f t="shared" ref="AE62:AF62" si="68">AB62+Y62+V62+S62+P62+M62+J62+G62+D62</f>
        <v>228</v>
      </c>
      <c r="AF62" s="1">
        <f t="shared" si="68"/>
        <v>309</v>
      </c>
      <c r="AG62" s="1">
        <f t="shared" si="10"/>
        <v>73.786407766990294</v>
      </c>
    </row>
    <row r="63" spans="1:33" ht="19.5" customHeight="1">
      <c r="A63" s="2">
        <v>60</v>
      </c>
      <c r="B63" s="2">
        <v>2301403</v>
      </c>
      <c r="C63" s="3" t="s">
        <v>78</v>
      </c>
      <c r="D63" s="1">
        <f>DM!BK66</f>
        <v>36</v>
      </c>
      <c r="E63" s="1">
        <f>DM!BL66</f>
        <v>45</v>
      </c>
      <c r="F63" s="1">
        <f t="shared" si="0"/>
        <v>80</v>
      </c>
      <c r="G63" s="1">
        <f>COA!BK66</f>
        <v>27</v>
      </c>
      <c r="H63" s="1">
        <f>COA!BL66</f>
        <v>30</v>
      </c>
      <c r="I63" s="1">
        <f t="shared" si="1"/>
        <v>90</v>
      </c>
      <c r="J63" s="1">
        <f>OS!BK66</f>
        <v>27</v>
      </c>
      <c r="K63" s="1">
        <f>OS!BL66</f>
        <v>33</v>
      </c>
      <c r="L63" s="1">
        <f t="shared" si="2"/>
        <v>81.818181818181827</v>
      </c>
      <c r="M63" s="1">
        <f>DAA!BK66</f>
        <v>28</v>
      </c>
      <c r="N63" s="1">
        <f>DAA!BL66</f>
        <v>33</v>
      </c>
      <c r="O63" s="1">
        <f t="shared" si="3"/>
        <v>84.848484848484844</v>
      </c>
      <c r="P63" s="1">
        <f>'UHV2'!BK66</f>
        <v>27</v>
      </c>
      <c r="Q63" s="1">
        <f>'UHV2'!BL66</f>
        <v>29</v>
      </c>
      <c r="R63" s="1">
        <f t="shared" si="4"/>
        <v>93.103448275862064</v>
      </c>
      <c r="S63" s="1">
        <f>EVS!BK66</f>
        <v>22</v>
      </c>
      <c r="T63" s="1">
        <f>EVS!BL66</f>
        <v>29</v>
      </c>
      <c r="U63" s="1">
        <f t="shared" si="5"/>
        <v>75.862068965517238</v>
      </c>
      <c r="V63" s="1">
        <f>COAlab!BK66</f>
        <v>26</v>
      </c>
      <c r="W63" s="1">
        <f>COAlab!BL66</f>
        <v>28</v>
      </c>
      <c r="X63" s="1">
        <f t="shared" si="6"/>
        <v>92.857142857142861</v>
      </c>
      <c r="Y63" s="1">
        <f>OSlab!BK66</f>
        <v>40</v>
      </c>
      <c r="Z63" s="1">
        <f>OSlab!BL66</f>
        <v>40</v>
      </c>
      <c r="AA63" s="1">
        <f t="shared" si="7"/>
        <v>100</v>
      </c>
      <c r="AB63" s="1">
        <f>DAAlab!BK66</f>
        <v>40</v>
      </c>
      <c r="AC63" s="1">
        <f>DAAlab!BL66</f>
        <v>42</v>
      </c>
      <c r="AD63" s="1">
        <f t="shared" si="8"/>
        <v>95.238095238095227</v>
      </c>
      <c r="AE63" s="1">
        <f t="shared" ref="AE63:AF63" si="69">AB63+Y63+V63+S63+P63+M63+J63+G63+D63</f>
        <v>273</v>
      </c>
      <c r="AF63" s="1">
        <f t="shared" si="69"/>
        <v>309</v>
      </c>
      <c r="AG63" s="1">
        <f t="shared" si="10"/>
        <v>88.349514563106794</v>
      </c>
    </row>
    <row r="64" spans="1:33" ht="19.5" customHeight="1">
      <c r="A64" s="2">
        <v>61</v>
      </c>
      <c r="B64" s="2">
        <v>2301404</v>
      </c>
      <c r="C64" s="3" t="s">
        <v>79</v>
      </c>
      <c r="D64" s="1">
        <f>DM!BK67</f>
        <v>27</v>
      </c>
      <c r="E64" s="1">
        <f>DM!BL67</f>
        <v>45</v>
      </c>
      <c r="F64" s="1">
        <f t="shared" si="0"/>
        <v>60</v>
      </c>
      <c r="G64" s="1">
        <f>COA!BK67</f>
        <v>27</v>
      </c>
      <c r="H64" s="1">
        <f>COA!BL67</f>
        <v>30</v>
      </c>
      <c r="I64" s="1">
        <f t="shared" si="1"/>
        <v>90</v>
      </c>
      <c r="J64" s="1">
        <f>OS!BK67</f>
        <v>23</v>
      </c>
      <c r="K64" s="1">
        <f>OS!BL67</f>
        <v>33</v>
      </c>
      <c r="L64" s="1">
        <f t="shared" si="2"/>
        <v>69.696969696969703</v>
      </c>
      <c r="M64" s="1">
        <f>DAA!BK67</f>
        <v>23</v>
      </c>
      <c r="N64" s="1">
        <f>DAA!BL67</f>
        <v>33</v>
      </c>
      <c r="O64" s="1">
        <f t="shared" si="3"/>
        <v>69.696969696969703</v>
      </c>
      <c r="P64" s="1">
        <f>'UHV2'!BK67</f>
        <v>23</v>
      </c>
      <c r="Q64" s="1">
        <f>'UHV2'!BL67</f>
        <v>29</v>
      </c>
      <c r="R64" s="1">
        <f t="shared" si="4"/>
        <v>79.310344827586206</v>
      </c>
      <c r="S64" s="1">
        <f>EVS!BK67</f>
        <v>18</v>
      </c>
      <c r="T64" s="1">
        <f>EVS!BL67</f>
        <v>29</v>
      </c>
      <c r="U64" s="1">
        <f t="shared" si="5"/>
        <v>62.068965517241381</v>
      </c>
      <c r="V64" s="1">
        <f>COAlab!BK67</f>
        <v>12</v>
      </c>
      <c r="W64" s="1">
        <f>COAlab!BL67</f>
        <v>28</v>
      </c>
      <c r="X64" s="1">
        <f t="shared" si="6"/>
        <v>42.857142857142854</v>
      </c>
      <c r="Y64" s="1">
        <f>OSlab!BK67</f>
        <v>30</v>
      </c>
      <c r="Z64" s="1">
        <f>OSlab!BL67</f>
        <v>40</v>
      </c>
      <c r="AA64" s="1">
        <f t="shared" si="7"/>
        <v>75</v>
      </c>
      <c r="AB64" s="1">
        <f>DAAlab!BK67</f>
        <v>30</v>
      </c>
      <c r="AC64" s="1">
        <f>DAAlab!BL67</f>
        <v>42</v>
      </c>
      <c r="AD64" s="1">
        <f t="shared" si="8"/>
        <v>71.428571428571431</v>
      </c>
      <c r="AE64" s="1">
        <f t="shared" ref="AE64:AF64" si="70">AB64+Y64+V64+S64+P64+M64+J64+G64+D64</f>
        <v>213</v>
      </c>
      <c r="AF64" s="1">
        <f t="shared" si="70"/>
        <v>309</v>
      </c>
      <c r="AG64" s="1">
        <f t="shared" si="10"/>
        <v>68.932038834951456</v>
      </c>
    </row>
    <row r="65" spans="1:33" ht="19.5" customHeight="1">
      <c r="A65" s="2">
        <v>62</v>
      </c>
      <c r="B65" s="2">
        <v>2301405</v>
      </c>
      <c r="C65" s="3" t="s">
        <v>80</v>
      </c>
      <c r="D65" s="1">
        <f>DM!BK68</f>
        <v>25</v>
      </c>
      <c r="E65" s="1">
        <f>DM!BL68</f>
        <v>45</v>
      </c>
      <c r="F65" s="1">
        <f t="shared" si="0"/>
        <v>55.555555555555557</v>
      </c>
      <c r="G65" s="1">
        <f>COA!BK68</f>
        <v>16</v>
      </c>
      <c r="H65" s="1">
        <f>COA!BL68</f>
        <v>30</v>
      </c>
      <c r="I65" s="1">
        <f t="shared" si="1"/>
        <v>53.333333333333336</v>
      </c>
      <c r="J65" s="1">
        <f>OS!BK68</f>
        <v>17</v>
      </c>
      <c r="K65" s="1">
        <f>OS!BL68</f>
        <v>33</v>
      </c>
      <c r="L65" s="1">
        <f t="shared" si="2"/>
        <v>51.515151515151516</v>
      </c>
      <c r="M65" s="1">
        <f>DAA!BK68</f>
        <v>21</v>
      </c>
      <c r="N65" s="1">
        <f>DAA!BL68</f>
        <v>33</v>
      </c>
      <c r="O65" s="1">
        <f t="shared" si="3"/>
        <v>63.636363636363633</v>
      </c>
      <c r="P65" s="1">
        <f>'UHV2'!BK68</f>
        <v>13</v>
      </c>
      <c r="Q65" s="1">
        <f>'UHV2'!BL68</f>
        <v>29</v>
      </c>
      <c r="R65" s="1">
        <f t="shared" si="4"/>
        <v>44.827586206896555</v>
      </c>
      <c r="S65" s="1">
        <f>EVS!BK68</f>
        <v>13</v>
      </c>
      <c r="T65" s="1">
        <f>EVS!BL68</f>
        <v>29</v>
      </c>
      <c r="U65" s="1">
        <f t="shared" si="5"/>
        <v>44.827586206896555</v>
      </c>
      <c r="V65" s="1">
        <f>COAlab!BK68</f>
        <v>14</v>
      </c>
      <c r="W65" s="1">
        <f>COAlab!BL68</f>
        <v>28</v>
      </c>
      <c r="X65" s="1">
        <f t="shared" si="6"/>
        <v>50</v>
      </c>
      <c r="Y65" s="1">
        <f>OSlab!BK68</f>
        <v>14</v>
      </c>
      <c r="Z65" s="1">
        <f>OSlab!BL68</f>
        <v>40</v>
      </c>
      <c r="AA65" s="1">
        <f t="shared" si="7"/>
        <v>35</v>
      </c>
      <c r="AB65" s="1">
        <f>DAAlab!BK68</f>
        <v>22</v>
      </c>
      <c r="AC65" s="1">
        <f>DAAlab!BL68</f>
        <v>42</v>
      </c>
      <c r="AD65" s="1">
        <f t="shared" si="8"/>
        <v>52.380952380952387</v>
      </c>
      <c r="AE65" s="1">
        <f t="shared" ref="AE65:AF65" si="71">AB65+Y65+V65+S65+P65+M65+J65+G65+D65</f>
        <v>155</v>
      </c>
      <c r="AF65" s="1">
        <f t="shared" si="71"/>
        <v>309</v>
      </c>
      <c r="AG65" s="1">
        <f t="shared" si="10"/>
        <v>50.161812297734635</v>
      </c>
    </row>
    <row r="66" spans="1:33" ht="15.75" customHeight="1">
      <c r="A66" s="2">
        <v>63</v>
      </c>
      <c r="B66" s="2">
        <v>2301407</v>
      </c>
      <c r="C66" s="3" t="s">
        <v>81</v>
      </c>
      <c r="D66" s="1">
        <f>DM!BK69</f>
        <v>37</v>
      </c>
      <c r="E66" s="1">
        <f>DM!BL69</f>
        <v>45</v>
      </c>
      <c r="F66" s="1">
        <f t="shared" si="0"/>
        <v>82.222222222222214</v>
      </c>
      <c r="G66" s="1">
        <f>COA!BK69</f>
        <v>26</v>
      </c>
      <c r="H66" s="1">
        <f>COA!BL69</f>
        <v>30</v>
      </c>
      <c r="I66" s="1">
        <f t="shared" si="1"/>
        <v>86.666666666666671</v>
      </c>
      <c r="J66" s="1">
        <f>OS!BK69</f>
        <v>25</v>
      </c>
      <c r="K66" s="1">
        <f>OS!BL69</f>
        <v>33</v>
      </c>
      <c r="L66" s="1">
        <f t="shared" si="2"/>
        <v>75.757575757575751</v>
      </c>
      <c r="M66" s="1">
        <f>DAA!BK69</f>
        <v>28</v>
      </c>
      <c r="N66" s="1">
        <f>DAA!BL69</f>
        <v>33</v>
      </c>
      <c r="O66" s="1">
        <f t="shared" si="3"/>
        <v>84.848484848484844</v>
      </c>
      <c r="P66" s="1">
        <f>'UHV2'!BK69</f>
        <v>24</v>
      </c>
      <c r="Q66" s="1">
        <f>'UHV2'!BL69</f>
        <v>29</v>
      </c>
      <c r="R66" s="1">
        <f t="shared" si="4"/>
        <v>82.758620689655174</v>
      </c>
      <c r="S66" s="1">
        <f>EVS!BK69</f>
        <v>23</v>
      </c>
      <c r="T66" s="1">
        <f>EVS!BL69</f>
        <v>29</v>
      </c>
      <c r="U66" s="1">
        <f t="shared" si="5"/>
        <v>79.310344827586206</v>
      </c>
      <c r="V66" s="1">
        <f>COAlab!BK69</f>
        <v>22</v>
      </c>
      <c r="W66" s="1">
        <f>COAlab!BL69</f>
        <v>28</v>
      </c>
      <c r="X66" s="1">
        <f t="shared" si="6"/>
        <v>78.571428571428569</v>
      </c>
      <c r="Y66" s="1">
        <f>OSlab!BK69</f>
        <v>30</v>
      </c>
      <c r="Z66" s="1">
        <f>OSlab!BL69</f>
        <v>40</v>
      </c>
      <c r="AA66" s="1">
        <f t="shared" si="7"/>
        <v>75</v>
      </c>
      <c r="AB66" s="1">
        <f>DAAlab!BK69</f>
        <v>42</v>
      </c>
      <c r="AC66" s="1">
        <f>DAAlab!BL69</f>
        <v>42</v>
      </c>
      <c r="AD66" s="1">
        <f t="shared" si="8"/>
        <v>100</v>
      </c>
      <c r="AE66" s="1">
        <f t="shared" ref="AE66:AF66" si="72">AB66+Y66+V66+S66+P66+M66+J66+G66+D66</f>
        <v>257</v>
      </c>
      <c r="AF66" s="1">
        <f t="shared" si="72"/>
        <v>309</v>
      </c>
      <c r="AG66" s="1">
        <f t="shared" si="10"/>
        <v>83.171521035598701</v>
      </c>
    </row>
    <row r="67" spans="1:33" ht="15.75" customHeight="1">
      <c r="A67" s="2">
        <v>64</v>
      </c>
      <c r="B67" s="2">
        <v>2301408</v>
      </c>
      <c r="C67" s="3" t="s">
        <v>82</v>
      </c>
      <c r="D67" s="1">
        <f>DM!BK70</f>
        <v>1</v>
      </c>
      <c r="E67" s="1">
        <f>DM!BL70</f>
        <v>45</v>
      </c>
      <c r="F67" s="1">
        <f t="shared" si="0"/>
        <v>2.2222222222222223</v>
      </c>
      <c r="G67" s="1">
        <f>COA!BK70</f>
        <v>2</v>
      </c>
      <c r="H67" s="1">
        <f>COA!BL70</f>
        <v>30</v>
      </c>
      <c r="I67" s="1">
        <f t="shared" si="1"/>
        <v>6.666666666666667</v>
      </c>
      <c r="J67" s="1">
        <f>OS!BK70</f>
        <v>0</v>
      </c>
      <c r="K67" s="1">
        <f>OS!BL70</f>
        <v>33</v>
      </c>
      <c r="L67" s="1">
        <f t="shared" si="2"/>
        <v>0</v>
      </c>
      <c r="M67" s="1">
        <f>DAA!BK70</f>
        <v>1</v>
      </c>
      <c r="N67" s="1">
        <f>DAA!BL70</f>
        <v>33</v>
      </c>
      <c r="O67" s="1">
        <f t="shared" si="3"/>
        <v>3.0303030303030303</v>
      </c>
      <c r="P67" s="1">
        <f>'UHV2'!BK70</f>
        <v>2</v>
      </c>
      <c r="Q67" s="1">
        <f>'UHV2'!BL70</f>
        <v>29</v>
      </c>
      <c r="R67" s="1">
        <f t="shared" si="4"/>
        <v>6.8965517241379306</v>
      </c>
      <c r="S67" s="1">
        <f>EVS!BK70</f>
        <v>2</v>
      </c>
      <c r="T67" s="1">
        <f>EVS!BL70</f>
        <v>29</v>
      </c>
      <c r="U67" s="1">
        <f t="shared" si="5"/>
        <v>6.8965517241379306</v>
      </c>
      <c r="V67" s="1">
        <f>COAlab!BK70</f>
        <v>0</v>
      </c>
      <c r="W67" s="1">
        <f>COAlab!BL70</f>
        <v>28</v>
      </c>
      <c r="X67" s="1">
        <f t="shared" si="6"/>
        <v>0</v>
      </c>
      <c r="Y67" s="1">
        <f>OSlab!BK70</f>
        <v>2</v>
      </c>
      <c r="Z67" s="1">
        <f>OSlab!BL70</f>
        <v>40</v>
      </c>
      <c r="AA67" s="1">
        <f t="shared" si="7"/>
        <v>5</v>
      </c>
      <c r="AB67" s="1">
        <f>DAAlab!BK70</f>
        <v>0</v>
      </c>
      <c r="AC67" s="1">
        <f>DAAlab!BL70</f>
        <v>42</v>
      </c>
      <c r="AD67" s="1">
        <f t="shared" si="8"/>
        <v>0</v>
      </c>
      <c r="AE67" s="1">
        <f t="shared" ref="AE67:AF67" si="73">AB67+Y67+V67+S67+P67+M67+J67+G67+D67</f>
        <v>10</v>
      </c>
      <c r="AF67" s="1">
        <f t="shared" si="73"/>
        <v>309</v>
      </c>
      <c r="AG67" s="1">
        <f t="shared" si="10"/>
        <v>3.2362459546925564</v>
      </c>
    </row>
    <row r="68" spans="1:33" ht="15.75" customHeight="1">
      <c r="A68" s="2">
        <v>65</v>
      </c>
      <c r="B68" s="2">
        <v>2322658</v>
      </c>
      <c r="C68" s="3" t="s">
        <v>83</v>
      </c>
      <c r="D68" s="1">
        <f>DM!BK71</f>
        <v>38</v>
      </c>
      <c r="E68" s="1">
        <f>DM!BL71</f>
        <v>45</v>
      </c>
      <c r="F68" s="1">
        <f t="shared" si="0"/>
        <v>84.444444444444443</v>
      </c>
      <c r="G68" s="1">
        <f>COA!BK71</f>
        <v>29</v>
      </c>
      <c r="H68" s="1">
        <f>COA!BL71</f>
        <v>30</v>
      </c>
      <c r="I68" s="1">
        <f t="shared" si="1"/>
        <v>96.666666666666671</v>
      </c>
      <c r="J68" s="1">
        <f>OS!BK71</f>
        <v>29</v>
      </c>
      <c r="K68" s="1">
        <f>OS!BL71</f>
        <v>33</v>
      </c>
      <c r="L68" s="1">
        <f t="shared" si="2"/>
        <v>87.878787878787875</v>
      </c>
      <c r="M68" s="1">
        <f>DAA!BK71</f>
        <v>30</v>
      </c>
      <c r="N68" s="1">
        <f>DAA!BL71</f>
        <v>33</v>
      </c>
      <c r="O68" s="1">
        <f t="shared" si="3"/>
        <v>90.909090909090907</v>
      </c>
      <c r="P68" s="1">
        <f>'UHV2'!BK71</f>
        <v>25</v>
      </c>
      <c r="Q68" s="1">
        <f>'UHV2'!BL71</f>
        <v>29</v>
      </c>
      <c r="R68" s="1">
        <f t="shared" si="4"/>
        <v>86.206896551724128</v>
      </c>
      <c r="S68" s="1">
        <f>EVS!BK71</f>
        <v>25</v>
      </c>
      <c r="T68" s="1">
        <f>EVS!BL71</f>
        <v>29</v>
      </c>
      <c r="U68" s="1">
        <f t="shared" si="5"/>
        <v>86.206896551724128</v>
      </c>
      <c r="V68" s="1">
        <f>COAlab!BK71</f>
        <v>26</v>
      </c>
      <c r="W68" s="1">
        <f>COAlab!BL71</f>
        <v>28</v>
      </c>
      <c r="X68" s="1">
        <f t="shared" si="6"/>
        <v>92.857142857142861</v>
      </c>
      <c r="Y68" s="1">
        <f>OSlab!BK71</f>
        <v>36</v>
      </c>
      <c r="Z68" s="1">
        <f>OSlab!BL71</f>
        <v>40</v>
      </c>
      <c r="AA68" s="1">
        <f t="shared" si="7"/>
        <v>90</v>
      </c>
      <c r="AB68" s="1">
        <f>DAAlab!BK71</f>
        <v>40</v>
      </c>
      <c r="AC68" s="1">
        <f>DAAlab!BL71</f>
        <v>42</v>
      </c>
      <c r="AD68" s="1">
        <f t="shared" si="8"/>
        <v>95.238095238095227</v>
      </c>
      <c r="AE68" s="1">
        <f t="shared" ref="AE68:AF68" si="74">AB68+Y68+V68+S68+P68+M68+J68+G68+D68</f>
        <v>278</v>
      </c>
      <c r="AF68" s="1">
        <f t="shared" si="74"/>
        <v>309</v>
      </c>
      <c r="AG68" s="1">
        <f t="shared" si="10"/>
        <v>89.967637540453069</v>
      </c>
    </row>
    <row r="69" spans="1:33" ht="15.75" customHeight="1">
      <c r="A69" s="2">
        <v>66</v>
      </c>
      <c r="B69" s="2">
        <v>2322659</v>
      </c>
      <c r="C69" s="3" t="s">
        <v>84</v>
      </c>
      <c r="D69" s="1">
        <f>DM!BK72</f>
        <v>41</v>
      </c>
      <c r="E69" s="1">
        <f>DM!BL72</f>
        <v>45</v>
      </c>
      <c r="F69" s="1">
        <f t="shared" si="0"/>
        <v>91.111111111111114</v>
      </c>
      <c r="G69" s="1">
        <f>COA!BK72</f>
        <v>27</v>
      </c>
      <c r="H69" s="1">
        <f>COA!BL72</f>
        <v>30</v>
      </c>
      <c r="I69" s="1">
        <f t="shared" si="1"/>
        <v>90</v>
      </c>
      <c r="J69" s="1">
        <f>OS!BK72</f>
        <v>24</v>
      </c>
      <c r="K69" s="1">
        <f>OS!BL72</f>
        <v>33</v>
      </c>
      <c r="L69" s="1">
        <f t="shared" si="2"/>
        <v>72.727272727272734</v>
      </c>
      <c r="M69" s="1">
        <f>DAA!BK72</f>
        <v>32</v>
      </c>
      <c r="N69" s="1">
        <f>DAA!BL72</f>
        <v>33</v>
      </c>
      <c r="O69" s="1">
        <f t="shared" si="3"/>
        <v>96.969696969696969</v>
      </c>
      <c r="P69" s="1">
        <f>'UHV2'!BK72</f>
        <v>28</v>
      </c>
      <c r="Q69" s="1">
        <f>'UHV2'!BL72</f>
        <v>29</v>
      </c>
      <c r="R69" s="1">
        <f t="shared" si="4"/>
        <v>96.551724137931032</v>
      </c>
      <c r="S69" s="1">
        <f>EVS!BK72</f>
        <v>22</v>
      </c>
      <c r="T69" s="1">
        <f>EVS!BL72</f>
        <v>29</v>
      </c>
      <c r="U69" s="1">
        <f t="shared" si="5"/>
        <v>75.862068965517238</v>
      </c>
      <c r="V69" s="1">
        <f>COAlab!BK72</f>
        <v>24</v>
      </c>
      <c r="W69" s="1">
        <f>COAlab!BL72</f>
        <v>28</v>
      </c>
      <c r="X69" s="1">
        <f t="shared" si="6"/>
        <v>85.714285714285708</v>
      </c>
      <c r="Y69" s="1">
        <f>OSlab!BK72</f>
        <v>32</v>
      </c>
      <c r="Z69" s="1">
        <f>OSlab!BL72</f>
        <v>40</v>
      </c>
      <c r="AA69" s="1">
        <f t="shared" si="7"/>
        <v>80</v>
      </c>
      <c r="AB69" s="1">
        <f>DAAlab!BK72</f>
        <v>39</v>
      </c>
      <c r="AC69" s="1">
        <f>DAAlab!BL72</f>
        <v>42</v>
      </c>
      <c r="AD69" s="1">
        <f t="shared" si="8"/>
        <v>92.857142857142861</v>
      </c>
      <c r="AE69" s="1">
        <f t="shared" ref="AE69:AF69" si="75">AB69+Y69+V69+S69+P69+M69+J69+G69+D69</f>
        <v>269</v>
      </c>
      <c r="AF69" s="1">
        <f t="shared" si="75"/>
        <v>309</v>
      </c>
      <c r="AG69" s="1">
        <f t="shared" si="10"/>
        <v>87.055016181229774</v>
      </c>
    </row>
    <row r="70" spans="1:33" ht="15.75" customHeight="1">
      <c r="A70" s="2">
        <v>67</v>
      </c>
      <c r="B70" s="2">
        <v>2322665</v>
      </c>
      <c r="C70" s="3" t="s">
        <v>85</v>
      </c>
      <c r="D70" s="1">
        <f>DM!BK73</f>
        <v>17</v>
      </c>
      <c r="E70" s="1">
        <f>DM!BL73</f>
        <v>45</v>
      </c>
      <c r="F70" s="1">
        <f t="shared" si="0"/>
        <v>37.777777777777779</v>
      </c>
      <c r="G70" s="1">
        <f>COA!BK73</f>
        <v>11</v>
      </c>
      <c r="H70" s="1">
        <f>COA!BL73</f>
        <v>30</v>
      </c>
      <c r="I70" s="1">
        <f t="shared" si="1"/>
        <v>36.666666666666664</v>
      </c>
      <c r="J70" s="1">
        <f>OS!BK73</f>
        <v>12</v>
      </c>
      <c r="K70" s="1">
        <f>OS!BL73</f>
        <v>33</v>
      </c>
      <c r="L70" s="1">
        <f t="shared" si="2"/>
        <v>36.363636363636367</v>
      </c>
      <c r="M70" s="1">
        <f>DAA!BK73</f>
        <v>29</v>
      </c>
      <c r="N70" s="1">
        <f>DAA!BL73</f>
        <v>33</v>
      </c>
      <c r="O70" s="1">
        <f t="shared" si="3"/>
        <v>87.878787878787875</v>
      </c>
      <c r="P70" s="1">
        <f>'UHV2'!BK73</f>
        <v>11</v>
      </c>
      <c r="Q70" s="1">
        <f>'UHV2'!BL73</f>
        <v>29</v>
      </c>
      <c r="R70" s="1">
        <f t="shared" si="4"/>
        <v>37.931034482758619</v>
      </c>
      <c r="S70" s="1">
        <f>EVS!BK73</f>
        <v>10</v>
      </c>
      <c r="T70" s="1">
        <f>EVS!BL73</f>
        <v>29</v>
      </c>
      <c r="U70" s="1">
        <f t="shared" si="5"/>
        <v>34.482758620689658</v>
      </c>
      <c r="V70" s="1">
        <f>COAlab!BK73</f>
        <v>14</v>
      </c>
      <c r="W70" s="1">
        <f>COAlab!BL73</f>
        <v>28</v>
      </c>
      <c r="X70" s="1">
        <f t="shared" si="6"/>
        <v>50</v>
      </c>
      <c r="Y70" s="1">
        <f>OSlab!BK73</f>
        <v>10</v>
      </c>
      <c r="Z70" s="1">
        <f>OSlab!BL73</f>
        <v>40</v>
      </c>
      <c r="AA70" s="1">
        <f t="shared" si="7"/>
        <v>25</v>
      </c>
      <c r="AB70" s="1">
        <f>DAAlab!BK73</f>
        <v>32</v>
      </c>
      <c r="AC70" s="1">
        <f>DAAlab!BL73</f>
        <v>42</v>
      </c>
      <c r="AD70" s="1">
        <f t="shared" si="8"/>
        <v>76.19047619047619</v>
      </c>
      <c r="AE70" s="1">
        <f t="shared" ref="AE70:AF70" si="76">AB70+Y70+V70+S70+P70+M70+J70+G70+D70</f>
        <v>146</v>
      </c>
      <c r="AF70" s="1">
        <f t="shared" si="76"/>
        <v>309</v>
      </c>
      <c r="AG70" s="1">
        <f t="shared" si="10"/>
        <v>47.249190938511326</v>
      </c>
    </row>
    <row r="71" spans="1:33" ht="15.75" customHeight="1">
      <c r="A71" s="2">
        <v>68</v>
      </c>
      <c r="B71" s="2">
        <v>2322666</v>
      </c>
      <c r="C71" s="3" t="s">
        <v>86</v>
      </c>
      <c r="D71" s="1">
        <f>DM!BK74</f>
        <v>26</v>
      </c>
      <c r="E71" s="1">
        <f>DM!BL74</f>
        <v>45</v>
      </c>
      <c r="F71" s="1">
        <f t="shared" si="0"/>
        <v>57.777777777777771</v>
      </c>
      <c r="G71" s="1">
        <f>COA!BK74</f>
        <v>24</v>
      </c>
      <c r="H71" s="1">
        <f>COA!BL74</f>
        <v>30</v>
      </c>
      <c r="I71" s="1">
        <f t="shared" si="1"/>
        <v>80</v>
      </c>
      <c r="J71" s="1">
        <f>OS!BK74</f>
        <v>21</v>
      </c>
      <c r="K71" s="1">
        <f>OS!BL74</f>
        <v>33</v>
      </c>
      <c r="L71" s="1">
        <f t="shared" si="2"/>
        <v>63.636363636363633</v>
      </c>
      <c r="M71" s="1">
        <f>DAA!BK74</f>
        <v>24</v>
      </c>
      <c r="N71" s="1">
        <f>DAA!BL74</f>
        <v>33</v>
      </c>
      <c r="O71" s="1">
        <f t="shared" si="3"/>
        <v>72.727272727272734</v>
      </c>
      <c r="P71" s="1">
        <f>'UHV2'!BK74</f>
        <v>22</v>
      </c>
      <c r="Q71" s="1">
        <f>'UHV2'!BL74</f>
        <v>29</v>
      </c>
      <c r="R71" s="1">
        <f t="shared" si="4"/>
        <v>75.862068965517238</v>
      </c>
      <c r="S71" s="1">
        <f>EVS!BK74</f>
        <v>22</v>
      </c>
      <c r="T71" s="1">
        <f>EVS!BL74</f>
        <v>29</v>
      </c>
      <c r="U71" s="1">
        <f t="shared" si="5"/>
        <v>75.862068965517238</v>
      </c>
      <c r="V71" s="1">
        <f>COAlab!BK74</f>
        <v>22</v>
      </c>
      <c r="W71" s="1">
        <f>COAlab!BL74</f>
        <v>28</v>
      </c>
      <c r="X71" s="1">
        <f t="shared" si="6"/>
        <v>78.571428571428569</v>
      </c>
      <c r="Y71" s="1">
        <f>OSlab!BK74</f>
        <v>30</v>
      </c>
      <c r="Z71" s="1">
        <f>OSlab!BL74</f>
        <v>40</v>
      </c>
      <c r="AA71" s="1">
        <f t="shared" si="7"/>
        <v>75</v>
      </c>
      <c r="AB71" s="1">
        <f>DAAlab!BK74</f>
        <v>32</v>
      </c>
      <c r="AC71" s="1">
        <f>DAAlab!BL74</f>
        <v>42</v>
      </c>
      <c r="AD71" s="1">
        <f t="shared" si="8"/>
        <v>76.19047619047619</v>
      </c>
      <c r="AE71" s="1">
        <f t="shared" ref="AE71:AF71" si="77">AB71+Y71+V71+S71+P71+M71+J71+G71+D71</f>
        <v>223</v>
      </c>
      <c r="AF71" s="1">
        <f t="shared" si="77"/>
        <v>309</v>
      </c>
      <c r="AG71" s="1">
        <f t="shared" si="10"/>
        <v>72.168284789644005</v>
      </c>
    </row>
    <row r="72" spans="1:33" ht="15.75" customHeight="1">
      <c r="A72" s="2">
        <v>69</v>
      </c>
      <c r="B72" s="2">
        <v>2322670</v>
      </c>
      <c r="C72" s="3" t="s">
        <v>87</v>
      </c>
      <c r="D72" s="1">
        <f>DM!BK75</f>
        <v>10</v>
      </c>
      <c r="E72" s="1">
        <f>DM!BL75</f>
        <v>45</v>
      </c>
      <c r="F72" s="1">
        <f t="shared" si="0"/>
        <v>22.222222222222221</v>
      </c>
      <c r="G72" s="1">
        <f>COA!BK75</f>
        <v>12</v>
      </c>
      <c r="H72" s="1">
        <f>COA!BL75</f>
        <v>30</v>
      </c>
      <c r="I72" s="1">
        <f t="shared" si="1"/>
        <v>40</v>
      </c>
      <c r="J72" s="1">
        <f>OS!BK75</f>
        <v>15</v>
      </c>
      <c r="K72" s="1">
        <f>OS!BL75</f>
        <v>33</v>
      </c>
      <c r="L72" s="1">
        <f t="shared" si="2"/>
        <v>45.454545454545453</v>
      </c>
      <c r="M72" s="1">
        <f>DAA!BK75</f>
        <v>16</v>
      </c>
      <c r="N72" s="1">
        <f>DAA!BL75</f>
        <v>33</v>
      </c>
      <c r="O72" s="1">
        <f t="shared" si="3"/>
        <v>48.484848484848484</v>
      </c>
      <c r="P72" s="1">
        <f>'UHV2'!BK75</f>
        <v>9</v>
      </c>
      <c r="Q72" s="1">
        <f>'UHV2'!BL75</f>
        <v>29</v>
      </c>
      <c r="R72" s="1">
        <f t="shared" si="4"/>
        <v>31.03448275862069</v>
      </c>
      <c r="S72" s="1">
        <f>EVS!BK75</f>
        <v>11</v>
      </c>
      <c r="T72" s="1">
        <f>EVS!BL75</f>
        <v>29</v>
      </c>
      <c r="U72" s="1">
        <f t="shared" si="5"/>
        <v>37.931034482758619</v>
      </c>
      <c r="V72" s="1">
        <f>COAlab!BK75</f>
        <v>6</v>
      </c>
      <c r="W72" s="1">
        <f>COAlab!BL75</f>
        <v>28</v>
      </c>
      <c r="X72" s="1">
        <f t="shared" si="6"/>
        <v>21.428571428571427</v>
      </c>
      <c r="Y72" s="1">
        <f>OSlab!BK75</f>
        <v>14</v>
      </c>
      <c r="Z72" s="1">
        <f>OSlab!BL75</f>
        <v>40</v>
      </c>
      <c r="AA72" s="1">
        <f t="shared" si="7"/>
        <v>35</v>
      </c>
      <c r="AB72" s="1">
        <f>DAAlab!BK75</f>
        <v>18</v>
      </c>
      <c r="AC72" s="1">
        <f>DAAlab!BL75</f>
        <v>42</v>
      </c>
      <c r="AD72" s="1">
        <f t="shared" si="8"/>
        <v>42.857142857142854</v>
      </c>
      <c r="AE72" s="1">
        <f t="shared" ref="AE72:AF72" si="78">AB72+Y72+V72+S72+P72+M72+J72+G72+D72</f>
        <v>111</v>
      </c>
      <c r="AF72" s="1">
        <f t="shared" si="78"/>
        <v>309</v>
      </c>
      <c r="AG72" s="1">
        <f t="shared" si="10"/>
        <v>35.922330097087382</v>
      </c>
    </row>
    <row r="73" spans="1:33" ht="15.75" customHeight="1">
      <c r="A73" s="2">
        <v>70</v>
      </c>
      <c r="B73" s="2">
        <v>2322673</v>
      </c>
      <c r="C73" s="3" t="s">
        <v>88</v>
      </c>
      <c r="D73" s="1">
        <f>DM!BK76</f>
        <v>22</v>
      </c>
      <c r="E73" s="1">
        <f>DM!BL76</f>
        <v>45</v>
      </c>
      <c r="F73" s="1">
        <f t="shared" si="0"/>
        <v>48.888888888888886</v>
      </c>
      <c r="G73" s="1">
        <f>COA!BK76</f>
        <v>17</v>
      </c>
      <c r="H73" s="1">
        <f>COA!BL76</f>
        <v>30</v>
      </c>
      <c r="I73" s="1">
        <f t="shared" si="1"/>
        <v>56.666666666666664</v>
      </c>
      <c r="J73" s="1">
        <f>OS!BK76</f>
        <v>19</v>
      </c>
      <c r="K73" s="1">
        <f>OS!BL76</f>
        <v>33</v>
      </c>
      <c r="L73" s="1">
        <f t="shared" si="2"/>
        <v>57.575757575757578</v>
      </c>
      <c r="M73" s="1">
        <f>DAA!BK76</f>
        <v>22</v>
      </c>
      <c r="N73" s="1">
        <f>DAA!BL76</f>
        <v>33</v>
      </c>
      <c r="O73" s="1">
        <f t="shared" si="3"/>
        <v>66.666666666666657</v>
      </c>
      <c r="P73" s="1">
        <f>'UHV2'!BK76</f>
        <v>16</v>
      </c>
      <c r="Q73" s="1">
        <f>'UHV2'!BL76</f>
        <v>29</v>
      </c>
      <c r="R73" s="1">
        <f t="shared" si="4"/>
        <v>55.172413793103445</v>
      </c>
      <c r="S73" s="1">
        <f>EVS!BK76</f>
        <v>12</v>
      </c>
      <c r="T73" s="1">
        <f>EVS!BL76</f>
        <v>29</v>
      </c>
      <c r="U73" s="1">
        <f t="shared" si="5"/>
        <v>41.379310344827587</v>
      </c>
      <c r="V73" s="1">
        <f>COAlab!BK76</f>
        <v>20</v>
      </c>
      <c r="W73" s="1">
        <f>COAlab!BL76</f>
        <v>28</v>
      </c>
      <c r="X73" s="1">
        <f t="shared" si="6"/>
        <v>71.428571428571431</v>
      </c>
      <c r="Y73" s="1">
        <f>OSlab!BK76</f>
        <v>20</v>
      </c>
      <c r="Z73" s="1">
        <f>OSlab!BL76</f>
        <v>40</v>
      </c>
      <c r="AA73" s="1">
        <f t="shared" si="7"/>
        <v>50</v>
      </c>
      <c r="AB73" s="1">
        <f>DAAlab!BK76</f>
        <v>30</v>
      </c>
      <c r="AC73" s="1">
        <f>DAAlab!BL76</f>
        <v>42</v>
      </c>
      <c r="AD73" s="1">
        <f t="shared" si="8"/>
        <v>71.428571428571431</v>
      </c>
      <c r="AE73" s="1">
        <f t="shared" ref="AE73:AF73" si="79">AB73+Y73+V73+S73+P73+M73+J73+G73+D73</f>
        <v>178</v>
      </c>
      <c r="AF73" s="1">
        <f t="shared" si="79"/>
        <v>309</v>
      </c>
      <c r="AG73" s="1">
        <f t="shared" si="10"/>
        <v>57.605177993527512</v>
      </c>
    </row>
    <row r="74" spans="1:33" ht="15.75" customHeight="1">
      <c r="A74" s="4"/>
      <c r="B74" s="5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>
      <c r="A75" s="4"/>
      <c r="B75" s="5"/>
      <c r="C75" s="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>
      <c r="A76" s="4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>
      <c r="A77" s="4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>
      <c r="A78" s="4"/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>
      <c r="A79" s="4"/>
      <c r="B79" s="5"/>
      <c r="C79" s="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>
      <c r="A80" s="4"/>
      <c r="B80" s="5"/>
      <c r="C80" s="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>
      <c r="A81" s="4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>
      <c r="A82" s="4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>
      <c r="A83" s="4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>
      <c r="A84" s="4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>
      <c r="A85" s="4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>
      <c r="A86" s="4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>
      <c r="A87" s="4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>
      <c r="A88" s="4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>
      <c r="A89" s="4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>
      <c r="A90" s="4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>
      <c r="A91" s="4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5.75" customHeight="1">
      <c r="A92" s="4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5.75" customHeight="1">
      <c r="A93" s="4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5.75" customHeight="1">
      <c r="A94" s="4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5.75" customHeight="1">
      <c r="A95" s="4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5.75" customHeight="1">
      <c r="A96" s="4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5.75" customHeight="1">
      <c r="A97" s="4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5.75" customHeight="1">
      <c r="A98" s="4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5.75" customHeight="1">
      <c r="A99" s="4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5.75" customHeight="1">
      <c r="A100" s="4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5.75" customHeight="1">
      <c r="A101" s="4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5.75" customHeight="1">
      <c r="A102" s="4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5.75" customHeight="1">
      <c r="A103" s="4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5.75" customHeight="1">
      <c r="A104" s="4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5.75" customHeight="1">
      <c r="A105" s="4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5.75" customHeight="1">
      <c r="A106" s="4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5.75" customHeight="1">
      <c r="A107" s="4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5.75" customHeight="1">
      <c r="A108" s="4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5.75" customHeight="1">
      <c r="A109" s="4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15.75" customHeight="1">
      <c r="A110" s="4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15.75" customHeight="1">
      <c r="A111" s="4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15.75" customHeight="1">
      <c r="A112" s="4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15.75" customHeight="1">
      <c r="A113" s="4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15.75" customHeight="1">
      <c r="A114" s="4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15.75" customHeight="1">
      <c r="A115" s="4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15.75" customHeight="1">
      <c r="A116" s="4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15.75" customHeight="1">
      <c r="A117" s="4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15.75" customHeight="1">
      <c r="A118" s="4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15.75" customHeight="1">
      <c r="A119" s="4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15.75" customHeight="1">
      <c r="A120" s="4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15.75" customHeight="1">
      <c r="A121" s="4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15.75" customHeight="1">
      <c r="A122" s="4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15.75" customHeight="1">
      <c r="A123" s="4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15.75" customHeight="1">
      <c r="A124" s="4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15.75" customHeight="1">
      <c r="A125" s="4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15.75" customHeight="1">
      <c r="A126" s="4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15.75" customHeight="1">
      <c r="A127" s="4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15.75" customHeight="1">
      <c r="A128" s="4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15.75" customHeight="1">
      <c r="A129" s="4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15.75" customHeight="1">
      <c r="A130" s="4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15.75" customHeight="1">
      <c r="A131" s="4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15.75" customHeight="1">
      <c r="A132" s="4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15.75" customHeight="1">
      <c r="A133" s="4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15.75" customHeight="1">
      <c r="A134" s="4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15.75" customHeight="1">
      <c r="A135" s="4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15.75" customHeight="1">
      <c r="A136" s="4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15.75" customHeight="1">
      <c r="A137" s="4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15.75" customHeight="1">
      <c r="A138" s="4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15.75" customHeight="1">
      <c r="A139" s="4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15.75" customHeight="1">
      <c r="A140" s="4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15.75" customHeight="1">
      <c r="A141" s="4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15.75" customHeight="1">
      <c r="A142" s="4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15.75" customHeight="1">
      <c r="A143" s="4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15.75" customHeight="1">
      <c r="A144" s="4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15.75" customHeight="1">
      <c r="A145" s="4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15.75" customHeight="1">
      <c r="A146" s="4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15.75" customHeight="1">
      <c r="A147" s="4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15.75" customHeight="1">
      <c r="A148" s="4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15.75" customHeight="1">
      <c r="A149" s="4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15.75" customHeight="1">
      <c r="A150" s="4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15.75" customHeight="1">
      <c r="A151" s="4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15.75" customHeight="1">
      <c r="A152" s="4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15.75" customHeight="1">
      <c r="A153" s="4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15.75" customHeight="1">
      <c r="A154" s="4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15.75" customHeight="1">
      <c r="A155" s="4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15.75" customHeight="1">
      <c r="A156" s="4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5.75" customHeight="1">
      <c r="A157" s="4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5.75" customHeight="1">
      <c r="A158" s="4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5.75" customHeight="1">
      <c r="A159" s="4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5.75" customHeight="1">
      <c r="A160" s="4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5.75" customHeight="1">
      <c r="A161" s="4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5.75" customHeight="1">
      <c r="A162" s="4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5.75" customHeight="1">
      <c r="A163" s="4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5.75" customHeight="1">
      <c r="A164" s="4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5.75" customHeight="1">
      <c r="A165" s="4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5.75" customHeight="1">
      <c r="A166" s="4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5.75" customHeight="1">
      <c r="A167" s="4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5.75" customHeight="1">
      <c r="A168" s="4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5.75" customHeight="1">
      <c r="A169" s="4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5.75" customHeight="1">
      <c r="A170" s="4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5.75" customHeight="1">
      <c r="A171" s="4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5.75" customHeight="1">
      <c r="A172" s="4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5.75" customHeight="1">
      <c r="A173" s="4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5.75" customHeight="1">
      <c r="A174" s="4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5.75" customHeight="1">
      <c r="A175" s="4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5.75" customHeight="1">
      <c r="A176" s="4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5.75" customHeight="1">
      <c r="A177" s="4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5.75" customHeight="1">
      <c r="A178" s="4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5.75" customHeight="1">
      <c r="A179" s="4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5.75" customHeight="1">
      <c r="A180" s="4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5.75" customHeight="1">
      <c r="A181" s="4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5.75" customHeight="1">
      <c r="A182" s="4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5.75" customHeight="1">
      <c r="A183" s="4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5.75" customHeight="1">
      <c r="A184" s="4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5.75" customHeight="1">
      <c r="A185" s="4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5.75" customHeight="1">
      <c r="A186" s="4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5.75" customHeight="1">
      <c r="A187" s="4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5.75" customHeight="1">
      <c r="A188" s="4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5.75" customHeight="1">
      <c r="A189" s="4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5.75" customHeight="1">
      <c r="A190" s="4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5.75" customHeight="1">
      <c r="A191" s="4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5.75" customHeight="1">
      <c r="A192" s="4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5.75" customHeight="1">
      <c r="A193" s="4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5.75" customHeight="1">
      <c r="A194" s="4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5.75" customHeight="1">
      <c r="A195" s="4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5.75" customHeight="1">
      <c r="A196" s="4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5.75" customHeight="1">
      <c r="A197" s="4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5.75" customHeight="1">
      <c r="A198" s="4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5.75" customHeight="1">
      <c r="A199" s="4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5.75" customHeight="1">
      <c r="A200" s="4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5.75" customHeight="1">
      <c r="A201" s="4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5.75" customHeight="1">
      <c r="A202" s="4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5.75" customHeight="1">
      <c r="A203" s="4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5.75" customHeight="1">
      <c r="A204" s="4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5.75" customHeight="1">
      <c r="A205" s="4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5.75" customHeight="1">
      <c r="A206" s="4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5.75" customHeight="1">
      <c r="A207" s="4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5.75" customHeight="1">
      <c r="A208" s="4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5.75" customHeight="1">
      <c r="A209" s="4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5.75" customHeight="1">
      <c r="A210" s="4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5.75" customHeight="1">
      <c r="A211" s="4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5.75" customHeight="1">
      <c r="A212" s="4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5.75" customHeight="1">
      <c r="A213" s="4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5.75" customHeight="1">
      <c r="A214" s="4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5.75" customHeight="1">
      <c r="A215" s="4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5.75" customHeight="1">
      <c r="A216" s="4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5.75" customHeight="1">
      <c r="A217" s="4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5.75" customHeight="1">
      <c r="A218" s="4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5.75" customHeight="1">
      <c r="A219" s="4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5.75" customHeight="1">
      <c r="A220" s="4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5.75" customHeight="1">
      <c r="A221" s="4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5.75" customHeight="1">
      <c r="A222" s="4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5.75" customHeight="1">
      <c r="A223" s="4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5.75" customHeight="1">
      <c r="A224" s="4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5.75" customHeight="1">
      <c r="A225" s="4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5.75" customHeight="1">
      <c r="A226" s="4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5.75" customHeight="1">
      <c r="A227" s="4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5.75" customHeight="1">
      <c r="A228" s="4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5.75" customHeight="1">
      <c r="A229" s="4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5.75" customHeight="1">
      <c r="A230" s="4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5.75" customHeight="1">
      <c r="A231" s="4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5.75" customHeight="1">
      <c r="A232" s="4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5.75" customHeight="1">
      <c r="A233" s="4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5.75" customHeight="1">
      <c r="A234" s="4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5.75" customHeight="1">
      <c r="A235" s="4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5.75" customHeight="1">
      <c r="A236" s="4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5.75" customHeight="1">
      <c r="A237" s="4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5.75" customHeight="1">
      <c r="A238" s="4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5.75" customHeight="1">
      <c r="A239" s="4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5.75" customHeight="1">
      <c r="A240" s="4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5.75" customHeight="1">
      <c r="A241" s="4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5.75" customHeight="1">
      <c r="A242" s="4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5.75" customHeight="1">
      <c r="A243" s="4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5.75" customHeight="1">
      <c r="A244" s="4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5.75" customHeight="1">
      <c r="A245" s="4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5.75" customHeight="1">
      <c r="A246" s="4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5.75" customHeight="1">
      <c r="A247" s="4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5.75" customHeight="1">
      <c r="A248" s="4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5.75" customHeight="1">
      <c r="A249" s="4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5.75" customHeight="1">
      <c r="A250" s="4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5.75" customHeight="1">
      <c r="A251" s="4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5.75" customHeight="1">
      <c r="A252" s="4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5.75" customHeight="1">
      <c r="A253" s="4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5.75" customHeight="1">
      <c r="A254" s="4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5.75" customHeight="1">
      <c r="A255" s="4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5.75" customHeight="1">
      <c r="A256" s="4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5.75" customHeight="1">
      <c r="A257" s="4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5.75" customHeight="1">
      <c r="A258" s="4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5.75" customHeight="1">
      <c r="A259" s="4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5.75" customHeight="1">
      <c r="A260" s="4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5.75" customHeight="1">
      <c r="A261" s="4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5.75" customHeight="1">
      <c r="A262" s="4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5.75" customHeight="1">
      <c r="A263" s="4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5.75" customHeight="1">
      <c r="A264" s="4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5.75" customHeight="1">
      <c r="A265" s="4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5.75" customHeight="1">
      <c r="A266" s="4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5.75" customHeight="1">
      <c r="A267" s="4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5.75" customHeight="1">
      <c r="A268" s="4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5.75" customHeight="1">
      <c r="A269" s="4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5.75" customHeight="1">
      <c r="A270" s="4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5.75" customHeight="1">
      <c r="A271" s="4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5.75" customHeight="1">
      <c r="A272" s="4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5.75" customHeight="1">
      <c r="A273" s="4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5.75" customHeight="1"/>
    <row r="275" spans="1:33" ht="15.75" customHeight="1"/>
    <row r="276" spans="1:33" ht="15.75" customHeight="1"/>
    <row r="277" spans="1:33" ht="15.75" customHeight="1"/>
    <row r="278" spans="1:33" ht="15.75" customHeight="1"/>
    <row r="279" spans="1:33" ht="15.75" customHeight="1"/>
    <row r="280" spans="1:33" ht="15.75" customHeight="1"/>
    <row r="281" spans="1:33" ht="15.75" customHeight="1"/>
    <row r="282" spans="1:33" ht="15.75" customHeight="1"/>
    <row r="283" spans="1:33" ht="15.75" customHeight="1"/>
    <row r="284" spans="1:33" ht="15.75" customHeight="1"/>
    <row r="285" spans="1:33" ht="15.75" customHeight="1"/>
    <row r="286" spans="1:33" ht="15.75" customHeight="1"/>
    <row r="287" spans="1:33" ht="15.75" customHeight="1"/>
    <row r="288" spans="1:33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4">
    <mergeCell ref="AB2:AD2"/>
    <mergeCell ref="A1:AG1"/>
    <mergeCell ref="A2:A3"/>
    <mergeCell ref="B2:B3"/>
    <mergeCell ref="C2:C3"/>
    <mergeCell ref="D2:F2"/>
    <mergeCell ref="G2:I2"/>
    <mergeCell ref="J2:L2"/>
    <mergeCell ref="AE2:AG2"/>
    <mergeCell ref="M2:O2"/>
    <mergeCell ref="P2:R2"/>
    <mergeCell ref="S2:U2"/>
    <mergeCell ref="V2:X2"/>
    <mergeCell ref="Y2:AA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8.88671875" customWidth="1"/>
    <col min="2" max="2" width="9.44140625" customWidth="1"/>
    <col min="3" max="3" width="23.33203125" customWidth="1"/>
    <col min="4" max="12" width="12" customWidth="1"/>
    <col min="13" max="26" width="8.6640625" customWidth="1"/>
  </cols>
  <sheetData>
    <row r="1" spans="1:26" ht="30" customHeight="1">
      <c r="A1" s="90" t="str">
        <f>OVERALL!A1</f>
        <v>ATTENDANCE RECORD JAN-JUNE 2025 (B.Tech CSE 4B)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9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 customHeight="1">
      <c r="A2" s="7" t="s">
        <v>1</v>
      </c>
      <c r="B2" s="7" t="s">
        <v>2</v>
      </c>
      <c r="C2" s="8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9.5" customHeight="1">
      <c r="A3" s="9">
        <v>1</v>
      </c>
      <c r="B3" s="10">
        <f>OVERALL!B4</f>
        <v>2301249</v>
      </c>
      <c r="C3" s="10" t="str">
        <f>OVERALL!C4</f>
        <v>Rahul Sharma</v>
      </c>
      <c r="D3" s="2">
        <f>DM!BW7</f>
        <v>16.666666666666664</v>
      </c>
      <c r="E3" s="2">
        <f>COA!BW7</f>
        <v>25.5</v>
      </c>
      <c r="F3" s="2">
        <f>OS!BW7</f>
        <v>20.833333333333336</v>
      </c>
      <c r="G3" s="2">
        <f>DAA!BW7</f>
        <v>26.166666666666668</v>
      </c>
      <c r="H3" s="2">
        <f>'UHV2'!BW7</f>
        <v>21.166666666666668</v>
      </c>
      <c r="I3" s="2">
        <f>EVS!BW7</f>
        <v>27.75</v>
      </c>
      <c r="J3" s="2">
        <f>COAlab!BS7</f>
        <v>16.3125</v>
      </c>
      <c r="K3" s="2">
        <f>OSlab!BS7</f>
        <v>17.5</v>
      </c>
      <c r="L3" s="2">
        <f>DAAlab!BS7</f>
        <v>20.2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9.5" customHeight="1">
      <c r="A4" s="9">
        <v>2</v>
      </c>
      <c r="B4" s="10">
        <f>OVERALL!B5</f>
        <v>2301251</v>
      </c>
      <c r="C4" s="10" t="str">
        <f>OVERALL!C5</f>
        <v>Raj Kumar</v>
      </c>
      <c r="D4" s="2">
        <f>DM!BW8</f>
        <v>16</v>
      </c>
      <c r="E4" s="2">
        <f>COA!BW8</f>
        <v>20</v>
      </c>
      <c r="F4" s="2">
        <f>OS!BW8</f>
        <v>15.166666666666666</v>
      </c>
      <c r="G4" s="2">
        <f>DAA!BW8</f>
        <v>18.833333333333336</v>
      </c>
      <c r="H4" s="2">
        <f>'UHV2'!BW8</f>
        <v>13.333333333333332</v>
      </c>
      <c r="I4" s="2">
        <f>EVS!BW8</f>
        <v>16.583333333333332</v>
      </c>
      <c r="J4" s="2">
        <f>COAlab!BS8</f>
        <v>15.625</v>
      </c>
      <c r="K4" s="2">
        <f>OSlab!BS8</f>
        <v>21.833333333333332</v>
      </c>
      <c r="L4" s="2">
        <f>DAAlab!BS8</f>
        <v>20.3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9.5" customHeight="1">
      <c r="A5" s="9">
        <v>3</v>
      </c>
      <c r="B5" s="10">
        <f>OVERALL!B6</f>
        <v>2301252</v>
      </c>
      <c r="C5" s="10" t="str">
        <f>OVERALL!C6</f>
        <v>Rajan Sharma</v>
      </c>
      <c r="D5" s="2">
        <f>DM!BW9</f>
        <v>22.333333333333332</v>
      </c>
      <c r="E5" s="2">
        <f>COA!BW9</f>
        <v>18.833333333333336</v>
      </c>
      <c r="F5" s="2">
        <f>OS!BW9</f>
        <v>24.666666666666664</v>
      </c>
      <c r="G5" s="2">
        <f>DAA!BW9</f>
        <v>17.833333333333336</v>
      </c>
      <c r="H5" s="2">
        <f>'UHV2'!BW9</f>
        <v>20.166666666666668</v>
      </c>
      <c r="I5" s="2">
        <f>EVS!BW9</f>
        <v>23.083333333333332</v>
      </c>
      <c r="J5" s="2">
        <f>COAlab!BS9</f>
        <v>18.75</v>
      </c>
      <c r="K5" s="2">
        <f>OSlab!BS9</f>
        <v>21.333333333333332</v>
      </c>
      <c r="L5" s="2">
        <f>DAAlab!BS9</f>
        <v>18.2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9.5" customHeight="1">
      <c r="A6" s="9">
        <v>4</v>
      </c>
      <c r="B6" s="10">
        <f>OVERALL!B7</f>
        <v>2301253</v>
      </c>
      <c r="C6" s="10" t="str">
        <f>OVERALL!C7</f>
        <v>Rajwinder Kaur</v>
      </c>
      <c r="D6" s="2">
        <f>DM!BW10</f>
        <v>27.166666666666664</v>
      </c>
      <c r="E6" s="2">
        <f>COA!BW10</f>
        <v>32.833333333333336</v>
      </c>
      <c r="F6" s="2">
        <f>OS!BW10</f>
        <v>22.5</v>
      </c>
      <c r="G6" s="2">
        <f>DAA!BW10</f>
        <v>30.333333333333336</v>
      </c>
      <c r="H6" s="2">
        <f>'UHV2'!BW10</f>
        <v>21.666666666666668</v>
      </c>
      <c r="I6" s="2">
        <f>EVS!BW10</f>
        <v>33.666666666666671</v>
      </c>
      <c r="J6" s="2">
        <f>COAlab!BS10</f>
        <v>22.833333333333332</v>
      </c>
      <c r="K6" s="2">
        <f>OSlab!BS10</f>
        <v>20.666666666666668</v>
      </c>
      <c r="L6" s="2">
        <f>DAAlab!BS10</f>
        <v>24.5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9.5" customHeight="1">
      <c r="A7" s="9">
        <v>5</v>
      </c>
      <c r="B7" s="10">
        <f>OVERALL!B8</f>
        <v>2301255</v>
      </c>
      <c r="C7" s="10" t="str">
        <f>OVERALL!C8</f>
        <v>Ravi Bhushan Kumar</v>
      </c>
      <c r="D7" s="2">
        <f>DM!BW11</f>
        <v>30</v>
      </c>
      <c r="E7" s="2">
        <f>COA!BW11</f>
        <v>36.166666666666664</v>
      </c>
      <c r="F7" s="2">
        <f>OS!BW11</f>
        <v>23.333333333333336</v>
      </c>
      <c r="G7" s="2">
        <f>DAA!BW11</f>
        <v>34.833333333333336</v>
      </c>
      <c r="H7" s="2">
        <f>'UHV2'!BW11</f>
        <v>24.666666666666668</v>
      </c>
      <c r="I7" s="2">
        <f>EVS!BW11</f>
        <v>33.583333333333336</v>
      </c>
      <c r="J7" s="2">
        <f>COAlab!BS11</f>
        <v>27.020833333333332</v>
      </c>
      <c r="K7" s="2">
        <f>OSlab!BS11</f>
        <v>26.166666666666664</v>
      </c>
      <c r="L7" s="2">
        <f>DAAlab!BS11</f>
        <v>26.7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9.5" customHeight="1">
      <c r="A8" s="9">
        <v>6</v>
      </c>
      <c r="B8" s="10">
        <f>OVERALL!B9</f>
        <v>2301256</v>
      </c>
      <c r="C8" s="10" t="str">
        <f>OVERALL!C9</f>
        <v>Reshma</v>
      </c>
      <c r="D8" s="2">
        <f>DM!BW12</f>
        <v>26.666666666666668</v>
      </c>
      <c r="E8" s="2">
        <f>COA!BW12</f>
        <v>32.5</v>
      </c>
      <c r="F8" s="2">
        <f>OS!BW12</f>
        <v>27</v>
      </c>
      <c r="G8" s="2">
        <f>DAA!BW12</f>
        <v>26.666666666666668</v>
      </c>
      <c r="H8" s="2">
        <f>'UHV2'!BW12</f>
        <v>23.5</v>
      </c>
      <c r="I8" s="2">
        <f>EVS!BW12</f>
        <v>28.583333333333332</v>
      </c>
      <c r="J8" s="2">
        <f>COAlab!BS12</f>
        <v>26.854166666666668</v>
      </c>
      <c r="K8" s="2">
        <f>OSlab!BS12</f>
        <v>22.833333333333332</v>
      </c>
      <c r="L8" s="2">
        <f>DAAlab!BS12</f>
        <v>20.9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9.5" customHeight="1">
      <c r="A9" s="9">
        <v>7</v>
      </c>
      <c r="B9" s="10">
        <f>OVERALL!B10</f>
        <v>2301257</v>
      </c>
      <c r="C9" s="10" t="str">
        <f>OVERALL!C10</f>
        <v>Ritesh Kumar Choudhary</v>
      </c>
      <c r="D9" s="2">
        <f>DM!BW13</f>
        <v>23</v>
      </c>
      <c r="E9" s="2">
        <f>COA!BW13</f>
        <v>21.5</v>
      </c>
      <c r="F9" s="2">
        <f>OS!BW13</f>
        <v>26.333333333333336</v>
      </c>
      <c r="G9" s="2">
        <f>DAA!BW13</f>
        <v>32.166666666666664</v>
      </c>
      <c r="H9" s="2">
        <f>'UHV2'!BW13</f>
        <v>20.5</v>
      </c>
      <c r="I9" s="2">
        <f>EVS!BW13</f>
        <v>23.75</v>
      </c>
      <c r="J9" s="2">
        <f>COAlab!BS13</f>
        <v>14.020833333333334</v>
      </c>
      <c r="K9" s="2">
        <f>OSlab!BS13</f>
        <v>18.833333333333332</v>
      </c>
      <c r="L9" s="2">
        <f>DAAlab!BS13</f>
        <v>16.3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9.5" customHeight="1">
      <c r="A10" s="9">
        <v>8</v>
      </c>
      <c r="B10" s="10">
        <f>OVERALL!B11</f>
        <v>2301258</v>
      </c>
      <c r="C10" s="10" t="str">
        <f>OVERALL!C11</f>
        <v>Ritesh Thakur</v>
      </c>
      <c r="D10" s="2">
        <f>DM!BW14</f>
        <v>11.5</v>
      </c>
      <c r="E10" s="2">
        <f>COA!BW14</f>
        <v>8.5</v>
      </c>
      <c r="F10" s="2">
        <f>OS!BW14</f>
        <v>13.166666666666668</v>
      </c>
      <c r="G10" s="2">
        <f>DAA!BW14</f>
        <v>7.8333333333333339</v>
      </c>
      <c r="H10" s="2">
        <f>'UHV2'!BW14</f>
        <v>10.333333333333332</v>
      </c>
      <c r="I10" s="2">
        <f>EVS!BW14</f>
        <v>6.75</v>
      </c>
      <c r="J10" s="2">
        <f>COAlab!BS14</f>
        <v>0</v>
      </c>
      <c r="K10" s="2">
        <f>OSlab!BS14</f>
        <v>0</v>
      </c>
      <c r="L10" s="2">
        <f>DAAlab!BS14</f>
        <v>3.4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9.5" customHeight="1">
      <c r="A11" s="9">
        <v>9</v>
      </c>
      <c r="B11" s="10">
        <f>OVERALL!B12</f>
        <v>2301259</v>
      </c>
      <c r="C11" s="10" t="str">
        <f>OVERALL!C12</f>
        <v>Riya Thakur</v>
      </c>
      <c r="D11" s="2">
        <f>DM!BW15</f>
        <v>24.5</v>
      </c>
      <c r="E11" s="2">
        <f>COA!BW15</f>
        <v>33.166666666666664</v>
      </c>
      <c r="F11" s="2">
        <f>OS!BW15</f>
        <v>21.166666666666664</v>
      </c>
      <c r="G11" s="2">
        <f>DAA!BW15</f>
        <v>25.833333333333336</v>
      </c>
      <c r="H11" s="2">
        <f>'UHV2'!BW15</f>
        <v>19</v>
      </c>
      <c r="I11" s="2">
        <f>EVS!BW15</f>
        <v>26.666666666666668</v>
      </c>
      <c r="J11" s="2">
        <f>COAlab!BS15</f>
        <v>26.6875</v>
      </c>
      <c r="K11" s="2">
        <f>OSlab!BS15</f>
        <v>19.166666666666664</v>
      </c>
      <c r="L11" s="2">
        <f>DAAlab!BS15</f>
        <v>22.1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9.5" customHeight="1">
      <c r="A12" s="9">
        <v>10</v>
      </c>
      <c r="B12" s="10">
        <f>OVERALL!B13</f>
        <v>2301260</v>
      </c>
      <c r="C12" s="10" t="str">
        <f>OVERALL!C13</f>
        <v>Rounit Dhiman</v>
      </c>
      <c r="D12" s="2">
        <f>DM!BW16</f>
        <v>28.166666666666668</v>
      </c>
      <c r="E12" s="2">
        <f>COA!BW16</f>
        <v>29.5</v>
      </c>
      <c r="F12" s="2">
        <f>OS!BW16</f>
        <v>26.166666666666664</v>
      </c>
      <c r="G12" s="2">
        <f>DAA!BW16</f>
        <v>21.333333333333336</v>
      </c>
      <c r="H12" s="2">
        <f>'UHV2'!BW16</f>
        <v>20</v>
      </c>
      <c r="I12" s="2">
        <f>EVS!BW16</f>
        <v>28.083333333333332</v>
      </c>
      <c r="J12" s="2">
        <f>COAlab!BS16</f>
        <v>23.125</v>
      </c>
      <c r="K12" s="2">
        <f>OSlab!BS16</f>
        <v>23</v>
      </c>
      <c r="L12" s="2">
        <f>DAAlab!BS16</f>
        <v>20.5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9.5" customHeight="1">
      <c r="A13" s="9">
        <v>11</v>
      </c>
      <c r="B13" s="10">
        <f>OVERALL!B14</f>
        <v>2301261</v>
      </c>
      <c r="C13" s="10" t="str">
        <f>OVERALL!C14</f>
        <v>Rubby Kumari</v>
      </c>
      <c r="D13" s="2">
        <f>DM!BW17</f>
        <v>7.1666666666666661</v>
      </c>
      <c r="E13" s="2">
        <f>COA!BW17</f>
        <v>17.333333333333332</v>
      </c>
      <c r="F13" s="2">
        <f>OS!BW17</f>
        <v>18.166666666666668</v>
      </c>
      <c r="G13" s="2">
        <f>DAA!BW17</f>
        <v>12.833333333333332</v>
      </c>
      <c r="H13" s="2">
        <f>'UHV2'!BW17</f>
        <v>14.666666666666666</v>
      </c>
      <c r="I13" s="2">
        <f>EVS!BW17</f>
        <v>18.583333333333332</v>
      </c>
      <c r="J13" s="2">
        <f>COAlab!BS17</f>
        <v>15.5</v>
      </c>
      <c r="K13" s="2">
        <f>OSlab!BS17</f>
        <v>11</v>
      </c>
      <c r="L13" s="2">
        <f>DAAlab!BS17</f>
        <v>15.4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9">
        <v>12</v>
      </c>
      <c r="B14" s="10">
        <f>OVERALL!B15</f>
        <v>2301262</v>
      </c>
      <c r="C14" s="10" t="str">
        <f>OVERALL!C15</f>
        <v>Sakshi Devi</v>
      </c>
      <c r="D14" s="2">
        <f>DM!BW18</f>
        <v>14.166666666666668</v>
      </c>
      <c r="E14" s="2">
        <f>COA!BW18</f>
        <v>20.666666666666668</v>
      </c>
      <c r="F14" s="2">
        <f>OS!BW18</f>
        <v>15.333333333333334</v>
      </c>
      <c r="G14" s="2">
        <f>DAA!BW18</f>
        <v>17.166666666666668</v>
      </c>
      <c r="H14" s="2">
        <f>'UHV2'!BW18</f>
        <v>17.666666666666668</v>
      </c>
      <c r="I14" s="2">
        <f>EVS!BW18</f>
        <v>27.833333333333332</v>
      </c>
      <c r="J14" s="2">
        <f>COAlab!BS18</f>
        <v>21.1875</v>
      </c>
      <c r="K14" s="2">
        <f>OSlab!BS18</f>
        <v>19</v>
      </c>
      <c r="L14" s="2">
        <f>DAAlab!BS18</f>
        <v>20.8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>
      <c r="A15" s="9">
        <v>13</v>
      </c>
      <c r="B15" s="10">
        <f>OVERALL!B16</f>
        <v>2301263</v>
      </c>
      <c r="C15" s="10" t="str">
        <f>OVERALL!C16</f>
        <v>Sanchi Sharma</v>
      </c>
      <c r="D15" s="2">
        <f>DM!BW19</f>
        <v>35.833333333333336</v>
      </c>
      <c r="E15" s="2">
        <f>COA!BW19</f>
        <v>36.333333333333336</v>
      </c>
      <c r="F15" s="2">
        <f>OS!BW19</f>
        <v>31</v>
      </c>
      <c r="G15" s="2">
        <f>DAA!BW19</f>
        <v>32.333333333333336</v>
      </c>
      <c r="H15" s="2">
        <f>'UHV2'!BW19</f>
        <v>31.5</v>
      </c>
      <c r="I15" s="2">
        <f>EVS!BW19</f>
        <v>35.083333333333329</v>
      </c>
      <c r="J15" s="2">
        <f>COAlab!BS19</f>
        <v>27</v>
      </c>
      <c r="K15" s="2">
        <f>OSlab!BS19</f>
        <v>24.833333333333332</v>
      </c>
      <c r="L15" s="2">
        <f>DAAlab!BS19</f>
        <v>26.9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9">
        <v>14</v>
      </c>
      <c r="B16" s="10">
        <f>OVERALL!B17</f>
        <v>2301264</v>
      </c>
      <c r="C16" s="10" t="str">
        <f>OVERALL!C17</f>
        <v>Sarbjit Singh</v>
      </c>
      <c r="D16" s="2">
        <f>DM!BW20</f>
        <v>9.3333333333333321</v>
      </c>
      <c r="E16" s="2">
        <f>COA!BW20</f>
        <v>15.833333333333334</v>
      </c>
      <c r="F16" s="2">
        <f>OS!BW20</f>
        <v>13.833333333333334</v>
      </c>
      <c r="G16" s="2">
        <f>DAA!BW20</f>
        <v>17.333333333333336</v>
      </c>
      <c r="H16" s="2">
        <f>'UHV2'!BW20</f>
        <v>12</v>
      </c>
      <c r="I16" s="2">
        <f>EVS!BW20</f>
        <v>15.416666666666668</v>
      </c>
      <c r="J16" s="2">
        <f>COAlab!BS20</f>
        <v>12.0625</v>
      </c>
      <c r="K16" s="2">
        <f>OSlab!BS20</f>
        <v>17.333333333333332</v>
      </c>
      <c r="L16" s="2">
        <f>DAAlab!BS20</f>
        <v>15.2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9.5" customHeight="1">
      <c r="A17" s="9">
        <v>15</v>
      </c>
      <c r="B17" s="10">
        <f>OVERALL!B18</f>
        <v>2301265</v>
      </c>
      <c r="C17" s="10" t="str">
        <f>OVERALL!C18</f>
        <v>Sarif Mayangmayum</v>
      </c>
      <c r="D17" s="2">
        <f>DM!BW21</f>
        <v>28.166666666666668</v>
      </c>
      <c r="E17" s="2">
        <f>COA!BW21</f>
        <v>28</v>
      </c>
      <c r="F17" s="2">
        <f>OS!BW21</f>
        <v>22</v>
      </c>
      <c r="G17" s="2">
        <f>DAA!BW21</f>
        <v>25.833333333333336</v>
      </c>
      <c r="H17" s="2">
        <f>'UHV2'!BW21</f>
        <v>25.333333333333332</v>
      </c>
      <c r="I17" s="2">
        <f>EVS!BW21</f>
        <v>26.416666666666668</v>
      </c>
      <c r="J17" s="2">
        <f>COAlab!BS21</f>
        <v>17.375</v>
      </c>
      <c r="K17" s="2">
        <f>OSlab!BS21</f>
        <v>18.166666666666668</v>
      </c>
      <c r="L17" s="2">
        <f>DAAlab!BS21</f>
        <v>26.4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9">
        <v>16</v>
      </c>
      <c r="B18" s="10">
        <f>OVERALL!B19</f>
        <v>2301267</v>
      </c>
      <c r="C18" s="10" t="str">
        <f>OVERALL!C19</f>
        <v>Shivam Kumar Chaubey</v>
      </c>
      <c r="D18" s="2">
        <f>DM!BW22</f>
        <v>24.166666666666664</v>
      </c>
      <c r="E18" s="2">
        <f>COA!BW22</f>
        <v>29</v>
      </c>
      <c r="F18" s="2">
        <f>OS!BW22</f>
        <v>24</v>
      </c>
      <c r="G18" s="2">
        <f>DAA!BW22</f>
        <v>27.666666666666664</v>
      </c>
      <c r="H18" s="2">
        <f>'UHV2'!BW22</f>
        <v>20.5</v>
      </c>
      <c r="I18" s="2">
        <f>EVS!BW22</f>
        <v>32.916666666666664</v>
      </c>
      <c r="J18" s="2">
        <f>COAlab!BS22</f>
        <v>24.8125</v>
      </c>
      <c r="K18" s="2">
        <f>OSlab!BS22</f>
        <v>20.833333333333332</v>
      </c>
      <c r="L18" s="2">
        <f>DAAlab!BS22</f>
        <v>20.8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9.5" customHeight="1">
      <c r="A19" s="9">
        <v>17</v>
      </c>
      <c r="B19" s="10">
        <f>OVERALL!B20</f>
        <v>2301268</v>
      </c>
      <c r="C19" s="10" t="str">
        <f>OVERALL!C20</f>
        <v>Simba Godfrey</v>
      </c>
      <c r="D19" s="2">
        <f>DM!BW23</f>
        <v>18</v>
      </c>
      <c r="E19" s="2">
        <f>COA!BW23</f>
        <v>26.666666666666664</v>
      </c>
      <c r="F19" s="2">
        <f>OS!BW23</f>
        <v>21.666666666666668</v>
      </c>
      <c r="G19" s="2">
        <f>DAA!BW23</f>
        <v>25.166666666666664</v>
      </c>
      <c r="H19" s="2">
        <f>'UHV2'!BW23</f>
        <v>18</v>
      </c>
      <c r="I19" s="2">
        <f>EVS!BW23</f>
        <v>29.25</v>
      </c>
      <c r="J19" s="2">
        <f>COAlab!BS23</f>
        <v>21.4375</v>
      </c>
      <c r="K19" s="2">
        <f>OSlab!BS23</f>
        <v>18.666666666666668</v>
      </c>
      <c r="L19" s="2">
        <f>DAAlab!BS23</f>
        <v>20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9.5" customHeight="1">
      <c r="A20" s="9">
        <v>18</v>
      </c>
      <c r="B20" s="10">
        <f>OVERALL!B21</f>
        <v>2301269</v>
      </c>
      <c r="C20" s="10" t="str">
        <f>OVERALL!C21</f>
        <v>Simran Kaur</v>
      </c>
      <c r="D20" s="2">
        <f>DM!BW24</f>
        <v>23.333333333333336</v>
      </c>
      <c r="E20" s="2">
        <f>COA!BW24</f>
        <v>30.666666666666664</v>
      </c>
      <c r="F20" s="2">
        <f>OS!BW24</f>
        <v>19.333333333333336</v>
      </c>
      <c r="G20" s="2">
        <f>DAA!BW24</f>
        <v>29.5</v>
      </c>
      <c r="H20" s="2">
        <f>'UHV2'!BW24</f>
        <v>25</v>
      </c>
      <c r="I20" s="2">
        <f>EVS!BW24</f>
        <v>30.916666666666668</v>
      </c>
      <c r="J20" s="2">
        <f>COAlab!BS24</f>
        <v>26.770833333333332</v>
      </c>
      <c r="K20" s="2">
        <f>OSlab!BS24</f>
        <v>23.166666666666664</v>
      </c>
      <c r="L20" s="2">
        <f>DAAlab!BS24</f>
        <v>25.4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9.5" customHeight="1">
      <c r="A21" s="9">
        <v>19</v>
      </c>
      <c r="B21" s="10">
        <f>OVERALL!B22</f>
        <v>2301270</v>
      </c>
      <c r="C21" s="10" t="str">
        <f>OVERALL!C22</f>
        <v>Simranjit Singh</v>
      </c>
      <c r="D21" s="2">
        <f>DM!BW25</f>
        <v>18.5</v>
      </c>
      <c r="E21" s="2">
        <f>COA!BW25</f>
        <v>28.666666666666664</v>
      </c>
      <c r="F21" s="2">
        <f>OS!BW25</f>
        <v>19.166666666666664</v>
      </c>
      <c r="G21" s="2">
        <f>DAA!BW25</f>
        <v>29.5</v>
      </c>
      <c r="H21" s="2">
        <f>'UHV2'!BW25</f>
        <v>23</v>
      </c>
      <c r="I21" s="2">
        <f>EVS!BW25</f>
        <v>26.75</v>
      </c>
      <c r="J21" s="2">
        <f>COAlab!BS25</f>
        <v>18.333333333333332</v>
      </c>
      <c r="K21" s="2">
        <f>OSlab!BS25</f>
        <v>21.5</v>
      </c>
      <c r="L21" s="2">
        <f>DAAlab!BS25</f>
        <v>19.2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9.5" customHeight="1">
      <c r="A22" s="9">
        <v>20</v>
      </c>
      <c r="B22" s="10">
        <f>OVERALL!B23</f>
        <v>2301271</v>
      </c>
      <c r="C22" s="10" t="str">
        <f>OVERALL!C23</f>
        <v>Sudip Sunar</v>
      </c>
      <c r="D22" s="2">
        <f>DM!BW26</f>
        <v>21.833333333333332</v>
      </c>
      <c r="E22" s="2">
        <f>COA!BW26</f>
        <v>29.5</v>
      </c>
      <c r="F22" s="2">
        <f>OS!BW26</f>
        <v>19.833333333333336</v>
      </c>
      <c r="G22" s="2">
        <f>DAA!BW26</f>
        <v>20.666666666666668</v>
      </c>
      <c r="H22" s="2">
        <f>'UHV2'!BW26</f>
        <v>25.5</v>
      </c>
      <c r="I22" s="2">
        <f>EVS!BW26</f>
        <v>28.333333333333332</v>
      </c>
      <c r="J22" s="2">
        <f>COAlab!BS26</f>
        <v>17.354166666666668</v>
      </c>
      <c r="K22" s="2">
        <f>OSlab!BS26</f>
        <v>19.333333333333332</v>
      </c>
      <c r="L22" s="2">
        <f>DAAlab!BS26</f>
        <v>19.3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>
      <c r="A23" s="9">
        <v>21</v>
      </c>
      <c r="B23" s="10">
        <f>OVERALL!B24</f>
        <v>2301272</v>
      </c>
      <c r="C23" s="10" t="str">
        <f>OVERALL!C24</f>
        <v>Sujal Sharma</v>
      </c>
      <c r="D23" s="2">
        <f>DM!BW27</f>
        <v>0</v>
      </c>
      <c r="E23" s="2">
        <f>COA!BW27</f>
        <v>0</v>
      </c>
      <c r="F23" s="2">
        <f>OS!BW27</f>
        <v>0</v>
      </c>
      <c r="G23" s="2">
        <f>DAA!BW27</f>
        <v>0</v>
      </c>
      <c r="H23" s="2">
        <f>'UHV2'!BW27</f>
        <v>0</v>
      </c>
      <c r="I23" s="2">
        <f>EVS!BW27</f>
        <v>0</v>
      </c>
      <c r="J23" s="2">
        <f>COAlab!BS27</f>
        <v>0</v>
      </c>
      <c r="K23" s="2">
        <f>OSlab!BS27</f>
        <v>0</v>
      </c>
      <c r="L23" s="2">
        <f>DAAlab!BS27</f>
        <v>2.5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9.5" customHeight="1">
      <c r="A24" s="9">
        <v>22</v>
      </c>
      <c r="B24" s="10">
        <f>OVERALL!B25</f>
        <v>2301273</v>
      </c>
      <c r="C24" s="10" t="str">
        <f>OVERALL!C25</f>
        <v>Sukhraj Singh</v>
      </c>
      <c r="D24" s="2">
        <f>DM!BW28</f>
        <v>12.666666666666666</v>
      </c>
      <c r="E24" s="2">
        <f>COA!BW28</f>
        <v>20.666666666666668</v>
      </c>
      <c r="F24" s="2">
        <f>OS!BW28</f>
        <v>18.666666666666668</v>
      </c>
      <c r="G24" s="2">
        <f>DAA!BW28</f>
        <v>13.666666666666666</v>
      </c>
      <c r="H24" s="2">
        <f>'UHV2'!BW28</f>
        <v>19.666666666666664</v>
      </c>
      <c r="I24" s="2">
        <f>EVS!BW28</f>
        <v>29.666666666666664</v>
      </c>
      <c r="J24" s="2">
        <f>COAlab!BS28</f>
        <v>18</v>
      </c>
      <c r="K24" s="2">
        <f>OSlab!BS28</f>
        <v>17.666666666666668</v>
      </c>
      <c r="L24" s="2">
        <f>DAAlab!BS28</f>
        <v>17.5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9.5" customHeight="1">
      <c r="A25" s="9">
        <v>23</v>
      </c>
      <c r="B25" s="10">
        <f>OVERALL!B26</f>
        <v>2301274</v>
      </c>
      <c r="C25" s="10" t="str">
        <f>OVERALL!C26</f>
        <v>Sukhreet Kaur</v>
      </c>
      <c r="D25" s="2">
        <f>DM!BW29</f>
        <v>22.5</v>
      </c>
      <c r="E25" s="2">
        <f>COA!BW29</f>
        <v>27.833333333333336</v>
      </c>
      <c r="F25" s="2">
        <f>OS!BW29</f>
        <v>16.166666666666664</v>
      </c>
      <c r="G25" s="2">
        <f>DAA!BW29</f>
        <v>25.5</v>
      </c>
      <c r="H25" s="2">
        <f>'UHV2'!BW29</f>
        <v>23.833333333333336</v>
      </c>
      <c r="I25" s="2">
        <f>EVS!BW29</f>
        <v>26.916666666666668</v>
      </c>
      <c r="J25" s="2">
        <f>COAlab!BS29</f>
        <v>22.145833333333332</v>
      </c>
      <c r="K25" s="2">
        <f>OSlab!BS29</f>
        <v>20.333333333333336</v>
      </c>
      <c r="L25" s="2">
        <f>DAAlab!BS29</f>
        <v>24.7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9.5" customHeight="1">
      <c r="A26" s="9">
        <v>24</v>
      </c>
      <c r="B26" s="10">
        <f>OVERALL!B27</f>
        <v>2301275</v>
      </c>
      <c r="C26" s="10" t="str">
        <f>OVERALL!C27</f>
        <v>Suman Krishna</v>
      </c>
      <c r="D26" s="2">
        <f>DM!BW30</f>
        <v>28.666666666666664</v>
      </c>
      <c r="E26" s="2">
        <f>COA!BW30</f>
        <v>30.333333333333336</v>
      </c>
      <c r="F26" s="2">
        <f>OS!BW30</f>
        <v>21.166666666666664</v>
      </c>
      <c r="G26" s="2">
        <f>DAA!BW30</f>
        <v>27</v>
      </c>
      <c r="H26" s="2">
        <f>'UHV2'!BW30</f>
        <v>23.666666666666664</v>
      </c>
      <c r="I26" s="2">
        <f>EVS!BW30</f>
        <v>24.25</v>
      </c>
      <c r="J26" s="2">
        <f>COAlab!BS30</f>
        <v>21.541666666666668</v>
      </c>
      <c r="K26" s="2">
        <f>OSlab!BS30</f>
        <v>20.166666666666664</v>
      </c>
      <c r="L26" s="2">
        <f>DAAlab!BS30</f>
        <v>21.9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9.5" customHeight="1">
      <c r="A27" s="9">
        <v>25</v>
      </c>
      <c r="B27" s="10">
        <f>OVERALL!B28</f>
        <v>2301277</v>
      </c>
      <c r="C27" s="10" t="str">
        <f>OVERALL!C28</f>
        <v>Tamana</v>
      </c>
      <c r="D27" s="2">
        <f>DM!BW31</f>
        <v>27.666666666666668</v>
      </c>
      <c r="E27" s="2">
        <f>COA!BW31</f>
        <v>32.5</v>
      </c>
      <c r="F27" s="2">
        <f>OS!BW31</f>
        <v>23.333333333333336</v>
      </c>
      <c r="G27" s="2">
        <f>DAA!BW31</f>
        <v>26.333333333333336</v>
      </c>
      <c r="H27" s="2">
        <f>'UHV2'!BW31</f>
        <v>23.166666666666664</v>
      </c>
      <c r="I27" s="2">
        <f>EVS!BW31</f>
        <v>31.166666666666668</v>
      </c>
      <c r="J27" s="2">
        <f>COAlab!BS31</f>
        <v>21.854166666666668</v>
      </c>
      <c r="K27" s="2">
        <f>OSlab!BS31</f>
        <v>17.666666666666668</v>
      </c>
      <c r="L27" s="2">
        <f>DAAlab!BS31</f>
        <v>17.3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>
      <c r="A28" s="9">
        <v>26</v>
      </c>
      <c r="B28" s="10">
        <f>OVERALL!B29</f>
        <v>2301278</v>
      </c>
      <c r="C28" s="10" t="str">
        <f>OVERALL!C29</f>
        <v>Tamana Farooq Khanday</v>
      </c>
      <c r="D28" s="2">
        <f>DM!BW32</f>
        <v>15.833333333333332</v>
      </c>
      <c r="E28" s="2">
        <f>COA!BW32</f>
        <v>19.5</v>
      </c>
      <c r="F28" s="2">
        <f>OS!BW32</f>
        <v>12.833333333333332</v>
      </c>
      <c r="G28" s="2">
        <f>DAA!BW32</f>
        <v>15.666666666666666</v>
      </c>
      <c r="H28" s="2">
        <f>'UHV2'!BW32</f>
        <v>16.166666666666668</v>
      </c>
      <c r="I28" s="2">
        <f>EVS!BW32</f>
        <v>21.416666666666668</v>
      </c>
      <c r="J28" s="2">
        <f>COAlab!BS32</f>
        <v>16.25</v>
      </c>
      <c r="K28" s="2">
        <f>OSlab!BS32</f>
        <v>17.5</v>
      </c>
      <c r="L28" s="2">
        <f>DAAlab!BS32</f>
        <v>13.333333333333334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>
      <c r="A29" s="9">
        <v>27</v>
      </c>
      <c r="B29" s="10">
        <f>OVERALL!B30</f>
        <v>2301279</v>
      </c>
      <c r="C29" s="10" t="str">
        <f>OVERALL!C30</f>
        <v>Tania</v>
      </c>
      <c r="D29" s="2">
        <f>DM!BW33</f>
        <v>15</v>
      </c>
      <c r="E29" s="2">
        <f>COA!BW33</f>
        <v>32</v>
      </c>
      <c r="F29" s="2">
        <f>OS!BW33</f>
        <v>23.166666666666664</v>
      </c>
      <c r="G29" s="2">
        <f>DAA!BW33</f>
        <v>25.5</v>
      </c>
      <c r="H29" s="2">
        <f>'UHV2'!BW33</f>
        <v>26.833333333333336</v>
      </c>
      <c r="I29" s="2">
        <f>EVS!BW33</f>
        <v>27</v>
      </c>
      <c r="J29" s="2">
        <f>COAlab!BS33</f>
        <v>26.520833333333332</v>
      </c>
      <c r="K29" s="2">
        <f>OSlab!BS33</f>
        <v>21</v>
      </c>
      <c r="L29" s="2">
        <f>DAAlab!BS33</f>
        <v>21.6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>
      <c r="A30" s="9">
        <v>28</v>
      </c>
      <c r="B30" s="10">
        <f>OVERALL!B31</f>
        <v>2301280</v>
      </c>
      <c r="C30" s="10" t="str">
        <f>OVERALL!C31</f>
        <v>Taniya</v>
      </c>
      <c r="D30" s="2">
        <f>DM!BW34</f>
        <v>14</v>
      </c>
      <c r="E30" s="2">
        <f>COA!BW34</f>
        <v>23.333333333333336</v>
      </c>
      <c r="F30" s="2">
        <f>OS!BW34</f>
        <v>16.833333333333336</v>
      </c>
      <c r="G30" s="2">
        <f>DAA!BW34</f>
        <v>19.166666666666664</v>
      </c>
      <c r="H30" s="2">
        <f>'UHV2'!BW34</f>
        <v>23.333333333333336</v>
      </c>
      <c r="I30" s="2">
        <f>EVS!BW34</f>
        <v>23.75</v>
      </c>
      <c r="J30" s="2">
        <f>COAlab!BS34</f>
        <v>19.020833333333332</v>
      </c>
      <c r="K30" s="2">
        <f>OSlab!BS34</f>
        <v>18</v>
      </c>
      <c r="L30" s="2">
        <f>DAAlab!BS34</f>
        <v>16.3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>
      <c r="A31" s="9">
        <v>29</v>
      </c>
      <c r="B31" s="10">
        <f>OVERALL!B32</f>
        <v>2301281</v>
      </c>
      <c r="C31" s="10" t="str">
        <f>OVERALL!C32</f>
        <v>Taziko Trakha</v>
      </c>
      <c r="D31" s="2">
        <f>DM!BW35</f>
        <v>13</v>
      </c>
      <c r="E31" s="2">
        <f>COA!BW35</f>
        <v>22</v>
      </c>
      <c r="F31" s="2">
        <f>OS!BW35</f>
        <v>13.166666666666666</v>
      </c>
      <c r="G31" s="2">
        <f>DAA!BW35</f>
        <v>18.666666666666668</v>
      </c>
      <c r="H31" s="2">
        <f>'UHV2'!BW35</f>
        <v>24.333333333333332</v>
      </c>
      <c r="I31" s="2">
        <f>EVS!BW35</f>
        <v>25.833333333333332</v>
      </c>
      <c r="J31" s="2">
        <f>COAlab!BS35</f>
        <v>18.208333333333332</v>
      </c>
      <c r="K31" s="2">
        <f>OSlab!BS35</f>
        <v>17.5</v>
      </c>
      <c r="L31" s="2">
        <f>DAAlab!BS35</f>
        <v>16.2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9.5" customHeight="1">
      <c r="A32" s="9">
        <v>30</v>
      </c>
      <c r="B32" s="10">
        <f>OVERALL!B33</f>
        <v>2301283</v>
      </c>
      <c r="C32" s="10" t="str">
        <f>OVERALL!C33</f>
        <v>Vaibhav Shahi</v>
      </c>
      <c r="D32" s="2">
        <f>DM!BW36</f>
        <v>9.5</v>
      </c>
      <c r="E32" s="2">
        <f>COA!BW36</f>
        <v>14.166666666666668</v>
      </c>
      <c r="F32" s="2">
        <f>OS!BW36</f>
        <v>7.666666666666667</v>
      </c>
      <c r="G32" s="2">
        <f>DAA!BW36</f>
        <v>8.3333333333333339</v>
      </c>
      <c r="H32" s="2">
        <f>'UHV2'!BW36</f>
        <v>12.5</v>
      </c>
      <c r="I32" s="2">
        <f>EVS!BW36</f>
        <v>11.25</v>
      </c>
      <c r="J32" s="2">
        <f>COAlab!BS36</f>
        <v>16.6875</v>
      </c>
      <c r="K32" s="2">
        <f>OSlab!BS36</f>
        <v>17.666666666666668</v>
      </c>
      <c r="L32" s="2">
        <f>DAAlab!BS36</f>
        <v>16.8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9.5" customHeight="1">
      <c r="A33" s="9">
        <v>31</v>
      </c>
      <c r="B33" s="10">
        <f>OVERALL!B34</f>
        <v>2301285</v>
      </c>
      <c r="C33" s="10" t="str">
        <f>OVERALL!C34</f>
        <v>Vansh Sharma</v>
      </c>
      <c r="D33" s="2">
        <f>DM!BW37</f>
        <v>2.6666666666666665</v>
      </c>
      <c r="E33" s="2">
        <f>COA!BW37</f>
        <v>11</v>
      </c>
      <c r="F33" s="2">
        <f>OS!BW37</f>
        <v>10.5</v>
      </c>
      <c r="G33" s="2">
        <f>DAA!BW37</f>
        <v>2.6666666666666665</v>
      </c>
      <c r="H33" s="2">
        <f>'UHV2'!BW37</f>
        <v>2.6666666666666665</v>
      </c>
      <c r="I33" s="2">
        <f>EVS!BW37</f>
        <v>2.3333333333333335</v>
      </c>
      <c r="J33" s="2">
        <f>COAlab!BS37</f>
        <v>12.375</v>
      </c>
      <c r="K33" s="2">
        <f>OSlab!BS37</f>
        <v>17.666666666666668</v>
      </c>
      <c r="L33" s="2">
        <f>DAAlab!BS37</f>
        <v>16.899999999999999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9.5" customHeight="1">
      <c r="A34" s="9">
        <v>32</v>
      </c>
      <c r="B34" s="10">
        <f>OVERALL!B35</f>
        <v>2301286</v>
      </c>
      <c r="C34" s="10" t="str">
        <f>OVERALL!C35</f>
        <v>Vikramjit Singh</v>
      </c>
      <c r="D34" s="2">
        <f>DM!BW38</f>
        <v>0</v>
      </c>
      <c r="E34" s="2">
        <f>COA!BW38</f>
        <v>1</v>
      </c>
      <c r="F34" s="2">
        <f>OS!BW38</f>
        <v>8.6666666666666679</v>
      </c>
      <c r="G34" s="2">
        <f>DAA!BW38</f>
        <v>0</v>
      </c>
      <c r="H34" s="2">
        <f>'UHV2'!BW38</f>
        <v>0</v>
      </c>
      <c r="I34" s="2">
        <f>EVS!BW38</f>
        <v>2.75</v>
      </c>
      <c r="J34" s="2">
        <f>COAlab!BS38</f>
        <v>0.29166666666666669</v>
      </c>
      <c r="K34" s="2">
        <f>OSlab!BS38</f>
        <v>0</v>
      </c>
      <c r="L34" s="2">
        <f>DAAlab!BS38</f>
        <v>0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9.5" customHeight="1">
      <c r="A35" s="9">
        <v>33</v>
      </c>
      <c r="B35" s="10">
        <f>OVERALL!B36</f>
        <v>2339508</v>
      </c>
      <c r="C35" s="10" t="str">
        <f>OVERALL!C36</f>
        <v>TANISHA</v>
      </c>
      <c r="D35" s="2">
        <f>DM!BW39</f>
        <v>22</v>
      </c>
      <c r="E35" s="2">
        <f>COA!BW39</f>
        <v>31.5</v>
      </c>
      <c r="F35" s="2">
        <f>OS!BW39</f>
        <v>21</v>
      </c>
      <c r="G35" s="2">
        <f>DAA!BW39</f>
        <v>27.833333333333336</v>
      </c>
      <c r="H35" s="2">
        <f>'UHV2'!BW39</f>
        <v>30.5</v>
      </c>
      <c r="I35" s="2">
        <f>EVS!BW39</f>
        <v>32.166666666666671</v>
      </c>
      <c r="J35" s="2">
        <f>COAlab!BS39</f>
        <v>20.166666666666668</v>
      </c>
      <c r="K35" s="2">
        <f>OSlab!BS39</f>
        <v>19.166666666666664</v>
      </c>
      <c r="L35" s="2">
        <f>DAAlab!BS39</f>
        <v>19.600000000000001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9.5" customHeight="1">
      <c r="A36" s="9">
        <v>34</v>
      </c>
      <c r="B36" s="10">
        <f>OVERALL!B37</f>
        <v>2339509</v>
      </c>
      <c r="C36" s="10" t="str">
        <f>OVERALL!C37</f>
        <v>TOHIED AHMED</v>
      </c>
      <c r="D36" s="2">
        <f>DM!BW40</f>
        <v>0</v>
      </c>
      <c r="E36" s="2">
        <f>COA!BW40</f>
        <v>0</v>
      </c>
      <c r="F36" s="2">
        <f>OS!BW40</f>
        <v>2.3333333333333335</v>
      </c>
      <c r="G36" s="2">
        <f>DAA!BW40</f>
        <v>0</v>
      </c>
      <c r="H36" s="2">
        <f>'UHV2'!BW40</f>
        <v>0</v>
      </c>
      <c r="I36" s="2">
        <f>EVS!BW40</f>
        <v>0</v>
      </c>
      <c r="J36" s="2">
        <f>COAlab!BS40</f>
        <v>0</v>
      </c>
      <c r="K36" s="2">
        <f>OSlab!BS40</f>
        <v>0</v>
      </c>
      <c r="L36" s="2">
        <f>DAAlab!BS40</f>
        <v>0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9.5" customHeight="1">
      <c r="A37" s="9">
        <v>35</v>
      </c>
      <c r="B37" s="10" t="str">
        <f>OVERALL!B38</f>
        <v>Leet</v>
      </c>
      <c r="C37" s="10" t="str">
        <f>OVERALL!C38</f>
        <v>Gagan</v>
      </c>
      <c r="D37" s="2">
        <f>DM!BW41</f>
        <v>22.666666666666668</v>
      </c>
      <c r="E37" s="2">
        <f>COA!BW41</f>
        <v>36.166666666666664</v>
      </c>
      <c r="F37" s="2">
        <f>OS!BW41</f>
        <v>26.5</v>
      </c>
      <c r="G37" s="2">
        <f>DAA!BW41</f>
        <v>32.5</v>
      </c>
      <c r="H37" s="2">
        <f>'UHV2'!BW41</f>
        <v>27.5</v>
      </c>
      <c r="I37" s="2">
        <f>EVS!BW41</f>
        <v>36</v>
      </c>
      <c r="J37" s="2">
        <f>COAlab!BS41</f>
        <v>26.229166666666668</v>
      </c>
      <c r="K37" s="2">
        <f>OSlab!BS41</f>
        <v>23.5</v>
      </c>
      <c r="L37" s="2">
        <f>DAAlab!BS41</f>
        <v>23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9.5" customHeight="1">
      <c r="A38" s="9">
        <v>36</v>
      </c>
      <c r="B38" s="10" t="str">
        <f>OVERALL!B39</f>
        <v>Leet</v>
      </c>
      <c r="C38" s="10" t="str">
        <f>OVERALL!C39</f>
        <v>Manisha</v>
      </c>
      <c r="D38" s="2">
        <f>DM!BW42</f>
        <v>27.5</v>
      </c>
      <c r="E38" s="2">
        <f>COA!BW42</f>
        <v>35.666666666666664</v>
      </c>
      <c r="F38" s="2">
        <f>OS!BW42</f>
        <v>29.833333333333336</v>
      </c>
      <c r="G38" s="2">
        <f>DAA!BW42</f>
        <v>35.5</v>
      </c>
      <c r="H38" s="2">
        <f>'UHV2'!BW42</f>
        <v>33.166666666666664</v>
      </c>
      <c r="I38" s="2">
        <f>EVS!BW42</f>
        <v>35.5</v>
      </c>
      <c r="J38" s="2">
        <f>COAlab!BS42</f>
        <v>27</v>
      </c>
      <c r="K38" s="2">
        <f>OSlab!BS42</f>
        <v>23.166666666666664</v>
      </c>
      <c r="L38" s="2">
        <f>DAAlab!BS42</f>
        <v>27.2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9.5" customHeight="1">
      <c r="A39" s="9">
        <v>37</v>
      </c>
      <c r="B39" s="10" t="str">
        <f>OVERALL!B40</f>
        <v>Leet</v>
      </c>
      <c r="C39" s="10" t="str">
        <f>OVERALL!C40</f>
        <v>Richa</v>
      </c>
      <c r="D39" s="2">
        <f>DM!BW43</f>
        <v>27.5</v>
      </c>
      <c r="E39" s="2">
        <f>COA!BW43</f>
        <v>36</v>
      </c>
      <c r="F39" s="2">
        <f>OS!BW43</f>
        <v>32</v>
      </c>
      <c r="G39" s="2">
        <f>DAA!BW43</f>
        <v>34</v>
      </c>
      <c r="H39" s="2">
        <f>'UHV2'!BW43</f>
        <v>32</v>
      </c>
      <c r="I39" s="2">
        <f>EVS!BW43</f>
        <v>36.083333333333329</v>
      </c>
      <c r="J39" s="2">
        <f>COAlab!BS43</f>
        <v>26.875</v>
      </c>
      <c r="K39" s="2">
        <f>OSlab!BS43</f>
        <v>20.333333333333336</v>
      </c>
      <c r="L39" s="2">
        <f>DAAlab!BS43</f>
        <v>26.9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9.5" customHeight="1">
      <c r="A40" s="9">
        <v>38</v>
      </c>
      <c r="B40" s="10" t="str">
        <f>OVERALL!B41</f>
        <v>Leet</v>
      </c>
      <c r="C40" s="10" t="str">
        <f>OVERALL!C41</f>
        <v>Prakriti</v>
      </c>
      <c r="D40" s="2">
        <f>DM!BW44</f>
        <v>29.166666666666664</v>
      </c>
      <c r="E40" s="2">
        <f>COA!BW44</f>
        <v>36</v>
      </c>
      <c r="F40" s="2">
        <f>OS!BW44</f>
        <v>32.833333333333336</v>
      </c>
      <c r="G40" s="2">
        <f>DAA!BW44</f>
        <v>34.666666666666664</v>
      </c>
      <c r="H40" s="2">
        <f>'UHV2'!BW44</f>
        <v>33</v>
      </c>
      <c r="I40" s="2">
        <f>EVS!BW44</f>
        <v>37.25</v>
      </c>
      <c r="J40" s="2">
        <f>COAlab!BS44</f>
        <v>25.833333333333332</v>
      </c>
      <c r="K40" s="2">
        <f>OSlab!BS44</f>
        <v>22.833333333333332</v>
      </c>
      <c r="L40" s="2">
        <f>DAAlab!BS44</f>
        <v>25.8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9.5" customHeight="1">
      <c r="A41" s="9">
        <v>39</v>
      </c>
      <c r="B41" s="10" t="str">
        <f>OVERALL!B42</f>
        <v>leet</v>
      </c>
      <c r="C41" s="10" t="str">
        <f>OVERALL!C42</f>
        <v>Shubham</v>
      </c>
      <c r="D41" s="2">
        <f>DM!BW45</f>
        <v>25.166666666666668</v>
      </c>
      <c r="E41" s="2">
        <f>COA!BW45</f>
        <v>27.833333333333336</v>
      </c>
      <c r="F41" s="2">
        <f>OS!BW45</f>
        <v>28.833333333333336</v>
      </c>
      <c r="G41" s="2">
        <f>DAA!BW45</f>
        <v>24.166666666666664</v>
      </c>
      <c r="H41" s="2">
        <f>'UHV2'!BW45</f>
        <v>25.5</v>
      </c>
      <c r="I41" s="2">
        <f>EVS!BW45</f>
        <v>33.916666666666671</v>
      </c>
      <c r="J41" s="2">
        <f>COAlab!BS45</f>
        <v>19.5</v>
      </c>
      <c r="K41" s="2">
        <f>OSlab!BS45</f>
        <v>21.5</v>
      </c>
      <c r="L41" s="2">
        <f>DAAlab!BS45</f>
        <v>18.636363636363637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9.5" customHeight="1">
      <c r="A42" s="9">
        <v>40</v>
      </c>
      <c r="B42" s="10">
        <f>OVERALL!B43</f>
        <v>2301381</v>
      </c>
      <c r="C42" s="10" t="str">
        <f>OVERALL!C43</f>
        <v>ADITYA</v>
      </c>
      <c r="D42" s="2">
        <f>DM!BW46</f>
        <v>27.333333333333336</v>
      </c>
      <c r="E42" s="2">
        <f>COA!BW46</f>
        <v>36.333333333333336</v>
      </c>
      <c r="F42" s="2">
        <f>OS!BW46</f>
        <v>31.166666666666664</v>
      </c>
      <c r="G42" s="2">
        <f>DAA!BW46</f>
        <v>32.5</v>
      </c>
      <c r="H42" s="2">
        <f>'UHV2'!BW46</f>
        <v>31.166666666666664</v>
      </c>
      <c r="I42" s="2">
        <f>EVS!BW46</f>
        <v>34</v>
      </c>
      <c r="J42" s="2">
        <f>COAlab!BS46</f>
        <v>25.833333333333332</v>
      </c>
      <c r="K42" s="2">
        <f>OSlab!BS46</f>
        <v>24</v>
      </c>
      <c r="L42" s="2">
        <f>DAAlab!BS46</f>
        <v>26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9.5" customHeight="1">
      <c r="A43" s="9">
        <v>41</v>
      </c>
      <c r="B43" s="10">
        <f>OVERALL!B44</f>
        <v>2301382</v>
      </c>
      <c r="C43" s="10" t="str">
        <f>OVERALL!C44</f>
        <v>ANMOL</v>
      </c>
      <c r="D43" s="2">
        <f>DM!BW47</f>
        <v>19.833333333333336</v>
      </c>
      <c r="E43" s="2">
        <f>COA!BW47</f>
        <v>26.166666666666664</v>
      </c>
      <c r="F43" s="2">
        <f>OS!BW47</f>
        <v>24.333333333333336</v>
      </c>
      <c r="G43" s="2">
        <f>DAA!BW47</f>
        <v>24.166666666666664</v>
      </c>
      <c r="H43" s="2">
        <f>'UHV2'!BW47</f>
        <v>22.5</v>
      </c>
      <c r="I43" s="2">
        <f>EVS!BW47</f>
        <v>28.333333333333336</v>
      </c>
      <c r="J43" s="2">
        <f>COAlab!BS47</f>
        <v>19.979166666666664</v>
      </c>
      <c r="K43" s="2">
        <f>OSlab!BS47</f>
        <v>18.833333333333332</v>
      </c>
      <c r="L43" s="2">
        <f>DAAlab!BS47</f>
        <v>23.636363636363637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9.5" customHeight="1">
      <c r="A44" s="9">
        <v>42</v>
      </c>
      <c r="B44" s="10">
        <f>OVERALL!B45</f>
        <v>2301383</v>
      </c>
      <c r="C44" s="10" t="str">
        <f>OVERALL!C45</f>
        <v>AURSH SHARMA</v>
      </c>
      <c r="D44" s="2">
        <f>DM!BW48</f>
        <v>28.5</v>
      </c>
      <c r="E44" s="2">
        <f>COA!BW48</f>
        <v>35.833333333333336</v>
      </c>
      <c r="F44" s="2">
        <f>OS!BW48</f>
        <v>31.333333333333336</v>
      </c>
      <c r="G44" s="2">
        <f>DAA!BW48</f>
        <v>31.5</v>
      </c>
      <c r="H44" s="2">
        <f>'UHV2'!BW48</f>
        <v>27.166666666666668</v>
      </c>
      <c r="I44" s="2">
        <f>EVS!BW48</f>
        <v>30.666666666666668</v>
      </c>
      <c r="J44" s="2">
        <f>COAlab!BS48</f>
        <v>20.895833333333332</v>
      </c>
      <c r="K44" s="2">
        <f>OSlab!BS48</f>
        <v>18.166666666666664</v>
      </c>
      <c r="L44" s="2">
        <f>DAAlab!BS48</f>
        <v>21.81818181818182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9.5" customHeight="1">
      <c r="A45" s="9">
        <v>43</v>
      </c>
      <c r="B45" s="10">
        <f>OVERALL!B46</f>
        <v>2301384</v>
      </c>
      <c r="C45" s="10" t="str">
        <f>OVERALL!C46</f>
        <v>AVNEET SINGH</v>
      </c>
      <c r="D45" s="2">
        <f>DM!BW49</f>
        <v>19.166666666666668</v>
      </c>
      <c r="E45" s="2">
        <f>COA!BW49</f>
        <v>23</v>
      </c>
      <c r="F45" s="2">
        <f>OS!BW49</f>
        <v>21.666666666666664</v>
      </c>
      <c r="G45" s="2">
        <f>DAA!BW49</f>
        <v>19.333333333333336</v>
      </c>
      <c r="H45" s="2">
        <f>'UHV2'!BW49</f>
        <v>19</v>
      </c>
      <c r="I45" s="2">
        <f>EVS!BW49</f>
        <v>20.416666666666668</v>
      </c>
      <c r="J45" s="2">
        <f>COAlab!BS49</f>
        <v>17.541666666666664</v>
      </c>
      <c r="K45" s="2">
        <f>OSlab!BS49</f>
        <v>18.5</v>
      </c>
      <c r="L45" s="2">
        <f>DAAlab!BS49</f>
        <v>17.454545454545453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9.5" customHeight="1">
      <c r="A46" s="9">
        <v>44</v>
      </c>
      <c r="B46" s="10">
        <f>OVERALL!B47</f>
        <v>2301385</v>
      </c>
      <c r="C46" s="10" t="str">
        <f>OVERALL!C47</f>
        <v>BOBBY</v>
      </c>
      <c r="D46" s="2">
        <f>DM!BW50</f>
        <v>22.833333333333332</v>
      </c>
      <c r="E46" s="2">
        <f>COA!BW50</f>
        <v>31.833333333333336</v>
      </c>
      <c r="F46" s="2">
        <f>OS!BW50</f>
        <v>27.833333333333336</v>
      </c>
      <c r="G46" s="2">
        <f>DAA!BW50</f>
        <v>24.5</v>
      </c>
      <c r="H46" s="2">
        <f>'UHV2'!BW50</f>
        <v>31.166666666666664</v>
      </c>
      <c r="I46" s="2">
        <f>EVS!BW50</f>
        <v>30.083333333333332</v>
      </c>
      <c r="J46" s="2">
        <f>COAlab!BS50</f>
        <v>21.333333333333336</v>
      </c>
      <c r="K46" s="2">
        <f>OSlab!BS50</f>
        <v>19</v>
      </c>
      <c r="L46" s="2">
        <f>DAAlab!BS50</f>
        <v>20.454545454545453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9.5" customHeight="1">
      <c r="A47" s="9">
        <v>45</v>
      </c>
      <c r="B47" s="10">
        <f>OVERALL!B48</f>
        <v>2301386</v>
      </c>
      <c r="C47" s="10" t="str">
        <f>OVERALL!C48</f>
        <v>CHARANJIT SINGH</v>
      </c>
      <c r="D47" s="2">
        <f>DM!BW51</f>
        <v>15.833333333333332</v>
      </c>
      <c r="E47" s="2">
        <f>COA!BW51</f>
        <v>23.833333333333336</v>
      </c>
      <c r="F47" s="2">
        <f>OS!BW51</f>
        <v>22.166666666666664</v>
      </c>
      <c r="G47" s="2">
        <f>DAA!BW51</f>
        <v>19.666666666666668</v>
      </c>
      <c r="H47" s="2">
        <f>'UHV2'!BW51</f>
        <v>22.333333333333332</v>
      </c>
      <c r="I47" s="2">
        <f>EVS!BW51</f>
        <v>23.333333333333336</v>
      </c>
      <c r="J47" s="2">
        <f>COAlab!BS51</f>
        <v>17.833333333333336</v>
      </c>
      <c r="K47" s="2">
        <f>OSlab!BS51</f>
        <v>18.333333333333332</v>
      </c>
      <c r="L47" s="2">
        <f>DAAlab!BS51</f>
        <v>17.09090909090909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9.5" customHeight="1">
      <c r="A48" s="9">
        <v>46</v>
      </c>
      <c r="B48" s="10">
        <f>OVERALL!B49</f>
        <v>2301387</v>
      </c>
      <c r="C48" s="10" t="str">
        <f>OVERALL!C49</f>
        <v>INDERBIR SINGH</v>
      </c>
      <c r="D48" s="2">
        <f>DM!BW52</f>
        <v>11.166666666666668</v>
      </c>
      <c r="E48" s="2">
        <f>COA!BW52</f>
        <v>22.333333333333336</v>
      </c>
      <c r="F48" s="2">
        <f>OS!BW52</f>
        <v>20.833333333333336</v>
      </c>
      <c r="G48" s="2">
        <f>DAA!BW52</f>
        <v>16.166666666666664</v>
      </c>
      <c r="H48" s="2">
        <f>'UHV2'!BW52</f>
        <v>19.166666666666664</v>
      </c>
      <c r="I48" s="2">
        <f>EVS!BW52</f>
        <v>24.416666666666668</v>
      </c>
      <c r="J48" s="2">
        <f>COAlab!BS52</f>
        <v>16.875</v>
      </c>
      <c r="K48" s="2">
        <f>OSlab!BS52</f>
        <v>19</v>
      </c>
      <c r="L48" s="2">
        <f>DAAlab!BS52</f>
        <v>16.545454545454547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9.5" customHeight="1">
      <c r="A49" s="9">
        <v>47</v>
      </c>
      <c r="B49" s="10">
        <f>OVERALL!B50</f>
        <v>2301389</v>
      </c>
      <c r="C49" s="10" t="str">
        <f>OVERALL!C50</f>
        <v>JASMEEN</v>
      </c>
      <c r="D49" s="2">
        <f>DM!BW53</f>
        <v>20.833333333333332</v>
      </c>
      <c r="E49" s="2">
        <f>COA!BW53</f>
        <v>24.833333333333336</v>
      </c>
      <c r="F49" s="2">
        <f>OS!BW53</f>
        <v>17.833333333333336</v>
      </c>
      <c r="G49" s="2">
        <f>DAA!BW53</f>
        <v>26.166666666666664</v>
      </c>
      <c r="H49" s="2">
        <f>'UHV2'!BW53</f>
        <v>17.5</v>
      </c>
      <c r="I49" s="2">
        <f>EVS!BW53</f>
        <v>23.166666666666668</v>
      </c>
      <c r="J49" s="2">
        <f>COAlab!BS53</f>
        <v>19.8125</v>
      </c>
      <c r="K49" s="2">
        <f>OSlab!BS53</f>
        <v>18.666666666666668</v>
      </c>
      <c r="L49" s="2">
        <f>DAAlab!BS53</f>
        <v>20.454545454545453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9.5" customHeight="1">
      <c r="A50" s="9">
        <v>48</v>
      </c>
      <c r="B50" s="10">
        <f>OVERALL!B51</f>
        <v>2301390</v>
      </c>
      <c r="C50" s="10" t="str">
        <f>OVERALL!C51</f>
        <v>KUNDAN</v>
      </c>
      <c r="D50" s="2">
        <f>DM!BW54</f>
        <v>22.166666666666668</v>
      </c>
      <c r="E50" s="2">
        <f>COA!BW54</f>
        <v>34</v>
      </c>
      <c r="F50" s="2">
        <f>OS!BW54</f>
        <v>19.166666666666664</v>
      </c>
      <c r="G50" s="2">
        <f>DAA!BW54</f>
        <v>22</v>
      </c>
      <c r="H50" s="2">
        <f>'UHV2'!BW54</f>
        <v>19.5</v>
      </c>
      <c r="I50" s="2">
        <f>EVS!BW54</f>
        <v>33.166666666666671</v>
      </c>
      <c r="J50" s="2">
        <f>COAlab!BS54</f>
        <v>21.166666666666664</v>
      </c>
      <c r="K50" s="2">
        <f>OSlab!BS54</f>
        <v>22.333333333333332</v>
      </c>
      <c r="L50" s="2">
        <f>DAAlab!BS54</f>
        <v>17.81818181818182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9.5" customHeight="1">
      <c r="A51" s="9">
        <v>49</v>
      </c>
      <c r="B51" s="10">
        <f>OVERALL!B52</f>
        <v>2301391</v>
      </c>
      <c r="C51" s="10" t="str">
        <f>OVERALL!C52</f>
        <v>MANVEER SINGH</v>
      </c>
      <c r="D51" s="2">
        <f>DM!BW55</f>
        <v>22</v>
      </c>
      <c r="E51" s="2">
        <f>COA!BW55</f>
        <v>26</v>
      </c>
      <c r="F51" s="2">
        <f>OS!BW55</f>
        <v>19.833333333333336</v>
      </c>
      <c r="G51" s="2">
        <f>DAA!BW55</f>
        <v>22.833333333333336</v>
      </c>
      <c r="H51" s="2">
        <f>'UHV2'!BW55</f>
        <v>24</v>
      </c>
      <c r="I51" s="2">
        <f>EVS!BW55</f>
        <v>26.666666666666668</v>
      </c>
      <c r="J51" s="2">
        <f>COAlab!BS55</f>
        <v>24.958333333333332</v>
      </c>
      <c r="K51" s="2">
        <f>OSlab!BS55</f>
        <v>20</v>
      </c>
      <c r="L51" s="2">
        <f>DAAlab!BS55</f>
        <v>18.81818181818182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9.5" customHeight="1">
      <c r="A52" s="9">
        <v>50</v>
      </c>
      <c r="B52" s="10">
        <f>OVERALL!B53</f>
        <v>2301392</v>
      </c>
      <c r="C52" s="10" t="str">
        <f>OVERALL!C53</f>
        <v>MOHIT KUMAR</v>
      </c>
      <c r="D52" s="2">
        <f>DM!BW56</f>
        <v>8</v>
      </c>
      <c r="E52" s="2">
        <f>COA!BW56</f>
        <v>20</v>
      </c>
      <c r="F52" s="2">
        <f>OS!BW56</f>
        <v>14.333333333333334</v>
      </c>
      <c r="G52" s="2">
        <f>DAA!BW56</f>
        <v>22.833333333333336</v>
      </c>
      <c r="H52" s="2">
        <f>'UHV2'!BW56</f>
        <v>8.5</v>
      </c>
      <c r="I52" s="2">
        <f>EVS!BW56</f>
        <v>16.5</v>
      </c>
      <c r="J52" s="2">
        <f>COAlab!BS56</f>
        <v>16.791666666666664</v>
      </c>
      <c r="K52" s="2">
        <f>OSlab!BS56</f>
        <v>17.666666666666668</v>
      </c>
      <c r="L52" s="2">
        <f>DAAlab!BS56</f>
        <v>18.272727272727273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9.5" customHeight="1">
      <c r="A53" s="9">
        <v>51</v>
      </c>
      <c r="B53" s="10">
        <f>OVERALL!B54</f>
        <v>2301393</v>
      </c>
      <c r="C53" s="10" t="str">
        <f>OVERALL!C54</f>
        <v>NAVNEET</v>
      </c>
      <c r="D53" s="2">
        <f>DM!BW57</f>
        <v>5.5</v>
      </c>
      <c r="E53" s="2">
        <f>COA!BW57</f>
        <v>19.5</v>
      </c>
      <c r="F53" s="2">
        <f>OS!BW57</f>
        <v>11</v>
      </c>
      <c r="G53" s="2">
        <f>DAA!BW57</f>
        <v>16.833333333333332</v>
      </c>
      <c r="H53" s="2">
        <f>'UHV2'!BW57</f>
        <v>10</v>
      </c>
      <c r="I53" s="2">
        <f>EVS!BW57</f>
        <v>15.5</v>
      </c>
      <c r="J53" s="2">
        <f>COAlab!BS57</f>
        <v>16</v>
      </c>
      <c r="K53" s="2">
        <f>OSlab!BS57</f>
        <v>15.666666666666668</v>
      </c>
      <c r="L53" s="2">
        <f>DAAlab!BS57</f>
        <v>14.545454545454547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9.5" customHeight="1">
      <c r="A54" s="9">
        <v>52</v>
      </c>
      <c r="B54" s="10">
        <f>OVERALL!B55</f>
        <v>2301394</v>
      </c>
      <c r="C54" s="10" t="str">
        <f>OVERALL!C55</f>
        <v>NITIN VERMA</v>
      </c>
      <c r="D54" s="2">
        <f>DM!BW58</f>
        <v>32.5</v>
      </c>
      <c r="E54" s="2">
        <f>COA!BW58</f>
        <v>33.5</v>
      </c>
      <c r="F54" s="2">
        <f>OS!BW58</f>
        <v>24</v>
      </c>
      <c r="G54" s="2">
        <f>DAA!BW58</f>
        <v>36.333333333333336</v>
      </c>
      <c r="H54" s="2">
        <f>'UHV2'!BW58</f>
        <v>29.833333333333336</v>
      </c>
      <c r="I54" s="2">
        <f>EVS!BW58</f>
        <v>25.333333333333332</v>
      </c>
      <c r="J54" s="2">
        <f>COAlab!BS58</f>
        <v>22.145833333333332</v>
      </c>
      <c r="K54" s="2">
        <f>OSlab!BS58</f>
        <v>20.5</v>
      </c>
      <c r="L54" s="2">
        <f>DAAlab!BS58</f>
        <v>22.81818181818182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9.5" customHeight="1">
      <c r="A55" s="9">
        <v>53</v>
      </c>
      <c r="B55" s="10">
        <f>OVERALL!B56</f>
        <v>2301395</v>
      </c>
      <c r="C55" s="10" t="str">
        <f>OVERALL!C56</f>
        <v>POOJA</v>
      </c>
      <c r="D55" s="2">
        <f>DM!BW59</f>
        <v>21.166666666666668</v>
      </c>
      <c r="E55" s="2">
        <f>COA!BW59</f>
        <v>25.333333333333336</v>
      </c>
      <c r="F55" s="2">
        <f>OS!BW59</f>
        <v>13.833333333333334</v>
      </c>
      <c r="G55" s="2">
        <f>DAA!BW59</f>
        <v>17.5</v>
      </c>
      <c r="H55" s="2">
        <f>'UHV2'!BW59</f>
        <v>17.833333333333336</v>
      </c>
      <c r="I55" s="2">
        <f>EVS!BW59</f>
        <v>20.916666666666664</v>
      </c>
      <c r="J55" s="2">
        <f>COAlab!BS59</f>
        <v>19.666666666666668</v>
      </c>
      <c r="K55" s="2">
        <f>OSlab!BS59</f>
        <v>18.333333333333336</v>
      </c>
      <c r="L55" s="2">
        <f>DAAlab!BS59</f>
        <v>23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9.5" customHeight="1">
      <c r="A56" s="9">
        <v>54</v>
      </c>
      <c r="B56" s="10">
        <f>OVERALL!B57</f>
        <v>2301396</v>
      </c>
      <c r="C56" s="10" t="str">
        <f>OVERALL!C57</f>
        <v>PRIYA</v>
      </c>
      <c r="D56" s="2">
        <f>DM!BW60</f>
        <v>25.833333333333336</v>
      </c>
      <c r="E56" s="2">
        <f>COA!BW60</f>
        <v>35.833333333333336</v>
      </c>
      <c r="F56" s="2">
        <f>OS!BW60</f>
        <v>23</v>
      </c>
      <c r="G56" s="2">
        <f>DAA!BW60</f>
        <v>29.333333333333336</v>
      </c>
      <c r="H56" s="2">
        <f>'UHV2'!BW60</f>
        <v>23.5</v>
      </c>
      <c r="I56" s="2">
        <f>EVS!BW60</f>
        <v>26.916666666666668</v>
      </c>
      <c r="J56" s="2">
        <f>COAlab!BS60</f>
        <v>25.8125</v>
      </c>
      <c r="K56" s="2">
        <f>OSlab!BS60</f>
        <v>25</v>
      </c>
      <c r="L56" s="2">
        <f>DAAlab!BS60</f>
        <v>24.454545454545453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9.5" customHeight="1">
      <c r="A57" s="9">
        <v>55</v>
      </c>
      <c r="B57" s="10">
        <f>OVERALL!B58</f>
        <v>2301397</v>
      </c>
      <c r="C57" s="10" t="str">
        <f>OVERALL!C58</f>
        <v>SAHIL</v>
      </c>
      <c r="D57" s="2">
        <f>DM!BW61</f>
        <v>13</v>
      </c>
      <c r="E57" s="2">
        <f>COA!BW61</f>
        <v>21.666666666666664</v>
      </c>
      <c r="F57" s="2">
        <f>OS!BW61</f>
        <v>13.333333333333334</v>
      </c>
      <c r="G57" s="2">
        <f>DAA!BW61</f>
        <v>15.833333333333334</v>
      </c>
      <c r="H57" s="2">
        <f>'UHV2'!BW61</f>
        <v>16</v>
      </c>
      <c r="I57" s="2">
        <f>EVS!BW61</f>
        <v>15.5</v>
      </c>
      <c r="J57" s="2">
        <f>COAlab!BS61</f>
        <v>21.958333333333332</v>
      </c>
      <c r="K57" s="2">
        <f>OSlab!BS61</f>
        <v>16.833333333333332</v>
      </c>
      <c r="L57" s="2">
        <f>DAAlab!BS61</f>
        <v>18.272727272727273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9.5" customHeight="1">
      <c r="A58" s="9">
        <v>56</v>
      </c>
      <c r="B58" s="10">
        <f>OVERALL!B59</f>
        <v>2301398</v>
      </c>
      <c r="C58" s="10" t="str">
        <f>OVERALL!C59</f>
        <v>SANJANA</v>
      </c>
      <c r="D58" s="2">
        <f>DM!BW62</f>
        <v>20.666666666666664</v>
      </c>
      <c r="E58" s="2">
        <f>COA!BW62</f>
        <v>27.833333333333336</v>
      </c>
      <c r="F58" s="2">
        <f>OS!BW62</f>
        <v>14.666666666666666</v>
      </c>
      <c r="G58" s="2">
        <f>DAA!BW62</f>
        <v>29.5</v>
      </c>
      <c r="H58" s="2">
        <f>'UHV2'!BW62</f>
        <v>23.833333333333332</v>
      </c>
      <c r="I58" s="2">
        <f>EVS!BW62</f>
        <v>27.416666666666664</v>
      </c>
      <c r="J58" s="2">
        <f>COAlab!BS62</f>
        <v>21.645833333333336</v>
      </c>
      <c r="K58" s="2">
        <f>OSlab!BS62</f>
        <v>23.166666666666664</v>
      </c>
      <c r="L58" s="2">
        <f>DAAlab!BS62</f>
        <v>24.272727272727273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9.5" customHeight="1">
      <c r="A59" s="9">
        <v>57</v>
      </c>
      <c r="B59" s="10">
        <f>OVERALL!B60</f>
        <v>2301399</v>
      </c>
      <c r="C59" s="10" t="str">
        <f>OVERALL!C60</f>
        <v>SANJAY</v>
      </c>
      <c r="D59" s="2">
        <f>DM!BW63</f>
        <v>5</v>
      </c>
      <c r="E59" s="2">
        <f>COA!BW63</f>
        <v>18.333333333333332</v>
      </c>
      <c r="F59" s="2">
        <f>OS!BW63</f>
        <v>13.833333333333334</v>
      </c>
      <c r="G59" s="2">
        <f>DAA!BW63</f>
        <v>15.5</v>
      </c>
      <c r="H59" s="2">
        <f>'UHV2'!BW63</f>
        <v>7</v>
      </c>
      <c r="I59" s="2">
        <f>EVS!BW63</f>
        <v>16.5</v>
      </c>
      <c r="J59" s="2">
        <f>COAlab!BS63</f>
        <v>16.333333333333336</v>
      </c>
      <c r="K59" s="2">
        <f>OSlab!BS63</f>
        <v>16.666666666666668</v>
      </c>
      <c r="L59" s="2">
        <f>DAAlab!BS63</f>
        <v>20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9.5" customHeight="1">
      <c r="A60" s="9">
        <v>58</v>
      </c>
      <c r="B60" s="10">
        <f>OVERALL!B61</f>
        <v>2301401</v>
      </c>
      <c r="C60" s="10" t="str">
        <f>OVERALL!C61</f>
        <v>SMILE JASSAL</v>
      </c>
      <c r="D60" s="2">
        <f>DM!BW64</f>
        <v>19.666666666666664</v>
      </c>
      <c r="E60" s="2">
        <f>COA!BW64</f>
        <v>29.5</v>
      </c>
      <c r="F60" s="2">
        <f>OS!BW64</f>
        <v>22.833333333333336</v>
      </c>
      <c r="G60" s="2">
        <f>DAA!BW64</f>
        <v>27.333333333333336</v>
      </c>
      <c r="H60" s="2">
        <f>'UHV2'!BW64</f>
        <v>25.5</v>
      </c>
      <c r="I60" s="2">
        <f>EVS!BW64</f>
        <v>28.5</v>
      </c>
      <c r="J60" s="2">
        <f>COAlab!BS64</f>
        <v>26.166666666666664</v>
      </c>
      <c r="K60" s="2">
        <f>OSlab!BS64</f>
        <v>20</v>
      </c>
      <c r="L60" s="2">
        <f>DAAlab!BS64</f>
        <v>22.81818181818182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9.5" customHeight="1">
      <c r="A61" s="9">
        <v>59</v>
      </c>
      <c r="B61" s="10">
        <f>OVERALL!B62</f>
        <v>2301402</v>
      </c>
      <c r="C61" s="10" t="str">
        <f>OVERALL!C62</f>
        <v>SUMIT BHARAJ</v>
      </c>
      <c r="D61" s="2">
        <f>DM!BW65</f>
        <v>22.5</v>
      </c>
      <c r="E61" s="2">
        <f>COA!BW65</f>
        <v>33</v>
      </c>
      <c r="F61" s="2">
        <f>OS!BW65</f>
        <v>21</v>
      </c>
      <c r="G61" s="2">
        <f>DAA!BW65</f>
        <v>26.666666666666664</v>
      </c>
      <c r="H61" s="2">
        <f>'UHV2'!BW65</f>
        <v>22.333333333333336</v>
      </c>
      <c r="I61" s="2">
        <f>EVS!BW65</f>
        <v>35.916666666666671</v>
      </c>
      <c r="J61" s="2">
        <f>COAlab!BS65</f>
        <v>21.916666666666664</v>
      </c>
      <c r="K61" s="2">
        <f>OSlab!BS65</f>
        <v>25.166666666666664</v>
      </c>
      <c r="L61" s="2">
        <f>DAAlab!BS65</f>
        <v>21.545454545454547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9.5" customHeight="1">
      <c r="A62" s="9">
        <v>60</v>
      </c>
      <c r="B62" s="10">
        <f>OVERALL!B63</f>
        <v>2301403</v>
      </c>
      <c r="C62" s="10" t="str">
        <f>OVERALL!C63</f>
        <v>SUNAKSHI</v>
      </c>
      <c r="D62" s="2">
        <f>DM!BW66</f>
        <v>27.666666666666664</v>
      </c>
      <c r="E62" s="2">
        <f>COA!BW66</f>
        <v>33.166666666666664</v>
      </c>
      <c r="F62" s="2">
        <f>OS!BW66</f>
        <v>24.833333333333336</v>
      </c>
      <c r="G62" s="2">
        <f>DAA!BW66</f>
        <v>30.833333333333336</v>
      </c>
      <c r="H62" s="2">
        <f>'UHV2'!BW66</f>
        <v>29.166666666666668</v>
      </c>
      <c r="I62" s="2">
        <f>EVS!BW66</f>
        <v>25.5</v>
      </c>
      <c r="J62" s="2">
        <f>COAlab!BS66</f>
        <v>26.604166666666664</v>
      </c>
      <c r="K62" s="2">
        <f>OSlab!BS66</f>
        <v>26</v>
      </c>
      <c r="L62" s="2">
        <f>DAAlab!BS66</f>
        <v>27.18181818181818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9.5" customHeight="1">
      <c r="A63" s="9">
        <v>61</v>
      </c>
      <c r="B63" s="10">
        <f>OVERALL!B64</f>
        <v>2301404</v>
      </c>
      <c r="C63" s="10" t="str">
        <f>OVERALL!C64</f>
        <v>VANSH</v>
      </c>
      <c r="D63" s="2">
        <f>DM!BW67</f>
        <v>17.333333333333332</v>
      </c>
      <c r="E63" s="2">
        <f>COA!BW67</f>
        <v>21.666666666666664</v>
      </c>
      <c r="F63" s="2">
        <f>OS!BW67</f>
        <v>20.166666666666664</v>
      </c>
      <c r="G63" s="2">
        <f>DAA!BW67</f>
        <v>18.5</v>
      </c>
      <c r="H63" s="2">
        <f>'UHV2'!BW67</f>
        <v>20.166666666666668</v>
      </c>
      <c r="I63" s="2">
        <f>EVS!BW67</f>
        <v>25</v>
      </c>
      <c r="J63" s="2">
        <f>COAlab!BS67</f>
        <v>21.833333333333336</v>
      </c>
      <c r="K63" s="2">
        <f>OSlab!BS67</f>
        <v>19.166666666666664</v>
      </c>
      <c r="L63" s="2">
        <f>DAAlab!BS67</f>
        <v>15.636363636363637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9.5" customHeight="1">
      <c r="A64" s="9">
        <v>62</v>
      </c>
      <c r="B64" s="10">
        <f>OVERALL!B65</f>
        <v>2301405</v>
      </c>
      <c r="C64" s="10" t="str">
        <f>OVERALL!C65</f>
        <v>VARINDER BHATOY</v>
      </c>
      <c r="D64" s="2">
        <f>DM!BW68</f>
        <v>4.666666666666667</v>
      </c>
      <c r="E64" s="2">
        <f>COA!BW68</f>
        <v>17</v>
      </c>
      <c r="F64" s="2">
        <f>OS!BW68</f>
        <v>15</v>
      </c>
      <c r="G64" s="2">
        <f>DAA!BW68</f>
        <v>15.5</v>
      </c>
      <c r="H64" s="2">
        <f>'UHV2'!BW68</f>
        <v>3.3333333333333335</v>
      </c>
      <c r="I64" s="2">
        <f>EVS!BW68</f>
        <v>12.5</v>
      </c>
      <c r="J64" s="2">
        <f>COAlab!BS68</f>
        <v>17</v>
      </c>
      <c r="K64" s="2">
        <f>OSlab!BS68</f>
        <v>16</v>
      </c>
      <c r="L64" s="2">
        <f>DAAlab!BS68</f>
        <v>15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9.5" customHeight="1">
      <c r="A65" s="9">
        <v>63</v>
      </c>
      <c r="B65" s="10">
        <f>OVERALL!B66</f>
        <v>2301407</v>
      </c>
      <c r="C65" s="10" t="str">
        <f>OVERALL!C66</f>
        <v>YASHODHA</v>
      </c>
      <c r="D65" s="2">
        <f>DM!BW69</f>
        <v>12.833333333333334</v>
      </c>
      <c r="E65" s="2">
        <f>COA!BW69</f>
        <v>21.333333333333336</v>
      </c>
      <c r="F65" s="2">
        <f>OS!BW69</f>
        <v>16.333333333333336</v>
      </c>
      <c r="G65" s="2">
        <f>DAA!BW69</f>
        <v>22.5</v>
      </c>
      <c r="H65" s="2">
        <f>'UHV2'!BW69</f>
        <v>21.166666666666668</v>
      </c>
      <c r="I65" s="2">
        <f>EVS!BW69</f>
        <v>24.333333333333332</v>
      </c>
      <c r="J65" s="2">
        <f>COAlab!BS69</f>
        <v>19.5</v>
      </c>
      <c r="K65" s="2">
        <f>OSlab!BS69</f>
        <v>18.833333333333332</v>
      </c>
      <c r="L65" s="2">
        <f>DAAlab!BS69</f>
        <v>25.272727272727273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9.5" customHeight="1">
      <c r="A66" s="9">
        <v>64</v>
      </c>
      <c r="B66" s="10">
        <f>OVERALL!B67</f>
        <v>2301408</v>
      </c>
      <c r="C66" s="10" t="str">
        <f>OVERALL!C67</f>
        <v>YOGESH SINGH</v>
      </c>
      <c r="D66" s="2">
        <f>DM!BW70</f>
        <v>12.333333333333332</v>
      </c>
      <c r="E66" s="2">
        <f>COA!BW70</f>
        <v>19.166666666666664</v>
      </c>
      <c r="F66" s="2">
        <f>OS!BW70</f>
        <v>15.666666666666668</v>
      </c>
      <c r="G66" s="2">
        <f>DAA!BW70</f>
        <v>18.333333333333336</v>
      </c>
      <c r="H66" s="2">
        <f>'UHV2'!BW70</f>
        <v>19.833333333333332</v>
      </c>
      <c r="I66" s="2">
        <f>EVS!BW70</f>
        <v>16.916666666666668</v>
      </c>
      <c r="J66" s="2">
        <f>COAlab!BS70</f>
        <v>15</v>
      </c>
      <c r="K66" s="2">
        <f>OSlab!BS70</f>
        <v>8</v>
      </c>
      <c r="L66" s="2">
        <f>DAAlab!BS70</f>
        <v>10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9.5" hidden="1" customHeight="1">
      <c r="A67" s="11">
        <v>65</v>
      </c>
      <c r="B67" s="12">
        <f>OVERALL!B68</f>
        <v>2322658</v>
      </c>
      <c r="C67" s="12" t="str">
        <f>OVERALL!C68</f>
        <v>BHAWANI THAKUR</v>
      </c>
      <c r="D67" s="13">
        <f>DM!BW71</f>
        <v>25.333333333333332</v>
      </c>
      <c r="E67" s="13">
        <f>COA!BW71</f>
        <v>33.833333333333336</v>
      </c>
      <c r="F67" s="13">
        <f>OS!BW71</f>
        <v>24</v>
      </c>
      <c r="G67" s="13">
        <f>DAA!BW71</f>
        <v>35</v>
      </c>
      <c r="H67" s="13">
        <f>'UHV2'!BW71</f>
        <v>29.666666666666664</v>
      </c>
      <c r="I67" s="13">
        <f>EVS!BW71</f>
        <v>33.166666666666671</v>
      </c>
      <c r="J67" s="13">
        <f>COAlab!BS71</f>
        <v>26.5625</v>
      </c>
      <c r="K67" s="13">
        <f>OSlab!BS71</f>
        <v>26.833333333333332</v>
      </c>
      <c r="L67" s="13">
        <f>DAAlab!BS71</f>
        <v>25.90909090909091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9.5" hidden="1" customHeight="1">
      <c r="A68" s="11">
        <v>66</v>
      </c>
      <c r="B68" s="12">
        <f>OVERALL!B69</f>
        <v>2322659</v>
      </c>
      <c r="C68" s="12" t="str">
        <f>OVERALL!C69</f>
        <v>HARGUN KAUR</v>
      </c>
      <c r="D68" s="13">
        <f>DM!BW72</f>
        <v>36.333333333333336</v>
      </c>
      <c r="E68" s="13">
        <f>COA!BW72</f>
        <v>35.666666666666664</v>
      </c>
      <c r="F68" s="13">
        <f>OS!BW72</f>
        <v>31.5</v>
      </c>
      <c r="G68" s="13">
        <f>DAA!BW72</f>
        <v>36</v>
      </c>
      <c r="H68" s="13">
        <f>'UHV2'!BW72</f>
        <v>35.5</v>
      </c>
      <c r="I68" s="13">
        <f>EVS!BW72</f>
        <v>36.416666666666664</v>
      </c>
      <c r="J68" s="13">
        <f>COAlab!BS72</f>
        <v>27.083333333333332</v>
      </c>
      <c r="K68" s="13">
        <f>OSlab!BS72</f>
        <v>26.5</v>
      </c>
      <c r="L68" s="13">
        <f>DAAlab!BS72</f>
        <v>26.90909090909091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9.5" hidden="1" customHeight="1">
      <c r="A69" s="11">
        <v>67</v>
      </c>
      <c r="B69" s="12">
        <f>OVERALL!B70</f>
        <v>2322665</v>
      </c>
      <c r="C69" s="12" t="str">
        <f>OVERALL!C70</f>
        <v>PAWAN KUMAR</v>
      </c>
      <c r="D69" s="13">
        <f>DM!BW73</f>
        <v>22.833333333333332</v>
      </c>
      <c r="E69" s="13">
        <f>COA!BW73</f>
        <v>19</v>
      </c>
      <c r="F69" s="13">
        <f>OS!BW73</f>
        <v>20.5</v>
      </c>
      <c r="G69" s="13">
        <f>DAA!BW73</f>
        <v>23.166666666666664</v>
      </c>
      <c r="H69" s="13">
        <f>'UHV2'!BW73</f>
        <v>28</v>
      </c>
      <c r="I69" s="13">
        <f>EVS!BW73</f>
        <v>28.75</v>
      </c>
      <c r="J69" s="13">
        <f>COAlab!BS73</f>
        <v>16.083333333333336</v>
      </c>
      <c r="K69" s="13">
        <f>OSlab!BS73</f>
        <v>19.333333333333332</v>
      </c>
      <c r="L69" s="13">
        <f>DAAlab!BS73</f>
        <v>22.90909090909091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9.5" hidden="1" customHeight="1">
      <c r="A70" s="11">
        <v>68</v>
      </c>
      <c r="B70" s="12">
        <f>OVERALL!B71</f>
        <v>2322666</v>
      </c>
      <c r="C70" s="12" t="str">
        <f>OVERALL!C71</f>
        <v>PRINCE ABHISHEK</v>
      </c>
      <c r="D70" s="13">
        <f>DM!BW74</f>
        <v>22</v>
      </c>
      <c r="E70" s="13">
        <f>COA!BW74</f>
        <v>34.166666666666664</v>
      </c>
      <c r="F70" s="13">
        <f>OS!BW74</f>
        <v>27.5</v>
      </c>
      <c r="G70" s="13">
        <f>DAA!BW74</f>
        <v>24</v>
      </c>
      <c r="H70" s="13">
        <f>'UHV2'!BW74</f>
        <v>27.166666666666668</v>
      </c>
      <c r="I70" s="13">
        <f>EVS!BW74</f>
        <v>32.833333333333329</v>
      </c>
      <c r="J70" s="13">
        <f>COAlab!BS74</f>
        <v>23.145833333333332</v>
      </c>
      <c r="K70" s="13">
        <f>OSlab!BS74</f>
        <v>19.333333333333332</v>
      </c>
      <c r="L70" s="13">
        <f>DAAlab!BS74</f>
        <v>20.363636363636363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9.5" hidden="1" customHeight="1">
      <c r="A71" s="11">
        <v>69</v>
      </c>
      <c r="B71" s="12">
        <f>OVERALL!B72</f>
        <v>2322670</v>
      </c>
      <c r="C71" s="12" t="str">
        <f>OVERALL!C72</f>
        <v>SUMIT MAHEY</v>
      </c>
      <c r="D71" s="13">
        <f>DM!BW75</f>
        <v>15.5</v>
      </c>
      <c r="E71" s="13">
        <f>COA!BW75</f>
        <v>24.666666666666664</v>
      </c>
      <c r="F71" s="13">
        <f>OS!BW75</f>
        <v>21.833333333333336</v>
      </c>
      <c r="G71" s="13">
        <f>DAA!BW75</f>
        <v>21</v>
      </c>
      <c r="H71" s="13">
        <f>'UHV2'!BW75</f>
        <v>23.833333333333332</v>
      </c>
      <c r="I71" s="13">
        <f>EVS!BW75</f>
        <v>26</v>
      </c>
      <c r="J71" s="13">
        <f>COAlab!BS75</f>
        <v>14.75</v>
      </c>
      <c r="K71" s="13">
        <f>OSlab!BS75</f>
        <v>18.833333333333332</v>
      </c>
      <c r="L71" s="13">
        <f>DAAlab!BS75</f>
        <v>17.454545454545453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9.5" hidden="1" customHeight="1">
      <c r="A72" s="11">
        <v>70</v>
      </c>
      <c r="B72" s="12">
        <f>OVERALL!B73</f>
        <v>2322673</v>
      </c>
      <c r="C72" s="12" t="str">
        <f>OVERALL!C73</f>
        <v>USMAN ALI</v>
      </c>
      <c r="D72" s="13">
        <f>DM!BW76</f>
        <v>17.5</v>
      </c>
      <c r="E72" s="13">
        <f>COA!BW76</f>
        <v>18.5</v>
      </c>
      <c r="F72" s="13">
        <f>OS!BW76</f>
        <v>18.166666666666668</v>
      </c>
      <c r="G72" s="13">
        <f>DAA!BW76</f>
        <v>15.5</v>
      </c>
      <c r="H72" s="13">
        <f>'UHV2'!BW76</f>
        <v>13.166666666666666</v>
      </c>
      <c r="I72" s="13">
        <f>EVS!BW76</f>
        <v>24.5</v>
      </c>
      <c r="J72" s="13">
        <f>COAlab!BS76</f>
        <v>16.645833333333336</v>
      </c>
      <c r="K72" s="13">
        <f>OSlab!BS76</f>
        <v>18</v>
      </c>
      <c r="L72" s="13">
        <f>DAAlab!BS76</f>
        <v>17.545454545454547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9.5" customHeight="1">
      <c r="A73" s="94" t="s">
        <v>90</v>
      </c>
      <c r="B73" s="88"/>
      <c r="C73" s="89"/>
      <c r="D73" s="14">
        <f t="shared" ref="D73:L73" si="0">MAX(D3:D72)</f>
        <v>36.333333333333336</v>
      </c>
      <c r="E73" s="14">
        <f t="shared" si="0"/>
        <v>36.333333333333336</v>
      </c>
      <c r="F73" s="14">
        <f t="shared" si="0"/>
        <v>32.833333333333336</v>
      </c>
      <c r="G73" s="14">
        <f t="shared" si="0"/>
        <v>36.333333333333336</v>
      </c>
      <c r="H73" s="14">
        <f t="shared" si="0"/>
        <v>35.5</v>
      </c>
      <c r="I73" s="14">
        <f t="shared" si="0"/>
        <v>37.25</v>
      </c>
      <c r="J73" s="14">
        <f t="shared" si="0"/>
        <v>27.083333333333332</v>
      </c>
      <c r="K73" s="14">
        <f t="shared" si="0"/>
        <v>26.833333333333332</v>
      </c>
      <c r="L73" s="14">
        <f t="shared" si="0"/>
        <v>27.2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9.5" customHeight="1">
      <c r="A74" s="94" t="s">
        <v>91</v>
      </c>
      <c r="B74" s="88"/>
      <c r="C74" s="89"/>
      <c r="D74" s="14">
        <f t="shared" ref="D74:L74" si="1">MIN(D3:D72)</f>
        <v>0</v>
      </c>
      <c r="E74" s="14">
        <f t="shared" si="1"/>
        <v>0</v>
      </c>
      <c r="F74" s="14">
        <f t="shared" si="1"/>
        <v>0</v>
      </c>
      <c r="G74" s="14">
        <f t="shared" si="1"/>
        <v>0</v>
      </c>
      <c r="H74" s="14">
        <f t="shared" si="1"/>
        <v>0</v>
      </c>
      <c r="I74" s="14">
        <f t="shared" si="1"/>
        <v>0</v>
      </c>
      <c r="J74" s="14">
        <f t="shared" si="1"/>
        <v>0</v>
      </c>
      <c r="K74" s="14">
        <f t="shared" si="1"/>
        <v>0</v>
      </c>
      <c r="L74" s="14">
        <f t="shared" si="1"/>
        <v>0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9.5" customHeight="1">
      <c r="A75" s="94" t="s">
        <v>92</v>
      </c>
      <c r="B75" s="88"/>
      <c r="C75" s="89"/>
      <c r="D75" s="14">
        <f t="shared" ref="D75:L75" si="2">AVERAGE(D3:D72)</f>
        <v>19.140476190476186</v>
      </c>
      <c r="E75" s="14">
        <f t="shared" si="2"/>
        <v>25.507142857142853</v>
      </c>
      <c r="F75" s="14">
        <f t="shared" si="2"/>
        <v>20.195238095238096</v>
      </c>
      <c r="G75" s="14">
        <f t="shared" si="2"/>
        <v>22.683333333333323</v>
      </c>
      <c r="H75" s="14">
        <f t="shared" si="2"/>
        <v>20.773809523809522</v>
      </c>
      <c r="I75" s="14">
        <f t="shared" si="2"/>
        <v>24.94880952380953</v>
      </c>
      <c r="J75" s="14">
        <f t="shared" si="2"/>
        <v>19.577678571428567</v>
      </c>
      <c r="K75" s="14">
        <f t="shared" si="2"/>
        <v>18.764285714285712</v>
      </c>
      <c r="L75" s="14">
        <f t="shared" si="2"/>
        <v>19.470606060606066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75" customHeight="1">
      <c r="A76" s="95" t="s">
        <v>93</v>
      </c>
      <c r="B76" s="88"/>
      <c r="C76" s="89"/>
      <c r="D76" s="15" t="s">
        <v>94</v>
      </c>
      <c r="E76" s="15" t="str">
        <f>COA!A4</f>
        <v>Mr. Sukhdayal Dhanday</v>
      </c>
      <c r="F76" s="15" t="str">
        <f>OS!A4</f>
        <v>Dr. Sandeep Ranjan</v>
      </c>
      <c r="G76" s="15" t="str">
        <f>DAA!A4</f>
        <v>Ms. Monika Gharu</v>
      </c>
      <c r="H76" s="15" t="str">
        <f>'UHV2'!A4</f>
        <v>Ms. Simranjit</v>
      </c>
      <c r="I76" s="15" t="str">
        <f>EVS!A4</f>
        <v>Ms. Simranjit Kaur</v>
      </c>
      <c r="J76" s="15" t="str">
        <f>COAlab!A4</f>
        <v>Mr. Sukhdayal Dhanday</v>
      </c>
      <c r="K76" s="15" t="str">
        <f>OSlab!A4</f>
        <v>Ms. Shaveta, Ms. Ranjana</v>
      </c>
      <c r="L76" s="15" t="str">
        <f>DAA!A4</f>
        <v>Ms. Monika Gharu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9.5" customHeight="1">
      <c r="A77" s="19"/>
      <c r="B77" s="18"/>
      <c r="C77" s="18"/>
      <c r="D77" s="19"/>
      <c r="E77" s="19"/>
      <c r="F77" s="19"/>
      <c r="G77" s="19"/>
      <c r="H77" s="19"/>
      <c r="I77" s="19"/>
      <c r="J77" s="19"/>
      <c r="K77" s="19"/>
      <c r="L77" s="19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9.5" customHeight="1">
      <c r="A78" s="19"/>
      <c r="B78" s="18"/>
      <c r="C78" s="18"/>
      <c r="D78" s="19"/>
      <c r="E78" s="19"/>
      <c r="F78" s="19"/>
      <c r="G78" s="19"/>
      <c r="H78" s="19"/>
      <c r="I78" s="19"/>
      <c r="J78" s="19"/>
      <c r="K78" s="19"/>
      <c r="L78" s="19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9.5" customHeight="1">
      <c r="A79" s="19"/>
      <c r="B79" s="18"/>
      <c r="C79" s="18"/>
      <c r="D79" s="19"/>
      <c r="E79" s="19"/>
      <c r="F79" s="19"/>
      <c r="G79" s="19"/>
      <c r="H79" s="19"/>
      <c r="I79" s="19"/>
      <c r="J79" s="19"/>
      <c r="K79" s="19"/>
      <c r="L79" s="19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9.5" customHeight="1">
      <c r="A80" s="19"/>
      <c r="B80" s="18"/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9.5" customHeight="1">
      <c r="A81" s="19"/>
      <c r="B81" s="18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9.5" customHeight="1">
      <c r="A82" s="19"/>
      <c r="B82" s="18"/>
      <c r="C82" s="18"/>
      <c r="D82" s="19"/>
      <c r="E82" s="19"/>
      <c r="F82" s="19"/>
      <c r="G82" s="19"/>
      <c r="H82" s="19"/>
      <c r="I82" s="19"/>
      <c r="J82" s="19"/>
      <c r="K82" s="19"/>
      <c r="L82" s="19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9.5" customHeight="1">
      <c r="A83" s="19"/>
      <c r="B83" s="18"/>
      <c r="C83" s="18"/>
      <c r="D83" s="19"/>
      <c r="E83" s="19"/>
      <c r="F83" s="19"/>
      <c r="G83" s="19"/>
      <c r="H83" s="19"/>
      <c r="I83" s="19"/>
      <c r="J83" s="19"/>
      <c r="K83" s="19"/>
      <c r="L83" s="19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>
      <c r="A84" s="20"/>
      <c r="D84" s="19"/>
      <c r="E84" s="19"/>
      <c r="F84" s="19"/>
      <c r="G84" s="19"/>
      <c r="H84" s="19"/>
      <c r="I84" s="19"/>
      <c r="J84" s="19"/>
      <c r="K84" s="19"/>
      <c r="L84" s="19"/>
    </row>
    <row r="85" spans="1:26" ht="14.25" customHeight="1">
      <c r="A85" s="20"/>
      <c r="D85" s="19"/>
      <c r="E85" s="19"/>
      <c r="F85" s="19"/>
      <c r="G85" s="19"/>
      <c r="H85" s="19"/>
      <c r="I85" s="19"/>
      <c r="J85" s="19"/>
      <c r="K85" s="19"/>
      <c r="L85" s="19"/>
    </row>
    <row r="86" spans="1:26" ht="14.25" customHeight="1">
      <c r="A86" s="20"/>
      <c r="D86" s="19"/>
      <c r="E86" s="19"/>
      <c r="F86" s="19"/>
      <c r="G86" s="19"/>
      <c r="H86" s="19"/>
      <c r="I86" s="19"/>
      <c r="J86" s="19"/>
      <c r="K86" s="19"/>
      <c r="L86" s="19"/>
    </row>
    <row r="87" spans="1:26" ht="14.25" customHeight="1">
      <c r="A87" s="20"/>
      <c r="D87" s="19"/>
      <c r="E87" s="19"/>
      <c r="F87" s="19"/>
      <c r="G87" s="19"/>
      <c r="H87" s="19"/>
      <c r="I87" s="19"/>
      <c r="J87" s="19"/>
      <c r="K87" s="19"/>
      <c r="L87" s="19"/>
    </row>
    <row r="88" spans="1:26" ht="14.25" customHeight="1">
      <c r="A88" s="20"/>
      <c r="D88" s="19"/>
      <c r="E88" s="19"/>
      <c r="F88" s="19"/>
      <c r="G88" s="19"/>
      <c r="H88" s="19"/>
      <c r="I88" s="19"/>
      <c r="J88" s="19"/>
      <c r="K88" s="19"/>
      <c r="L88" s="19"/>
    </row>
    <row r="89" spans="1:26" ht="14.25" customHeight="1">
      <c r="A89" s="20"/>
      <c r="D89" s="19"/>
      <c r="E89" s="19"/>
      <c r="F89" s="19"/>
      <c r="G89" s="19"/>
      <c r="H89" s="19"/>
      <c r="I89" s="19"/>
      <c r="J89" s="19"/>
      <c r="K89" s="19"/>
      <c r="L89" s="19"/>
    </row>
    <row r="90" spans="1:26" ht="14.25" customHeight="1">
      <c r="A90" s="20"/>
      <c r="D90" s="19"/>
      <c r="E90" s="19"/>
      <c r="F90" s="19"/>
      <c r="G90" s="19"/>
      <c r="H90" s="19"/>
      <c r="I90" s="19"/>
      <c r="J90" s="19"/>
      <c r="K90" s="19"/>
      <c r="L90" s="19"/>
    </row>
    <row r="91" spans="1:26" ht="14.25" customHeight="1">
      <c r="A91" s="20"/>
      <c r="D91" s="19"/>
      <c r="E91" s="19"/>
      <c r="F91" s="19"/>
      <c r="G91" s="19"/>
      <c r="H91" s="19"/>
      <c r="I91" s="19"/>
      <c r="J91" s="19"/>
      <c r="K91" s="19"/>
      <c r="L91" s="19"/>
    </row>
    <row r="92" spans="1:26" ht="14.25" customHeight="1">
      <c r="A92" s="20"/>
      <c r="D92" s="19"/>
      <c r="E92" s="19"/>
      <c r="F92" s="19"/>
      <c r="G92" s="19"/>
      <c r="H92" s="19"/>
      <c r="I92" s="19"/>
      <c r="J92" s="19"/>
      <c r="K92" s="19"/>
      <c r="L92" s="19"/>
    </row>
    <row r="93" spans="1:26" ht="14.25" customHeight="1">
      <c r="A93" s="20"/>
      <c r="D93" s="19"/>
      <c r="E93" s="19"/>
      <c r="F93" s="19"/>
      <c r="G93" s="19"/>
      <c r="H93" s="19"/>
      <c r="I93" s="19"/>
      <c r="J93" s="19"/>
      <c r="K93" s="19"/>
      <c r="L93" s="19"/>
    </row>
    <row r="94" spans="1:26" ht="14.25" customHeight="1">
      <c r="A94" s="20"/>
      <c r="D94" s="19"/>
      <c r="E94" s="19"/>
      <c r="F94" s="19"/>
      <c r="G94" s="19"/>
      <c r="H94" s="19"/>
      <c r="I94" s="19"/>
      <c r="J94" s="19"/>
      <c r="K94" s="19"/>
      <c r="L94" s="19"/>
    </row>
    <row r="95" spans="1:26" ht="14.25" customHeight="1">
      <c r="A95" s="20"/>
      <c r="D95" s="19"/>
      <c r="E95" s="19"/>
      <c r="F95" s="19"/>
      <c r="G95" s="19"/>
      <c r="H95" s="19"/>
      <c r="I95" s="19"/>
      <c r="J95" s="19"/>
      <c r="K95" s="19"/>
      <c r="L95" s="19"/>
    </row>
    <row r="96" spans="1:26" ht="14.25" customHeight="1">
      <c r="A96" s="20"/>
      <c r="D96" s="19"/>
      <c r="E96" s="19"/>
      <c r="F96" s="19"/>
      <c r="G96" s="19"/>
      <c r="H96" s="19"/>
      <c r="I96" s="19"/>
      <c r="J96" s="19"/>
      <c r="K96" s="19"/>
      <c r="L96" s="19"/>
    </row>
    <row r="97" spans="1:12" ht="14.25" customHeight="1">
      <c r="A97" s="20"/>
      <c r="D97" s="19"/>
      <c r="E97" s="19"/>
      <c r="F97" s="19"/>
      <c r="G97" s="19"/>
      <c r="H97" s="19"/>
      <c r="I97" s="19"/>
      <c r="J97" s="19"/>
      <c r="K97" s="19"/>
      <c r="L97" s="19"/>
    </row>
    <row r="98" spans="1:12" ht="14.25" customHeight="1">
      <c r="A98" s="20"/>
      <c r="D98" s="19"/>
      <c r="E98" s="19"/>
      <c r="F98" s="19"/>
      <c r="G98" s="19"/>
      <c r="H98" s="19"/>
      <c r="I98" s="19"/>
      <c r="J98" s="19"/>
      <c r="K98" s="19"/>
      <c r="L98" s="19"/>
    </row>
    <row r="99" spans="1:12" ht="14.25" customHeight="1">
      <c r="A99" s="20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14.25" customHeight="1">
      <c r="A100" s="20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14.25" customHeight="1">
      <c r="A101" s="20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ht="14.25" customHeight="1">
      <c r="A102" s="20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ht="14.25" customHeight="1">
      <c r="A103" s="20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14.25" customHeight="1">
      <c r="A104" s="20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14.25" customHeight="1">
      <c r="A105" s="20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ht="14.25" customHeight="1">
      <c r="A106" s="20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ht="14.25" customHeight="1">
      <c r="A107" s="20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ht="14.25" customHeight="1">
      <c r="A108" s="20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ht="14.25" customHeight="1">
      <c r="A109" s="20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ht="14.25" customHeight="1">
      <c r="A110" s="20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ht="14.25" customHeight="1">
      <c r="A111" s="20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ht="14.25" customHeight="1">
      <c r="A112" s="20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 ht="14.25" customHeight="1">
      <c r="A113" s="20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1:12" ht="14.25" customHeight="1">
      <c r="A114" s="20"/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1:12" ht="14.25" customHeight="1">
      <c r="A115" s="20"/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1:12" ht="14.25" customHeight="1">
      <c r="A116" s="20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1:12" ht="14.25" customHeight="1">
      <c r="A117" s="20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1:12" ht="14.25" customHeight="1">
      <c r="A118" s="20"/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1:12" ht="14.25" customHeight="1">
      <c r="A119" s="20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ht="14.25" customHeight="1">
      <c r="A120" s="20"/>
      <c r="D120" s="19"/>
      <c r="E120" s="19"/>
      <c r="F120" s="19"/>
      <c r="G120" s="19"/>
      <c r="H120" s="19"/>
      <c r="I120" s="19"/>
      <c r="J120" s="19"/>
      <c r="K120" s="19"/>
      <c r="L120" s="19"/>
    </row>
    <row r="121" spans="1:12" ht="14.25" customHeight="1">
      <c r="A121" s="20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1:12" ht="14.25" customHeight="1">
      <c r="A122" s="20"/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1:12" ht="14.25" customHeight="1">
      <c r="A123" s="20"/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1:12" ht="14.25" customHeight="1">
      <c r="A124" s="20"/>
      <c r="D124" s="19"/>
      <c r="E124" s="19"/>
      <c r="F124" s="19"/>
      <c r="G124" s="19"/>
      <c r="H124" s="19"/>
      <c r="I124" s="19"/>
      <c r="J124" s="19"/>
      <c r="K124" s="19"/>
      <c r="L124" s="19"/>
    </row>
    <row r="125" spans="1:12" ht="14.25" customHeight="1">
      <c r="A125" s="20"/>
      <c r="D125" s="19"/>
      <c r="E125" s="19"/>
      <c r="F125" s="19"/>
      <c r="G125" s="19"/>
      <c r="H125" s="19"/>
      <c r="I125" s="19"/>
      <c r="J125" s="19"/>
      <c r="K125" s="19"/>
      <c r="L125" s="19"/>
    </row>
    <row r="126" spans="1:12" ht="14.25" customHeight="1">
      <c r="A126" s="20"/>
      <c r="D126" s="19"/>
      <c r="E126" s="19"/>
      <c r="F126" s="19"/>
      <c r="G126" s="19"/>
      <c r="H126" s="19"/>
      <c r="I126" s="19"/>
      <c r="J126" s="19"/>
      <c r="K126" s="19"/>
      <c r="L126" s="19"/>
    </row>
    <row r="127" spans="1:12" ht="14.25" customHeight="1">
      <c r="A127" s="20"/>
      <c r="D127" s="19"/>
      <c r="E127" s="19"/>
      <c r="F127" s="19"/>
      <c r="G127" s="19"/>
      <c r="H127" s="19"/>
      <c r="I127" s="19"/>
      <c r="J127" s="19"/>
      <c r="K127" s="19"/>
      <c r="L127" s="19"/>
    </row>
    <row r="128" spans="1:12" ht="14.25" customHeight="1">
      <c r="A128" s="20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1:12" ht="14.25" customHeight="1">
      <c r="A129" s="20"/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ht="14.25" customHeight="1">
      <c r="A130" s="20"/>
      <c r="D130" s="19"/>
      <c r="E130" s="19"/>
      <c r="F130" s="19"/>
      <c r="G130" s="19"/>
      <c r="H130" s="19"/>
      <c r="I130" s="19"/>
      <c r="J130" s="19"/>
      <c r="K130" s="19"/>
      <c r="L130" s="19"/>
    </row>
    <row r="131" spans="1:12" ht="14.25" customHeight="1">
      <c r="A131" s="20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1:12" ht="14.25" customHeight="1">
      <c r="A132" s="20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1:12" ht="14.25" customHeight="1">
      <c r="A133" s="20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2" ht="14.25" customHeight="1">
      <c r="A134" s="20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1:12" ht="14.25" customHeight="1">
      <c r="A135" s="20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2" ht="14.25" customHeight="1">
      <c r="A136" s="20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1:12" ht="14.25" customHeight="1">
      <c r="A137" s="20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2" ht="14.25" customHeight="1">
      <c r="A138" s="20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1:12" ht="14.25" customHeight="1">
      <c r="A139" s="20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2" ht="14.25" customHeight="1">
      <c r="A140" s="20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1:12" ht="14.25" customHeight="1">
      <c r="A141" s="20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1:12" ht="14.25" customHeight="1">
      <c r="A142" s="20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1:12" ht="14.25" customHeight="1">
      <c r="A143" s="20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1:12" ht="14.25" customHeight="1">
      <c r="A144" s="20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1:12" ht="14.25" customHeight="1">
      <c r="A145" s="20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1:12" ht="14.25" customHeight="1">
      <c r="A146" s="20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1:12" ht="14.25" customHeight="1">
      <c r="A147" s="20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1:12" ht="14.25" customHeight="1">
      <c r="A148" s="20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1:12" ht="14.25" customHeight="1">
      <c r="A149" s="20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 ht="14.25" customHeight="1">
      <c r="A150" s="20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1:12" ht="14.25" customHeight="1">
      <c r="A151" s="20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12" ht="14.25" customHeight="1">
      <c r="A152" s="20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1:12" ht="14.25" customHeight="1">
      <c r="A153" s="20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1:12" ht="14.25" customHeight="1">
      <c r="A154" s="20"/>
      <c r="D154" s="19"/>
      <c r="E154" s="19"/>
      <c r="F154" s="19"/>
      <c r="G154" s="19"/>
      <c r="H154" s="19"/>
      <c r="I154" s="19"/>
      <c r="J154" s="19"/>
      <c r="K154" s="19"/>
      <c r="L154" s="19"/>
    </row>
    <row r="155" spans="1:12" ht="14.25" customHeight="1">
      <c r="A155" s="20"/>
      <c r="D155" s="19"/>
      <c r="E155" s="19"/>
      <c r="F155" s="19"/>
      <c r="G155" s="19"/>
      <c r="H155" s="19"/>
      <c r="I155" s="19"/>
      <c r="J155" s="19"/>
      <c r="K155" s="19"/>
      <c r="L155" s="19"/>
    </row>
    <row r="156" spans="1:12" ht="14.25" customHeight="1">
      <c r="A156" s="20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1:12" ht="14.25" customHeight="1">
      <c r="A157" s="20"/>
      <c r="D157" s="19"/>
      <c r="E157" s="19"/>
      <c r="F157" s="19"/>
      <c r="G157" s="19"/>
      <c r="H157" s="19"/>
      <c r="I157" s="19"/>
      <c r="J157" s="19"/>
      <c r="K157" s="19"/>
      <c r="L157" s="19"/>
    </row>
    <row r="158" spans="1:12" ht="14.25" customHeight="1">
      <c r="A158" s="20"/>
      <c r="D158" s="19"/>
      <c r="E158" s="19"/>
      <c r="F158" s="19"/>
      <c r="G158" s="19"/>
      <c r="H158" s="19"/>
      <c r="I158" s="19"/>
      <c r="J158" s="19"/>
      <c r="K158" s="19"/>
      <c r="L158" s="19"/>
    </row>
    <row r="159" spans="1:12" ht="14.25" customHeight="1">
      <c r="A159" s="20"/>
      <c r="D159" s="19"/>
      <c r="E159" s="19"/>
      <c r="F159" s="19"/>
      <c r="G159" s="19"/>
      <c r="H159" s="19"/>
      <c r="I159" s="19"/>
      <c r="J159" s="19"/>
      <c r="K159" s="19"/>
      <c r="L159" s="19"/>
    </row>
    <row r="160" spans="1:12" ht="14.25" customHeight="1">
      <c r="A160" s="20"/>
      <c r="D160" s="19"/>
      <c r="E160" s="19"/>
      <c r="F160" s="19"/>
      <c r="G160" s="19"/>
      <c r="H160" s="19"/>
      <c r="I160" s="19"/>
      <c r="J160" s="19"/>
      <c r="K160" s="19"/>
      <c r="L160" s="19"/>
    </row>
    <row r="161" spans="1:12" ht="14.25" customHeight="1">
      <c r="A161" s="20"/>
      <c r="D161" s="19"/>
      <c r="E161" s="19"/>
      <c r="F161" s="19"/>
      <c r="G161" s="19"/>
      <c r="H161" s="19"/>
      <c r="I161" s="19"/>
      <c r="J161" s="19"/>
      <c r="K161" s="19"/>
      <c r="L161" s="19"/>
    </row>
    <row r="162" spans="1:12" ht="14.25" customHeight="1">
      <c r="A162" s="20"/>
      <c r="D162" s="19"/>
      <c r="E162" s="19"/>
      <c r="F162" s="19"/>
      <c r="G162" s="19"/>
      <c r="H162" s="19"/>
      <c r="I162" s="19"/>
      <c r="J162" s="19"/>
      <c r="K162" s="19"/>
      <c r="L162" s="19"/>
    </row>
    <row r="163" spans="1:12" ht="14.25" customHeight="1">
      <c r="A163" s="20"/>
      <c r="D163" s="19"/>
      <c r="E163" s="19"/>
      <c r="F163" s="19"/>
      <c r="G163" s="19"/>
      <c r="H163" s="19"/>
      <c r="I163" s="19"/>
      <c r="J163" s="19"/>
      <c r="K163" s="19"/>
      <c r="L163" s="19"/>
    </row>
    <row r="164" spans="1:12" ht="14.25" customHeight="1">
      <c r="A164" s="20"/>
      <c r="D164" s="19"/>
      <c r="E164" s="19"/>
      <c r="F164" s="19"/>
      <c r="G164" s="19"/>
      <c r="H164" s="19"/>
      <c r="I164" s="19"/>
      <c r="J164" s="19"/>
      <c r="K164" s="19"/>
      <c r="L164" s="19"/>
    </row>
    <row r="165" spans="1:12" ht="14.25" customHeight="1">
      <c r="A165" s="20"/>
      <c r="D165" s="19"/>
      <c r="E165" s="19"/>
      <c r="F165" s="19"/>
      <c r="G165" s="19"/>
      <c r="H165" s="19"/>
      <c r="I165" s="19"/>
      <c r="J165" s="19"/>
      <c r="K165" s="19"/>
      <c r="L165" s="19"/>
    </row>
    <row r="166" spans="1:12" ht="14.25" customHeight="1">
      <c r="A166" s="20"/>
      <c r="D166" s="19"/>
      <c r="E166" s="19"/>
      <c r="F166" s="19"/>
      <c r="G166" s="19"/>
      <c r="H166" s="19"/>
      <c r="I166" s="19"/>
      <c r="J166" s="19"/>
      <c r="K166" s="19"/>
      <c r="L166" s="19"/>
    </row>
    <row r="167" spans="1:12" ht="14.25" customHeight="1">
      <c r="A167" s="20"/>
      <c r="D167" s="19"/>
      <c r="E167" s="19"/>
      <c r="F167" s="19"/>
      <c r="G167" s="19"/>
      <c r="H167" s="19"/>
      <c r="I167" s="19"/>
      <c r="J167" s="19"/>
      <c r="K167" s="19"/>
      <c r="L167" s="19"/>
    </row>
    <row r="168" spans="1:12" ht="14.25" customHeight="1">
      <c r="A168" s="20"/>
      <c r="D168" s="19"/>
      <c r="E168" s="19"/>
      <c r="F168" s="19"/>
      <c r="G168" s="19"/>
      <c r="H168" s="19"/>
      <c r="I168" s="19"/>
      <c r="J168" s="19"/>
      <c r="K168" s="19"/>
      <c r="L168" s="19"/>
    </row>
    <row r="169" spans="1:12" ht="14.25" customHeight="1">
      <c r="A169" s="20"/>
      <c r="D169" s="19"/>
      <c r="E169" s="19"/>
      <c r="F169" s="19"/>
      <c r="G169" s="19"/>
      <c r="H169" s="19"/>
      <c r="I169" s="19"/>
      <c r="J169" s="19"/>
      <c r="K169" s="19"/>
      <c r="L169" s="19"/>
    </row>
    <row r="170" spans="1:12" ht="14.25" customHeight="1">
      <c r="A170" s="20"/>
      <c r="D170" s="19"/>
      <c r="E170" s="19"/>
      <c r="F170" s="19"/>
      <c r="G170" s="19"/>
      <c r="H170" s="19"/>
      <c r="I170" s="19"/>
      <c r="J170" s="19"/>
      <c r="K170" s="19"/>
      <c r="L170" s="19"/>
    </row>
    <row r="171" spans="1:12" ht="14.25" customHeight="1">
      <c r="A171" s="20"/>
      <c r="D171" s="19"/>
      <c r="E171" s="19"/>
      <c r="F171" s="19"/>
      <c r="G171" s="19"/>
      <c r="H171" s="19"/>
      <c r="I171" s="19"/>
      <c r="J171" s="19"/>
      <c r="K171" s="19"/>
      <c r="L171" s="19"/>
    </row>
    <row r="172" spans="1:12" ht="14.25" customHeight="1">
      <c r="A172" s="20"/>
      <c r="D172" s="19"/>
      <c r="E172" s="19"/>
      <c r="F172" s="19"/>
      <c r="G172" s="19"/>
      <c r="H172" s="19"/>
      <c r="I172" s="19"/>
      <c r="J172" s="19"/>
      <c r="K172" s="19"/>
      <c r="L172" s="19"/>
    </row>
    <row r="173" spans="1:12" ht="14.25" customHeight="1">
      <c r="A173" s="20"/>
      <c r="D173" s="19"/>
      <c r="E173" s="19"/>
      <c r="F173" s="19"/>
      <c r="G173" s="19"/>
      <c r="H173" s="19"/>
      <c r="I173" s="19"/>
      <c r="J173" s="19"/>
      <c r="K173" s="19"/>
      <c r="L173" s="19"/>
    </row>
    <row r="174" spans="1:12" ht="14.25" customHeight="1">
      <c r="A174" s="20"/>
      <c r="D174" s="19"/>
      <c r="E174" s="19"/>
      <c r="F174" s="19"/>
      <c r="G174" s="19"/>
      <c r="H174" s="19"/>
      <c r="I174" s="19"/>
      <c r="J174" s="19"/>
      <c r="K174" s="19"/>
      <c r="L174" s="19"/>
    </row>
    <row r="175" spans="1:12" ht="14.25" customHeight="1">
      <c r="A175" s="20"/>
      <c r="D175" s="19"/>
      <c r="E175" s="19"/>
      <c r="F175" s="19"/>
      <c r="G175" s="19"/>
      <c r="H175" s="19"/>
      <c r="I175" s="19"/>
      <c r="J175" s="19"/>
      <c r="K175" s="19"/>
      <c r="L175" s="19"/>
    </row>
    <row r="176" spans="1:12" ht="14.25" customHeight="1">
      <c r="A176" s="20"/>
      <c r="D176" s="19"/>
      <c r="E176" s="19"/>
      <c r="F176" s="19"/>
      <c r="G176" s="19"/>
      <c r="H176" s="19"/>
      <c r="I176" s="19"/>
      <c r="J176" s="19"/>
      <c r="K176" s="19"/>
      <c r="L176" s="19"/>
    </row>
    <row r="177" spans="1:12" ht="14.25" customHeight="1">
      <c r="A177" s="20"/>
      <c r="D177" s="19"/>
      <c r="E177" s="19"/>
      <c r="F177" s="19"/>
      <c r="G177" s="19"/>
      <c r="H177" s="19"/>
      <c r="I177" s="19"/>
      <c r="J177" s="19"/>
      <c r="K177" s="19"/>
      <c r="L177" s="19"/>
    </row>
    <row r="178" spans="1:12" ht="14.25" customHeight="1">
      <c r="A178" s="20"/>
      <c r="D178" s="19"/>
      <c r="E178" s="19"/>
      <c r="F178" s="19"/>
      <c r="G178" s="19"/>
      <c r="H178" s="19"/>
      <c r="I178" s="19"/>
      <c r="J178" s="19"/>
      <c r="K178" s="19"/>
      <c r="L178" s="19"/>
    </row>
    <row r="179" spans="1:12" ht="14.25" customHeight="1">
      <c r="A179" s="20"/>
      <c r="D179" s="19"/>
      <c r="E179" s="19"/>
      <c r="F179" s="19"/>
      <c r="G179" s="19"/>
      <c r="H179" s="19"/>
      <c r="I179" s="19"/>
      <c r="J179" s="19"/>
      <c r="K179" s="19"/>
      <c r="L179" s="19"/>
    </row>
    <row r="180" spans="1:12" ht="14.25" customHeight="1">
      <c r="A180" s="20"/>
      <c r="D180" s="19"/>
      <c r="E180" s="19"/>
      <c r="F180" s="19"/>
      <c r="G180" s="19"/>
      <c r="H180" s="19"/>
      <c r="I180" s="19"/>
      <c r="J180" s="19"/>
      <c r="K180" s="19"/>
      <c r="L180" s="19"/>
    </row>
    <row r="181" spans="1:12" ht="14.25" customHeight="1">
      <c r="A181" s="20"/>
      <c r="D181" s="19"/>
      <c r="E181" s="19"/>
      <c r="F181" s="19"/>
      <c r="G181" s="19"/>
      <c r="H181" s="19"/>
      <c r="I181" s="19"/>
      <c r="J181" s="19"/>
      <c r="K181" s="19"/>
      <c r="L181" s="19"/>
    </row>
    <row r="182" spans="1:12" ht="14.25" customHeight="1">
      <c r="A182" s="20"/>
      <c r="D182" s="19"/>
      <c r="E182" s="19"/>
      <c r="F182" s="19"/>
      <c r="G182" s="19"/>
      <c r="H182" s="19"/>
      <c r="I182" s="19"/>
      <c r="J182" s="19"/>
      <c r="K182" s="19"/>
      <c r="L182" s="19"/>
    </row>
    <row r="183" spans="1:12" ht="14.25" customHeight="1">
      <c r="A183" s="20"/>
      <c r="D183" s="19"/>
      <c r="E183" s="19"/>
      <c r="F183" s="19"/>
      <c r="G183" s="19"/>
      <c r="H183" s="19"/>
      <c r="I183" s="19"/>
      <c r="J183" s="19"/>
      <c r="K183" s="19"/>
      <c r="L183" s="19"/>
    </row>
    <row r="184" spans="1:12" ht="14.25" customHeight="1">
      <c r="A184" s="20"/>
      <c r="D184" s="19"/>
      <c r="E184" s="19"/>
      <c r="F184" s="19"/>
      <c r="G184" s="19"/>
      <c r="H184" s="19"/>
      <c r="I184" s="19"/>
      <c r="J184" s="19"/>
      <c r="K184" s="19"/>
      <c r="L184" s="19"/>
    </row>
    <row r="185" spans="1:12" ht="14.25" customHeight="1">
      <c r="A185" s="20"/>
      <c r="D185" s="19"/>
      <c r="E185" s="19"/>
      <c r="F185" s="19"/>
      <c r="G185" s="19"/>
      <c r="H185" s="19"/>
      <c r="I185" s="19"/>
      <c r="J185" s="19"/>
      <c r="K185" s="19"/>
      <c r="L185" s="19"/>
    </row>
    <row r="186" spans="1:12" ht="14.25" customHeight="1">
      <c r="A186" s="20"/>
      <c r="D186" s="19"/>
      <c r="E186" s="19"/>
      <c r="F186" s="19"/>
      <c r="G186" s="19"/>
      <c r="H186" s="19"/>
      <c r="I186" s="19"/>
      <c r="J186" s="19"/>
      <c r="K186" s="19"/>
      <c r="L186" s="19"/>
    </row>
    <row r="187" spans="1:12" ht="14.25" customHeight="1">
      <c r="A187" s="20"/>
      <c r="D187" s="19"/>
      <c r="E187" s="19"/>
      <c r="F187" s="19"/>
      <c r="G187" s="19"/>
      <c r="H187" s="19"/>
      <c r="I187" s="19"/>
      <c r="J187" s="19"/>
      <c r="K187" s="19"/>
      <c r="L187" s="19"/>
    </row>
    <row r="188" spans="1:12" ht="14.25" customHeight="1">
      <c r="A188" s="20"/>
      <c r="D188" s="19"/>
      <c r="E188" s="19"/>
      <c r="F188" s="19"/>
      <c r="G188" s="19"/>
      <c r="H188" s="19"/>
      <c r="I188" s="19"/>
      <c r="J188" s="19"/>
      <c r="K188" s="19"/>
      <c r="L188" s="19"/>
    </row>
    <row r="189" spans="1:12" ht="14.25" customHeight="1">
      <c r="A189" s="20"/>
      <c r="D189" s="19"/>
      <c r="E189" s="19"/>
      <c r="F189" s="19"/>
      <c r="G189" s="19"/>
      <c r="H189" s="19"/>
      <c r="I189" s="19"/>
      <c r="J189" s="19"/>
      <c r="K189" s="19"/>
      <c r="L189" s="19"/>
    </row>
    <row r="190" spans="1:12" ht="14.25" customHeight="1">
      <c r="A190" s="20"/>
      <c r="D190" s="19"/>
      <c r="E190" s="19"/>
      <c r="F190" s="19"/>
      <c r="G190" s="19"/>
      <c r="H190" s="19"/>
      <c r="I190" s="19"/>
      <c r="J190" s="19"/>
      <c r="K190" s="19"/>
      <c r="L190" s="19"/>
    </row>
    <row r="191" spans="1:12" ht="14.25" customHeight="1">
      <c r="A191" s="20"/>
      <c r="D191" s="19"/>
      <c r="E191" s="19"/>
      <c r="F191" s="19"/>
      <c r="G191" s="19"/>
      <c r="H191" s="19"/>
      <c r="I191" s="19"/>
      <c r="J191" s="19"/>
      <c r="K191" s="19"/>
      <c r="L191" s="19"/>
    </row>
    <row r="192" spans="1:12" ht="14.25" customHeight="1">
      <c r="A192" s="20"/>
      <c r="D192" s="19"/>
      <c r="E192" s="19"/>
      <c r="F192" s="19"/>
      <c r="G192" s="19"/>
      <c r="H192" s="19"/>
      <c r="I192" s="19"/>
      <c r="J192" s="19"/>
      <c r="K192" s="19"/>
      <c r="L192" s="19"/>
    </row>
    <row r="193" spans="1:12" ht="14.25" customHeight="1">
      <c r="A193" s="20"/>
      <c r="D193" s="19"/>
      <c r="E193" s="19"/>
      <c r="F193" s="19"/>
      <c r="G193" s="19"/>
      <c r="H193" s="19"/>
      <c r="I193" s="19"/>
      <c r="J193" s="19"/>
      <c r="K193" s="19"/>
      <c r="L193" s="19"/>
    </row>
    <row r="194" spans="1:12" ht="14.25" customHeight="1">
      <c r="A194" s="20"/>
      <c r="D194" s="19"/>
      <c r="E194" s="19"/>
      <c r="F194" s="19"/>
      <c r="G194" s="19"/>
      <c r="H194" s="19"/>
      <c r="I194" s="19"/>
      <c r="J194" s="19"/>
      <c r="K194" s="19"/>
      <c r="L194" s="19"/>
    </row>
    <row r="195" spans="1:12" ht="14.25" customHeight="1">
      <c r="A195" s="20"/>
      <c r="D195" s="19"/>
      <c r="E195" s="19"/>
      <c r="F195" s="19"/>
      <c r="G195" s="19"/>
      <c r="H195" s="19"/>
      <c r="I195" s="19"/>
      <c r="J195" s="19"/>
      <c r="K195" s="19"/>
      <c r="L195" s="19"/>
    </row>
    <row r="196" spans="1:12" ht="14.25" customHeight="1">
      <c r="A196" s="20"/>
      <c r="D196" s="19"/>
      <c r="E196" s="19"/>
      <c r="F196" s="19"/>
      <c r="G196" s="19"/>
      <c r="H196" s="19"/>
      <c r="I196" s="19"/>
      <c r="J196" s="19"/>
      <c r="K196" s="19"/>
      <c r="L196" s="19"/>
    </row>
    <row r="197" spans="1:12" ht="14.25" customHeight="1">
      <c r="A197" s="20"/>
      <c r="D197" s="19"/>
      <c r="E197" s="19"/>
      <c r="F197" s="19"/>
      <c r="G197" s="19"/>
      <c r="H197" s="19"/>
      <c r="I197" s="19"/>
      <c r="J197" s="19"/>
      <c r="K197" s="19"/>
      <c r="L197" s="19"/>
    </row>
    <row r="198" spans="1:12" ht="14.25" customHeight="1">
      <c r="A198" s="20"/>
      <c r="D198" s="19"/>
      <c r="E198" s="19"/>
      <c r="F198" s="19"/>
      <c r="G198" s="19"/>
      <c r="H198" s="19"/>
      <c r="I198" s="19"/>
      <c r="J198" s="19"/>
      <c r="K198" s="19"/>
      <c r="L198" s="19"/>
    </row>
    <row r="199" spans="1:12" ht="14.25" customHeight="1">
      <c r="A199" s="20"/>
      <c r="D199" s="19"/>
      <c r="E199" s="19"/>
      <c r="F199" s="19"/>
      <c r="G199" s="19"/>
      <c r="H199" s="19"/>
      <c r="I199" s="19"/>
      <c r="J199" s="19"/>
      <c r="K199" s="19"/>
      <c r="L199" s="19"/>
    </row>
    <row r="200" spans="1:12" ht="14.25" customHeight="1">
      <c r="A200" s="20"/>
      <c r="D200" s="19"/>
      <c r="E200" s="19"/>
      <c r="F200" s="19"/>
      <c r="G200" s="19"/>
      <c r="H200" s="19"/>
      <c r="I200" s="19"/>
      <c r="J200" s="19"/>
      <c r="K200" s="19"/>
      <c r="L200" s="19"/>
    </row>
    <row r="201" spans="1:12" ht="14.25" customHeight="1">
      <c r="A201" s="20"/>
      <c r="D201" s="19"/>
      <c r="E201" s="19"/>
      <c r="F201" s="19"/>
      <c r="G201" s="19"/>
      <c r="H201" s="19"/>
      <c r="I201" s="19"/>
      <c r="J201" s="19"/>
      <c r="K201" s="19"/>
      <c r="L201" s="19"/>
    </row>
    <row r="202" spans="1:12" ht="14.25" customHeight="1">
      <c r="A202" s="20"/>
      <c r="D202" s="19"/>
      <c r="E202" s="19"/>
      <c r="F202" s="19"/>
      <c r="G202" s="19"/>
      <c r="H202" s="19"/>
      <c r="I202" s="19"/>
      <c r="J202" s="19"/>
      <c r="K202" s="19"/>
      <c r="L202" s="19"/>
    </row>
    <row r="203" spans="1:12" ht="14.25" customHeight="1">
      <c r="A203" s="20"/>
      <c r="D203" s="19"/>
      <c r="E203" s="19"/>
      <c r="F203" s="19"/>
      <c r="G203" s="19"/>
      <c r="H203" s="19"/>
      <c r="I203" s="19"/>
      <c r="J203" s="19"/>
      <c r="K203" s="19"/>
      <c r="L203" s="19"/>
    </row>
    <row r="204" spans="1:12" ht="14.25" customHeight="1">
      <c r="A204" s="20"/>
      <c r="D204" s="19"/>
      <c r="E204" s="19"/>
      <c r="F204" s="19"/>
      <c r="G204" s="19"/>
      <c r="H204" s="19"/>
      <c r="I204" s="19"/>
      <c r="J204" s="19"/>
      <c r="K204" s="19"/>
      <c r="L204" s="19"/>
    </row>
    <row r="205" spans="1:12" ht="14.25" customHeight="1">
      <c r="A205" s="20"/>
      <c r="D205" s="19"/>
      <c r="E205" s="19"/>
      <c r="F205" s="19"/>
      <c r="G205" s="19"/>
      <c r="H205" s="19"/>
      <c r="I205" s="19"/>
      <c r="J205" s="19"/>
      <c r="K205" s="19"/>
      <c r="L205" s="19"/>
    </row>
    <row r="206" spans="1:12" ht="14.25" customHeight="1">
      <c r="A206" s="20"/>
      <c r="D206" s="19"/>
      <c r="E206" s="19"/>
      <c r="F206" s="19"/>
      <c r="G206" s="19"/>
      <c r="H206" s="19"/>
      <c r="I206" s="19"/>
      <c r="J206" s="19"/>
      <c r="K206" s="19"/>
      <c r="L206" s="19"/>
    </row>
    <row r="207" spans="1:12" ht="14.25" customHeight="1">
      <c r="A207" s="20"/>
      <c r="D207" s="19"/>
      <c r="E207" s="19"/>
      <c r="F207" s="19"/>
      <c r="G207" s="19"/>
      <c r="H207" s="19"/>
      <c r="I207" s="19"/>
      <c r="J207" s="19"/>
      <c r="K207" s="19"/>
      <c r="L207" s="19"/>
    </row>
    <row r="208" spans="1:12" ht="14.25" customHeight="1">
      <c r="A208" s="20"/>
      <c r="D208" s="19"/>
      <c r="E208" s="19"/>
      <c r="F208" s="19"/>
      <c r="G208" s="19"/>
      <c r="H208" s="19"/>
      <c r="I208" s="19"/>
      <c r="J208" s="19"/>
      <c r="K208" s="19"/>
      <c r="L208" s="19"/>
    </row>
    <row r="209" spans="1:12" ht="14.25" customHeight="1">
      <c r="A209" s="20"/>
      <c r="D209" s="19"/>
      <c r="E209" s="19"/>
      <c r="F209" s="19"/>
      <c r="G209" s="19"/>
      <c r="H209" s="19"/>
      <c r="I209" s="19"/>
      <c r="J209" s="19"/>
      <c r="K209" s="19"/>
      <c r="L209" s="19"/>
    </row>
    <row r="210" spans="1:12" ht="14.25" customHeight="1">
      <c r="A210" s="20"/>
      <c r="D210" s="19"/>
      <c r="E210" s="19"/>
      <c r="F210" s="19"/>
      <c r="G210" s="19"/>
      <c r="H210" s="19"/>
      <c r="I210" s="19"/>
      <c r="J210" s="19"/>
      <c r="K210" s="19"/>
      <c r="L210" s="19"/>
    </row>
    <row r="211" spans="1:12" ht="14.25" customHeight="1">
      <c r="A211" s="20"/>
      <c r="D211" s="19"/>
      <c r="E211" s="19"/>
      <c r="F211" s="19"/>
      <c r="G211" s="19"/>
      <c r="H211" s="19"/>
      <c r="I211" s="19"/>
      <c r="J211" s="19"/>
      <c r="K211" s="19"/>
      <c r="L211" s="19"/>
    </row>
    <row r="212" spans="1:12" ht="14.25" customHeight="1">
      <c r="A212" s="20"/>
      <c r="D212" s="19"/>
      <c r="E212" s="19"/>
      <c r="F212" s="19"/>
      <c r="G212" s="19"/>
      <c r="H212" s="19"/>
      <c r="I212" s="19"/>
      <c r="J212" s="19"/>
      <c r="K212" s="19"/>
      <c r="L212" s="19"/>
    </row>
    <row r="213" spans="1:12" ht="14.25" customHeight="1">
      <c r="A213" s="20"/>
      <c r="D213" s="19"/>
      <c r="E213" s="19"/>
      <c r="F213" s="19"/>
      <c r="G213" s="19"/>
      <c r="H213" s="19"/>
      <c r="I213" s="19"/>
      <c r="J213" s="19"/>
      <c r="K213" s="19"/>
      <c r="L213" s="19"/>
    </row>
    <row r="214" spans="1:12" ht="14.25" customHeight="1">
      <c r="A214" s="20"/>
      <c r="D214" s="19"/>
      <c r="E214" s="19"/>
      <c r="F214" s="19"/>
      <c r="G214" s="19"/>
      <c r="H214" s="19"/>
      <c r="I214" s="19"/>
      <c r="J214" s="19"/>
      <c r="K214" s="19"/>
      <c r="L214" s="19"/>
    </row>
    <row r="215" spans="1:12" ht="14.25" customHeight="1">
      <c r="A215" s="20"/>
      <c r="D215" s="19"/>
      <c r="E215" s="19"/>
      <c r="F215" s="19"/>
      <c r="G215" s="19"/>
      <c r="H215" s="19"/>
      <c r="I215" s="19"/>
      <c r="J215" s="19"/>
      <c r="K215" s="19"/>
      <c r="L215" s="19"/>
    </row>
    <row r="216" spans="1:12" ht="14.25" customHeight="1">
      <c r="A216" s="20"/>
      <c r="D216" s="19"/>
      <c r="E216" s="19"/>
      <c r="F216" s="19"/>
      <c r="G216" s="19"/>
      <c r="H216" s="19"/>
      <c r="I216" s="19"/>
      <c r="J216" s="19"/>
      <c r="K216" s="19"/>
      <c r="L216" s="19"/>
    </row>
    <row r="217" spans="1:12" ht="14.25" customHeight="1">
      <c r="A217" s="20"/>
      <c r="D217" s="19"/>
      <c r="E217" s="19"/>
      <c r="F217" s="19"/>
      <c r="G217" s="19"/>
      <c r="H217" s="19"/>
      <c r="I217" s="19"/>
      <c r="J217" s="19"/>
      <c r="K217" s="19"/>
      <c r="L217" s="19"/>
    </row>
    <row r="218" spans="1:12" ht="14.25" customHeight="1">
      <c r="A218" s="20"/>
      <c r="D218" s="19"/>
      <c r="E218" s="19"/>
      <c r="F218" s="19"/>
      <c r="G218" s="19"/>
      <c r="H218" s="19"/>
      <c r="I218" s="19"/>
      <c r="J218" s="19"/>
      <c r="K218" s="19"/>
      <c r="L218" s="19"/>
    </row>
    <row r="219" spans="1:12" ht="14.25" customHeight="1">
      <c r="A219" s="20"/>
      <c r="D219" s="19"/>
      <c r="E219" s="19"/>
      <c r="F219" s="19"/>
      <c r="G219" s="19"/>
      <c r="H219" s="19"/>
      <c r="I219" s="19"/>
      <c r="J219" s="19"/>
      <c r="K219" s="19"/>
      <c r="L219" s="19"/>
    </row>
    <row r="220" spans="1:12" ht="14.25" customHeight="1">
      <c r="A220" s="20"/>
      <c r="D220" s="19"/>
      <c r="E220" s="19"/>
      <c r="F220" s="19"/>
      <c r="G220" s="19"/>
      <c r="H220" s="19"/>
      <c r="I220" s="19"/>
      <c r="J220" s="19"/>
      <c r="K220" s="19"/>
      <c r="L220" s="19"/>
    </row>
    <row r="221" spans="1:12" ht="14.25" customHeight="1">
      <c r="A221" s="20"/>
      <c r="D221" s="19"/>
      <c r="E221" s="19"/>
      <c r="F221" s="19"/>
      <c r="G221" s="19"/>
      <c r="H221" s="19"/>
      <c r="I221" s="19"/>
      <c r="J221" s="19"/>
      <c r="K221" s="19"/>
      <c r="L221" s="19"/>
    </row>
    <row r="222" spans="1:12" ht="14.25" customHeight="1">
      <c r="A222" s="20"/>
      <c r="D222" s="19"/>
      <c r="E222" s="19"/>
      <c r="F222" s="19"/>
      <c r="G222" s="19"/>
      <c r="H222" s="19"/>
      <c r="I222" s="19"/>
      <c r="J222" s="19"/>
      <c r="K222" s="19"/>
      <c r="L222" s="19"/>
    </row>
    <row r="223" spans="1:12" ht="14.25" customHeight="1">
      <c r="A223" s="20"/>
      <c r="D223" s="19"/>
      <c r="E223" s="19"/>
      <c r="F223" s="19"/>
      <c r="G223" s="19"/>
      <c r="H223" s="19"/>
      <c r="I223" s="19"/>
      <c r="J223" s="19"/>
      <c r="K223" s="19"/>
      <c r="L223" s="19"/>
    </row>
    <row r="224" spans="1:12" ht="14.25" customHeight="1">
      <c r="A224" s="20"/>
      <c r="D224" s="19"/>
      <c r="E224" s="19"/>
      <c r="F224" s="19"/>
      <c r="G224" s="19"/>
      <c r="H224" s="19"/>
      <c r="I224" s="19"/>
      <c r="J224" s="19"/>
      <c r="K224" s="19"/>
      <c r="L224" s="19"/>
    </row>
    <row r="225" spans="1:12" ht="14.25" customHeight="1">
      <c r="A225" s="20"/>
      <c r="D225" s="19"/>
      <c r="E225" s="19"/>
      <c r="F225" s="19"/>
      <c r="G225" s="19"/>
      <c r="H225" s="19"/>
      <c r="I225" s="19"/>
      <c r="J225" s="19"/>
      <c r="K225" s="19"/>
      <c r="L225" s="19"/>
    </row>
    <row r="226" spans="1:12" ht="14.25" customHeight="1">
      <c r="A226" s="20"/>
      <c r="D226" s="19"/>
      <c r="E226" s="19"/>
      <c r="F226" s="19"/>
      <c r="G226" s="19"/>
      <c r="H226" s="19"/>
      <c r="I226" s="19"/>
      <c r="J226" s="19"/>
      <c r="K226" s="19"/>
      <c r="L226" s="19"/>
    </row>
    <row r="227" spans="1:12" ht="14.25" customHeight="1">
      <c r="A227" s="20"/>
      <c r="D227" s="19"/>
      <c r="E227" s="19"/>
      <c r="F227" s="19"/>
      <c r="G227" s="19"/>
      <c r="H227" s="19"/>
      <c r="I227" s="19"/>
      <c r="J227" s="19"/>
      <c r="K227" s="19"/>
      <c r="L227" s="19"/>
    </row>
    <row r="228" spans="1:12" ht="14.25" customHeight="1">
      <c r="A228" s="20"/>
      <c r="D228" s="19"/>
      <c r="E228" s="19"/>
      <c r="F228" s="19"/>
      <c r="G228" s="19"/>
      <c r="H228" s="19"/>
      <c r="I228" s="19"/>
      <c r="J228" s="19"/>
      <c r="K228" s="19"/>
      <c r="L228" s="19"/>
    </row>
    <row r="229" spans="1:12" ht="14.25" customHeight="1">
      <c r="A229" s="20"/>
      <c r="D229" s="19"/>
      <c r="E229" s="19"/>
      <c r="F229" s="19"/>
      <c r="G229" s="19"/>
      <c r="H229" s="19"/>
      <c r="I229" s="19"/>
      <c r="J229" s="19"/>
      <c r="K229" s="19"/>
      <c r="L229" s="19"/>
    </row>
    <row r="230" spans="1:12" ht="14.25" customHeight="1">
      <c r="A230" s="20"/>
      <c r="D230" s="19"/>
      <c r="E230" s="19"/>
      <c r="F230" s="19"/>
      <c r="G230" s="19"/>
      <c r="H230" s="19"/>
      <c r="I230" s="19"/>
      <c r="J230" s="19"/>
      <c r="K230" s="19"/>
      <c r="L230" s="19"/>
    </row>
    <row r="231" spans="1:12" ht="14.25" customHeight="1">
      <c r="A231" s="20"/>
      <c r="D231" s="19"/>
      <c r="E231" s="19"/>
      <c r="F231" s="19"/>
      <c r="G231" s="19"/>
      <c r="H231" s="19"/>
      <c r="I231" s="19"/>
      <c r="J231" s="19"/>
      <c r="K231" s="19"/>
      <c r="L231" s="19"/>
    </row>
    <row r="232" spans="1:12" ht="14.25" customHeight="1">
      <c r="A232" s="20"/>
      <c r="D232" s="19"/>
      <c r="E232" s="19"/>
      <c r="F232" s="19"/>
      <c r="G232" s="19"/>
      <c r="H232" s="19"/>
      <c r="I232" s="19"/>
      <c r="J232" s="19"/>
      <c r="K232" s="19"/>
      <c r="L232" s="19"/>
    </row>
    <row r="233" spans="1:12" ht="14.25" customHeight="1">
      <c r="A233" s="20"/>
      <c r="D233" s="19"/>
      <c r="E233" s="19"/>
      <c r="F233" s="19"/>
      <c r="G233" s="19"/>
      <c r="H233" s="19"/>
      <c r="I233" s="19"/>
      <c r="J233" s="19"/>
      <c r="K233" s="19"/>
      <c r="L233" s="19"/>
    </row>
    <row r="234" spans="1:12" ht="14.25" customHeight="1">
      <c r="A234" s="20"/>
      <c r="D234" s="19"/>
      <c r="E234" s="19"/>
      <c r="F234" s="19"/>
      <c r="G234" s="19"/>
      <c r="H234" s="19"/>
      <c r="I234" s="19"/>
      <c r="J234" s="19"/>
      <c r="K234" s="19"/>
      <c r="L234" s="19"/>
    </row>
    <row r="235" spans="1:12" ht="14.25" customHeight="1">
      <c r="A235" s="20"/>
      <c r="D235" s="19"/>
      <c r="E235" s="19"/>
      <c r="F235" s="19"/>
      <c r="G235" s="19"/>
      <c r="H235" s="19"/>
      <c r="I235" s="19"/>
      <c r="J235" s="19"/>
      <c r="K235" s="19"/>
      <c r="L235" s="19"/>
    </row>
    <row r="236" spans="1:12" ht="14.25" customHeight="1">
      <c r="A236" s="20"/>
      <c r="D236" s="19"/>
      <c r="E236" s="19"/>
      <c r="F236" s="19"/>
      <c r="G236" s="19"/>
      <c r="H236" s="19"/>
      <c r="I236" s="19"/>
      <c r="J236" s="19"/>
      <c r="K236" s="19"/>
      <c r="L236" s="19"/>
    </row>
    <row r="237" spans="1:12" ht="14.25" customHeight="1">
      <c r="A237" s="20"/>
      <c r="D237" s="19"/>
      <c r="E237" s="19"/>
      <c r="F237" s="19"/>
      <c r="G237" s="19"/>
      <c r="H237" s="19"/>
      <c r="I237" s="19"/>
      <c r="J237" s="19"/>
      <c r="K237" s="19"/>
      <c r="L237" s="19"/>
    </row>
    <row r="238" spans="1:12" ht="14.25" customHeight="1">
      <c r="A238" s="20"/>
      <c r="D238" s="19"/>
      <c r="E238" s="19"/>
      <c r="F238" s="19"/>
      <c r="G238" s="19"/>
      <c r="H238" s="19"/>
      <c r="I238" s="19"/>
      <c r="J238" s="19"/>
      <c r="K238" s="19"/>
      <c r="L238" s="19"/>
    </row>
    <row r="239" spans="1:12" ht="14.25" customHeight="1">
      <c r="A239" s="20"/>
      <c r="D239" s="19"/>
      <c r="E239" s="19"/>
      <c r="F239" s="19"/>
      <c r="G239" s="19"/>
      <c r="H239" s="19"/>
      <c r="I239" s="19"/>
      <c r="J239" s="19"/>
      <c r="K239" s="19"/>
      <c r="L239" s="19"/>
    </row>
    <row r="240" spans="1:12" ht="14.25" customHeight="1">
      <c r="A240" s="20"/>
      <c r="D240" s="19"/>
      <c r="E240" s="19"/>
      <c r="F240" s="19"/>
      <c r="G240" s="19"/>
      <c r="H240" s="19"/>
      <c r="I240" s="19"/>
      <c r="J240" s="19"/>
      <c r="K240" s="19"/>
      <c r="L240" s="19"/>
    </row>
    <row r="241" spans="1:12" ht="14.25" customHeight="1">
      <c r="A241" s="20"/>
      <c r="D241" s="19"/>
      <c r="E241" s="19"/>
      <c r="F241" s="19"/>
      <c r="G241" s="19"/>
      <c r="H241" s="19"/>
      <c r="I241" s="19"/>
      <c r="J241" s="19"/>
      <c r="K241" s="19"/>
      <c r="L241" s="19"/>
    </row>
    <row r="242" spans="1:12" ht="14.25" customHeight="1">
      <c r="A242" s="20"/>
      <c r="D242" s="19"/>
      <c r="E242" s="19"/>
      <c r="F242" s="19"/>
      <c r="G242" s="19"/>
      <c r="H242" s="19"/>
      <c r="I242" s="19"/>
      <c r="J242" s="19"/>
      <c r="K242" s="19"/>
      <c r="L242" s="19"/>
    </row>
    <row r="243" spans="1:12" ht="14.25" customHeight="1">
      <c r="A243" s="20"/>
      <c r="D243" s="19"/>
      <c r="E243" s="19"/>
      <c r="F243" s="19"/>
      <c r="G243" s="19"/>
      <c r="H243" s="19"/>
      <c r="I243" s="19"/>
      <c r="J243" s="19"/>
      <c r="K243" s="19"/>
      <c r="L243" s="19"/>
    </row>
    <row r="244" spans="1:12" ht="14.25" customHeight="1">
      <c r="A244" s="20"/>
      <c r="D244" s="19"/>
      <c r="E244" s="19"/>
      <c r="F244" s="19"/>
      <c r="G244" s="19"/>
      <c r="H244" s="19"/>
      <c r="I244" s="19"/>
      <c r="J244" s="19"/>
      <c r="K244" s="19"/>
      <c r="L244" s="19"/>
    </row>
    <row r="245" spans="1:12" ht="14.25" customHeight="1">
      <c r="A245" s="20"/>
      <c r="D245" s="19"/>
      <c r="E245" s="19"/>
      <c r="F245" s="19"/>
      <c r="G245" s="19"/>
      <c r="H245" s="19"/>
      <c r="I245" s="19"/>
      <c r="J245" s="19"/>
      <c r="K245" s="19"/>
      <c r="L245" s="19"/>
    </row>
    <row r="246" spans="1:12" ht="14.25" customHeight="1">
      <c r="A246" s="20"/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ht="14.25" customHeight="1">
      <c r="A247" s="20"/>
      <c r="D247" s="19"/>
      <c r="E247" s="19"/>
      <c r="F247" s="19"/>
      <c r="G247" s="19"/>
      <c r="H247" s="19"/>
      <c r="I247" s="19"/>
      <c r="J247" s="19"/>
      <c r="K247" s="19"/>
      <c r="L247" s="19"/>
    </row>
    <row r="248" spans="1:12" ht="14.25" customHeight="1">
      <c r="A248" s="20"/>
      <c r="D248" s="19"/>
      <c r="E248" s="19"/>
      <c r="F248" s="19"/>
      <c r="G248" s="19"/>
      <c r="H248" s="19"/>
      <c r="I248" s="19"/>
      <c r="J248" s="19"/>
      <c r="K248" s="19"/>
      <c r="L248" s="19"/>
    </row>
    <row r="249" spans="1:12" ht="14.25" customHeight="1">
      <c r="A249" s="20"/>
      <c r="D249" s="19"/>
      <c r="E249" s="19"/>
      <c r="F249" s="19"/>
      <c r="G249" s="19"/>
      <c r="H249" s="19"/>
      <c r="I249" s="19"/>
      <c r="J249" s="19"/>
      <c r="K249" s="19"/>
      <c r="L249" s="19"/>
    </row>
    <row r="250" spans="1:12" ht="14.25" customHeight="1">
      <c r="A250" s="20"/>
      <c r="D250" s="19"/>
      <c r="E250" s="19"/>
      <c r="F250" s="19"/>
      <c r="G250" s="19"/>
      <c r="H250" s="19"/>
      <c r="I250" s="19"/>
      <c r="J250" s="19"/>
      <c r="K250" s="19"/>
      <c r="L250" s="19"/>
    </row>
    <row r="251" spans="1:12" ht="14.25" customHeight="1">
      <c r="A251" s="20"/>
      <c r="D251" s="19"/>
      <c r="E251" s="19"/>
      <c r="F251" s="19"/>
      <c r="G251" s="19"/>
      <c r="H251" s="19"/>
      <c r="I251" s="19"/>
      <c r="J251" s="19"/>
      <c r="K251" s="19"/>
      <c r="L251" s="19"/>
    </row>
    <row r="252" spans="1:12" ht="14.25" customHeight="1">
      <c r="A252" s="20"/>
      <c r="D252" s="19"/>
      <c r="E252" s="19"/>
      <c r="F252" s="19"/>
      <c r="G252" s="19"/>
      <c r="H252" s="19"/>
      <c r="I252" s="19"/>
      <c r="J252" s="19"/>
      <c r="K252" s="19"/>
      <c r="L252" s="19"/>
    </row>
    <row r="253" spans="1:12" ht="14.25" customHeight="1">
      <c r="A253" s="20"/>
      <c r="D253" s="19"/>
      <c r="E253" s="19"/>
      <c r="F253" s="19"/>
      <c r="G253" s="19"/>
      <c r="H253" s="19"/>
      <c r="I253" s="19"/>
      <c r="J253" s="19"/>
      <c r="K253" s="19"/>
      <c r="L253" s="19"/>
    </row>
    <row r="254" spans="1:12" ht="14.25" customHeight="1">
      <c r="A254" s="20"/>
      <c r="D254" s="19"/>
      <c r="E254" s="19"/>
      <c r="F254" s="19"/>
      <c r="G254" s="19"/>
      <c r="H254" s="19"/>
      <c r="I254" s="19"/>
      <c r="J254" s="19"/>
      <c r="K254" s="19"/>
      <c r="L254" s="19"/>
    </row>
    <row r="255" spans="1:12" ht="14.25" customHeight="1">
      <c r="A255" s="20"/>
      <c r="D255" s="19"/>
      <c r="E255" s="19"/>
      <c r="F255" s="19"/>
      <c r="G255" s="19"/>
      <c r="H255" s="19"/>
      <c r="I255" s="19"/>
      <c r="J255" s="19"/>
      <c r="K255" s="19"/>
      <c r="L255" s="19"/>
    </row>
    <row r="256" spans="1:12" ht="14.25" customHeight="1">
      <c r="A256" s="20"/>
      <c r="D256" s="19"/>
      <c r="E256" s="19"/>
      <c r="F256" s="19"/>
      <c r="G256" s="19"/>
      <c r="H256" s="19"/>
      <c r="I256" s="19"/>
      <c r="J256" s="19"/>
      <c r="K256" s="19"/>
      <c r="L256" s="19"/>
    </row>
    <row r="257" spans="1:12" ht="14.25" customHeight="1">
      <c r="A257" s="20"/>
      <c r="D257" s="19"/>
      <c r="E257" s="19"/>
      <c r="F257" s="19"/>
      <c r="G257" s="19"/>
      <c r="H257" s="19"/>
      <c r="I257" s="19"/>
      <c r="J257" s="19"/>
      <c r="K257" s="19"/>
      <c r="L257" s="19"/>
    </row>
    <row r="258" spans="1:12" ht="14.25" customHeight="1">
      <c r="A258" s="20"/>
      <c r="D258" s="19"/>
      <c r="E258" s="19"/>
      <c r="F258" s="19"/>
      <c r="G258" s="19"/>
      <c r="H258" s="19"/>
      <c r="I258" s="19"/>
      <c r="J258" s="19"/>
      <c r="K258" s="19"/>
      <c r="L258" s="19"/>
    </row>
    <row r="259" spans="1:12" ht="14.25" customHeight="1">
      <c r="A259" s="20"/>
      <c r="D259" s="19"/>
      <c r="E259" s="19"/>
      <c r="F259" s="19"/>
      <c r="G259" s="19"/>
      <c r="H259" s="19"/>
      <c r="I259" s="19"/>
      <c r="J259" s="19"/>
      <c r="K259" s="19"/>
      <c r="L259" s="19"/>
    </row>
    <row r="260" spans="1:12" ht="14.25" customHeight="1">
      <c r="A260" s="20"/>
      <c r="D260" s="19"/>
      <c r="E260" s="19"/>
      <c r="F260" s="19"/>
      <c r="G260" s="19"/>
      <c r="H260" s="19"/>
      <c r="I260" s="19"/>
      <c r="J260" s="19"/>
      <c r="K260" s="19"/>
      <c r="L260" s="19"/>
    </row>
    <row r="261" spans="1:12" ht="14.25" customHeight="1">
      <c r="A261" s="20"/>
      <c r="D261" s="19"/>
      <c r="E261" s="19"/>
      <c r="F261" s="19"/>
      <c r="G261" s="19"/>
      <c r="H261" s="19"/>
      <c r="I261" s="19"/>
      <c r="J261" s="19"/>
      <c r="K261" s="19"/>
      <c r="L261" s="19"/>
    </row>
    <row r="262" spans="1:12" ht="14.25" customHeight="1">
      <c r="A262" s="20"/>
      <c r="D262" s="19"/>
      <c r="E262" s="19"/>
      <c r="F262" s="19"/>
      <c r="G262" s="19"/>
      <c r="H262" s="19"/>
      <c r="I262" s="19"/>
      <c r="J262" s="19"/>
      <c r="K262" s="19"/>
      <c r="L262" s="19"/>
    </row>
    <row r="263" spans="1:12" ht="14.25" customHeight="1">
      <c r="A263" s="20"/>
      <c r="D263" s="19"/>
      <c r="E263" s="19"/>
      <c r="F263" s="19"/>
      <c r="G263" s="19"/>
      <c r="H263" s="19"/>
      <c r="I263" s="19"/>
      <c r="J263" s="19"/>
      <c r="K263" s="19"/>
      <c r="L263" s="19"/>
    </row>
    <row r="264" spans="1:12" ht="14.25" customHeight="1">
      <c r="A264" s="20"/>
      <c r="D264" s="19"/>
      <c r="E264" s="19"/>
      <c r="F264" s="19"/>
      <c r="G264" s="19"/>
      <c r="H264" s="19"/>
      <c r="I264" s="19"/>
      <c r="J264" s="19"/>
      <c r="K264" s="19"/>
      <c r="L264" s="19"/>
    </row>
    <row r="265" spans="1:12" ht="14.25" customHeight="1">
      <c r="A265" s="20"/>
      <c r="D265" s="19"/>
      <c r="E265" s="19"/>
      <c r="F265" s="19"/>
      <c r="G265" s="19"/>
      <c r="H265" s="19"/>
      <c r="I265" s="19"/>
      <c r="J265" s="19"/>
      <c r="K265" s="19"/>
      <c r="L265" s="19"/>
    </row>
    <row r="266" spans="1:12" ht="14.25" customHeight="1">
      <c r="A266" s="20"/>
      <c r="D266" s="19"/>
      <c r="E266" s="19"/>
      <c r="F266" s="19"/>
      <c r="G266" s="19"/>
      <c r="H266" s="19"/>
      <c r="I266" s="19"/>
      <c r="J266" s="19"/>
      <c r="K266" s="19"/>
      <c r="L266" s="19"/>
    </row>
    <row r="267" spans="1:12" ht="14.25" customHeight="1">
      <c r="A267" s="20"/>
      <c r="D267" s="19"/>
      <c r="E267" s="19"/>
      <c r="F267" s="19"/>
      <c r="G267" s="19"/>
      <c r="H267" s="19"/>
      <c r="I267" s="19"/>
      <c r="J267" s="19"/>
      <c r="K267" s="19"/>
      <c r="L267" s="19"/>
    </row>
    <row r="268" spans="1:12" ht="14.25" customHeight="1">
      <c r="A268" s="20"/>
      <c r="D268" s="19"/>
      <c r="E268" s="19"/>
      <c r="F268" s="19"/>
      <c r="G268" s="19"/>
      <c r="H268" s="19"/>
      <c r="I268" s="19"/>
      <c r="J268" s="19"/>
      <c r="K268" s="19"/>
      <c r="L268" s="19"/>
    </row>
    <row r="269" spans="1:12" ht="14.25" customHeight="1">
      <c r="A269" s="20"/>
      <c r="D269" s="19"/>
      <c r="E269" s="19"/>
      <c r="F269" s="19"/>
      <c r="G269" s="19"/>
      <c r="H269" s="19"/>
      <c r="I269" s="19"/>
      <c r="J269" s="19"/>
      <c r="K269" s="19"/>
      <c r="L269" s="19"/>
    </row>
    <row r="270" spans="1:12" ht="14.25" customHeight="1">
      <c r="A270" s="20"/>
      <c r="D270" s="19"/>
      <c r="E270" s="19"/>
      <c r="F270" s="19"/>
      <c r="G270" s="19"/>
      <c r="H270" s="19"/>
      <c r="I270" s="19"/>
      <c r="J270" s="19"/>
      <c r="K270" s="19"/>
      <c r="L270" s="19"/>
    </row>
    <row r="271" spans="1:12" ht="14.25" customHeight="1">
      <c r="A271" s="20"/>
      <c r="D271" s="19"/>
      <c r="E271" s="19"/>
      <c r="F271" s="19"/>
      <c r="G271" s="19"/>
      <c r="H271" s="19"/>
      <c r="I271" s="19"/>
      <c r="J271" s="19"/>
      <c r="K271" s="19"/>
      <c r="L271" s="19"/>
    </row>
    <row r="272" spans="1:12" ht="14.25" customHeight="1">
      <c r="A272" s="20"/>
      <c r="D272" s="19"/>
      <c r="E272" s="19"/>
      <c r="F272" s="19"/>
      <c r="G272" s="19"/>
      <c r="H272" s="19"/>
      <c r="I272" s="19"/>
      <c r="J272" s="19"/>
      <c r="K272" s="19"/>
      <c r="L272" s="19"/>
    </row>
    <row r="273" spans="1:12" ht="14.25" customHeight="1">
      <c r="A273" s="20"/>
      <c r="D273" s="19"/>
      <c r="E273" s="19"/>
      <c r="F273" s="19"/>
      <c r="G273" s="19"/>
      <c r="H273" s="19"/>
      <c r="I273" s="19"/>
      <c r="J273" s="19"/>
      <c r="K273" s="19"/>
      <c r="L273" s="19"/>
    </row>
    <row r="274" spans="1:12" ht="14.25" customHeight="1">
      <c r="A274" s="20"/>
      <c r="D274" s="19"/>
      <c r="E274" s="19"/>
      <c r="F274" s="19"/>
      <c r="G274" s="19"/>
      <c r="H274" s="19"/>
      <c r="I274" s="19"/>
      <c r="J274" s="19"/>
      <c r="K274" s="19"/>
      <c r="L274" s="19"/>
    </row>
    <row r="275" spans="1:12" ht="14.25" customHeight="1">
      <c r="A275" s="20"/>
      <c r="D275" s="19"/>
      <c r="E275" s="19"/>
      <c r="F275" s="19"/>
      <c r="G275" s="19"/>
      <c r="H275" s="19"/>
      <c r="I275" s="19"/>
      <c r="J275" s="19"/>
      <c r="K275" s="19"/>
      <c r="L275" s="19"/>
    </row>
    <row r="276" spans="1:12" ht="14.25" customHeight="1">
      <c r="A276" s="20"/>
      <c r="D276" s="19"/>
      <c r="E276" s="19"/>
      <c r="F276" s="19"/>
      <c r="G276" s="19"/>
      <c r="H276" s="19"/>
      <c r="I276" s="19"/>
      <c r="J276" s="19"/>
      <c r="K276" s="19"/>
      <c r="L276" s="19"/>
    </row>
    <row r="277" spans="1:12" ht="15.75" customHeight="1"/>
    <row r="278" spans="1:12" ht="15.75" customHeight="1"/>
    <row r="279" spans="1:12" ht="15.75" customHeight="1"/>
    <row r="280" spans="1:12" ht="15.75" customHeight="1"/>
    <row r="281" spans="1:12" ht="15.75" customHeight="1"/>
    <row r="282" spans="1:12" ht="15.75" customHeight="1"/>
    <row r="283" spans="1:12" ht="15.75" customHeight="1"/>
    <row r="284" spans="1:12" ht="15.75" customHeight="1"/>
    <row r="285" spans="1:12" ht="15.75" customHeight="1"/>
    <row r="286" spans="1:12" ht="15.75" customHeight="1"/>
    <row r="287" spans="1:12" ht="15.75" customHeight="1"/>
    <row r="288" spans="1:1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">
    <mergeCell ref="A1:L1"/>
    <mergeCell ref="A73:C73"/>
    <mergeCell ref="A74:C74"/>
    <mergeCell ref="A75:C75"/>
    <mergeCell ref="A76:C76"/>
  </mergeCells>
  <pageMargins left="0.25" right="0.25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989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4.44140625" customWidth="1"/>
    <col min="4" max="6" width="4.6640625" customWidth="1"/>
    <col min="7" max="14" width="4.6640625" hidden="1" customWidth="1"/>
    <col min="15" max="26" width="4.33203125" hidden="1" customWidth="1"/>
    <col min="27" max="40" width="4" hidden="1" customWidth="1"/>
    <col min="41" max="45" width="4.44140625" hidden="1" customWidth="1"/>
    <col min="46" max="53" width="4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8.88671875" customWidth="1"/>
    <col min="63" max="63" width="8" customWidth="1"/>
    <col min="64" max="64" width="8.109375" customWidth="1"/>
    <col min="65" max="65" width="9.109375" customWidth="1"/>
    <col min="66" max="66" width="14.33203125" customWidth="1"/>
    <col min="67" max="67" width="7" customWidth="1"/>
    <col min="68" max="68" width="7.6640625" customWidth="1"/>
    <col min="69" max="69" width="14.109375" customWidth="1"/>
    <col min="70" max="72" width="4" customWidth="1"/>
    <col min="73" max="73" width="11.88671875" customWidth="1"/>
    <col min="74" max="74" width="7.6640625" customWidth="1"/>
    <col min="75" max="75" width="9.88671875" customWidth="1"/>
  </cols>
  <sheetData>
    <row r="1" spans="1:75" ht="24.75" customHeight="1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95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9"/>
    </row>
    <row r="2" spans="1:75" ht="28.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9"/>
    </row>
    <row r="3" spans="1:75" ht="22.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8"/>
      <c r="BO3" s="89"/>
      <c r="BP3" s="107" t="s">
        <v>98</v>
      </c>
      <c r="BQ3" s="88"/>
      <c r="BR3" s="88"/>
      <c r="BS3" s="88"/>
      <c r="BT3" s="88"/>
      <c r="BU3" s="88"/>
      <c r="BV3" s="88"/>
      <c r="BW3" s="89"/>
    </row>
    <row r="4" spans="1:75" ht="31.5" customHeight="1">
      <c r="A4" s="108" t="s">
        <v>99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100</v>
      </c>
      <c r="BI4" s="88"/>
      <c r="BJ4" s="88"/>
      <c r="BK4" s="88"/>
      <c r="BL4" s="88"/>
      <c r="BM4" s="88"/>
      <c r="BN4" s="88"/>
      <c r="BO4" s="89"/>
      <c r="BP4" s="107" t="s">
        <v>101</v>
      </c>
      <c r="BQ4" s="88"/>
      <c r="BR4" s="88"/>
      <c r="BS4" s="88"/>
      <c r="BT4" s="88"/>
      <c r="BU4" s="88"/>
      <c r="BV4" s="88"/>
      <c r="BW4" s="89"/>
    </row>
    <row r="5" spans="1:75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1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111</v>
      </c>
      <c r="BP5" s="112" t="s">
        <v>112</v>
      </c>
      <c r="BQ5" s="113" t="s">
        <v>113</v>
      </c>
      <c r="BR5" s="114" t="s">
        <v>114</v>
      </c>
      <c r="BS5" s="88"/>
      <c r="BT5" s="89"/>
      <c r="BU5" s="113" t="s">
        <v>115</v>
      </c>
      <c r="BV5" s="112" t="s">
        <v>89</v>
      </c>
      <c r="BW5" s="112" t="s">
        <v>116</v>
      </c>
    </row>
    <row r="6" spans="1:75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24">
        <v>1</v>
      </c>
      <c r="BS6" s="24">
        <v>2</v>
      </c>
      <c r="BT6" s="24">
        <v>3</v>
      </c>
      <c r="BU6" s="92"/>
      <c r="BV6" s="92"/>
      <c r="BW6" s="92"/>
    </row>
    <row r="7" spans="1:75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v>29</v>
      </c>
      <c r="BC7" s="9">
        <v>1</v>
      </c>
      <c r="BD7" s="9">
        <f t="shared" ref="BD7:BD76" si="0">BB7+BC7</f>
        <v>30</v>
      </c>
      <c r="BE7" s="9">
        <v>33</v>
      </c>
      <c r="BF7" s="25">
        <f t="shared" ref="BF7:BF76" si="1">(BD7/BE7)*100</f>
        <v>90.909090909090907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9">
        <f t="shared" ref="BK7:BL7" si="2">BD7</f>
        <v>30</v>
      </c>
      <c r="BL7" s="9">
        <f t="shared" si="2"/>
        <v>33</v>
      </c>
      <c r="BM7" s="2">
        <f t="shared" ref="BM7:BM76" si="3">(BK7/BL7)*100</f>
        <v>90.909090909090907</v>
      </c>
      <c r="BN7" s="9" t="str">
        <f t="shared" ref="BN7:BN76" si="4">IF(BM7&gt;=95.5,"6",IF(BM7&gt;=90.5,"5", IF(BM7&gt;=85.5,"4",IF(BM7&gt;=80.5,"3",IF(BM7&gt;=75.5,"2","0")))))</f>
        <v>5</v>
      </c>
      <c r="BO7" s="9">
        <v>6</v>
      </c>
      <c r="BP7" s="9">
        <v>11</v>
      </c>
      <c r="BQ7" s="27">
        <f t="shared" ref="BQ7:BQ76" si="5">ROUND((BO7+BP7)/2, 2)</f>
        <v>8.5</v>
      </c>
      <c r="BR7" s="9">
        <v>8</v>
      </c>
      <c r="BS7" s="9">
        <v>8</v>
      </c>
      <c r="BT7" s="9">
        <v>7</v>
      </c>
      <c r="BU7" s="27">
        <f t="shared" ref="BU7:BU76" si="6">(BT7+BS7+BR7)/3</f>
        <v>7.666666666666667</v>
      </c>
      <c r="BV7" s="9">
        <v>5</v>
      </c>
      <c r="BW7" s="2">
        <f t="shared" ref="BW7:BW76" si="7">BV7+BU7+BQ7+BN7</f>
        <v>26.166666666666668</v>
      </c>
    </row>
    <row r="8" spans="1:75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>
        <v>21</v>
      </c>
      <c r="BC8" s="9"/>
      <c r="BD8" s="9">
        <f t="shared" si="0"/>
        <v>21</v>
      </c>
      <c r="BE8" s="9">
        <v>33</v>
      </c>
      <c r="BF8" s="25">
        <f t="shared" si="1"/>
        <v>63.636363636363633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9">
        <f t="shared" ref="BK8:BL8" si="8">BD8</f>
        <v>21</v>
      </c>
      <c r="BL8" s="9">
        <f t="shared" si="8"/>
        <v>33</v>
      </c>
      <c r="BM8" s="2">
        <f t="shared" si="3"/>
        <v>63.636363636363633</v>
      </c>
      <c r="BN8" s="9" t="str">
        <f t="shared" si="4"/>
        <v>0</v>
      </c>
      <c r="BO8" s="9">
        <v>11</v>
      </c>
      <c r="BP8" s="9">
        <v>10</v>
      </c>
      <c r="BQ8" s="27">
        <f t="shared" si="5"/>
        <v>10.5</v>
      </c>
      <c r="BR8" s="9">
        <v>8</v>
      </c>
      <c r="BS8" s="9">
        <v>8</v>
      </c>
      <c r="BT8" s="9">
        <v>9</v>
      </c>
      <c r="BU8" s="27">
        <f t="shared" si="6"/>
        <v>8.3333333333333339</v>
      </c>
      <c r="BV8" s="9"/>
      <c r="BW8" s="2">
        <f t="shared" si="7"/>
        <v>18.833333333333336</v>
      </c>
    </row>
    <row r="9" spans="1:75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>
        <v>22</v>
      </c>
      <c r="BC9" s="9"/>
      <c r="BD9" s="9">
        <f t="shared" si="0"/>
        <v>22</v>
      </c>
      <c r="BE9" s="9">
        <v>33</v>
      </c>
      <c r="BF9" s="25">
        <f t="shared" si="1"/>
        <v>66.666666666666657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9">
        <f t="shared" ref="BK9:BL9" si="9">BD9</f>
        <v>22</v>
      </c>
      <c r="BL9" s="9">
        <f t="shared" si="9"/>
        <v>33</v>
      </c>
      <c r="BM9" s="2">
        <f t="shared" si="3"/>
        <v>66.666666666666657</v>
      </c>
      <c r="BN9" s="9" t="str">
        <f t="shared" si="4"/>
        <v>0</v>
      </c>
      <c r="BO9" s="9">
        <v>3</v>
      </c>
      <c r="BP9" s="9">
        <v>16</v>
      </c>
      <c r="BQ9" s="27">
        <f t="shared" si="5"/>
        <v>9.5</v>
      </c>
      <c r="BR9" s="9">
        <v>8</v>
      </c>
      <c r="BS9" s="9">
        <v>8</v>
      </c>
      <c r="BT9" s="9">
        <v>9</v>
      </c>
      <c r="BU9" s="27">
        <f t="shared" si="6"/>
        <v>8.3333333333333339</v>
      </c>
      <c r="BV9" s="9"/>
      <c r="BW9" s="2">
        <f t="shared" si="7"/>
        <v>17.833333333333336</v>
      </c>
    </row>
    <row r="10" spans="1:75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>
        <v>25</v>
      </c>
      <c r="BC10" s="9">
        <v>1</v>
      </c>
      <c r="BD10" s="9">
        <f t="shared" si="0"/>
        <v>26</v>
      </c>
      <c r="BE10" s="9">
        <v>33</v>
      </c>
      <c r="BF10" s="25">
        <f t="shared" si="1"/>
        <v>78.787878787878782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9">
        <f t="shared" ref="BK10:BL10" si="10">BD10</f>
        <v>26</v>
      </c>
      <c r="BL10" s="9">
        <f t="shared" si="10"/>
        <v>33</v>
      </c>
      <c r="BM10" s="2">
        <f t="shared" si="3"/>
        <v>78.787878787878782</v>
      </c>
      <c r="BN10" s="9" t="str">
        <f t="shared" si="4"/>
        <v>2</v>
      </c>
      <c r="BO10" s="9">
        <v>18</v>
      </c>
      <c r="BP10" s="9">
        <v>22</v>
      </c>
      <c r="BQ10" s="27">
        <f t="shared" si="5"/>
        <v>20</v>
      </c>
      <c r="BR10" s="9">
        <v>8</v>
      </c>
      <c r="BS10" s="9">
        <v>8</v>
      </c>
      <c r="BT10" s="9">
        <v>9</v>
      </c>
      <c r="BU10" s="27">
        <f t="shared" si="6"/>
        <v>8.3333333333333339</v>
      </c>
      <c r="BV10" s="9"/>
      <c r="BW10" s="2">
        <f t="shared" si="7"/>
        <v>30.333333333333336</v>
      </c>
    </row>
    <row r="11" spans="1:75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v>27</v>
      </c>
      <c r="BC11" s="9"/>
      <c r="BD11" s="9">
        <f t="shared" si="0"/>
        <v>27</v>
      </c>
      <c r="BE11" s="9">
        <v>33</v>
      </c>
      <c r="BF11" s="25">
        <f t="shared" si="1"/>
        <v>81.818181818181827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9">
        <f t="shared" ref="BK11:BL11" si="11">BD11</f>
        <v>27</v>
      </c>
      <c r="BL11" s="9">
        <f t="shared" si="11"/>
        <v>33</v>
      </c>
      <c r="BM11" s="2">
        <f t="shared" si="3"/>
        <v>81.818181818181827</v>
      </c>
      <c r="BN11" s="9" t="str">
        <f t="shared" si="4"/>
        <v>3</v>
      </c>
      <c r="BO11" s="9">
        <v>18</v>
      </c>
      <c r="BP11" s="9">
        <v>17</v>
      </c>
      <c r="BQ11" s="27">
        <f t="shared" si="5"/>
        <v>17.5</v>
      </c>
      <c r="BR11" s="9">
        <v>9</v>
      </c>
      <c r="BS11" s="9">
        <v>9</v>
      </c>
      <c r="BT11" s="9">
        <v>10</v>
      </c>
      <c r="BU11" s="27">
        <f t="shared" si="6"/>
        <v>9.3333333333333339</v>
      </c>
      <c r="BV11" s="9">
        <v>5</v>
      </c>
      <c r="BW11" s="2">
        <f t="shared" si="7"/>
        <v>34.833333333333336</v>
      </c>
    </row>
    <row r="12" spans="1:75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>
        <v>31</v>
      </c>
      <c r="BC12" s="9"/>
      <c r="BD12" s="9">
        <f t="shared" si="0"/>
        <v>31</v>
      </c>
      <c r="BE12" s="9">
        <v>33</v>
      </c>
      <c r="BF12" s="25">
        <f t="shared" si="1"/>
        <v>93.939393939393938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9">
        <f t="shared" ref="BK12:BL12" si="12">BD12</f>
        <v>31</v>
      </c>
      <c r="BL12" s="9">
        <f t="shared" si="12"/>
        <v>33</v>
      </c>
      <c r="BM12" s="2">
        <f t="shared" si="3"/>
        <v>93.939393939393938</v>
      </c>
      <c r="BN12" s="9" t="str">
        <f t="shared" si="4"/>
        <v>5</v>
      </c>
      <c r="BO12" s="9">
        <v>11</v>
      </c>
      <c r="BP12" s="9">
        <v>17</v>
      </c>
      <c r="BQ12" s="27">
        <f t="shared" si="5"/>
        <v>14</v>
      </c>
      <c r="BR12" s="9">
        <v>7</v>
      </c>
      <c r="BS12" s="9">
        <v>8</v>
      </c>
      <c r="BT12" s="9">
        <v>8</v>
      </c>
      <c r="BU12" s="27">
        <f t="shared" si="6"/>
        <v>7.666666666666667</v>
      </c>
      <c r="BV12" s="9"/>
      <c r="BW12" s="2">
        <f t="shared" si="7"/>
        <v>26.666666666666668</v>
      </c>
    </row>
    <row r="13" spans="1:75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v>25</v>
      </c>
      <c r="BC13" s="9">
        <v>5</v>
      </c>
      <c r="BD13" s="9">
        <f t="shared" si="0"/>
        <v>30</v>
      </c>
      <c r="BE13" s="9">
        <v>33</v>
      </c>
      <c r="BF13" s="25">
        <f t="shared" si="1"/>
        <v>90.909090909090907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9">
        <f t="shared" ref="BK13:BL13" si="13">BD13</f>
        <v>30</v>
      </c>
      <c r="BL13" s="9">
        <f t="shared" si="13"/>
        <v>33</v>
      </c>
      <c r="BM13" s="2">
        <f t="shared" si="3"/>
        <v>90.909090909090907</v>
      </c>
      <c r="BN13" s="9" t="str">
        <f t="shared" si="4"/>
        <v>5</v>
      </c>
      <c r="BO13" s="9">
        <v>10</v>
      </c>
      <c r="BP13" s="9">
        <v>17</v>
      </c>
      <c r="BQ13" s="27">
        <f t="shared" si="5"/>
        <v>13.5</v>
      </c>
      <c r="BR13" s="9">
        <v>8</v>
      </c>
      <c r="BS13" s="9">
        <v>9</v>
      </c>
      <c r="BT13" s="9">
        <v>9</v>
      </c>
      <c r="BU13" s="27">
        <f t="shared" si="6"/>
        <v>8.6666666666666661</v>
      </c>
      <c r="BV13" s="9">
        <v>5</v>
      </c>
      <c r="BW13" s="2">
        <f t="shared" si="7"/>
        <v>32.166666666666664</v>
      </c>
    </row>
    <row r="14" spans="1:75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v>2</v>
      </c>
      <c r="BC14" s="9">
        <v>2</v>
      </c>
      <c r="BD14" s="9">
        <f t="shared" si="0"/>
        <v>4</v>
      </c>
      <c r="BE14" s="9">
        <v>33</v>
      </c>
      <c r="BF14" s="25">
        <f t="shared" si="1"/>
        <v>12.121212121212121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9">
        <f t="shared" ref="BK14:BL14" si="14">BD14</f>
        <v>4</v>
      </c>
      <c r="BL14" s="9">
        <f t="shared" si="14"/>
        <v>33</v>
      </c>
      <c r="BM14" s="2">
        <f t="shared" si="3"/>
        <v>12.121212121212121</v>
      </c>
      <c r="BN14" s="9" t="str">
        <f t="shared" si="4"/>
        <v>0</v>
      </c>
      <c r="BO14" s="9">
        <v>0</v>
      </c>
      <c r="BP14" s="9">
        <v>11</v>
      </c>
      <c r="BQ14" s="27">
        <f t="shared" si="5"/>
        <v>5.5</v>
      </c>
      <c r="BR14" s="9">
        <v>7</v>
      </c>
      <c r="BS14" s="9">
        <v>0</v>
      </c>
      <c r="BT14" s="9">
        <v>0</v>
      </c>
      <c r="BU14" s="27">
        <f t="shared" si="6"/>
        <v>2.3333333333333335</v>
      </c>
      <c r="BV14" s="9"/>
      <c r="BW14" s="2">
        <f t="shared" si="7"/>
        <v>7.8333333333333339</v>
      </c>
    </row>
    <row r="15" spans="1:75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v>26</v>
      </c>
      <c r="BC15" s="9"/>
      <c r="BD15" s="9">
        <f t="shared" si="0"/>
        <v>26</v>
      </c>
      <c r="BE15" s="9">
        <v>33</v>
      </c>
      <c r="BF15" s="25">
        <f t="shared" si="1"/>
        <v>78.787878787878782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9">
        <f t="shared" ref="BK15:BL15" si="15">BD15</f>
        <v>26</v>
      </c>
      <c r="BL15" s="9">
        <f t="shared" si="15"/>
        <v>33</v>
      </c>
      <c r="BM15" s="2">
        <f t="shared" si="3"/>
        <v>78.787878787878782</v>
      </c>
      <c r="BN15" s="9" t="str">
        <f t="shared" si="4"/>
        <v>2</v>
      </c>
      <c r="BO15" s="9">
        <v>15</v>
      </c>
      <c r="BP15" s="9">
        <v>16</v>
      </c>
      <c r="BQ15" s="27">
        <f t="shared" si="5"/>
        <v>15.5</v>
      </c>
      <c r="BR15" s="9">
        <v>8</v>
      </c>
      <c r="BS15" s="9">
        <v>8</v>
      </c>
      <c r="BT15" s="9">
        <v>9</v>
      </c>
      <c r="BU15" s="27">
        <f t="shared" si="6"/>
        <v>8.3333333333333339</v>
      </c>
      <c r="BV15" s="9"/>
      <c r="BW15" s="2">
        <f t="shared" si="7"/>
        <v>25.833333333333336</v>
      </c>
    </row>
    <row r="16" spans="1:75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v>25</v>
      </c>
      <c r="BC16" s="9"/>
      <c r="BD16" s="9">
        <f t="shared" si="0"/>
        <v>25</v>
      </c>
      <c r="BE16" s="9">
        <v>33</v>
      </c>
      <c r="BF16" s="25">
        <f t="shared" si="1"/>
        <v>75.757575757575751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9">
        <f t="shared" ref="BK16:BL16" si="16">BD16</f>
        <v>25</v>
      </c>
      <c r="BL16" s="9">
        <f t="shared" si="16"/>
        <v>33</v>
      </c>
      <c r="BM16" s="2">
        <f t="shared" si="3"/>
        <v>75.757575757575751</v>
      </c>
      <c r="BN16" s="9" t="str">
        <f t="shared" si="4"/>
        <v>2</v>
      </c>
      <c r="BO16" s="9">
        <v>1</v>
      </c>
      <c r="BP16" s="9">
        <v>11</v>
      </c>
      <c r="BQ16" s="27">
        <f t="shared" si="5"/>
        <v>6</v>
      </c>
      <c r="BR16" s="9">
        <v>8</v>
      </c>
      <c r="BS16" s="9">
        <v>8</v>
      </c>
      <c r="BT16" s="9">
        <v>9</v>
      </c>
      <c r="BU16" s="27">
        <f t="shared" si="6"/>
        <v>8.3333333333333339</v>
      </c>
      <c r="BV16" s="9">
        <v>5</v>
      </c>
      <c r="BW16" s="2">
        <f t="shared" si="7"/>
        <v>21.333333333333336</v>
      </c>
    </row>
    <row r="17" spans="1:75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v>18</v>
      </c>
      <c r="BC17" s="9"/>
      <c r="BD17" s="9">
        <f t="shared" si="0"/>
        <v>18</v>
      </c>
      <c r="BE17" s="9">
        <v>33</v>
      </c>
      <c r="BF17" s="25">
        <f t="shared" si="1"/>
        <v>54.54545454545454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9">
        <f t="shared" ref="BK17:BL17" si="17">BD17</f>
        <v>18</v>
      </c>
      <c r="BL17" s="9">
        <f t="shared" si="17"/>
        <v>33</v>
      </c>
      <c r="BM17" s="2">
        <f t="shared" si="3"/>
        <v>54.54545454545454</v>
      </c>
      <c r="BN17" s="9" t="str">
        <f t="shared" si="4"/>
        <v>0</v>
      </c>
      <c r="BO17" s="9">
        <v>5</v>
      </c>
      <c r="BP17" s="9">
        <v>10</v>
      </c>
      <c r="BQ17" s="27">
        <f t="shared" si="5"/>
        <v>7.5</v>
      </c>
      <c r="BR17" s="9">
        <v>9</v>
      </c>
      <c r="BS17" s="9">
        <v>7</v>
      </c>
      <c r="BT17" s="9">
        <v>0</v>
      </c>
      <c r="BU17" s="27">
        <f t="shared" si="6"/>
        <v>5.333333333333333</v>
      </c>
      <c r="BV17" s="9"/>
      <c r="BW17" s="2">
        <f t="shared" si="7"/>
        <v>12.833333333333332</v>
      </c>
    </row>
    <row r="18" spans="1:75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v>25</v>
      </c>
      <c r="BC18" s="9"/>
      <c r="BD18" s="9">
        <f t="shared" si="0"/>
        <v>25</v>
      </c>
      <c r="BE18" s="9">
        <v>33</v>
      </c>
      <c r="BF18" s="25">
        <f t="shared" si="1"/>
        <v>75.757575757575751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9">
        <f t="shared" ref="BK18:BL18" si="18">BD18</f>
        <v>25</v>
      </c>
      <c r="BL18" s="9">
        <f t="shared" si="18"/>
        <v>33</v>
      </c>
      <c r="BM18" s="2">
        <f t="shared" si="3"/>
        <v>75.757575757575751</v>
      </c>
      <c r="BN18" s="9" t="str">
        <f t="shared" si="4"/>
        <v>2</v>
      </c>
      <c r="BO18" s="9">
        <v>0</v>
      </c>
      <c r="BP18" s="9">
        <v>15</v>
      </c>
      <c r="BQ18" s="27">
        <f t="shared" si="5"/>
        <v>7.5</v>
      </c>
      <c r="BR18" s="9">
        <v>7</v>
      </c>
      <c r="BS18" s="9">
        <v>7</v>
      </c>
      <c r="BT18" s="9">
        <v>9</v>
      </c>
      <c r="BU18" s="27">
        <f t="shared" si="6"/>
        <v>7.666666666666667</v>
      </c>
      <c r="BV18" s="9"/>
      <c r="BW18" s="2">
        <f t="shared" si="7"/>
        <v>17.166666666666668</v>
      </c>
    </row>
    <row r="19" spans="1:75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v>32</v>
      </c>
      <c r="BC19" s="9"/>
      <c r="BD19" s="9">
        <f t="shared" si="0"/>
        <v>32</v>
      </c>
      <c r="BE19" s="9">
        <v>33</v>
      </c>
      <c r="BF19" s="25">
        <f t="shared" si="1"/>
        <v>96.969696969696969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9">
        <f t="shared" ref="BK19:BL19" si="19">BD19</f>
        <v>32</v>
      </c>
      <c r="BL19" s="9">
        <f t="shared" si="19"/>
        <v>33</v>
      </c>
      <c r="BM19" s="2">
        <f t="shared" si="3"/>
        <v>96.969696969696969</v>
      </c>
      <c r="BN19" s="9" t="str">
        <f t="shared" si="4"/>
        <v>6</v>
      </c>
      <c r="BO19" s="9">
        <v>10</v>
      </c>
      <c r="BP19" s="9">
        <v>16</v>
      </c>
      <c r="BQ19" s="27">
        <f t="shared" si="5"/>
        <v>13</v>
      </c>
      <c r="BR19" s="9">
        <v>8</v>
      </c>
      <c r="BS19" s="9">
        <v>8</v>
      </c>
      <c r="BT19" s="9">
        <v>9</v>
      </c>
      <c r="BU19" s="27">
        <f t="shared" si="6"/>
        <v>8.3333333333333339</v>
      </c>
      <c r="BV19" s="9">
        <v>5</v>
      </c>
      <c r="BW19" s="2">
        <f t="shared" si="7"/>
        <v>32.333333333333336</v>
      </c>
    </row>
    <row r="20" spans="1:75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20</v>
      </c>
      <c r="BC20" s="9"/>
      <c r="BD20" s="9">
        <f t="shared" si="0"/>
        <v>20</v>
      </c>
      <c r="BE20" s="9">
        <v>33</v>
      </c>
      <c r="BF20" s="25">
        <f t="shared" si="1"/>
        <v>60.606060606060609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9">
        <f t="shared" ref="BK20:BL20" si="20">BD20</f>
        <v>20</v>
      </c>
      <c r="BL20" s="9">
        <f t="shared" si="20"/>
        <v>33</v>
      </c>
      <c r="BM20" s="2">
        <f t="shared" si="3"/>
        <v>60.606060606060609</v>
      </c>
      <c r="BN20" s="9" t="str">
        <f t="shared" si="4"/>
        <v>0</v>
      </c>
      <c r="BO20" s="9">
        <v>0</v>
      </c>
      <c r="BP20" s="9">
        <v>8</v>
      </c>
      <c r="BQ20" s="27">
        <f t="shared" si="5"/>
        <v>4</v>
      </c>
      <c r="BR20" s="9">
        <v>8</v>
      </c>
      <c r="BS20" s="9">
        <v>8</v>
      </c>
      <c r="BT20" s="9">
        <v>9</v>
      </c>
      <c r="BU20" s="27">
        <f t="shared" si="6"/>
        <v>8.3333333333333339</v>
      </c>
      <c r="BV20" s="9">
        <v>5</v>
      </c>
      <c r="BW20" s="2">
        <f t="shared" si="7"/>
        <v>17.333333333333336</v>
      </c>
    </row>
    <row r="21" spans="1:75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v>26</v>
      </c>
      <c r="BC21" s="9"/>
      <c r="BD21" s="9">
        <f t="shared" si="0"/>
        <v>26</v>
      </c>
      <c r="BE21" s="9">
        <v>33</v>
      </c>
      <c r="BF21" s="25">
        <f t="shared" si="1"/>
        <v>78.787878787878782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9">
        <f t="shared" ref="BK21:BL21" si="21">BD21</f>
        <v>26</v>
      </c>
      <c r="BL21" s="9">
        <f t="shared" si="21"/>
        <v>33</v>
      </c>
      <c r="BM21" s="2">
        <f t="shared" si="3"/>
        <v>78.787878787878782</v>
      </c>
      <c r="BN21" s="9" t="str">
        <f t="shared" si="4"/>
        <v>2</v>
      </c>
      <c r="BO21" s="9">
        <v>16</v>
      </c>
      <c r="BP21" s="9">
        <v>15</v>
      </c>
      <c r="BQ21" s="27">
        <f t="shared" si="5"/>
        <v>15.5</v>
      </c>
      <c r="BR21" s="9">
        <v>8</v>
      </c>
      <c r="BS21" s="9">
        <v>8</v>
      </c>
      <c r="BT21" s="9">
        <v>9</v>
      </c>
      <c r="BU21" s="27">
        <f t="shared" si="6"/>
        <v>8.3333333333333339</v>
      </c>
      <c r="BV21" s="9"/>
      <c r="BW21" s="2">
        <f t="shared" si="7"/>
        <v>25.833333333333336</v>
      </c>
    </row>
    <row r="22" spans="1:75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v>28</v>
      </c>
      <c r="BC22" s="9"/>
      <c r="BD22" s="9">
        <f t="shared" si="0"/>
        <v>28</v>
      </c>
      <c r="BE22" s="9">
        <v>33</v>
      </c>
      <c r="BF22" s="25">
        <f t="shared" si="1"/>
        <v>84.848484848484844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9">
        <f t="shared" ref="BK22:BL22" si="22">BD22</f>
        <v>28</v>
      </c>
      <c r="BL22" s="9">
        <f t="shared" si="22"/>
        <v>33</v>
      </c>
      <c r="BM22" s="2">
        <f t="shared" si="3"/>
        <v>84.848484848484844</v>
      </c>
      <c r="BN22" s="9" t="str">
        <f t="shared" si="4"/>
        <v>3</v>
      </c>
      <c r="BO22" s="9">
        <v>7</v>
      </c>
      <c r="BP22" s="9">
        <v>15</v>
      </c>
      <c r="BQ22" s="27">
        <f t="shared" si="5"/>
        <v>11</v>
      </c>
      <c r="BR22" s="9">
        <v>9</v>
      </c>
      <c r="BS22" s="9">
        <v>8</v>
      </c>
      <c r="BT22" s="9">
        <v>9</v>
      </c>
      <c r="BU22" s="27">
        <f t="shared" si="6"/>
        <v>8.6666666666666661</v>
      </c>
      <c r="BV22" s="9">
        <v>5</v>
      </c>
      <c r="BW22" s="2">
        <f t="shared" si="7"/>
        <v>27.666666666666664</v>
      </c>
    </row>
    <row r="23" spans="1:75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v>26</v>
      </c>
      <c r="BC23" s="9"/>
      <c r="BD23" s="9">
        <f t="shared" si="0"/>
        <v>26</v>
      </c>
      <c r="BE23" s="9">
        <v>33</v>
      </c>
      <c r="BF23" s="25">
        <f t="shared" si="1"/>
        <v>78.787878787878782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9">
        <f t="shared" ref="BK23:BL23" si="23">BD23</f>
        <v>26</v>
      </c>
      <c r="BL23" s="9">
        <f t="shared" si="23"/>
        <v>33</v>
      </c>
      <c r="BM23" s="2">
        <f t="shared" si="3"/>
        <v>78.787878787878782</v>
      </c>
      <c r="BN23" s="9" t="str">
        <f t="shared" si="4"/>
        <v>2</v>
      </c>
      <c r="BO23" s="9">
        <v>9</v>
      </c>
      <c r="BP23" s="9">
        <v>10</v>
      </c>
      <c r="BQ23" s="27">
        <f t="shared" si="5"/>
        <v>9.5</v>
      </c>
      <c r="BR23" s="9">
        <v>8</v>
      </c>
      <c r="BS23" s="9">
        <v>9</v>
      </c>
      <c r="BT23" s="9">
        <v>9</v>
      </c>
      <c r="BU23" s="27">
        <f t="shared" si="6"/>
        <v>8.6666666666666661</v>
      </c>
      <c r="BV23" s="9">
        <v>5</v>
      </c>
      <c r="BW23" s="2">
        <f t="shared" si="7"/>
        <v>25.166666666666664</v>
      </c>
    </row>
    <row r="24" spans="1:75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>
        <v>27</v>
      </c>
      <c r="BC24" s="9"/>
      <c r="BD24" s="9">
        <f t="shared" si="0"/>
        <v>27</v>
      </c>
      <c r="BE24" s="9">
        <v>33</v>
      </c>
      <c r="BF24" s="25">
        <f t="shared" si="1"/>
        <v>81.818181818181827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9">
        <f t="shared" ref="BK24:BL24" si="24">BD24</f>
        <v>27</v>
      </c>
      <c r="BL24" s="9">
        <f t="shared" si="24"/>
        <v>33</v>
      </c>
      <c r="BM24" s="2">
        <f t="shared" si="3"/>
        <v>81.818181818181827</v>
      </c>
      <c r="BN24" s="9" t="str">
        <f t="shared" si="4"/>
        <v>3</v>
      </c>
      <c r="BO24" s="9">
        <v>14</v>
      </c>
      <c r="BP24" s="9">
        <v>21</v>
      </c>
      <c r="BQ24" s="27">
        <f t="shared" si="5"/>
        <v>17.5</v>
      </c>
      <c r="BR24" s="9">
        <v>9</v>
      </c>
      <c r="BS24" s="9">
        <v>9</v>
      </c>
      <c r="BT24" s="9">
        <v>9</v>
      </c>
      <c r="BU24" s="27">
        <f t="shared" si="6"/>
        <v>9</v>
      </c>
      <c r="BV24" s="9"/>
      <c r="BW24" s="2">
        <f t="shared" si="7"/>
        <v>29.5</v>
      </c>
    </row>
    <row r="25" spans="1:75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25</v>
      </c>
      <c r="BC25" s="9">
        <v>2</v>
      </c>
      <c r="BD25" s="9">
        <f t="shared" si="0"/>
        <v>27</v>
      </c>
      <c r="BE25" s="9">
        <v>33</v>
      </c>
      <c r="BF25" s="25">
        <f t="shared" si="1"/>
        <v>81.818181818181827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9">
        <f t="shared" ref="BK25:BL25" si="25">BD25</f>
        <v>27</v>
      </c>
      <c r="BL25" s="9">
        <f t="shared" si="25"/>
        <v>33</v>
      </c>
      <c r="BM25" s="2">
        <f t="shared" si="3"/>
        <v>81.818181818181827</v>
      </c>
      <c r="BN25" s="9" t="str">
        <f t="shared" si="4"/>
        <v>3</v>
      </c>
      <c r="BO25" s="9">
        <v>6</v>
      </c>
      <c r="BP25" s="9">
        <v>19</v>
      </c>
      <c r="BQ25" s="27">
        <f t="shared" si="5"/>
        <v>12.5</v>
      </c>
      <c r="BR25" s="9">
        <v>9</v>
      </c>
      <c r="BS25" s="9">
        <v>9</v>
      </c>
      <c r="BT25" s="9">
        <v>9</v>
      </c>
      <c r="BU25" s="27">
        <f t="shared" si="6"/>
        <v>9</v>
      </c>
      <c r="BV25" s="9">
        <v>5</v>
      </c>
      <c r="BW25" s="2">
        <f t="shared" si="7"/>
        <v>29.5</v>
      </c>
    </row>
    <row r="26" spans="1:75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>
        <v>26</v>
      </c>
      <c r="BC26" s="9"/>
      <c r="BD26" s="9">
        <f t="shared" si="0"/>
        <v>26</v>
      </c>
      <c r="BE26" s="9">
        <v>33</v>
      </c>
      <c r="BF26" s="25">
        <f t="shared" si="1"/>
        <v>78.787878787878782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9">
        <f t="shared" ref="BK26:BL26" si="26">BD26</f>
        <v>26</v>
      </c>
      <c r="BL26" s="9">
        <f t="shared" si="26"/>
        <v>33</v>
      </c>
      <c r="BM26" s="2">
        <f t="shared" si="3"/>
        <v>78.787878787878782</v>
      </c>
      <c r="BN26" s="9" t="str">
        <f t="shared" si="4"/>
        <v>2</v>
      </c>
      <c r="BO26" s="9">
        <v>8</v>
      </c>
      <c r="BP26" s="9">
        <v>14</v>
      </c>
      <c r="BQ26" s="27">
        <f t="shared" si="5"/>
        <v>11</v>
      </c>
      <c r="BR26" s="9">
        <v>8</v>
      </c>
      <c r="BS26" s="9">
        <v>8</v>
      </c>
      <c r="BT26" s="9">
        <v>7</v>
      </c>
      <c r="BU26" s="27">
        <f t="shared" si="6"/>
        <v>7.666666666666667</v>
      </c>
      <c r="BV26" s="9"/>
      <c r="BW26" s="2">
        <f t="shared" si="7"/>
        <v>20.666666666666668</v>
      </c>
    </row>
    <row r="27" spans="1:75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v>7</v>
      </c>
      <c r="BC27" s="9"/>
      <c r="BD27" s="9">
        <f t="shared" si="0"/>
        <v>7</v>
      </c>
      <c r="BE27" s="9">
        <v>33</v>
      </c>
      <c r="BF27" s="25">
        <f t="shared" si="1"/>
        <v>21.212121212121211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9">
        <f t="shared" ref="BK27:BL27" si="27">BD27</f>
        <v>7</v>
      </c>
      <c r="BL27" s="9">
        <f t="shared" si="27"/>
        <v>33</v>
      </c>
      <c r="BM27" s="2">
        <f t="shared" si="3"/>
        <v>21.212121212121211</v>
      </c>
      <c r="BN27" s="9" t="str">
        <f t="shared" si="4"/>
        <v>0</v>
      </c>
      <c r="BO27" s="9">
        <v>0</v>
      </c>
      <c r="BP27" s="9">
        <v>0</v>
      </c>
      <c r="BQ27" s="27">
        <f t="shared" si="5"/>
        <v>0</v>
      </c>
      <c r="BR27" s="9">
        <v>0</v>
      </c>
      <c r="BS27" s="9">
        <v>0</v>
      </c>
      <c r="BT27" s="9">
        <v>0</v>
      </c>
      <c r="BU27" s="27">
        <f t="shared" si="6"/>
        <v>0</v>
      </c>
      <c r="BV27" s="9"/>
      <c r="BW27" s="2">
        <f t="shared" si="7"/>
        <v>0</v>
      </c>
    </row>
    <row r="28" spans="1:75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21</v>
      </c>
      <c r="BC28" s="9">
        <v>1</v>
      </c>
      <c r="BD28" s="9">
        <f t="shared" si="0"/>
        <v>22</v>
      </c>
      <c r="BE28" s="9">
        <v>33</v>
      </c>
      <c r="BF28" s="25">
        <f t="shared" si="1"/>
        <v>66.666666666666657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9">
        <f t="shared" ref="BK28:BL28" si="28">BD28</f>
        <v>22</v>
      </c>
      <c r="BL28" s="9">
        <f t="shared" si="28"/>
        <v>33</v>
      </c>
      <c r="BM28" s="2">
        <f t="shared" si="3"/>
        <v>66.666666666666657</v>
      </c>
      <c r="BN28" s="9" t="str">
        <f t="shared" si="4"/>
        <v>0</v>
      </c>
      <c r="BO28" s="9">
        <v>0</v>
      </c>
      <c r="BP28" s="9">
        <v>0</v>
      </c>
      <c r="BQ28" s="27">
        <f t="shared" si="5"/>
        <v>0</v>
      </c>
      <c r="BR28" s="9">
        <v>8</v>
      </c>
      <c r="BS28" s="9">
        <v>9</v>
      </c>
      <c r="BT28" s="9">
        <v>9</v>
      </c>
      <c r="BU28" s="27">
        <f t="shared" si="6"/>
        <v>8.6666666666666661</v>
      </c>
      <c r="BV28" s="9">
        <v>5</v>
      </c>
      <c r="BW28" s="2">
        <f t="shared" si="7"/>
        <v>13.666666666666666</v>
      </c>
    </row>
    <row r="29" spans="1:75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>
        <v>24</v>
      </c>
      <c r="BC29" s="9">
        <v>1</v>
      </c>
      <c r="BD29" s="9">
        <f t="shared" si="0"/>
        <v>25</v>
      </c>
      <c r="BE29" s="9">
        <v>33</v>
      </c>
      <c r="BF29" s="25">
        <f t="shared" si="1"/>
        <v>75.757575757575751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9">
        <f t="shared" ref="BK29:BL29" si="29">BD29</f>
        <v>25</v>
      </c>
      <c r="BL29" s="9">
        <f t="shared" si="29"/>
        <v>33</v>
      </c>
      <c r="BM29" s="2">
        <f t="shared" si="3"/>
        <v>75.757575757575751</v>
      </c>
      <c r="BN29" s="9" t="str">
        <f t="shared" si="4"/>
        <v>2</v>
      </c>
      <c r="BO29" s="9">
        <v>12</v>
      </c>
      <c r="BP29" s="9">
        <v>19</v>
      </c>
      <c r="BQ29" s="27">
        <f t="shared" si="5"/>
        <v>15.5</v>
      </c>
      <c r="BR29" s="9">
        <v>7</v>
      </c>
      <c r="BS29" s="9">
        <v>8</v>
      </c>
      <c r="BT29" s="9">
        <v>9</v>
      </c>
      <c r="BU29" s="27">
        <f t="shared" si="6"/>
        <v>8</v>
      </c>
      <c r="BV29" s="9"/>
      <c r="BW29" s="2">
        <f t="shared" si="7"/>
        <v>25.5</v>
      </c>
    </row>
    <row r="30" spans="1:75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>
        <v>21</v>
      </c>
      <c r="BC30" s="9">
        <v>2</v>
      </c>
      <c r="BD30" s="9">
        <f t="shared" si="0"/>
        <v>23</v>
      </c>
      <c r="BE30" s="9">
        <v>33</v>
      </c>
      <c r="BF30" s="25">
        <f t="shared" si="1"/>
        <v>69.696969696969703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9">
        <f t="shared" ref="BK30:BL30" si="30">BD30</f>
        <v>23</v>
      </c>
      <c r="BL30" s="9">
        <f t="shared" si="30"/>
        <v>33</v>
      </c>
      <c r="BM30" s="2">
        <f t="shared" si="3"/>
        <v>69.696969696969703</v>
      </c>
      <c r="BN30" s="9" t="str">
        <f t="shared" si="4"/>
        <v>0</v>
      </c>
      <c r="BO30" s="9">
        <v>8</v>
      </c>
      <c r="BP30" s="9">
        <v>18</v>
      </c>
      <c r="BQ30" s="27">
        <f t="shared" si="5"/>
        <v>13</v>
      </c>
      <c r="BR30" s="9">
        <v>9</v>
      </c>
      <c r="BS30" s="9">
        <v>9</v>
      </c>
      <c r="BT30" s="9">
        <v>9</v>
      </c>
      <c r="BU30" s="27">
        <f t="shared" si="6"/>
        <v>9</v>
      </c>
      <c r="BV30" s="9">
        <v>5</v>
      </c>
      <c r="BW30" s="2">
        <f t="shared" si="7"/>
        <v>27</v>
      </c>
    </row>
    <row r="31" spans="1:75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>
        <v>24</v>
      </c>
      <c r="BC31" s="9"/>
      <c r="BD31" s="9">
        <f t="shared" si="0"/>
        <v>24</v>
      </c>
      <c r="BE31" s="9">
        <v>33</v>
      </c>
      <c r="BF31" s="25">
        <f t="shared" si="1"/>
        <v>72.727272727272734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9">
        <f t="shared" ref="BK31:BL31" si="31">BD31</f>
        <v>24</v>
      </c>
      <c r="BL31" s="9">
        <f t="shared" si="31"/>
        <v>33</v>
      </c>
      <c r="BM31" s="2">
        <f t="shared" si="3"/>
        <v>72.727272727272734</v>
      </c>
      <c r="BN31" s="9" t="str">
        <f t="shared" si="4"/>
        <v>0</v>
      </c>
      <c r="BO31" s="9">
        <v>10</v>
      </c>
      <c r="BP31" s="9">
        <v>16</v>
      </c>
      <c r="BQ31" s="27">
        <f t="shared" si="5"/>
        <v>13</v>
      </c>
      <c r="BR31" s="9">
        <v>8</v>
      </c>
      <c r="BS31" s="9">
        <v>9</v>
      </c>
      <c r="BT31" s="9">
        <v>8</v>
      </c>
      <c r="BU31" s="27">
        <f t="shared" si="6"/>
        <v>8.3333333333333339</v>
      </c>
      <c r="BV31" s="9">
        <v>5</v>
      </c>
      <c r="BW31" s="2">
        <f t="shared" si="7"/>
        <v>26.333333333333336</v>
      </c>
    </row>
    <row r="32" spans="1:75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>
        <v>9</v>
      </c>
      <c r="BC32" s="9"/>
      <c r="BD32" s="9">
        <f t="shared" si="0"/>
        <v>9</v>
      </c>
      <c r="BE32" s="9">
        <v>33</v>
      </c>
      <c r="BF32" s="25">
        <f t="shared" si="1"/>
        <v>27.27272727272727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9">
        <f t="shared" ref="BK32:BL32" si="32">BD32</f>
        <v>9</v>
      </c>
      <c r="BL32" s="9">
        <f t="shared" si="32"/>
        <v>33</v>
      </c>
      <c r="BM32" s="2">
        <f t="shared" si="3"/>
        <v>27.27272727272727</v>
      </c>
      <c r="BN32" s="9" t="str">
        <f t="shared" si="4"/>
        <v>0</v>
      </c>
      <c r="BO32" s="9">
        <v>0</v>
      </c>
      <c r="BP32" s="9">
        <v>14</v>
      </c>
      <c r="BQ32" s="27">
        <f t="shared" si="5"/>
        <v>7</v>
      </c>
      <c r="BR32" s="9">
        <v>8</v>
      </c>
      <c r="BS32" s="9">
        <v>9</v>
      </c>
      <c r="BT32" s="9">
        <v>9</v>
      </c>
      <c r="BU32" s="27">
        <f t="shared" si="6"/>
        <v>8.6666666666666661</v>
      </c>
      <c r="BV32" s="9"/>
      <c r="BW32" s="2">
        <f t="shared" si="7"/>
        <v>15.666666666666666</v>
      </c>
    </row>
    <row r="33" spans="1:75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>
        <v>29</v>
      </c>
      <c r="BC33" s="9"/>
      <c r="BD33" s="9">
        <f t="shared" si="0"/>
        <v>29</v>
      </c>
      <c r="BE33" s="9">
        <v>33</v>
      </c>
      <c r="BF33" s="25">
        <f t="shared" si="1"/>
        <v>87.878787878787875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9">
        <f t="shared" ref="BK33:BL33" si="33">BD33</f>
        <v>29</v>
      </c>
      <c r="BL33" s="9">
        <f t="shared" si="33"/>
        <v>33</v>
      </c>
      <c r="BM33" s="2">
        <f t="shared" si="3"/>
        <v>87.878787878787875</v>
      </c>
      <c r="BN33" s="9" t="str">
        <f t="shared" si="4"/>
        <v>4</v>
      </c>
      <c r="BO33" s="9">
        <v>10</v>
      </c>
      <c r="BP33" s="9">
        <v>17</v>
      </c>
      <c r="BQ33" s="27">
        <f t="shared" si="5"/>
        <v>13.5</v>
      </c>
      <c r="BR33" s="9">
        <v>7</v>
      </c>
      <c r="BS33" s="9">
        <v>8</v>
      </c>
      <c r="BT33" s="9">
        <v>9</v>
      </c>
      <c r="BU33" s="27">
        <f t="shared" si="6"/>
        <v>8</v>
      </c>
      <c r="BV33" s="9"/>
      <c r="BW33" s="2">
        <f t="shared" si="7"/>
        <v>25.5</v>
      </c>
    </row>
    <row r="34" spans="1:75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v>23</v>
      </c>
      <c r="BC34" s="9"/>
      <c r="BD34" s="9">
        <f t="shared" si="0"/>
        <v>23</v>
      </c>
      <c r="BE34" s="9">
        <v>33</v>
      </c>
      <c r="BF34" s="25">
        <f t="shared" si="1"/>
        <v>69.696969696969703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9">
        <f t="shared" ref="BK34:BL34" si="34">BD34</f>
        <v>23</v>
      </c>
      <c r="BL34" s="9">
        <f t="shared" si="34"/>
        <v>33</v>
      </c>
      <c r="BM34" s="2">
        <f t="shared" si="3"/>
        <v>69.696969696969703</v>
      </c>
      <c r="BN34" s="9" t="str">
        <f t="shared" si="4"/>
        <v>0</v>
      </c>
      <c r="BO34" s="9">
        <v>6</v>
      </c>
      <c r="BP34" s="9">
        <v>15</v>
      </c>
      <c r="BQ34" s="27">
        <f t="shared" si="5"/>
        <v>10.5</v>
      </c>
      <c r="BR34" s="9">
        <v>8</v>
      </c>
      <c r="BS34" s="9">
        <v>9</v>
      </c>
      <c r="BT34" s="9">
        <v>9</v>
      </c>
      <c r="BU34" s="27">
        <f t="shared" si="6"/>
        <v>8.6666666666666661</v>
      </c>
      <c r="BV34" s="9"/>
      <c r="BW34" s="2">
        <f t="shared" si="7"/>
        <v>19.166666666666664</v>
      </c>
    </row>
    <row r="35" spans="1:75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v>24</v>
      </c>
      <c r="BC35" s="9"/>
      <c r="BD35" s="9">
        <f t="shared" si="0"/>
        <v>24</v>
      </c>
      <c r="BE35" s="9">
        <v>33</v>
      </c>
      <c r="BF35" s="25">
        <f t="shared" si="1"/>
        <v>72.727272727272734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9">
        <f t="shared" ref="BK35:BL35" si="35">BD35</f>
        <v>24</v>
      </c>
      <c r="BL35" s="9">
        <f t="shared" si="35"/>
        <v>33</v>
      </c>
      <c r="BM35" s="2">
        <f t="shared" si="3"/>
        <v>72.727272727272734</v>
      </c>
      <c r="BN35" s="9" t="str">
        <f t="shared" si="4"/>
        <v>0</v>
      </c>
      <c r="BO35" s="9">
        <v>10</v>
      </c>
      <c r="BP35" s="9">
        <v>12</v>
      </c>
      <c r="BQ35" s="27">
        <f t="shared" si="5"/>
        <v>11</v>
      </c>
      <c r="BR35" s="9">
        <v>7</v>
      </c>
      <c r="BS35" s="9">
        <v>7</v>
      </c>
      <c r="BT35" s="9">
        <v>9</v>
      </c>
      <c r="BU35" s="27">
        <f t="shared" si="6"/>
        <v>7.666666666666667</v>
      </c>
      <c r="BV35" s="9"/>
      <c r="BW35" s="2">
        <f t="shared" si="7"/>
        <v>18.666666666666668</v>
      </c>
    </row>
    <row r="36" spans="1:75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v>22</v>
      </c>
      <c r="BC36" s="9">
        <v>2</v>
      </c>
      <c r="BD36" s="9">
        <f t="shared" si="0"/>
        <v>24</v>
      </c>
      <c r="BE36" s="9">
        <v>33</v>
      </c>
      <c r="BF36" s="25">
        <f t="shared" si="1"/>
        <v>72.727272727272734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9">
        <f t="shared" ref="BK36:BL36" si="36">BD36</f>
        <v>24</v>
      </c>
      <c r="BL36" s="9">
        <f t="shared" si="36"/>
        <v>33</v>
      </c>
      <c r="BM36" s="2">
        <f t="shared" si="3"/>
        <v>72.727272727272734</v>
      </c>
      <c r="BN36" s="9" t="str">
        <f t="shared" si="4"/>
        <v>0</v>
      </c>
      <c r="BO36" s="9">
        <v>0</v>
      </c>
      <c r="BP36" s="9">
        <v>0</v>
      </c>
      <c r="BQ36" s="27">
        <f t="shared" si="5"/>
        <v>0</v>
      </c>
      <c r="BR36" s="9">
        <v>8</v>
      </c>
      <c r="BS36" s="9">
        <v>8</v>
      </c>
      <c r="BT36" s="9">
        <v>9</v>
      </c>
      <c r="BU36" s="27">
        <f t="shared" si="6"/>
        <v>8.3333333333333339</v>
      </c>
      <c r="BV36" s="9"/>
      <c r="BW36" s="2">
        <f t="shared" si="7"/>
        <v>8.3333333333333339</v>
      </c>
    </row>
    <row r="37" spans="1:75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v>9</v>
      </c>
      <c r="BC37" s="9"/>
      <c r="BD37" s="9">
        <f t="shared" si="0"/>
        <v>9</v>
      </c>
      <c r="BE37" s="9">
        <v>33</v>
      </c>
      <c r="BF37" s="25">
        <f t="shared" si="1"/>
        <v>27.27272727272727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9">
        <f t="shared" ref="BK37:BL37" si="37">BD37</f>
        <v>9</v>
      </c>
      <c r="BL37" s="9">
        <f t="shared" si="37"/>
        <v>33</v>
      </c>
      <c r="BM37" s="2">
        <f t="shared" si="3"/>
        <v>27.27272727272727</v>
      </c>
      <c r="BN37" s="9" t="str">
        <f t="shared" si="4"/>
        <v>0</v>
      </c>
      <c r="BO37" s="9">
        <v>0</v>
      </c>
      <c r="BP37" s="9">
        <v>0</v>
      </c>
      <c r="BQ37" s="27">
        <f t="shared" si="5"/>
        <v>0</v>
      </c>
      <c r="BR37" s="9">
        <v>8</v>
      </c>
      <c r="BS37" s="9">
        <v>0</v>
      </c>
      <c r="BT37" s="9">
        <v>0</v>
      </c>
      <c r="BU37" s="27">
        <f t="shared" si="6"/>
        <v>2.6666666666666665</v>
      </c>
      <c r="BV37" s="9"/>
      <c r="BW37" s="2">
        <f t="shared" si="7"/>
        <v>2.6666666666666665</v>
      </c>
    </row>
    <row r="38" spans="1:75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f>COUNTIF(D38:BA38,"P")</f>
        <v>0</v>
      </c>
      <c r="BC38" s="9"/>
      <c r="BD38" s="9">
        <f t="shared" si="0"/>
        <v>0</v>
      </c>
      <c r="BE38" s="9">
        <v>33</v>
      </c>
      <c r="BF38" s="25">
        <f t="shared" si="1"/>
        <v>0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9">
        <f t="shared" ref="BK38:BL38" si="38">BD38</f>
        <v>0</v>
      </c>
      <c r="BL38" s="9">
        <f t="shared" si="38"/>
        <v>33</v>
      </c>
      <c r="BM38" s="2">
        <f t="shared" si="3"/>
        <v>0</v>
      </c>
      <c r="BN38" s="9" t="str">
        <f t="shared" si="4"/>
        <v>0</v>
      </c>
      <c r="BO38" s="9">
        <v>0</v>
      </c>
      <c r="BP38" s="9">
        <v>0</v>
      </c>
      <c r="BQ38" s="27">
        <f t="shared" si="5"/>
        <v>0</v>
      </c>
      <c r="BR38" s="9">
        <v>0</v>
      </c>
      <c r="BS38" s="9">
        <v>0</v>
      </c>
      <c r="BT38" s="9">
        <v>0</v>
      </c>
      <c r="BU38" s="27">
        <f t="shared" si="6"/>
        <v>0</v>
      </c>
      <c r="BV38" s="9"/>
      <c r="BW38" s="2">
        <f t="shared" si="7"/>
        <v>0</v>
      </c>
    </row>
    <row r="39" spans="1:75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>
        <v>25</v>
      </c>
      <c r="BC39" s="9"/>
      <c r="BD39" s="9">
        <f t="shared" si="0"/>
        <v>25</v>
      </c>
      <c r="BE39" s="9">
        <v>33</v>
      </c>
      <c r="BF39" s="25">
        <f t="shared" si="1"/>
        <v>75.757575757575751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9">
        <f t="shared" ref="BK39:BL39" si="39">BD39</f>
        <v>25</v>
      </c>
      <c r="BL39" s="9">
        <f t="shared" si="39"/>
        <v>33</v>
      </c>
      <c r="BM39" s="2">
        <f t="shared" si="3"/>
        <v>75.757575757575751</v>
      </c>
      <c r="BN39" s="9" t="str">
        <f t="shared" si="4"/>
        <v>2</v>
      </c>
      <c r="BO39" s="9">
        <v>8</v>
      </c>
      <c r="BP39" s="9">
        <v>17</v>
      </c>
      <c r="BQ39" s="27">
        <f t="shared" si="5"/>
        <v>12.5</v>
      </c>
      <c r="BR39" s="9">
        <v>8</v>
      </c>
      <c r="BS39" s="9">
        <v>8</v>
      </c>
      <c r="BT39" s="9">
        <v>9</v>
      </c>
      <c r="BU39" s="27">
        <f t="shared" si="6"/>
        <v>8.3333333333333339</v>
      </c>
      <c r="BV39" s="9">
        <v>5</v>
      </c>
      <c r="BW39" s="2">
        <f t="shared" si="7"/>
        <v>27.833333333333336</v>
      </c>
    </row>
    <row r="40" spans="1:75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v>3</v>
      </c>
      <c r="BC40" s="9"/>
      <c r="BD40" s="9">
        <f t="shared" si="0"/>
        <v>3</v>
      </c>
      <c r="BE40" s="9">
        <v>33</v>
      </c>
      <c r="BF40" s="25">
        <f t="shared" si="1"/>
        <v>9.0909090909090917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9">
        <f t="shared" ref="BK40:BL40" si="40">BD40</f>
        <v>3</v>
      </c>
      <c r="BL40" s="9">
        <f t="shared" si="40"/>
        <v>33</v>
      </c>
      <c r="BM40" s="2">
        <f t="shared" si="3"/>
        <v>9.0909090909090917</v>
      </c>
      <c r="BN40" s="9" t="str">
        <f t="shared" si="4"/>
        <v>0</v>
      </c>
      <c r="BO40" s="9">
        <v>0</v>
      </c>
      <c r="BP40" s="9">
        <v>0</v>
      </c>
      <c r="BQ40" s="27">
        <f t="shared" si="5"/>
        <v>0</v>
      </c>
      <c r="BR40" s="9">
        <v>0</v>
      </c>
      <c r="BS40" s="9">
        <v>0</v>
      </c>
      <c r="BT40" s="9">
        <v>0</v>
      </c>
      <c r="BU40" s="27">
        <f t="shared" si="6"/>
        <v>0</v>
      </c>
      <c r="BV40" s="9"/>
      <c r="BW40" s="2">
        <f t="shared" si="7"/>
        <v>0</v>
      </c>
    </row>
    <row r="41" spans="1:75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>
        <v>29</v>
      </c>
      <c r="BC41" s="9"/>
      <c r="BD41" s="9">
        <f t="shared" si="0"/>
        <v>29</v>
      </c>
      <c r="BE41" s="9">
        <v>33</v>
      </c>
      <c r="BF41" s="25">
        <f t="shared" si="1"/>
        <v>87.878787878787875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9">
        <f t="shared" ref="BK41:BL41" si="41">BD41</f>
        <v>29</v>
      </c>
      <c r="BL41" s="9">
        <f t="shared" si="41"/>
        <v>33</v>
      </c>
      <c r="BM41" s="2">
        <f t="shared" si="3"/>
        <v>87.878787878787875</v>
      </c>
      <c r="BN41" s="9" t="str">
        <f t="shared" si="4"/>
        <v>4</v>
      </c>
      <c r="BO41" s="9">
        <v>11</v>
      </c>
      <c r="BP41" s="9">
        <v>18</v>
      </c>
      <c r="BQ41" s="27">
        <f t="shared" si="5"/>
        <v>14.5</v>
      </c>
      <c r="BR41" s="9">
        <v>9</v>
      </c>
      <c r="BS41" s="9">
        <v>9</v>
      </c>
      <c r="BT41" s="9">
        <v>9</v>
      </c>
      <c r="BU41" s="27">
        <f t="shared" si="6"/>
        <v>9</v>
      </c>
      <c r="BV41" s="9">
        <v>5</v>
      </c>
      <c r="BW41" s="2">
        <f t="shared" si="7"/>
        <v>32.5</v>
      </c>
    </row>
    <row r="42" spans="1:75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>
        <v>32</v>
      </c>
      <c r="BC42" s="9"/>
      <c r="BD42" s="9">
        <f t="shared" si="0"/>
        <v>32</v>
      </c>
      <c r="BE42" s="9">
        <v>33</v>
      </c>
      <c r="BF42" s="25">
        <f t="shared" si="1"/>
        <v>96.969696969696969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9">
        <f t="shared" ref="BK42:BL42" si="42">BD42</f>
        <v>32</v>
      </c>
      <c r="BL42" s="9">
        <f t="shared" si="42"/>
        <v>33</v>
      </c>
      <c r="BM42" s="2">
        <f t="shared" si="3"/>
        <v>96.969696969696969</v>
      </c>
      <c r="BN42" s="9" t="str">
        <f t="shared" si="4"/>
        <v>6</v>
      </c>
      <c r="BO42" s="9">
        <v>14</v>
      </c>
      <c r="BP42" s="9">
        <v>21</v>
      </c>
      <c r="BQ42" s="27">
        <f t="shared" si="5"/>
        <v>17.5</v>
      </c>
      <c r="BR42" s="9">
        <v>9</v>
      </c>
      <c r="BS42" s="9">
        <v>9</v>
      </c>
      <c r="BT42" s="9">
        <v>9</v>
      </c>
      <c r="BU42" s="27">
        <f t="shared" si="6"/>
        <v>9</v>
      </c>
      <c r="BV42" s="9">
        <v>3</v>
      </c>
      <c r="BW42" s="2">
        <f t="shared" si="7"/>
        <v>35.5</v>
      </c>
    </row>
    <row r="43" spans="1:75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>
        <v>28</v>
      </c>
      <c r="BC43" s="9"/>
      <c r="BD43" s="9">
        <f t="shared" si="0"/>
        <v>28</v>
      </c>
      <c r="BE43" s="9">
        <v>33</v>
      </c>
      <c r="BF43" s="25">
        <f t="shared" si="1"/>
        <v>84.848484848484844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9">
        <f t="shared" ref="BK43:BL43" si="43">BD43</f>
        <v>28</v>
      </c>
      <c r="BL43" s="9">
        <f t="shared" si="43"/>
        <v>33</v>
      </c>
      <c r="BM43" s="2">
        <f t="shared" si="3"/>
        <v>84.848484848484844</v>
      </c>
      <c r="BN43" s="9" t="str">
        <f t="shared" si="4"/>
        <v>3</v>
      </c>
      <c r="BO43" s="9">
        <v>16</v>
      </c>
      <c r="BP43" s="9">
        <v>18</v>
      </c>
      <c r="BQ43" s="27">
        <f t="shared" si="5"/>
        <v>17</v>
      </c>
      <c r="BR43" s="9">
        <v>9</v>
      </c>
      <c r="BS43" s="9">
        <v>9</v>
      </c>
      <c r="BT43" s="9">
        <v>9</v>
      </c>
      <c r="BU43" s="27">
        <f t="shared" si="6"/>
        <v>9</v>
      </c>
      <c r="BV43" s="9">
        <v>5</v>
      </c>
      <c r="BW43" s="2">
        <f t="shared" si="7"/>
        <v>34</v>
      </c>
    </row>
    <row r="44" spans="1:75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v>31</v>
      </c>
      <c r="BC44" s="9"/>
      <c r="BD44" s="9">
        <f t="shared" si="0"/>
        <v>31</v>
      </c>
      <c r="BE44" s="9">
        <v>33</v>
      </c>
      <c r="BF44" s="25">
        <f t="shared" si="1"/>
        <v>93.939393939393938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9">
        <f t="shared" ref="BK44:BL44" si="44">BD44</f>
        <v>31</v>
      </c>
      <c r="BL44" s="9">
        <f t="shared" si="44"/>
        <v>33</v>
      </c>
      <c r="BM44" s="2">
        <f t="shared" si="3"/>
        <v>93.939393939393938</v>
      </c>
      <c r="BN44" s="9" t="str">
        <f t="shared" si="4"/>
        <v>5</v>
      </c>
      <c r="BO44" s="9">
        <v>12</v>
      </c>
      <c r="BP44" s="9">
        <v>20</v>
      </c>
      <c r="BQ44" s="27">
        <f t="shared" si="5"/>
        <v>16</v>
      </c>
      <c r="BR44" s="9">
        <v>8</v>
      </c>
      <c r="BS44" s="9">
        <v>9</v>
      </c>
      <c r="BT44" s="9">
        <v>9</v>
      </c>
      <c r="BU44" s="27">
        <f t="shared" si="6"/>
        <v>8.6666666666666661</v>
      </c>
      <c r="BV44" s="9">
        <v>5</v>
      </c>
      <c r="BW44" s="2">
        <f t="shared" si="7"/>
        <v>34.666666666666664</v>
      </c>
    </row>
    <row r="45" spans="1:75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v>25</v>
      </c>
      <c r="BC45" s="9"/>
      <c r="BD45" s="9">
        <f t="shared" si="0"/>
        <v>25</v>
      </c>
      <c r="BE45" s="9">
        <v>33</v>
      </c>
      <c r="BF45" s="25">
        <f t="shared" si="1"/>
        <v>75.757575757575751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9">
        <f t="shared" ref="BK45:BL45" si="45">BD45</f>
        <v>25</v>
      </c>
      <c r="BL45" s="9">
        <f t="shared" si="45"/>
        <v>33</v>
      </c>
      <c r="BM45" s="2">
        <f t="shared" si="3"/>
        <v>75.757575757575751</v>
      </c>
      <c r="BN45" s="9" t="str">
        <f t="shared" si="4"/>
        <v>2</v>
      </c>
      <c r="BO45" s="9">
        <v>3</v>
      </c>
      <c r="BP45" s="9">
        <v>14</v>
      </c>
      <c r="BQ45" s="27">
        <f t="shared" si="5"/>
        <v>8.5</v>
      </c>
      <c r="BR45" s="9">
        <v>9</v>
      </c>
      <c r="BS45" s="9">
        <v>8</v>
      </c>
      <c r="BT45" s="9">
        <v>9</v>
      </c>
      <c r="BU45" s="27">
        <f t="shared" si="6"/>
        <v>8.6666666666666661</v>
      </c>
      <c r="BV45" s="9">
        <v>5</v>
      </c>
      <c r="BW45" s="2">
        <f t="shared" si="7"/>
        <v>24.166666666666664</v>
      </c>
    </row>
    <row r="46" spans="1:75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v>28</v>
      </c>
      <c r="BC46" s="9"/>
      <c r="BD46" s="9">
        <f t="shared" si="0"/>
        <v>28</v>
      </c>
      <c r="BE46" s="9">
        <v>33</v>
      </c>
      <c r="BF46" s="25">
        <f t="shared" si="1"/>
        <v>84.848484848484844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9">
        <f t="shared" ref="BK46:BL46" si="46">BD46</f>
        <v>28</v>
      </c>
      <c r="BL46" s="9">
        <f t="shared" si="46"/>
        <v>33</v>
      </c>
      <c r="BM46" s="2">
        <f t="shared" si="3"/>
        <v>84.848484848484844</v>
      </c>
      <c r="BN46" s="9" t="str">
        <f t="shared" si="4"/>
        <v>3</v>
      </c>
      <c r="BO46" s="9">
        <v>14</v>
      </c>
      <c r="BP46" s="9">
        <v>17</v>
      </c>
      <c r="BQ46" s="27">
        <f t="shared" si="5"/>
        <v>15.5</v>
      </c>
      <c r="BR46" s="9">
        <v>9</v>
      </c>
      <c r="BS46" s="9">
        <v>9</v>
      </c>
      <c r="BT46" s="9">
        <v>9</v>
      </c>
      <c r="BU46" s="27">
        <f t="shared" si="6"/>
        <v>9</v>
      </c>
      <c r="BV46" s="9">
        <v>5</v>
      </c>
      <c r="BW46" s="2">
        <f t="shared" si="7"/>
        <v>32.5</v>
      </c>
    </row>
    <row r="47" spans="1:75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v>25</v>
      </c>
      <c r="BC47" s="9"/>
      <c r="BD47" s="9">
        <f t="shared" si="0"/>
        <v>25</v>
      </c>
      <c r="BE47" s="9">
        <v>33</v>
      </c>
      <c r="BF47" s="25">
        <f t="shared" si="1"/>
        <v>75.757575757575751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9">
        <f t="shared" ref="BK47:BL47" si="47">BD47</f>
        <v>25</v>
      </c>
      <c r="BL47" s="9">
        <f t="shared" si="47"/>
        <v>33</v>
      </c>
      <c r="BM47" s="2">
        <f t="shared" si="3"/>
        <v>75.757575757575751</v>
      </c>
      <c r="BN47" s="9" t="str">
        <f t="shared" si="4"/>
        <v>2</v>
      </c>
      <c r="BO47" s="9">
        <v>11</v>
      </c>
      <c r="BP47" s="9">
        <v>16</v>
      </c>
      <c r="BQ47" s="27">
        <f t="shared" si="5"/>
        <v>13.5</v>
      </c>
      <c r="BR47" s="9">
        <v>8</v>
      </c>
      <c r="BS47" s="9">
        <v>9</v>
      </c>
      <c r="BT47" s="9">
        <v>9</v>
      </c>
      <c r="BU47" s="27">
        <f t="shared" si="6"/>
        <v>8.6666666666666661</v>
      </c>
      <c r="BV47" s="9"/>
      <c r="BW47" s="2">
        <f t="shared" si="7"/>
        <v>24.166666666666664</v>
      </c>
    </row>
    <row r="48" spans="1:75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v>26</v>
      </c>
      <c r="BC48" s="9"/>
      <c r="BD48" s="9">
        <f t="shared" si="0"/>
        <v>26</v>
      </c>
      <c r="BE48" s="9">
        <v>33</v>
      </c>
      <c r="BF48" s="25">
        <f t="shared" si="1"/>
        <v>78.787878787878782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9">
        <f t="shared" ref="BK48:BL48" si="48">BD48</f>
        <v>26</v>
      </c>
      <c r="BL48" s="9">
        <f t="shared" si="48"/>
        <v>33</v>
      </c>
      <c r="BM48" s="2">
        <f t="shared" si="3"/>
        <v>78.787878787878782</v>
      </c>
      <c r="BN48" s="9" t="str">
        <f t="shared" si="4"/>
        <v>2</v>
      </c>
      <c r="BO48" s="9">
        <v>13</v>
      </c>
      <c r="BP48" s="9">
        <v>18</v>
      </c>
      <c r="BQ48" s="27">
        <f t="shared" si="5"/>
        <v>15.5</v>
      </c>
      <c r="BR48" s="9">
        <v>9</v>
      </c>
      <c r="BS48" s="9">
        <v>9</v>
      </c>
      <c r="BT48" s="9">
        <v>9</v>
      </c>
      <c r="BU48" s="27">
        <f t="shared" si="6"/>
        <v>9</v>
      </c>
      <c r="BV48" s="9">
        <v>5</v>
      </c>
      <c r="BW48" s="2">
        <f t="shared" si="7"/>
        <v>31.5</v>
      </c>
    </row>
    <row r="49" spans="1:75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v>23</v>
      </c>
      <c r="BC49" s="9"/>
      <c r="BD49" s="9">
        <f t="shared" si="0"/>
        <v>23</v>
      </c>
      <c r="BE49" s="9">
        <v>33</v>
      </c>
      <c r="BF49" s="25">
        <f t="shared" si="1"/>
        <v>69.696969696969703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9">
        <f t="shared" ref="BK49:BL49" si="49">BD49</f>
        <v>23</v>
      </c>
      <c r="BL49" s="9">
        <f t="shared" si="49"/>
        <v>33</v>
      </c>
      <c r="BM49" s="2">
        <f t="shared" si="3"/>
        <v>69.696969696969703</v>
      </c>
      <c r="BN49" s="9" t="str">
        <f t="shared" si="4"/>
        <v>0</v>
      </c>
      <c r="BO49" s="9">
        <v>9</v>
      </c>
      <c r="BP49" s="9">
        <v>13</v>
      </c>
      <c r="BQ49" s="27">
        <f t="shared" si="5"/>
        <v>11</v>
      </c>
      <c r="BR49" s="9">
        <v>7</v>
      </c>
      <c r="BS49" s="9">
        <v>9</v>
      </c>
      <c r="BT49" s="9">
        <v>9</v>
      </c>
      <c r="BU49" s="27">
        <f t="shared" si="6"/>
        <v>8.3333333333333339</v>
      </c>
      <c r="BV49" s="9"/>
      <c r="BW49" s="2">
        <f t="shared" si="7"/>
        <v>19.333333333333336</v>
      </c>
    </row>
    <row r="50" spans="1:75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v>23</v>
      </c>
      <c r="BC50" s="9"/>
      <c r="BD50" s="9">
        <f t="shared" si="0"/>
        <v>23</v>
      </c>
      <c r="BE50" s="9">
        <v>33</v>
      </c>
      <c r="BF50" s="25">
        <f t="shared" si="1"/>
        <v>69.696969696969703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9">
        <f t="shared" ref="BK50:BL50" si="50">BD50</f>
        <v>23</v>
      </c>
      <c r="BL50" s="9">
        <f t="shared" si="50"/>
        <v>33</v>
      </c>
      <c r="BM50" s="2">
        <f t="shared" si="3"/>
        <v>69.696969696969703</v>
      </c>
      <c r="BN50" s="9" t="str">
        <f t="shared" si="4"/>
        <v>0</v>
      </c>
      <c r="BO50" s="9">
        <v>11</v>
      </c>
      <c r="BP50" s="9">
        <v>12</v>
      </c>
      <c r="BQ50" s="27">
        <f t="shared" si="5"/>
        <v>11.5</v>
      </c>
      <c r="BR50" s="9">
        <v>7</v>
      </c>
      <c r="BS50" s="9">
        <v>8</v>
      </c>
      <c r="BT50" s="9">
        <v>9</v>
      </c>
      <c r="BU50" s="27">
        <f t="shared" si="6"/>
        <v>8</v>
      </c>
      <c r="BV50" s="9">
        <v>5</v>
      </c>
      <c r="BW50" s="2">
        <f t="shared" si="7"/>
        <v>24.5</v>
      </c>
    </row>
    <row r="51" spans="1:75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v>18</v>
      </c>
      <c r="BC51" s="9"/>
      <c r="BD51" s="9">
        <f t="shared" si="0"/>
        <v>18</v>
      </c>
      <c r="BE51" s="9">
        <v>33</v>
      </c>
      <c r="BF51" s="25">
        <f t="shared" si="1"/>
        <v>54.54545454545454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9">
        <f t="shared" ref="BK51:BL51" si="51">BD51</f>
        <v>18</v>
      </c>
      <c r="BL51" s="9">
        <f t="shared" si="51"/>
        <v>33</v>
      </c>
      <c r="BM51" s="2">
        <f t="shared" si="3"/>
        <v>54.54545454545454</v>
      </c>
      <c r="BN51" s="9" t="str">
        <f t="shared" si="4"/>
        <v>0</v>
      </c>
      <c r="BO51" s="9">
        <v>1</v>
      </c>
      <c r="BP51" s="9">
        <v>13</v>
      </c>
      <c r="BQ51" s="27">
        <f t="shared" si="5"/>
        <v>7</v>
      </c>
      <c r="BR51" s="9">
        <v>7</v>
      </c>
      <c r="BS51" s="9">
        <v>9</v>
      </c>
      <c r="BT51" s="9">
        <v>7</v>
      </c>
      <c r="BU51" s="27">
        <f t="shared" si="6"/>
        <v>7.666666666666667</v>
      </c>
      <c r="BV51" s="9">
        <v>5</v>
      </c>
      <c r="BW51" s="2">
        <f t="shared" si="7"/>
        <v>19.666666666666668</v>
      </c>
    </row>
    <row r="52" spans="1:75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v>16</v>
      </c>
      <c r="BC52" s="9"/>
      <c r="BD52" s="9">
        <f t="shared" si="0"/>
        <v>16</v>
      </c>
      <c r="BE52" s="9">
        <v>33</v>
      </c>
      <c r="BF52" s="25">
        <f t="shared" si="1"/>
        <v>48.484848484848484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9">
        <f t="shared" ref="BK52:BL52" si="52">BD52</f>
        <v>16</v>
      </c>
      <c r="BL52" s="9">
        <f t="shared" si="52"/>
        <v>33</v>
      </c>
      <c r="BM52" s="2">
        <f t="shared" si="3"/>
        <v>48.484848484848484</v>
      </c>
      <c r="BN52" s="9" t="str">
        <f t="shared" si="4"/>
        <v>0</v>
      </c>
      <c r="BO52" s="9">
        <v>3</v>
      </c>
      <c r="BP52" s="9">
        <v>12</v>
      </c>
      <c r="BQ52" s="27">
        <f t="shared" si="5"/>
        <v>7.5</v>
      </c>
      <c r="BR52" s="9">
        <v>9</v>
      </c>
      <c r="BS52" s="9">
        <v>8</v>
      </c>
      <c r="BT52" s="9">
        <v>9</v>
      </c>
      <c r="BU52" s="27">
        <f t="shared" si="6"/>
        <v>8.6666666666666661</v>
      </c>
      <c r="BV52" s="9"/>
      <c r="BW52" s="2">
        <f t="shared" si="7"/>
        <v>16.166666666666664</v>
      </c>
    </row>
    <row r="53" spans="1:75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v>24</v>
      </c>
      <c r="BC53" s="9"/>
      <c r="BD53" s="9">
        <f t="shared" si="0"/>
        <v>24</v>
      </c>
      <c r="BE53" s="9">
        <v>33</v>
      </c>
      <c r="BF53" s="25">
        <f t="shared" si="1"/>
        <v>72.727272727272734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9">
        <f t="shared" ref="BK53:BL53" si="53">BD53</f>
        <v>24</v>
      </c>
      <c r="BL53" s="9">
        <f t="shared" si="53"/>
        <v>33</v>
      </c>
      <c r="BM53" s="2">
        <f t="shared" si="3"/>
        <v>72.727272727272734</v>
      </c>
      <c r="BN53" s="9" t="str">
        <f t="shared" si="4"/>
        <v>0</v>
      </c>
      <c r="BO53" s="9">
        <v>18</v>
      </c>
      <c r="BP53" s="9">
        <v>17</v>
      </c>
      <c r="BQ53" s="27">
        <f t="shared" si="5"/>
        <v>17.5</v>
      </c>
      <c r="BR53" s="9">
        <v>8</v>
      </c>
      <c r="BS53" s="9">
        <v>9</v>
      </c>
      <c r="BT53" s="9">
        <v>9</v>
      </c>
      <c r="BU53" s="27">
        <f t="shared" si="6"/>
        <v>8.6666666666666661</v>
      </c>
      <c r="BV53" s="9"/>
      <c r="BW53" s="2">
        <f t="shared" si="7"/>
        <v>26.166666666666664</v>
      </c>
    </row>
    <row r="54" spans="1:75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v>23</v>
      </c>
      <c r="BC54" s="9"/>
      <c r="BD54" s="9">
        <f t="shared" si="0"/>
        <v>23</v>
      </c>
      <c r="BE54" s="9">
        <v>33</v>
      </c>
      <c r="BF54" s="25">
        <f t="shared" si="1"/>
        <v>69.696969696969703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9">
        <f t="shared" ref="BK54:BL54" si="54">BD54</f>
        <v>23</v>
      </c>
      <c r="BL54" s="9">
        <f t="shared" si="54"/>
        <v>33</v>
      </c>
      <c r="BM54" s="2">
        <f t="shared" si="3"/>
        <v>69.696969696969703</v>
      </c>
      <c r="BN54" s="9" t="str">
        <f t="shared" si="4"/>
        <v>0</v>
      </c>
      <c r="BO54" s="9">
        <v>6</v>
      </c>
      <c r="BP54" s="9">
        <v>12</v>
      </c>
      <c r="BQ54" s="27">
        <f t="shared" si="5"/>
        <v>9</v>
      </c>
      <c r="BR54" s="9">
        <v>7</v>
      </c>
      <c r="BS54" s="9">
        <v>8</v>
      </c>
      <c r="BT54" s="9">
        <v>9</v>
      </c>
      <c r="BU54" s="27">
        <f t="shared" si="6"/>
        <v>8</v>
      </c>
      <c r="BV54" s="9">
        <v>5</v>
      </c>
      <c r="BW54" s="2">
        <f t="shared" si="7"/>
        <v>22</v>
      </c>
    </row>
    <row r="55" spans="1:75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v>26</v>
      </c>
      <c r="BC55" s="9"/>
      <c r="BD55" s="9">
        <f t="shared" si="0"/>
        <v>26</v>
      </c>
      <c r="BE55" s="9">
        <v>33</v>
      </c>
      <c r="BF55" s="25">
        <f t="shared" si="1"/>
        <v>78.787878787878782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9">
        <f t="shared" ref="BK55:BL55" si="55">BD55</f>
        <v>26</v>
      </c>
      <c r="BL55" s="9">
        <f t="shared" si="55"/>
        <v>33</v>
      </c>
      <c r="BM55" s="2">
        <f t="shared" si="3"/>
        <v>78.787878787878782</v>
      </c>
      <c r="BN55" s="9" t="str">
        <f t="shared" si="4"/>
        <v>2</v>
      </c>
      <c r="BO55" s="9">
        <v>9</v>
      </c>
      <c r="BP55" s="9">
        <v>16</v>
      </c>
      <c r="BQ55" s="27">
        <f t="shared" si="5"/>
        <v>12.5</v>
      </c>
      <c r="BR55" s="9">
        <v>9</v>
      </c>
      <c r="BS55" s="9">
        <v>8</v>
      </c>
      <c r="BT55" s="9">
        <v>8</v>
      </c>
      <c r="BU55" s="27">
        <f t="shared" si="6"/>
        <v>8.3333333333333339</v>
      </c>
      <c r="BV55" s="9"/>
      <c r="BW55" s="2">
        <f t="shared" si="7"/>
        <v>22.833333333333336</v>
      </c>
    </row>
    <row r="56" spans="1:75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v>26</v>
      </c>
      <c r="BC56" s="9"/>
      <c r="BD56" s="9">
        <f t="shared" si="0"/>
        <v>26</v>
      </c>
      <c r="BE56" s="9">
        <v>33</v>
      </c>
      <c r="BF56" s="25">
        <f t="shared" si="1"/>
        <v>78.787878787878782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9">
        <f t="shared" ref="BK56:BL56" si="56">BD56</f>
        <v>26</v>
      </c>
      <c r="BL56" s="9">
        <f t="shared" si="56"/>
        <v>33</v>
      </c>
      <c r="BM56" s="2">
        <f t="shared" si="3"/>
        <v>78.787878787878782</v>
      </c>
      <c r="BN56" s="9" t="str">
        <f t="shared" si="4"/>
        <v>2</v>
      </c>
      <c r="BO56" s="9">
        <v>9</v>
      </c>
      <c r="BP56" s="9">
        <v>16</v>
      </c>
      <c r="BQ56" s="27">
        <f t="shared" si="5"/>
        <v>12.5</v>
      </c>
      <c r="BR56" s="9">
        <v>8</v>
      </c>
      <c r="BS56" s="9">
        <v>8</v>
      </c>
      <c r="BT56" s="9">
        <v>9</v>
      </c>
      <c r="BU56" s="27">
        <f t="shared" si="6"/>
        <v>8.3333333333333339</v>
      </c>
      <c r="BV56" s="9"/>
      <c r="BW56" s="2">
        <f t="shared" si="7"/>
        <v>22.833333333333336</v>
      </c>
    </row>
    <row r="57" spans="1:75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v>15</v>
      </c>
      <c r="BC57" s="9"/>
      <c r="BD57" s="9">
        <f t="shared" si="0"/>
        <v>15</v>
      </c>
      <c r="BE57" s="9">
        <v>33</v>
      </c>
      <c r="BF57" s="25">
        <f t="shared" si="1"/>
        <v>45.454545454545453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9">
        <f t="shared" ref="BK57:BL57" si="57">BD57</f>
        <v>15</v>
      </c>
      <c r="BL57" s="9">
        <f t="shared" si="57"/>
        <v>33</v>
      </c>
      <c r="BM57" s="2">
        <f t="shared" si="3"/>
        <v>45.454545454545453</v>
      </c>
      <c r="BN57" s="9" t="str">
        <f t="shared" si="4"/>
        <v>0</v>
      </c>
      <c r="BO57" s="9">
        <v>3</v>
      </c>
      <c r="BP57" s="9">
        <v>8</v>
      </c>
      <c r="BQ57" s="27">
        <f t="shared" si="5"/>
        <v>5.5</v>
      </c>
      <c r="BR57" s="9">
        <v>6</v>
      </c>
      <c r="BS57" s="9">
        <v>7</v>
      </c>
      <c r="BT57" s="9">
        <v>6</v>
      </c>
      <c r="BU57" s="27">
        <f t="shared" si="6"/>
        <v>6.333333333333333</v>
      </c>
      <c r="BV57" s="9">
        <v>5</v>
      </c>
      <c r="BW57" s="2">
        <f t="shared" si="7"/>
        <v>16.833333333333332</v>
      </c>
    </row>
    <row r="58" spans="1:75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v>29</v>
      </c>
      <c r="BC58" s="9"/>
      <c r="BD58" s="9">
        <f t="shared" si="0"/>
        <v>29</v>
      </c>
      <c r="BE58" s="9">
        <v>33</v>
      </c>
      <c r="BF58" s="25">
        <f t="shared" si="1"/>
        <v>87.878787878787875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9">
        <f t="shared" ref="BK58:BL58" si="58">BD58</f>
        <v>29</v>
      </c>
      <c r="BL58" s="9">
        <f t="shared" si="58"/>
        <v>33</v>
      </c>
      <c r="BM58" s="2">
        <f t="shared" si="3"/>
        <v>87.878787878787875</v>
      </c>
      <c r="BN58" s="9" t="str">
        <f t="shared" si="4"/>
        <v>4</v>
      </c>
      <c r="BO58" s="28">
        <v>19</v>
      </c>
      <c r="BP58" s="9">
        <v>19</v>
      </c>
      <c r="BQ58" s="27">
        <f t="shared" si="5"/>
        <v>19</v>
      </c>
      <c r="BR58" s="9">
        <v>8</v>
      </c>
      <c r="BS58" s="9">
        <v>9</v>
      </c>
      <c r="BT58" s="9">
        <v>8</v>
      </c>
      <c r="BU58" s="27">
        <f t="shared" si="6"/>
        <v>8.3333333333333339</v>
      </c>
      <c r="BV58" s="9">
        <v>5</v>
      </c>
      <c r="BW58" s="2">
        <f t="shared" si="7"/>
        <v>36.333333333333336</v>
      </c>
    </row>
    <row r="59" spans="1:75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v>24</v>
      </c>
      <c r="BC59" s="9"/>
      <c r="BD59" s="9">
        <f t="shared" si="0"/>
        <v>24</v>
      </c>
      <c r="BE59" s="9">
        <v>33</v>
      </c>
      <c r="BF59" s="25">
        <f t="shared" si="1"/>
        <v>72.727272727272734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9">
        <f t="shared" ref="BK59:BL59" si="59">BD59</f>
        <v>24</v>
      </c>
      <c r="BL59" s="9">
        <f t="shared" si="59"/>
        <v>33</v>
      </c>
      <c r="BM59" s="2">
        <f t="shared" si="3"/>
        <v>72.727272727272734</v>
      </c>
      <c r="BN59" s="9" t="str">
        <f t="shared" si="4"/>
        <v>0</v>
      </c>
      <c r="BO59" s="9">
        <v>4</v>
      </c>
      <c r="BP59" s="9">
        <v>13</v>
      </c>
      <c r="BQ59" s="27">
        <f t="shared" si="5"/>
        <v>8.5</v>
      </c>
      <c r="BR59" s="9">
        <v>9</v>
      </c>
      <c r="BS59" s="9">
        <v>9</v>
      </c>
      <c r="BT59" s="9">
        <v>9</v>
      </c>
      <c r="BU59" s="27">
        <f t="shared" si="6"/>
        <v>9</v>
      </c>
      <c r="BV59" s="9"/>
      <c r="BW59" s="2">
        <f t="shared" si="7"/>
        <v>17.5</v>
      </c>
    </row>
    <row r="60" spans="1:75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v>30</v>
      </c>
      <c r="BC60" s="9"/>
      <c r="BD60" s="9">
        <f t="shared" si="0"/>
        <v>30</v>
      </c>
      <c r="BE60" s="9">
        <v>33</v>
      </c>
      <c r="BF60" s="25">
        <f t="shared" si="1"/>
        <v>90.909090909090907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9">
        <f t="shared" ref="BK60:BL60" si="60">BD60</f>
        <v>30</v>
      </c>
      <c r="BL60" s="9">
        <f t="shared" si="60"/>
        <v>33</v>
      </c>
      <c r="BM60" s="2">
        <f t="shared" si="3"/>
        <v>90.909090909090907</v>
      </c>
      <c r="BN60" s="9" t="str">
        <f t="shared" si="4"/>
        <v>5</v>
      </c>
      <c r="BO60" s="9">
        <v>12</v>
      </c>
      <c r="BP60" s="9">
        <v>18</v>
      </c>
      <c r="BQ60" s="27">
        <f t="shared" si="5"/>
        <v>15</v>
      </c>
      <c r="BR60" s="9">
        <v>9</v>
      </c>
      <c r="BS60" s="9">
        <v>9</v>
      </c>
      <c r="BT60" s="9">
        <v>10</v>
      </c>
      <c r="BU60" s="27">
        <f t="shared" si="6"/>
        <v>9.3333333333333339</v>
      </c>
      <c r="BV60" s="9"/>
      <c r="BW60" s="2">
        <f t="shared" si="7"/>
        <v>29.333333333333336</v>
      </c>
    </row>
    <row r="61" spans="1:75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v>19</v>
      </c>
      <c r="BC61" s="9"/>
      <c r="BD61" s="9">
        <f t="shared" si="0"/>
        <v>19</v>
      </c>
      <c r="BE61" s="9">
        <v>33</v>
      </c>
      <c r="BF61" s="25">
        <f t="shared" si="1"/>
        <v>57.575757575757578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9">
        <f t="shared" ref="BK61:BL61" si="61">BD61</f>
        <v>19</v>
      </c>
      <c r="BL61" s="9">
        <f t="shared" si="61"/>
        <v>33</v>
      </c>
      <c r="BM61" s="2">
        <f t="shared" si="3"/>
        <v>57.575757575757578</v>
      </c>
      <c r="BN61" s="9" t="str">
        <f t="shared" si="4"/>
        <v>0</v>
      </c>
      <c r="BO61" s="9">
        <v>8</v>
      </c>
      <c r="BP61" s="9">
        <v>7</v>
      </c>
      <c r="BQ61" s="27">
        <f t="shared" si="5"/>
        <v>7.5</v>
      </c>
      <c r="BR61" s="9">
        <v>8</v>
      </c>
      <c r="BS61" s="9">
        <v>8</v>
      </c>
      <c r="BT61" s="9">
        <v>9</v>
      </c>
      <c r="BU61" s="27">
        <f t="shared" si="6"/>
        <v>8.3333333333333339</v>
      </c>
      <c r="BV61" s="9"/>
      <c r="BW61" s="2">
        <f t="shared" si="7"/>
        <v>15.833333333333334</v>
      </c>
    </row>
    <row r="62" spans="1:75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v>29</v>
      </c>
      <c r="BC62" s="9"/>
      <c r="BD62" s="9">
        <f t="shared" si="0"/>
        <v>29</v>
      </c>
      <c r="BE62" s="9">
        <v>33</v>
      </c>
      <c r="BF62" s="25">
        <f t="shared" si="1"/>
        <v>87.878787878787875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9">
        <f t="shared" ref="BK62:BL62" si="62">BD62</f>
        <v>29</v>
      </c>
      <c r="BL62" s="9">
        <f t="shared" si="62"/>
        <v>33</v>
      </c>
      <c r="BM62" s="2">
        <f t="shared" si="3"/>
        <v>87.878787878787875</v>
      </c>
      <c r="BN62" s="9" t="str">
        <f t="shared" si="4"/>
        <v>4</v>
      </c>
      <c r="BO62" s="9">
        <v>15</v>
      </c>
      <c r="BP62" s="9">
        <v>18</v>
      </c>
      <c r="BQ62" s="27">
        <f t="shared" si="5"/>
        <v>16.5</v>
      </c>
      <c r="BR62" s="9">
        <v>9</v>
      </c>
      <c r="BS62" s="9">
        <v>9</v>
      </c>
      <c r="BT62" s="9">
        <v>9</v>
      </c>
      <c r="BU62" s="27">
        <f t="shared" si="6"/>
        <v>9</v>
      </c>
      <c r="BV62" s="9"/>
      <c r="BW62" s="2">
        <f t="shared" si="7"/>
        <v>29.5</v>
      </c>
    </row>
    <row r="63" spans="1:75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v>23</v>
      </c>
      <c r="BC63" s="9"/>
      <c r="BD63" s="9">
        <f t="shared" si="0"/>
        <v>23</v>
      </c>
      <c r="BE63" s="9">
        <v>33</v>
      </c>
      <c r="BF63" s="25">
        <f t="shared" si="1"/>
        <v>69.696969696969703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9">
        <f t="shared" ref="BK63:BL63" si="63">BD63</f>
        <v>23</v>
      </c>
      <c r="BL63" s="9">
        <f t="shared" si="63"/>
        <v>33</v>
      </c>
      <c r="BM63" s="2">
        <f t="shared" si="3"/>
        <v>69.696969696969703</v>
      </c>
      <c r="BN63" s="9" t="str">
        <f t="shared" si="4"/>
        <v>0</v>
      </c>
      <c r="BO63" s="9">
        <v>13</v>
      </c>
      <c r="BP63" s="9">
        <v>0</v>
      </c>
      <c r="BQ63" s="27">
        <f t="shared" si="5"/>
        <v>6.5</v>
      </c>
      <c r="BR63" s="9">
        <v>9</v>
      </c>
      <c r="BS63" s="9">
        <v>9</v>
      </c>
      <c r="BT63" s="9">
        <v>9</v>
      </c>
      <c r="BU63" s="27">
        <f t="shared" si="6"/>
        <v>9</v>
      </c>
      <c r="BV63" s="9"/>
      <c r="BW63" s="2">
        <f t="shared" si="7"/>
        <v>15.5</v>
      </c>
    </row>
    <row r="64" spans="1:75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v>28</v>
      </c>
      <c r="BC64" s="9"/>
      <c r="BD64" s="9">
        <f t="shared" si="0"/>
        <v>28</v>
      </c>
      <c r="BE64" s="9">
        <v>33</v>
      </c>
      <c r="BF64" s="25">
        <f t="shared" si="1"/>
        <v>84.848484848484844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9">
        <f t="shared" ref="BK64:BL64" si="64">BD64</f>
        <v>28</v>
      </c>
      <c r="BL64" s="9">
        <f t="shared" si="64"/>
        <v>33</v>
      </c>
      <c r="BM64" s="2">
        <f t="shared" si="3"/>
        <v>84.848484848484844</v>
      </c>
      <c r="BN64" s="9" t="str">
        <f t="shared" si="4"/>
        <v>3</v>
      </c>
      <c r="BO64" s="9">
        <v>13</v>
      </c>
      <c r="BP64" s="9">
        <v>19</v>
      </c>
      <c r="BQ64" s="27">
        <f t="shared" si="5"/>
        <v>16</v>
      </c>
      <c r="BR64" s="9">
        <v>8</v>
      </c>
      <c r="BS64" s="9">
        <v>8</v>
      </c>
      <c r="BT64" s="9">
        <v>9</v>
      </c>
      <c r="BU64" s="27">
        <f t="shared" si="6"/>
        <v>8.3333333333333339</v>
      </c>
      <c r="BV64" s="9"/>
      <c r="BW64" s="2">
        <f t="shared" si="7"/>
        <v>27.333333333333336</v>
      </c>
    </row>
    <row r="65" spans="1:75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v>25</v>
      </c>
      <c r="BC65" s="9"/>
      <c r="BD65" s="9">
        <f t="shared" si="0"/>
        <v>25</v>
      </c>
      <c r="BE65" s="9">
        <v>33</v>
      </c>
      <c r="BF65" s="25">
        <f t="shared" si="1"/>
        <v>75.757575757575751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9">
        <f t="shared" ref="BK65:BL65" si="65">BD65</f>
        <v>25</v>
      </c>
      <c r="BL65" s="9">
        <f t="shared" si="65"/>
        <v>33</v>
      </c>
      <c r="BM65" s="2">
        <f t="shared" si="3"/>
        <v>75.757575757575751</v>
      </c>
      <c r="BN65" s="9" t="str">
        <f t="shared" si="4"/>
        <v>2</v>
      </c>
      <c r="BO65" s="9">
        <v>11</v>
      </c>
      <c r="BP65" s="9">
        <v>11</v>
      </c>
      <c r="BQ65" s="27">
        <f t="shared" si="5"/>
        <v>11</v>
      </c>
      <c r="BR65" s="9">
        <v>9</v>
      </c>
      <c r="BS65" s="9">
        <v>8</v>
      </c>
      <c r="BT65" s="9">
        <v>9</v>
      </c>
      <c r="BU65" s="27">
        <f t="shared" si="6"/>
        <v>8.6666666666666661</v>
      </c>
      <c r="BV65" s="9">
        <v>5</v>
      </c>
      <c r="BW65" s="2">
        <f t="shared" si="7"/>
        <v>26.666666666666664</v>
      </c>
    </row>
    <row r="66" spans="1:75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v>28</v>
      </c>
      <c r="BC66" s="9"/>
      <c r="BD66" s="9">
        <f t="shared" si="0"/>
        <v>28</v>
      </c>
      <c r="BE66" s="9">
        <v>33</v>
      </c>
      <c r="BF66" s="25">
        <f t="shared" si="1"/>
        <v>84.848484848484844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9">
        <f t="shared" ref="BK66:BL66" si="66">BD66</f>
        <v>28</v>
      </c>
      <c r="BL66" s="9">
        <f t="shared" si="66"/>
        <v>33</v>
      </c>
      <c r="BM66" s="2">
        <f t="shared" si="3"/>
        <v>84.848484848484844</v>
      </c>
      <c r="BN66" s="9" t="str">
        <f t="shared" si="4"/>
        <v>3</v>
      </c>
      <c r="BO66" s="9">
        <v>15</v>
      </c>
      <c r="BP66" s="9">
        <v>22</v>
      </c>
      <c r="BQ66" s="27">
        <f t="shared" si="5"/>
        <v>18.5</v>
      </c>
      <c r="BR66" s="9">
        <v>9</v>
      </c>
      <c r="BS66" s="9">
        <v>9</v>
      </c>
      <c r="BT66" s="9">
        <v>10</v>
      </c>
      <c r="BU66" s="27">
        <f t="shared" si="6"/>
        <v>9.3333333333333339</v>
      </c>
      <c r="BV66" s="9"/>
      <c r="BW66" s="2">
        <f t="shared" si="7"/>
        <v>30.833333333333336</v>
      </c>
    </row>
    <row r="67" spans="1:75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v>23</v>
      </c>
      <c r="BC67" s="9"/>
      <c r="BD67" s="9">
        <f t="shared" si="0"/>
        <v>23</v>
      </c>
      <c r="BE67" s="9">
        <v>33</v>
      </c>
      <c r="BF67" s="25">
        <f t="shared" si="1"/>
        <v>69.696969696969703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9">
        <f t="shared" ref="BK67:BL67" si="67">BD67</f>
        <v>23</v>
      </c>
      <c r="BL67" s="9">
        <f t="shared" si="67"/>
        <v>33</v>
      </c>
      <c r="BM67" s="2">
        <f t="shared" si="3"/>
        <v>69.696969696969703</v>
      </c>
      <c r="BN67" s="9" t="str">
        <f t="shared" si="4"/>
        <v>0</v>
      </c>
      <c r="BO67" s="9">
        <v>8</v>
      </c>
      <c r="BP67" s="9">
        <v>13</v>
      </c>
      <c r="BQ67" s="27">
        <f t="shared" si="5"/>
        <v>10.5</v>
      </c>
      <c r="BR67" s="9">
        <v>7</v>
      </c>
      <c r="BS67" s="9">
        <v>8</v>
      </c>
      <c r="BT67" s="9">
        <v>9</v>
      </c>
      <c r="BU67" s="27">
        <f t="shared" si="6"/>
        <v>8</v>
      </c>
      <c r="BV67" s="9"/>
      <c r="BW67" s="2">
        <f t="shared" si="7"/>
        <v>18.5</v>
      </c>
    </row>
    <row r="68" spans="1:75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v>21</v>
      </c>
      <c r="BC68" s="9"/>
      <c r="BD68" s="9">
        <f t="shared" si="0"/>
        <v>21</v>
      </c>
      <c r="BE68" s="9">
        <v>33</v>
      </c>
      <c r="BF68" s="25">
        <f t="shared" si="1"/>
        <v>63.636363636363633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9">
        <f t="shared" ref="BK68:BL68" si="68">BD68</f>
        <v>21</v>
      </c>
      <c r="BL68" s="9">
        <f t="shared" si="68"/>
        <v>33</v>
      </c>
      <c r="BM68" s="2">
        <f t="shared" si="3"/>
        <v>63.636363636363633</v>
      </c>
      <c r="BN68" s="9" t="str">
        <f t="shared" si="4"/>
        <v>0</v>
      </c>
      <c r="BO68" s="9">
        <v>5</v>
      </c>
      <c r="BP68" s="9">
        <v>10</v>
      </c>
      <c r="BQ68" s="27">
        <f t="shared" si="5"/>
        <v>7.5</v>
      </c>
      <c r="BR68" s="9">
        <v>8</v>
      </c>
      <c r="BS68" s="9">
        <v>9</v>
      </c>
      <c r="BT68" s="9">
        <v>7</v>
      </c>
      <c r="BU68" s="27">
        <f t="shared" si="6"/>
        <v>8</v>
      </c>
      <c r="BV68" s="9"/>
      <c r="BW68" s="2">
        <f t="shared" si="7"/>
        <v>15.5</v>
      </c>
    </row>
    <row r="69" spans="1:75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v>28</v>
      </c>
      <c r="BC69" s="9"/>
      <c r="BD69" s="9">
        <f t="shared" si="0"/>
        <v>28</v>
      </c>
      <c r="BE69" s="9">
        <v>33</v>
      </c>
      <c r="BF69" s="25">
        <f t="shared" si="1"/>
        <v>84.848484848484844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9">
        <f t="shared" ref="BK69:BL69" si="69">BD69</f>
        <v>28</v>
      </c>
      <c r="BL69" s="9">
        <f t="shared" si="69"/>
        <v>33</v>
      </c>
      <c r="BM69" s="2">
        <f t="shared" si="3"/>
        <v>84.848484848484844</v>
      </c>
      <c r="BN69" s="9" t="str">
        <f t="shared" si="4"/>
        <v>3</v>
      </c>
      <c r="BO69" s="9">
        <v>10</v>
      </c>
      <c r="BP69" s="9">
        <v>11</v>
      </c>
      <c r="BQ69" s="27">
        <f t="shared" si="5"/>
        <v>10.5</v>
      </c>
      <c r="BR69" s="9">
        <v>9</v>
      </c>
      <c r="BS69" s="9">
        <v>9</v>
      </c>
      <c r="BT69" s="9">
        <v>9</v>
      </c>
      <c r="BU69" s="27">
        <f t="shared" si="6"/>
        <v>9</v>
      </c>
      <c r="BV69" s="9"/>
      <c r="BW69" s="2">
        <f t="shared" si="7"/>
        <v>22.5</v>
      </c>
    </row>
    <row r="70" spans="1:75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v>1</v>
      </c>
      <c r="BC70" s="9"/>
      <c r="BD70" s="9">
        <f t="shared" si="0"/>
        <v>1</v>
      </c>
      <c r="BE70" s="9">
        <v>33</v>
      </c>
      <c r="BF70" s="25">
        <f t="shared" si="1"/>
        <v>3.0303030303030303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9">
        <f t="shared" ref="BK70:BL70" si="70">BD70</f>
        <v>1</v>
      </c>
      <c r="BL70" s="9">
        <f t="shared" si="70"/>
        <v>33</v>
      </c>
      <c r="BM70" s="2">
        <f t="shared" si="3"/>
        <v>3.0303030303030303</v>
      </c>
      <c r="BN70" s="9" t="str">
        <f t="shared" si="4"/>
        <v>0</v>
      </c>
      <c r="BO70" s="9">
        <v>0</v>
      </c>
      <c r="BP70" s="9">
        <v>10</v>
      </c>
      <c r="BQ70" s="27">
        <f t="shared" si="5"/>
        <v>5</v>
      </c>
      <c r="BR70" s="9">
        <v>8</v>
      </c>
      <c r="BS70" s="9">
        <v>8</v>
      </c>
      <c r="BT70" s="9">
        <v>9</v>
      </c>
      <c r="BU70" s="27">
        <f t="shared" si="6"/>
        <v>8.3333333333333339</v>
      </c>
      <c r="BV70" s="9">
        <v>5</v>
      </c>
      <c r="BW70" s="2">
        <f t="shared" si="7"/>
        <v>18.333333333333336</v>
      </c>
    </row>
    <row r="71" spans="1:75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v>30</v>
      </c>
      <c r="BC71" s="9"/>
      <c r="BD71" s="9">
        <f t="shared" si="0"/>
        <v>30</v>
      </c>
      <c r="BE71" s="9">
        <v>33</v>
      </c>
      <c r="BF71" s="25">
        <f t="shared" si="1"/>
        <v>90.909090909090907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1">
        <f t="shared" ref="BK71:BL71" si="71">BD71</f>
        <v>30</v>
      </c>
      <c r="BL71" s="11">
        <f t="shared" si="71"/>
        <v>33</v>
      </c>
      <c r="BM71" s="13">
        <f t="shared" si="3"/>
        <v>90.909090909090907</v>
      </c>
      <c r="BN71" s="11" t="str">
        <f t="shared" si="4"/>
        <v>5</v>
      </c>
      <c r="BO71" s="11">
        <v>16</v>
      </c>
      <c r="BP71" s="11">
        <v>22</v>
      </c>
      <c r="BQ71" s="30">
        <f t="shared" si="5"/>
        <v>19</v>
      </c>
      <c r="BR71" s="11">
        <v>9</v>
      </c>
      <c r="BS71" s="11">
        <v>9</v>
      </c>
      <c r="BT71" s="11">
        <v>9</v>
      </c>
      <c r="BU71" s="30">
        <f t="shared" si="6"/>
        <v>9</v>
      </c>
      <c r="BV71" s="11">
        <v>2</v>
      </c>
      <c r="BW71" s="13">
        <f t="shared" si="7"/>
        <v>35</v>
      </c>
    </row>
    <row r="72" spans="1:75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v>31</v>
      </c>
      <c r="BC72" s="9">
        <v>1</v>
      </c>
      <c r="BD72" s="9">
        <f t="shared" si="0"/>
        <v>32</v>
      </c>
      <c r="BE72" s="9">
        <v>33</v>
      </c>
      <c r="BF72" s="25">
        <f t="shared" si="1"/>
        <v>96.969696969696969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1">
        <f t="shared" ref="BK72:BL72" si="72">BD72</f>
        <v>32</v>
      </c>
      <c r="BL72" s="11">
        <f t="shared" si="72"/>
        <v>33</v>
      </c>
      <c r="BM72" s="13">
        <f t="shared" si="3"/>
        <v>96.969696969696969</v>
      </c>
      <c r="BN72" s="11" t="str">
        <f t="shared" si="4"/>
        <v>6</v>
      </c>
      <c r="BO72" s="11">
        <v>16</v>
      </c>
      <c r="BP72" s="11">
        <v>22</v>
      </c>
      <c r="BQ72" s="30">
        <f t="shared" si="5"/>
        <v>19</v>
      </c>
      <c r="BR72" s="11">
        <v>8</v>
      </c>
      <c r="BS72" s="11">
        <v>9</v>
      </c>
      <c r="BT72" s="11">
        <v>10</v>
      </c>
      <c r="BU72" s="30">
        <f t="shared" si="6"/>
        <v>9</v>
      </c>
      <c r="BV72" s="11">
        <v>2</v>
      </c>
      <c r="BW72" s="13">
        <f t="shared" si="7"/>
        <v>36</v>
      </c>
    </row>
    <row r="73" spans="1:75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v>18</v>
      </c>
      <c r="BC73" s="9">
        <v>11</v>
      </c>
      <c r="BD73" s="9">
        <f t="shared" si="0"/>
        <v>29</v>
      </c>
      <c r="BE73" s="9">
        <v>33</v>
      </c>
      <c r="BF73" s="25">
        <f t="shared" si="1"/>
        <v>87.878787878787875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1">
        <f t="shared" ref="BK73:BL73" si="73">BD73</f>
        <v>29</v>
      </c>
      <c r="BL73" s="11">
        <f t="shared" si="73"/>
        <v>33</v>
      </c>
      <c r="BM73" s="13">
        <f t="shared" si="3"/>
        <v>87.878787878787875</v>
      </c>
      <c r="BN73" s="11" t="str">
        <f t="shared" si="4"/>
        <v>4</v>
      </c>
      <c r="BO73" s="11">
        <v>4</v>
      </c>
      <c r="BP73" s="11">
        <v>13</v>
      </c>
      <c r="BQ73" s="30">
        <f t="shared" si="5"/>
        <v>8.5</v>
      </c>
      <c r="BR73" s="11">
        <v>8</v>
      </c>
      <c r="BS73" s="11">
        <v>9</v>
      </c>
      <c r="BT73" s="11">
        <v>9</v>
      </c>
      <c r="BU73" s="30">
        <f t="shared" si="6"/>
        <v>8.6666666666666661</v>
      </c>
      <c r="BV73" s="11">
        <v>2</v>
      </c>
      <c r="BW73" s="13">
        <f t="shared" si="7"/>
        <v>23.166666666666664</v>
      </c>
    </row>
    <row r="74" spans="1:75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v>24</v>
      </c>
      <c r="BC74" s="9"/>
      <c r="BD74" s="9">
        <f t="shared" si="0"/>
        <v>24</v>
      </c>
      <c r="BE74" s="9">
        <v>33</v>
      </c>
      <c r="BF74" s="25">
        <f t="shared" si="1"/>
        <v>72.727272727272734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1">
        <f t="shared" ref="BK74:BL74" si="74">BD74</f>
        <v>24</v>
      </c>
      <c r="BL74" s="11">
        <f t="shared" si="74"/>
        <v>33</v>
      </c>
      <c r="BM74" s="13">
        <f t="shared" si="3"/>
        <v>72.727272727272734</v>
      </c>
      <c r="BN74" s="11" t="str">
        <f t="shared" si="4"/>
        <v>0</v>
      </c>
      <c r="BO74" s="11">
        <v>13</v>
      </c>
      <c r="BP74" s="11">
        <v>15</v>
      </c>
      <c r="BQ74" s="30">
        <f t="shared" si="5"/>
        <v>14</v>
      </c>
      <c r="BR74" s="11">
        <v>7</v>
      </c>
      <c r="BS74" s="11">
        <v>8</v>
      </c>
      <c r="BT74" s="11">
        <v>9</v>
      </c>
      <c r="BU74" s="30">
        <f t="shared" si="6"/>
        <v>8</v>
      </c>
      <c r="BV74" s="11">
        <v>2</v>
      </c>
      <c r="BW74" s="13">
        <f t="shared" si="7"/>
        <v>24</v>
      </c>
    </row>
    <row r="75" spans="1:75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v>16</v>
      </c>
      <c r="BC75" s="9"/>
      <c r="BD75" s="9">
        <f t="shared" si="0"/>
        <v>16</v>
      </c>
      <c r="BE75" s="9">
        <v>33</v>
      </c>
      <c r="BF75" s="25">
        <f t="shared" si="1"/>
        <v>48.484848484848484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1">
        <f t="shared" ref="BK75:BL75" si="75">BD75</f>
        <v>16</v>
      </c>
      <c r="BL75" s="11">
        <f t="shared" si="75"/>
        <v>33</v>
      </c>
      <c r="BM75" s="13">
        <f t="shared" si="3"/>
        <v>48.484848484848484</v>
      </c>
      <c r="BN75" s="11" t="str">
        <f t="shared" si="4"/>
        <v>0</v>
      </c>
      <c r="BO75" s="11">
        <v>10</v>
      </c>
      <c r="BP75" s="11">
        <v>12</v>
      </c>
      <c r="BQ75" s="30">
        <f t="shared" si="5"/>
        <v>11</v>
      </c>
      <c r="BR75" s="11">
        <v>7</v>
      </c>
      <c r="BS75" s="11">
        <v>8</v>
      </c>
      <c r="BT75" s="11">
        <v>9</v>
      </c>
      <c r="BU75" s="30">
        <f t="shared" si="6"/>
        <v>8</v>
      </c>
      <c r="BV75" s="11">
        <v>2</v>
      </c>
      <c r="BW75" s="13">
        <f t="shared" si="7"/>
        <v>21</v>
      </c>
    </row>
    <row r="76" spans="1:75" ht="14.2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>
        <v>22</v>
      </c>
      <c r="BC76" s="9"/>
      <c r="BD76" s="9">
        <f t="shared" si="0"/>
        <v>22</v>
      </c>
      <c r="BE76" s="9">
        <v>33</v>
      </c>
      <c r="BF76" s="25">
        <f t="shared" si="1"/>
        <v>66.666666666666657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11">
        <f t="shared" ref="BK76:BL76" si="76">BD76</f>
        <v>22</v>
      </c>
      <c r="BL76" s="11">
        <f t="shared" si="76"/>
        <v>33</v>
      </c>
      <c r="BM76" s="13">
        <f t="shared" si="3"/>
        <v>66.666666666666657</v>
      </c>
      <c r="BN76" s="11" t="str">
        <f t="shared" si="4"/>
        <v>0</v>
      </c>
      <c r="BO76" s="11">
        <v>3</v>
      </c>
      <c r="BP76" s="11">
        <v>8</v>
      </c>
      <c r="BQ76" s="30">
        <f t="shared" si="5"/>
        <v>5.5</v>
      </c>
      <c r="BR76" s="11">
        <v>8</v>
      </c>
      <c r="BS76" s="11">
        <v>8</v>
      </c>
      <c r="BT76" s="11">
        <v>8</v>
      </c>
      <c r="BU76" s="30">
        <f t="shared" si="6"/>
        <v>8</v>
      </c>
      <c r="BV76" s="11">
        <v>2</v>
      </c>
      <c r="BW76" s="13">
        <f t="shared" si="7"/>
        <v>15.5</v>
      </c>
    </row>
    <row r="77" spans="1:75" ht="14.25" customHeight="1">
      <c r="A77" s="19"/>
      <c r="B77" s="20"/>
      <c r="C77" s="3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32"/>
      <c r="BG77" s="20"/>
      <c r="BH77" s="19"/>
      <c r="BI77" s="20"/>
      <c r="BJ77" s="20"/>
      <c r="BK77" s="19"/>
      <c r="BL77" s="19"/>
      <c r="BM77" s="19"/>
      <c r="BN77" s="19"/>
      <c r="BO77" s="19"/>
      <c r="BP77" s="19"/>
      <c r="BQ77" s="33"/>
      <c r="BR77" s="19"/>
      <c r="BS77" s="19"/>
      <c r="BT77" s="19"/>
      <c r="BU77" s="33"/>
      <c r="BV77" s="19"/>
      <c r="BW77" s="19"/>
    </row>
    <row r="78" spans="1:75" ht="14.25" customHeight="1">
      <c r="A78" s="19"/>
      <c r="B78" s="20"/>
      <c r="C78" s="3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32"/>
      <c r="BG78" s="20"/>
      <c r="BH78" s="19"/>
      <c r="BI78" s="20"/>
      <c r="BJ78" s="20"/>
      <c r="BK78" s="19"/>
      <c r="BL78" s="19"/>
      <c r="BM78" s="19"/>
      <c r="BN78" s="19"/>
      <c r="BO78" s="19"/>
      <c r="BP78" s="19"/>
      <c r="BQ78" s="33"/>
      <c r="BR78" s="19"/>
      <c r="BS78" s="19"/>
      <c r="BT78" s="19"/>
      <c r="BU78" s="33"/>
      <c r="BV78" s="19"/>
      <c r="BW78" s="19"/>
    </row>
    <row r="79" spans="1:75" ht="14.25" customHeight="1">
      <c r="A79" s="19"/>
      <c r="B79" s="20"/>
      <c r="C79" s="3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32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33"/>
      <c r="BR79" s="19"/>
      <c r="BS79" s="19"/>
      <c r="BT79" s="19"/>
      <c r="BU79" s="33"/>
      <c r="BV79" s="19"/>
      <c r="BW79" s="19"/>
    </row>
    <row r="80" spans="1:75" ht="14.25" customHeight="1">
      <c r="A80" s="19"/>
      <c r="B80" s="20"/>
      <c r="C80" s="3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32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33"/>
      <c r="BR80" s="19"/>
      <c r="BS80" s="19"/>
      <c r="BT80" s="19"/>
      <c r="BU80" s="33"/>
      <c r="BV80" s="19"/>
      <c r="BW80" s="19"/>
    </row>
    <row r="81" spans="1:75" ht="14.25" customHeight="1">
      <c r="A81" s="19"/>
      <c r="B81" s="20"/>
      <c r="C81" s="3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32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33"/>
      <c r="BR81" s="19"/>
      <c r="BS81" s="19"/>
      <c r="BT81" s="19"/>
      <c r="BU81" s="33"/>
      <c r="BV81" s="19"/>
      <c r="BW81" s="19"/>
    </row>
    <row r="82" spans="1:75" ht="14.25" customHeight="1">
      <c r="A82" s="19"/>
      <c r="B82" s="20"/>
      <c r="C82" s="3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32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33"/>
      <c r="BR82" s="19"/>
      <c r="BS82" s="19"/>
      <c r="BT82" s="19"/>
      <c r="BU82" s="33"/>
      <c r="BV82" s="19"/>
      <c r="BW82" s="19"/>
    </row>
    <row r="83" spans="1:75" ht="14.25" customHeight="1">
      <c r="A83" s="19"/>
      <c r="B83" s="20"/>
      <c r="C83" s="3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32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33"/>
      <c r="BR83" s="19"/>
      <c r="BS83" s="19"/>
      <c r="BT83" s="19"/>
      <c r="BU83" s="33"/>
      <c r="BV83" s="19"/>
      <c r="BW83" s="19"/>
    </row>
    <row r="84" spans="1:75" ht="14.25" customHeight="1">
      <c r="A84" s="19"/>
      <c r="B84" s="20"/>
      <c r="C84" s="3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32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33"/>
      <c r="BR84" s="19"/>
      <c r="BS84" s="19"/>
      <c r="BT84" s="19"/>
      <c r="BU84" s="33"/>
      <c r="BV84" s="19"/>
      <c r="BW84" s="19"/>
    </row>
    <row r="85" spans="1:75" ht="14.25" customHeight="1">
      <c r="A85" s="19"/>
      <c r="B85" s="20"/>
      <c r="C85" s="3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32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33"/>
      <c r="BR85" s="19"/>
      <c r="BS85" s="19"/>
      <c r="BT85" s="19"/>
      <c r="BU85" s="33"/>
      <c r="BV85" s="19"/>
      <c r="BW85" s="19"/>
    </row>
    <row r="86" spans="1:75" ht="14.25" customHeight="1">
      <c r="A86" s="19"/>
      <c r="B86" s="20"/>
      <c r="C86" s="3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32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33"/>
      <c r="BR86" s="19"/>
      <c r="BS86" s="19"/>
      <c r="BT86" s="19"/>
      <c r="BU86" s="33"/>
      <c r="BV86" s="19"/>
      <c r="BW86" s="19"/>
    </row>
    <row r="87" spans="1:75" ht="14.25" customHeight="1">
      <c r="A87" s="19"/>
      <c r="B87" s="20"/>
      <c r="C87" s="3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32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33"/>
      <c r="BR87" s="19"/>
      <c r="BS87" s="19"/>
      <c r="BT87" s="19"/>
      <c r="BU87" s="33"/>
      <c r="BV87" s="19"/>
      <c r="BW87" s="19"/>
    </row>
    <row r="88" spans="1:75" ht="14.25" customHeight="1">
      <c r="A88" s="19"/>
      <c r="B88" s="20"/>
      <c r="C88" s="3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32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33"/>
      <c r="BR88" s="19"/>
      <c r="BS88" s="19"/>
      <c r="BT88" s="19"/>
      <c r="BU88" s="33"/>
      <c r="BV88" s="19"/>
      <c r="BW88" s="19"/>
    </row>
    <row r="89" spans="1:75" ht="14.25" customHeight="1">
      <c r="A89" s="19"/>
      <c r="B89" s="20"/>
      <c r="C89" s="3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32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33"/>
      <c r="BR89" s="19"/>
      <c r="BS89" s="19"/>
      <c r="BT89" s="19"/>
      <c r="BU89" s="33"/>
      <c r="BV89" s="19"/>
      <c r="BW89" s="19"/>
    </row>
    <row r="90" spans="1:75" ht="14.25" customHeight="1">
      <c r="A90" s="19"/>
      <c r="B90" s="20"/>
      <c r="C90" s="3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32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33"/>
      <c r="BR90" s="19"/>
      <c r="BS90" s="19"/>
      <c r="BT90" s="19"/>
      <c r="BU90" s="33"/>
      <c r="BV90" s="19"/>
      <c r="BW90" s="19"/>
    </row>
    <row r="91" spans="1:75" ht="14.25" customHeight="1">
      <c r="A91" s="19"/>
      <c r="B91" s="20"/>
      <c r="C91" s="3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32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33"/>
      <c r="BR91" s="19"/>
      <c r="BS91" s="19"/>
      <c r="BT91" s="19"/>
      <c r="BU91" s="33"/>
      <c r="BV91" s="19"/>
      <c r="BW91" s="19"/>
    </row>
    <row r="92" spans="1:75" ht="14.25" customHeigh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32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33"/>
      <c r="BR92" s="19"/>
      <c r="BS92" s="19"/>
      <c r="BT92" s="19"/>
      <c r="BU92" s="33"/>
      <c r="BV92" s="19"/>
      <c r="BW92" s="19"/>
    </row>
    <row r="93" spans="1:75" ht="14.25" customHeight="1">
      <c r="A93" s="19"/>
      <c r="B93" s="20"/>
      <c r="C93" s="3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32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33"/>
      <c r="BR93" s="19"/>
      <c r="BS93" s="19"/>
      <c r="BT93" s="19"/>
      <c r="BU93" s="33"/>
      <c r="BV93" s="19"/>
      <c r="BW93" s="19"/>
    </row>
    <row r="94" spans="1:75" ht="14.25" customHeight="1">
      <c r="A94" s="19"/>
      <c r="B94" s="20"/>
      <c r="C94" s="3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32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33"/>
      <c r="BR94" s="19"/>
      <c r="BS94" s="19"/>
      <c r="BT94" s="19"/>
      <c r="BU94" s="33"/>
      <c r="BV94" s="19"/>
      <c r="BW94" s="19"/>
    </row>
    <row r="95" spans="1:75" ht="14.25" customHeight="1">
      <c r="A95" s="19"/>
      <c r="B95" s="20"/>
      <c r="C95" s="3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32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33"/>
      <c r="BR95" s="19"/>
      <c r="BS95" s="19"/>
      <c r="BT95" s="19"/>
      <c r="BU95" s="33"/>
      <c r="BV95" s="19"/>
      <c r="BW95" s="19"/>
    </row>
    <row r="96" spans="1:75" ht="14.25" customHeight="1">
      <c r="A96" s="19"/>
      <c r="B96" s="20"/>
      <c r="C96" s="3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32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33"/>
      <c r="BR96" s="19"/>
      <c r="BS96" s="19"/>
      <c r="BT96" s="19"/>
      <c r="BU96" s="33"/>
      <c r="BV96" s="19"/>
      <c r="BW96" s="19"/>
    </row>
    <row r="97" spans="1:75" ht="14.25" customHeight="1">
      <c r="A97" s="19"/>
      <c r="B97" s="20"/>
      <c r="C97" s="3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32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33"/>
      <c r="BR97" s="19"/>
      <c r="BS97" s="19"/>
      <c r="BT97" s="19"/>
      <c r="BU97" s="33"/>
      <c r="BV97" s="19"/>
      <c r="BW97" s="19"/>
    </row>
    <row r="98" spans="1:75" ht="14.25" customHeight="1">
      <c r="A98" s="19"/>
      <c r="B98" s="20"/>
      <c r="C98" s="3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32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33"/>
      <c r="BR98" s="19"/>
      <c r="BS98" s="19"/>
      <c r="BT98" s="19"/>
      <c r="BU98" s="33"/>
      <c r="BV98" s="19"/>
      <c r="BW98" s="19"/>
    </row>
    <row r="99" spans="1:75" ht="14.25" customHeight="1">
      <c r="A99" s="19"/>
      <c r="B99" s="20"/>
      <c r="C99" s="3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32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33"/>
      <c r="BR99" s="19"/>
      <c r="BS99" s="19"/>
      <c r="BT99" s="19"/>
      <c r="BU99" s="33"/>
      <c r="BV99" s="19"/>
      <c r="BW99" s="19"/>
    </row>
    <row r="100" spans="1:75" ht="14.25" customHeight="1">
      <c r="A100" s="19"/>
      <c r="B100" s="20"/>
      <c r="C100" s="3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32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33"/>
      <c r="BR100" s="19"/>
      <c r="BS100" s="19"/>
      <c r="BT100" s="19"/>
      <c r="BU100" s="33"/>
      <c r="BV100" s="19"/>
      <c r="BW100" s="19"/>
    </row>
    <row r="101" spans="1:75" ht="14.25" customHeight="1">
      <c r="A101" s="19"/>
      <c r="B101" s="20"/>
      <c r="C101" s="3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32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33"/>
      <c r="BR101" s="19"/>
      <c r="BS101" s="19"/>
      <c r="BT101" s="19"/>
      <c r="BU101" s="33"/>
      <c r="BV101" s="19"/>
      <c r="BW101" s="19"/>
    </row>
    <row r="102" spans="1:75" ht="14.25" customHeight="1">
      <c r="A102" s="19"/>
      <c r="B102" s="20"/>
      <c r="C102" s="3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32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33"/>
      <c r="BR102" s="19"/>
      <c r="BS102" s="19"/>
      <c r="BT102" s="19"/>
      <c r="BU102" s="33"/>
      <c r="BV102" s="19"/>
      <c r="BW102" s="19"/>
    </row>
    <row r="103" spans="1:75" ht="14.25" customHeight="1">
      <c r="A103" s="19"/>
      <c r="B103" s="20"/>
      <c r="C103" s="3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32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33"/>
      <c r="BR103" s="19"/>
      <c r="BS103" s="19"/>
      <c r="BT103" s="19"/>
      <c r="BU103" s="33"/>
      <c r="BV103" s="19"/>
      <c r="BW103" s="19"/>
    </row>
    <row r="104" spans="1:75" ht="14.25" customHeight="1">
      <c r="A104" s="19"/>
      <c r="B104" s="20"/>
      <c r="C104" s="3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32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33"/>
      <c r="BR104" s="19"/>
      <c r="BS104" s="19"/>
      <c r="BT104" s="19"/>
      <c r="BU104" s="33"/>
      <c r="BV104" s="19"/>
      <c r="BW104" s="19"/>
    </row>
    <row r="105" spans="1:75" ht="14.25" customHeight="1">
      <c r="A105" s="19"/>
      <c r="B105" s="20"/>
      <c r="C105" s="3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32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33"/>
      <c r="BR105" s="19"/>
      <c r="BS105" s="19"/>
      <c r="BT105" s="19"/>
      <c r="BU105" s="33"/>
      <c r="BV105" s="19"/>
      <c r="BW105" s="19"/>
    </row>
    <row r="106" spans="1:75" ht="14.25" customHeight="1">
      <c r="A106" s="19"/>
      <c r="B106" s="20"/>
      <c r="C106" s="3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32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33"/>
      <c r="BR106" s="19"/>
      <c r="BS106" s="19"/>
      <c r="BT106" s="19"/>
      <c r="BU106" s="33"/>
      <c r="BV106" s="19"/>
      <c r="BW106" s="19"/>
    </row>
    <row r="107" spans="1:75" ht="14.25" customHeight="1">
      <c r="A107" s="19"/>
      <c r="B107" s="20"/>
      <c r="C107" s="3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32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33"/>
      <c r="BR107" s="19"/>
      <c r="BS107" s="19"/>
      <c r="BT107" s="19"/>
      <c r="BU107" s="33"/>
      <c r="BV107" s="19"/>
      <c r="BW107" s="19"/>
    </row>
    <row r="108" spans="1:75" ht="14.25" customHeight="1">
      <c r="A108" s="19"/>
      <c r="B108" s="20"/>
      <c r="C108" s="3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32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33"/>
      <c r="BR108" s="19"/>
      <c r="BS108" s="19"/>
      <c r="BT108" s="19"/>
      <c r="BU108" s="33"/>
      <c r="BV108" s="19"/>
      <c r="BW108" s="19"/>
    </row>
    <row r="109" spans="1:75" ht="14.25" customHeight="1">
      <c r="A109" s="19"/>
      <c r="B109" s="20"/>
      <c r="C109" s="3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32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33"/>
      <c r="BR109" s="19"/>
      <c r="BS109" s="19"/>
      <c r="BT109" s="19"/>
      <c r="BU109" s="33"/>
      <c r="BV109" s="19"/>
      <c r="BW109" s="19"/>
    </row>
    <row r="110" spans="1:75" ht="14.25" customHeight="1">
      <c r="A110" s="19"/>
      <c r="B110" s="20"/>
      <c r="C110" s="3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32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33"/>
      <c r="BR110" s="19"/>
      <c r="BS110" s="19"/>
      <c r="BT110" s="19"/>
      <c r="BU110" s="33"/>
      <c r="BV110" s="19"/>
      <c r="BW110" s="19"/>
    </row>
    <row r="111" spans="1:75" ht="14.25" customHeight="1">
      <c r="A111" s="19"/>
      <c r="B111" s="20"/>
      <c r="C111" s="3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32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33"/>
      <c r="BR111" s="19"/>
      <c r="BS111" s="19"/>
      <c r="BT111" s="19"/>
      <c r="BU111" s="33"/>
      <c r="BV111" s="19"/>
      <c r="BW111" s="19"/>
    </row>
    <row r="112" spans="1:75" ht="14.25" customHeigh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32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33"/>
      <c r="BR112" s="19"/>
      <c r="BS112" s="19"/>
      <c r="BT112" s="19"/>
      <c r="BU112" s="33"/>
      <c r="BV112" s="19"/>
      <c r="BW112" s="19"/>
    </row>
    <row r="113" spans="1:75" ht="14.25" customHeight="1">
      <c r="A113" s="19"/>
      <c r="B113" s="20"/>
      <c r="C113" s="3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32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33"/>
      <c r="BR113" s="19"/>
      <c r="BS113" s="19"/>
      <c r="BT113" s="19"/>
      <c r="BU113" s="33"/>
      <c r="BV113" s="19"/>
      <c r="BW113" s="19"/>
    </row>
    <row r="114" spans="1:75" ht="14.25" customHeight="1">
      <c r="A114" s="19"/>
      <c r="B114" s="20"/>
      <c r="C114" s="3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32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33"/>
      <c r="BR114" s="19"/>
      <c r="BS114" s="19"/>
      <c r="BT114" s="19"/>
      <c r="BU114" s="33"/>
      <c r="BV114" s="19"/>
      <c r="BW114" s="19"/>
    </row>
    <row r="115" spans="1:75" ht="14.25" customHeight="1">
      <c r="A115" s="19"/>
      <c r="B115" s="20"/>
      <c r="C115" s="3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32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33"/>
      <c r="BR115" s="19"/>
      <c r="BS115" s="19"/>
      <c r="BT115" s="19"/>
      <c r="BU115" s="33"/>
      <c r="BV115" s="19"/>
      <c r="BW115" s="19"/>
    </row>
    <row r="116" spans="1:75" ht="14.25" customHeight="1">
      <c r="A116" s="19"/>
      <c r="B116" s="20"/>
      <c r="C116" s="3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32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33"/>
      <c r="BR116" s="19"/>
      <c r="BS116" s="19"/>
      <c r="BT116" s="19"/>
      <c r="BU116" s="33"/>
      <c r="BV116" s="19"/>
      <c r="BW116" s="19"/>
    </row>
    <row r="117" spans="1:75" ht="14.25" customHeight="1">
      <c r="A117" s="19"/>
      <c r="B117" s="20"/>
      <c r="C117" s="3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32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33"/>
      <c r="BR117" s="19"/>
      <c r="BS117" s="19"/>
      <c r="BT117" s="19"/>
      <c r="BU117" s="33"/>
      <c r="BV117" s="19"/>
      <c r="BW117" s="19"/>
    </row>
    <row r="118" spans="1:75" ht="14.25" customHeight="1">
      <c r="A118" s="19"/>
      <c r="B118" s="20"/>
      <c r="C118" s="3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32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33"/>
      <c r="BR118" s="19"/>
      <c r="BS118" s="19"/>
      <c r="BT118" s="19"/>
      <c r="BU118" s="33"/>
      <c r="BV118" s="19"/>
      <c r="BW118" s="19"/>
    </row>
    <row r="119" spans="1:75" ht="14.25" customHeight="1">
      <c r="A119" s="19"/>
      <c r="B119" s="20"/>
      <c r="C119" s="3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32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33"/>
      <c r="BR119" s="19"/>
      <c r="BS119" s="19"/>
      <c r="BT119" s="19"/>
      <c r="BU119" s="33"/>
      <c r="BV119" s="19"/>
      <c r="BW119" s="19"/>
    </row>
    <row r="120" spans="1:75" ht="14.25" customHeight="1">
      <c r="A120" s="19"/>
      <c r="B120" s="20"/>
      <c r="C120" s="3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32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33"/>
      <c r="BR120" s="19"/>
      <c r="BS120" s="19"/>
      <c r="BT120" s="19"/>
      <c r="BU120" s="33"/>
      <c r="BV120" s="19"/>
      <c r="BW120" s="19"/>
    </row>
    <row r="121" spans="1:75" ht="14.25" customHeight="1">
      <c r="A121" s="19"/>
      <c r="B121" s="20"/>
      <c r="C121" s="3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32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33"/>
      <c r="BR121" s="19"/>
      <c r="BS121" s="19"/>
      <c r="BT121" s="19"/>
      <c r="BU121" s="33"/>
      <c r="BV121" s="19"/>
      <c r="BW121" s="19"/>
    </row>
    <row r="122" spans="1:75" ht="14.25" customHeight="1">
      <c r="A122" s="19"/>
      <c r="B122" s="20"/>
      <c r="C122" s="3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32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33"/>
      <c r="BR122" s="19"/>
      <c r="BS122" s="19"/>
      <c r="BT122" s="19"/>
      <c r="BU122" s="33"/>
      <c r="BV122" s="19"/>
      <c r="BW122" s="19"/>
    </row>
    <row r="123" spans="1:75" ht="14.25" customHeight="1">
      <c r="A123" s="19"/>
      <c r="B123" s="20"/>
      <c r="C123" s="3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32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33"/>
      <c r="BR123" s="19"/>
      <c r="BS123" s="19"/>
      <c r="BT123" s="19"/>
      <c r="BU123" s="33"/>
      <c r="BV123" s="19"/>
      <c r="BW123" s="19"/>
    </row>
    <row r="124" spans="1:75" ht="14.25" customHeight="1">
      <c r="A124" s="19"/>
      <c r="B124" s="20"/>
      <c r="C124" s="3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32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33"/>
      <c r="BR124" s="19"/>
      <c r="BS124" s="19"/>
      <c r="BT124" s="19"/>
      <c r="BU124" s="33"/>
      <c r="BV124" s="19"/>
      <c r="BW124" s="19"/>
    </row>
    <row r="125" spans="1:75" ht="14.25" customHeight="1">
      <c r="A125" s="19"/>
      <c r="B125" s="20"/>
      <c r="C125" s="3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32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33"/>
      <c r="BR125" s="19"/>
      <c r="BS125" s="19"/>
      <c r="BT125" s="19"/>
      <c r="BU125" s="33"/>
      <c r="BV125" s="19"/>
      <c r="BW125" s="19"/>
    </row>
    <row r="126" spans="1:75" ht="14.25" customHeight="1">
      <c r="A126" s="19"/>
      <c r="B126" s="20"/>
      <c r="C126" s="3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32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33"/>
      <c r="BR126" s="19"/>
      <c r="BS126" s="19"/>
      <c r="BT126" s="19"/>
      <c r="BU126" s="33"/>
      <c r="BV126" s="19"/>
      <c r="BW126" s="19"/>
    </row>
    <row r="127" spans="1:75" ht="14.25" customHeight="1">
      <c r="A127" s="19"/>
      <c r="B127" s="20"/>
      <c r="C127" s="3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32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33"/>
      <c r="BR127" s="19"/>
      <c r="BS127" s="19"/>
      <c r="BT127" s="19"/>
      <c r="BU127" s="33"/>
      <c r="BV127" s="19"/>
      <c r="BW127" s="19"/>
    </row>
    <row r="128" spans="1:75" ht="14.25" customHeigh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32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33"/>
      <c r="BR128" s="19"/>
      <c r="BS128" s="19"/>
      <c r="BT128" s="19"/>
      <c r="BU128" s="33"/>
      <c r="BV128" s="19"/>
      <c r="BW128" s="19"/>
    </row>
    <row r="129" spans="1:75" ht="14.25" customHeight="1">
      <c r="A129" s="19"/>
      <c r="B129" s="20"/>
      <c r="C129" s="3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32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33"/>
      <c r="BR129" s="19"/>
      <c r="BS129" s="19"/>
      <c r="BT129" s="19"/>
      <c r="BU129" s="33"/>
      <c r="BV129" s="19"/>
      <c r="BW129" s="19"/>
    </row>
    <row r="130" spans="1:75" ht="14.25" customHeight="1">
      <c r="A130" s="19"/>
      <c r="B130" s="20"/>
      <c r="C130" s="3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32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33"/>
      <c r="BR130" s="19"/>
      <c r="BS130" s="19"/>
      <c r="BT130" s="19"/>
      <c r="BU130" s="33"/>
      <c r="BV130" s="19"/>
      <c r="BW130" s="19"/>
    </row>
    <row r="131" spans="1:75" ht="14.25" customHeight="1">
      <c r="A131" s="19"/>
      <c r="B131" s="20"/>
      <c r="C131" s="3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32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33"/>
      <c r="BR131" s="19"/>
      <c r="BS131" s="19"/>
      <c r="BT131" s="19"/>
      <c r="BU131" s="33"/>
      <c r="BV131" s="19"/>
      <c r="BW131" s="19"/>
    </row>
    <row r="132" spans="1:75" ht="14.25" customHeight="1">
      <c r="A132" s="19"/>
      <c r="B132" s="20"/>
      <c r="C132" s="3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32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33"/>
      <c r="BR132" s="19"/>
      <c r="BS132" s="19"/>
      <c r="BT132" s="19"/>
      <c r="BU132" s="33"/>
      <c r="BV132" s="19"/>
      <c r="BW132" s="19"/>
    </row>
    <row r="133" spans="1:75" ht="14.25" customHeight="1">
      <c r="A133" s="19"/>
      <c r="B133" s="20"/>
      <c r="C133" s="3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32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33"/>
      <c r="BR133" s="19"/>
      <c r="BS133" s="19"/>
      <c r="BT133" s="19"/>
      <c r="BU133" s="33"/>
      <c r="BV133" s="19"/>
      <c r="BW133" s="19"/>
    </row>
    <row r="134" spans="1:75" ht="14.25" customHeight="1">
      <c r="A134" s="19"/>
      <c r="B134" s="20"/>
      <c r="C134" s="3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32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33"/>
      <c r="BR134" s="19"/>
      <c r="BS134" s="19"/>
      <c r="BT134" s="19"/>
      <c r="BU134" s="33"/>
      <c r="BV134" s="19"/>
      <c r="BW134" s="19"/>
    </row>
    <row r="135" spans="1:75" ht="14.25" customHeight="1">
      <c r="A135" s="19"/>
      <c r="B135" s="20"/>
      <c r="C135" s="3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32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33"/>
      <c r="BR135" s="19"/>
      <c r="BS135" s="19"/>
      <c r="BT135" s="19"/>
      <c r="BU135" s="33"/>
      <c r="BV135" s="19"/>
      <c r="BW135" s="19"/>
    </row>
    <row r="136" spans="1:75" ht="14.25" customHeight="1">
      <c r="A136" s="19"/>
      <c r="B136" s="20"/>
      <c r="C136" s="3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32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33"/>
      <c r="BR136" s="19"/>
      <c r="BS136" s="19"/>
      <c r="BT136" s="19"/>
      <c r="BU136" s="33"/>
      <c r="BV136" s="19"/>
      <c r="BW136" s="19"/>
    </row>
    <row r="137" spans="1:75" ht="14.25" customHeight="1">
      <c r="A137" s="19"/>
      <c r="B137" s="20"/>
      <c r="C137" s="3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32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33"/>
      <c r="BR137" s="19"/>
      <c r="BS137" s="19"/>
      <c r="BT137" s="19"/>
      <c r="BU137" s="33"/>
      <c r="BV137" s="19"/>
      <c r="BW137" s="19"/>
    </row>
    <row r="138" spans="1:75" ht="14.25" customHeight="1">
      <c r="A138" s="19"/>
      <c r="B138" s="20"/>
      <c r="C138" s="3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32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33"/>
      <c r="BR138" s="19"/>
      <c r="BS138" s="19"/>
      <c r="BT138" s="19"/>
      <c r="BU138" s="33"/>
      <c r="BV138" s="19"/>
      <c r="BW138" s="19"/>
    </row>
    <row r="139" spans="1:75" ht="14.25" customHeight="1">
      <c r="A139" s="19"/>
      <c r="B139" s="20"/>
      <c r="C139" s="3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32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33"/>
      <c r="BR139" s="19"/>
      <c r="BS139" s="19"/>
      <c r="BT139" s="19"/>
      <c r="BU139" s="33"/>
      <c r="BV139" s="19"/>
      <c r="BW139" s="19"/>
    </row>
    <row r="140" spans="1:75" ht="14.25" customHeight="1">
      <c r="A140" s="19"/>
      <c r="B140" s="20"/>
      <c r="C140" s="3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32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33"/>
      <c r="BR140" s="19"/>
      <c r="BS140" s="19"/>
      <c r="BT140" s="19"/>
      <c r="BU140" s="33"/>
      <c r="BV140" s="19"/>
      <c r="BW140" s="19"/>
    </row>
    <row r="141" spans="1:75" ht="14.25" customHeight="1">
      <c r="A141" s="19"/>
      <c r="B141" s="20"/>
      <c r="C141" s="3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32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33"/>
      <c r="BR141" s="19"/>
      <c r="BS141" s="19"/>
      <c r="BT141" s="19"/>
      <c r="BU141" s="33"/>
      <c r="BV141" s="19"/>
      <c r="BW141" s="19"/>
    </row>
    <row r="142" spans="1:75" ht="14.25" customHeight="1">
      <c r="A142" s="19"/>
      <c r="B142" s="20"/>
      <c r="C142" s="3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32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33"/>
      <c r="BR142" s="19"/>
      <c r="BS142" s="19"/>
      <c r="BT142" s="19"/>
      <c r="BU142" s="33"/>
      <c r="BV142" s="19"/>
      <c r="BW142" s="19"/>
    </row>
    <row r="143" spans="1:75" ht="14.25" customHeight="1">
      <c r="A143" s="19"/>
      <c r="B143" s="20"/>
      <c r="C143" s="3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32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33"/>
      <c r="BR143" s="19"/>
      <c r="BS143" s="19"/>
      <c r="BT143" s="19"/>
      <c r="BU143" s="33"/>
      <c r="BV143" s="19"/>
      <c r="BW143" s="19"/>
    </row>
    <row r="144" spans="1:75" ht="14.25" customHeight="1">
      <c r="A144" s="19"/>
      <c r="B144" s="20"/>
      <c r="C144" s="3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32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33"/>
      <c r="BR144" s="19"/>
      <c r="BS144" s="19"/>
      <c r="BT144" s="19"/>
      <c r="BU144" s="33"/>
      <c r="BV144" s="19"/>
      <c r="BW144" s="19"/>
    </row>
    <row r="145" spans="1:75" ht="14.25" customHeight="1">
      <c r="A145" s="19"/>
      <c r="B145" s="20"/>
      <c r="C145" s="3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32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33"/>
      <c r="BR145" s="19"/>
      <c r="BS145" s="19"/>
      <c r="BT145" s="19"/>
      <c r="BU145" s="33"/>
      <c r="BV145" s="19"/>
      <c r="BW145" s="19"/>
    </row>
    <row r="146" spans="1:75" ht="14.25" customHeight="1">
      <c r="A146" s="19"/>
      <c r="B146" s="20"/>
      <c r="C146" s="3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32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33"/>
      <c r="BR146" s="19"/>
      <c r="BS146" s="19"/>
      <c r="BT146" s="19"/>
      <c r="BU146" s="33"/>
      <c r="BV146" s="19"/>
      <c r="BW146" s="19"/>
    </row>
    <row r="147" spans="1:75" ht="14.25" customHeight="1">
      <c r="A147" s="19"/>
      <c r="B147" s="20"/>
      <c r="C147" s="3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32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33"/>
      <c r="BR147" s="19"/>
      <c r="BS147" s="19"/>
      <c r="BT147" s="19"/>
      <c r="BU147" s="33"/>
      <c r="BV147" s="19"/>
      <c r="BW147" s="19"/>
    </row>
    <row r="148" spans="1:75" ht="14.25" customHeigh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32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33"/>
      <c r="BR148" s="19"/>
      <c r="BS148" s="19"/>
      <c r="BT148" s="19"/>
      <c r="BU148" s="33"/>
      <c r="BV148" s="19"/>
      <c r="BW148" s="19"/>
    </row>
    <row r="149" spans="1:75" ht="14.25" customHeight="1">
      <c r="A149" s="19"/>
      <c r="B149" s="20"/>
      <c r="C149" s="3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32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33"/>
      <c r="BR149" s="19"/>
      <c r="BS149" s="19"/>
      <c r="BT149" s="19"/>
      <c r="BU149" s="33"/>
      <c r="BV149" s="19"/>
      <c r="BW149" s="19"/>
    </row>
    <row r="150" spans="1:75" ht="14.25" customHeight="1">
      <c r="A150" s="19"/>
      <c r="B150" s="20"/>
      <c r="C150" s="3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32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33"/>
      <c r="BR150" s="19"/>
      <c r="BS150" s="19"/>
      <c r="BT150" s="19"/>
      <c r="BU150" s="33"/>
      <c r="BV150" s="19"/>
      <c r="BW150" s="19"/>
    </row>
    <row r="151" spans="1:75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32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33"/>
      <c r="BR151" s="19"/>
      <c r="BS151" s="19"/>
      <c r="BT151" s="19"/>
      <c r="BU151" s="33"/>
      <c r="BV151" s="19"/>
      <c r="BW151" s="19"/>
    </row>
    <row r="152" spans="1:75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32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33"/>
      <c r="BR152" s="19"/>
      <c r="BS152" s="19"/>
      <c r="BT152" s="19"/>
      <c r="BU152" s="33"/>
      <c r="BV152" s="19"/>
      <c r="BW152" s="19"/>
    </row>
    <row r="153" spans="1:75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32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33"/>
      <c r="BR153" s="19"/>
      <c r="BS153" s="19"/>
      <c r="BT153" s="19"/>
      <c r="BU153" s="33"/>
      <c r="BV153" s="19"/>
      <c r="BW153" s="19"/>
    </row>
    <row r="154" spans="1:75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32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33"/>
      <c r="BR154" s="19"/>
      <c r="BS154" s="19"/>
      <c r="BT154" s="19"/>
      <c r="BU154" s="33"/>
      <c r="BV154" s="19"/>
      <c r="BW154" s="19"/>
    </row>
    <row r="155" spans="1:75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32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33"/>
      <c r="BR155" s="19"/>
      <c r="BS155" s="19"/>
      <c r="BT155" s="19"/>
      <c r="BU155" s="33"/>
      <c r="BV155" s="19"/>
      <c r="BW155" s="19"/>
    </row>
    <row r="156" spans="1:75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32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33"/>
      <c r="BR156" s="19"/>
      <c r="BS156" s="19"/>
      <c r="BT156" s="19"/>
      <c r="BU156" s="33"/>
      <c r="BV156" s="19"/>
      <c r="BW156" s="19"/>
    </row>
    <row r="157" spans="1:75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32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33"/>
      <c r="BR157" s="19"/>
      <c r="BS157" s="19"/>
      <c r="BT157" s="19"/>
      <c r="BU157" s="33"/>
      <c r="BV157" s="19"/>
      <c r="BW157" s="19"/>
    </row>
    <row r="158" spans="1:75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32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33"/>
      <c r="BR158" s="19"/>
      <c r="BS158" s="19"/>
      <c r="BT158" s="19"/>
      <c r="BU158" s="33"/>
      <c r="BV158" s="19"/>
      <c r="BW158" s="19"/>
    </row>
    <row r="159" spans="1:75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32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33"/>
      <c r="BR159" s="19"/>
      <c r="BS159" s="19"/>
      <c r="BT159" s="19"/>
      <c r="BU159" s="33"/>
      <c r="BV159" s="19"/>
      <c r="BW159" s="19"/>
    </row>
    <row r="160" spans="1:75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32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33"/>
      <c r="BR160" s="19"/>
      <c r="BS160" s="19"/>
      <c r="BT160" s="19"/>
      <c r="BU160" s="33"/>
      <c r="BV160" s="19"/>
      <c r="BW160" s="19"/>
    </row>
    <row r="161" spans="1:75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32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33"/>
      <c r="BR161" s="19"/>
      <c r="BS161" s="19"/>
      <c r="BT161" s="19"/>
      <c r="BU161" s="33"/>
      <c r="BV161" s="19"/>
      <c r="BW161" s="19"/>
    </row>
    <row r="162" spans="1:75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32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33"/>
      <c r="BR162" s="19"/>
      <c r="BS162" s="19"/>
      <c r="BT162" s="19"/>
      <c r="BU162" s="33"/>
      <c r="BV162" s="19"/>
      <c r="BW162" s="19"/>
    </row>
    <row r="163" spans="1:75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32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33"/>
      <c r="BR163" s="19"/>
      <c r="BS163" s="19"/>
      <c r="BT163" s="19"/>
      <c r="BU163" s="33"/>
      <c r="BV163" s="19"/>
      <c r="BW163" s="19"/>
    </row>
    <row r="164" spans="1:75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32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33"/>
      <c r="BR164" s="19"/>
      <c r="BS164" s="19"/>
      <c r="BT164" s="19"/>
      <c r="BU164" s="33"/>
      <c r="BV164" s="19"/>
      <c r="BW164" s="19"/>
    </row>
    <row r="165" spans="1:75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32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33"/>
      <c r="BR165" s="19"/>
      <c r="BS165" s="19"/>
      <c r="BT165" s="19"/>
      <c r="BU165" s="33"/>
      <c r="BV165" s="19"/>
      <c r="BW165" s="19"/>
    </row>
    <row r="166" spans="1:75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32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33"/>
      <c r="BR166" s="19"/>
      <c r="BS166" s="19"/>
      <c r="BT166" s="19"/>
      <c r="BU166" s="33"/>
      <c r="BV166" s="19"/>
      <c r="BW166" s="19"/>
    </row>
    <row r="167" spans="1:75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32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33"/>
      <c r="BR167" s="19"/>
      <c r="BS167" s="19"/>
      <c r="BT167" s="19"/>
      <c r="BU167" s="33"/>
      <c r="BV167" s="19"/>
      <c r="BW167" s="19"/>
    </row>
    <row r="168" spans="1:75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32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33"/>
      <c r="BR168" s="19"/>
      <c r="BS168" s="19"/>
      <c r="BT168" s="19"/>
      <c r="BU168" s="33"/>
      <c r="BV168" s="19"/>
      <c r="BW168" s="19"/>
    </row>
    <row r="169" spans="1:75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32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33"/>
      <c r="BR169" s="19"/>
      <c r="BS169" s="19"/>
      <c r="BT169" s="19"/>
      <c r="BU169" s="33"/>
      <c r="BV169" s="19"/>
      <c r="BW169" s="19"/>
    </row>
    <row r="170" spans="1:75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32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33"/>
      <c r="BR170" s="19"/>
      <c r="BS170" s="19"/>
      <c r="BT170" s="19"/>
      <c r="BU170" s="33"/>
      <c r="BV170" s="19"/>
      <c r="BW170" s="19"/>
    </row>
    <row r="171" spans="1:75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32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33"/>
      <c r="BR171" s="19"/>
      <c r="BS171" s="19"/>
      <c r="BT171" s="19"/>
      <c r="BU171" s="33"/>
      <c r="BV171" s="19"/>
      <c r="BW171" s="19"/>
    </row>
    <row r="172" spans="1:75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32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33"/>
      <c r="BR172" s="19"/>
      <c r="BS172" s="19"/>
      <c r="BT172" s="19"/>
      <c r="BU172" s="33"/>
      <c r="BV172" s="19"/>
      <c r="BW172" s="19"/>
    </row>
    <row r="173" spans="1:75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32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33"/>
      <c r="BR173" s="19"/>
      <c r="BS173" s="19"/>
      <c r="BT173" s="19"/>
      <c r="BU173" s="33"/>
      <c r="BV173" s="19"/>
      <c r="BW173" s="19"/>
    </row>
    <row r="174" spans="1:75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32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33"/>
      <c r="BR174" s="19"/>
      <c r="BS174" s="19"/>
      <c r="BT174" s="19"/>
      <c r="BU174" s="33"/>
      <c r="BV174" s="19"/>
      <c r="BW174" s="19"/>
    </row>
    <row r="175" spans="1:75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32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33"/>
      <c r="BR175" s="19"/>
      <c r="BS175" s="19"/>
      <c r="BT175" s="19"/>
      <c r="BU175" s="33"/>
      <c r="BV175" s="19"/>
      <c r="BW175" s="19"/>
    </row>
    <row r="176" spans="1:75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32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33"/>
      <c r="BR176" s="19"/>
      <c r="BS176" s="19"/>
      <c r="BT176" s="19"/>
      <c r="BU176" s="33"/>
      <c r="BV176" s="19"/>
      <c r="BW176" s="19"/>
    </row>
    <row r="177" spans="1:75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32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33"/>
      <c r="BR177" s="19"/>
      <c r="BS177" s="19"/>
      <c r="BT177" s="19"/>
      <c r="BU177" s="33"/>
      <c r="BV177" s="19"/>
      <c r="BW177" s="19"/>
    </row>
    <row r="178" spans="1:75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32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33"/>
      <c r="BR178" s="19"/>
      <c r="BS178" s="19"/>
      <c r="BT178" s="19"/>
      <c r="BU178" s="33"/>
      <c r="BV178" s="19"/>
      <c r="BW178" s="19"/>
    </row>
    <row r="179" spans="1:75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32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33"/>
      <c r="BR179" s="19"/>
      <c r="BS179" s="19"/>
      <c r="BT179" s="19"/>
      <c r="BU179" s="33"/>
      <c r="BV179" s="19"/>
      <c r="BW179" s="19"/>
    </row>
    <row r="180" spans="1:75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32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33"/>
      <c r="BR180" s="19"/>
      <c r="BS180" s="19"/>
      <c r="BT180" s="19"/>
      <c r="BU180" s="33"/>
      <c r="BV180" s="19"/>
      <c r="BW180" s="19"/>
    </row>
    <row r="181" spans="1:75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32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33"/>
      <c r="BR181" s="19"/>
      <c r="BS181" s="19"/>
      <c r="BT181" s="19"/>
      <c r="BU181" s="33"/>
      <c r="BV181" s="19"/>
      <c r="BW181" s="19"/>
    </row>
    <row r="182" spans="1:75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32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33"/>
      <c r="BR182" s="19"/>
      <c r="BS182" s="19"/>
      <c r="BT182" s="19"/>
      <c r="BU182" s="33"/>
      <c r="BV182" s="19"/>
      <c r="BW182" s="19"/>
    </row>
    <row r="183" spans="1:75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32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33"/>
      <c r="BR183" s="19"/>
      <c r="BS183" s="19"/>
      <c r="BT183" s="19"/>
      <c r="BU183" s="33"/>
      <c r="BV183" s="19"/>
      <c r="BW183" s="19"/>
    </row>
    <row r="184" spans="1:75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32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33"/>
      <c r="BR184" s="19"/>
      <c r="BS184" s="19"/>
      <c r="BT184" s="19"/>
      <c r="BU184" s="33"/>
      <c r="BV184" s="19"/>
      <c r="BW184" s="19"/>
    </row>
    <row r="185" spans="1:75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32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33"/>
      <c r="BR185" s="19"/>
      <c r="BS185" s="19"/>
      <c r="BT185" s="19"/>
      <c r="BU185" s="33"/>
      <c r="BV185" s="19"/>
      <c r="BW185" s="19"/>
    </row>
    <row r="186" spans="1:75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32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33"/>
      <c r="BR186" s="19"/>
      <c r="BS186" s="19"/>
      <c r="BT186" s="19"/>
      <c r="BU186" s="33"/>
      <c r="BV186" s="19"/>
      <c r="BW186" s="19"/>
    </row>
    <row r="187" spans="1:75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32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33"/>
      <c r="BR187" s="19"/>
      <c r="BS187" s="19"/>
      <c r="BT187" s="19"/>
      <c r="BU187" s="33"/>
      <c r="BV187" s="19"/>
      <c r="BW187" s="19"/>
    </row>
    <row r="188" spans="1:75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32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33"/>
      <c r="BR188" s="19"/>
      <c r="BS188" s="19"/>
      <c r="BT188" s="19"/>
      <c r="BU188" s="33"/>
      <c r="BV188" s="19"/>
      <c r="BW188" s="19"/>
    </row>
    <row r="189" spans="1:75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32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33"/>
      <c r="BR189" s="19"/>
      <c r="BS189" s="19"/>
      <c r="BT189" s="19"/>
      <c r="BU189" s="33"/>
      <c r="BV189" s="19"/>
      <c r="BW189" s="19"/>
    </row>
    <row r="190" spans="1:75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32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33"/>
      <c r="BR190" s="19"/>
      <c r="BS190" s="19"/>
      <c r="BT190" s="19"/>
      <c r="BU190" s="33"/>
      <c r="BV190" s="19"/>
      <c r="BW190" s="19"/>
    </row>
    <row r="191" spans="1:75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32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33"/>
      <c r="BR191" s="19"/>
      <c r="BS191" s="19"/>
      <c r="BT191" s="19"/>
      <c r="BU191" s="33"/>
      <c r="BV191" s="19"/>
      <c r="BW191" s="19"/>
    </row>
    <row r="192" spans="1:75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32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33"/>
      <c r="BR192" s="19"/>
      <c r="BS192" s="19"/>
      <c r="BT192" s="19"/>
      <c r="BU192" s="33"/>
      <c r="BV192" s="19"/>
      <c r="BW192" s="19"/>
    </row>
    <row r="193" spans="1:75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32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33"/>
      <c r="BR193" s="19"/>
      <c r="BS193" s="19"/>
      <c r="BT193" s="19"/>
      <c r="BU193" s="33"/>
      <c r="BV193" s="19"/>
      <c r="BW193" s="19"/>
    </row>
    <row r="194" spans="1:75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32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33"/>
      <c r="BR194" s="19"/>
      <c r="BS194" s="19"/>
      <c r="BT194" s="19"/>
      <c r="BU194" s="33"/>
      <c r="BV194" s="19"/>
      <c r="BW194" s="19"/>
    </row>
    <row r="195" spans="1:75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32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33"/>
      <c r="BR195" s="19"/>
      <c r="BS195" s="19"/>
      <c r="BT195" s="19"/>
      <c r="BU195" s="33"/>
      <c r="BV195" s="19"/>
      <c r="BW195" s="19"/>
    </row>
    <row r="196" spans="1:75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32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33"/>
      <c r="BR196" s="19"/>
      <c r="BS196" s="19"/>
      <c r="BT196" s="19"/>
      <c r="BU196" s="33"/>
      <c r="BV196" s="19"/>
      <c r="BW196" s="19"/>
    </row>
    <row r="197" spans="1:75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32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33"/>
      <c r="BR197" s="19"/>
      <c r="BS197" s="19"/>
      <c r="BT197" s="19"/>
      <c r="BU197" s="33"/>
      <c r="BV197" s="19"/>
      <c r="BW197" s="19"/>
    </row>
    <row r="198" spans="1:75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32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33"/>
      <c r="BR198" s="19"/>
      <c r="BS198" s="19"/>
      <c r="BT198" s="19"/>
      <c r="BU198" s="33"/>
      <c r="BV198" s="19"/>
      <c r="BW198" s="19"/>
    </row>
    <row r="199" spans="1:75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32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33"/>
      <c r="BR199" s="19"/>
      <c r="BS199" s="19"/>
      <c r="BT199" s="19"/>
      <c r="BU199" s="33"/>
      <c r="BV199" s="19"/>
      <c r="BW199" s="19"/>
    </row>
    <row r="200" spans="1:75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32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33"/>
      <c r="BR200" s="19"/>
      <c r="BS200" s="19"/>
      <c r="BT200" s="19"/>
      <c r="BU200" s="33"/>
      <c r="BV200" s="19"/>
      <c r="BW200" s="19"/>
    </row>
    <row r="201" spans="1:75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32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33"/>
      <c r="BR201" s="19"/>
      <c r="BS201" s="19"/>
      <c r="BT201" s="19"/>
      <c r="BU201" s="33"/>
      <c r="BV201" s="19"/>
      <c r="BW201" s="19"/>
    </row>
    <row r="202" spans="1:75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32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33"/>
      <c r="BR202" s="19"/>
      <c r="BS202" s="19"/>
      <c r="BT202" s="19"/>
      <c r="BU202" s="33"/>
      <c r="BV202" s="19"/>
      <c r="BW202" s="19"/>
    </row>
    <row r="203" spans="1:75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32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33"/>
      <c r="BR203" s="19"/>
      <c r="BS203" s="19"/>
      <c r="BT203" s="19"/>
      <c r="BU203" s="33"/>
      <c r="BV203" s="19"/>
      <c r="BW203" s="19"/>
    </row>
    <row r="204" spans="1:75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32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33"/>
      <c r="BR204" s="19"/>
      <c r="BS204" s="19"/>
      <c r="BT204" s="19"/>
      <c r="BU204" s="33"/>
      <c r="BV204" s="19"/>
      <c r="BW204" s="19"/>
    </row>
    <row r="205" spans="1:75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32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33"/>
      <c r="BR205" s="19"/>
      <c r="BS205" s="19"/>
      <c r="BT205" s="19"/>
      <c r="BU205" s="33"/>
      <c r="BV205" s="19"/>
      <c r="BW205" s="19"/>
    </row>
    <row r="206" spans="1:75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32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33"/>
      <c r="BR206" s="19"/>
      <c r="BS206" s="19"/>
      <c r="BT206" s="19"/>
      <c r="BU206" s="33"/>
      <c r="BV206" s="19"/>
      <c r="BW206" s="19"/>
    </row>
    <row r="207" spans="1:75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32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33"/>
      <c r="BR207" s="19"/>
      <c r="BS207" s="19"/>
      <c r="BT207" s="19"/>
      <c r="BU207" s="33"/>
      <c r="BV207" s="19"/>
      <c r="BW207" s="19"/>
    </row>
    <row r="208" spans="1:75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32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33"/>
      <c r="BR208" s="19"/>
      <c r="BS208" s="19"/>
      <c r="BT208" s="19"/>
      <c r="BU208" s="33"/>
      <c r="BV208" s="19"/>
      <c r="BW208" s="19"/>
    </row>
    <row r="209" spans="1:75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32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33"/>
      <c r="BR209" s="19"/>
      <c r="BS209" s="19"/>
      <c r="BT209" s="19"/>
      <c r="BU209" s="33"/>
      <c r="BV209" s="19"/>
      <c r="BW209" s="19"/>
    </row>
    <row r="210" spans="1:75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32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33"/>
      <c r="BR210" s="19"/>
      <c r="BS210" s="19"/>
      <c r="BT210" s="19"/>
      <c r="BU210" s="33"/>
      <c r="BV210" s="19"/>
      <c r="BW210" s="19"/>
    </row>
    <row r="211" spans="1:75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32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33"/>
      <c r="BR211" s="19"/>
      <c r="BS211" s="19"/>
      <c r="BT211" s="19"/>
      <c r="BU211" s="33"/>
      <c r="BV211" s="19"/>
      <c r="BW211" s="19"/>
    </row>
    <row r="212" spans="1:75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32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33"/>
      <c r="BR212" s="19"/>
      <c r="BS212" s="19"/>
      <c r="BT212" s="19"/>
      <c r="BU212" s="33"/>
      <c r="BV212" s="19"/>
      <c r="BW212" s="19"/>
    </row>
    <row r="213" spans="1:75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32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33"/>
      <c r="BR213" s="19"/>
      <c r="BS213" s="19"/>
      <c r="BT213" s="19"/>
      <c r="BU213" s="33"/>
      <c r="BV213" s="19"/>
      <c r="BW213" s="19"/>
    </row>
    <row r="214" spans="1:75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32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33"/>
      <c r="BR214" s="19"/>
      <c r="BS214" s="19"/>
      <c r="BT214" s="19"/>
      <c r="BU214" s="33"/>
      <c r="BV214" s="19"/>
      <c r="BW214" s="19"/>
    </row>
    <row r="215" spans="1:75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32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33"/>
      <c r="BR215" s="19"/>
      <c r="BS215" s="19"/>
      <c r="BT215" s="19"/>
      <c r="BU215" s="33"/>
      <c r="BV215" s="19"/>
      <c r="BW215" s="19"/>
    </row>
    <row r="216" spans="1:75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32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33"/>
      <c r="BR216" s="19"/>
      <c r="BS216" s="19"/>
      <c r="BT216" s="19"/>
      <c r="BU216" s="33"/>
      <c r="BV216" s="19"/>
      <c r="BW216" s="19"/>
    </row>
    <row r="217" spans="1:75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32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33"/>
      <c r="BR217" s="19"/>
      <c r="BS217" s="19"/>
      <c r="BT217" s="19"/>
      <c r="BU217" s="33"/>
      <c r="BV217" s="19"/>
      <c r="BW217" s="19"/>
    </row>
    <row r="218" spans="1:75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32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33"/>
      <c r="BR218" s="19"/>
      <c r="BS218" s="19"/>
      <c r="BT218" s="19"/>
      <c r="BU218" s="33"/>
      <c r="BV218" s="19"/>
      <c r="BW218" s="19"/>
    </row>
    <row r="219" spans="1:75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32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33"/>
      <c r="BR219" s="19"/>
      <c r="BS219" s="19"/>
      <c r="BT219" s="19"/>
      <c r="BU219" s="33"/>
      <c r="BV219" s="19"/>
      <c r="BW219" s="19"/>
    </row>
    <row r="220" spans="1:75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32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33"/>
      <c r="BR220" s="19"/>
      <c r="BS220" s="19"/>
      <c r="BT220" s="19"/>
      <c r="BU220" s="33"/>
      <c r="BV220" s="19"/>
      <c r="BW220" s="19"/>
    </row>
    <row r="221" spans="1:75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32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33"/>
      <c r="BR221" s="19"/>
      <c r="BS221" s="19"/>
      <c r="BT221" s="19"/>
      <c r="BU221" s="33"/>
      <c r="BV221" s="19"/>
      <c r="BW221" s="19"/>
    </row>
    <row r="222" spans="1:75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32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33"/>
      <c r="BR222" s="19"/>
      <c r="BS222" s="19"/>
      <c r="BT222" s="19"/>
      <c r="BU222" s="33"/>
      <c r="BV222" s="19"/>
      <c r="BW222" s="19"/>
    </row>
    <row r="223" spans="1:75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32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33"/>
      <c r="BR223" s="19"/>
      <c r="BS223" s="19"/>
      <c r="BT223" s="19"/>
      <c r="BU223" s="33"/>
      <c r="BV223" s="19"/>
      <c r="BW223" s="19"/>
    </row>
    <row r="224" spans="1:75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32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33"/>
      <c r="BR224" s="19"/>
      <c r="BS224" s="19"/>
      <c r="BT224" s="19"/>
      <c r="BU224" s="33"/>
      <c r="BV224" s="19"/>
      <c r="BW224" s="19"/>
    </row>
    <row r="225" spans="1:75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32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33"/>
      <c r="BR225" s="19"/>
      <c r="BS225" s="19"/>
      <c r="BT225" s="19"/>
      <c r="BU225" s="33"/>
      <c r="BV225" s="19"/>
      <c r="BW225" s="19"/>
    </row>
    <row r="226" spans="1:75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32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33"/>
      <c r="BR226" s="19"/>
      <c r="BS226" s="19"/>
      <c r="BT226" s="19"/>
      <c r="BU226" s="33"/>
      <c r="BV226" s="19"/>
      <c r="BW226" s="19"/>
    </row>
    <row r="227" spans="1:75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32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33"/>
      <c r="BR227" s="19"/>
      <c r="BS227" s="19"/>
      <c r="BT227" s="19"/>
      <c r="BU227" s="33"/>
      <c r="BV227" s="19"/>
      <c r="BW227" s="19"/>
    </row>
    <row r="228" spans="1:75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32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33"/>
      <c r="BR228" s="19"/>
      <c r="BS228" s="19"/>
      <c r="BT228" s="19"/>
      <c r="BU228" s="33"/>
      <c r="BV228" s="19"/>
      <c r="BW228" s="19"/>
    </row>
    <row r="229" spans="1:75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32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33"/>
      <c r="BR229" s="19"/>
      <c r="BS229" s="19"/>
      <c r="BT229" s="19"/>
      <c r="BU229" s="33"/>
      <c r="BV229" s="19"/>
      <c r="BW229" s="19"/>
    </row>
    <row r="230" spans="1:75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32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33"/>
      <c r="BR230" s="19"/>
      <c r="BS230" s="19"/>
      <c r="BT230" s="19"/>
      <c r="BU230" s="33"/>
      <c r="BV230" s="19"/>
      <c r="BW230" s="19"/>
    </row>
    <row r="231" spans="1:75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32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33"/>
      <c r="BR231" s="19"/>
      <c r="BS231" s="19"/>
      <c r="BT231" s="19"/>
      <c r="BU231" s="33"/>
      <c r="BV231" s="19"/>
      <c r="BW231" s="19"/>
    </row>
    <row r="232" spans="1:75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32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33"/>
      <c r="BR232" s="19"/>
      <c r="BS232" s="19"/>
      <c r="BT232" s="19"/>
      <c r="BU232" s="33"/>
      <c r="BV232" s="19"/>
      <c r="BW232" s="19"/>
    </row>
    <row r="233" spans="1:75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32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33"/>
      <c r="BR233" s="19"/>
      <c r="BS233" s="19"/>
      <c r="BT233" s="19"/>
      <c r="BU233" s="33"/>
      <c r="BV233" s="19"/>
      <c r="BW233" s="19"/>
    </row>
    <row r="234" spans="1:75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32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33"/>
      <c r="BR234" s="19"/>
      <c r="BS234" s="19"/>
      <c r="BT234" s="19"/>
      <c r="BU234" s="33"/>
      <c r="BV234" s="19"/>
      <c r="BW234" s="19"/>
    </row>
    <row r="235" spans="1:75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32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33"/>
      <c r="BR235" s="19"/>
      <c r="BS235" s="19"/>
      <c r="BT235" s="19"/>
      <c r="BU235" s="33"/>
      <c r="BV235" s="19"/>
      <c r="BW235" s="19"/>
    </row>
    <row r="236" spans="1:75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32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33"/>
      <c r="BR236" s="19"/>
      <c r="BS236" s="19"/>
      <c r="BT236" s="19"/>
      <c r="BU236" s="33"/>
      <c r="BV236" s="19"/>
      <c r="BW236" s="19"/>
    </row>
    <row r="237" spans="1:75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32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33"/>
      <c r="BR237" s="19"/>
      <c r="BS237" s="19"/>
      <c r="BT237" s="19"/>
      <c r="BU237" s="33"/>
      <c r="BV237" s="19"/>
      <c r="BW237" s="19"/>
    </row>
    <row r="238" spans="1:75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32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33"/>
      <c r="BR238" s="19"/>
      <c r="BS238" s="19"/>
      <c r="BT238" s="19"/>
      <c r="BU238" s="33"/>
      <c r="BV238" s="19"/>
      <c r="BW238" s="19"/>
    </row>
    <row r="239" spans="1:75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32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33"/>
      <c r="BR239" s="19"/>
      <c r="BS239" s="19"/>
      <c r="BT239" s="19"/>
      <c r="BU239" s="33"/>
      <c r="BV239" s="19"/>
      <c r="BW239" s="19"/>
    </row>
    <row r="240" spans="1:75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32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33"/>
      <c r="BR240" s="19"/>
      <c r="BS240" s="19"/>
      <c r="BT240" s="19"/>
      <c r="BU240" s="33"/>
      <c r="BV240" s="19"/>
      <c r="BW240" s="19"/>
    </row>
    <row r="241" spans="1:75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32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33"/>
      <c r="BR241" s="19"/>
      <c r="BS241" s="19"/>
      <c r="BT241" s="19"/>
      <c r="BU241" s="33"/>
      <c r="BV241" s="19"/>
      <c r="BW241" s="19"/>
    </row>
    <row r="242" spans="1:75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32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33"/>
      <c r="BR242" s="19"/>
      <c r="BS242" s="19"/>
      <c r="BT242" s="19"/>
      <c r="BU242" s="33"/>
      <c r="BV242" s="19"/>
      <c r="BW242" s="19"/>
    </row>
    <row r="243" spans="1:75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32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33"/>
      <c r="BR243" s="19"/>
      <c r="BS243" s="19"/>
      <c r="BT243" s="19"/>
      <c r="BU243" s="33"/>
      <c r="BV243" s="19"/>
      <c r="BW243" s="19"/>
    </row>
    <row r="244" spans="1:75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32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33"/>
      <c r="BR244" s="19"/>
      <c r="BS244" s="19"/>
      <c r="BT244" s="19"/>
      <c r="BU244" s="33"/>
      <c r="BV244" s="19"/>
      <c r="BW244" s="19"/>
    </row>
    <row r="245" spans="1:75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32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33"/>
      <c r="BR245" s="19"/>
      <c r="BS245" s="19"/>
      <c r="BT245" s="19"/>
      <c r="BU245" s="33"/>
      <c r="BV245" s="19"/>
      <c r="BW245" s="19"/>
    </row>
    <row r="246" spans="1:75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32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33"/>
      <c r="BR246" s="19"/>
      <c r="BS246" s="19"/>
      <c r="BT246" s="19"/>
      <c r="BU246" s="33"/>
      <c r="BV246" s="19"/>
      <c r="BW246" s="19"/>
    </row>
    <row r="247" spans="1:75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32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33"/>
      <c r="BR247" s="19"/>
      <c r="BS247" s="19"/>
      <c r="BT247" s="19"/>
      <c r="BU247" s="33"/>
      <c r="BV247" s="19"/>
      <c r="BW247" s="19"/>
    </row>
    <row r="248" spans="1:75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32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33"/>
      <c r="BR248" s="19"/>
      <c r="BS248" s="19"/>
      <c r="BT248" s="19"/>
      <c r="BU248" s="33"/>
      <c r="BV248" s="19"/>
      <c r="BW248" s="19"/>
    </row>
    <row r="249" spans="1:75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32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33"/>
      <c r="BR249" s="19"/>
      <c r="BS249" s="19"/>
      <c r="BT249" s="19"/>
      <c r="BU249" s="33"/>
      <c r="BV249" s="19"/>
      <c r="BW249" s="19"/>
    </row>
    <row r="250" spans="1:75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32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33"/>
      <c r="BR250" s="19"/>
      <c r="BS250" s="19"/>
      <c r="BT250" s="19"/>
      <c r="BU250" s="33"/>
      <c r="BV250" s="19"/>
      <c r="BW250" s="19"/>
    </row>
    <row r="251" spans="1:75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32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33"/>
      <c r="BR251" s="19"/>
      <c r="BS251" s="19"/>
      <c r="BT251" s="19"/>
      <c r="BU251" s="33"/>
      <c r="BV251" s="19"/>
      <c r="BW251" s="19"/>
    </row>
    <row r="252" spans="1:75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32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33"/>
      <c r="BR252" s="19"/>
      <c r="BS252" s="19"/>
      <c r="BT252" s="19"/>
      <c r="BU252" s="33"/>
      <c r="BV252" s="19"/>
      <c r="BW252" s="19"/>
    </row>
    <row r="253" spans="1:75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32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33"/>
      <c r="BR253" s="19"/>
      <c r="BS253" s="19"/>
      <c r="BT253" s="19"/>
      <c r="BU253" s="33"/>
      <c r="BV253" s="19"/>
      <c r="BW253" s="19"/>
    </row>
    <row r="254" spans="1:75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32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33"/>
      <c r="BR254" s="19"/>
      <c r="BS254" s="19"/>
      <c r="BT254" s="19"/>
      <c r="BU254" s="33"/>
      <c r="BV254" s="19"/>
      <c r="BW254" s="19"/>
    </row>
    <row r="255" spans="1:75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32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33"/>
      <c r="BR255" s="19"/>
      <c r="BS255" s="19"/>
      <c r="BT255" s="19"/>
      <c r="BU255" s="33"/>
      <c r="BV255" s="19"/>
      <c r="BW255" s="19"/>
    </row>
    <row r="256" spans="1:75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32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33"/>
      <c r="BR256" s="19"/>
      <c r="BS256" s="19"/>
      <c r="BT256" s="19"/>
      <c r="BU256" s="33"/>
      <c r="BV256" s="19"/>
      <c r="BW256" s="19"/>
    </row>
    <row r="257" spans="1:75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32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33"/>
      <c r="BR257" s="19"/>
      <c r="BS257" s="19"/>
      <c r="BT257" s="19"/>
      <c r="BU257" s="33"/>
      <c r="BV257" s="19"/>
      <c r="BW257" s="19"/>
    </row>
    <row r="258" spans="1:75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32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33"/>
      <c r="BR258" s="19"/>
      <c r="BS258" s="19"/>
      <c r="BT258" s="19"/>
      <c r="BU258" s="33"/>
      <c r="BV258" s="19"/>
      <c r="BW258" s="19"/>
    </row>
    <row r="259" spans="1:75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32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33"/>
      <c r="BR259" s="19"/>
      <c r="BS259" s="19"/>
      <c r="BT259" s="19"/>
      <c r="BU259" s="33"/>
      <c r="BV259" s="19"/>
      <c r="BW259" s="19"/>
    </row>
    <row r="260" spans="1:75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32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33"/>
      <c r="BR260" s="19"/>
      <c r="BS260" s="19"/>
      <c r="BT260" s="19"/>
      <c r="BU260" s="33"/>
      <c r="BV260" s="19"/>
      <c r="BW260" s="19"/>
    </row>
    <row r="261" spans="1:75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32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33"/>
      <c r="BR261" s="19"/>
      <c r="BS261" s="19"/>
      <c r="BT261" s="19"/>
      <c r="BU261" s="33"/>
      <c r="BV261" s="19"/>
      <c r="BW261" s="19"/>
    </row>
    <row r="262" spans="1:75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32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33"/>
      <c r="BR262" s="19"/>
      <c r="BS262" s="19"/>
      <c r="BT262" s="19"/>
      <c r="BU262" s="33"/>
      <c r="BV262" s="19"/>
      <c r="BW262" s="19"/>
    </row>
    <row r="263" spans="1:75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32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33"/>
      <c r="BR263" s="19"/>
      <c r="BS263" s="19"/>
      <c r="BT263" s="19"/>
      <c r="BU263" s="33"/>
      <c r="BV263" s="19"/>
      <c r="BW263" s="19"/>
    </row>
    <row r="264" spans="1:75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32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33"/>
      <c r="BR264" s="19"/>
      <c r="BS264" s="19"/>
      <c r="BT264" s="19"/>
      <c r="BU264" s="33"/>
      <c r="BV264" s="19"/>
      <c r="BW264" s="19"/>
    </row>
    <row r="265" spans="1:75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32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33"/>
      <c r="BR265" s="19"/>
      <c r="BS265" s="19"/>
      <c r="BT265" s="19"/>
      <c r="BU265" s="33"/>
      <c r="BV265" s="19"/>
      <c r="BW265" s="19"/>
    </row>
    <row r="266" spans="1:75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32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33"/>
      <c r="BR266" s="19"/>
      <c r="BS266" s="19"/>
      <c r="BT266" s="19"/>
      <c r="BU266" s="33"/>
      <c r="BV266" s="19"/>
      <c r="BW266" s="19"/>
    </row>
    <row r="267" spans="1:75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32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33"/>
      <c r="BR267" s="19"/>
      <c r="BS267" s="19"/>
      <c r="BT267" s="19"/>
      <c r="BU267" s="33"/>
      <c r="BV267" s="19"/>
      <c r="BW267" s="19"/>
    </row>
    <row r="268" spans="1:75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32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33"/>
      <c r="BR268" s="19"/>
      <c r="BS268" s="19"/>
      <c r="BT268" s="19"/>
      <c r="BU268" s="33"/>
      <c r="BV268" s="19"/>
      <c r="BW268" s="19"/>
    </row>
    <row r="269" spans="1:75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32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33"/>
      <c r="BR269" s="19"/>
      <c r="BS269" s="19"/>
      <c r="BT269" s="19"/>
      <c r="BU269" s="33"/>
      <c r="BV269" s="19"/>
      <c r="BW269" s="19"/>
    </row>
    <row r="270" spans="1:75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32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33"/>
      <c r="BR270" s="19"/>
      <c r="BS270" s="19"/>
      <c r="BT270" s="19"/>
      <c r="BU270" s="33"/>
      <c r="BV270" s="19"/>
      <c r="BW270" s="19"/>
    </row>
    <row r="271" spans="1:75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32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33"/>
      <c r="BR271" s="19"/>
      <c r="BS271" s="19"/>
      <c r="BT271" s="19"/>
      <c r="BU271" s="33"/>
      <c r="BV271" s="19"/>
      <c r="BW271" s="19"/>
    </row>
    <row r="272" spans="1:75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32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33"/>
      <c r="BR272" s="19"/>
      <c r="BS272" s="19"/>
      <c r="BT272" s="19"/>
      <c r="BU272" s="33"/>
      <c r="BV272" s="19"/>
      <c r="BW272" s="19"/>
    </row>
    <row r="273" spans="1:75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32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33"/>
      <c r="BR273" s="19"/>
      <c r="BS273" s="19"/>
      <c r="BT273" s="19"/>
      <c r="BU273" s="33"/>
      <c r="BV273" s="19"/>
      <c r="BW273" s="19"/>
    </row>
    <row r="274" spans="1:75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32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33"/>
      <c r="BR274" s="19"/>
      <c r="BS274" s="19"/>
      <c r="BT274" s="19"/>
      <c r="BU274" s="33"/>
      <c r="BV274" s="19"/>
      <c r="BW274" s="19"/>
    </row>
    <row r="275" spans="1:75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32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33"/>
      <c r="BR275" s="19"/>
      <c r="BS275" s="19"/>
      <c r="BT275" s="19"/>
      <c r="BU275" s="33"/>
      <c r="BV275" s="19"/>
      <c r="BW275" s="19"/>
    </row>
    <row r="276" spans="1:75" ht="15.75" customHeight="1">
      <c r="BF276" s="34"/>
      <c r="BQ276" s="35"/>
      <c r="BU276" s="35"/>
    </row>
    <row r="277" spans="1:75" ht="15.75" customHeight="1">
      <c r="BF277" s="34"/>
      <c r="BQ277" s="35"/>
      <c r="BU277" s="35"/>
    </row>
    <row r="278" spans="1:75" ht="15.75" customHeight="1">
      <c r="BF278" s="34"/>
      <c r="BQ278" s="35"/>
      <c r="BU278" s="35"/>
    </row>
    <row r="279" spans="1:75" ht="15.75" customHeight="1">
      <c r="BF279" s="34"/>
      <c r="BQ279" s="35"/>
      <c r="BU279" s="35"/>
    </row>
    <row r="280" spans="1:75" ht="15.75" customHeight="1">
      <c r="BF280" s="34"/>
      <c r="BQ280" s="35"/>
      <c r="BU280" s="35"/>
    </row>
    <row r="281" spans="1:75" ht="15.75" customHeight="1">
      <c r="BF281" s="34"/>
      <c r="BQ281" s="35"/>
      <c r="BU281" s="35"/>
    </row>
    <row r="282" spans="1:75" ht="15.75" customHeight="1">
      <c r="BF282" s="34"/>
      <c r="BQ282" s="35"/>
      <c r="BU282" s="35"/>
    </row>
    <row r="283" spans="1:75" ht="15.75" customHeight="1">
      <c r="BF283" s="34"/>
      <c r="BQ283" s="35"/>
      <c r="BU283" s="35"/>
    </row>
    <row r="284" spans="1:75" ht="15.75" customHeight="1">
      <c r="BF284" s="34"/>
      <c r="BQ284" s="35"/>
      <c r="BU284" s="35"/>
    </row>
    <row r="285" spans="1:75" ht="15.75" customHeight="1">
      <c r="BF285" s="34"/>
      <c r="BQ285" s="35"/>
      <c r="BU285" s="35"/>
    </row>
    <row r="286" spans="1:75" ht="15.75" customHeight="1">
      <c r="BF286" s="34"/>
      <c r="BQ286" s="35"/>
      <c r="BU286" s="35"/>
    </row>
    <row r="287" spans="1:75" ht="15.75" customHeight="1">
      <c r="BF287" s="34"/>
      <c r="BQ287" s="35"/>
      <c r="BU287" s="35"/>
    </row>
    <row r="288" spans="1:75" ht="15.75" customHeight="1">
      <c r="BF288" s="34"/>
      <c r="BQ288" s="35"/>
      <c r="BU288" s="35"/>
    </row>
    <row r="289" spans="58:73" ht="15.75" customHeight="1">
      <c r="BF289" s="34"/>
      <c r="BQ289" s="35"/>
      <c r="BU289" s="35"/>
    </row>
    <row r="290" spans="58:73" ht="15.75" customHeight="1">
      <c r="BF290" s="34"/>
      <c r="BQ290" s="35"/>
      <c r="BU290" s="35"/>
    </row>
    <row r="291" spans="58:73" ht="15.75" customHeight="1">
      <c r="BF291" s="34"/>
      <c r="BQ291" s="35"/>
      <c r="BU291" s="35"/>
    </row>
    <row r="292" spans="58:73" ht="15.75" customHeight="1">
      <c r="BF292" s="34"/>
      <c r="BQ292" s="35"/>
      <c r="BU292" s="35"/>
    </row>
    <row r="293" spans="58:73" ht="15.75" customHeight="1">
      <c r="BF293" s="34"/>
      <c r="BQ293" s="35"/>
      <c r="BU293" s="35"/>
    </row>
    <row r="294" spans="58:73" ht="15.75" customHeight="1">
      <c r="BF294" s="34"/>
      <c r="BQ294" s="35"/>
      <c r="BU294" s="35"/>
    </row>
    <row r="295" spans="58:73" ht="15.75" customHeight="1">
      <c r="BF295" s="34"/>
      <c r="BQ295" s="35"/>
      <c r="BU295" s="35"/>
    </row>
    <row r="296" spans="58:73" ht="15.75" customHeight="1">
      <c r="BF296" s="34"/>
      <c r="BQ296" s="35"/>
      <c r="BU296" s="35"/>
    </row>
    <row r="297" spans="58:73" ht="15.75" customHeight="1">
      <c r="BF297" s="34"/>
      <c r="BQ297" s="35"/>
      <c r="BU297" s="35"/>
    </row>
    <row r="298" spans="58:73" ht="15.75" customHeight="1">
      <c r="BF298" s="34"/>
      <c r="BQ298" s="35"/>
      <c r="BU298" s="35"/>
    </row>
    <row r="299" spans="58:73" ht="15.75" customHeight="1">
      <c r="BF299" s="34"/>
      <c r="BQ299" s="35"/>
      <c r="BU299" s="35"/>
    </row>
    <row r="300" spans="58:73" ht="15.75" customHeight="1">
      <c r="BF300" s="34"/>
      <c r="BQ300" s="35"/>
      <c r="BU300" s="35"/>
    </row>
    <row r="301" spans="58:73" ht="15.75" customHeight="1">
      <c r="BF301" s="34"/>
      <c r="BQ301" s="35"/>
      <c r="BU301" s="35"/>
    </row>
    <row r="302" spans="58:73" ht="15.75" customHeight="1">
      <c r="BF302" s="34"/>
      <c r="BQ302" s="35"/>
      <c r="BU302" s="35"/>
    </row>
    <row r="303" spans="58:73" ht="15.75" customHeight="1">
      <c r="BF303" s="34"/>
      <c r="BQ303" s="35"/>
      <c r="BU303" s="35"/>
    </row>
    <row r="304" spans="58:73" ht="15.75" customHeight="1">
      <c r="BF304" s="34"/>
      <c r="BQ304" s="35"/>
      <c r="BU304" s="35"/>
    </row>
    <row r="305" spans="58:73" ht="15.75" customHeight="1">
      <c r="BF305" s="34"/>
      <c r="BQ305" s="35"/>
      <c r="BU305" s="35"/>
    </row>
    <row r="306" spans="58:73" ht="15.75" customHeight="1">
      <c r="BF306" s="34"/>
      <c r="BQ306" s="35"/>
      <c r="BU306" s="35"/>
    </row>
    <row r="307" spans="58:73" ht="15.75" customHeight="1">
      <c r="BF307" s="34"/>
      <c r="BQ307" s="35"/>
      <c r="BU307" s="35"/>
    </row>
    <row r="308" spans="58:73" ht="15.75" customHeight="1">
      <c r="BF308" s="34"/>
      <c r="BQ308" s="35"/>
      <c r="BU308" s="35"/>
    </row>
    <row r="309" spans="58:73" ht="15.75" customHeight="1">
      <c r="BF309" s="34"/>
      <c r="BQ309" s="35"/>
      <c r="BU309" s="35"/>
    </row>
    <row r="310" spans="58:73" ht="15.75" customHeight="1">
      <c r="BF310" s="34"/>
      <c r="BQ310" s="35"/>
      <c r="BU310" s="35"/>
    </row>
    <row r="311" spans="58:73" ht="15.75" customHeight="1">
      <c r="BF311" s="34"/>
      <c r="BQ311" s="35"/>
      <c r="BU311" s="35"/>
    </row>
    <row r="312" spans="58:73" ht="15.75" customHeight="1">
      <c r="BF312" s="34"/>
      <c r="BQ312" s="35"/>
      <c r="BU312" s="35"/>
    </row>
    <row r="313" spans="58:73" ht="15.75" customHeight="1">
      <c r="BF313" s="34"/>
      <c r="BQ313" s="35"/>
      <c r="BU313" s="35"/>
    </row>
    <row r="314" spans="58:73" ht="15.75" customHeight="1">
      <c r="BF314" s="34"/>
      <c r="BQ314" s="35"/>
      <c r="BU314" s="35"/>
    </row>
    <row r="315" spans="58:73" ht="15.75" customHeight="1">
      <c r="BF315" s="34"/>
      <c r="BQ315" s="35"/>
      <c r="BU315" s="35"/>
    </row>
    <row r="316" spans="58:73" ht="15.75" customHeight="1">
      <c r="BF316" s="34"/>
      <c r="BQ316" s="35"/>
      <c r="BU316" s="35"/>
    </row>
    <row r="317" spans="58:73" ht="15.75" customHeight="1">
      <c r="BF317" s="34"/>
      <c r="BQ317" s="35"/>
      <c r="BU317" s="35"/>
    </row>
    <row r="318" spans="58:73" ht="15.75" customHeight="1">
      <c r="BF318" s="34"/>
      <c r="BQ318" s="35"/>
      <c r="BU318" s="35"/>
    </row>
    <row r="319" spans="58:73" ht="15.75" customHeight="1">
      <c r="BF319" s="34"/>
      <c r="BQ319" s="35"/>
      <c r="BU319" s="35"/>
    </row>
    <row r="320" spans="58:73" ht="15.75" customHeight="1">
      <c r="BF320" s="34"/>
      <c r="BQ320" s="35"/>
      <c r="BU320" s="35"/>
    </row>
    <row r="321" spans="58:73" ht="15.75" customHeight="1">
      <c r="BF321" s="34"/>
      <c r="BQ321" s="35"/>
      <c r="BU321" s="35"/>
    </row>
    <row r="322" spans="58:73" ht="15.75" customHeight="1">
      <c r="BF322" s="34"/>
      <c r="BQ322" s="35"/>
      <c r="BU322" s="35"/>
    </row>
    <row r="323" spans="58:73" ht="15.75" customHeight="1">
      <c r="BF323" s="34"/>
      <c r="BQ323" s="35"/>
      <c r="BU323" s="35"/>
    </row>
    <row r="324" spans="58:73" ht="15.75" customHeight="1">
      <c r="BF324" s="34"/>
      <c r="BQ324" s="35"/>
      <c r="BU324" s="35"/>
    </row>
    <row r="325" spans="58:73" ht="15.75" customHeight="1">
      <c r="BF325" s="34"/>
      <c r="BQ325" s="35"/>
      <c r="BU325" s="35"/>
    </row>
    <row r="326" spans="58:73" ht="15.75" customHeight="1">
      <c r="BF326" s="34"/>
      <c r="BQ326" s="35"/>
      <c r="BU326" s="35"/>
    </row>
    <row r="327" spans="58:73" ht="15.75" customHeight="1">
      <c r="BF327" s="34"/>
      <c r="BQ327" s="35"/>
      <c r="BU327" s="35"/>
    </row>
    <row r="328" spans="58:73" ht="15.75" customHeight="1">
      <c r="BF328" s="34"/>
      <c r="BQ328" s="35"/>
      <c r="BU328" s="35"/>
    </row>
    <row r="329" spans="58:73" ht="15.75" customHeight="1">
      <c r="BF329" s="34"/>
      <c r="BQ329" s="35"/>
      <c r="BU329" s="35"/>
    </row>
    <row r="330" spans="58:73" ht="15.75" customHeight="1">
      <c r="BF330" s="34"/>
      <c r="BQ330" s="35"/>
      <c r="BU330" s="35"/>
    </row>
    <row r="331" spans="58:73" ht="15.75" customHeight="1">
      <c r="BF331" s="34"/>
      <c r="BQ331" s="35"/>
      <c r="BU331" s="35"/>
    </row>
    <row r="332" spans="58:73" ht="15.75" customHeight="1">
      <c r="BF332" s="34"/>
      <c r="BQ332" s="35"/>
      <c r="BU332" s="35"/>
    </row>
    <row r="333" spans="58:73" ht="15.75" customHeight="1">
      <c r="BF333" s="34"/>
      <c r="BQ333" s="35"/>
      <c r="BU333" s="35"/>
    </row>
    <row r="334" spans="58:73" ht="15.75" customHeight="1">
      <c r="BF334" s="34"/>
      <c r="BQ334" s="35"/>
      <c r="BU334" s="35"/>
    </row>
    <row r="335" spans="58:73" ht="15.75" customHeight="1">
      <c r="BF335" s="34"/>
      <c r="BQ335" s="35"/>
      <c r="BU335" s="35"/>
    </row>
    <row r="336" spans="58:73" ht="15.75" customHeight="1">
      <c r="BF336" s="34"/>
      <c r="BQ336" s="35"/>
      <c r="BU336" s="35"/>
    </row>
    <row r="337" spans="58:73" ht="15.75" customHeight="1">
      <c r="BF337" s="34"/>
      <c r="BQ337" s="35"/>
      <c r="BU337" s="35"/>
    </row>
    <row r="338" spans="58:73" ht="15.75" customHeight="1">
      <c r="BF338" s="34"/>
      <c r="BQ338" s="35"/>
      <c r="BU338" s="35"/>
    </row>
    <row r="339" spans="58:73" ht="15.75" customHeight="1">
      <c r="BF339" s="34"/>
      <c r="BQ339" s="35"/>
      <c r="BU339" s="35"/>
    </row>
    <row r="340" spans="58:73" ht="15.75" customHeight="1">
      <c r="BF340" s="34"/>
      <c r="BQ340" s="35"/>
      <c r="BU340" s="35"/>
    </row>
    <row r="341" spans="58:73" ht="15.75" customHeight="1">
      <c r="BF341" s="34"/>
      <c r="BQ341" s="35"/>
      <c r="BU341" s="35"/>
    </row>
    <row r="342" spans="58:73" ht="15.75" customHeight="1">
      <c r="BF342" s="34"/>
      <c r="BQ342" s="35"/>
      <c r="BU342" s="35"/>
    </row>
    <row r="343" spans="58:73" ht="15.75" customHeight="1">
      <c r="BF343" s="34"/>
      <c r="BQ343" s="35"/>
      <c r="BU343" s="35"/>
    </row>
    <row r="344" spans="58:73" ht="15.75" customHeight="1">
      <c r="BF344" s="34"/>
      <c r="BQ344" s="35"/>
      <c r="BU344" s="35"/>
    </row>
    <row r="345" spans="58:73" ht="15.75" customHeight="1">
      <c r="BF345" s="34"/>
      <c r="BQ345" s="35"/>
      <c r="BU345" s="35"/>
    </row>
    <row r="346" spans="58:73" ht="15.75" customHeight="1">
      <c r="BF346" s="34"/>
      <c r="BQ346" s="35"/>
      <c r="BU346" s="35"/>
    </row>
    <row r="347" spans="58:73" ht="15.75" customHeight="1">
      <c r="BF347" s="34"/>
      <c r="BQ347" s="35"/>
      <c r="BU347" s="35"/>
    </row>
    <row r="348" spans="58:73" ht="15.75" customHeight="1">
      <c r="BF348" s="34"/>
      <c r="BQ348" s="35"/>
      <c r="BU348" s="35"/>
    </row>
    <row r="349" spans="58:73" ht="15.75" customHeight="1">
      <c r="BF349" s="34"/>
      <c r="BQ349" s="35"/>
      <c r="BU349" s="35"/>
    </row>
    <row r="350" spans="58:73" ht="15.75" customHeight="1">
      <c r="BF350" s="34"/>
      <c r="BQ350" s="35"/>
      <c r="BU350" s="35"/>
    </row>
    <row r="351" spans="58:73" ht="15.75" customHeight="1">
      <c r="BF351" s="34"/>
      <c r="BQ351" s="35"/>
      <c r="BU351" s="35"/>
    </row>
    <row r="352" spans="58:73" ht="15.75" customHeight="1">
      <c r="BF352" s="34"/>
      <c r="BQ352" s="35"/>
      <c r="BU352" s="35"/>
    </row>
    <row r="353" spans="58:73" ht="15.75" customHeight="1">
      <c r="BF353" s="34"/>
      <c r="BQ353" s="35"/>
      <c r="BU353" s="35"/>
    </row>
    <row r="354" spans="58:73" ht="15.75" customHeight="1">
      <c r="BF354" s="34"/>
      <c r="BQ354" s="35"/>
      <c r="BU354" s="35"/>
    </row>
    <row r="355" spans="58:73" ht="15.75" customHeight="1">
      <c r="BF355" s="34"/>
      <c r="BQ355" s="35"/>
      <c r="BU355" s="35"/>
    </row>
    <row r="356" spans="58:73" ht="15.75" customHeight="1">
      <c r="BF356" s="34"/>
      <c r="BQ356" s="35"/>
      <c r="BU356" s="35"/>
    </row>
    <row r="357" spans="58:73" ht="15.75" customHeight="1">
      <c r="BF357" s="34"/>
      <c r="BQ357" s="35"/>
      <c r="BU357" s="35"/>
    </row>
    <row r="358" spans="58:73" ht="15.75" customHeight="1">
      <c r="BF358" s="34"/>
      <c r="BQ358" s="35"/>
      <c r="BU358" s="35"/>
    </row>
    <row r="359" spans="58:73" ht="15.75" customHeight="1">
      <c r="BF359" s="34"/>
      <c r="BQ359" s="35"/>
      <c r="BU359" s="35"/>
    </row>
    <row r="360" spans="58:73" ht="15.75" customHeight="1">
      <c r="BF360" s="34"/>
      <c r="BQ360" s="35"/>
      <c r="BU360" s="35"/>
    </row>
    <row r="361" spans="58:73" ht="15.75" customHeight="1">
      <c r="BF361" s="34"/>
      <c r="BQ361" s="35"/>
      <c r="BU361" s="35"/>
    </row>
    <row r="362" spans="58:73" ht="15.75" customHeight="1">
      <c r="BF362" s="34"/>
      <c r="BQ362" s="35"/>
      <c r="BU362" s="35"/>
    </row>
    <row r="363" spans="58:73" ht="15.75" customHeight="1">
      <c r="BF363" s="34"/>
      <c r="BQ363" s="35"/>
      <c r="BU363" s="35"/>
    </row>
    <row r="364" spans="58:73" ht="15.75" customHeight="1">
      <c r="BF364" s="34"/>
      <c r="BQ364" s="35"/>
      <c r="BU364" s="35"/>
    </row>
    <row r="365" spans="58:73" ht="15.75" customHeight="1">
      <c r="BF365" s="34"/>
      <c r="BQ365" s="35"/>
      <c r="BU365" s="35"/>
    </row>
    <row r="366" spans="58:73" ht="15.75" customHeight="1">
      <c r="BF366" s="34"/>
      <c r="BQ366" s="35"/>
      <c r="BU366" s="35"/>
    </row>
    <row r="367" spans="58:73" ht="15.75" customHeight="1">
      <c r="BF367" s="34"/>
      <c r="BQ367" s="35"/>
      <c r="BU367" s="35"/>
    </row>
    <row r="368" spans="58:73" ht="15.75" customHeight="1">
      <c r="BF368" s="34"/>
      <c r="BQ368" s="35"/>
      <c r="BU368" s="35"/>
    </row>
    <row r="369" spans="58:73" ht="15.75" customHeight="1">
      <c r="BF369" s="34"/>
      <c r="BQ369" s="35"/>
      <c r="BU369" s="35"/>
    </row>
    <row r="370" spans="58:73" ht="15.75" customHeight="1">
      <c r="BF370" s="34"/>
      <c r="BQ370" s="35"/>
      <c r="BU370" s="35"/>
    </row>
    <row r="371" spans="58:73" ht="15.75" customHeight="1">
      <c r="BF371" s="34"/>
      <c r="BQ371" s="35"/>
      <c r="BU371" s="35"/>
    </row>
    <row r="372" spans="58:73" ht="15.75" customHeight="1">
      <c r="BF372" s="34"/>
      <c r="BQ372" s="35"/>
      <c r="BU372" s="35"/>
    </row>
    <row r="373" spans="58:73" ht="15.75" customHeight="1">
      <c r="BF373" s="34"/>
      <c r="BQ373" s="35"/>
      <c r="BU373" s="35"/>
    </row>
    <row r="374" spans="58:73" ht="15.75" customHeight="1">
      <c r="BF374" s="34"/>
      <c r="BQ374" s="35"/>
      <c r="BU374" s="35"/>
    </row>
    <row r="375" spans="58:73" ht="15.75" customHeight="1">
      <c r="BF375" s="34"/>
      <c r="BQ375" s="35"/>
      <c r="BU375" s="35"/>
    </row>
    <row r="376" spans="58:73" ht="15.75" customHeight="1">
      <c r="BF376" s="34"/>
      <c r="BQ376" s="35"/>
      <c r="BU376" s="35"/>
    </row>
    <row r="377" spans="58:73" ht="15.75" customHeight="1">
      <c r="BF377" s="34"/>
      <c r="BQ377" s="35"/>
      <c r="BU377" s="35"/>
    </row>
    <row r="378" spans="58:73" ht="15.75" customHeight="1">
      <c r="BF378" s="34"/>
      <c r="BQ378" s="35"/>
      <c r="BU378" s="35"/>
    </row>
    <row r="379" spans="58:73" ht="15.75" customHeight="1">
      <c r="BF379" s="34"/>
      <c r="BQ379" s="35"/>
      <c r="BU379" s="35"/>
    </row>
    <row r="380" spans="58:73" ht="15.75" customHeight="1">
      <c r="BF380" s="34"/>
      <c r="BQ380" s="35"/>
      <c r="BU380" s="35"/>
    </row>
    <row r="381" spans="58:73" ht="15.75" customHeight="1">
      <c r="BF381" s="34"/>
      <c r="BQ381" s="35"/>
      <c r="BU381" s="35"/>
    </row>
    <row r="382" spans="58:73" ht="15.75" customHeight="1">
      <c r="BF382" s="34"/>
      <c r="BQ382" s="35"/>
      <c r="BU382" s="35"/>
    </row>
    <row r="383" spans="58:73" ht="15.75" customHeight="1">
      <c r="BF383" s="34"/>
      <c r="BQ383" s="35"/>
      <c r="BU383" s="35"/>
    </row>
    <row r="384" spans="58:73" ht="15.75" customHeight="1">
      <c r="BF384" s="34"/>
      <c r="BQ384" s="35"/>
      <c r="BU384" s="35"/>
    </row>
    <row r="385" spans="58:73" ht="15.75" customHeight="1">
      <c r="BF385" s="34"/>
      <c r="BQ385" s="35"/>
      <c r="BU385" s="35"/>
    </row>
    <row r="386" spans="58:73" ht="15.75" customHeight="1">
      <c r="BF386" s="34"/>
      <c r="BQ386" s="35"/>
      <c r="BU386" s="35"/>
    </row>
    <row r="387" spans="58:73" ht="15.75" customHeight="1">
      <c r="BF387" s="34"/>
      <c r="BQ387" s="35"/>
      <c r="BU387" s="35"/>
    </row>
    <row r="388" spans="58:73" ht="15.75" customHeight="1">
      <c r="BF388" s="34"/>
      <c r="BQ388" s="35"/>
      <c r="BU388" s="35"/>
    </row>
    <row r="389" spans="58:73" ht="15.75" customHeight="1">
      <c r="BF389" s="34"/>
      <c r="BQ389" s="35"/>
      <c r="BU389" s="35"/>
    </row>
    <row r="390" spans="58:73" ht="15.75" customHeight="1">
      <c r="BF390" s="34"/>
      <c r="BQ390" s="35"/>
      <c r="BU390" s="35"/>
    </row>
    <row r="391" spans="58:73" ht="15.75" customHeight="1">
      <c r="BF391" s="34"/>
      <c r="BQ391" s="35"/>
      <c r="BU391" s="35"/>
    </row>
    <row r="392" spans="58:73" ht="15.75" customHeight="1">
      <c r="BF392" s="34"/>
      <c r="BQ392" s="35"/>
      <c r="BU392" s="35"/>
    </row>
    <row r="393" spans="58:73" ht="15.75" customHeight="1">
      <c r="BF393" s="34"/>
      <c r="BQ393" s="35"/>
      <c r="BU393" s="35"/>
    </row>
    <row r="394" spans="58:73" ht="15.75" customHeight="1">
      <c r="BF394" s="34"/>
      <c r="BQ394" s="35"/>
      <c r="BU394" s="35"/>
    </row>
    <row r="395" spans="58:73" ht="15.75" customHeight="1">
      <c r="BF395" s="34"/>
      <c r="BQ395" s="35"/>
      <c r="BU395" s="35"/>
    </row>
    <row r="396" spans="58:73" ht="15.75" customHeight="1">
      <c r="BF396" s="34"/>
      <c r="BQ396" s="35"/>
      <c r="BU396" s="35"/>
    </row>
    <row r="397" spans="58:73" ht="15.75" customHeight="1">
      <c r="BF397" s="34"/>
      <c r="BQ397" s="35"/>
      <c r="BU397" s="35"/>
    </row>
    <row r="398" spans="58:73" ht="15.75" customHeight="1">
      <c r="BF398" s="34"/>
      <c r="BQ398" s="35"/>
      <c r="BU398" s="35"/>
    </row>
    <row r="399" spans="58:73" ht="15.75" customHeight="1">
      <c r="BF399" s="34"/>
      <c r="BQ399" s="35"/>
      <c r="BU399" s="35"/>
    </row>
    <row r="400" spans="58:73" ht="15.75" customHeight="1">
      <c r="BF400" s="34"/>
      <c r="BQ400" s="35"/>
      <c r="BU400" s="35"/>
    </row>
    <row r="401" spans="58:73" ht="15.75" customHeight="1">
      <c r="BF401" s="34"/>
      <c r="BQ401" s="35"/>
      <c r="BU401" s="35"/>
    </row>
    <row r="402" spans="58:73" ht="15.75" customHeight="1">
      <c r="BF402" s="34"/>
      <c r="BQ402" s="35"/>
      <c r="BU402" s="35"/>
    </row>
    <row r="403" spans="58:73" ht="15.75" customHeight="1">
      <c r="BF403" s="34"/>
      <c r="BQ403" s="35"/>
      <c r="BU403" s="35"/>
    </row>
    <row r="404" spans="58:73" ht="15.75" customHeight="1">
      <c r="BF404" s="34"/>
      <c r="BQ404" s="35"/>
      <c r="BU404" s="35"/>
    </row>
    <row r="405" spans="58:73" ht="15.75" customHeight="1">
      <c r="BF405" s="34"/>
      <c r="BQ405" s="35"/>
      <c r="BU405" s="35"/>
    </row>
    <row r="406" spans="58:73" ht="15.75" customHeight="1">
      <c r="BF406" s="34"/>
      <c r="BQ406" s="35"/>
      <c r="BU406" s="35"/>
    </row>
    <row r="407" spans="58:73" ht="15.75" customHeight="1">
      <c r="BF407" s="34"/>
      <c r="BQ407" s="35"/>
      <c r="BU407" s="35"/>
    </row>
    <row r="408" spans="58:73" ht="15.75" customHeight="1">
      <c r="BF408" s="34"/>
      <c r="BQ408" s="35"/>
      <c r="BU408" s="35"/>
    </row>
    <row r="409" spans="58:73" ht="15.75" customHeight="1">
      <c r="BF409" s="34"/>
      <c r="BQ409" s="35"/>
      <c r="BU409" s="35"/>
    </row>
    <row r="410" spans="58:73" ht="15.75" customHeight="1">
      <c r="BF410" s="34"/>
      <c r="BQ410" s="35"/>
      <c r="BU410" s="35"/>
    </row>
    <row r="411" spans="58:73" ht="15.75" customHeight="1">
      <c r="BF411" s="34"/>
      <c r="BQ411" s="35"/>
      <c r="BU411" s="35"/>
    </row>
    <row r="412" spans="58:73" ht="15.75" customHeight="1">
      <c r="BF412" s="34"/>
      <c r="BQ412" s="35"/>
      <c r="BU412" s="35"/>
    </row>
    <row r="413" spans="58:73" ht="15.75" customHeight="1">
      <c r="BF413" s="34"/>
      <c r="BQ413" s="35"/>
      <c r="BU413" s="35"/>
    </row>
    <row r="414" spans="58:73" ht="15.75" customHeight="1">
      <c r="BF414" s="34"/>
      <c r="BQ414" s="35"/>
      <c r="BU414" s="35"/>
    </row>
    <row r="415" spans="58:73" ht="15.75" customHeight="1">
      <c r="BF415" s="34"/>
      <c r="BQ415" s="35"/>
      <c r="BU415" s="35"/>
    </row>
    <row r="416" spans="58:73" ht="15.75" customHeight="1">
      <c r="BF416" s="34"/>
      <c r="BQ416" s="35"/>
      <c r="BU416" s="35"/>
    </row>
    <row r="417" spans="58:73" ht="15.75" customHeight="1">
      <c r="BF417" s="34"/>
      <c r="BQ417" s="35"/>
      <c r="BU417" s="35"/>
    </row>
    <row r="418" spans="58:73" ht="15.75" customHeight="1">
      <c r="BF418" s="34"/>
      <c r="BQ418" s="35"/>
      <c r="BU418" s="35"/>
    </row>
    <row r="419" spans="58:73" ht="15.75" customHeight="1">
      <c r="BF419" s="34"/>
      <c r="BQ419" s="35"/>
      <c r="BU419" s="35"/>
    </row>
    <row r="420" spans="58:73" ht="15.75" customHeight="1">
      <c r="BF420" s="34"/>
      <c r="BQ420" s="35"/>
      <c r="BU420" s="35"/>
    </row>
    <row r="421" spans="58:73" ht="15.75" customHeight="1">
      <c r="BF421" s="34"/>
      <c r="BQ421" s="35"/>
      <c r="BU421" s="35"/>
    </row>
    <row r="422" spans="58:73" ht="15.75" customHeight="1">
      <c r="BF422" s="34"/>
      <c r="BQ422" s="35"/>
      <c r="BU422" s="35"/>
    </row>
    <row r="423" spans="58:73" ht="15.75" customHeight="1">
      <c r="BF423" s="34"/>
      <c r="BQ423" s="35"/>
      <c r="BU423" s="35"/>
    </row>
    <row r="424" spans="58:73" ht="15.75" customHeight="1">
      <c r="BF424" s="34"/>
      <c r="BQ424" s="35"/>
      <c r="BU424" s="35"/>
    </row>
    <row r="425" spans="58:73" ht="15.75" customHeight="1">
      <c r="BF425" s="34"/>
      <c r="BQ425" s="35"/>
      <c r="BU425" s="35"/>
    </row>
    <row r="426" spans="58:73" ht="15.75" customHeight="1">
      <c r="BF426" s="34"/>
      <c r="BQ426" s="35"/>
      <c r="BU426" s="35"/>
    </row>
    <row r="427" spans="58:73" ht="15.75" customHeight="1">
      <c r="BF427" s="34"/>
      <c r="BQ427" s="35"/>
      <c r="BU427" s="35"/>
    </row>
    <row r="428" spans="58:73" ht="15.75" customHeight="1">
      <c r="BF428" s="34"/>
      <c r="BQ428" s="35"/>
      <c r="BU428" s="35"/>
    </row>
    <row r="429" spans="58:73" ht="15.75" customHeight="1">
      <c r="BF429" s="34"/>
      <c r="BQ429" s="35"/>
      <c r="BU429" s="35"/>
    </row>
    <row r="430" spans="58:73" ht="15.75" customHeight="1">
      <c r="BF430" s="34"/>
      <c r="BQ430" s="35"/>
      <c r="BU430" s="35"/>
    </row>
    <row r="431" spans="58:73" ht="15.75" customHeight="1">
      <c r="BF431" s="34"/>
      <c r="BQ431" s="35"/>
      <c r="BU431" s="35"/>
    </row>
    <row r="432" spans="58:73" ht="15.75" customHeight="1">
      <c r="BF432" s="34"/>
      <c r="BQ432" s="35"/>
      <c r="BU432" s="35"/>
    </row>
    <row r="433" spans="58:73" ht="15.75" customHeight="1">
      <c r="BF433" s="34"/>
      <c r="BQ433" s="35"/>
      <c r="BU433" s="35"/>
    </row>
    <row r="434" spans="58:73" ht="15.75" customHeight="1">
      <c r="BF434" s="34"/>
      <c r="BQ434" s="35"/>
      <c r="BU434" s="35"/>
    </row>
    <row r="435" spans="58:73" ht="15.75" customHeight="1">
      <c r="BF435" s="34"/>
      <c r="BQ435" s="35"/>
      <c r="BU435" s="35"/>
    </row>
    <row r="436" spans="58:73" ht="15.75" customHeight="1">
      <c r="BF436" s="34"/>
      <c r="BQ436" s="35"/>
      <c r="BU436" s="35"/>
    </row>
    <row r="437" spans="58:73" ht="15.75" customHeight="1">
      <c r="BF437" s="34"/>
      <c r="BQ437" s="35"/>
      <c r="BU437" s="35"/>
    </row>
    <row r="438" spans="58:73" ht="15.75" customHeight="1">
      <c r="BF438" s="34"/>
      <c r="BQ438" s="35"/>
      <c r="BU438" s="35"/>
    </row>
    <row r="439" spans="58:73" ht="15.75" customHeight="1">
      <c r="BF439" s="34"/>
      <c r="BQ439" s="35"/>
      <c r="BU439" s="35"/>
    </row>
    <row r="440" spans="58:73" ht="15.75" customHeight="1">
      <c r="BF440" s="34"/>
      <c r="BQ440" s="35"/>
      <c r="BU440" s="35"/>
    </row>
    <row r="441" spans="58:73" ht="15.75" customHeight="1">
      <c r="BF441" s="34"/>
      <c r="BQ441" s="35"/>
      <c r="BU441" s="35"/>
    </row>
    <row r="442" spans="58:73" ht="15.75" customHeight="1">
      <c r="BF442" s="34"/>
      <c r="BQ442" s="35"/>
      <c r="BU442" s="35"/>
    </row>
    <row r="443" spans="58:73" ht="15.75" customHeight="1">
      <c r="BF443" s="34"/>
      <c r="BQ443" s="35"/>
      <c r="BU443" s="35"/>
    </row>
    <row r="444" spans="58:73" ht="15.75" customHeight="1">
      <c r="BF444" s="34"/>
      <c r="BQ444" s="35"/>
      <c r="BU444" s="35"/>
    </row>
    <row r="445" spans="58:73" ht="15.75" customHeight="1">
      <c r="BF445" s="34"/>
      <c r="BQ445" s="35"/>
      <c r="BU445" s="35"/>
    </row>
    <row r="446" spans="58:73" ht="15.75" customHeight="1">
      <c r="BF446" s="34"/>
      <c r="BQ446" s="35"/>
      <c r="BU446" s="35"/>
    </row>
    <row r="447" spans="58:73" ht="15.75" customHeight="1">
      <c r="BF447" s="34"/>
      <c r="BQ447" s="35"/>
      <c r="BU447" s="35"/>
    </row>
    <row r="448" spans="58:73" ht="15.75" customHeight="1">
      <c r="BF448" s="34"/>
      <c r="BQ448" s="35"/>
      <c r="BU448" s="35"/>
    </row>
    <row r="449" spans="58:73" ht="15.75" customHeight="1">
      <c r="BF449" s="34"/>
      <c r="BQ449" s="35"/>
      <c r="BU449" s="35"/>
    </row>
    <row r="450" spans="58:73" ht="15.75" customHeight="1">
      <c r="BF450" s="34"/>
      <c r="BQ450" s="35"/>
      <c r="BU450" s="35"/>
    </row>
    <row r="451" spans="58:73" ht="15.75" customHeight="1">
      <c r="BF451" s="34"/>
      <c r="BQ451" s="35"/>
      <c r="BU451" s="35"/>
    </row>
    <row r="452" spans="58:73" ht="15.75" customHeight="1">
      <c r="BF452" s="34"/>
      <c r="BQ452" s="35"/>
      <c r="BU452" s="35"/>
    </row>
    <row r="453" spans="58:73" ht="15.75" customHeight="1">
      <c r="BF453" s="34"/>
      <c r="BQ453" s="35"/>
      <c r="BU453" s="35"/>
    </row>
    <row r="454" spans="58:73" ht="15.75" customHeight="1">
      <c r="BF454" s="34"/>
      <c r="BQ454" s="35"/>
      <c r="BU454" s="35"/>
    </row>
    <row r="455" spans="58:73" ht="15.75" customHeight="1">
      <c r="BF455" s="34"/>
      <c r="BQ455" s="35"/>
      <c r="BU455" s="35"/>
    </row>
    <row r="456" spans="58:73" ht="15.75" customHeight="1">
      <c r="BF456" s="34"/>
      <c r="BQ456" s="35"/>
      <c r="BU456" s="35"/>
    </row>
    <row r="457" spans="58:73" ht="15.75" customHeight="1">
      <c r="BF457" s="34"/>
      <c r="BQ457" s="35"/>
      <c r="BU457" s="35"/>
    </row>
    <row r="458" spans="58:73" ht="15.75" customHeight="1">
      <c r="BF458" s="34"/>
      <c r="BQ458" s="35"/>
      <c r="BU458" s="35"/>
    </row>
    <row r="459" spans="58:73" ht="15.75" customHeight="1">
      <c r="BF459" s="34"/>
      <c r="BQ459" s="35"/>
      <c r="BU459" s="35"/>
    </row>
    <row r="460" spans="58:73" ht="15.75" customHeight="1">
      <c r="BF460" s="34"/>
      <c r="BQ460" s="35"/>
      <c r="BU460" s="35"/>
    </row>
    <row r="461" spans="58:73" ht="15.75" customHeight="1">
      <c r="BF461" s="34"/>
      <c r="BQ461" s="35"/>
      <c r="BU461" s="35"/>
    </row>
    <row r="462" spans="58:73" ht="15.75" customHeight="1">
      <c r="BF462" s="34"/>
      <c r="BQ462" s="35"/>
      <c r="BU462" s="35"/>
    </row>
    <row r="463" spans="58:73" ht="15.75" customHeight="1">
      <c r="BF463" s="34"/>
      <c r="BQ463" s="35"/>
      <c r="BU463" s="35"/>
    </row>
    <row r="464" spans="58:73" ht="15.75" customHeight="1">
      <c r="BF464" s="34"/>
      <c r="BQ464" s="35"/>
      <c r="BU464" s="35"/>
    </row>
    <row r="465" spans="58:73" ht="15.75" customHeight="1">
      <c r="BF465" s="34"/>
      <c r="BQ465" s="35"/>
      <c r="BU465" s="35"/>
    </row>
    <row r="466" spans="58:73" ht="15.75" customHeight="1">
      <c r="BF466" s="34"/>
      <c r="BQ466" s="35"/>
      <c r="BU466" s="35"/>
    </row>
    <row r="467" spans="58:73" ht="15.75" customHeight="1">
      <c r="BF467" s="34"/>
      <c r="BQ467" s="35"/>
      <c r="BU467" s="35"/>
    </row>
    <row r="468" spans="58:73" ht="15.75" customHeight="1">
      <c r="BF468" s="34"/>
      <c r="BQ468" s="35"/>
      <c r="BU468" s="35"/>
    </row>
    <row r="469" spans="58:73" ht="15.75" customHeight="1">
      <c r="BF469" s="34"/>
      <c r="BQ469" s="35"/>
      <c r="BU469" s="35"/>
    </row>
    <row r="470" spans="58:73" ht="15.75" customHeight="1">
      <c r="BF470" s="34"/>
      <c r="BQ470" s="35"/>
      <c r="BU470" s="35"/>
    </row>
    <row r="471" spans="58:73" ht="15.75" customHeight="1">
      <c r="BF471" s="34"/>
      <c r="BQ471" s="35"/>
      <c r="BU471" s="35"/>
    </row>
    <row r="472" spans="58:73" ht="15.75" customHeight="1">
      <c r="BF472" s="34"/>
      <c r="BQ472" s="35"/>
      <c r="BU472" s="35"/>
    </row>
    <row r="473" spans="58:73" ht="15.75" customHeight="1">
      <c r="BF473" s="34"/>
      <c r="BQ473" s="35"/>
      <c r="BU473" s="35"/>
    </row>
    <row r="474" spans="58:73" ht="15.75" customHeight="1">
      <c r="BF474" s="34"/>
      <c r="BQ474" s="35"/>
      <c r="BU474" s="35"/>
    </row>
    <row r="475" spans="58:73" ht="15.75" customHeight="1">
      <c r="BF475" s="34"/>
      <c r="BQ475" s="35"/>
      <c r="BU475" s="35"/>
    </row>
    <row r="476" spans="58:73" ht="15.75" customHeight="1">
      <c r="BF476" s="34"/>
      <c r="BQ476" s="35"/>
      <c r="BU476" s="35"/>
    </row>
    <row r="477" spans="58:73" ht="15.75" customHeight="1">
      <c r="BF477" s="34"/>
      <c r="BQ477" s="35"/>
      <c r="BU477" s="35"/>
    </row>
    <row r="478" spans="58:73" ht="15.75" customHeight="1">
      <c r="BF478" s="34"/>
      <c r="BQ478" s="35"/>
      <c r="BU478" s="35"/>
    </row>
    <row r="479" spans="58:73" ht="15.75" customHeight="1">
      <c r="BF479" s="34"/>
      <c r="BQ479" s="35"/>
      <c r="BU479" s="35"/>
    </row>
    <row r="480" spans="58:73" ht="15.75" customHeight="1">
      <c r="BF480" s="34"/>
      <c r="BQ480" s="35"/>
      <c r="BU480" s="35"/>
    </row>
    <row r="481" spans="58:73" ht="15.75" customHeight="1">
      <c r="BF481" s="34"/>
      <c r="BQ481" s="35"/>
      <c r="BU481" s="35"/>
    </row>
    <row r="482" spans="58:73" ht="15.75" customHeight="1">
      <c r="BF482" s="34"/>
      <c r="BQ482" s="35"/>
      <c r="BU482" s="35"/>
    </row>
    <row r="483" spans="58:73" ht="15.75" customHeight="1">
      <c r="BF483" s="34"/>
      <c r="BQ483" s="35"/>
      <c r="BU483" s="35"/>
    </row>
    <row r="484" spans="58:73" ht="15.75" customHeight="1">
      <c r="BF484" s="34"/>
      <c r="BQ484" s="35"/>
      <c r="BU484" s="35"/>
    </row>
    <row r="485" spans="58:73" ht="15.75" customHeight="1">
      <c r="BF485" s="34"/>
      <c r="BQ485" s="35"/>
      <c r="BU485" s="35"/>
    </row>
    <row r="486" spans="58:73" ht="15.75" customHeight="1">
      <c r="BF486" s="34"/>
      <c r="BQ486" s="35"/>
      <c r="BU486" s="35"/>
    </row>
    <row r="487" spans="58:73" ht="15.75" customHeight="1">
      <c r="BF487" s="34"/>
      <c r="BQ487" s="35"/>
      <c r="BU487" s="35"/>
    </row>
    <row r="488" spans="58:73" ht="15.75" customHeight="1">
      <c r="BF488" s="34"/>
      <c r="BQ488" s="35"/>
      <c r="BU488" s="35"/>
    </row>
    <row r="489" spans="58:73" ht="15.75" customHeight="1">
      <c r="BF489" s="34"/>
      <c r="BQ489" s="35"/>
      <c r="BU489" s="35"/>
    </row>
    <row r="490" spans="58:73" ht="15.75" customHeight="1">
      <c r="BF490" s="34"/>
      <c r="BQ490" s="35"/>
      <c r="BU490" s="35"/>
    </row>
    <row r="491" spans="58:73" ht="15.75" customHeight="1">
      <c r="BF491" s="34"/>
      <c r="BQ491" s="35"/>
      <c r="BU491" s="35"/>
    </row>
    <row r="492" spans="58:73" ht="15.75" customHeight="1">
      <c r="BF492" s="34"/>
      <c r="BQ492" s="35"/>
      <c r="BU492" s="35"/>
    </row>
    <row r="493" spans="58:73" ht="15.75" customHeight="1">
      <c r="BF493" s="34"/>
      <c r="BQ493" s="35"/>
      <c r="BU493" s="35"/>
    </row>
    <row r="494" spans="58:73" ht="15.75" customHeight="1">
      <c r="BF494" s="34"/>
      <c r="BQ494" s="35"/>
      <c r="BU494" s="35"/>
    </row>
    <row r="495" spans="58:73" ht="15.75" customHeight="1">
      <c r="BF495" s="34"/>
      <c r="BQ495" s="35"/>
      <c r="BU495" s="35"/>
    </row>
    <row r="496" spans="58:73" ht="15.75" customHeight="1">
      <c r="BF496" s="34"/>
      <c r="BQ496" s="35"/>
      <c r="BU496" s="35"/>
    </row>
    <row r="497" spans="58:73" ht="15.75" customHeight="1">
      <c r="BF497" s="34"/>
      <c r="BQ497" s="35"/>
      <c r="BU497" s="35"/>
    </row>
    <row r="498" spans="58:73" ht="15.75" customHeight="1">
      <c r="BF498" s="34"/>
      <c r="BQ498" s="35"/>
      <c r="BU498" s="35"/>
    </row>
    <row r="499" spans="58:73" ht="15.75" customHeight="1">
      <c r="BF499" s="34"/>
      <c r="BQ499" s="35"/>
      <c r="BU499" s="35"/>
    </row>
    <row r="500" spans="58:73" ht="15.75" customHeight="1">
      <c r="BF500" s="34"/>
      <c r="BQ500" s="35"/>
      <c r="BU500" s="35"/>
    </row>
    <row r="501" spans="58:73" ht="15.75" customHeight="1">
      <c r="BF501" s="34"/>
      <c r="BQ501" s="35"/>
      <c r="BU501" s="35"/>
    </row>
    <row r="502" spans="58:73" ht="15.75" customHeight="1">
      <c r="BF502" s="34"/>
      <c r="BQ502" s="35"/>
      <c r="BU502" s="35"/>
    </row>
    <row r="503" spans="58:73" ht="15.75" customHeight="1">
      <c r="BF503" s="34"/>
      <c r="BQ503" s="35"/>
      <c r="BU503" s="35"/>
    </row>
    <row r="504" spans="58:73" ht="15.75" customHeight="1">
      <c r="BF504" s="34"/>
      <c r="BQ504" s="35"/>
      <c r="BU504" s="35"/>
    </row>
    <row r="505" spans="58:73" ht="15.75" customHeight="1">
      <c r="BF505" s="34"/>
      <c r="BQ505" s="35"/>
      <c r="BU505" s="35"/>
    </row>
    <row r="506" spans="58:73" ht="15.75" customHeight="1">
      <c r="BF506" s="34"/>
      <c r="BQ506" s="35"/>
      <c r="BU506" s="35"/>
    </row>
    <row r="507" spans="58:73" ht="15.75" customHeight="1">
      <c r="BF507" s="34"/>
      <c r="BQ507" s="35"/>
      <c r="BU507" s="35"/>
    </row>
    <row r="508" spans="58:73" ht="15.75" customHeight="1">
      <c r="BF508" s="34"/>
      <c r="BQ508" s="35"/>
      <c r="BU508" s="35"/>
    </row>
    <row r="509" spans="58:73" ht="15.75" customHeight="1">
      <c r="BF509" s="34"/>
      <c r="BQ509" s="35"/>
      <c r="BU509" s="35"/>
    </row>
    <row r="510" spans="58:73" ht="15.75" customHeight="1">
      <c r="BF510" s="34"/>
      <c r="BQ510" s="35"/>
      <c r="BU510" s="35"/>
    </row>
    <row r="511" spans="58:73" ht="15.75" customHeight="1">
      <c r="BF511" s="34"/>
      <c r="BQ511" s="35"/>
      <c r="BU511" s="35"/>
    </row>
    <row r="512" spans="58:73" ht="15.75" customHeight="1">
      <c r="BF512" s="34"/>
      <c r="BQ512" s="35"/>
      <c r="BU512" s="35"/>
    </row>
    <row r="513" spans="58:73" ht="15.75" customHeight="1">
      <c r="BF513" s="34"/>
      <c r="BQ513" s="35"/>
      <c r="BU513" s="35"/>
    </row>
    <row r="514" spans="58:73" ht="15.75" customHeight="1">
      <c r="BF514" s="34"/>
      <c r="BQ514" s="35"/>
      <c r="BU514" s="35"/>
    </row>
    <row r="515" spans="58:73" ht="15.75" customHeight="1">
      <c r="BF515" s="34"/>
      <c r="BQ515" s="35"/>
      <c r="BU515" s="35"/>
    </row>
    <row r="516" spans="58:73" ht="15.75" customHeight="1">
      <c r="BF516" s="34"/>
      <c r="BQ516" s="35"/>
      <c r="BU516" s="35"/>
    </row>
    <row r="517" spans="58:73" ht="15.75" customHeight="1">
      <c r="BF517" s="34"/>
      <c r="BQ517" s="35"/>
      <c r="BU517" s="35"/>
    </row>
    <row r="518" spans="58:73" ht="15.75" customHeight="1">
      <c r="BF518" s="34"/>
      <c r="BQ518" s="35"/>
      <c r="BU518" s="35"/>
    </row>
    <row r="519" spans="58:73" ht="15.75" customHeight="1">
      <c r="BF519" s="34"/>
      <c r="BQ519" s="35"/>
      <c r="BU519" s="35"/>
    </row>
    <row r="520" spans="58:73" ht="15.75" customHeight="1">
      <c r="BF520" s="34"/>
      <c r="BQ520" s="35"/>
      <c r="BU520" s="35"/>
    </row>
    <row r="521" spans="58:73" ht="15.75" customHeight="1">
      <c r="BF521" s="34"/>
      <c r="BQ521" s="35"/>
      <c r="BU521" s="35"/>
    </row>
    <row r="522" spans="58:73" ht="15.75" customHeight="1">
      <c r="BF522" s="34"/>
      <c r="BQ522" s="35"/>
      <c r="BU522" s="35"/>
    </row>
    <row r="523" spans="58:73" ht="15.75" customHeight="1">
      <c r="BF523" s="34"/>
      <c r="BQ523" s="35"/>
      <c r="BU523" s="35"/>
    </row>
    <row r="524" spans="58:73" ht="15.75" customHeight="1">
      <c r="BF524" s="34"/>
      <c r="BQ524" s="35"/>
      <c r="BU524" s="35"/>
    </row>
    <row r="525" spans="58:73" ht="15.75" customHeight="1">
      <c r="BF525" s="34"/>
      <c r="BQ525" s="35"/>
      <c r="BU525" s="35"/>
    </row>
    <row r="526" spans="58:73" ht="15.75" customHeight="1">
      <c r="BF526" s="34"/>
      <c r="BQ526" s="35"/>
      <c r="BU526" s="35"/>
    </row>
    <row r="527" spans="58:73" ht="15.75" customHeight="1">
      <c r="BF527" s="34"/>
      <c r="BQ527" s="35"/>
      <c r="BU527" s="35"/>
    </row>
    <row r="528" spans="58:73" ht="15.75" customHeight="1">
      <c r="BF528" s="34"/>
      <c r="BQ528" s="35"/>
      <c r="BU528" s="35"/>
    </row>
    <row r="529" spans="58:73" ht="15.75" customHeight="1">
      <c r="BF529" s="34"/>
      <c r="BQ529" s="35"/>
      <c r="BU529" s="35"/>
    </row>
    <row r="530" spans="58:73" ht="15.75" customHeight="1">
      <c r="BF530" s="34"/>
      <c r="BQ530" s="35"/>
      <c r="BU530" s="35"/>
    </row>
    <row r="531" spans="58:73" ht="15.75" customHeight="1">
      <c r="BF531" s="34"/>
      <c r="BQ531" s="35"/>
      <c r="BU531" s="35"/>
    </row>
    <row r="532" spans="58:73" ht="15.75" customHeight="1">
      <c r="BF532" s="34"/>
      <c r="BQ532" s="35"/>
      <c r="BU532" s="35"/>
    </row>
    <row r="533" spans="58:73" ht="15.75" customHeight="1">
      <c r="BF533" s="34"/>
      <c r="BQ533" s="35"/>
      <c r="BU533" s="35"/>
    </row>
    <row r="534" spans="58:73" ht="15.75" customHeight="1">
      <c r="BF534" s="34"/>
      <c r="BQ534" s="35"/>
      <c r="BU534" s="35"/>
    </row>
    <row r="535" spans="58:73" ht="15.75" customHeight="1">
      <c r="BF535" s="34"/>
      <c r="BQ535" s="35"/>
      <c r="BU535" s="35"/>
    </row>
    <row r="536" spans="58:73" ht="15.75" customHeight="1">
      <c r="BF536" s="34"/>
      <c r="BQ536" s="35"/>
      <c r="BU536" s="35"/>
    </row>
    <row r="537" spans="58:73" ht="15.75" customHeight="1">
      <c r="BF537" s="34"/>
      <c r="BQ537" s="35"/>
      <c r="BU537" s="35"/>
    </row>
    <row r="538" spans="58:73" ht="15.75" customHeight="1">
      <c r="BF538" s="34"/>
      <c r="BQ538" s="35"/>
      <c r="BU538" s="35"/>
    </row>
    <row r="539" spans="58:73" ht="15.75" customHeight="1">
      <c r="BF539" s="34"/>
      <c r="BQ539" s="35"/>
      <c r="BU539" s="35"/>
    </row>
    <row r="540" spans="58:73" ht="15.75" customHeight="1">
      <c r="BF540" s="34"/>
      <c r="BQ540" s="35"/>
      <c r="BU540" s="35"/>
    </row>
    <row r="541" spans="58:73" ht="15.75" customHeight="1">
      <c r="BF541" s="34"/>
      <c r="BQ541" s="35"/>
      <c r="BU541" s="35"/>
    </row>
    <row r="542" spans="58:73" ht="15.75" customHeight="1">
      <c r="BF542" s="34"/>
      <c r="BQ542" s="35"/>
      <c r="BU542" s="35"/>
    </row>
    <row r="543" spans="58:73" ht="15.75" customHeight="1">
      <c r="BF543" s="34"/>
      <c r="BQ543" s="35"/>
      <c r="BU543" s="35"/>
    </row>
    <row r="544" spans="58:73" ht="15.75" customHeight="1">
      <c r="BF544" s="34"/>
      <c r="BQ544" s="35"/>
      <c r="BU544" s="35"/>
    </row>
    <row r="545" spans="58:73" ht="15.75" customHeight="1">
      <c r="BF545" s="34"/>
      <c r="BQ545" s="35"/>
      <c r="BU545" s="35"/>
    </row>
    <row r="546" spans="58:73" ht="15.75" customHeight="1">
      <c r="BF546" s="34"/>
      <c r="BQ546" s="35"/>
      <c r="BU546" s="35"/>
    </row>
    <row r="547" spans="58:73" ht="15.75" customHeight="1">
      <c r="BF547" s="34"/>
      <c r="BQ547" s="35"/>
      <c r="BU547" s="35"/>
    </row>
    <row r="548" spans="58:73" ht="15.75" customHeight="1">
      <c r="BF548" s="34"/>
      <c r="BQ548" s="35"/>
      <c r="BU548" s="35"/>
    </row>
    <row r="549" spans="58:73" ht="15.75" customHeight="1">
      <c r="BF549" s="34"/>
      <c r="BQ549" s="35"/>
      <c r="BU549" s="35"/>
    </row>
    <row r="550" spans="58:73" ht="15.75" customHeight="1">
      <c r="BF550" s="34"/>
      <c r="BQ550" s="35"/>
      <c r="BU550" s="35"/>
    </row>
    <row r="551" spans="58:73" ht="15.75" customHeight="1">
      <c r="BF551" s="34"/>
      <c r="BQ551" s="35"/>
      <c r="BU551" s="35"/>
    </row>
    <row r="552" spans="58:73" ht="15.75" customHeight="1">
      <c r="BF552" s="34"/>
      <c r="BQ552" s="35"/>
      <c r="BU552" s="35"/>
    </row>
    <row r="553" spans="58:73" ht="15.75" customHeight="1">
      <c r="BF553" s="34"/>
      <c r="BQ553" s="35"/>
      <c r="BU553" s="35"/>
    </row>
    <row r="554" spans="58:73" ht="15.75" customHeight="1">
      <c r="BF554" s="34"/>
      <c r="BQ554" s="35"/>
      <c r="BU554" s="35"/>
    </row>
    <row r="555" spans="58:73" ht="15.75" customHeight="1">
      <c r="BF555" s="34"/>
      <c r="BQ555" s="35"/>
      <c r="BU555" s="35"/>
    </row>
    <row r="556" spans="58:73" ht="15.75" customHeight="1">
      <c r="BF556" s="34"/>
      <c r="BQ556" s="35"/>
      <c r="BU556" s="35"/>
    </row>
    <row r="557" spans="58:73" ht="15.75" customHeight="1">
      <c r="BF557" s="34"/>
      <c r="BQ557" s="35"/>
      <c r="BU557" s="35"/>
    </row>
    <row r="558" spans="58:73" ht="15.75" customHeight="1">
      <c r="BF558" s="34"/>
      <c r="BQ558" s="35"/>
      <c r="BU558" s="35"/>
    </row>
    <row r="559" spans="58:73" ht="15.75" customHeight="1">
      <c r="BF559" s="34"/>
      <c r="BQ559" s="35"/>
      <c r="BU559" s="35"/>
    </row>
    <row r="560" spans="58:73" ht="15.75" customHeight="1">
      <c r="BF560" s="34"/>
      <c r="BQ560" s="35"/>
      <c r="BU560" s="35"/>
    </row>
    <row r="561" spans="58:73" ht="15.75" customHeight="1">
      <c r="BF561" s="34"/>
      <c r="BQ561" s="35"/>
      <c r="BU561" s="35"/>
    </row>
    <row r="562" spans="58:73" ht="15.75" customHeight="1">
      <c r="BF562" s="34"/>
      <c r="BQ562" s="35"/>
      <c r="BU562" s="35"/>
    </row>
    <row r="563" spans="58:73" ht="15.75" customHeight="1">
      <c r="BF563" s="34"/>
      <c r="BQ563" s="35"/>
      <c r="BU563" s="35"/>
    </row>
    <row r="564" spans="58:73" ht="15.75" customHeight="1">
      <c r="BF564" s="34"/>
      <c r="BQ564" s="35"/>
      <c r="BU564" s="35"/>
    </row>
    <row r="565" spans="58:73" ht="15.75" customHeight="1">
      <c r="BF565" s="34"/>
      <c r="BQ565" s="35"/>
      <c r="BU565" s="35"/>
    </row>
    <row r="566" spans="58:73" ht="15.75" customHeight="1">
      <c r="BF566" s="34"/>
      <c r="BQ566" s="35"/>
      <c r="BU566" s="35"/>
    </row>
    <row r="567" spans="58:73" ht="15.75" customHeight="1">
      <c r="BF567" s="34"/>
      <c r="BQ567" s="35"/>
      <c r="BU567" s="35"/>
    </row>
    <row r="568" spans="58:73" ht="15.75" customHeight="1">
      <c r="BF568" s="34"/>
      <c r="BQ568" s="35"/>
      <c r="BU568" s="35"/>
    </row>
    <row r="569" spans="58:73" ht="15.75" customHeight="1">
      <c r="BF569" s="34"/>
      <c r="BQ569" s="35"/>
      <c r="BU569" s="35"/>
    </row>
    <row r="570" spans="58:73" ht="15.75" customHeight="1">
      <c r="BF570" s="34"/>
      <c r="BQ570" s="35"/>
      <c r="BU570" s="35"/>
    </row>
    <row r="571" spans="58:73" ht="15.75" customHeight="1">
      <c r="BF571" s="34"/>
      <c r="BQ571" s="35"/>
      <c r="BU571" s="35"/>
    </row>
    <row r="572" spans="58:73" ht="15.75" customHeight="1">
      <c r="BF572" s="34"/>
      <c r="BQ572" s="35"/>
      <c r="BU572" s="35"/>
    </row>
    <row r="573" spans="58:73" ht="15.75" customHeight="1">
      <c r="BF573" s="34"/>
      <c r="BQ573" s="35"/>
      <c r="BU573" s="35"/>
    </row>
    <row r="574" spans="58:73" ht="15.75" customHeight="1">
      <c r="BF574" s="34"/>
      <c r="BQ574" s="35"/>
      <c r="BU574" s="35"/>
    </row>
    <row r="575" spans="58:73" ht="15.75" customHeight="1">
      <c r="BF575" s="34"/>
      <c r="BQ575" s="35"/>
      <c r="BU575" s="35"/>
    </row>
    <row r="576" spans="58:73" ht="15.75" customHeight="1">
      <c r="BF576" s="34"/>
      <c r="BQ576" s="35"/>
      <c r="BU576" s="35"/>
    </row>
    <row r="577" spans="58:73" ht="15.75" customHeight="1">
      <c r="BF577" s="34"/>
      <c r="BQ577" s="35"/>
      <c r="BU577" s="35"/>
    </row>
    <row r="578" spans="58:73" ht="15.75" customHeight="1">
      <c r="BF578" s="34"/>
      <c r="BQ578" s="35"/>
      <c r="BU578" s="35"/>
    </row>
    <row r="579" spans="58:73" ht="15.75" customHeight="1">
      <c r="BF579" s="34"/>
      <c r="BQ579" s="35"/>
      <c r="BU579" s="35"/>
    </row>
    <row r="580" spans="58:73" ht="15.75" customHeight="1">
      <c r="BF580" s="34"/>
      <c r="BQ580" s="35"/>
      <c r="BU580" s="35"/>
    </row>
    <row r="581" spans="58:73" ht="15.75" customHeight="1">
      <c r="BF581" s="34"/>
      <c r="BQ581" s="35"/>
      <c r="BU581" s="35"/>
    </row>
    <row r="582" spans="58:73" ht="15.75" customHeight="1">
      <c r="BF582" s="34"/>
      <c r="BQ582" s="35"/>
      <c r="BU582" s="35"/>
    </row>
    <row r="583" spans="58:73" ht="15.75" customHeight="1">
      <c r="BF583" s="34"/>
      <c r="BQ583" s="35"/>
      <c r="BU583" s="35"/>
    </row>
    <row r="584" spans="58:73" ht="15.75" customHeight="1">
      <c r="BF584" s="34"/>
      <c r="BQ584" s="35"/>
      <c r="BU584" s="35"/>
    </row>
    <row r="585" spans="58:73" ht="15.75" customHeight="1">
      <c r="BF585" s="34"/>
      <c r="BQ585" s="35"/>
      <c r="BU585" s="35"/>
    </row>
    <row r="586" spans="58:73" ht="15.75" customHeight="1">
      <c r="BF586" s="34"/>
      <c r="BQ586" s="35"/>
      <c r="BU586" s="35"/>
    </row>
    <row r="587" spans="58:73" ht="15.75" customHeight="1">
      <c r="BF587" s="34"/>
      <c r="BQ587" s="35"/>
      <c r="BU587" s="35"/>
    </row>
    <row r="588" spans="58:73" ht="15.75" customHeight="1">
      <c r="BF588" s="34"/>
      <c r="BQ588" s="35"/>
      <c r="BU588" s="35"/>
    </row>
    <row r="589" spans="58:73" ht="15.75" customHeight="1">
      <c r="BF589" s="34"/>
      <c r="BQ589" s="35"/>
      <c r="BU589" s="35"/>
    </row>
    <row r="590" spans="58:73" ht="15.75" customHeight="1">
      <c r="BF590" s="34"/>
      <c r="BQ590" s="35"/>
      <c r="BU590" s="35"/>
    </row>
    <row r="591" spans="58:73" ht="15.75" customHeight="1">
      <c r="BF591" s="34"/>
      <c r="BQ591" s="35"/>
      <c r="BU591" s="35"/>
    </row>
    <row r="592" spans="58:73" ht="15.75" customHeight="1">
      <c r="BF592" s="34"/>
      <c r="BQ592" s="35"/>
      <c r="BU592" s="35"/>
    </row>
    <row r="593" spans="58:73" ht="15.75" customHeight="1">
      <c r="BF593" s="34"/>
      <c r="BQ593" s="35"/>
      <c r="BU593" s="35"/>
    </row>
    <row r="594" spans="58:73" ht="15.75" customHeight="1">
      <c r="BF594" s="34"/>
      <c r="BQ594" s="35"/>
      <c r="BU594" s="35"/>
    </row>
    <row r="595" spans="58:73" ht="15.75" customHeight="1">
      <c r="BF595" s="34"/>
      <c r="BQ595" s="35"/>
      <c r="BU595" s="35"/>
    </row>
    <row r="596" spans="58:73" ht="15.75" customHeight="1">
      <c r="BF596" s="34"/>
      <c r="BQ596" s="35"/>
      <c r="BU596" s="35"/>
    </row>
    <row r="597" spans="58:73" ht="15.75" customHeight="1">
      <c r="BF597" s="34"/>
      <c r="BQ597" s="35"/>
      <c r="BU597" s="35"/>
    </row>
    <row r="598" spans="58:73" ht="15.75" customHeight="1">
      <c r="BF598" s="34"/>
      <c r="BQ598" s="35"/>
      <c r="BU598" s="35"/>
    </row>
    <row r="599" spans="58:73" ht="15.75" customHeight="1">
      <c r="BF599" s="34"/>
      <c r="BQ599" s="35"/>
      <c r="BU599" s="35"/>
    </row>
    <row r="600" spans="58:73" ht="15.75" customHeight="1">
      <c r="BF600" s="34"/>
      <c r="BQ600" s="35"/>
      <c r="BU600" s="35"/>
    </row>
    <row r="601" spans="58:73" ht="15.75" customHeight="1">
      <c r="BF601" s="34"/>
      <c r="BQ601" s="35"/>
      <c r="BU601" s="35"/>
    </row>
    <row r="602" spans="58:73" ht="15.75" customHeight="1">
      <c r="BF602" s="34"/>
      <c r="BQ602" s="35"/>
      <c r="BU602" s="35"/>
    </row>
    <row r="603" spans="58:73" ht="15.75" customHeight="1">
      <c r="BF603" s="34"/>
      <c r="BQ603" s="35"/>
      <c r="BU603" s="35"/>
    </row>
    <row r="604" spans="58:73" ht="15.75" customHeight="1">
      <c r="BF604" s="34"/>
      <c r="BQ604" s="35"/>
      <c r="BU604" s="35"/>
    </row>
    <row r="605" spans="58:73" ht="15.75" customHeight="1">
      <c r="BF605" s="34"/>
      <c r="BQ605" s="35"/>
      <c r="BU605" s="35"/>
    </row>
    <row r="606" spans="58:73" ht="15.75" customHeight="1">
      <c r="BF606" s="34"/>
      <c r="BQ606" s="35"/>
      <c r="BU606" s="35"/>
    </row>
    <row r="607" spans="58:73" ht="15.75" customHeight="1">
      <c r="BF607" s="34"/>
      <c r="BQ607" s="35"/>
      <c r="BU607" s="35"/>
    </row>
    <row r="608" spans="58:73" ht="15.75" customHeight="1">
      <c r="BF608" s="34"/>
      <c r="BQ608" s="35"/>
      <c r="BU608" s="35"/>
    </row>
    <row r="609" spans="58:73" ht="15.75" customHeight="1">
      <c r="BF609" s="34"/>
      <c r="BQ609" s="35"/>
      <c r="BU609" s="35"/>
    </row>
    <row r="610" spans="58:73" ht="15.75" customHeight="1">
      <c r="BF610" s="34"/>
      <c r="BQ610" s="35"/>
      <c r="BU610" s="35"/>
    </row>
    <row r="611" spans="58:73" ht="15.75" customHeight="1">
      <c r="BF611" s="34"/>
      <c r="BQ611" s="35"/>
      <c r="BU611" s="35"/>
    </row>
    <row r="612" spans="58:73" ht="15.75" customHeight="1">
      <c r="BF612" s="34"/>
      <c r="BQ612" s="35"/>
      <c r="BU612" s="35"/>
    </row>
    <row r="613" spans="58:73" ht="15.75" customHeight="1">
      <c r="BF613" s="34"/>
      <c r="BQ613" s="35"/>
      <c r="BU613" s="35"/>
    </row>
    <row r="614" spans="58:73" ht="15.75" customHeight="1">
      <c r="BF614" s="34"/>
      <c r="BQ614" s="35"/>
      <c r="BU614" s="35"/>
    </row>
    <row r="615" spans="58:73" ht="15.75" customHeight="1">
      <c r="BF615" s="34"/>
      <c r="BQ615" s="35"/>
      <c r="BU615" s="35"/>
    </row>
    <row r="616" spans="58:73" ht="15.75" customHeight="1">
      <c r="BF616" s="34"/>
      <c r="BQ616" s="35"/>
      <c r="BU616" s="35"/>
    </row>
    <row r="617" spans="58:73" ht="15.75" customHeight="1">
      <c r="BF617" s="34"/>
      <c r="BQ617" s="35"/>
      <c r="BU617" s="35"/>
    </row>
    <row r="618" spans="58:73" ht="15.75" customHeight="1">
      <c r="BF618" s="34"/>
      <c r="BQ618" s="35"/>
      <c r="BU618" s="35"/>
    </row>
    <row r="619" spans="58:73" ht="15.75" customHeight="1">
      <c r="BF619" s="34"/>
      <c r="BQ619" s="35"/>
      <c r="BU619" s="35"/>
    </row>
    <row r="620" spans="58:73" ht="15.75" customHeight="1">
      <c r="BF620" s="34"/>
      <c r="BQ620" s="35"/>
      <c r="BU620" s="35"/>
    </row>
    <row r="621" spans="58:73" ht="15.75" customHeight="1">
      <c r="BF621" s="34"/>
      <c r="BQ621" s="35"/>
      <c r="BU621" s="35"/>
    </row>
    <row r="622" spans="58:73" ht="15.75" customHeight="1">
      <c r="BF622" s="34"/>
      <c r="BQ622" s="35"/>
      <c r="BU622" s="35"/>
    </row>
    <row r="623" spans="58:73" ht="15.75" customHeight="1">
      <c r="BF623" s="34"/>
      <c r="BQ623" s="35"/>
      <c r="BU623" s="35"/>
    </row>
    <row r="624" spans="58:73" ht="15.75" customHeight="1">
      <c r="BF624" s="34"/>
      <c r="BQ624" s="35"/>
      <c r="BU624" s="35"/>
    </row>
    <row r="625" spans="58:73" ht="15.75" customHeight="1">
      <c r="BF625" s="34"/>
      <c r="BQ625" s="35"/>
      <c r="BU625" s="35"/>
    </row>
    <row r="626" spans="58:73" ht="15.75" customHeight="1">
      <c r="BF626" s="34"/>
      <c r="BQ626" s="35"/>
      <c r="BU626" s="35"/>
    </row>
    <row r="627" spans="58:73" ht="15.75" customHeight="1">
      <c r="BF627" s="34"/>
      <c r="BQ627" s="35"/>
      <c r="BU627" s="35"/>
    </row>
    <row r="628" spans="58:73" ht="15.75" customHeight="1">
      <c r="BF628" s="34"/>
      <c r="BQ628" s="35"/>
      <c r="BU628" s="35"/>
    </row>
    <row r="629" spans="58:73" ht="15.75" customHeight="1">
      <c r="BF629" s="34"/>
      <c r="BQ629" s="35"/>
      <c r="BU629" s="35"/>
    </row>
    <row r="630" spans="58:73" ht="15.75" customHeight="1">
      <c r="BF630" s="34"/>
      <c r="BQ630" s="35"/>
      <c r="BU630" s="35"/>
    </row>
    <row r="631" spans="58:73" ht="15.75" customHeight="1">
      <c r="BF631" s="34"/>
      <c r="BQ631" s="35"/>
      <c r="BU631" s="35"/>
    </row>
    <row r="632" spans="58:73" ht="15.75" customHeight="1">
      <c r="BF632" s="34"/>
      <c r="BQ632" s="35"/>
      <c r="BU632" s="35"/>
    </row>
    <row r="633" spans="58:73" ht="15.75" customHeight="1">
      <c r="BF633" s="34"/>
      <c r="BQ633" s="35"/>
      <c r="BU633" s="35"/>
    </row>
    <row r="634" spans="58:73" ht="15.75" customHeight="1">
      <c r="BF634" s="34"/>
      <c r="BQ634" s="35"/>
      <c r="BU634" s="35"/>
    </row>
    <row r="635" spans="58:73" ht="15.75" customHeight="1">
      <c r="BF635" s="34"/>
      <c r="BQ635" s="35"/>
      <c r="BU635" s="35"/>
    </row>
    <row r="636" spans="58:73" ht="15.75" customHeight="1">
      <c r="BF636" s="34"/>
      <c r="BQ636" s="35"/>
      <c r="BU636" s="35"/>
    </row>
    <row r="637" spans="58:73" ht="15.75" customHeight="1">
      <c r="BF637" s="34"/>
      <c r="BQ637" s="35"/>
      <c r="BU637" s="35"/>
    </row>
    <row r="638" spans="58:73" ht="15.75" customHeight="1">
      <c r="BF638" s="34"/>
      <c r="BQ638" s="35"/>
      <c r="BU638" s="35"/>
    </row>
    <row r="639" spans="58:73" ht="15.75" customHeight="1">
      <c r="BF639" s="34"/>
      <c r="BQ639" s="35"/>
      <c r="BU639" s="35"/>
    </row>
    <row r="640" spans="58:73" ht="15.75" customHeight="1">
      <c r="BF640" s="34"/>
      <c r="BQ640" s="35"/>
      <c r="BU640" s="35"/>
    </row>
    <row r="641" spans="58:73" ht="15.75" customHeight="1">
      <c r="BF641" s="34"/>
      <c r="BQ641" s="35"/>
      <c r="BU641" s="35"/>
    </row>
    <row r="642" spans="58:73" ht="15.75" customHeight="1">
      <c r="BF642" s="34"/>
      <c r="BQ642" s="35"/>
      <c r="BU642" s="35"/>
    </row>
    <row r="643" spans="58:73" ht="15.75" customHeight="1">
      <c r="BF643" s="34"/>
      <c r="BQ643" s="35"/>
      <c r="BU643" s="35"/>
    </row>
    <row r="644" spans="58:73" ht="15.75" customHeight="1">
      <c r="BF644" s="34"/>
      <c r="BQ644" s="35"/>
      <c r="BU644" s="35"/>
    </row>
    <row r="645" spans="58:73" ht="15.75" customHeight="1">
      <c r="BF645" s="34"/>
      <c r="BQ645" s="35"/>
      <c r="BU645" s="35"/>
    </row>
    <row r="646" spans="58:73" ht="15.75" customHeight="1">
      <c r="BF646" s="34"/>
      <c r="BQ646" s="35"/>
      <c r="BU646" s="35"/>
    </row>
    <row r="647" spans="58:73" ht="15.75" customHeight="1">
      <c r="BF647" s="34"/>
      <c r="BQ647" s="35"/>
      <c r="BU647" s="35"/>
    </row>
    <row r="648" spans="58:73" ht="15.75" customHeight="1">
      <c r="BF648" s="34"/>
      <c r="BQ648" s="35"/>
      <c r="BU648" s="35"/>
    </row>
    <row r="649" spans="58:73" ht="15.75" customHeight="1">
      <c r="BF649" s="34"/>
      <c r="BQ649" s="35"/>
      <c r="BU649" s="35"/>
    </row>
    <row r="650" spans="58:73" ht="15.75" customHeight="1">
      <c r="BF650" s="34"/>
      <c r="BQ650" s="35"/>
      <c r="BU650" s="35"/>
    </row>
    <row r="651" spans="58:73" ht="15.75" customHeight="1">
      <c r="BF651" s="34"/>
      <c r="BQ651" s="35"/>
      <c r="BU651" s="35"/>
    </row>
    <row r="652" spans="58:73" ht="15.75" customHeight="1">
      <c r="BF652" s="34"/>
      <c r="BQ652" s="35"/>
      <c r="BU652" s="35"/>
    </row>
    <row r="653" spans="58:73" ht="15.75" customHeight="1">
      <c r="BF653" s="34"/>
      <c r="BQ653" s="35"/>
      <c r="BU653" s="35"/>
    </row>
    <row r="654" spans="58:73" ht="15.75" customHeight="1">
      <c r="BF654" s="34"/>
      <c r="BQ654" s="35"/>
      <c r="BU654" s="35"/>
    </row>
    <row r="655" spans="58:73" ht="15.75" customHeight="1">
      <c r="BF655" s="34"/>
      <c r="BQ655" s="35"/>
      <c r="BU655" s="35"/>
    </row>
    <row r="656" spans="58:73" ht="15.75" customHeight="1">
      <c r="BF656" s="34"/>
      <c r="BQ656" s="35"/>
      <c r="BU656" s="35"/>
    </row>
    <row r="657" spans="58:73" ht="15.75" customHeight="1">
      <c r="BF657" s="34"/>
      <c r="BQ657" s="35"/>
      <c r="BU657" s="35"/>
    </row>
    <row r="658" spans="58:73" ht="15.75" customHeight="1">
      <c r="BF658" s="34"/>
      <c r="BQ658" s="35"/>
      <c r="BU658" s="35"/>
    </row>
    <row r="659" spans="58:73" ht="15.75" customHeight="1">
      <c r="BF659" s="34"/>
      <c r="BQ659" s="35"/>
      <c r="BU659" s="35"/>
    </row>
    <row r="660" spans="58:73" ht="15.75" customHeight="1">
      <c r="BF660" s="34"/>
      <c r="BQ660" s="35"/>
      <c r="BU660" s="35"/>
    </row>
    <row r="661" spans="58:73" ht="15.75" customHeight="1">
      <c r="BF661" s="34"/>
      <c r="BQ661" s="35"/>
      <c r="BU661" s="35"/>
    </row>
    <row r="662" spans="58:73" ht="15.75" customHeight="1">
      <c r="BF662" s="34"/>
      <c r="BQ662" s="35"/>
      <c r="BU662" s="35"/>
    </row>
    <row r="663" spans="58:73" ht="15.75" customHeight="1">
      <c r="BF663" s="34"/>
      <c r="BQ663" s="35"/>
      <c r="BU663" s="35"/>
    </row>
    <row r="664" spans="58:73" ht="15.75" customHeight="1">
      <c r="BF664" s="34"/>
      <c r="BQ664" s="35"/>
      <c r="BU664" s="35"/>
    </row>
    <row r="665" spans="58:73" ht="15.75" customHeight="1">
      <c r="BF665" s="34"/>
      <c r="BQ665" s="35"/>
      <c r="BU665" s="35"/>
    </row>
    <row r="666" spans="58:73" ht="15.75" customHeight="1">
      <c r="BF666" s="34"/>
      <c r="BQ666" s="35"/>
      <c r="BU666" s="35"/>
    </row>
    <row r="667" spans="58:73" ht="15.75" customHeight="1">
      <c r="BF667" s="34"/>
      <c r="BQ667" s="35"/>
      <c r="BU667" s="35"/>
    </row>
    <row r="668" spans="58:73" ht="15.75" customHeight="1">
      <c r="BF668" s="34"/>
      <c r="BQ668" s="35"/>
      <c r="BU668" s="35"/>
    </row>
    <row r="669" spans="58:73" ht="15.75" customHeight="1">
      <c r="BF669" s="34"/>
      <c r="BQ669" s="35"/>
      <c r="BU669" s="35"/>
    </row>
    <row r="670" spans="58:73" ht="15.75" customHeight="1">
      <c r="BF670" s="34"/>
      <c r="BQ670" s="35"/>
      <c r="BU670" s="35"/>
    </row>
    <row r="671" spans="58:73" ht="15.75" customHeight="1">
      <c r="BF671" s="34"/>
      <c r="BQ671" s="35"/>
      <c r="BU671" s="35"/>
    </row>
    <row r="672" spans="58:73" ht="15.75" customHeight="1">
      <c r="BF672" s="34"/>
      <c r="BQ672" s="35"/>
      <c r="BU672" s="35"/>
    </row>
    <row r="673" spans="58:73" ht="15.75" customHeight="1">
      <c r="BF673" s="34"/>
      <c r="BQ673" s="35"/>
      <c r="BU673" s="35"/>
    </row>
    <row r="674" spans="58:73" ht="15.75" customHeight="1">
      <c r="BF674" s="34"/>
      <c r="BQ674" s="35"/>
      <c r="BU674" s="35"/>
    </row>
    <row r="675" spans="58:73" ht="15.75" customHeight="1">
      <c r="BF675" s="34"/>
      <c r="BQ675" s="35"/>
      <c r="BU675" s="35"/>
    </row>
    <row r="676" spans="58:73" ht="15.75" customHeight="1">
      <c r="BF676" s="34"/>
      <c r="BQ676" s="35"/>
      <c r="BU676" s="35"/>
    </row>
    <row r="677" spans="58:73" ht="15.75" customHeight="1">
      <c r="BF677" s="34"/>
      <c r="BQ677" s="35"/>
      <c r="BU677" s="35"/>
    </row>
    <row r="678" spans="58:73" ht="15.75" customHeight="1">
      <c r="BF678" s="34"/>
      <c r="BQ678" s="35"/>
      <c r="BU678" s="35"/>
    </row>
    <row r="679" spans="58:73" ht="15.75" customHeight="1">
      <c r="BF679" s="34"/>
      <c r="BQ679" s="35"/>
      <c r="BU679" s="35"/>
    </row>
    <row r="680" spans="58:73" ht="15.75" customHeight="1">
      <c r="BF680" s="34"/>
      <c r="BQ680" s="35"/>
      <c r="BU680" s="35"/>
    </row>
    <row r="681" spans="58:73" ht="15.75" customHeight="1">
      <c r="BF681" s="34"/>
      <c r="BQ681" s="35"/>
      <c r="BU681" s="35"/>
    </row>
    <row r="682" spans="58:73" ht="15.75" customHeight="1">
      <c r="BF682" s="34"/>
      <c r="BQ682" s="35"/>
      <c r="BU682" s="35"/>
    </row>
    <row r="683" spans="58:73" ht="15.75" customHeight="1">
      <c r="BF683" s="34"/>
      <c r="BQ683" s="35"/>
      <c r="BU683" s="35"/>
    </row>
    <row r="684" spans="58:73" ht="15.75" customHeight="1">
      <c r="BF684" s="34"/>
      <c r="BQ684" s="35"/>
      <c r="BU684" s="35"/>
    </row>
    <row r="685" spans="58:73" ht="15.75" customHeight="1">
      <c r="BF685" s="34"/>
      <c r="BQ685" s="35"/>
      <c r="BU685" s="35"/>
    </row>
    <row r="686" spans="58:73" ht="15.75" customHeight="1">
      <c r="BF686" s="34"/>
      <c r="BQ686" s="35"/>
      <c r="BU686" s="35"/>
    </row>
    <row r="687" spans="58:73" ht="15.75" customHeight="1">
      <c r="BF687" s="34"/>
      <c r="BQ687" s="35"/>
      <c r="BU687" s="35"/>
    </row>
    <row r="688" spans="58:73" ht="15.75" customHeight="1">
      <c r="BF688" s="34"/>
      <c r="BQ688" s="35"/>
      <c r="BU688" s="35"/>
    </row>
    <row r="689" spans="58:73" ht="15.75" customHeight="1">
      <c r="BF689" s="34"/>
      <c r="BQ689" s="35"/>
      <c r="BU689" s="35"/>
    </row>
    <row r="690" spans="58:73" ht="15.75" customHeight="1">
      <c r="BF690" s="34"/>
      <c r="BQ690" s="35"/>
      <c r="BU690" s="35"/>
    </row>
    <row r="691" spans="58:73" ht="15.75" customHeight="1">
      <c r="BF691" s="34"/>
      <c r="BQ691" s="35"/>
      <c r="BU691" s="35"/>
    </row>
    <row r="692" spans="58:73" ht="15.75" customHeight="1">
      <c r="BF692" s="34"/>
      <c r="BQ692" s="35"/>
      <c r="BU692" s="35"/>
    </row>
    <row r="693" spans="58:73" ht="15.75" customHeight="1">
      <c r="BF693" s="34"/>
      <c r="BQ693" s="35"/>
      <c r="BU693" s="35"/>
    </row>
    <row r="694" spans="58:73" ht="15.75" customHeight="1">
      <c r="BF694" s="34"/>
      <c r="BQ694" s="35"/>
      <c r="BU694" s="35"/>
    </row>
    <row r="695" spans="58:73" ht="15.75" customHeight="1">
      <c r="BF695" s="34"/>
      <c r="BQ695" s="35"/>
      <c r="BU695" s="35"/>
    </row>
    <row r="696" spans="58:73" ht="15.75" customHeight="1">
      <c r="BF696" s="34"/>
      <c r="BQ696" s="35"/>
      <c r="BU696" s="35"/>
    </row>
    <row r="697" spans="58:73" ht="15.75" customHeight="1">
      <c r="BF697" s="34"/>
      <c r="BQ697" s="35"/>
      <c r="BU697" s="35"/>
    </row>
    <row r="698" spans="58:73" ht="15.75" customHeight="1">
      <c r="BF698" s="34"/>
      <c r="BQ698" s="35"/>
      <c r="BU698" s="35"/>
    </row>
    <row r="699" spans="58:73" ht="15.75" customHeight="1">
      <c r="BF699" s="34"/>
      <c r="BQ699" s="35"/>
      <c r="BU699" s="35"/>
    </row>
    <row r="700" spans="58:73" ht="15.75" customHeight="1">
      <c r="BF700" s="34"/>
      <c r="BQ700" s="35"/>
      <c r="BU700" s="35"/>
    </row>
    <row r="701" spans="58:73" ht="15.75" customHeight="1">
      <c r="BF701" s="34"/>
      <c r="BQ701" s="35"/>
      <c r="BU701" s="35"/>
    </row>
    <row r="702" spans="58:73" ht="15.75" customHeight="1">
      <c r="BF702" s="34"/>
      <c r="BQ702" s="35"/>
      <c r="BU702" s="35"/>
    </row>
    <row r="703" spans="58:73" ht="15.75" customHeight="1">
      <c r="BF703" s="34"/>
      <c r="BQ703" s="35"/>
      <c r="BU703" s="35"/>
    </row>
    <row r="704" spans="58:73" ht="15.75" customHeight="1">
      <c r="BF704" s="34"/>
      <c r="BQ704" s="35"/>
      <c r="BU704" s="35"/>
    </row>
    <row r="705" spans="58:73" ht="15.75" customHeight="1">
      <c r="BF705" s="34"/>
      <c r="BQ705" s="35"/>
      <c r="BU705" s="35"/>
    </row>
    <row r="706" spans="58:73" ht="15.75" customHeight="1">
      <c r="BF706" s="34"/>
      <c r="BQ706" s="35"/>
      <c r="BU706" s="35"/>
    </row>
    <row r="707" spans="58:73" ht="15.75" customHeight="1">
      <c r="BF707" s="34"/>
      <c r="BQ707" s="35"/>
      <c r="BU707" s="35"/>
    </row>
    <row r="708" spans="58:73" ht="15.75" customHeight="1">
      <c r="BF708" s="34"/>
      <c r="BQ708" s="35"/>
      <c r="BU708" s="35"/>
    </row>
    <row r="709" spans="58:73" ht="15.75" customHeight="1">
      <c r="BF709" s="34"/>
      <c r="BQ709" s="35"/>
      <c r="BU709" s="35"/>
    </row>
    <row r="710" spans="58:73" ht="15.75" customHeight="1">
      <c r="BF710" s="34"/>
      <c r="BQ710" s="35"/>
      <c r="BU710" s="35"/>
    </row>
    <row r="711" spans="58:73" ht="15.75" customHeight="1">
      <c r="BF711" s="34"/>
      <c r="BQ711" s="35"/>
      <c r="BU711" s="35"/>
    </row>
    <row r="712" spans="58:73" ht="15.75" customHeight="1">
      <c r="BF712" s="34"/>
      <c r="BQ712" s="35"/>
      <c r="BU712" s="35"/>
    </row>
    <row r="713" spans="58:73" ht="15.75" customHeight="1">
      <c r="BF713" s="34"/>
      <c r="BQ713" s="35"/>
      <c r="BU713" s="35"/>
    </row>
    <row r="714" spans="58:73" ht="15.75" customHeight="1">
      <c r="BF714" s="34"/>
      <c r="BQ714" s="35"/>
      <c r="BU714" s="35"/>
    </row>
    <row r="715" spans="58:73" ht="15.75" customHeight="1">
      <c r="BF715" s="34"/>
      <c r="BQ715" s="35"/>
      <c r="BU715" s="35"/>
    </row>
    <row r="716" spans="58:73" ht="15.75" customHeight="1">
      <c r="BF716" s="34"/>
      <c r="BQ716" s="35"/>
      <c r="BU716" s="35"/>
    </row>
    <row r="717" spans="58:73" ht="15.75" customHeight="1">
      <c r="BF717" s="34"/>
      <c r="BQ717" s="35"/>
      <c r="BU717" s="35"/>
    </row>
    <row r="718" spans="58:73" ht="15.75" customHeight="1">
      <c r="BF718" s="34"/>
      <c r="BQ718" s="35"/>
      <c r="BU718" s="35"/>
    </row>
    <row r="719" spans="58:73" ht="15.75" customHeight="1">
      <c r="BF719" s="34"/>
      <c r="BQ719" s="35"/>
      <c r="BU719" s="35"/>
    </row>
    <row r="720" spans="58:73" ht="15.75" customHeight="1">
      <c r="BF720" s="34"/>
      <c r="BQ720" s="35"/>
      <c r="BU720" s="35"/>
    </row>
    <row r="721" spans="58:73" ht="15.75" customHeight="1">
      <c r="BF721" s="34"/>
      <c r="BQ721" s="35"/>
      <c r="BU721" s="35"/>
    </row>
    <row r="722" spans="58:73" ht="15.75" customHeight="1">
      <c r="BF722" s="34"/>
      <c r="BQ722" s="35"/>
      <c r="BU722" s="35"/>
    </row>
    <row r="723" spans="58:73" ht="15.75" customHeight="1">
      <c r="BF723" s="34"/>
      <c r="BQ723" s="35"/>
      <c r="BU723" s="35"/>
    </row>
    <row r="724" spans="58:73" ht="15.75" customHeight="1">
      <c r="BF724" s="34"/>
      <c r="BQ724" s="35"/>
      <c r="BU724" s="35"/>
    </row>
    <row r="725" spans="58:73" ht="15.75" customHeight="1">
      <c r="BF725" s="34"/>
      <c r="BQ725" s="35"/>
      <c r="BU725" s="35"/>
    </row>
    <row r="726" spans="58:73" ht="15.75" customHeight="1">
      <c r="BF726" s="34"/>
      <c r="BQ726" s="35"/>
      <c r="BU726" s="35"/>
    </row>
    <row r="727" spans="58:73" ht="15.75" customHeight="1">
      <c r="BF727" s="34"/>
      <c r="BQ727" s="35"/>
      <c r="BU727" s="35"/>
    </row>
    <row r="728" spans="58:73" ht="15.75" customHeight="1">
      <c r="BF728" s="34"/>
      <c r="BQ728" s="35"/>
      <c r="BU728" s="35"/>
    </row>
    <row r="729" spans="58:73" ht="15.75" customHeight="1">
      <c r="BF729" s="34"/>
      <c r="BQ729" s="35"/>
      <c r="BU729" s="35"/>
    </row>
    <row r="730" spans="58:73" ht="15.75" customHeight="1">
      <c r="BF730" s="34"/>
      <c r="BQ730" s="35"/>
      <c r="BU730" s="35"/>
    </row>
    <row r="731" spans="58:73" ht="15.75" customHeight="1">
      <c r="BF731" s="34"/>
      <c r="BQ731" s="35"/>
      <c r="BU731" s="35"/>
    </row>
    <row r="732" spans="58:73" ht="15.75" customHeight="1">
      <c r="BF732" s="34"/>
      <c r="BQ732" s="35"/>
      <c r="BU732" s="35"/>
    </row>
    <row r="733" spans="58:73" ht="15.75" customHeight="1">
      <c r="BF733" s="34"/>
      <c r="BQ733" s="35"/>
      <c r="BU733" s="35"/>
    </row>
    <row r="734" spans="58:73" ht="15.75" customHeight="1">
      <c r="BF734" s="34"/>
      <c r="BQ734" s="35"/>
      <c r="BU734" s="35"/>
    </row>
    <row r="735" spans="58:73" ht="15.75" customHeight="1">
      <c r="BF735" s="34"/>
      <c r="BQ735" s="35"/>
      <c r="BU735" s="35"/>
    </row>
    <row r="736" spans="58:73" ht="15.75" customHeight="1">
      <c r="BF736" s="34"/>
      <c r="BQ736" s="35"/>
      <c r="BU736" s="35"/>
    </row>
    <row r="737" spans="58:73" ht="15.75" customHeight="1">
      <c r="BF737" s="34"/>
      <c r="BQ737" s="35"/>
      <c r="BU737" s="35"/>
    </row>
    <row r="738" spans="58:73" ht="15.75" customHeight="1">
      <c r="BF738" s="34"/>
      <c r="BQ738" s="35"/>
      <c r="BU738" s="35"/>
    </row>
    <row r="739" spans="58:73" ht="15.75" customHeight="1">
      <c r="BF739" s="34"/>
      <c r="BQ739" s="35"/>
      <c r="BU739" s="35"/>
    </row>
    <row r="740" spans="58:73" ht="15.75" customHeight="1">
      <c r="BF740" s="34"/>
      <c r="BQ740" s="35"/>
      <c r="BU740" s="35"/>
    </row>
    <row r="741" spans="58:73" ht="15.75" customHeight="1">
      <c r="BF741" s="34"/>
      <c r="BQ741" s="35"/>
      <c r="BU741" s="35"/>
    </row>
    <row r="742" spans="58:73" ht="15.75" customHeight="1">
      <c r="BF742" s="34"/>
      <c r="BQ742" s="35"/>
      <c r="BU742" s="35"/>
    </row>
    <row r="743" spans="58:73" ht="15.75" customHeight="1">
      <c r="BF743" s="34"/>
      <c r="BQ743" s="35"/>
      <c r="BU743" s="35"/>
    </row>
    <row r="744" spans="58:73" ht="15.75" customHeight="1">
      <c r="BF744" s="34"/>
      <c r="BQ744" s="35"/>
      <c r="BU744" s="35"/>
    </row>
    <row r="745" spans="58:73" ht="15.75" customHeight="1">
      <c r="BF745" s="34"/>
      <c r="BQ745" s="35"/>
      <c r="BU745" s="35"/>
    </row>
    <row r="746" spans="58:73" ht="15.75" customHeight="1">
      <c r="BF746" s="34"/>
      <c r="BQ746" s="35"/>
      <c r="BU746" s="35"/>
    </row>
    <row r="747" spans="58:73" ht="15.75" customHeight="1">
      <c r="BF747" s="34"/>
      <c r="BQ747" s="35"/>
      <c r="BU747" s="35"/>
    </row>
    <row r="748" spans="58:73" ht="15.75" customHeight="1">
      <c r="BF748" s="34"/>
      <c r="BQ748" s="35"/>
      <c r="BU748" s="35"/>
    </row>
    <row r="749" spans="58:73" ht="15.75" customHeight="1">
      <c r="BF749" s="34"/>
      <c r="BQ749" s="35"/>
      <c r="BU749" s="35"/>
    </row>
    <row r="750" spans="58:73" ht="15.75" customHeight="1">
      <c r="BF750" s="34"/>
      <c r="BQ750" s="35"/>
      <c r="BU750" s="35"/>
    </row>
    <row r="751" spans="58:73" ht="15.75" customHeight="1">
      <c r="BF751" s="34"/>
      <c r="BQ751" s="35"/>
      <c r="BU751" s="35"/>
    </row>
    <row r="752" spans="58:73" ht="15.75" customHeight="1">
      <c r="BF752" s="34"/>
      <c r="BQ752" s="35"/>
      <c r="BU752" s="35"/>
    </row>
    <row r="753" spans="58:73" ht="15.75" customHeight="1">
      <c r="BF753" s="34"/>
      <c r="BQ753" s="35"/>
      <c r="BU753" s="35"/>
    </row>
    <row r="754" spans="58:73" ht="15.75" customHeight="1">
      <c r="BF754" s="34"/>
      <c r="BQ754" s="35"/>
      <c r="BU754" s="35"/>
    </row>
    <row r="755" spans="58:73" ht="15.75" customHeight="1">
      <c r="BF755" s="34"/>
      <c r="BQ755" s="35"/>
      <c r="BU755" s="35"/>
    </row>
    <row r="756" spans="58:73" ht="15.75" customHeight="1">
      <c r="BF756" s="34"/>
      <c r="BQ756" s="35"/>
      <c r="BU756" s="35"/>
    </row>
    <row r="757" spans="58:73" ht="15.75" customHeight="1">
      <c r="BF757" s="34"/>
      <c r="BQ757" s="35"/>
      <c r="BU757" s="35"/>
    </row>
    <row r="758" spans="58:73" ht="15.75" customHeight="1">
      <c r="BF758" s="34"/>
      <c r="BQ758" s="35"/>
      <c r="BU758" s="35"/>
    </row>
    <row r="759" spans="58:73" ht="15.75" customHeight="1">
      <c r="BF759" s="34"/>
      <c r="BQ759" s="35"/>
      <c r="BU759" s="35"/>
    </row>
    <row r="760" spans="58:73" ht="15.75" customHeight="1">
      <c r="BF760" s="34"/>
      <c r="BQ760" s="35"/>
      <c r="BU760" s="35"/>
    </row>
    <row r="761" spans="58:73" ht="15.75" customHeight="1">
      <c r="BF761" s="34"/>
      <c r="BQ761" s="35"/>
      <c r="BU761" s="35"/>
    </row>
    <row r="762" spans="58:73" ht="15.75" customHeight="1">
      <c r="BF762" s="34"/>
      <c r="BQ762" s="35"/>
      <c r="BU762" s="35"/>
    </row>
    <row r="763" spans="58:73" ht="15.75" customHeight="1">
      <c r="BF763" s="34"/>
      <c r="BQ763" s="35"/>
      <c r="BU763" s="35"/>
    </row>
    <row r="764" spans="58:73" ht="15.75" customHeight="1">
      <c r="BF764" s="34"/>
      <c r="BQ764" s="35"/>
      <c r="BU764" s="35"/>
    </row>
    <row r="765" spans="58:73" ht="15.75" customHeight="1">
      <c r="BF765" s="34"/>
      <c r="BQ765" s="35"/>
      <c r="BU765" s="35"/>
    </row>
    <row r="766" spans="58:73" ht="15.75" customHeight="1">
      <c r="BF766" s="34"/>
      <c r="BQ766" s="35"/>
      <c r="BU766" s="35"/>
    </row>
    <row r="767" spans="58:73" ht="15.75" customHeight="1">
      <c r="BF767" s="34"/>
      <c r="BQ767" s="35"/>
      <c r="BU767" s="35"/>
    </row>
    <row r="768" spans="58:73" ht="15.75" customHeight="1">
      <c r="BF768" s="34"/>
      <c r="BQ768" s="35"/>
      <c r="BU768" s="35"/>
    </row>
    <row r="769" spans="58:73" ht="15.75" customHeight="1">
      <c r="BF769" s="34"/>
      <c r="BQ769" s="35"/>
      <c r="BU769" s="35"/>
    </row>
    <row r="770" spans="58:73" ht="15.75" customHeight="1">
      <c r="BF770" s="34"/>
      <c r="BQ770" s="35"/>
      <c r="BU770" s="35"/>
    </row>
    <row r="771" spans="58:73" ht="15.75" customHeight="1">
      <c r="BF771" s="34"/>
      <c r="BQ771" s="35"/>
      <c r="BU771" s="35"/>
    </row>
    <row r="772" spans="58:73" ht="15.75" customHeight="1">
      <c r="BF772" s="34"/>
      <c r="BQ772" s="35"/>
      <c r="BU772" s="35"/>
    </row>
    <row r="773" spans="58:73" ht="15.75" customHeight="1">
      <c r="BF773" s="34"/>
      <c r="BQ773" s="35"/>
      <c r="BU773" s="35"/>
    </row>
    <row r="774" spans="58:73" ht="15.75" customHeight="1">
      <c r="BF774" s="34"/>
      <c r="BQ774" s="35"/>
      <c r="BU774" s="35"/>
    </row>
    <row r="775" spans="58:73" ht="15.75" customHeight="1">
      <c r="BF775" s="34"/>
      <c r="BQ775" s="35"/>
      <c r="BU775" s="35"/>
    </row>
    <row r="776" spans="58:73" ht="15.75" customHeight="1">
      <c r="BF776" s="34"/>
      <c r="BQ776" s="35"/>
      <c r="BU776" s="35"/>
    </row>
    <row r="777" spans="58:73" ht="15.75" customHeight="1">
      <c r="BF777" s="34"/>
      <c r="BQ777" s="35"/>
      <c r="BU777" s="35"/>
    </row>
    <row r="778" spans="58:73" ht="15.75" customHeight="1">
      <c r="BF778" s="34"/>
      <c r="BQ778" s="35"/>
      <c r="BU778" s="35"/>
    </row>
    <row r="779" spans="58:73" ht="15.75" customHeight="1">
      <c r="BF779" s="34"/>
      <c r="BQ779" s="35"/>
      <c r="BU779" s="35"/>
    </row>
    <row r="780" spans="58:73" ht="15.75" customHeight="1">
      <c r="BF780" s="34"/>
      <c r="BQ780" s="35"/>
      <c r="BU780" s="35"/>
    </row>
    <row r="781" spans="58:73" ht="15.75" customHeight="1">
      <c r="BF781" s="34"/>
      <c r="BQ781" s="35"/>
      <c r="BU781" s="35"/>
    </row>
    <row r="782" spans="58:73" ht="15.75" customHeight="1">
      <c r="BF782" s="34"/>
      <c r="BQ782" s="35"/>
      <c r="BU782" s="35"/>
    </row>
    <row r="783" spans="58:73" ht="15.75" customHeight="1">
      <c r="BF783" s="34"/>
      <c r="BQ783" s="35"/>
      <c r="BU783" s="35"/>
    </row>
    <row r="784" spans="58:73" ht="15.75" customHeight="1">
      <c r="BF784" s="34"/>
      <c r="BQ784" s="35"/>
      <c r="BU784" s="35"/>
    </row>
    <row r="785" spans="58:73" ht="15.75" customHeight="1">
      <c r="BF785" s="34"/>
      <c r="BQ785" s="35"/>
      <c r="BU785" s="35"/>
    </row>
    <row r="786" spans="58:73" ht="15.75" customHeight="1">
      <c r="BF786" s="34"/>
      <c r="BQ786" s="35"/>
      <c r="BU786" s="35"/>
    </row>
    <row r="787" spans="58:73" ht="15.75" customHeight="1">
      <c r="BF787" s="34"/>
      <c r="BQ787" s="35"/>
      <c r="BU787" s="35"/>
    </row>
    <row r="788" spans="58:73" ht="15.75" customHeight="1">
      <c r="BF788" s="34"/>
      <c r="BQ788" s="35"/>
      <c r="BU788" s="35"/>
    </row>
    <row r="789" spans="58:73" ht="15.75" customHeight="1">
      <c r="BF789" s="34"/>
      <c r="BQ789" s="35"/>
      <c r="BU789" s="35"/>
    </row>
    <row r="790" spans="58:73" ht="15.75" customHeight="1">
      <c r="BF790" s="34"/>
      <c r="BQ790" s="35"/>
      <c r="BU790" s="35"/>
    </row>
    <row r="791" spans="58:73" ht="15.75" customHeight="1">
      <c r="BF791" s="34"/>
      <c r="BQ791" s="35"/>
      <c r="BU791" s="35"/>
    </row>
    <row r="792" spans="58:73" ht="15.75" customHeight="1">
      <c r="BF792" s="34"/>
      <c r="BQ792" s="35"/>
      <c r="BU792" s="35"/>
    </row>
    <row r="793" spans="58:73" ht="15.75" customHeight="1">
      <c r="BF793" s="34"/>
      <c r="BQ793" s="35"/>
      <c r="BU793" s="35"/>
    </row>
    <row r="794" spans="58:73" ht="15.75" customHeight="1">
      <c r="BF794" s="34"/>
      <c r="BQ794" s="35"/>
      <c r="BU794" s="35"/>
    </row>
    <row r="795" spans="58:73" ht="15.75" customHeight="1">
      <c r="BF795" s="34"/>
      <c r="BQ795" s="35"/>
      <c r="BU795" s="35"/>
    </row>
    <row r="796" spans="58:73" ht="15.75" customHeight="1">
      <c r="BF796" s="34"/>
      <c r="BQ796" s="35"/>
      <c r="BU796" s="35"/>
    </row>
    <row r="797" spans="58:73" ht="15.75" customHeight="1">
      <c r="BF797" s="34"/>
      <c r="BQ797" s="35"/>
      <c r="BU797" s="35"/>
    </row>
    <row r="798" spans="58:73" ht="15.75" customHeight="1">
      <c r="BF798" s="34"/>
      <c r="BQ798" s="35"/>
      <c r="BU798" s="35"/>
    </row>
    <row r="799" spans="58:73" ht="15.75" customHeight="1">
      <c r="BF799" s="34"/>
      <c r="BQ799" s="35"/>
      <c r="BU799" s="35"/>
    </row>
    <row r="800" spans="58:73" ht="15.75" customHeight="1">
      <c r="BF800" s="34"/>
      <c r="BQ800" s="35"/>
      <c r="BU800" s="35"/>
    </row>
    <row r="801" spans="58:73" ht="15.75" customHeight="1">
      <c r="BF801" s="34"/>
      <c r="BQ801" s="35"/>
      <c r="BU801" s="35"/>
    </row>
    <row r="802" spans="58:73" ht="15.75" customHeight="1">
      <c r="BF802" s="34"/>
      <c r="BQ802" s="35"/>
      <c r="BU802" s="35"/>
    </row>
    <row r="803" spans="58:73" ht="15.75" customHeight="1">
      <c r="BF803" s="34"/>
      <c r="BQ803" s="35"/>
      <c r="BU803" s="35"/>
    </row>
    <row r="804" spans="58:73" ht="15.75" customHeight="1">
      <c r="BF804" s="34"/>
      <c r="BQ804" s="35"/>
      <c r="BU804" s="35"/>
    </row>
    <row r="805" spans="58:73" ht="15.75" customHeight="1">
      <c r="BF805" s="34"/>
      <c r="BQ805" s="35"/>
      <c r="BU805" s="35"/>
    </row>
    <row r="806" spans="58:73" ht="15.75" customHeight="1">
      <c r="BF806" s="34"/>
      <c r="BQ806" s="35"/>
      <c r="BU806" s="35"/>
    </row>
    <row r="807" spans="58:73" ht="15.75" customHeight="1">
      <c r="BF807" s="34"/>
      <c r="BQ807" s="35"/>
      <c r="BU807" s="35"/>
    </row>
    <row r="808" spans="58:73" ht="15.75" customHeight="1">
      <c r="BF808" s="34"/>
      <c r="BQ808" s="35"/>
      <c r="BU808" s="35"/>
    </row>
    <row r="809" spans="58:73" ht="15.75" customHeight="1">
      <c r="BF809" s="34"/>
      <c r="BQ809" s="35"/>
      <c r="BU809" s="35"/>
    </row>
    <row r="810" spans="58:73" ht="15.75" customHeight="1">
      <c r="BF810" s="34"/>
      <c r="BQ810" s="35"/>
      <c r="BU810" s="35"/>
    </row>
    <row r="811" spans="58:73" ht="15.75" customHeight="1">
      <c r="BF811" s="34"/>
      <c r="BQ811" s="35"/>
      <c r="BU811" s="35"/>
    </row>
    <row r="812" spans="58:73" ht="15.75" customHeight="1">
      <c r="BF812" s="34"/>
      <c r="BQ812" s="35"/>
      <c r="BU812" s="35"/>
    </row>
    <row r="813" spans="58:73" ht="15.75" customHeight="1">
      <c r="BF813" s="34"/>
      <c r="BQ813" s="35"/>
      <c r="BU813" s="35"/>
    </row>
    <row r="814" spans="58:73" ht="15.75" customHeight="1">
      <c r="BF814" s="34"/>
      <c r="BQ814" s="35"/>
      <c r="BU814" s="35"/>
    </row>
    <row r="815" spans="58:73" ht="15.75" customHeight="1">
      <c r="BF815" s="34"/>
      <c r="BQ815" s="35"/>
      <c r="BU815" s="35"/>
    </row>
    <row r="816" spans="58:73" ht="15.75" customHeight="1">
      <c r="BF816" s="34"/>
      <c r="BQ816" s="35"/>
      <c r="BU816" s="35"/>
    </row>
    <row r="817" spans="58:73" ht="15.75" customHeight="1">
      <c r="BF817" s="34"/>
      <c r="BQ817" s="35"/>
      <c r="BU817" s="35"/>
    </row>
    <row r="818" spans="58:73" ht="15.75" customHeight="1">
      <c r="BF818" s="34"/>
      <c r="BQ818" s="35"/>
      <c r="BU818" s="35"/>
    </row>
    <row r="819" spans="58:73" ht="15.75" customHeight="1">
      <c r="BF819" s="34"/>
      <c r="BQ819" s="35"/>
      <c r="BU819" s="35"/>
    </row>
    <row r="820" spans="58:73" ht="15.75" customHeight="1">
      <c r="BF820" s="34"/>
      <c r="BQ820" s="35"/>
      <c r="BU820" s="35"/>
    </row>
    <row r="821" spans="58:73" ht="15.75" customHeight="1">
      <c r="BF821" s="34"/>
      <c r="BQ821" s="35"/>
      <c r="BU821" s="35"/>
    </row>
    <row r="822" spans="58:73" ht="15.75" customHeight="1">
      <c r="BF822" s="34"/>
      <c r="BQ822" s="35"/>
      <c r="BU822" s="35"/>
    </row>
    <row r="823" spans="58:73" ht="15.75" customHeight="1">
      <c r="BF823" s="34"/>
      <c r="BQ823" s="35"/>
      <c r="BU823" s="35"/>
    </row>
    <row r="824" spans="58:73" ht="15.75" customHeight="1">
      <c r="BF824" s="34"/>
      <c r="BQ824" s="35"/>
      <c r="BU824" s="35"/>
    </row>
    <row r="825" spans="58:73" ht="15.75" customHeight="1">
      <c r="BF825" s="34"/>
      <c r="BQ825" s="35"/>
      <c r="BU825" s="35"/>
    </row>
    <row r="826" spans="58:73" ht="15.75" customHeight="1">
      <c r="BF826" s="34"/>
      <c r="BQ826" s="35"/>
      <c r="BU826" s="35"/>
    </row>
    <row r="827" spans="58:73" ht="15.75" customHeight="1">
      <c r="BF827" s="34"/>
      <c r="BQ827" s="35"/>
      <c r="BU827" s="35"/>
    </row>
    <row r="828" spans="58:73" ht="15.75" customHeight="1">
      <c r="BF828" s="34"/>
      <c r="BQ828" s="35"/>
      <c r="BU828" s="35"/>
    </row>
    <row r="829" spans="58:73" ht="15.75" customHeight="1">
      <c r="BF829" s="34"/>
      <c r="BQ829" s="35"/>
      <c r="BU829" s="35"/>
    </row>
    <row r="830" spans="58:73" ht="15.75" customHeight="1">
      <c r="BF830" s="34"/>
      <c r="BQ830" s="35"/>
      <c r="BU830" s="35"/>
    </row>
    <row r="831" spans="58:73" ht="15.75" customHeight="1">
      <c r="BF831" s="34"/>
      <c r="BQ831" s="35"/>
      <c r="BU831" s="35"/>
    </row>
    <row r="832" spans="58:73" ht="15.75" customHeight="1">
      <c r="BF832" s="34"/>
      <c r="BQ832" s="35"/>
      <c r="BU832" s="35"/>
    </row>
    <row r="833" spans="58:73" ht="15.75" customHeight="1">
      <c r="BF833" s="34"/>
      <c r="BQ833" s="35"/>
      <c r="BU833" s="35"/>
    </row>
    <row r="834" spans="58:73" ht="15.75" customHeight="1">
      <c r="BF834" s="34"/>
      <c r="BQ834" s="35"/>
      <c r="BU834" s="35"/>
    </row>
    <row r="835" spans="58:73" ht="15.75" customHeight="1">
      <c r="BF835" s="34"/>
      <c r="BQ835" s="35"/>
      <c r="BU835" s="35"/>
    </row>
    <row r="836" spans="58:73" ht="15.75" customHeight="1">
      <c r="BF836" s="34"/>
      <c r="BQ836" s="35"/>
      <c r="BU836" s="35"/>
    </row>
    <row r="837" spans="58:73" ht="15.75" customHeight="1">
      <c r="BF837" s="34"/>
      <c r="BQ837" s="35"/>
      <c r="BU837" s="35"/>
    </row>
    <row r="838" spans="58:73" ht="15.75" customHeight="1">
      <c r="BF838" s="34"/>
      <c r="BQ838" s="35"/>
      <c r="BU838" s="35"/>
    </row>
    <row r="839" spans="58:73" ht="15.75" customHeight="1">
      <c r="BF839" s="34"/>
      <c r="BQ839" s="35"/>
      <c r="BU839" s="35"/>
    </row>
    <row r="840" spans="58:73" ht="15.75" customHeight="1">
      <c r="BF840" s="34"/>
      <c r="BQ840" s="35"/>
      <c r="BU840" s="35"/>
    </row>
    <row r="841" spans="58:73" ht="15.75" customHeight="1">
      <c r="BF841" s="34"/>
      <c r="BQ841" s="35"/>
      <c r="BU841" s="35"/>
    </row>
    <row r="842" spans="58:73" ht="15.75" customHeight="1">
      <c r="BF842" s="34"/>
      <c r="BQ842" s="35"/>
      <c r="BU842" s="35"/>
    </row>
    <row r="843" spans="58:73" ht="15.75" customHeight="1">
      <c r="BF843" s="34"/>
      <c r="BQ843" s="35"/>
      <c r="BU843" s="35"/>
    </row>
    <row r="844" spans="58:73" ht="15.75" customHeight="1">
      <c r="BF844" s="34"/>
      <c r="BQ844" s="35"/>
      <c r="BU844" s="35"/>
    </row>
    <row r="845" spans="58:73" ht="15.75" customHeight="1">
      <c r="BF845" s="34"/>
      <c r="BQ845" s="35"/>
      <c r="BU845" s="35"/>
    </row>
    <row r="846" spans="58:73" ht="15.75" customHeight="1">
      <c r="BF846" s="34"/>
      <c r="BQ846" s="35"/>
      <c r="BU846" s="35"/>
    </row>
    <row r="847" spans="58:73" ht="15.75" customHeight="1">
      <c r="BF847" s="34"/>
      <c r="BQ847" s="35"/>
      <c r="BU847" s="35"/>
    </row>
    <row r="848" spans="58:73" ht="15.75" customHeight="1">
      <c r="BF848" s="34"/>
      <c r="BQ848" s="35"/>
      <c r="BU848" s="35"/>
    </row>
    <row r="849" spans="58:73" ht="15.75" customHeight="1">
      <c r="BF849" s="34"/>
      <c r="BQ849" s="35"/>
      <c r="BU849" s="35"/>
    </row>
    <row r="850" spans="58:73" ht="15.75" customHeight="1">
      <c r="BF850" s="34"/>
      <c r="BQ850" s="35"/>
      <c r="BU850" s="35"/>
    </row>
    <row r="851" spans="58:73" ht="15.75" customHeight="1">
      <c r="BF851" s="34"/>
      <c r="BQ851" s="35"/>
      <c r="BU851" s="35"/>
    </row>
    <row r="852" spans="58:73" ht="15.75" customHeight="1">
      <c r="BF852" s="34"/>
      <c r="BQ852" s="35"/>
      <c r="BU852" s="35"/>
    </row>
    <row r="853" spans="58:73" ht="15.75" customHeight="1">
      <c r="BF853" s="34"/>
      <c r="BQ853" s="35"/>
      <c r="BU853" s="35"/>
    </row>
    <row r="854" spans="58:73" ht="15.75" customHeight="1">
      <c r="BF854" s="34"/>
      <c r="BQ854" s="35"/>
      <c r="BU854" s="35"/>
    </row>
    <row r="855" spans="58:73" ht="15.75" customHeight="1">
      <c r="BF855" s="34"/>
      <c r="BQ855" s="35"/>
      <c r="BU855" s="35"/>
    </row>
    <row r="856" spans="58:73" ht="15.75" customHeight="1">
      <c r="BF856" s="34"/>
      <c r="BQ856" s="35"/>
      <c r="BU856" s="35"/>
    </row>
    <row r="857" spans="58:73" ht="15.75" customHeight="1">
      <c r="BF857" s="34"/>
      <c r="BQ857" s="35"/>
      <c r="BU857" s="35"/>
    </row>
    <row r="858" spans="58:73" ht="15.75" customHeight="1">
      <c r="BF858" s="34"/>
      <c r="BQ858" s="35"/>
      <c r="BU858" s="35"/>
    </row>
    <row r="859" spans="58:73" ht="15.75" customHeight="1">
      <c r="BF859" s="34"/>
      <c r="BQ859" s="35"/>
      <c r="BU859" s="35"/>
    </row>
    <row r="860" spans="58:73" ht="15.75" customHeight="1">
      <c r="BF860" s="34"/>
      <c r="BQ860" s="35"/>
      <c r="BU860" s="35"/>
    </row>
    <row r="861" spans="58:73" ht="15.75" customHeight="1">
      <c r="BF861" s="34"/>
      <c r="BQ861" s="35"/>
      <c r="BU861" s="35"/>
    </row>
    <row r="862" spans="58:73" ht="15.75" customHeight="1">
      <c r="BF862" s="34"/>
      <c r="BQ862" s="35"/>
      <c r="BU862" s="35"/>
    </row>
    <row r="863" spans="58:73" ht="15.75" customHeight="1">
      <c r="BF863" s="34"/>
      <c r="BQ863" s="35"/>
      <c r="BU863" s="35"/>
    </row>
    <row r="864" spans="58:73" ht="15.75" customHeight="1">
      <c r="BF864" s="34"/>
      <c r="BQ864" s="35"/>
      <c r="BU864" s="35"/>
    </row>
    <row r="865" spans="58:73" ht="15.75" customHeight="1">
      <c r="BF865" s="34"/>
      <c r="BQ865" s="35"/>
      <c r="BU865" s="35"/>
    </row>
    <row r="866" spans="58:73" ht="15.75" customHeight="1">
      <c r="BF866" s="34"/>
      <c r="BQ866" s="35"/>
      <c r="BU866" s="35"/>
    </row>
    <row r="867" spans="58:73" ht="15.75" customHeight="1">
      <c r="BF867" s="34"/>
      <c r="BQ867" s="35"/>
      <c r="BU867" s="35"/>
    </row>
    <row r="868" spans="58:73" ht="15.75" customHeight="1">
      <c r="BF868" s="34"/>
      <c r="BQ868" s="35"/>
      <c r="BU868" s="35"/>
    </row>
    <row r="869" spans="58:73" ht="15.75" customHeight="1">
      <c r="BF869" s="34"/>
      <c r="BQ869" s="35"/>
      <c r="BU869" s="35"/>
    </row>
    <row r="870" spans="58:73" ht="15.75" customHeight="1">
      <c r="BF870" s="34"/>
      <c r="BQ870" s="35"/>
      <c r="BU870" s="35"/>
    </row>
    <row r="871" spans="58:73" ht="15.75" customHeight="1">
      <c r="BF871" s="34"/>
      <c r="BQ871" s="35"/>
      <c r="BU871" s="35"/>
    </row>
    <row r="872" spans="58:73" ht="15.75" customHeight="1">
      <c r="BF872" s="34"/>
      <c r="BQ872" s="35"/>
      <c r="BU872" s="35"/>
    </row>
    <row r="873" spans="58:73" ht="15.75" customHeight="1">
      <c r="BF873" s="34"/>
      <c r="BQ873" s="35"/>
      <c r="BU873" s="35"/>
    </row>
    <row r="874" spans="58:73" ht="15.75" customHeight="1">
      <c r="BF874" s="34"/>
      <c r="BQ874" s="35"/>
      <c r="BU874" s="35"/>
    </row>
    <row r="875" spans="58:73" ht="15.75" customHeight="1">
      <c r="BF875" s="34"/>
      <c r="BQ875" s="35"/>
      <c r="BU875" s="35"/>
    </row>
    <row r="876" spans="58:73" ht="15.75" customHeight="1">
      <c r="BF876" s="34"/>
      <c r="BQ876" s="35"/>
      <c r="BU876" s="35"/>
    </row>
    <row r="877" spans="58:73" ht="15.75" customHeight="1">
      <c r="BF877" s="34"/>
      <c r="BQ877" s="35"/>
      <c r="BU877" s="35"/>
    </row>
    <row r="878" spans="58:73" ht="15.75" customHeight="1">
      <c r="BF878" s="34"/>
      <c r="BQ878" s="35"/>
      <c r="BU878" s="35"/>
    </row>
    <row r="879" spans="58:73" ht="15.75" customHeight="1">
      <c r="BF879" s="34"/>
      <c r="BQ879" s="35"/>
      <c r="BU879" s="35"/>
    </row>
    <row r="880" spans="58:73" ht="15.75" customHeight="1">
      <c r="BF880" s="34"/>
      <c r="BQ880" s="35"/>
      <c r="BU880" s="35"/>
    </row>
    <row r="881" spans="58:73" ht="15.75" customHeight="1">
      <c r="BF881" s="34"/>
      <c r="BQ881" s="35"/>
      <c r="BU881" s="35"/>
    </row>
    <row r="882" spans="58:73" ht="15.75" customHeight="1">
      <c r="BF882" s="34"/>
      <c r="BQ882" s="35"/>
      <c r="BU882" s="35"/>
    </row>
    <row r="883" spans="58:73" ht="15.75" customHeight="1">
      <c r="BF883" s="34"/>
      <c r="BQ883" s="35"/>
      <c r="BU883" s="35"/>
    </row>
    <row r="884" spans="58:73" ht="15.75" customHeight="1">
      <c r="BF884" s="34"/>
      <c r="BQ884" s="35"/>
      <c r="BU884" s="35"/>
    </row>
    <row r="885" spans="58:73" ht="15.75" customHeight="1">
      <c r="BF885" s="34"/>
      <c r="BQ885" s="35"/>
      <c r="BU885" s="35"/>
    </row>
    <row r="886" spans="58:73" ht="15.75" customHeight="1">
      <c r="BF886" s="34"/>
      <c r="BQ886" s="35"/>
      <c r="BU886" s="35"/>
    </row>
    <row r="887" spans="58:73" ht="15.75" customHeight="1">
      <c r="BF887" s="34"/>
      <c r="BQ887" s="35"/>
      <c r="BU887" s="35"/>
    </row>
    <row r="888" spans="58:73" ht="15.75" customHeight="1">
      <c r="BF888" s="34"/>
      <c r="BQ888" s="35"/>
      <c r="BU888" s="35"/>
    </row>
    <row r="889" spans="58:73" ht="15.75" customHeight="1">
      <c r="BF889" s="34"/>
      <c r="BQ889" s="35"/>
      <c r="BU889" s="35"/>
    </row>
    <row r="890" spans="58:73" ht="15.75" customHeight="1">
      <c r="BF890" s="34"/>
      <c r="BQ890" s="35"/>
      <c r="BU890" s="35"/>
    </row>
    <row r="891" spans="58:73" ht="15.75" customHeight="1">
      <c r="BF891" s="34"/>
      <c r="BQ891" s="35"/>
      <c r="BU891" s="35"/>
    </row>
    <row r="892" spans="58:73" ht="15.75" customHeight="1">
      <c r="BF892" s="34"/>
      <c r="BQ892" s="35"/>
      <c r="BU892" s="35"/>
    </row>
    <row r="893" spans="58:73" ht="15.75" customHeight="1">
      <c r="BF893" s="34"/>
      <c r="BQ893" s="35"/>
      <c r="BU893" s="35"/>
    </row>
    <row r="894" spans="58:73" ht="15.75" customHeight="1">
      <c r="BF894" s="34"/>
      <c r="BQ894" s="35"/>
      <c r="BU894" s="35"/>
    </row>
    <row r="895" spans="58:73" ht="15.75" customHeight="1">
      <c r="BF895" s="34"/>
      <c r="BQ895" s="35"/>
      <c r="BU895" s="35"/>
    </row>
    <row r="896" spans="58:73" ht="15.75" customHeight="1">
      <c r="BF896" s="34"/>
      <c r="BQ896" s="35"/>
      <c r="BU896" s="35"/>
    </row>
    <row r="897" spans="58:73" ht="15.75" customHeight="1">
      <c r="BF897" s="34"/>
      <c r="BQ897" s="35"/>
      <c r="BU897" s="35"/>
    </row>
    <row r="898" spans="58:73" ht="15.75" customHeight="1">
      <c r="BF898" s="34"/>
      <c r="BQ898" s="35"/>
      <c r="BU898" s="35"/>
    </row>
    <row r="899" spans="58:73" ht="15.75" customHeight="1">
      <c r="BF899" s="34"/>
      <c r="BQ899" s="35"/>
      <c r="BU899" s="35"/>
    </row>
    <row r="900" spans="58:73" ht="15.75" customHeight="1">
      <c r="BF900" s="34"/>
      <c r="BQ900" s="35"/>
      <c r="BU900" s="35"/>
    </row>
    <row r="901" spans="58:73" ht="15.75" customHeight="1">
      <c r="BF901" s="34"/>
      <c r="BQ901" s="35"/>
      <c r="BU901" s="35"/>
    </row>
    <row r="902" spans="58:73" ht="15.75" customHeight="1">
      <c r="BF902" s="34"/>
      <c r="BQ902" s="35"/>
      <c r="BU902" s="35"/>
    </row>
    <row r="903" spans="58:73" ht="15.75" customHeight="1">
      <c r="BF903" s="34"/>
      <c r="BQ903" s="35"/>
      <c r="BU903" s="35"/>
    </row>
    <row r="904" spans="58:73" ht="15.75" customHeight="1">
      <c r="BF904" s="34"/>
      <c r="BQ904" s="35"/>
      <c r="BU904" s="35"/>
    </row>
    <row r="905" spans="58:73" ht="15.75" customHeight="1">
      <c r="BF905" s="34"/>
      <c r="BQ905" s="35"/>
      <c r="BU905" s="35"/>
    </row>
    <row r="906" spans="58:73" ht="15.75" customHeight="1">
      <c r="BF906" s="34"/>
      <c r="BQ906" s="35"/>
      <c r="BU906" s="35"/>
    </row>
    <row r="907" spans="58:73" ht="15.75" customHeight="1">
      <c r="BF907" s="34"/>
      <c r="BQ907" s="35"/>
      <c r="BU907" s="35"/>
    </row>
    <row r="908" spans="58:73" ht="15.75" customHeight="1">
      <c r="BF908" s="34"/>
      <c r="BQ908" s="35"/>
      <c r="BU908" s="35"/>
    </row>
    <row r="909" spans="58:73" ht="15.75" customHeight="1">
      <c r="BF909" s="34"/>
      <c r="BQ909" s="35"/>
      <c r="BU909" s="35"/>
    </row>
    <row r="910" spans="58:73" ht="15.75" customHeight="1">
      <c r="BF910" s="34"/>
      <c r="BQ910" s="35"/>
      <c r="BU910" s="35"/>
    </row>
    <row r="911" spans="58:73" ht="15.75" customHeight="1">
      <c r="BF911" s="34"/>
      <c r="BQ911" s="35"/>
      <c r="BU911" s="35"/>
    </row>
    <row r="912" spans="58:73" ht="15.75" customHeight="1">
      <c r="BF912" s="34"/>
      <c r="BQ912" s="35"/>
      <c r="BU912" s="35"/>
    </row>
    <row r="913" spans="58:73" ht="15.75" customHeight="1">
      <c r="BF913" s="34"/>
      <c r="BQ913" s="35"/>
      <c r="BU913" s="35"/>
    </row>
    <row r="914" spans="58:73" ht="15.75" customHeight="1">
      <c r="BF914" s="34"/>
      <c r="BQ914" s="35"/>
      <c r="BU914" s="35"/>
    </row>
    <row r="915" spans="58:73" ht="15.75" customHeight="1">
      <c r="BF915" s="34"/>
      <c r="BQ915" s="35"/>
      <c r="BU915" s="35"/>
    </row>
    <row r="916" spans="58:73" ht="15.75" customHeight="1">
      <c r="BF916" s="34"/>
      <c r="BQ916" s="35"/>
      <c r="BU916" s="35"/>
    </row>
    <row r="917" spans="58:73" ht="15.75" customHeight="1">
      <c r="BF917" s="34"/>
      <c r="BQ917" s="35"/>
      <c r="BU917" s="35"/>
    </row>
    <row r="918" spans="58:73" ht="15.75" customHeight="1">
      <c r="BF918" s="34"/>
      <c r="BQ918" s="35"/>
      <c r="BU918" s="35"/>
    </row>
    <row r="919" spans="58:73" ht="15.75" customHeight="1">
      <c r="BF919" s="34"/>
      <c r="BQ919" s="35"/>
      <c r="BU919" s="35"/>
    </row>
    <row r="920" spans="58:73" ht="15.75" customHeight="1">
      <c r="BF920" s="34"/>
      <c r="BQ920" s="35"/>
      <c r="BU920" s="35"/>
    </row>
    <row r="921" spans="58:73" ht="15.75" customHeight="1">
      <c r="BF921" s="34"/>
      <c r="BQ921" s="35"/>
      <c r="BU921" s="35"/>
    </row>
    <row r="922" spans="58:73" ht="15.75" customHeight="1">
      <c r="BF922" s="34"/>
      <c r="BQ922" s="35"/>
      <c r="BU922" s="35"/>
    </row>
    <row r="923" spans="58:73" ht="15.75" customHeight="1">
      <c r="BF923" s="34"/>
      <c r="BQ923" s="35"/>
      <c r="BU923" s="35"/>
    </row>
    <row r="924" spans="58:73" ht="15.75" customHeight="1">
      <c r="BF924" s="34"/>
      <c r="BQ924" s="35"/>
      <c r="BU924" s="35"/>
    </row>
    <row r="925" spans="58:73" ht="15.75" customHeight="1">
      <c r="BF925" s="34"/>
      <c r="BQ925" s="35"/>
      <c r="BU925" s="35"/>
    </row>
    <row r="926" spans="58:73" ht="15.75" customHeight="1">
      <c r="BF926" s="34"/>
      <c r="BQ926" s="35"/>
      <c r="BU926" s="35"/>
    </row>
    <row r="927" spans="58:73" ht="15.75" customHeight="1">
      <c r="BF927" s="34"/>
      <c r="BQ927" s="35"/>
      <c r="BU927" s="35"/>
    </row>
    <row r="928" spans="58:73" ht="15.75" customHeight="1">
      <c r="BF928" s="34"/>
      <c r="BQ928" s="35"/>
      <c r="BU928" s="35"/>
    </row>
    <row r="929" spans="58:73" ht="15.75" customHeight="1">
      <c r="BF929" s="34"/>
      <c r="BQ929" s="35"/>
      <c r="BU929" s="35"/>
    </row>
    <row r="930" spans="58:73" ht="15.75" customHeight="1">
      <c r="BF930" s="34"/>
      <c r="BQ930" s="35"/>
      <c r="BU930" s="35"/>
    </row>
    <row r="931" spans="58:73" ht="15.75" customHeight="1">
      <c r="BF931" s="34"/>
      <c r="BQ931" s="35"/>
      <c r="BU931" s="35"/>
    </row>
    <row r="932" spans="58:73" ht="15.75" customHeight="1">
      <c r="BF932" s="34"/>
      <c r="BQ932" s="35"/>
      <c r="BU932" s="35"/>
    </row>
    <row r="933" spans="58:73" ht="15.75" customHeight="1">
      <c r="BF933" s="34"/>
      <c r="BQ933" s="35"/>
      <c r="BU933" s="35"/>
    </row>
    <row r="934" spans="58:73" ht="15.75" customHeight="1">
      <c r="BF934" s="34"/>
      <c r="BQ934" s="35"/>
      <c r="BU934" s="35"/>
    </row>
    <row r="935" spans="58:73" ht="15.75" customHeight="1">
      <c r="BF935" s="34"/>
      <c r="BQ935" s="35"/>
      <c r="BU935" s="35"/>
    </row>
    <row r="936" spans="58:73" ht="15.75" customHeight="1">
      <c r="BF936" s="34"/>
      <c r="BQ936" s="35"/>
      <c r="BU936" s="35"/>
    </row>
    <row r="937" spans="58:73" ht="15.75" customHeight="1">
      <c r="BF937" s="34"/>
      <c r="BQ937" s="35"/>
      <c r="BU937" s="35"/>
    </row>
    <row r="938" spans="58:73" ht="15.75" customHeight="1">
      <c r="BF938" s="34"/>
      <c r="BQ938" s="35"/>
      <c r="BU938" s="35"/>
    </row>
    <row r="939" spans="58:73" ht="15.75" customHeight="1">
      <c r="BF939" s="34"/>
      <c r="BQ939" s="35"/>
      <c r="BU939" s="35"/>
    </row>
    <row r="940" spans="58:73" ht="15.75" customHeight="1">
      <c r="BF940" s="34"/>
      <c r="BQ940" s="35"/>
      <c r="BU940" s="35"/>
    </row>
    <row r="941" spans="58:73" ht="15.75" customHeight="1">
      <c r="BF941" s="34"/>
      <c r="BQ941" s="35"/>
      <c r="BU941" s="35"/>
    </row>
    <row r="942" spans="58:73" ht="15.75" customHeight="1">
      <c r="BF942" s="34"/>
      <c r="BQ942" s="35"/>
      <c r="BU942" s="35"/>
    </row>
    <row r="943" spans="58:73" ht="15.75" customHeight="1">
      <c r="BF943" s="34"/>
      <c r="BQ943" s="35"/>
      <c r="BU943" s="35"/>
    </row>
    <row r="944" spans="58:73" ht="15.75" customHeight="1">
      <c r="BF944" s="34"/>
      <c r="BQ944" s="35"/>
      <c r="BU944" s="35"/>
    </row>
    <row r="945" spans="58:73" ht="15.75" customHeight="1">
      <c r="BF945" s="34"/>
      <c r="BQ945" s="35"/>
      <c r="BU945" s="35"/>
    </row>
    <row r="946" spans="58:73" ht="15.75" customHeight="1">
      <c r="BF946" s="34"/>
      <c r="BQ946" s="35"/>
      <c r="BU946" s="35"/>
    </row>
    <row r="947" spans="58:73" ht="15.75" customHeight="1">
      <c r="BF947" s="34"/>
      <c r="BQ947" s="35"/>
      <c r="BU947" s="35"/>
    </row>
    <row r="948" spans="58:73" ht="15.75" customHeight="1">
      <c r="BF948" s="34"/>
      <c r="BQ948" s="35"/>
      <c r="BU948" s="35"/>
    </row>
    <row r="949" spans="58:73" ht="15.75" customHeight="1">
      <c r="BF949" s="34"/>
      <c r="BQ949" s="35"/>
      <c r="BU949" s="35"/>
    </row>
    <row r="950" spans="58:73" ht="15.75" customHeight="1">
      <c r="BF950" s="34"/>
      <c r="BQ950" s="35"/>
      <c r="BU950" s="35"/>
    </row>
    <row r="951" spans="58:73" ht="15.75" customHeight="1">
      <c r="BF951" s="34"/>
      <c r="BQ951" s="35"/>
      <c r="BU951" s="35"/>
    </row>
    <row r="952" spans="58:73" ht="15.75" customHeight="1">
      <c r="BF952" s="34"/>
      <c r="BQ952" s="35"/>
      <c r="BU952" s="35"/>
    </row>
    <row r="953" spans="58:73" ht="15.75" customHeight="1">
      <c r="BF953" s="34"/>
      <c r="BQ953" s="35"/>
      <c r="BU953" s="35"/>
    </row>
    <row r="954" spans="58:73" ht="15.75" customHeight="1">
      <c r="BF954" s="34"/>
      <c r="BQ954" s="35"/>
      <c r="BU954" s="35"/>
    </row>
    <row r="955" spans="58:73" ht="15.75" customHeight="1">
      <c r="BF955" s="34"/>
      <c r="BQ955" s="35"/>
      <c r="BU955" s="35"/>
    </row>
    <row r="956" spans="58:73" ht="15.75" customHeight="1">
      <c r="BF956" s="34"/>
      <c r="BQ956" s="35"/>
      <c r="BU956" s="35"/>
    </row>
    <row r="957" spans="58:73" ht="15.75" customHeight="1">
      <c r="BF957" s="34"/>
      <c r="BQ957" s="35"/>
      <c r="BU957" s="35"/>
    </row>
    <row r="958" spans="58:73" ht="15.75" customHeight="1">
      <c r="BF958" s="34"/>
      <c r="BQ958" s="35"/>
      <c r="BU958" s="35"/>
    </row>
    <row r="959" spans="58:73" ht="15.75" customHeight="1">
      <c r="BF959" s="34"/>
      <c r="BQ959" s="35"/>
      <c r="BU959" s="35"/>
    </row>
    <row r="960" spans="58:73" ht="15.75" customHeight="1">
      <c r="BF960" s="34"/>
      <c r="BQ960" s="35"/>
      <c r="BU960" s="35"/>
    </row>
    <row r="961" spans="58:73" ht="15.75" customHeight="1">
      <c r="BF961" s="34"/>
      <c r="BQ961" s="35"/>
      <c r="BU961" s="35"/>
    </row>
    <row r="962" spans="58:73" ht="15.75" customHeight="1">
      <c r="BF962" s="34"/>
      <c r="BQ962" s="35"/>
      <c r="BU962" s="35"/>
    </row>
    <row r="963" spans="58:73" ht="15.75" customHeight="1">
      <c r="BF963" s="34"/>
      <c r="BQ963" s="35"/>
      <c r="BU963" s="35"/>
    </row>
    <row r="964" spans="58:73" ht="15.75" customHeight="1">
      <c r="BF964" s="34"/>
      <c r="BQ964" s="35"/>
      <c r="BU964" s="35"/>
    </row>
    <row r="965" spans="58:73" ht="15.75" customHeight="1">
      <c r="BF965" s="34"/>
      <c r="BQ965" s="35"/>
      <c r="BU965" s="35"/>
    </row>
    <row r="966" spans="58:73" ht="15.75" customHeight="1">
      <c r="BF966" s="34"/>
      <c r="BQ966" s="35"/>
      <c r="BU966" s="35"/>
    </row>
    <row r="967" spans="58:73" ht="15.75" customHeight="1">
      <c r="BF967" s="34"/>
      <c r="BQ967" s="35"/>
      <c r="BU967" s="35"/>
    </row>
    <row r="968" spans="58:73" ht="15.75" customHeight="1">
      <c r="BF968" s="34"/>
      <c r="BQ968" s="35"/>
      <c r="BU968" s="35"/>
    </row>
    <row r="969" spans="58:73" ht="15.75" customHeight="1">
      <c r="BF969" s="34"/>
      <c r="BQ969" s="35"/>
      <c r="BU969" s="35"/>
    </row>
    <row r="970" spans="58:73" ht="15.75" customHeight="1">
      <c r="BF970" s="34"/>
      <c r="BQ970" s="35"/>
      <c r="BU970" s="35"/>
    </row>
    <row r="971" spans="58:73" ht="15.75" customHeight="1">
      <c r="BF971" s="34"/>
      <c r="BQ971" s="35"/>
      <c r="BU971" s="35"/>
    </row>
    <row r="972" spans="58:73" ht="15.75" customHeight="1">
      <c r="BF972" s="34"/>
      <c r="BQ972" s="35"/>
      <c r="BU972" s="35"/>
    </row>
    <row r="973" spans="58:73" ht="15.75" customHeight="1">
      <c r="BF973" s="34"/>
      <c r="BQ973" s="35"/>
      <c r="BU973" s="35"/>
    </row>
    <row r="974" spans="58:73" ht="15.75" customHeight="1">
      <c r="BF974" s="34"/>
      <c r="BQ974" s="35"/>
      <c r="BU974" s="35"/>
    </row>
    <row r="975" spans="58:73" ht="15.75" customHeight="1">
      <c r="BF975" s="34"/>
      <c r="BQ975" s="35"/>
      <c r="BU975" s="35"/>
    </row>
    <row r="976" spans="58:73" ht="15.75" customHeight="1">
      <c r="BF976" s="34"/>
      <c r="BQ976" s="35"/>
      <c r="BU976" s="35"/>
    </row>
    <row r="977" spans="58:73" ht="15.75" customHeight="1">
      <c r="BF977" s="34"/>
      <c r="BQ977" s="35"/>
      <c r="BU977" s="35"/>
    </row>
    <row r="978" spans="58:73" ht="15.75" customHeight="1">
      <c r="BF978" s="34"/>
      <c r="BQ978" s="35"/>
      <c r="BU978" s="35"/>
    </row>
    <row r="979" spans="58:73" ht="15.75" customHeight="1">
      <c r="BF979" s="34"/>
      <c r="BQ979" s="35"/>
      <c r="BU979" s="35"/>
    </row>
    <row r="980" spans="58:73" ht="15.75" customHeight="1">
      <c r="BF980" s="34"/>
      <c r="BQ980" s="35"/>
      <c r="BU980" s="35"/>
    </row>
    <row r="981" spans="58:73" ht="15.75" customHeight="1">
      <c r="BF981" s="34"/>
      <c r="BQ981" s="35"/>
      <c r="BU981" s="35"/>
    </row>
    <row r="982" spans="58:73" ht="15.75" customHeight="1">
      <c r="BF982" s="34"/>
      <c r="BQ982" s="35"/>
      <c r="BU982" s="35"/>
    </row>
    <row r="983" spans="58:73" ht="15.75" customHeight="1">
      <c r="BF983" s="34"/>
      <c r="BQ983" s="35"/>
      <c r="BU983" s="35"/>
    </row>
    <row r="984" spans="58:73" ht="15.75" customHeight="1">
      <c r="BF984" s="34"/>
      <c r="BQ984" s="35"/>
      <c r="BU984" s="35"/>
    </row>
    <row r="985" spans="58:73" ht="15.75" customHeight="1">
      <c r="BF985" s="34"/>
      <c r="BQ985" s="35"/>
      <c r="BU985" s="35"/>
    </row>
    <row r="986" spans="58:73" ht="15.75" customHeight="1">
      <c r="BF986" s="34"/>
      <c r="BQ986" s="35"/>
      <c r="BU986" s="35"/>
    </row>
    <row r="987" spans="58:73" ht="15.75" customHeight="1">
      <c r="BF987" s="34"/>
      <c r="BQ987" s="35"/>
      <c r="BU987" s="35"/>
    </row>
    <row r="988" spans="58:73" ht="15.75" customHeight="1">
      <c r="BF988" s="34"/>
      <c r="BQ988" s="35"/>
      <c r="BU988" s="35"/>
    </row>
    <row r="989" spans="58:73" ht="15.75" customHeight="1">
      <c r="BF989" s="34"/>
      <c r="BQ989" s="35"/>
      <c r="BU989" s="35"/>
    </row>
  </sheetData>
  <mergeCells count="28">
    <mergeCell ref="BM5:BM6"/>
    <mergeCell ref="BN5:BN6"/>
    <mergeCell ref="BH5:BH6"/>
    <mergeCell ref="BI5:BI6"/>
    <mergeCell ref="BJ5:BJ6"/>
    <mergeCell ref="BK5:BK6"/>
    <mergeCell ref="BL5:BL6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A1:BF3"/>
    <mergeCell ref="BH1:BW1"/>
    <mergeCell ref="BH2:BW2"/>
    <mergeCell ref="BH3:BO3"/>
    <mergeCell ref="BP3:BW3"/>
  </mergeCells>
  <pageMargins left="0.7" right="0.7" top="0.75" bottom="0.75" header="0" footer="0"/>
  <pageSetup scale="8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99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3.33203125" customWidth="1"/>
    <col min="4" max="14" width="4.6640625" customWidth="1"/>
    <col min="15" max="26" width="4.33203125" customWidth="1"/>
    <col min="27" max="40" width="4" customWidth="1"/>
    <col min="41" max="53" width="4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3.33203125" customWidth="1"/>
    <col min="63" max="63" width="8" customWidth="1"/>
    <col min="64" max="64" width="8.109375" customWidth="1"/>
    <col min="65" max="65" width="9.109375" customWidth="1"/>
    <col min="66" max="66" width="14.33203125" customWidth="1"/>
    <col min="67" max="67" width="7" customWidth="1"/>
    <col min="68" max="68" width="7.6640625" customWidth="1"/>
    <col min="69" max="69" width="14.109375" customWidth="1"/>
    <col min="70" max="72" width="4" customWidth="1"/>
    <col min="73" max="73" width="11.88671875" customWidth="1"/>
    <col min="74" max="74" width="8.6640625" customWidth="1"/>
    <col min="75" max="75" width="9.88671875" customWidth="1"/>
  </cols>
  <sheetData>
    <row r="1" spans="1:75" ht="14.25" customHeight="1">
      <c r="A1" s="36"/>
      <c r="B1" s="37"/>
      <c r="C1" s="37"/>
      <c r="D1" s="115" t="s">
        <v>117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95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9"/>
    </row>
    <row r="2" spans="1:75" ht="14.25" customHeight="1">
      <c r="A2" s="38"/>
      <c r="B2" s="39"/>
      <c r="C2" s="39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9"/>
    </row>
    <row r="3" spans="1:75" ht="22.5" customHeight="1">
      <c r="A3" s="40"/>
      <c r="B3" s="41"/>
      <c r="C3" s="41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8"/>
      <c r="BO3" s="89"/>
      <c r="BP3" s="107" t="s">
        <v>98</v>
      </c>
      <c r="BQ3" s="88"/>
      <c r="BR3" s="88"/>
      <c r="BS3" s="88"/>
      <c r="BT3" s="88"/>
      <c r="BU3" s="88"/>
      <c r="BV3" s="88"/>
      <c r="BW3" s="89"/>
    </row>
    <row r="4" spans="1:75" ht="14.25" customHeight="1">
      <c r="A4" s="21"/>
      <c r="B4" s="42"/>
      <c r="C4" s="42"/>
      <c r="D4" s="116" t="s">
        <v>94</v>
      </c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43"/>
      <c r="BG4" s="20"/>
      <c r="BH4" s="107" t="s">
        <v>118</v>
      </c>
      <c r="BI4" s="88"/>
      <c r="BJ4" s="88"/>
      <c r="BK4" s="88"/>
      <c r="BL4" s="88"/>
      <c r="BM4" s="88"/>
      <c r="BN4" s="88"/>
      <c r="BO4" s="89"/>
      <c r="BP4" s="107" t="s">
        <v>119</v>
      </c>
      <c r="BQ4" s="88"/>
      <c r="BR4" s="88"/>
      <c r="BS4" s="88"/>
      <c r="BT4" s="88"/>
      <c r="BU4" s="88"/>
      <c r="BV4" s="88"/>
      <c r="BW4" s="89"/>
    </row>
    <row r="5" spans="1:75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0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111</v>
      </c>
      <c r="BP5" s="112" t="s">
        <v>112</v>
      </c>
      <c r="BQ5" s="112" t="s">
        <v>113</v>
      </c>
      <c r="BR5" s="114" t="s">
        <v>114</v>
      </c>
      <c r="BS5" s="88"/>
      <c r="BT5" s="89"/>
      <c r="BU5" s="112" t="s">
        <v>115</v>
      </c>
      <c r="BV5" s="112" t="s">
        <v>120</v>
      </c>
      <c r="BW5" s="112" t="s">
        <v>116</v>
      </c>
    </row>
    <row r="6" spans="1:75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24">
        <v>1</v>
      </c>
      <c r="BS6" s="24">
        <v>2</v>
      </c>
      <c r="BT6" s="24">
        <v>3</v>
      </c>
      <c r="BU6" s="92"/>
      <c r="BV6" s="92"/>
      <c r="BW6" s="92"/>
    </row>
    <row r="7" spans="1:75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v>19</v>
      </c>
      <c r="BC7" s="9"/>
      <c r="BD7" s="9">
        <f t="shared" ref="BD7:BD76" si="0">BB7+BC7</f>
        <v>19</v>
      </c>
      <c r="BE7" s="9">
        <v>45</v>
      </c>
      <c r="BF7" s="9">
        <f t="shared" ref="BF7:BF76" si="1">(BD7/BE7)*100</f>
        <v>42.222222222222221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9">
        <f t="shared" ref="BK7:BL7" si="2">BD7</f>
        <v>19</v>
      </c>
      <c r="BL7" s="9">
        <f t="shared" si="2"/>
        <v>45</v>
      </c>
      <c r="BM7" s="2">
        <f t="shared" ref="BM7:BM76" si="3">(BK7/BL7)*100</f>
        <v>42.222222222222221</v>
      </c>
      <c r="BN7" s="9" t="str">
        <f t="shared" ref="BN7:BN76" si="4">IF(BM7&gt;=95.5,"6",IF(BM7&gt;=90.5,"5", IF(BM7&gt;=85.5,"4",IF(BM7&gt;=80.5,"3",IF(BM7&gt;=75.5,"2","0")))))</f>
        <v>0</v>
      </c>
      <c r="BO7" s="9">
        <v>5</v>
      </c>
      <c r="BP7" s="9">
        <v>13</v>
      </c>
      <c r="BQ7" s="27">
        <f t="shared" ref="BQ7:BQ76" si="5">(BO7+BP7)/2</f>
        <v>9</v>
      </c>
      <c r="BR7" s="9">
        <v>8</v>
      </c>
      <c r="BS7" s="9">
        <v>0</v>
      </c>
      <c r="BT7" s="9">
        <v>0</v>
      </c>
      <c r="BU7" s="27">
        <f t="shared" ref="BU7:BU76" si="6">(BR7+BS7+BT7)/3</f>
        <v>2.6666666666666665</v>
      </c>
      <c r="BV7" s="9">
        <v>5</v>
      </c>
      <c r="BW7" s="2">
        <f t="shared" ref="BW7:BW76" si="7">BV7+BU7+BQ7+BN7</f>
        <v>16.666666666666664</v>
      </c>
    </row>
    <row r="8" spans="1:75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>
        <v>29</v>
      </c>
      <c r="BC8" s="9"/>
      <c r="BD8" s="9">
        <f t="shared" si="0"/>
        <v>29</v>
      </c>
      <c r="BE8" s="9">
        <v>45</v>
      </c>
      <c r="BF8" s="9">
        <f t="shared" si="1"/>
        <v>64.444444444444443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9">
        <f t="shared" ref="BK8:BL8" si="8">BD8</f>
        <v>29</v>
      </c>
      <c r="BL8" s="9">
        <f t="shared" si="8"/>
        <v>45</v>
      </c>
      <c r="BM8" s="2">
        <f t="shared" si="3"/>
        <v>64.444444444444443</v>
      </c>
      <c r="BN8" s="9" t="str">
        <f t="shared" si="4"/>
        <v>0</v>
      </c>
      <c r="BO8" s="9">
        <v>12</v>
      </c>
      <c r="BP8" s="9">
        <v>10</v>
      </c>
      <c r="BQ8" s="27">
        <f t="shared" si="5"/>
        <v>11</v>
      </c>
      <c r="BR8" s="9">
        <v>0</v>
      </c>
      <c r="BS8" s="9">
        <v>7</v>
      </c>
      <c r="BT8" s="9">
        <v>8</v>
      </c>
      <c r="BU8" s="27">
        <f t="shared" si="6"/>
        <v>5</v>
      </c>
      <c r="BV8" s="9"/>
      <c r="BW8" s="2">
        <f t="shared" si="7"/>
        <v>16</v>
      </c>
    </row>
    <row r="9" spans="1:75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>
        <v>34</v>
      </c>
      <c r="BC9" s="9"/>
      <c r="BD9" s="9">
        <f t="shared" si="0"/>
        <v>34</v>
      </c>
      <c r="BE9" s="9">
        <v>45</v>
      </c>
      <c r="BF9" s="9">
        <f t="shared" si="1"/>
        <v>75.555555555555557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9">
        <f t="shared" ref="BK9:BL9" si="9">BD9</f>
        <v>34</v>
      </c>
      <c r="BL9" s="9">
        <f t="shared" si="9"/>
        <v>45</v>
      </c>
      <c r="BM9" s="2">
        <f t="shared" si="3"/>
        <v>75.555555555555557</v>
      </c>
      <c r="BN9" s="9" t="str">
        <f t="shared" si="4"/>
        <v>2</v>
      </c>
      <c r="BO9" s="9">
        <v>14</v>
      </c>
      <c r="BP9" s="9">
        <v>12</v>
      </c>
      <c r="BQ9" s="27">
        <f t="shared" si="5"/>
        <v>13</v>
      </c>
      <c r="BR9" s="9">
        <v>8</v>
      </c>
      <c r="BS9" s="9">
        <v>6</v>
      </c>
      <c r="BT9" s="9">
        <v>8</v>
      </c>
      <c r="BU9" s="27">
        <f t="shared" si="6"/>
        <v>7.333333333333333</v>
      </c>
      <c r="BV9" s="9"/>
      <c r="BW9" s="2">
        <f t="shared" si="7"/>
        <v>22.333333333333332</v>
      </c>
    </row>
    <row r="10" spans="1:75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>
        <v>30</v>
      </c>
      <c r="BC10" s="9"/>
      <c r="BD10" s="9">
        <f t="shared" si="0"/>
        <v>30</v>
      </c>
      <c r="BE10" s="9">
        <v>45</v>
      </c>
      <c r="BF10" s="9">
        <f t="shared" si="1"/>
        <v>66.666666666666657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9">
        <f t="shared" ref="BK10:BL10" si="10">BD10</f>
        <v>30</v>
      </c>
      <c r="BL10" s="9">
        <f t="shared" si="10"/>
        <v>45</v>
      </c>
      <c r="BM10" s="2">
        <f t="shared" si="3"/>
        <v>66.666666666666657</v>
      </c>
      <c r="BN10" s="9" t="str">
        <f t="shared" si="4"/>
        <v>0</v>
      </c>
      <c r="BO10" s="9">
        <v>22</v>
      </c>
      <c r="BP10" s="9">
        <v>15</v>
      </c>
      <c r="BQ10" s="27">
        <f t="shared" si="5"/>
        <v>18.5</v>
      </c>
      <c r="BR10" s="9">
        <v>8</v>
      </c>
      <c r="BS10" s="9">
        <v>9</v>
      </c>
      <c r="BT10" s="9">
        <v>9</v>
      </c>
      <c r="BU10" s="27">
        <f t="shared" si="6"/>
        <v>8.6666666666666661</v>
      </c>
      <c r="BV10" s="9"/>
      <c r="BW10" s="2">
        <f t="shared" si="7"/>
        <v>27.166666666666664</v>
      </c>
    </row>
    <row r="11" spans="1:75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v>36</v>
      </c>
      <c r="BC11" s="9"/>
      <c r="BD11" s="9">
        <f t="shared" si="0"/>
        <v>36</v>
      </c>
      <c r="BE11" s="9">
        <v>45</v>
      </c>
      <c r="BF11" s="9">
        <f t="shared" si="1"/>
        <v>80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9">
        <f t="shared" ref="BK11:BL11" si="11">BD11</f>
        <v>36</v>
      </c>
      <c r="BL11" s="9">
        <f t="shared" si="11"/>
        <v>45</v>
      </c>
      <c r="BM11" s="2">
        <f t="shared" si="3"/>
        <v>80</v>
      </c>
      <c r="BN11" s="9" t="str">
        <f t="shared" si="4"/>
        <v>2</v>
      </c>
      <c r="BO11" s="9">
        <v>12</v>
      </c>
      <c r="BP11" s="9">
        <v>18</v>
      </c>
      <c r="BQ11" s="27">
        <f t="shared" si="5"/>
        <v>15</v>
      </c>
      <c r="BR11" s="9">
        <v>8</v>
      </c>
      <c r="BS11" s="9">
        <v>8</v>
      </c>
      <c r="BT11" s="9">
        <v>8</v>
      </c>
      <c r="BU11" s="27">
        <f t="shared" si="6"/>
        <v>8</v>
      </c>
      <c r="BV11" s="9">
        <v>5</v>
      </c>
      <c r="BW11" s="2">
        <f t="shared" si="7"/>
        <v>30</v>
      </c>
    </row>
    <row r="12" spans="1:75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>
        <v>37</v>
      </c>
      <c r="BC12" s="9"/>
      <c r="BD12" s="9">
        <f t="shared" si="0"/>
        <v>37</v>
      </c>
      <c r="BE12" s="9">
        <v>45</v>
      </c>
      <c r="BF12" s="9">
        <f t="shared" si="1"/>
        <v>82.222222222222214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9">
        <f t="shared" ref="BK12:BL12" si="12">BD12</f>
        <v>37</v>
      </c>
      <c r="BL12" s="9">
        <f t="shared" si="12"/>
        <v>45</v>
      </c>
      <c r="BM12" s="2">
        <f t="shared" si="3"/>
        <v>82.222222222222214</v>
      </c>
      <c r="BN12" s="9" t="str">
        <f t="shared" si="4"/>
        <v>3</v>
      </c>
      <c r="BO12" s="9">
        <v>13</v>
      </c>
      <c r="BP12" s="9">
        <v>19</v>
      </c>
      <c r="BQ12" s="27">
        <f t="shared" si="5"/>
        <v>16</v>
      </c>
      <c r="BR12" s="9">
        <v>8</v>
      </c>
      <c r="BS12" s="9">
        <v>8</v>
      </c>
      <c r="BT12" s="9">
        <v>7</v>
      </c>
      <c r="BU12" s="27">
        <f t="shared" si="6"/>
        <v>7.666666666666667</v>
      </c>
      <c r="BV12" s="9"/>
      <c r="BW12" s="2">
        <f t="shared" si="7"/>
        <v>26.666666666666668</v>
      </c>
    </row>
    <row r="13" spans="1:75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v>29</v>
      </c>
      <c r="BC13" s="9">
        <v>1</v>
      </c>
      <c r="BD13" s="9">
        <f t="shared" si="0"/>
        <v>30</v>
      </c>
      <c r="BE13" s="9">
        <v>45</v>
      </c>
      <c r="BF13" s="9">
        <f t="shared" si="1"/>
        <v>66.666666666666657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9">
        <f t="shared" ref="BK13:BL13" si="13">BD13</f>
        <v>30</v>
      </c>
      <c r="BL13" s="9">
        <f t="shared" si="13"/>
        <v>45</v>
      </c>
      <c r="BM13" s="2">
        <f t="shared" si="3"/>
        <v>66.666666666666657</v>
      </c>
      <c r="BN13" s="9" t="str">
        <f t="shared" si="4"/>
        <v>0</v>
      </c>
      <c r="BO13" s="9">
        <v>17</v>
      </c>
      <c r="BP13" s="9">
        <v>19</v>
      </c>
      <c r="BQ13" s="27">
        <f t="shared" si="5"/>
        <v>18</v>
      </c>
      <c r="BR13" s="9">
        <v>0</v>
      </c>
      <c r="BS13" s="9">
        <v>0</v>
      </c>
      <c r="BT13" s="9">
        <v>0</v>
      </c>
      <c r="BU13" s="27">
        <f t="shared" si="6"/>
        <v>0</v>
      </c>
      <c r="BV13" s="9">
        <v>5</v>
      </c>
      <c r="BW13" s="2">
        <f t="shared" si="7"/>
        <v>23</v>
      </c>
    </row>
    <row r="14" spans="1:75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v>3</v>
      </c>
      <c r="BC14" s="9">
        <v>5</v>
      </c>
      <c r="BD14" s="9">
        <f t="shared" si="0"/>
        <v>8</v>
      </c>
      <c r="BE14" s="9">
        <v>45</v>
      </c>
      <c r="BF14" s="9">
        <f t="shared" si="1"/>
        <v>17.777777777777779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9">
        <f t="shared" ref="BK14:BL14" si="14">BD14</f>
        <v>8</v>
      </c>
      <c r="BL14" s="9">
        <f t="shared" si="14"/>
        <v>45</v>
      </c>
      <c r="BM14" s="2">
        <f t="shared" si="3"/>
        <v>17.777777777777779</v>
      </c>
      <c r="BN14" s="9" t="str">
        <f t="shared" si="4"/>
        <v>0</v>
      </c>
      <c r="BO14" s="9">
        <v>0</v>
      </c>
      <c r="BP14" s="9">
        <v>17</v>
      </c>
      <c r="BQ14" s="27">
        <f t="shared" si="5"/>
        <v>8.5</v>
      </c>
      <c r="BR14" s="9">
        <v>9</v>
      </c>
      <c r="BS14" s="9">
        <v>0</v>
      </c>
      <c r="BT14" s="9">
        <v>0</v>
      </c>
      <c r="BU14" s="27">
        <f t="shared" si="6"/>
        <v>3</v>
      </c>
      <c r="BV14" s="9"/>
      <c r="BW14" s="2">
        <f t="shared" si="7"/>
        <v>11.5</v>
      </c>
    </row>
    <row r="15" spans="1:75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v>29</v>
      </c>
      <c r="BC15" s="9"/>
      <c r="BD15" s="9">
        <f t="shared" si="0"/>
        <v>29</v>
      </c>
      <c r="BE15" s="9">
        <v>45</v>
      </c>
      <c r="BF15" s="9">
        <f t="shared" si="1"/>
        <v>64.444444444444443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9">
        <f t="shared" ref="BK15:BL15" si="15">BD15</f>
        <v>29</v>
      </c>
      <c r="BL15" s="9">
        <f t="shared" si="15"/>
        <v>45</v>
      </c>
      <c r="BM15" s="2">
        <f t="shared" si="3"/>
        <v>64.444444444444443</v>
      </c>
      <c r="BN15" s="9" t="str">
        <f t="shared" si="4"/>
        <v>0</v>
      </c>
      <c r="BO15" s="9">
        <v>10</v>
      </c>
      <c r="BP15" s="9">
        <v>23</v>
      </c>
      <c r="BQ15" s="27">
        <f t="shared" si="5"/>
        <v>16.5</v>
      </c>
      <c r="BR15" s="9">
        <v>8</v>
      </c>
      <c r="BS15" s="9">
        <v>8</v>
      </c>
      <c r="BT15" s="9">
        <v>8</v>
      </c>
      <c r="BU15" s="27">
        <f t="shared" si="6"/>
        <v>8</v>
      </c>
      <c r="BV15" s="9"/>
      <c r="BW15" s="2">
        <f t="shared" si="7"/>
        <v>24.5</v>
      </c>
    </row>
    <row r="16" spans="1:75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v>34</v>
      </c>
      <c r="BC16" s="9"/>
      <c r="BD16" s="9">
        <f t="shared" si="0"/>
        <v>34</v>
      </c>
      <c r="BE16" s="9">
        <v>45</v>
      </c>
      <c r="BF16" s="9">
        <f t="shared" si="1"/>
        <v>75.555555555555557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9">
        <f t="shared" ref="BK16:BL16" si="16">BD16</f>
        <v>34</v>
      </c>
      <c r="BL16" s="9">
        <f t="shared" si="16"/>
        <v>45</v>
      </c>
      <c r="BM16" s="2">
        <f t="shared" si="3"/>
        <v>75.555555555555557</v>
      </c>
      <c r="BN16" s="9" t="str">
        <f t="shared" si="4"/>
        <v>2</v>
      </c>
      <c r="BO16" s="9">
        <v>15</v>
      </c>
      <c r="BP16" s="9">
        <v>18</v>
      </c>
      <c r="BQ16" s="27">
        <f t="shared" si="5"/>
        <v>16.5</v>
      </c>
      <c r="BR16" s="9">
        <v>7</v>
      </c>
      <c r="BS16" s="9">
        <v>7</v>
      </c>
      <c r="BT16" s="9">
        <v>0</v>
      </c>
      <c r="BU16" s="27">
        <f t="shared" si="6"/>
        <v>4.666666666666667</v>
      </c>
      <c r="BV16" s="9">
        <v>5</v>
      </c>
      <c r="BW16" s="2">
        <f t="shared" si="7"/>
        <v>28.166666666666668</v>
      </c>
    </row>
    <row r="17" spans="1:75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v>15</v>
      </c>
      <c r="BC17" s="9"/>
      <c r="BD17" s="9">
        <f t="shared" si="0"/>
        <v>15</v>
      </c>
      <c r="BE17" s="9">
        <v>45</v>
      </c>
      <c r="BF17" s="9">
        <f t="shared" si="1"/>
        <v>33.333333333333329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9">
        <f t="shared" ref="BK17:BL17" si="17">BD17</f>
        <v>15</v>
      </c>
      <c r="BL17" s="9">
        <f t="shared" si="17"/>
        <v>45</v>
      </c>
      <c r="BM17" s="2">
        <f t="shared" si="3"/>
        <v>33.333333333333329</v>
      </c>
      <c r="BN17" s="9" t="str">
        <f t="shared" si="4"/>
        <v>0</v>
      </c>
      <c r="BO17" s="9">
        <v>0</v>
      </c>
      <c r="BP17" s="9">
        <v>9</v>
      </c>
      <c r="BQ17" s="27">
        <f t="shared" si="5"/>
        <v>4.5</v>
      </c>
      <c r="BR17" s="9">
        <v>0</v>
      </c>
      <c r="BS17" s="9">
        <v>8</v>
      </c>
      <c r="BT17" s="9">
        <v>0</v>
      </c>
      <c r="BU17" s="27">
        <f t="shared" si="6"/>
        <v>2.6666666666666665</v>
      </c>
      <c r="BV17" s="9"/>
      <c r="BW17" s="2">
        <f t="shared" si="7"/>
        <v>7.1666666666666661</v>
      </c>
    </row>
    <row r="18" spans="1:75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v>33</v>
      </c>
      <c r="BC18" s="9"/>
      <c r="BD18" s="9">
        <f t="shared" si="0"/>
        <v>33</v>
      </c>
      <c r="BE18" s="9">
        <v>45</v>
      </c>
      <c r="BF18" s="9">
        <f t="shared" si="1"/>
        <v>73.333333333333329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9">
        <f t="shared" ref="BK18:BL18" si="18">BD18</f>
        <v>33</v>
      </c>
      <c r="BL18" s="9">
        <f t="shared" si="18"/>
        <v>45</v>
      </c>
      <c r="BM18" s="2">
        <f t="shared" si="3"/>
        <v>73.333333333333329</v>
      </c>
      <c r="BN18" s="9" t="str">
        <f t="shared" si="4"/>
        <v>0</v>
      </c>
      <c r="BO18" s="9">
        <v>5</v>
      </c>
      <c r="BP18" s="9">
        <v>10</v>
      </c>
      <c r="BQ18" s="27">
        <f t="shared" si="5"/>
        <v>7.5</v>
      </c>
      <c r="BR18" s="9">
        <v>7</v>
      </c>
      <c r="BS18" s="9">
        <v>6</v>
      </c>
      <c r="BT18" s="9">
        <v>7</v>
      </c>
      <c r="BU18" s="27">
        <f t="shared" si="6"/>
        <v>6.666666666666667</v>
      </c>
      <c r="BV18" s="9"/>
      <c r="BW18" s="2">
        <f t="shared" si="7"/>
        <v>14.166666666666668</v>
      </c>
    </row>
    <row r="19" spans="1:75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v>42</v>
      </c>
      <c r="BC19" s="9"/>
      <c r="BD19" s="9">
        <f t="shared" si="0"/>
        <v>42</v>
      </c>
      <c r="BE19" s="9">
        <v>45</v>
      </c>
      <c r="BF19" s="9">
        <f t="shared" si="1"/>
        <v>93.333333333333329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9">
        <f t="shared" ref="BK19:BL19" si="19">BD19</f>
        <v>42</v>
      </c>
      <c r="BL19" s="9">
        <f t="shared" si="19"/>
        <v>45</v>
      </c>
      <c r="BM19" s="2">
        <f t="shared" si="3"/>
        <v>93.333333333333329</v>
      </c>
      <c r="BN19" s="9" t="str">
        <f t="shared" si="4"/>
        <v>5</v>
      </c>
      <c r="BO19" s="9">
        <v>16</v>
      </c>
      <c r="BP19" s="9">
        <v>23</v>
      </c>
      <c r="BQ19" s="27">
        <f t="shared" si="5"/>
        <v>19.5</v>
      </c>
      <c r="BR19" s="9">
        <v>8</v>
      </c>
      <c r="BS19" s="9">
        <v>8</v>
      </c>
      <c r="BT19" s="9">
        <v>9</v>
      </c>
      <c r="BU19" s="27">
        <f t="shared" si="6"/>
        <v>8.3333333333333339</v>
      </c>
      <c r="BV19" s="9">
        <v>3</v>
      </c>
      <c r="BW19" s="2">
        <f t="shared" si="7"/>
        <v>35.833333333333336</v>
      </c>
    </row>
    <row r="20" spans="1:75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21</v>
      </c>
      <c r="BC20" s="9"/>
      <c r="BD20" s="9">
        <f t="shared" si="0"/>
        <v>21</v>
      </c>
      <c r="BE20" s="9">
        <v>45</v>
      </c>
      <c r="BF20" s="9">
        <f t="shared" si="1"/>
        <v>46.666666666666664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9">
        <f t="shared" ref="BK20:BL20" si="20">BD20</f>
        <v>21</v>
      </c>
      <c r="BL20" s="9">
        <f t="shared" si="20"/>
        <v>45</v>
      </c>
      <c r="BM20" s="2">
        <f t="shared" si="3"/>
        <v>46.666666666666664</v>
      </c>
      <c r="BN20" s="9" t="str">
        <f t="shared" si="4"/>
        <v>0</v>
      </c>
      <c r="BO20" s="9">
        <v>0</v>
      </c>
      <c r="BP20" s="9">
        <v>0</v>
      </c>
      <c r="BQ20" s="27">
        <f t="shared" si="5"/>
        <v>0</v>
      </c>
      <c r="BR20" s="9">
        <v>0</v>
      </c>
      <c r="BS20" s="9">
        <v>6</v>
      </c>
      <c r="BT20" s="9">
        <v>7</v>
      </c>
      <c r="BU20" s="27">
        <f t="shared" si="6"/>
        <v>4.333333333333333</v>
      </c>
      <c r="BV20" s="9">
        <v>5</v>
      </c>
      <c r="BW20" s="2">
        <f t="shared" si="7"/>
        <v>9.3333333333333321</v>
      </c>
    </row>
    <row r="21" spans="1:75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v>34</v>
      </c>
      <c r="BC21" s="9">
        <v>1</v>
      </c>
      <c r="BD21" s="9">
        <f t="shared" si="0"/>
        <v>35</v>
      </c>
      <c r="BE21" s="9">
        <v>45</v>
      </c>
      <c r="BF21" s="9">
        <f t="shared" si="1"/>
        <v>77.777777777777786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9">
        <f t="shared" ref="BK21:BL21" si="21">BD21</f>
        <v>35</v>
      </c>
      <c r="BL21" s="9">
        <f t="shared" si="21"/>
        <v>45</v>
      </c>
      <c r="BM21" s="2">
        <f t="shared" si="3"/>
        <v>77.777777777777786</v>
      </c>
      <c r="BN21" s="9" t="str">
        <f t="shared" si="4"/>
        <v>2</v>
      </c>
      <c r="BO21" s="9">
        <v>17</v>
      </c>
      <c r="BP21" s="9">
        <v>20</v>
      </c>
      <c r="BQ21" s="27">
        <f t="shared" si="5"/>
        <v>18.5</v>
      </c>
      <c r="BR21" s="9">
        <v>8</v>
      </c>
      <c r="BS21" s="9">
        <v>8</v>
      </c>
      <c r="BT21" s="9">
        <v>7</v>
      </c>
      <c r="BU21" s="27">
        <f t="shared" si="6"/>
        <v>7.666666666666667</v>
      </c>
      <c r="BV21" s="9"/>
      <c r="BW21" s="2">
        <f t="shared" si="7"/>
        <v>28.166666666666668</v>
      </c>
    </row>
    <row r="22" spans="1:75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v>29</v>
      </c>
      <c r="BC22" s="9"/>
      <c r="BD22" s="9">
        <f t="shared" si="0"/>
        <v>29</v>
      </c>
      <c r="BE22" s="9">
        <v>45</v>
      </c>
      <c r="BF22" s="9">
        <f t="shared" si="1"/>
        <v>64.444444444444443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9">
        <f t="shared" ref="BK22:BL22" si="22">BD22</f>
        <v>29</v>
      </c>
      <c r="BL22" s="9">
        <f t="shared" si="22"/>
        <v>45</v>
      </c>
      <c r="BM22" s="2">
        <f t="shared" si="3"/>
        <v>64.444444444444443</v>
      </c>
      <c r="BN22" s="9" t="str">
        <f t="shared" si="4"/>
        <v>0</v>
      </c>
      <c r="BO22" s="9">
        <v>11</v>
      </c>
      <c r="BP22" s="9">
        <v>10</v>
      </c>
      <c r="BQ22" s="27">
        <f t="shared" si="5"/>
        <v>10.5</v>
      </c>
      <c r="BR22" s="9">
        <v>9</v>
      </c>
      <c r="BS22" s="9">
        <v>9</v>
      </c>
      <c r="BT22" s="9">
        <v>8</v>
      </c>
      <c r="BU22" s="27">
        <f t="shared" si="6"/>
        <v>8.6666666666666661</v>
      </c>
      <c r="BV22" s="9">
        <v>5</v>
      </c>
      <c r="BW22" s="2">
        <f t="shared" si="7"/>
        <v>24.166666666666664</v>
      </c>
    </row>
    <row r="23" spans="1:75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v>30</v>
      </c>
      <c r="BC23" s="9">
        <v>1</v>
      </c>
      <c r="BD23" s="9">
        <f t="shared" si="0"/>
        <v>31</v>
      </c>
      <c r="BE23" s="9">
        <v>45</v>
      </c>
      <c r="BF23" s="9">
        <f t="shared" si="1"/>
        <v>68.888888888888886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9">
        <f t="shared" ref="BK23:BL23" si="23">BD23</f>
        <v>31</v>
      </c>
      <c r="BL23" s="9">
        <f t="shared" si="23"/>
        <v>45</v>
      </c>
      <c r="BM23" s="2">
        <f t="shared" si="3"/>
        <v>68.888888888888886</v>
      </c>
      <c r="BN23" s="9" t="str">
        <f t="shared" si="4"/>
        <v>0</v>
      </c>
      <c r="BO23" s="9">
        <v>0</v>
      </c>
      <c r="BP23" s="9">
        <v>10</v>
      </c>
      <c r="BQ23" s="27">
        <f t="shared" si="5"/>
        <v>5</v>
      </c>
      <c r="BR23" s="9">
        <v>8</v>
      </c>
      <c r="BS23" s="9">
        <v>8</v>
      </c>
      <c r="BT23" s="9">
        <v>8</v>
      </c>
      <c r="BU23" s="27">
        <f t="shared" si="6"/>
        <v>8</v>
      </c>
      <c r="BV23" s="9">
        <v>5</v>
      </c>
      <c r="BW23" s="2">
        <f t="shared" si="7"/>
        <v>18</v>
      </c>
    </row>
    <row r="24" spans="1:75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>
        <v>39</v>
      </c>
      <c r="BC24" s="9"/>
      <c r="BD24" s="9">
        <f t="shared" si="0"/>
        <v>39</v>
      </c>
      <c r="BE24" s="9">
        <v>45</v>
      </c>
      <c r="BF24" s="9">
        <f t="shared" si="1"/>
        <v>86.666666666666671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9">
        <f t="shared" ref="BK24:BL24" si="24">BD24</f>
        <v>39</v>
      </c>
      <c r="BL24" s="9">
        <f t="shared" si="24"/>
        <v>45</v>
      </c>
      <c r="BM24" s="2">
        <f t="shared" si="3"/>
        <v>86.666666666666671</v>
      </c>
      <c r="BN24" s="9" t="str">
        <f t="shared" si="4"/>
        <v>4</v>
      </c>
      <c r="BO24" s="9">
        <v>6</v>
      </c>
      <c r="BP24" s="9">
        <v>16</v>
      </c>
      <c r="BQ24" s="27">
        <f t="shared" si="5"/>
        <v>11</v>
      </c>
      <c r="BR24" s="9">
        <v>9</v>
      </c>
      <c r="BS24" s="9">
        <v>8</v>
      </c>
      <c r="BT24" s="9">
        <v>8</v>
      </c>
      <c r="BU24" s="27">
        <f t="shared" si="6"/>
        <v>8.3333333333333339</v>
      </c>
      <c r="BV24" s="9"/>
      <c r="BW24" s="2">
        <f t="shared" si="7"/>
        <v>23.333333333333336</v>
      </c>
    </row>
    <row r="25" spans="1:75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23</v>
      </c>
      <c r="BC25" s="9"/>
      <c r="BD25" s="9">
        <f t="shared" si="0"/>
        <v>23</v>
      </c>
      <c r="BE25" s="9">
        <v>45</v>
      </c>
      <c r="BF25" s="9">
        <f t="shared" si="1"/>
        <v>51.111111111111107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9">
        <f t="shared" ref="BK25:BL25" si="25">BD25</f>
        <v>23</v>
      </c>
      <c r="BL25" s="9">
        <f t="shared" si="25"/>
        <v>45</v>
      </c>
      <c r="BM25" s="2">
        <f t="shared" si="3"/>
        <v>51.111111111111107</v>
      </c>
      <c r="BN25" s="9" t="str">
        <f t="shared" si="4"/>
        <v>0</v>
      </c>
      <c r="BO25" s="9">
        <v>0</v>
      </c>
      <c r="BP25" s="9">
        <v>15</v>
      </c>
      <c r="BQ25" s="27">
        <f t="shared" si="5"/>
        <v>7.5</v>
      </c>
      <c r="BR25" s="9">
        <v>5</v>
      </c>
      <c r="BS25" s="9">
        <v>6</v>
      </c>
      <c r="BT25" s="9">
        <v>7</v>
      </c>
      <c r="BU25" s="27">
        <f t="shared" si="6"/>
        <v>6</v>
      </c>
      <c r="BV25" s="9">
        <v>5</v>
      </c>
      <c r="BW25" s="2">
        <f t="shared" si="7"/>
        <v>18.5</v>
      </c>
    </row>
    <row r="26" spans="1:75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>
        <v>32</v>
      </c>
      <c r="BC26" s="9">
        <v>1</v>
      </c>
      <c r="BD26" s="9">
        <f t="shared" si="0"/>
        <v>33</v>
      </c>
      <c r="BE26" s="9">
        <v>45</v>
      </c>
      <c r="BF26" s="9">
        <f t="shared" si="1"/>
        <v>73.333333333333329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9">
        <f t="shared" ref="BK26:BL26" si="26">BD26</f>
        <v>33</v>
      </c>
      <c r="BL26" s="9">
        <f t="shared" si="26"/>
        <v>45</v>
      </c>
      <c r="BM26" s="2">
        <f t="shared" si="3"/>
        <v>73.333333333333329</v>
      </c>
      <c r="BN26" s="9" t="str">
        <f t="shared" si="4"/>
        <v>0</v>
      </c>
      <c r="BO26" s="9">
        <v>13</v>
      </c>
      <c r="BP26" s="9">
        <v>16</v>
      </c>
      <c r="BQ26" s="27">
        <f t="shared" si="5"/>
        <v>14.5</v>
      </c>
      <c r="BR26" s="9">
        <v>7</v>
      </c>
      <c r="BS26" s="9">
        <v>7</v>
      </c>
      <c r="BT26" s="9">
        <v>8</v>
      </c>
      <c r="BU26" s="27">
        <f t="shared" si="6"/>
        <v>7.333333333333333</v>
      </c>
      <c r="BV26" s="9"/>
      <c r="BW26" s="2">
        <f t="shared" si="7"/>
        <v>21.833333333333332</v>
      </c>
    </row>
    <row r="27" spans="1:75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v>2</v>
      </c>
      <c r="BC27" s="9"/>
      <c r="BD27" s="9">
        <f t="shared" si="0"/>
        <v>2</v>
      </c>
      <c r="BE27" s="9">
        <v>45</v>
      </c>
      <c r="BF27" s="9">
        <f t="shared" si="1"/>
        <v>4.4444444444444446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9">
        <f t="shared" ref="BK27:BL27" si="27">BD27</f>
        <v>2</v>
      </c>
      <c r="BL27" s="9">
        <f t="shared" si="27"/>
        <v>45</v>
      </c>
      <c r="BM27" s="2">
        <f t="shared" si="3"/>
        <v>4.4444444444444446</v>
      </c>
      <c r="BN27" s="9" t="str">
        <f t="shared" si="4"/>
        <v>0</v>
      </c>
      <c r="BO27" s="9">
        <v>0</v>
      </c>
      <c r="BP27" s="9">
        <v>0</v>
      </c>
      <c r="BQ27" s="27">
        <f t="shared" si="5"/>
        <v>0</v>
      </c>
      <c r="BR27" s="9">
        <v>0</v>
      </c>
      <c r="BS27" s="9">
        <v>0</v>
      </c>
      <c r="BT27" s="9">
        <v>0</v>
      </c>
      <c r="BU27" s="27">
        <f t="shared" si="6"/>
        <v>0</v>
      </c>
      <c r="BV27" s="9"/>
      <c r="BW27" s="2">
        <f t="shared" si="7"/>
        <v>0</v>
      </c>
    </row>
    <row r="28" spans="1:75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20</v>
      </c>
      <c r="BC28" s="9">
        <v>5</v>
      </c>
      <c r="BD28" s="9">
        <f t="shared" si="0"/>
        <v>25</v>
      </c>
      <c r="BE28" s="9">
        <v>45</v>
      </c>
      <c r="BF28" s="9">
        <f t="shared" si="1"/>
        <v>55.555555555555557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9">
        <f t="shared" ref="BK28:BL28" si="28">BD28</f>
        <v>25</v>
      </c>
      <c r="BL28" s="9">
        <f t="shared" si="28"/>
        <v>45</v>
      </c>
      <c r="BM28" s="2">
        <f t="shared" si="3"/>
        <v>55.555555555555557</v>
      </c>
      <c r="BN28" s="9" t="str">
        <f t="shared" si="4"/>
        <v>0</v>
      </c>
      <c r="BO28" s="9">
        <v>5</v>
      </c>
      <c r="BP28" s="28">
        <v>5</v>
      </c>
      <c r="BQ28" s="27">
        <f t="shared" si="5"/>
        <v>5</v>
      </c>
      <c r="BR28" s="9">
        <v>0</v>
      </c>
      <c r="BS28" s="9">
        <v>0</v>
      </c>
      <c r="BT28" s="9">
        <v>8</v>
      </c>
      <c r="BU28" s="27">
        <f t="shared" si="6"/>
        <v>2.6666666666666665</v>
      </c>
      <c r="BV28" s="9">
        <v>5</v>
      </c>
      <c r="BW28" s="2">
        <f t="shared" si="7"/>
        <v>12.666666666666666</v>
      </c>
    </row>
    <row r="29" spans="1:75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>
        <v>31</v>
      </c>
      <c r="BC29" s="9"/>
      <c r="BD29" s="9">
        <f t="shared" si="0"/>
        <v>31</v>
      </c>
      <c r="BE29" s="9">
        <v>45</v>
      </c>
      <c r="BF29" s="9">
        <f t="shared" si="1"/>
        <v>68.888888888888886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9">
        <f t="shared" ref="BK29:BL29" si="29">BD29</f>
        <v>31</v>
      </c>
      <c r="BL29" s="9">
        <f t="shared" si="29"/>
        <v>45</v>
      </c>
      <c r="BM29" s="2">
        <f t="shared" si="3"/>
        <v>68.888888888888886</v>
      </c>
      <c r="BN29" s="9" t="str">
        <f t="shared" si="4"/>
        <v>0</v>
      </c>
      <c r="BO29" s="9">
        <v>10</v>
      </c>
      <c r="BP29" s="9">
        <v>19</v>
      </c>
      <c r="BQ29" s="27">
        <f t="shared" si="5"/>
        <v>14.5</v>
      </c>
      <c r="BR29" s="9">
        <v>7</v>
      </c>
      <c r="BS29" s="9">
        <v>8</v>
      </c>
      <c r="BT29" s="9">
        <v>9</v>
      </c>
      <c r="BU29" s="27">
        <f t="shared" si="6"/>
        <v>8</v>
      </c>
      <c r="BV29" s="9"/>
      <c r="BW29" s="2">
        <f t="shared" si="7"/>
        <v>22.5</v>
      </c>
    </row>
    <row r="30" spans="1:75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>
        <v>28</v>
      </c>
      <c r="BC30" s="9"/>
      <c r="BD30" s="9">
        <f t="shared" si="0"/>
        <v>28</v>
      </c>
      <c r="BE30" s="9">
        <v>45</v>
      </c>
      <c r="BF30" s="9">
        <f t="shared" si="1"/>
        <v>62.222222222222221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9">
        <f t="shared" ref="BK30:BL30" si="30">BD30</f>
        <v>28</v>
      </c>
      <c r="BL30" s="9">
        <f t="shared" si="30"/>
        <v>45</v>
      </c>
      <c r="BM30" s="2">
        <f t="shared" si="3"/>
        <v>62.222222222222221</v>
      </c>
      <c r="BN30" s="9" t="str">
        <f t="shared" si="4"/>
        <v>0</v>
      </c>
      <c r="BO30" s="9">
        <v>10</v>
      </c>
      <c r="BP30" s="9">
        <v>20</v>
      </c>
      <c r="BQ30" s="27">
        <f t="shared" si="5"/>
        <v>15</v>
      </c>
      <c r="BR30" s="9">
        <v>9</v>
      </c>
      <c r="BS30" s="9">
        <v>9</v>
      </c>
      <c r="BT30" s="9">
        <v>8</v>
      </c>
      <c r="BU30" s="27">
        <f t="shared" si="6"/>
        <v>8.6666666666666661</v>
      </c>
      <c r="BV30" s="9">
        <v>5</v>
      </c>
      <c r="BW30" s="2">
        <f t="shared" si="7"/>
        <v>28.666666666666664</v>
      </c>
    </row>
    <row r="31" spans="1:75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>
        <v>24</v>
      </c>
      <c r="BC31" s="9"/>
      <c r="BD31" s="9">
        <f t="shared" si="0"/>
        <v>24</v>
      </c>
      <c r="BE31" s="9">
        <v>45</v>
      </c>
      <c r="BF31" s="9">
        <f t="shared" si="1"/>
        <v>53.333333333333336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9">
        <f t="shared" ref="BK31:BL31" si="31">BD31</f>
        <v>24</v>
      </c>
      <c r="BL31" s="9">
        <f t="shared" si="31"/>
        <v>45</v>
      </c>
      <c r="BM31" s="2">
        <f t="shared" si="3"/>
        <v>53.333333333333336</v>
      </c>
      <c r="BN31" s="9" t="str">
        <f t="shared" si="4"/>
        <v>0</v>
      </c>
      <c r="BO31" s="9">
        <v>12</v>
      </c>
      <c r="BP31" s="9">
        <v>22</v>
      </c>
      <c r="BQ31" s="27">
        <f t="shared" si="5"/>
        <v>17</v>
      </c>
      <c r="BR31" s="9">
        <v>9</v>
      </c>
      <c r="BS31" s="9">
        <v>8</v>
      </c>
      <c r="BT31" s="9">
        <v>0</v>
      </c>
      <c r="BU31" s="27">
        <f t="shared" si="6"/>
        <v>5.666666666666667</v>
      </c>
      <c r="BV31" s="9">
        <v>5</v>
      </c>
      <c r="BW31" s="2">
        <f t="shared" si="7"/>
        <v>27.666666666666668</v>
      </c>
    </row>
    <row r="32" spans="1:75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>
        <v>11</v>
      </c>
      <c r="BC32" s="9"/>
      <c r="BD32" s="9">
        <f t="shared" si="0"/>
        <v>11</v>
      </c>
      <c r="BE32" s="9">
        <v>45</v>
      </c>
      <c r="BF32" s="9">
        <f t="shared" si="1"/>
        <v>24.444444444444443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9">
        <f t="shared" ref="BK32:BL32" si="32">BD32</f>
        <v>11</v>
      </c>
      <c r="BL32" s="9">
        <f t="shared" si="32"/>
        <v>45</v>
      </c>
      <c r="BM32" s="2">
        <f t="shared" si="3"/>
        <v>24.444444444444443</v>
      </c>
      <c r="BN32" s="9" t="str">
        <f t="shared" si="4"/>
        <v>0</v>
      </c>
      <c r="BO32" s="9">
        <v>0</v>
      </c>
      <c r="BP32" s="9">
        <v>19</v>
      </c>
      <c r="BQ32" s="27">
        <f t="shared" si="5"/>
        <v>9.5</v>
      </c>
      <c r="BR32" s="9">
        <v>6</v>
      </c>
      <c r="BS32" s="9">
        <v>7</v>
      </c>
      <c r="BT32" s="9">
        <v>6</v>
      </c>
      <c r="BU32" s="27">
        <f t="shared" si="6"/>
        <v>6.333333333333333</v>
      </c>
      <c r="BV32" s="9"/>
      <c r="BW32" s="2">
        <f t="shared" si="7"/>
        <v>15.833333333333332</v>
      </c>
    </row>
    <row r="33" spans="1:75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>
        <v>33</v>
      </c>
      <c r="BC33" s="9"/>
      <c r="BD33" s="9">
        <f t="shared" si="0"/>
        <v>33</v>
      </c>
      <c r="BE33" s="9">
        <v>45</v>
      </c>
      <c r="BF33" s="9">
        <f t="shared" si="1"/>
        <v>73.333333333333329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9">
        <f t="shared" ref="BK33:BL33" si="33">BD33</f>
        <v>33</v>
      </c>
      <c r="BL33" s="9">
        <f t="shared" si="33"/>
        <v>45</v>
      </c>
      <c r="BM33" s="2">
        <f t="shared" si="3"/>
        <v>73.333333333333329</v>
      </c>
      <c r="BN33" s="9" t="str">
        <f t="shared" si="4"/>
        <v>0</v>
      </c>
      <c r="BO33" s="9">
        <v>0</v>
      </c>
      <c r="BP33" s="9">
        <v>14</v>
      </c>
      <c r="BQ33" s="27">
        <f t="shared" si="5"/>
        <v>7</v>
      </c>
      <c r="BR33" s="9">
        <v>8</v>
      </c>
      <c r="BS33" s="9">
        <v>8</v>
      </c>
      <c r="BT33" s="9">
        <v>8</v>
      </c>
      <c r="BU33" s="27">
        <f t="shared" si="6"/>
        <v>8</v>
      </c>
      <c r="BV33" s="9"/>
      <c r="BW33" s="2">
        <f t="shared" si="7"/>
        <v>15</v>
      </c>
    </row>
    <row r="34" spans="1:75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v>21</v>
      </c>
      <c r="BC34" s="9"/>
      <c r="BD34" s="9">
        <f t="shared" si="0"/>
        <v>21</v>
      </c>
      <c r="BE34" s="9">
        <v>45</v>
      </c>
      <c r="BF34" s="9">
        <f t="shared" si="1"/>
        <v>46.666666666666664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9">
        <f t="shared" ref="BK34:BL34" si="34">BD34</f>
        <v>21</v>
      </c>
      <c r="BL34" s="9">
        <f t="shared" si="34"/>
        <v>45</v>
      </c>
      <c r="BM34" s="2">
        <f t="shared" si="3"/>
        <v>46.666666666666664</v>
      </c>
      <c r="BN34" s="9" t="str">
        <f t="shared" si="4"/>
        <v>0</v>
      </c>
      <c r="BO34" s="9">
        <v>0</v>
      </c>
      <c r="BP34" s="9">
        <v>14</v>
      </c>
      <c r="BQ34" s="27">
        <f t="shared" si="5"/>
        <v>7</v>
      </c>
      <c r="BR34" s="9">
        <v>7</v>
      </c>
      <c r="BS34" s="9">
        <v>7</v>
      </c>
      <c r="BT34" s="9">
        <v>7</v>
      </c>
      <c r="BU34" s="27">
        <f t="shared" si="6"/>
        <v>7</v>
      </c>
      <c r="BV34" s="9"/>
      <c r="BW34" s="2">
        <f t="shared" si="7"/>
        <v>14</v>
      </c>
    </row>
    <row r="35" spans="1:75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v>31</v>
      </c>
      <c r="BC35" s="9">
        <v>1</v>
      </c>
      <c r="BD35" s="9">
        <f t="shared" si="0"/>
        <v>32</v>
      </c>
      <c r="BE35" s="9">
        <v>45</v>
      </c>
      <c r="BF35" s="9">
        <f t="shared" si="1"/>
        <v>71.111111111111114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9">
        <f t="shared" ref="BK35:BL35" si="35">BD35</f>
        <v>32</v>
      </c>
      <c r="BL35" s="9">
        <f t="shared" si="35"/>
        <v>45</v>
      </c>
      <c r="BM35" s="2">
        <f t="shared" si="3"/>
        <v>71.111111111111114</v>
      </c>
      <c r="BN35" s="9" t="str">
        <f t="shared" si="4"/>
        <v>0</v>
      </c>
      <c r="BO35" s="9">
        <v>2</v>
      </c>
      <c r="BP35" s="9">
        <v>10</v>
      </c>
      <c r="BQ35" s="27">
        <f t="shared" si="5"/>
        <v>6</v>
      </c>
      <c r="BR35" s="9">
        <v>8</v>
      </c>
      <c r="BS35" s="9">
        <v>7</v>
      </c>
      <c r="BT35" s="9">
        <v>6</v>
      </c>
      <c r="BU35" s="27">
        <f t="shared" si="6"/>
        <v>7</v>
      </c>
      <c r="BV35" s="9"/>
      <c r="BW35" s="2">
        <f t="shared" si="7"/>
        <v>13</v>
      </c>
    </row>
    <row r="36" spans="1:75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v>24</v>
      </c>
      <c r="BC36" s="9"/>
      <c r="BD36" s="9">
        <f t="shared" si="0"/>
        <v>24</v>
      </c>
      <c r="BE36" s="9">
        <v>45</v>
      </c>
      <c r="BF36" s="9">
        <f t="shared" si="1"/>
        <v>53.333333333333336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9">
        <f t="shared" ref="BK36:BL36" si="36">BD36</f>
        <v>24</v>
      </c>
      <c r="BL36" s="9">
        <f t="shared" si="36"/>
        <v>45</v>
      </c>
      <c r="BM36" s="2">
        <f t="shared" si="3"/>
        <v>53.333333333333336</v>
      </c>
      <c r="BN36" s="9" t="str">
        <f t="shared" si="4"/>
        <v>0</v>
      </c>
      <c r="BO36" s="9">
        <v>1</v>
      </c>
      <c r="BP36" s="9">
        <v>8</v>
      </c>
      <c r="BQ36" s="27">
        <f t="shared" si="5"/>
        <v>4.5</v>
      </c>
      <c r="BR36" s="9">
        <v>7</v>
      </c>
      <c r="BS36" s="9">
        <v>0</v>
      </c>
      <c r="BT36" s="9">
        <v>8</v>
      </c>
      <c r="BU36" s="27">
        <f t="shared" si="6"/>
        <v>5</v>
      </c>
      <c r="BV36" s="9"/>
      <c r="BW36" s="2">
        <f t="shared" si="7"/>
        <v>9.5</v>
      </c>
    </row>
    <row r="37" spans="1:75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v>8</v>
      </c>
      <c r="BC37" s="9"/>
      <c r="BD37" s="9">
        <f t="shared" si="0"/>
        <v>8</v>
      </c>
      <c r="BE37" s="9">
        <v>45</v>
      </c>
      <c r="BF37" s="9">
        <f t="shared" si="1"/>
        <v>17.777777777777779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9">
        <f t="shared" ref="BK37:BL37" si="37">BD37</f>
        <v>8</v>
      </c>
      <c r="BL37" s="9">
        <f t="shared" si="37"/>
        <v>45</v>
      </c>
      <c r="BM37" s="2">
        <f t="shared" si="3"/>
        <v>17.777777777777779</v>
      </c>
      <c r="BN37" s="9" t="str">
        <f t="shared" si="4"/>
        <v>0</v>
      </c>
      <c r="BO37" s="9">
        <v>0</v>
      </c>
      <c r="BP37" s="9">
        <v>0</v>
      </c>
      <c r="BQ37" s="27">
        <f t="shared" si="5"/>
        <v>0</v>
      </c>
      <c r="BR37" s="9">
        <v>8</v>
      </c>
      <c r="BS37" s="9">
        <v>0</v>
      </c>
      <c r="BT37" s="9">
        <v>0</v>
      </c>
      <c r="BU37" s="27">
        <f t="shared" si="6"/>
        <v>2.6666666666666665</v>
      </c>
      <c r="BV37" s="9"/>
      <c r="BW37" s="2">
        <f t="shared" si="7"/>
        <v>2.6666666666666665</v>
      </c>
    </row>
    <row r="38" spans="1:75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v>2</v>
      </c>
      <c r="BC38" s="9">
        <v>5</v>
      </c>
      <c r="BD38" s="9">
        <f t="shared" si="0"/>
        <v>7</v>
      </c>
      <c r="BE38" s="9">
        <v>45</v>
      </c>
      <c r="BF38" s="9">
        <f t="shared" si="1"/>
        <v>15.555555555555555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9">
        <f t="shared" ref="BK38:BL38" si="38">BD38</f>
        <v>7</v>
      </c>
      <c r="BL38" s="9">
        <f t="shared" si="38"/>
        <v>45</v>
      </c>
      <c r="BM38" s="2">
        <f t="shared" si="3"/>
        <v>15.555555555555555</v>
      </c>
      <c r="BN38" s="9" t="str">
        <f t="shared" si="4"/>
        <v>0</v>
      </c>
      <c r="BO38" s="9">
        <v>0</v>
      </c>
      <c r="BP38" s="9">
        <v>0</v>
      </c>
      <c r="BQ38" s="27">
        <f t="shared" si="5"/>
        <v>0</v>
      </c>
      <c r="BR38" s="9">
        <v>0</v>
      </c>
      <c r="BS38" s="9">
        <v>0</v>
      </c>
      <c r="BT38" s="9">
        <v>0</v>
      </c>
      <c r="BU38" s="27">
        <f t="shared" si="6"/>
        <v>0</v>
      </c>
      <c r="BV38" s="9"/>
      <c r="BW38" s="2">
        <f t="shared" si="7"/>
        <v>0</v>
      </c>
    </row>
    <row r="39" spans="1:75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>
        <v>28</v>
      </c>
      <c r="BC39" s="9"/>
      <c r="BD39" s="9">
        <f t="shared" si="0"/>
        <v>28</v>
      </c>
      <c r="BE39" s="9">
        <v>45</v>
      </c>
      <c r="BF39" s="9">
        <f t="shared" si="1"/>
        <v>62.222222222222221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9">
        <f t="shared" ref="BK39:BL39" si="39">BD39</f>
        <v>28</v>
      </c>
      <c r="BL39" s="9">
        <f t="shared" si="39"/>
        <v>45</v>
      </c>
      <c r="BM39" s="2">
        <f t="shared" si="3"/>
        <v>62.222222222222221</v>
      </c>
      <c r="BN39" s="9" t="str">
        <f t="shared" si="4"/>
        <v>0</v>
      </c>
      <c r="BO39" s="9">
        <v>7</v>
      </c>
      <c r="BP39" s="9">
        <v>13</v>
      </c>
      <c r="BQ39" s="27">
        <f t="shared" si="5"/>
        <v>10</v>
      </c>
      <c r="BR39" s="9">
        <v>7</v>
      </c>
      <c r="BS39" s="9">
        <v>6</v>
      </c>
      <c r="BT39" s="9">
        <v>8</v>
      </c>
      <c r="BU39" s="27">
        <f t="shared" si="6"/>
        <v>7</v>
      </c>
      <c r="BV39" s="9">
        <v>5</v>
      </c>
      <c r="BW39" s="2">
        <f t="shared" si="7"/>
        <v>22</v>
      </c>
    </row>
    <row r="40" spans="1:75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v>5</v>
      </c>
      <c r="BC40" s="9"/>
      <c r="BD40" s="9">
        <f t="shared" si="0"/>
        <v>5</v>
      </c>
      <c r="BE40" s="9">
        <v>45</v>
      </c>
      <c r="BF40" s="9">
        <f t="shared" si="1"/>
        <v>11.111111111111111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9">
        <f t="shared" ref="BK40:BL40" si="40">BD40</f>
        <v>5</v>
      </c>
      <c r="BL40" s="9">
        <f t="shared" si="40"/>
        <v>45</v>
      </c>
      <c r="BM40" s="2">
        <f t="shared" si="3"/>
        <v>11.111111111111111</v>
      </c>
      <c r="BN40" s="9" t="str">
        <f t="shared" si="4"/>
        <v>0</v>
      </c>
      <c r="BO40" s="9">
        <v>0</v>
      </c>
      <c r="BP40" s="9">
        <v>0</v>
      </c>
      <c r="BQ40" s="27">
        <f t="shared" si="5"/>
        <v>0</v>
      </c>
      <c r="BR40" s="9">
        <v>0</v>
      </c>
      <c r="BS40" s="9">
        <v>0</v>
      </c>
      <c r="BT40" s="9">
        <v>0</v>
      </c>
      <c r="BU40" s="27">
        <f t="shared" si="6"/>
        <v>0</v>
      </c>
      <c r="BV40" s="9"/>
      <c r="BW40" s="2">
        <f t="shared" si="7"/>
        <v>0</v>
      </c>
    </row>
    <row r="41" spans="1:75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>
        <v>32</v>
      </c>
      <c r="BC41" s="9"/>
      <c r="BD41" s="9">
        <f t="shared" si="0"/>
        <v>32</v>
      </c>
      <c r="BE41" s="9">
        <v>45</v>
      </c>
      <c r="BF41" s="9">
        <f t="shared" si="1"/>
        <v>71.111111111111114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9">
        <f t="shared" ref="BK41:BL41" si="41">BD41</f>
        <v>32</v>
      </c>
      <c r="BL41" s="9">
        <f t="shared" si="41"/>
        <v>45</v>
      </c>
      <c r="BM41" s="2">
        <f t="shared" si="3"/>
        <v>71.111111111111114</v>
      </c>
      <c r="BN41" s="9" t="str">
        <f t="shared" si="4"/>
        <v>0</v>
      </c>
      <c r="BO41" s="9">
        <v>7</v>
      </c>
      <c r="BP41" s="9">
        <v>13</v>
      </c>
      <c r="BQ41" s="27">
        <f t="shared" si="5"/>
        <v>10</v>
      </c>
      <c r="BR41" s="9">
        <v>8</v>
      </c>
      <c r="BS41" s="9">
        <v>8</v>
      </c>
      <c r="BT41" s="9">
        <v>7</v>
      </c>
      <c r="BU41" s="27">
        <f t="shared" si="6"/>
        <v>7.666666666666667</v>
      </c>
      <c r="BV41" s="9">
        <v>5</v>
      </c>
      <c r="BW41" s="2">
        <f t="shared" si="7"/>
        <v>22.666666666666668</v>
      </c>
    </row>
    <row r="42" spans="1:75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>
        <v>39</v>
      </c>
      <c r="BC42" s="9"/>
      <c r="BD42" s="9">
        <f t="shared" si="0"/>
        <v>39</v>
      </c>
      <c r="BE42" s="9">
        <v>45</v>
      </c>
      <c r="BF42" s="9">
        <f t="shared" si="1"/>
        <v>86.666666666666671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9">
        <f t="shared" ref="BK42:BL42" si="42">BD42</f>
        <v>39</v>
      </c>
      <c r="BL42" s="9">
        <f t="shared" si="42"/>
        <v>45</v>
      </c>
      <c r="BM42" s="2">
        <f t="shared" si="3"/>
        <v>86.666666666666671</v>
      </c>
      <c r="BN42" s="9" t="str">
        <f t="shared" si="4"/>
        <v>4</v>
      </c>
      <c r="BO42" s="9">
        <v>3</v>
      </c>
      <c r="BP42" s="9">
        <v>18</v>
      </c>
      <c r="BQ42" s="27">
        <f t="shared" si="5"/>
        <v>10.5</v>
      </c>
      <c r="BR42" s="9">
        <v>8</v>
      </c>
      <c r="BS42" s="9">
        <v>8</v>
      </c>
      <c r="BT42" s="9">
        <v>8</v>
      </c>
      <c r="BU42" s="27">
        <f t="shared" si="6"/>
        <v>8</v>
      </c>
      <c r="BV42" s="9">
        <v>5</v>
      </c>
      <c r="BW42" s="2">
        <f t="shared" si="7"/>
        <v>27.5</v>
      </c>
    </row>
    <row r="43" spans="1:75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>
        <v>31</v>
      </c>
      <c r="BC43" s="9"/>
      <c r="BD43" s="9">
        <f t="shared" si="0"/>
        <v>31</v>
      </c>
      <c r="BE43" s="9">
        <v>45</v>
      </c>
      <c r="BF43" s="9">
        <f t="shared" si="1"/>
        <v>68.888888888888886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9">
        <f t="shared" ref="BK43:BL43" si="43">BD43</f>
        <v>31</v>
      </c>
      <c r="BL43" s="9">
        <f t="shared" si="43"/>
        <v>45</v>
      </c>
      <c r="BM43" s="2">
        <f t="shared" si="3"/>
        <v>68.888888888888886</v>
      </c>
      <c r="BN43" s="9" t="str">
        <f t="shared" si="4"/>
        <v>0</v>
      </c>
      <c r="BO43" s="9">
        <v>11</v>
      </c>
      <c r="BP43" s="9">
        <v>18</v>
      </c>
      <c r="BQ43" s="27">
        <f t="shared" si="5"/>
        <v>14.5</v>
      </c>
      <c r="BR43" s="9">
        <v>8</v>
      </c>
      <c r="BS43" s="9">
        <v>8</v>
      </c>
      <c r="BT43" s="9">
        <v>8</v>
      </c>
      <c r="BU43" s="27">
        <f t="shared" si="6"/>
        <v>8</v>
      </c>
      <c r="BV43" s="9">
        <v>5</v>
      </c>
      <c r="BW43" s="2">
        <f t="shared" si="7"/>
        <v>27.5</v>
      </c>
    </row>
    <row r="44" spans="1:75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v>35</v>
      </c>
      <c r="BC44" s="9"/>
      <c r="BD44" s="9">
        <f t="shared" si="0"/>
        <v>35</v>
      </c>
      <c r="BE44" s="9">
        <v>45</v>
      </c>
      <c r="BF44" s="9">
        <f t="shared" si="1"/>
        <v>77.777777777777786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9">
        <f t="shared" ref="BK44:BL44" si="44">BD44</f>
        <v>35</v>
      </c>
      <c r="BL44" s="9">
        <f t="shared" si="44"/>
        <v>45</v>
      </c>
      <c r="BM44" s="2">
        <f t="shared" si="3"/>
        <v>77.777777777777786</v>
      </c>
      <c r="BN44" s="9" t="str">
        <f t="shared" si="4"/>
        <v>2</v>
      </c>
      <c r="BO44" s="9">
        <v>7</v>
      </c>
      <c r="BP44" s="9">
        <v>20</v>
      </c>
      <c r="BQ44" s="27">
        <f t="shared" si="5"/>
        <v>13.5</v>
      </c>
      <c r="BR44" s="9">
        <v>9</v>
      </c>
      <c r="BS44" s="9">
        <v>9</v>
      </c>
      <c r="BT44" s="9">
        <v>8</v>
      </c>
      <c r="BU44" s="27">
        <f t="shared" si="6"/>
        <v>8.6666666666666661</v>
      </c>
      <c r="BV44" s="9">
        <v>5</v>
      </c>
      <c r="BW44" s="2">
        <f t="shared" si="7"/>
        <v>29.166666666666664</v>
      </c>
    </row>
    <row r="45" spans="1:75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v>29</v>
      </c>
      <c r="BC45" s="9"/>
      <c r="BD45" s="9">
        <f t="shared" si="0"/>
        <v>29</v>
      </c>
      <c r="BE45" s="9">
        <v>45</v>
      </c>
      <c r="BF45" s="9">
        <f t="shared" si="1"/>
        <v>64.444444444444443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9">
        <f t="shared" ref="BK45:BL45" si="45">BD45</f>
        <v>29</v>
      </c>
      <c r="BL45" s="9">
        <f t="shared" si="45"/>
        <v>45</v>
      </c>
      <c r="BM45" s="2">
        <f t="shared" si="3"/>
        <v>64.444444444444443</v>
      </c>
      <c r="BN45" s="9" t="str">
        <f t="shared" si="4"/>
        <v>0</v>
      </c>
      <c r="BO45" s="9">
        <v>7</v>
      </c>
      <c r="BP45" s="9">
        <v>18</v>
      </c>
      <c r="BQ45" s="27">
        <f t="shared" si="5"/>
        <v>12.5</v>
      </c>
      <c r="BR45" s="9">
        <v>8</v>
      </c>
      <c r="BS45" s="9">
        <v>7</v>
      </c>
      <c r="BT45" s="9">
        <v>8</v>
      </c>
      <c r="BU45" s="27">
        <f t="shared" si="6"/>
        <v>7.666666666666667</v>
      </c>
      <c r="BV45" s="9">
        <v>5</v>
      </c>
      <c r="BW45" s="2">
        <f t="shared" si="7"/>
        <v>25.166666666666668</v>
      </c>
    </row>
    <row r="46" spans="1:75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v>35</v>
      </c>
      <c r="BC46" s="9"/>
      <c r="BD46" s="9">
        <f t="shared" si="0"/>
        <v>35</v>
      </c>
      <c r="BE46" s="9">
        <v>45</v>
      </c>
      <c r="BF46" s="9">
        <f t="shared" si="1"/>
        <v>77.777777777777786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9">
        <f t="shared" ref="BK46:BL46" si="46">BD46</f>
        <v>35</v>
      </c>
      <c r="BL46" s="9">
        <f t="shared" si="46"/>
        <v>45</v>
      </c>
      <c r="BM46" s="2">
        <f t="shared" si="3"/>
        <v>77.777777777777786</v>
      </c>
      <c r="BN46" s="9" t="str">
        <f t="shared" si="4"/>
        <v>2</v>
      </c>
      <c r="BO46" s="9">
        <v>13</v>
      </c>
      <c r="BP46" s="9">
        <v>11</v>
      </c>
      <c r="BQ46" s="27">
        <f t="shared" si="5"/>
        <v>12</v>
      </c>
      <c r="BR46" s="9">
        <v>9</v>
      </c>
      <c r="BS46" s="9">
        <v>8</v>
      </c>
      <c r="BT46" s="9">
        <v>8</v>
      </c>
      <c r="BU46" s="27">
        <f t="shared" si="6"/>
        <v>8.3333333333333339</v>
      </c>
      <c r="BV46" s="9">
        <v>5</v>
      </c>
      <c r="BW46" s="2">
        <f t="shared" si="7"/>
        <v>27.333333333333336</v>
      </c>
    </row>
    <row r="47" spans="1:75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v>20</v>
      </c>
      <c r="BC47" s="9"/>
      <c r="BD47" s="9">
        <f t="shared" si="0"/>
        <v>20</v>
      </c>
      <c r="BE47" s="9">
        <v>45</v>
      </c>
      <c r="BF47" s="9">
        <f t="shared" si="1"/>
        <v>44.444444444444443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9">
        <f t="shared" ref="BK47:BL47" si="47">BD47</f>
        <v>20</v>
      </c>
      <c r="BL47" s="9">
        <f t="shared" si="47"/>
        <v>45</v>
      </c>
      <c r="BM47" s="2">
        <f t="shared" si="3"/>
        <v>44.444444444444443</v>
      </c>
      <c r="BN47" s="9" t="str">
        <f t="shared" si="4"/>
        <v>0</v>
      </c>
      <c r="BO47" s="9">
        <v>13</v>
      </c>
      <c r="BP47" s="9">
        <v>10</v>
      </c>
      <c r="BQ47" s="27">
        <f t="shared" si="5"/>
        <v>11.5</v>
      </c>
      <c r="BR47" s="9">
        <v>9</v>
      </c>
      <c r="BS47" s="9">
        <v>8</v>
      </c>
      <c r="BT47" s="9">
        <v>8</v>
      </c>
      <c r="BU47" s="27">
        <f t="shared" si="6"/>
        <v>8.3333333333333339</v>
      </c>
      <c r="BV47" s="9"/>
      <c r="BW47" s="2">
        <f t="shared" si="7"/>
        <v>19.833333333333336</v>
      </c>
    </row>
    <row r="48" spans="1:75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v>34</v>
      </c>
      <c r="BC48" s="9"/>
      <c r="BD48" s="9">
        <f t="shared" si="0"/>
        <v>34</v>
      </c>
      <c r="BE48" s="9">
        <v>45</v>
      </c>
      <c r="BF48" s="9">
        <f t="shared" si="1"/>
        <v>75.555555555555557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9">
        <f t="shared" ref="BK48:BL48" si="48">BD48</f>
        <v>34</v>
      </c>
      <c r="BL48" s="9">
        <f t="shared" si="48"/>
        <v>45</v>
      </c>
      <c r="BM48" s="2">
        <f t="shared" si="3"/>
        <v>75.555555555555557</v>
      </c>
      <c r="BN48" s="9" t="str">
        <f t="shared" si="4"/>
        <v>2</v>
      </c>
      <c r="BO48" s="9">
        <v>10</v>
      </c>
      <c r="BP48" s="9">
        <v>17</v>
      </c>
      <c r="BQ48" s="27">
        <f t="shared" si="5"/>
        <v>13.5</v>
      </c>
      <c r="BR48" s="9">
        <v>7</v>
      </c>
      <c r="BS48" s="9">
        <v>8</v>
      </c>
      <c r="BT48" s="9">
        <v>9</v>
      </c>
      <c r="BU48" s="27">
        <f t="shared" si="6"/>
        <v>8</v>
      </c>
      <c r="BV48" s="9">
        <v>5</v>
      </c>
      <c r="BW48" s="2">
        <f t="shared" si="7"/>
        <v>28.5</v>
      </c>
    </row>
    <row r="49" spans="1:75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v>28</v>
      </c>
      <c r="BC49" s="9"/>
      <c r="BD49" s="9">
        <f t="shared" si="0"/>
        <v>28</v>
      </c>
      <c r="BE49" s="9">
        <v>45</v>
      </c>
      <c r="BF49" s="9">
        <f t="shared" si="1"/>
        <v>62.222222222222221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9">
        <f t="shared" ref="BK49:BL49" si="49">BD49</f>
        <v>28</v>
      </c>
      <c r="BL49" s="9">
        <f t="shared" si="49"/>
        <v>45</v>
      </c>
      <c r="BM49" s="2">
        <f t="shared" si="3"/>
        <v>62.222222222222221</v>
      </c>
      <c r="BN49" s="9" t="str">
        <f t="shared" si="4"/>
        <v>0</v>
      </c>
      <c r="BO49" s="9">
        <v>10</v>
      </c>
      <c r="BP49" s="9">
        <v>13</v>
      </c>
      <c r="BQ49" s="27">
        <f t="shared" si="5"/>
        <v>11.5</v>
      </c>
      <c r="BR49" s="9">
        <v>8</v>
      </c>
      <c r="BS49" s="9">
        <v>7</v>
      </c>
      <c r="BT49" s="9">
        <v>8</v>
      </c>
      <c r="BU49" s="27">
        <f t="shared" si="6"/>
        <v>7.666666666666667</v>
      </c>
      <c r="BV49" s="9"/>
      <c r="BW49" s="2">
        <f t="shared" si="7"/>
        <v>19.166666666666668</v>
      </c>
    </row>
    <row r="50" spans="1:75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v>26</v>
      </c>
      <c r="BC50" s="9"/>
      <c r="BD50" s="9">
        <f t="shared" si="0"/>
        <v>26</v>
      </c>
      <c r="BE50" s="9">
        <v>45</v>
      </c>
      <c r="BF50" s="9">
        <f t="shared" si="1"/>
        <v>57.777777777777771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9">
        <f t="shared" ref="BK50:BL50" si="50">BD50</f>
        <v>26</v>
      </c>
      <c r="BL50" s="9">
        <f t="shared" si="50"/>
        <v>45</v>
      </c>
      <c r="BM50" s="2">
        <f t="shared" si="3"/>
        <v>57.777777777777771</v>
      </c>
      <c r="BN50" s="9" t="str">
        <f t="shared" si="4"/>
        <v>0</v>
      </c>
      <c r="BO50" s="9">
        <v>10</v>
      </c>
      <c r="BP50" s="9">
        <v>11</v>
      </c>
      <c r="BQ50" s="27">
        <f t="shared" si="5"/>
        <v>10.5</v>
      </c>
      <c r="BR50" s="9">
        <v>7</v>
      </c>
      <c r="BS50" s="9">
        <v>8</v>
      </c>
      <c r="BT50" s="9">
        <v>7</v>
      </c>
      <c r="BU50" s="27">
        <f t="shared" si="6"/>
        <v>7.333333333333333</v>
      </c>
      <c r="BV50" s="9">
        <v>5</v>
      </c>
      <c r="BW50" s="2">
        <f t="shared" si="7"/>
        <v>22.833333333333332</v>
      </c>
    </row>
    <row r="51" spans="1:75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v>16</v>
      </c>
      <c r="BC51" s="9"/>
      <c r="BD51" s="9">
        <f t="shared" si="0"/>
        <v>16</v>
      </c>
      <c r="BE51" s="9">
        <v>45</v>
      </c>
      <c r="BF51" s="9">
        <f t="shared" si="1"/>
        <v>35.555555555555557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9">
        <f t="shared" ref="BK51:BL51" si="51">BD51</f>
        <v>16</v>
      </c>
      <c r="BL51" s="9">
        <f t="shared" si="51"/>
        <v>45</v>
      </c>
      <c r="BM51" s="2">
        <f t="shared" si="3"/>
        <v>35.555555555555557</v>
      </c>
      <c r="BN51" s="9" t="str">
        <f t="shared" si="4"/>
        <v>0</v>
      </c>
      <c r="BO51" s="9">
        <v>0</v>
      </c>
      <c r="BP51" s="9">
        <v>11</v>
      </c>
      <c r="BQ51" s="27">
        <f t="shared" si="5"/>
        <v>5.5</v>
      </c>
      <c r="BR51" s="9">
        <v>8</v>
      </c>
      <c r="BS51" s="9">
        <v>0</v>
      </c>
      <c r="BT51" s="9">
        <v>8</v>
      </c>
      <c r="BU51" s="27">
        <f t="shared" si="6"/>
        <v>5.333333333333333</v>
      </c>
      <c r="BV51" s="9">
        <v>5</v>
      </c>
      <c r="BW51" s="2">
        <f t="shared" si="7"/>
        <v>15.833333333333332</v>
      </c>
    </row>
    <row r="52" spans="1:75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v>15</v>
      </c>
      <c r="BC52" s="9"/>
      <c r="BD52" s="9">
        <f t="shared" si="0"/>
        <v>15</v>
      </c>
      <c r="BE52" s="9">
        <v>45</v>
      </c>
      <c r="BF52" s="9">
        <f t="shared" si="1"/>
        <v>33.333333333333329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9">
        <f t="shared" ref="BK52:BL52" si="52">BD52</f>
        <v>15</v>
      </c>
      <c r="BL52" s="9">
        <f t="shared" si="52"/>
        <v>45</v>
      </c>
      <c r="BM52" s="2">
        <f t="shared" si="3"/>
        <v>33.333333333333329</v>
      </c>
      <c r="BN52" s="9" t="str">
        <f t="shared" si="4"/>
        <v>0</v>
      </c>
      <c r="BO52" s="9">
        <v>0</v>
      </c>
      <c r="BP52" s="9">
        <v>7</v>
      </c>
      <c r="BQ52" s="27">
        <f t="shared" si="5"/>
        <v>3.5</v>
      </c>
      <c r="BR52" s="9">
        <v>8</v>
      </c>
      <c r="BS52" s="9">
        <v>8</v>
      </c>
      <c r="BT52" s="9">
        <v>7</v>
      </c>
      <c r="BU52" s="27">
        <f t="shared" si="6"/>
        <v>7.666666666666667</v>
      </c>
      <c r="BV52" s="9"/>
      <c r="BW52" s="2">
        <f t="shared" si="7"/>
        <v>11.166666666666668</v>
      </c>
    </row>
    <row r="53" spans="1:75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v>27</v>
      </c>
      <c r="BC53" s="9"/>
      <c r="BD53" s="9">
        <f t="shared" si="0"/>
        <v>27</v>
      </c>
      <c r="BE53" s="9">
        <v>45</v>
      </c>
      <c r="BF53" s="9">
        <f t="shared" si="1"/>
        <v>60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9">
        <f t="shared" ref="BK53:BL53" si="53">BD53</f>
        <v>27</v>
      </c>
      <c r="BL53" s="9">
        <f t="shared" si="53"/>
        <v>45</v>
      </c>
      <c r="BM53" s="2">
        <f t="shared" si="3"/>
        <v>60</v>
      </c>
      <c r="BN53" s="9" t="str">
        <f t="shared" si="4"/>
        <v>0</v>
      </c>
      <c r="BO53" s="9">
        <v>12</v>
      </c>
      <c r="BP53" s="9">
        <v>19</v>
      </c>
      <c r="BQ53" s="27">
        <f t="shared" si="5"/>
        <v>15.5</v>
      </c>
      <c r="BR53" s="9">
        <v>8</v>
      </c>
      <c r="BS53" s="9">
        <v>8</v>
      </c>
      <c r="BT53" s="9">
        <v>0</v>
      </c>
      <c r="BU53" s="27">
        <f t="shared" si="6"/>
        <v>5.333333333333333</v>
      </c>
      <c r="BV53" s="9"/>
      <c r="BW53" s="2">
        <f t="shared" si="7"/>
        <v>20.833333333333332</v>
      </c>
    </row>
    <row r="54" spans="1:75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v>30</v>
      </c>
      <c r="BC54" s="9"/>
      <c r="BD54" s="9">
        <f t="shared" si="0"/>
        <v>30</v>
      </c>
      <c r="BE54" s="9">
        <v>45</v>
      </c>
      <c r="BF54" s="9">
        <f t="shared" si="1"/>
        <v>66.666666666666657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9">
        <f t="shared" ref="BK54:BL54" si="54">BD54</f>
        <v>30</v>
      </c>
      <c r="BL54" s="9">
        <f t="shared" si="54"/>
        <v>45</v>
      </c>
      <c r="BM54" s="2">
        <f t="shared" si="3"/>
        <v>66.666666666666657</v>
      </c>
      <c r="BN54" s="9" t="str">
        <f t="shared" si="4"/>
        <v>0</v>
      </c>
      <c r="BO54" s="9">
        <v>11</v>
      </c>
      <c r="BP54" s="9">
        <v>8</v>
      </c>
      <c r="BQ54" s="27">
        <f t="shared" si="5"/>
        <v>9.5</v>
      </c>
      <c r="BR54" s="9">
        <v>8</v>
      </c>
      <c r="BS54" s="9">
        <v>7</v>
      </c>
      <c r="BT54" s="9">
        <v>8</v>
      </c>
      <c r="BU54" s="27">
        <f t="shared" si="6"/>
        <v>7.666666666666667</v>
      </c>
      <c r="BV54" s="9">
        <v>5</v>
      </c>
      <c r="BW54" s="2">
        <f t="shared" si="7"/>
        <v>22.166666666666668</v>
      </c>
    </row>
    <row r="55" spans="1:75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v>33</v>
      </c>
      <c r="BC55" s="9"/>
      <c r="BD55" s="9">
        <f t="shared" si="0"/>
        <v>33</v>
      </c>
      <c r="BE55" s="9">
        <v>45</v>
      </c>
      <c r="BF55" s="9">
        <f t="shared" si="1"/>
        <v>73.333333333333329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9">
        <f t="shared" ref="BK55:BL55" si="55">BD55</f>
        <v>33</v>
      </c>
      <c r="BL55" s="9">
        <f t="shared" si="55"/>
        <v>45</v>
      </c>
      <c r="BM55" s="2">
        <f t="shared" si="3"/>
        <v>73.333333333333329</v>
      </c>
      <c r="BN55" s="9" t="str">
        <f t="shared" si="4"/>
        <v>0</v>
      </c>
      <c r="BO55" s="9">
        <v>10</v>
      </c>
      <c r="BP55" s="9">
        <v>16</v>
      </c>
      <c r="BQ55" s="27">
        <f t="shared" si="5"/>
        <v>13</v>
      </c>
      <c r="BR55" s="9">
        <v>9</v>
      </c>
      <c r="BS55" s="9">
        <v>9</v>
      </c>
      <c r="BT55" s="9">
        <v>9</v>
      </c>
      <c r="BU55" s="27">
        <f t="shared" si="6"/>
        <v>9</v>
      </c>
      <c r="BV55" s="9"/>
      <c r="BW55" s="2">
        <f t="shared" si="7"/>
        <v>22</v>
      </c>
    </row>
    <row r="56" spans="1:75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v>26</v>
      </c>
      <c r="BC56" s="9"/>
      <c r="BD56" s="9">
        <f t="shared" si="0"/>
        <v>26</v>
      </c>
      <c r="BE56" s="9">
        <v>45</v>
      </c>
      <c r="BF56" s="9">
        <f t="shared" si="1"/>
        <v>57.777777777777771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9">
        <f t="shared" ref="BK56:BL56" si="56">BD56</f>
        <v>26</v>
      </c>
      <c r="BL56" s="9">
        <f t="shared" si="56"/>
        <v>45</v>
      </c>
      <c r="BM56" s="2">
        <f t="shared" si="3"/>
        <v>57.777777777777771</v>
      </c>
      <c r="BN56" s="9" t="str">
        <f t="shared" si="4"/>
        <v>0</v>
      </c>
      <c r="BO56" s="9">
        <v>2</v>
      </c>
      <c r="BP56" s="9">
        <v>0</v>
      </c>
      <c r="BQ56" s="27">
        <f t="shared" si="5"/>
        <v>1</v>
      </c>
      <c r="BR56" s="9">
        <v>6</v>
      </c>
      <c r="BS56" s="9">
        <v>7</v>
      </c>
      <c r="BT56" s="9">
        <v>8</v>
      </c>
      <c r="BU56" s="27">
        <f t="shared" si="6"/>
        <v>7</v>
      </c>
      <c r="BV56" s="9"/>
      <c r="BW56" s="2">
        <f t="shared" si="7"/>
        <v>8</v>
      </c>
    </row>
    <row r="57" spans="1:75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v>16</v>
      </c>
      <c r="BC57" s="9"/>
      <c r="BD57" s="9">
        <f t="shared" si="0"/>
        <v>16</v>
      </c>
      <c r="BE57" s="9">
        <v>45</v>
      </c>
      <c r="BF57" s="9">
        <f t="shared" si="1"/>
        <v>35.555555555555557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9">
        <f t="shared" ref="BK57:BL57" si="57">BD57</f>
        <v>16</v>
      </c>
      <c r="BL57" s="9">
        <f t="shared" si="57"/>
        <v>45</v>
      </c>
      <c r="BM57" s="2">
        <f t="shared" si="3"/>
        <v>35.555555555555557</v>
      </c>
      <c r="BN57" s="9" t="str">
        <f t="shared" si="4"/>
        <v>0</v>
      </c>
      <c r="BO57" s="9">
        <v>0</v>
      </c>
      <c r="BP57" s="9">
        <v>1</v>
      </c>
      <c r="BQ57" s="27">
        <f t="shared" si="5"/>
        <v>0.5</v>
      </c>
      <c r="BR57" s="9">
        <v>0</v>
      </c>
      <c r="BS57" s="9">
        <v>0</v>
      </c>
      <c r="BT57" s="9">
        <v>0</v>
      </c>
      <c r="BU57" s="27">
        <f t="shared" si="6"/>
        <v>0</v>
      </c>
      <c r="BV57" s="9">
        <v>5</v>
      </c>
      <c r="BW57" s="2">
        <f t="shared" si="7"/>
        <v>5.5</v>
      </c>
    </row>
    <row r="58" spans="1:75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v>30</v>
      </c>
      <c r="BC58" s="9"/>
      <c r="BD58" s="9">
        <f t="shared" si="0"/>
        <v>30</v>
      </c>
      <c r="BE58" s="9">
        <v>45</v>
      </c>
      <c r="BF58" s="9">
        <f t="shared" si="1"/>
        <v>66.666666666666657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9">
        <f t="shared" ref="BK58:BL58" si="58">BD58</f>
        <v>30</v>
      </c>
      <c r="BL58" s="9">
        <f t="shared" si="58"/>
        <v>45</v>
      </c>
      <c r="BM58" s="2">
        <f t="shared" si="3"/>
        <v>66.666666666666657</v>
      </c>
      <c r="BN58" s="9" t="str">
        <f t="shared" si="4"/>
        <v>0</v>
      </c>
      <c r="BO58" s="9">
        <v>19</v>
      </c>
      <c r="BP58" s="9">
        <v>20</v>
      </c>
      <c r="BQ58" s="27">
        <f t="shared" si="5"/>
        <v>19.5</v>
      </c>
      <c r="BR58" s="9">
        <v>7</v>
      </c>
      <c r="BS58" s="9">
        <v>8</v>
      </c>
      <c r="BT58" s="9">
        <v>9</v>
      </c>
      <c r="BU58" s="27">
        <f t="shared" si="6"/>
        <v>8</v>
      </c>
      <c r="BV58" s="9">
        <v>5</v>
      </c>
      <c r="BW58" s="2">
        <f t="shared" si="7"/>
        <v>32.5</v>
      </c>
    </row>
    <row r="59" spans="1:75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v>13</v>
      </c>
      <c r="BC59" s="9"/>
      <c r="BD59" s="9">
        <f t="shared" si="0"/>
        <v>13</v>
      </c>
      <c r="BE59" s="9">
        <v>45</v>
      </c>
      <c r="BF59" s="9">
        <f t="shared" si="1"/>
        <v>28.888888888888886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9">
        <f t="shared" ref="BK59:BL59" si="59">BD59</f>
        <v>13</v>
      </c>
      <c r="BL59" s="9">
        <f t="shared" si="59"/>
        <v>45</v>
      </c>
      <c r="BM59" s="2">
        <f t="shared" si="3"/>
        <v>28.888888888888886</v>
      </c>
      <c r="BN59" s="9" t="str">
        <f t="shared" si="4"/>
        <v>0</v>
      </c>
      <c r="BO59" s="9">
        <v>11</v>
      </c>
      <c r="BP59" s="9">
        <v>16</v>
      </c>
      <c r="BQ59" s="27">
        <f t="shared" si="5"/>
        <v>13.5</v>
      </c>
      <c r="BR59" s="9">
        <v>8</v>
      </c>
      <c r="BS59" s="9">
        <v>8</v>
      </c>
      <c r="BT59" s="9">
        <v>7</v>
      </c>
      <c r="BU59" s="27">
        <f t="shared" si="6"/>
        <v>7.666666666666667</v>
      </c>
      <c r="BV59" s="9"/>
      <c r="BW59" s="2">
        <f t="shared" si="7"/>
        <v>21.166666666666668</v>
      </c>
    </row>
    <row r="60" spans="1:75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v>36</v>
      </c>
      <c r="BC60" s="9"/>
      <c r="BD60" s="9">
        <f t="shared" si="0"/>
        <v>36</v>
      </c>
      <c r="BE60" s="9">
        <v>45</v>
      </c>
      <c r="BF60" s="9">
        <f t="shared" si="1"/>
        <v>80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9">
        <f t="shared" ref="BK60:BL60" si="60">BD60</f>
        <v>36</v>
      </c>
      <c r="BL60" s="9">
        <f t="shared" si="60"/>
        <v>45</v>
      </c>
      <c r="BM60" s="2">
        <f t="shared" si="3"/>
        <v>80</v>
      </c>
      <c r="BN60" s="9" t="str">
        <f t="shared" si="4"/>
        <v>2</v>
      </c>
      <c r="BO60" s="9">
        <v>11</v>
      </c>
      <c r="BP60" s="9">
        <v>20</v>
      </c>
      <c r="BQ60" s="27">
        <f t="shared" si="5"/>
        <v>15.5</v>
      </c>
      <c r="BR60" s="9">
        <v>8</v>
      </c>
      <c r="BS60" s="9">
        <v>8</v>
      </c>
      <c r="BT60" s="9">
        <v>9</v>
      </c>
      <c r="BU60" s="27">
        <f t="shared" si="6"/>
        <v>8.3333333333333339</v>
      </c>
      <c r="BV60" s="9"/>
      <c r="BW60" s="2">
        <f t="shared" si="7"/>
        <v>25.833333333333336</v>
      </c>
    </row>
    <row r="61" spans="1:75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v>25</v>
      </c>
      <c r="BC61" s="9"/>
      <c r="BD61" s="9">
        <f t="shared" si="0"/>
        <v>25</v>
      </c>
      <c r="BE61" s="9">
        <v>45</v>
      </c>
      <c r="BF61" s="9">
        <f t="shared" si="1"/>
        <v>55.555555555555557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9">
        <f t="shared" ref="BK61:BL61" si="61">BD61</f>
        <v>25</v>
      </c>
      <c r="BL61" s="9">
        <f t="shared" si="61"/>
        <v>45</v>
      </c>
      <c r="BM61" s="2">
        <f t="shared" si="3"/>
        <v>55.555555555555557</v>
      </c>
      <c r="BN61" s="9" t="str">
        <f t="shared" si="4"/>
        <v>0</v>
      </c>
      <c r="BO61" s="9">
        <v>4</v>
      </c>
      <c r="BP61" s="9">
        <v>8</v>
      </c>
      <c r="BQ61" s="27">
        <f t="shared" si="5"/>
        <v>6</v>
      </c>
      <c r="BR61" s="9">
        <v>7</v>
      </c>
      <c r="BS61" s="9">
        <v>7</v>
      </c>
      <c r="BT61" s="9">
        <v>7</v>
      </c>
      <c r="BU61" s="27">
        <f t="shared" si="6"/>
        <v>7</v>
      </c>
      <c r="BV61" s="9"/>
      <c r="BW61" s="2">
        <f t="shared" si="7"/>
        <v>13</v>
      </c>
    </row>
    <row r="62" spans="1:75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v>30</v>
      </c>
      <c r="BC62" s="9"/>
      <c r="BD62" s="9">
        <f t="shared" si="0"/>
        <v>30</v>
      </c>
      <c r="BE62" s="9">
        <v>45</v>
      </c>
      <c r="BF62" s="9">
        <f t="shared" si="1"/>
        <v>66.666666666666657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9">
        <f t="shared" ref="BK62:BL62" si="62">BD62</f>
        <v>30</v>
      </c>
      <c r="BL62" s="9">
        <f t="shared" si="62"/>
        <v>45</v>
      </c>
      <c r="BM62" s="2">
        <f t="shared" si="3"/>
        <v>66.666666666666657</v>
      </c>
      <c r="BN62" s="9" t="str">
        <f t="shared" si="4"/>
        <v>0</v>
      </c>
      <c r="BO62" s="9">
        <v>7</v>
      </c>
      <c r="BP62" s="9">
        <v>17</v>
      </c>
      <c r="BQ62" s="27">
        <f t="shared" si="5"/>
        <v>12</v>
      </c>
      <c r="BR62" s="9">
        <v>9</v>
      </c>
      <c r="BS62" s="9">
        <v>9</v>
      </c>
      <c r="BT62" s="9">
        <v>8</v>
      </c>
      <c r="BU62" s="27">
        <f t="shared" si="6"/>
        <v>8.6666666666666661</v>
      </c>
      <c r="BV62" s="9"/>
      <c r="BW62" s="2">
        <f t="shared" si="7"/>
        <v>20.666666666666664</v>
      </c>
    </row>
    <row r="63" spans="1:75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v>22</v>
      </c>
      <c r="BC63" s="9"/>
      <c r="BD63" s="9">
        <f t="shared" si="0"/>
        <v>22</v>
      </c>
      <c r="BE63" s="9">
        <v>45</v>
      </c>
      <c r="BF63" s="9">
        <f t="shared" si="1"/>
        <v>48.888888888888886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9">
        <f t="shared" ref="BK63:BL63" si="63">BD63</f>
        <v>22</v>
      </c>
      <c r="BL63" s="9">
        <f t="shared" si="63"/>
        <v>45</v>
      </c>
      <c r="BM63" s="2">
        <f t="shared" si="3"/>
        <v>48.888888888888886</v>
      </c>
      <c r="BN63" s="9" t="str">
        <f t="shared" si="4"/>
        <v>0</v>
      </c>
      <c r="BO63" s="9">
        <v>10</v>
      </c>
      <c r="BP63" s="9">
        <v>0</v>
      </c>
      <c r="BQ63" s="27">
        <f t="shared" si="5"/>
        <v>5</v>
      </c>
      <c r="BR63" s="9">
        <v>0</v>
      </c>
      <c r="BS63" s="9">
        <v>0</v>
      </c>
      <c r="BT63" s="9">
        <v>0</v>
      </c>
      <c r="BU63" s="27">
        <f t="shared" si="6"/>
        <v>0</v>
      </c>
      <c r="BV63" s="9"/>
      <c r="BW63" s="2">
        <f t="shared" si="7"/>
        <v>5</v>
      </c>
    </row>
    <row r="64" spans="1:75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v>35</v>
      </c>
      <c r="BC64" s="9"/>
      <c r="BD64" s="9">
        <f t="shared" si="0"/>
        <v>35</v>
      </c>
      <c r="BE64" s="9">
        <v>45</v>
      </c>
      <c r="BF64" s="9">
        <f t="shared" si="1"/>
        <v>77.777777777777786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9">
        <f t="shared" ref="BK64:BL64" si="64">BD64</f>
        <v>35</v>
      </c>
      <c r="BL64" s="9">
        <f t="shared" si="64"/>
        <v>45</v>
      </c>
      <c r="BM64" s="2">
        <f t="shared" si="3"/>
        <v>77.777777777777786</v>
      </c>
      <c r="BN64" s="9" t="str">
        <f t="shared" si="4"/>
        <v>2</v>
      </c>
      <c r="BO64" s="9">
        <v>5</v>
      </c>
      <c r="BP64" s="9">
        <v>13</v>
      </c>
      <c r="BQ64" s="27">
        <f t="shared" si="5"/>
        <v>9</v>
      </c>
      <c r="BR64" s="9">
        <v>9</v>
      </c>
      <c r="BS64" s="9">
        <v>9</v>
      </c>
      <c r="BT64" s="9">
        <v>8</v>
      </c>
      <c r="BU64" s="27">
        <f t="shared" si="6"/>
        <v>8.6666666666666661</v>
      </c>
      <c r="BV64" s="9"/>
      <c r="BW64" s="2">
        <f t="shared" si="7"/>
        <v>19.666666666666664</v>
      </c>
    </row>
    <row r="65" spans="1:75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v>28</v>
      </c>
      <c r="BC65" s="9"/>
      <c r="BD65" s="9">
        <f t="shared" si="0"/>
        <v>28</v>
      </c>
      <c r="BE65" s="9">
        <v>45</v>
      </c>
      <c r="BF65" s="9">
        <f t="shared" si="1"/>
        <v>62.222222222222221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9">
        <f t="shared" ref="BK65:BL65" si="65">BD65</f>
        <v>28</v>
      </c>
      <c r="BL65" s="9">
        <f t="shared" si="65"/>
        <v>45</v>
      </c>
      <c r="BM65" s="2">
        <f t="shared" si="3"/>
        <v>62.222222222222221</v>
      </c>
      <c r="BN65" s="9" t="str">
        <f t="shared" si="4"/>
        <v>0</v>
      </c>
      <c r="BO65" s="9">
        <v>5</v>
      </c>
      <c r="BP65" s="9">
        <v>14</v>
      </c>
      <c r="BQ65" s="27">
        <f t="shared" si="5"/>
        <v>9.5</v>
      </c>
      <c r="BR65" s="9">
        <v>8</v>
      </c>
      <c r="BS65" s="9">
        <v>8</v>
      </c>
      <c r="BT65" s="9">
        <v>8</v>
      </c>
      <c r="BU65" s="27">
        <f t="shared" si="6"/>
        <v>8</v>
      </c>
      <c r="BV65" s="9">
        <v>5</v>
      </c>
      <c r="BW65" s="2">
        <f t="shared" si="7"/>
        <v>22.5</v>
      </c>
    </row>
    <row r="66" spans="1:75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v>36</v>
      </c>
      <c r="BC66" s="9"/>
      <c r="BD66" s="9">
        <f t="shared" si="0"/>
        <v>36</v>
      </c>
      <c r="BE66" s="9">
        <v>45</v>
      </c>
      <c r="BF66" s="9">
        <f t="shared" si="1"/>
        <v>80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9">
        <f t="shared" ref="BK66:BL66" si="66">BD66</f>
        <v>36</v>
      </c>
      <c r="BL66" s="9">
        <f t="shared" si="66"/>
        <v>45</v>
      </c>
      <c r="BM66" s="2">
        <f t="shared" si="3"/>
        <v>80</v>
      </c>
      <c r="BN66" s="9" t="str">
        <f t="shared" si="4"/>
        <v>2</v>
      </c>
      <c r="BO66" s="9">
        <v>12</v>
      </c>
      <c r="BP66" s="9">
        <v>22</v>
      </c>
      <c r="BQ66" s="27">
        <f t="shared" si="5"/>
        <v>17</v>
      </c>
      <c r="BR66" s="9">
        <v>9</v>
      </c>
      <c r="BS66" s="9">
        <v>8</v>
      </c>
      <c r="BT66" s="9">
        <v>9</v>
      </c>
      <c r="BU66" s="27">
        <f t="shared" si="6"/>
        <v>8.6666666666666661</v>
      </c>
      <c r="BV66" s="9"/>
      <c r="BW66" s="2">
        <f t="shared" si="7"/>
        <v>27.666666666666664</v>
      </c>
    </row>
    <row r="67" spans="1:75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v>27</v>
      </c>
      <c r="BC67" s="9"/>
      <c r="BD67" s="9">
        <f t="shared" si="0"/>
        <v>27</v>
      </c>
      <c r="BE67" s="9">
        <v>45</v>
      </c>
      <c r="BF67" s="9">
        <f t="shared" si="1"/>
        <v>60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9">
        <f t="shared" ref="BK67:BL67" si="67">BD67</f>
        <v>27</v>
      </c>
      <c r="BL67" s="9">
        <f t="shared" si="67"/>
        <v>45</v>
      </c>
      <c r="BM67" s="2">
        <f t="shared" si="3"/>
        <v>60</v>
      </c>
      <c r="BN67" s="9" t="str">
        <f t="shared" si="4"/>
        <v>0</v>
      </c>
      <c r="BO67" s="9">
        <v>8</v>
      </c>
      <c r="BP67" s="9">
        <v>14</v>
      </c>
      <c r="BQ67" s="27">
        <f t="shared" si="5"/>
        <v>11</v>
      </c>
      <c r="BR67" s="9">
        <v>6</v>
      </c>
      <c r="BS67" s="9">
        <v>6</v>
      </c>
      <c r="BT67" s="9">
        <v>7</v>
      </c>
      <c r="BU67" s="27">
        <f t="shared" si="6"/>
        <v>6.333333333333333</v>
      </c>
      <c r="BV67" s="9"/>
      <c r="BW67" s="2">
        <f t="shared" si="7"/>
        <v>17.333333333333332</v>
      </c>
    </row>
    <row r="68" spans="1:75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v>25</v>
      </c>
      <c r="BC68" s="9"/>
      <c r="BD68" s="9">
        <f t="shared" si="0"/>
        <v>25</v>
      </c>
      <c r="BE68" s="9">
        <v>45</v>
      </c>
      <c r="BF68" s="9">
        <f t="shared" si="1"/>
        <v>55.555555555555557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9">
        <f t="shared" ref="BK68:BL68" si="68">BD68</f>
        <v>25</v>
      </c>
      <c r="BL68" s="9">
        <f t="shared" si="68"/>
        <v>45</v>
      </c>
      <c r="BM68" s="2">
        <f t="shared" si="3"/>
        <v>55.555555555555557</v>
      </c>
      <c r="BN68" s="9" t="str">
        <f t="shared" si="4"/>
        <v>0</v>
      </c>
      <c r="BO68" s="9">
        <v>0</v>
      </c>
      <c r="BP68" s="9">
        <v>0</v>
      </c>
      <c r="BQ68" s="27">
        <f t="shared" si="5"/>
        <v>0</v>
      </c>
      <c r="BR68" s="9">
        <v>6</v>
      </c>
      <c r="BS68" s="9">
        <v>0</v>
      </c>
      <c r="BT68" s="9">
        <v>8</v>
      </c>
      <c r="BU68" s="27">
        <f t="shared" si="6"/>
        <v>4.666666666666667</v>
      </c>
      <c r="BV68" s="9"/>
      <c r="BW68" s="2">
        <f t="shared" si="7"/>
        <v>4.666666666666667</v>
      </c>
    </row>
    <row r="69" spans="1:75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v>37</v>
      </c>
      <c r="BC69" s="9"/>
      <c r="BD69" s="9">
        <f t="shared" si="0"/>
        <v>37</v>
      </c>
      <c r="BE69" s="9">
        <v>45</v>
      </c>
      <c r="BF69" s="9">
        <f t="shared" si="1"/>
        <v>82.222222222222214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9">
        <f t="shared" ref="BK69:BL69" si="69">BD69</f>
        <v>37</v>
      </c>
      <c r="BL69" s="9">
        <f t="shared" si="69"/>
        <v>45</v>
      </c>
      <c r="BM69" s="2">
        <f t="shared" si="3"/>
        <v>82.222222222222214</v>
      </c>
      <c r="BN69" s="9" t="str">
        <f t="shared" si="4"/>
        <v>3</v>
      </c>
      <c r="BO69" s="9">
        <v>3</v>
      </c>
      <c r="BP69" s="9">
        <v>0</v>
      </c>
      <c r="BQ69" s="27">
        <f t="shared" si="5"/>
        <v>1.5</v>
      </c>
      <c r="BR69" s="9">
        <v>9</v>
      </c>
      <c r="BS69" s="9">
        <v>9</v>
      </c>
      <c r="BT69" s="9">
        <v>7</v>
      </c>
      <c r="BU69" s="27">
        <f t="shared" si="6"/>
        <v>8.3333333333333339</v>
      </c>
      <c r="BV69" s="9"/>
      <c r="BW69" s="2">
        <f t="shared" si="7"/>
        <v>12.833333333333334</v>
      </c>
    </row>
    <row r="70" spans="1:75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v>1</v>
      </c>
      <c r="BC70" s="9"/>
      <c r="BD70" s="9">
        <f t="shared" si="0"/>
        <v>1</v>
      </c>
      <c r="BE70" s="9">
        <v>45</v>
      </c>
      <c r="BF70" s="9">
        <f t="shared" si="1"/>
        <v>2.2222222222222223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9">
        <f t="shared" ref="BK70:BL70" si="70">BD70</f>
        <v>1</v>
      </c>
      <c r="BL70" s="9">
        <f t="shared" si="70"/>
        <v>45</v>
      </c>
      <c r="BM70" s="2">
        <f t="shared" si="3"/>
        <v>2.2222222222222223</v>
      </c>
      <c r="BN70" s="9" t="str">
        <f t="shared" si="4"/>
        <v>0</v>
      </c>
      <c r="BO70" s="9">
        <v>0</v>
      </c>
      <c r="BP70" s="9">
        <v>0</v>
      </c>
      <c r="BQ70" s="27">
        <f t="shared" si="5"/>
        <v>0</v>
      </c>
      <c r="BR70" s="9">
        <v>7</v>
      </c>
      <c r="BS70" s="9">
        <v>8</v>
      </c>
      <c r="BT70" s="9">
        <v>7</v>
      </c>
      <c r="BU70" s="27">
        <f t="shared" si="6"/>
        <v>7.333333333333333</v>
      </c>
      <c r="BV70" s="9">
        <v>5</v>
      </c>
      <c r="BW70" s="2">
        <f t="shared" si="7"/>
        <v>12.333333333333332</v>
      </c>
    </row>
    <row r="71" spans="1:75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v>38</v>
      </c>
      <c r="BC71" s="9"/>
      <c r="BD71" s="9">
        <f t="shared" si="0"/>
        <v>38</v>
      </c>
      <c r="BE71" s="9">
        <v>45</v>
      </c>
      <c r="BF71" s="9">
        <f t="shared" si="1"/>
        <v>84.444444444444443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1">
        <f t="shared" ref="BK71:BL71" si="71">BD71</f>
        <v>38</v>
      </c>
      <c r="BL71" s="11">
        <f t="shared" si="71"/>
        <v>45</v>
      </c>
      <c r="BM71" s="13">
        <f t="shared" si="3"/>
        <v>84.444444444444443</v>
      </c>
      <c r="BN71" s="11" t="str">
        <f t="shared" si="4"/>
        <v>3</v>
      </c>
      <c r="BO71" s="11">
        <v>6</v>
      </c>
      <c r="BP71" s="11">
        <v>22</v>
      </c>
      <c r="BQ71" s="30">
        <f t="shared" si="5"/>
        <v>14</v>
      </c>
      <c r="BR71" s="11">
        <v>0</v>
      </c>
      <c r="BS71" s="11">
        <v>8</v>
      </c>
      <c r="BT71" s="11">
        <v>8</v>
      </c>
      <c r="BU71" s="30">
        <f t="shared" si="6"/>
        <v>5.333333333333333</v>
      </c>
      <c r="BV71" s="11">
        <v>3</v>
      </c>
      <c r="BW71" s="13">
        <f t="shared" si="7"/>
        <v>25.333333333333332</v>
      </c>
    </row>
    <row r="72" spans="1:75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v>30</v>
      </c>
      <c r="BC72" s="9">
        <v>11</v>
      </c>
      <c r="BD72" s="9">
        <f t="shared" si="0"/>
        <v>41</v>
      </c>
      <c r="BE72" s="9">
        <v>45</v>
      </c>
      <c r="BF72" s="9">
        <f t="shared" si="1"/>
        <v>91.111111111111114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1">
        <f t="shared" ref="BK72:BL72" si="72">BD72</f>
        <v>41</v>
      </c>
      <c r="BL72" s="11">
        <f t="shared" si="72"/>
        <v>45</v>
      </c>
      <c r="BM72" s="13">
        <f t="shared" si="3"/>
        <v>91.111111111111114</v>
      </c>
      <c r="BN72" s="11" t="str">
        <f t="shared" si="4"/>
        <v>5</v>
      </c>
      <c r="BO72" s="11">
        <v>20</v>
      </c>
      <c r="BP72" s="11">
        <v>24</v>
      </c>
      <c r="BQ72" s="30">
        <f t="shared" si="5"/>
        <v>22</v>
      </c>
      <c r="BR72" s="11">
        <v>8</v>
      </c>
      <c r="BS72" s="11">
        <v>9</v>
      </c>
      <c r="BT72" s="11">
        <v>8</v>
      </c>
      <c r="BU72" s="30">
        <f t="shared" si="6"/>
        <v>8.3333333333333339</v>
      </c>
      <c r="BV72" s="11">
        <v>1</v>
      </c>
      <c r="BW72" s="13">
        <f t="shared" si="7"/>
        <v>36.333333333333336</v>
      </c>
    </row>
    <row r="73" spans="1:75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v>17</v>
      </c>
      <c r="BC73" s="9"/>
      <c r="BD73" s="9">
        <f t="shared" si="0"/>
        <v>17</v>
      </c>
      <c r="BE73" s="9">
        <v>45</v>
      </c>
      <c r="BF73" s="9">
        <f t="shared" si="1"/>
        <v>37.777777777777779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1">
        <f t="shared" ref="BK73:BL73" si="73">BD73</f>
        <v>17</v>
      </c>
      <c r="BL73" s="11">
        <f t="shared" si="73"/>
        <v>45</v>
      </c>
      <c r="BM73" s="13">
        <f t="shared" si="3"/>
        <v>37.777777777777779</v>
      </c>
      <c r="BN73" s="11" t="str">
        <f t="shared" si="4"/>
        <v>0</v>
      </c>
      <c r="BO73" s="11">
        <v>8</v>
      </c>
      <c r="BP73" s="11">
        <v>17</v>
      </c>
      <c r="BQ73" s="30">
        <f t="shared" si="5"/>
        <v>12.5</v>
      </c>
      <c r="BR73" s="11">
        <v>7</v>
      </c>
      <c r="BS73" s="11">
        <v>7</v>
      </c>
      <c r="BT73" s="11">
        <v>8</v>
      </c>
      <c r="BU73" s="30">
        <f t="shared" si="6"/>
        <v>7.333333333333333</v>
      </c>
      <c r="BV73" s="11">
        <v>3</v>
      </c>
      <c r="BW73" s="13">
        <f t="shared" si="7"/>
        <v>22.833333333333332</v>
      </c>
    </row>
    <row r="74" spans="1:75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v>26</v>
      </c>
      <c r="BC74" s="9"/>
      <c r="BD74" s="9">
        <f t="shared" si="0"/>
        <v>26</v>
      </c>
      <c r="BE74" s="9">
        <v>45</v>
      </c>
      <c r="BF74" s="9">
        <f t="shared" si="1"/>
        <v>57.777777777777771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1">
        <f t="shared" ref="BK74:BL74" si="74">BD74</f>
        <v>26</v>
      </c>
      <c r="BL74" s="11">
        <f t="shared" si="74"/>
        <v>45</v>
      </c>
      <c r="BM74" s="13">
        <f t="shared" si="3"/>
        <v>57.777777777777771</v>
      </c>
      <c r="BN74" s="11" t="str">
        <f t="shared" si="4"/>
        <v>0</v>
      </c>
      <c r="BO74" s="11">
        <v>8</v>
      </c>
      <c r="BP74" s="11">
        <v>20</v>
      </c>
      <c r="BQ74" s="30">
        <f t="shared" si="5"/>
        <v>14</v>
      </c>
      <c r="BR74" s="11">
        <v>7</v>
      </c>
      <c r="BS74" s="11">
        <v>8</v>
      </c>
      <c r="BT74" s="11">
        <v>0</v>
      </c>
      <c r="BU74" s="30">
        <f t="shared" si="6"/>
        <v>5</v>
      </c>
      <c r="BV74" s="11">
        <v>3</v>
      </c>
      <c r="BW74" s="13">
        <f t="shared" si="7"/>
        <v>22</v>
      </c>
    </row>
    <row r="75" spans="1:75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v>10</v>
      </c>
      <c r="BC75" s="9"/>
      <c r="BD75" s="9">
        <f t="shared" si="0"/>
        <v>10</v>
      </c>
      <c r="BE75" s="9">
        <v>45</v>
      </c>
      <c r="BF75" s="9">
        <f t="shared" si="1"/>
        <v>22.222222222222221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1">
        <f t="shared" ref="BK75:BL75" si="75">BD75</f>
        <v>10</v>
      </c>
      <c r="BL75" s="11">
        <f t="shared" si="75"/>
        <v>45</v>
      </c>
      <c r="BM75" s="13">
        <f t="shared" si="3"/>
        <v>22.222222222222221</v>
      </c>
      <c r="BN75" s="11" t="str">
        <f t="shared" si="4"/>
        <v>0</v>
      </c>
      <c r="BO75" s="11">
        <v>4</v>
      </c>
      <c r="BP75" s="11">
        <v>13</v>
      </c>
      <c r="BQ75" s="30">
        <f t="shared" si="5"/>
        <v>8.5</v>
      </c>
      <c r="BR75" s="11">
        <v>6</v>
      </c>
      <c r="BS75" s="11">
        <v>6</v>
      </c>
      <c r="BT75" s="11">
        <v>0</v>
      </c>
      <c r="BU75" s="30">
        <f t="shared" si="6"/>
        <v>4</v>
      </c>
      <c r="BV75" s="11">
        <v>3</v>
      </c>
      <c r="BW75" s="13">
        <f t="shared" si="7"/>
        <v>15.5</v>
      </c>
    </row>
    <row r="76" spans="1:75" ht="14.2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>
        <v>22</v>
      </c>
      <c r="BC76" s="9"/>
      <c r="BD76" s="9">
        <f t="shared" si="0"/>
        <v>22</v>
      </c>
      <c r="BE76" s="9">
        <v>45</v>
      </c>
      <c r="BF76" s="9">
        <f t="shared" si="1"/>
        <v>48.888888888888886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11">
        <f t="shared" ref="BK76:BL76" si="76">BD76</f>
        <v>22</v>
      </c>
      <c r="BL76" s="11">
        <f t="shared" si="76"/>
        <v>45</v>
      </c>
      <c r="BM76" s="13">
        <f t="shared" si="3"/>
        <v>48.888888888888886</v>
      </c>
      <c r="BN76" s="11" t="str">
        <f t="shared" si="4"/>
        <v>0</v>
      </c>
      <c r="BO76" s="11">
        <v>3</v>
      </c>
      <c r="BP76" s="11">
        <v>10</v>
      </c>
      <c r="BQ76" s="30">
        <f t="shared" si="5"/>
        <v>6.5</v>
      </c>
      <c r="BR76" s="11">
        <v>7</v>
      </c>
      <c r="BS76" s="11">
        <v>8</v>
      </c>
      <c r="BT76" s="11">
        <v>9</v>
      </c>
      <c r="BU76" s="30">
        <f t="shared" si="6"/>
        <v>8</v>
      </c>
      <c r="BV76" s="11">
        <v>3</v>
      </c>
      <c r="BW76" s="13">
        <f t="shared" si="7"/>
        <v>17.5</v>
      </c>
    </row>
    <row r="77" spans="1:75" ht="14.25" customHeight="1">
      <c r="A77" s="19"/>
      <c r="B77" s="20"/>
      <c r="C77" s="3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19"/>
      <c r="BI77" s="20"/>
      <c r="BJ77" s="20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spans="1:75" ht="14.25" customHeight="1">
      <c r="A78" s="19"/>
      <c r="B78" s="20"/>
      <c r="C78" s="3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19"/>
      <c r="BI78" s="20"/>
      <c r="BJ78" s="20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spans="1:75" ht="14.25" customHeight="1">
      <c r="A79" s="19"/>
      <c r="B79" s="20"/>
      <c r="C79" s="3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spans="1:75" ht="14.25" customHeight="1">
      <c r="A80" s="19"/>
      <c r="B80" s="20"/>
      <c r="C80" s="3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spans="1:75" ht="14.25" customHeight="1">
      <c r="A81" s="19"/>
      <c r="B81" s="20"/>
      <c r="C81" s="3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</row>
    <row r="82" spans="1:75" ht="14.25" customHeight="1">
      <c r="A82" s="19"/>
      <c r="B82" s="20"/>
      <c r="C82" s="3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spans="1:75" ht="14.25" customHeight="1">
      <c r="A83" s="19"/>
      <c r="B83" s="20"/>
      <c r="C83" s="3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spans="1:75" ht="14.25" customHeight="1">
      <c r="A84" s="19"/>
      <c r="B84" s="20"/>
      <c r="C84" s="3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spans="1:75" ht="14.25" customHeight="1">
      <c r="A85" s="19"/>
      <c r="B85" s="20"/>
      <c r="C85" s="3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spans="1:75" ht="14.25" customHeight="1">
      <c r="A86" s="19"/>
      <c r="B86" s="20"/>
      <c r="C86" s="3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spans="1:75" ht="14.25" customHeight="1">
      <c r="A87" s="19"/>
      <c r="B87" s="20"/>
      <c r="C87" s="3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spans="1:75" ht="14.25" customHeight="1">
      <c r="A88" s="19"/>
      <c r="B88" s="20"/>
      <c r="C88" s="3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spans="1:75" ht="14.25" customHeight="1">
      <c r="A89" s="19"/>
      <c r="B89" s="20"/>
      <c r="C89" s="3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spans="1:75" ht="14.25" customHeight="1">
      <c r="A90" s="19"/>
      <c r="B90" s="20"/>
      <c r="C90" s="3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spans="1:75" ht="14.25" customHeight="1">
      <c r="A91" s="19"/>
      <c r="B91" s="20"/>
      <c r="C91" s="3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spans="1:75" ht="14.25" customHeigh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spans="1:75" ht="14.25" customHeight="1">
      <c r="A93" s="19"/>
      <c r="B93" s="20"/>
      <c r="C93" s="3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spans="1:75" ht="14.25" customHeight="1">
      <c r="A94" s="19"/>
      <c r="B94" s="20"/>
      <c r="C94" s="3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spans="1:75" ht="14.25" customHeight="1">
      <c r="A95" s="19"/>
      <c r="B95" s="20"/>
      <c r="C95" s="3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spans="1:75" ht="14.25" customHeight="1">
      <c r="A96" s="19"/>
      <c r="B96" s="20"/>
      <c r="C96" s="3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spans="1:75" ht="14.25" customHeight="1">
      <c r="A97" s="19"/>
      <c r="B97" s="20"/>
      <c r="C97" s="3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spans="1:75" ht="14.25" customHeight="1">
      <c r="A98" s="19"/>
      <c r="B98" s="20"/>
      <c r="C98" s="3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spans="1:75" ht="14.25" customHeight="1">
      <c r="A99" s="19"/>
      <c r="B99" s="20"/>
      <c r="C99" s="3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</row>
    <row r="100" spans="1:75" ht="14.25" customHeight="1">
      <c r="A100" s="19"/>
      <c r="B100" s="20"/>
      <c r="C100" s="3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spans="1:75" ht="14.25" customHeight="1">
      <c r="A101" s="19"/>
      <c r="B101" s="20"/>
      <c r="C101" s="3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spans="1:75" ht="14.25" customHeight="1">
      <c r="A102" s="19"/>
      <c r="B102" s="20"/>
      <c r="C102" s="3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spans="1:75" ht="14.25" customHeight="1">
      <c r="A103" s="19"/>
      <c r="B103" s="20"/>
      <c r="C103" s="3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spans="1:75" ht="14.25" customHeight="1">
      <c r="A104" s="19"/>
      <c r="B104" s="20"/>
      <c r="C104" s="3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spans="1:75" ht="14.25" customHeight="1">
      <c r="A105" s="19"/>
      <c r="B105" s="20"/>
      <c r="C105" s="3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spans="1:75" ht="14.25" customHeight="1">
      <c r="A106" s="19"/>
      <c r="B106" s="20"/>
      <c r="C106" s="3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spans="1:75" ht="14.25" customHeight="1">
      <c r="A107" s="19"/>
      <c r="B107" s="20"/>
      <c r="C107" s="3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spans="1:75" ht="14.25" customHeight="1">
      <c r="A108" s="19"/>
      <c r="B108" s="20"/>
      <c r="C108" s="3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spans="1:75" ht="14.25" customHeight="1">
      <c r="A109" s="19"/>
      <c r="B109" s="20"/>
      <c r="C109" s="3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spans="1:75" ht="14.25" customHeight="1">
      <c r="A110" s="19"/>
      <c r="B110" s="20"/>
      <c r="C110" s="3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spans="1:75" ht="14.25" customHeight="1">
      <c r="A111" s="19"/>
      <c r="B111" s="20"/>
      <c r="C111" s="3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spans="1:75" ht="14.25" customHeigh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spans="1:75" ht="14.25" customHeight="1">
      <c r="A113" s="19"/>
      <c r="B113" s="20"/>
      <c r="C113" s="3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spans="1:75" ht="14.25" customHeight="1">
      <c r="A114" s="19"/>
      <c r="B114" s="20"/>
      <c r="C114" s="3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spans="1:75" ht="14.25" customHeight="1">
      <c r="A115" s="19"/>
      <c r="B115" s="20"/>
      <c r="C115" s="3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spans="1:75" ht="14.25" customHeight="1">
      <c r="A116" s="19"/>
      <c r="B116" s="20"/>
      <c r="C116" s="3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spans="1:75" ht="14.25" customHeight="1">
      <c r="A117" s="19"/>
      <c r="B117" s="20"/>
      <c r="C117" s="3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spans="1:75" ht="14.25" customHeight="1">
      <c r="A118" s="19"/>
      <c r="B118" s="20"/>
      <c r="C118" s="3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spans="1:75" ht="14.25" customHeight="1">
      <c r="A119" s="19"/>
      <c r="B119" s="20"/>
      <c r="C119" s="3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spans="1:75" ht="14.25" customHeight="1">
      <c r="A120" s="19"/>
      <c r="B120" s="20"/>
      <c r="C120" s="3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spans="1:75" ht="14.25" customHeight="1">
      <c r="A121" s="19"/>
      <c r="B121" s="20"/>
      <c r="C121" s="3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spans="1:75" ht="14.25" customHeight="1">
      <c r="A122" s="19"/>
      <c r="B122" s="20"/>
      <c r="C122" s="3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spans="1:75" ht="14.25" customHeight="1">
      <c r="A123" s="19"/>
      <c r="B123" s="20"/>
      <c r="C123" s="3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spans="1:75" ht="14.25" customHeight="1">
      <c r="A124" s="19"/>
      <c r="B124" s="20"/>
      <c r="C124" s="3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spans="1:75" ht="14.25" customHeight="1">
      <c r="A125" s="19"/>
      <c r="B125" s="20"/>
      <c r="C125" s="3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spans="1:75" ht="14.25" customHeight="1">
      <c r="A126" s="19"/>
      <c r="B126" s="20"/>
      <c r="C126" s="3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spans="1:75" ht="14.25" customHeight="1">
      <c r="A127" s="19"/>
      <c r="B127" s="20"/>
      <c r="C127" s="3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spans="1:75" ht="14.25" customHeigh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spans="1:75" ht="14.25" customHeight="1">
      <c r="A129" s="19"/>
      <c r="B129" s="20"/>
      <c r="C129" s="3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spans="1:75" ht="14.25" customHeight="1">
      <c r="A130" s="19"/>
      <c r="B130" s="20"/>
      <c r="C130" s="3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spans="1:75" ht="14.25" customHeight="1">
      <c r="A131" s="19"/>
      <c r="B131" s="20"/>
      <c r="C131" s="3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spans="1:75" ht="14.25" customHeight="1">
      <c r="A132" s="19"/>
      <c r="B132" s="20"/>
      <c r="C132" s="3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spans="1:75" ht="14.25" customHeight="1">
      <c r="A133" s="19"/>
      <c r="B133" s="20"/>
      <c r="C133" s="3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spans="1:75" ht="14.25" customHeight="1">
      <c r="A134" s="19"/>
      <c r="B134" s="20"/>
      <c r="C134" s="3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spans="1:75" ht="14.25" customHeight="1">
      <c r="A135" s="19"/>
      <c r="B135" s="20"/>
      <c r="C135" s="3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spans="1:75" ht="14.25" customHeight="1">
      <c r="A136" s="19"/>
      <c r="B136" s="20"/>
      <c r="C136" s="3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spans="1:75" ht="14.25" customHeight="1">
      <c r="A137" s="19"/>
      <c r="B137" s="20"/>
      <c r="C137" s="3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spans="1:75" ht="14.25" customHeight="1">
      <c r="A138" s="19"/>
      <c r="B138" s="20"/>
      <c r="C138" s="3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spans="1:75" ht="14.25" customHeight="1">
      <c r="A139" s="19"/>
      <c r="B139" s="20"/>
      <c r="C139" s="3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spans="1:75" ht="14.25" customHeight="1">
      <c r="A140" s="19"/>
      <c r="B140" s="20"/>
      <c r="C140" s="3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spans="1:75" ht="14.25" customHeight="1">
      <c r="A141" s="19"/>
      <c r="B141" s="20"/>
      <c r="C141" s="3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spans="1:75" ht="14.25" customHeight="1">
      <c r="A142" s="19"/>
      <c r="B142" s="20"/>
      <c r="C142" s="3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spans="1:75" ht="14.25" customHeight="1">
      <c r="A143" s="19"/>
      <c r="B143" s="20"/>
      <c r="C143" s="3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spans="1:75" ht="14.25" customHeight="1">
      <c r="A144" s="19"/>
      <c r="B144" s="20"/>
      <c r="C144" s="3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spans="1:75" ht="14.25" customHeight="1">
      <c r="A145" s="19"/>
      <c r="B145" s="20"/>
      <c r="C145" s="3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spans="1:75" ht="14.25" customHeight="1">
      <c r="A146" s="19"/>
      <c r="B146" s="20"/>
      <c r="C146" s="3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spans="1:75" ht="14.25" customHeight="1">
      <c r="A147" s="19"/>
      <c r="B147" s="20"/>
      <c r="C147" s="3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spans="1:75" ht="14.25" customHeigh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spans="1:75" ht="14.25" customHeight="1">
      <c r="A149" s="19"/>
      <c r="B149" s="20"/>
      <c r="C149" s="3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spans="1:75" ht="14.25" customHeight="1">
      <c r="A150" s="19"/>
      <c r="B150" s="20"/>
      <c r="C150" s="3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spans="1:75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spans="1:75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spans="1:75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spans="1:75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spans="1:75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spans="1:75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spans="1:75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spans="1:75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spans="1:75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spans="1:75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spans="1:75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spans="1:75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spans="1:75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spans="1:75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spans="1:75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spans="1:75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spans="1:75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spans="1:75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spans="1:75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spans="1:75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spans="1:75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spans="1:75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spans="1:75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spans="1:75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spans="1:75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spans="1:75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spans="1:75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spans="1:75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spans="1:75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spans="1:75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spans="1:75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spans="1:75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spans="1:75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spans="1:75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spans="1:75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spans="1:75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spans="1:75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spans="1:75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spans="1:75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spans="1:75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spans="1:75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spans="1:75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spans="1:75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spans="1:75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spans="1:75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spans="1:75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spans="1:75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spans="1:75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spans="1:75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spans="1:75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spans="1:75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spans="1:75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spans="1:75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spans="1:75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spans="1:75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spans="1:75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spans="1:75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spans="1:75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spans="1:75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spans="1:75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spans="1:75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spans="1:75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spans="1:75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spans="1:75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spans="1:75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spans="1:75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spans="1:75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spans="1:75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spans="1:75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spans="1:75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spans="1:75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spans="1:75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spans="1:75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spans="1:75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spans="1:75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spans="1:75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spans="1:75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spans="1:75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spans="1:75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spans="1:75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spans="1:75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spans="1:75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spans="1:75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spans="1:75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spans="1:75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spans="1:75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spans="1:75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spans="1:75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spans="1:75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spans="1:75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spans="1:75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spans="1:75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spans="1:75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spans="1:75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spans="1:75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spans="1:75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spans="1:75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spans="1:75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</row>
    <row r="249" spans="1:75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</row>
    <row r="250" spans="1:75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</row>
    <row r="251" spans="1:75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</row>
    <row r="252" spans="1:75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</row>
    <row r="253" spans="1:75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</row>
    <row r="254" spans="1:75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</row>
    <row r="255" spans="1:75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</row>
    <row r="256" spans="1:75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</row>
    <row r="257" spans="1:75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</row>
    <row r="258" spans="1:75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</row>
    <row r="259" spans="1:75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spans="1:75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</row>
    <row r="261" spans="1:75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</row>
    <row r="262" spans="1:75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spans="1:75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spans="1:75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spans="1:75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spans="1:75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spans="1:75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spans="1:75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spans="1:75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</row>
    <row r="270" spans="1:75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</row>
    <row r="271" spans="1:75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</row>
    <row r="272" spans="1:75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spans="1:75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spans="1:75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</row>
    <row r="275" spans="1:75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</row>
    <row r="276" spans="1:75" ht="14.25" customHeight="1">
      <c r="A276" s="19"/>
      <c r="B276" s="20"/>
      <c r="C276" s="3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19"/>
      <c r="BI276" s="20"/>
      <c r="BJ276" s="20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</row>
    <row r="277" spans="1:75" ht="15.75" customHeight="1"/>
    <row r="278" spans="1:75" ht="15.75" customHeight="1"/>
    <row r="279" spans="1:75" ht="15.75" customHeight="1"/>
    <row r="280" spans="1:75" ht="15.75" customHeight="1"/>
    <row r="281" spans="1:75" ht="15.75" customHeight="1"/>
    <row r="282" spans="1:75" ht="15.75" customHeight="1"/>
    <row r="283" spans="1:75" ht="15.75" customHeight="1"/>
    <row r="284" spans="1:75" ht="15.75" customHeight="1"/>
    <row r="285" spans="1:75" ht="15.75" customHeight="1"/>
    <row r="286" spans="1:75" ht="15.75" customHeight="1"/>
    <row r="287" spans="1:75" ht="15.75" customHeight="1"/>
    <row r="288" spans="1:75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8">
    <mergeCell ref="BM5:BM6"/>
    <mergeCell ref="BN5:BN6"/>
    <mergeCell ref="BH5:BH6"/>
    <mergeCell ref="BI5:BI6"/>
    <mergeCell ref="BJ5:BJ6"/>
    <mergeCell ref="BK5:BK6"/>
    <mergeCell ref="BL5:BL6"/>
    <mergeCell ref="BH4:BO4"/>
    <mergeCell ref="BP4:BW4"/>
    <mergeCell ref="D4:BE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D1:BF3"/>
    <mergeCell ref="BH1:BW1"/>
    <mergeCell ref="BH2:BW2"/>
    <mergeCell ref="BH3:BO3"/>
    <mergeCell ref="BP3:BW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989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6.5546875" customWidth="1"/>
    <col min="2" max="2" width="9" customWidth="1"/>
    <col min="3" max="3" width="23.33203125" customWidth="1"/>
    <col min="4" max="14" width="4.6640625" customWidth="1"/>
    <col min="15" max="26" width="4.33203125" customWidth="1"/>
    <col min="27" max="40" width="4" customWidth="1"/>
    <col min="41" max="53" width="4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3.33203125" customWidth="1"/>
    <col min="63" max="63" width="8" customWidth="1"/>
    <col min="64" max="64" width="8.109375" customWidth="1"/>
    <col min="65" max="65" width="9.109375" customWidth="1"/>
    <col min="66" max="66" width="14.33203125" customWidth="1"/>
    <col min="67" max="67" width="7" customWidth="1"/>
    <col min="68" max="68" width="7.6640625" customWidth="1"/>
    <col min="69" max="69" width="14.109375" customWidth="1"/>
    <col min="70" max="72" width="4" customWidth="1"/>
    <col min="73" max="73" width="11.88671875" customWidth="1"/>
    <col min="74" max="74" width="8.6640625" customWidth="1"/>
    <col min="75" max="75" width="9.88671875" customWidth="1"/>
  </cols>
  <sheetData>
    <row r="1" spans="1:75" ht="14.25" customHeight="1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95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9"/>
    </row>
    <row r="2" spans="1:75" ht="14.2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9"/>
    </row>
    <row r="3" spans="1:75" ht="22.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8"/>
      <c r="BO3" s="89"/>
      <c r="BP3" s="107" t="s">
        <v>98</v>
      </c>
      <c r="BQ3" s="88"/>
      <c r="BR3" s="88"/>
      <c r="BS3" s="88"/>
      <c r="BT3" s="88"/>
      <c r="BU3" s="88"/>
      <c r="BV3" s="88"/>
      <c r="BW3" s="89"/>
    </row>
    <row r="4" spans="1:75" ht="29.25" customHeight="1">
      <c r="A4" s="108" t="s">
        <v>121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122</v>
      </c>
      <c r="BI4" s="88"/>
      <c r="BJ4" s="88"/>
      <c r="BK4" s="88"/>
      <c r="BL4" s="88"/>
      <c r="BM4" s="88"/>
      <c r="BN4" s="88"/>
      <c r="BO4" s="89"/>
      <c r="BP4" s="107" t="s">
        <v>123</v>
      </c>
      <c r="BQ4" s="88"/>
      <c r="BR4" s="88"/>
      <c r="BS4" s="88"/>
      <c r="BT4" s="88"/>
      <c r="BU4" s="88"/>
      <c r="BV4" s="88"/>
      <c r="BW4" s="89"/>
    </row>
    <row r="5" spans="1:75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7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111</v>
      </c>
      <c r="BP5" s="112" t="s">
        <v>112</v>
      </c>
      <c r="BQ5" s="112" t="s">
        <v>113</v>
      </c>
      <c r="BR5" s="114" t="s">
        <v>114</v>
      </c>
      <c r="BS5" s="88"/>
      <c r="BT5" s="89"/>
      <c r="BU5" s="112" t="s">
        <v>115</v>
      </c>
      <c r="BV5" s="112" t="s">
        <v>120</v>
      </c>
      <c r="BW5" s="112" t="s">
        <v>116</v>
      </c>
    </row>
    <row r="6" spans="1:75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24">
        <v>1</v>
      </c>
      <c r="BS6" s="24">
        <v>2</v>
      </c>
      <c r="BT6" s="24">
        <v>3</v>
      </c>
      <c r="BU6" s="92"/>
      <c r="BV6" s="92"/>
      <c r="BW6" s="92"/>
    </row>
    <row r="7" spans="1:75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v>17</v>
      </c>
      <c r="BC7" s="9"/>
      <c r="BD7" s="9">
        <f t="shared" ref="BD7:BD76" si="0">BB7+BC7</f>
        <v>17</v>
      </c>
      <c r="BE7" s="9">
        <v>33</v>
      </c>
      <c r="BF7" s="2">
        <f t="shared" ref="BF7:BF76" si="1">(BD7/BE7)*100</f>
        <v>51.515151515151516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9">
        <v>17</v>
      </c>
      <c r="BL7" s="9">
        <v>33</v>
      </c>
      <c r="BM7" s="2">
        <f t="shared" ref="BM7:BM76" si="2">(BK7/BL7)*100</f>
        <v>51.515151515151516</v>
      </c>
      <c r="BN7" s="9" t="str">
        <f t="shared" ref="BN7:BN76" si="3">IF(BM7&gt;=95.5,"6",IF(BM7&gt;=90.5,"5", IF(BM7&gt;=85.5,"4",IF(BM7&gt;=80.5,"3",IF(BM7&gt;=75.5,"2","0")))))</f>
        <v>0</v>
      </c>
      <c r="BO7" s="44">
        <v>7</v>
      </c>
      <c r="BP7" s="45">
        <v>8</v>
      </c>
      <c r="BQ7" s="27">
        <f t="shared" ref="BQ7:BQ77" si="4">(BO7+BP7)/2</f>
        <v>7.5</v>
      </c>
      <c r="BR7" s="46">
        <v>9</v>
      </c>
      <c r="BS7" s="45">
        <v>8</v>
      </c>
      <c r="BT7" s="45">
        <v>8</v>
      </c>
      <c r="BU7" s="27">
        <f t="shared" ref="BU7:BU77" si="5">(BR7+BS7+BT7)/3</f>
        <v>8.3333333333333339</v>
      </c>
      <c r="BV7" s="9">
        <v>5</v>
      </c>
      <c r="BW7" s="2">
        <f t="shared" ref="BW7:BW76" si="6">BV7+BU7+BQ7+BN7</f>
        <v>20.833333333333336</v>
      </c>
    </row>
    <row r="8" spans="1:75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>
        <v>21</v>
      </c>
      <c r="BC8" s="9"/>
      <c r="BD8" s="9">
        <f t="shared" si="0"/>
        <v>21</v>
      </c>
      <c r="BE8" s="9">
        <v>33</v>
      </c>
      <c r="BF8" s="2">
        <f t="shared" si="1"/>
        <v>63.636363636363633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9">
        <v>21</v>
      </c>
      <c r="BL8" s="9">
        <v>33</v>
      </c>
      <c r="BM8" s="2">
        <f t="shared" si="2"/>
        <v>63.636363636363633</v>
      </c>
      <c r="BN8" s="9" t="str">
        <f t="shared" si="3"/>
        <v>0</v>
      </c>
      <c r="BO8" s="47">
        <v>7</v>
      </c>
      <c r="BP8" s="48">
        <v>6</v>
      </c>
      <c r="BQ8" s="27">
        <f t="shared" si="4"/>
        <v>6.5</v>
      </c>
      <c r="BR8" s="47">
        <v>8</v>
      </c>
      <c r="BS8" s="48">
        <v>9</v>
      </c>
      <c r="BT8" s="48">
        <v>9</v>
      </c>
      <c r="BU8" s="27">
        <f t="shared" si="5"/>
        <v>8.6666666666666661</v>
      </c>
      <c r="BV8" s="9"/>
      <c r="BW8" s="2">
        <f t="shared" si="6"/>
        <v>15.166666666666666</v>
      </c>
    </row>
    <row r="9" spans="1:75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>
        <v>27</v>
      </c>
      <c r="BC9" s="9"/>
      <c r="BD9" s="9">
        <f t="shared" si="0"/>
        <v>27</v>
      </c>
      <c r="BE9" s="9">
        <v>33</v>
      </c>
      <c r="BF9" s="2">
        <f t="shared" si="1"/>
        <v>81.818181818181827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9">
        <v>27</v>
      </c>
      <c r="BL9" s="9">
        <v>33</v>
      </c>
      <c r="BM9" s="2">
        <f t="shared" si="2"/>
        <v>81.818181818181827</v>
      </c>
      <c r="BN9" s="9" t="str">
        <f t="shared" si="3"/>
        <v>3</v>
      </c>
      <c r="BO9" s="47">
        <v>7</v>
      </c>
      <c r="BP9" s="48">
        <v>19</v>
      </c>
      <c r="BQ9" s="27">
        <f t="shared" si="4"/>
        <v>13</v>
      </c>
      <c r="BR9" s="47">
        <v>8</v>
      </c>
      <c r="BS9" s="48">
        <v>9</v>
      </c>
      <c r="BT9" s="48">
        <v>9</v>
      </c>
      <c r="BU9" s="27">
        <f t="shared" si="5"/>
        <v>8.6666666666666661</v>
      </c>
      <c r="BV9" s="9"/>
      <c r="BW9" s="2">
        <f t="shared" si="6"/>
        <v>24.666666666666664</v>
      </c>
    </row>
    <row r="10" spans="1:75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>
        <v>28</v>
      </c>
      <c r="BC10" s="9"/>
      <c r="BD10" s="9">
        <f t="shared" si="0"/>
        <v>28</v>
      </c>
      <c r="BE10" s="9">
        <v>33</v>
      </c>
      <c r="BF10" s="2">
        <f t="shared" si="1"/>
        <v>84.848484848484844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9">
        <v>28</v>
      </c>
      <c r="BL10" s="9">
        <v>33</v>
      </c>
      <c r="BM10" s="2">
        <f t="shared" si="2"/>
        <v>84.848484848484844</v>
      </c>
      <c r="BN10" s="9" t="str">
        <f t="shared" si="3"/>
        <v>3</v>
      </c>
      <c r="BO10" s="47">
        <v>10</v>
      </c>
      <c r="BP10" s="48">
        <v>11</v>
      </c>
      <c r="BQ10" s="27">
        <f t="shared" si="4"/>
        <v>10.5</v>
      </c>
      <c r="BR10" s="47">
        <v>9</v>
      </c>
      <c r="BS10" s="48">
        <v>9</v>
      </c>
      <c r="BT10" s="48">
        <v>9</v>
      </c>
      <c r="BU10" s="27">
        <f t="shared" si="5"/>
        <v>9</v>
      </c>
      <c r="BV10" s="9"/>
      <c r="BW10" s="2">
        <f t="shared" si="6"/>
        <v>22.5</v>
      </c>
    </row>
    <row r="11" spans="1:75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v>25</v>
      </c>
      <c r="BC11" s="9"/>
      <c r="BD11" s="9">
        <f t="shared" si="0"/>
        <v>25</v>
      </c>
      <c r="BE11" s="9">
        <v>33</v>
      </c>
      <c r="BF11" s="2">
        <f t="shared" si="1"/>
        <v>75.757575757575751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9">
        <v>25</v>
      </c>
      <c r="BL11" s="9">
        <v>33</v>
      </c>
      <c r="BM11" s="2">
        <f t="shared" si="2"/>
        <v>75.757575757575751</v>
      </c>
      <c r="BN11" s="9" t="str">
        <f t="shared" si="3"/>
        <v>2</v>
      </c>
      <c r="BO11" s="47">
        <v>14</v>
      </c>
      <c r="BP11" s="49">
        <v>0</v>
      </c>
      <c r="BQ11" s="27">
        <f t="shared" si="4"/>
        <v>7</v>
      </c>
      <c r="BR11" s="46">
        <v>10</v>
      </c>
      <c r="BS11" s="45">
        <v>10</v>
      </c>
      <c r="BT11" s="45">
        <v>8</v>
      </c>
      <c r="BU11" s="27">
        <f t="shared" si="5"/>
        <v>9.3333333333333339</v>
      </c>
      <c r="BV11" s="9">
        <v>5</v>
      </c>
      <c r="BW11" s="2">
        <f t="shared" si="6"/>
        <v>23.333333333333336</v>
      </c>
    </row>
    <row r="12" spans="1:75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>
        <v>31</v>
      </c>
      <c r="BC12" s="9"/>
      <c r="BD12" s="9">
        <f t="shared" si="0"/>
        <v>31</v>
      </c>
      <c r="BE12" s="9">
        <v>33</v>
      </c>
      <c r="BF12" s="2">
        <f t="shared" si="1"/>
        <v>93.939393939393938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9">
        <v>31</v>
      </c>
      <c r="BL12" s="9">
        <v>33</v>
      </c>
      <c r="BM12" s="2">
        <f t="shared" si="2"/>
        <v>93.939393939393938</v>
      </c>
      <c r="BN12" s="9" t="str">
        <f t="shared" si="3"/>
        <v>5</v>
      </c>
      <c r="BO12" s="47">
        <v>13</v>
      </c>
      <c r="BP12" s="48">
        <v>13</v>
      </c>
      <c r="BQ12" s="27">
        <f t="shared" si="4"/>
        <v>13</v>
      </c>
      <c r="BR12" s="47">
        <v>9</v>
      </c>
      <c r="BS12" s="48">
        <v>9</v>
      </c>
      <c r="BT12" s="48">
        <v>9</v>
      </c>
      <c r="BU12" s="27">
        <f t="shared" si="5"/>
        <v>9</v>
      </c>
      <c r="BV12" s="9"/>
      <c r="BW12" s="2">
        <f t="shared" si="6"/>
        <v>27</v>
      </c>
    </row>
    <row r="13" spans="1:75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v>22</v>
      </c>
      <c r="BC13" s="9"/>
      <c r="BD13" s="9">
        <f t="shared" si="0"/>
        <v>22</v>
      </c>
      <c r="BE13" s="9">
        <v>33</v>
      </c>
      <c r="BF13" s="2">
        <f t="shared" si="1"/>
        <v>66.666666666666657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9">
        <v>22</v>
      </c>
      <c r="BL13" s="9">
        <v>33</v>
      </c>
      <c r="BM13" s="2">
        <f t="shared" si="2"/>
        <v>66.666666666666657</v>
      </c>
      <c r="BN13" s="9" t="str">
        <f t="shared" si="3"/>
        <v>0</v>
      </c>
      <c r="BO13" s="47">
        <v>13</v>
      </c>
      <c r="BP13" s="48">
        <v>13</v>
      </c>
      <c r="BQ13" s="27">
        <f t="shared" si="4"/>
        <v>13</v>
      </c>
      <c r="BR13" s="47">
        <v>9</v>
      </c>
      <c r="BS13" s="48">
        <v>9</v>
      </c>
      <c r="BT13" s="48">
        <v>7</v>
      </c>
      <c r="BU13" s="27">
        <f t="shared" si="5"/>
        <v>8.3333333333333339</v>
      </c>
      <c r="BV13" s="9">
        <v>5</v>
      </c>
      <c r="BW13" s="2">
        <f t="shared" si="6"/>
        <v>26.333333333333336</v>
      </c>
    </row>
    <row r="14" spans="1:75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v>4</v>
      </c>
      <c r="BC14" s="9"/>
      <c r="BD14" s="9">
        <f t="shared" si="0"/>
        <v>4</v>
      </c>
      <c r="BE14" s="9">
        <v>33</v>
      </c>
      <c r="BF14" s="2">
        <f t="shared" si="1"/>
        <v>12.121212121212121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9">
        <v>4</v>
      </c>
      <c r="BL14" s="9">
        <v>33</v>
      </c>
      <c r="BM14" s="2">
        <f t="shared" si="2"/>
        <v>12.121212121212121</v>
      </c>
      <c r="BN14" s="9" t="str">
        <f t="shared" si="3"/>
        <v>0</v>
      </c>
      <c r="BO14" s="47">
        <v>0</v>
      </c>
      <c r="BP14" s="48">
        <v>11</v>
      </c>
      <c r="BQ14" s="27">
        <f t="shared" si="4"/>
        <v>5.5</v>
      </c>
      <c r="BR14" s="47">
        <v>7</v>
      </c>
      <c r="BS14" s="48">
        <v>7</v>
      </c>
      <c r="BT14" s="48">
        <v>9</v>
      </c>
      <c r="BU14" s="27">
        <f t="shared" si="5"/>
        <v>7.666666666666667</v>
      </c>
      <c r="BV14" s="9"/>
      <c r="BW14" s="2">
        <f t="shared" si="6"/>
        <v>13.166666666666668</v>
      </c>
    </row>
    <row r="15" spans="1:75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v>26</v>
      </c>
      <c r="BC15" s="9"/>
      <c r="BD15" s="9">
        <f t="shared" si="0"/>
        <v>26</v>
      </c>
      <c r="BE15" s="9">
        <v>33</v>
      </c>
      <c r="BF15" s="2">
        <f t="shared" si="1"/>
        <v>78.787878787878782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9">
        <v>26</v>
      </c>
      <c r="BL15" s="9">
        <v>33</v>
      </c>
      <c r="BM15" s="2">
        <f t="shared" si="2"/>
        <v>78.787878787878782</v>
      </c>
      <c r="BN15" s="9" t="str">
        <f t="shared" si="3"/>
        <v>2</v>
      </c>
      <c r="BO15" s="47">
        <v>6</v>
      </c>
      <c r="BP15" s="48">
        <v>15</v>
      </c>
      <c r="BQ15" s="27">
        <f t="shared" si="4"/>
        <v>10.5</v>
      </c>
      <c r="BR15" s="47">
        <v>9</v>
      </c>
      <c r="BS15" s="48">
        <v>9</v>
      </c>
      <c r="BT15" s="48">
        <v>8</v>
      </c>
      <c r="BU15" s="27">
        <f t="shared" si="5"/>
        <v>8.6666666666666661</v>
      </c>
      <c r="BV15" s="9"/>
      <c r="BW15" s="2">
        <f t="shared" si="6"/>
        <v>21.166666666666664</v>
      </c>
    </row>
    <row r="16" spans="1:75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v>28</v>
      </c>
      <c r="BC16" s="9"/>
      <c r="BD16" s="9">
        <f t="shared" si="0"/>
        <v>28</v>
      </c>
      <c r="BE16" s="9">
        <v>33</v>
      </c>
      <c r="BF16" s="2">
        <f t="shared" si="1"/>
        <v>84.848484848484844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9">
        <v>28</v>
      </c>
      <c r="BL16" s="9">
        <v>33</v>
      </c>
      <c r="BM16" s="2">
        <f t="shared" si="2"/>
        <v>84.848484848484844</v>
      </c>
      <c r="BN16" s="9" t="str">
        <f t="shared" si="3"/>
        <v>3</v>
      </c>
      <c r="BO16" s="47">
        <v>3</v>
      </c>
      <c r="BP16" s="48">
        <v>16</v>
      </c>
      <c r="BQ16" s="27">
        <f t="shared" si="4"/>
        <v>9.5</v>
      </c>
      <c r="BR16" s="47">
        <v>9</v>
      </c>
      <c r="BS16" s="48">
        <v>8</v>
      </c>
      <c r="BT16" s="48">
        <v>9</v>
      </c>
      <c r="BU16" s="27">
        <f t="shared" si="5"/>
        <v>8.6666666666666661</v>
      </c>
      <c r="BV16" s="9">
        <v>5</v>
      </c>
      <c r="BW16" s="2">
        <f t="shared" si="6"/>
        <v>26.166666666666664</v>
      </c>
    </row>
    <row r="17" spans="1:75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v>17</v>
      </c>
      <c r="BC17" s="9"/>
      <c r="BD17" s="9">
        <f t="shared" si="0"/>
        <v>17</v>
      </c>
      <c r="BE17" s="9">
        <v>33</v>
      </c>
      <c r="BF17" s="2">
        <f t="shared" si="1"/>
        <v>51.515151515151516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9">
        <v>17</v>
      </c>
      <c r="BL17" s="9">
        <v>33</v>
      </c>
      <c r="BM17" s="2">
        <f t="shared" si="2"/>
        <v>51.515151515151516</v>
      </c>
      <c r="BN17" s="9" t="str">
        <f t="shared" si="3"/>
        <v>0</v>
      </c>
      <c r="BO17" s="47">
        <v>10</v>
      </c>
      <c r="BP17" s="48">
        <v>11</v>
      </c>
      <c r="BQ17" s="27">
        <f t="shared" si="4"/>
        <v>10.5</v>
      </c>
      <c r="BR17" s="47">
        <v>9</v>
      </c>
      <c r="BS17" s="48">
        <v>7</v>
      </c>
      <c r="BT17" s="48">
        <v>7</v>
      </c>
      <c r="BU17" s="27">
        <f t="shared" si="5"/>
        <v>7.666666666666667</v>
      </c>
      <c r="BV17" s="9"/>
      <c r="BW17" s="2">
        <f t="shared" si="6"/>
        <v>18.166666666666668</v>
      </c>
    </row>
    <row r="18" spans="1:75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v>28</v>
      </c>
      <c r="BC18" s="9"/>
      <c r="BD18" s="9">
        <f t="shared" si="0"/>
        <v>28</v>
      </c>
      <c r="BE18" s="9">
        <v>33</v>
      </c>
      <c r="BF18" s="2">
        <f t="shared" si="1"/>
        <v>84.848484848484844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9">
        <v>28</v>
      </c>
      <c r="BL18" s="9">
        <v>33</v>
      </c>
      <c r="BM18" s="2">
        <f t="shared" si="2"/>
        <v>84.848484848484844</v>
      </c>
      <c r="BN18" s="9" t="str">
        <f t="shared" si="3"/>
        <v>3</v>
      </c>
      <c r="BO18" s="47">
        <v>8</v>
      </c>
      <c r="BP18" s="49">
        <v>0</v>
      </c>
      <c r="BQ18" s="27">
        <f t="shared" si="4"/>
        <v>4</v>
      </c>
      <c r="BR18" s="47">
        <v>8</v>
      </c>
      <c r="BS18" s="48">
        <v>9</v>
      </c>
      <c r="BT18" s="48">
        <v>8</v>
      </c>
      <c r="BU18" s="27">
        <f t="shared" si="5"/>
        <v>8.3333333333333339</v>
      </c>
      <c r="BV18" s="9"/>
      <c r="BW18" s="2">
        <f t="shared" si="6"/>
        <v>15.333333333333334</v>
      </c>
    </row>
    <row r="19" spans="1:75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v>30</v>
      </c>
      <c r="BC19" s="9"/>
      <c r="BD19" s="9">
        <f t="shared" si="0"/>
        <v>30</v>
      </c>
      <c r="BE19" s="9">
        <v>33</v>
      </c>
      <c r="BF19" s="2">
        <f t="shared" si="1"/>
        <v>90.909090909090907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9">
        <v>30</v>
      </c>
      <c r="BL19" s="9">
        <v>33</v>
      </c>
      <c r="BM19" s="2">
        <f t="shared" si="2"/>
        <v>90.909090909090907</v>
      </c>
      <c r="BN19" s="9" t="str">
        <f t="shared" si="3"/>
        <v>5</v>
      </c>
      <c r="BO19" s="47">
        <v>15</v>
      </c>
      <c r="BP19" s="48">
        <v>11</v>
      </c>
      <c r="BQ19" s="27">
        <f t="shared" si="4"/>
        <v>13</v>
      </c>
      <c r="BR19" s="47">
        <v>7</v>
      </c>
      <c r="BS19" s="48">
        <v>8</v>
      </c>
      <c r="BT19" s="48">
        <v>9</v>
      </c>
      <c r="BU19" s="27">
        <f t="shared" si="5"/>
        <v>8</v>
      </c>
      <c r="BV19" s="9">
        <v>5</v>
      </c>
      <c r="BW19" s="2">
        <f t="shared" si="6"/>
        <v>31</v>
      </c>
    </row>
    <row r="20" spans="1:75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20</v>
      </c>
      <c r="BC20" s="9"/>
      <c r="BD20" s="9">
        <f t="shared" si="0"/>
        <v>20</v>
      </c>
      <c r="BE20" s="9">
        <v>33</v>
      </c>
      <c r="BF20" s="2">
        <f t="shared" si="1"/>
        <v>60.606060606060609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9">
        <v>20</v>
      </c>
      <c r="BL20" s="9">
        <v>33</v>
      </c>
      <c r="BM20" s="2">
        <f t="shared" si="2"/>
        <v>60.606060606060609</v>
      </c>
      <c r="BN20" s="9" t="str">
        <f t="shared" si="3"/>
        <v>0</v>
      </c>
      <c r="BO20" s="50">
        <v>0</v>
      </c>
      <c r="BP20" s="48">
        <v>1</v>
      </c>
      <c r="BQ20" s="27">
        <f t="shared" si="4"/>
        <v>0.5</v>
      </c>
      <c r="BR20" s="47">
        <v>8</v>
      </c>
      <c r="BS20" s="48">
        <v>9</v>
      </c>
      <c r="BT20" s="48">
        <v>8</v>
      </c>
      <c r="BU20" s="27">
        <f t="shared" si="5"/>
        <v>8.3333333333333339</v>
      </c>
      <c r="BV20" s="9">
        <v>5</v>
      </c>
      <c r="BW20" s="2">
        <f t="shared" si="6"/>
        <v>13.833333333333334</v>
      </c>
    </row>
    <row r="21" spans="1:75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v>23</v>
      </c>
      <c r="BC21" s="9"/>
      <c r="BD21" s="9">
        <f t="shared" si="0"/>
        <v>23</v>
      </c>
      <c r="BE21" s="9">
        <v>33</v>
      </c>
      <c r="BF21" s="2">
        <f t="shared" si="1"/>
        <v>69.696969696969703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9">
        <v>23</v>
      </c>
      <c r="BL21" s="9">
        <v>33</v>
      </c>
      <c r="BM21" s="2">
        <f t="shared" si="2"/>
        <v>69.696969696969703</v>
      </c>
      <c r="BN21" s="9" t="str">
        <f t="shared" si="3"/>
        <v>0</v>
      </c>
      <c r="BO21" s="47">
        <v>11</v>
      </c>
      <c r="BP21" s="48">
        <v>15</v>
      </c>
      <c r="BQ21" s="27">
        <f t="shared" si="4"/>
        <v>13</v>
      </c>
      <c r="BR21" s="47">
        <v>9</v>
      </c>
      <c r="BS21" s="48">
        <v>9</v>
      </c>
      <c r="BT21" s="48">
        <v>9</v>
      </c>
      <c r="BU21" s="27">
        <f t="shared" si="5"/>
        <v>9</v>
      </c>
      <c r="BV21" s="9"/>
      <c r="BW21" s="2">
        <f t="shared" si="6"/>
        <v>22</v>
      </c>
    </row>
    <row r="22" spans="1:75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v>26</v>
      </c>
      <c r="BC22" s="9"/>
      <c r="BD22" s="9">
        <f t="shared" si="0"/>
        <v>26</v>
      </c>
      <c r="BE22" s="9">
        <v>33</v>
      </c>
      <c r="BF22" s="2">
        <f t="shared" si="1"/>
        <v>78.787878787878782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9">
        <v>26</v>
      </c>
      <c r="BL22" s="9">
        <v>33</v>
      </c>
      <c r="BM22" s="2">
        <f t="shared" si="2"/>
        <v>78.787878787878782</v>
      </c>
      <c r="BN22" s="9" t="str">
        <f t="shared" si="3"/>
        <v>2</v>
      </c>
      <c r="BO22" s="47">
        <v>6</v>
      </c>
      <c r="BP22" s="48">
        <v>10</v>
      </c>
      <c r="BQ22" s="27">
        <f t="shared" si="4"/>
        <v>8</v>
      </c>
      <c r="BR22" s="47">
        <v>9</v>
      </c>
      <c r="BS22" s="48">
        <v>10</v>
      </c>
      <c r="BT22" s="48">
        <v>8</v>
      </c>
      <c r="BU22" s="27">
        <f t="shared" si="5"/>
        <v>9</v>
      </c>
      <c r="BV22" s="9">
        <v>5</v>
      </c>
      <c r="BW22" s="2">
        <f t="shared" si="6"/>
        <v>24</v>
      </c>
    </row>
    <row r="23" spans="1:75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v>25</v>
      </c>
      <c r="BC23" s="9"/>
      <c r="BD23" s="9">
        <f t="shared" si="0"/>
        <v>25</v>
      </c>
      <c r="BE23" s="9">
        <v>33</v>
      </c>
      <c r="BF23" s="2">
        <f t="shared" si="1"/>
        <v>75.757575757575751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9">
        <v>25</v>
      </c>
      <c r="BL23" s="9">
        <v>33</v>
      </c>
      <c r="BM23" s="2">
        <f t="shared" si="2"/>
        <v>75.757575757575751</v>
      </c>
      <c r="BN23" s="9" t="str">
        <f t="shared" si="3"/>
        <v>2</v>
      </c>
      <c r="BO23" s="47">
        <v>10</v>
      </c>
      <c r="BP23" s="48">
        <v>4</v>
      </c>
      <c r="BQ23" s="27">
        <f t="shared" si="4"/>
        <v>7</v>
      </c>
      <c r="BR23" s="47">
        <v>7</v>
      </c>
      <c r="BS23" s="48">
        <v>8</v>
      </c>
      <c r="BT23" s="48">
        <v>8</v>
      </c>
      <c r="BU23" s="27">
        <f t="shared" si="5"/>
        <v>7.666666666666667</v>
      </c>
      <c r="BV23" s="9">
        <v>5</v>
      </c>
      <c r="BW23" s="2">
        <f t="shared" si="6"/>
        <v>21.666666666666668</v>
      </c>
    </row>
    <row r="24" spans="1:75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>
        <v>29</v>
      </c>
      <c r="BC24" s="9"/>
      <c r="BD24" s="9">
        <f t="shared" si="0"/>
        <v>29</v>
      </c>
      <c r="BE24" s="9">
        <v>33</v>
      </c>
      <c r="BF24" s="2">
        <f t="shared" si="1"/>
        <v>87.878787878787875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9">
        <v>29</v>
      </c>
      <c r="BL24" s="9">
        <v>33</v>
      </c>
      <c r="BM24" s="2">
        <f t="shared" si="2"/>
        <v>87.878787878787875</v>
      </c>
      <c r="BN24" s="9" t="str">
        <f t="shared" si="3"/>
        <v>4</v>
      </c>
      <c r="BO24" s="47">
        <v>8</v>
      </c>
      <c r="BP24" s="48">
        <v>4</v>
      </c>
      <c r="BQ24" s="27">
        <f t="shared" si="4"/>
        <v>6</v>
      </c>
      <c r="BR24" s="47">
        <v>9</v>
      </c>
      <c r="BS24" s="48">
        <v>9</v>
      </c>
      <c r="BT24" s="48">
        <v>10</v>
      </c>
      <c r="BU24" s="27">
        <f t="shared" si="5"/>
        <v>9.3333333333333339</v>
      </c>
      <c r="BV24" s="9"/>
      <c r="BW24" s="2">
        <f t="shared" si="6"/>
        <v>19.333333333333336</v>
      </c>
    </row>
    <row r="25" spans="1:75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20</v>
      </c>
      <c r="BC25" s="9"/>
      <c r="BD25" s="9">
        <f t="shared" si="0"/>
        <v>20</v>
      </c>
      <c r="BE25" s="9">
        <v>33</v>
      </c>
      <c r="BF25" s="2">
        <f t="shared" si="1"/>
        <v>60.606060606060609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9">
        <v>20</v>
      </c>
      <c r="BL25" s="9">
        <v>33</v>
      </c>
      <c r="BM25" s="2">
        <f t="shared" si="2"/>
        <v>60.606060606060609</v>
      </c>
      <c r="BN25" s="9" t="str">
        <f t="shared" si="3"/>
        <v>0</v>
      </c>
      <c r="BO25" s="47">
        <v>2</v>
      </c>
      <c r="BP25" s="48">
        <v>9</v>
      </c>
      <c r="BQ25" s="27">
        <f t="shared" si="4"/>
        <v>5.5</v>
      </c>
      <c r="BR25" s="47">
        <v>8</v>
      </c>
      <c r="BS25" s="48">
        <v>9</v>
      </c>
      <c r="BT25" s="48">
        <v>9</v>
      </c>
      <c r="BU25" s="27">
        <f t="shared" si="5"/>
        <v>8.6666666666666661</v>
      </c>
      <c r="BV25" s="9">
        <v>5</v>
      </c>
      <c r="BW25" s="2">
        <f t="shared" si="6"/>
        <v>19.166666666666664</v>
      </c>
    </row>
    <row r="26" spans="1:75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>
        <v>26</v>
      </c>
      <c r="BC26" s="9"/>
      <c r="BD26" s="9">
        <f t="shared" si="0"/>
        <v>26</v>
      </c>
      <c r="BE26" s="9">
        <v>33</v>
      </c>
      <c r="BF26" s="2">
        <f t="shared" si="1"/>
        <v>78.787878787878782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9">
        <v>26</v>
      </c>
      <c r="BL26" s="9">
        <v>33</v>
      </c>
      <c r="BM26" s="2">
        <f t="shared" si="2"/>
        <v>78.787878787878782</v>
      </c>
      <c r="BN26" s="9" t="str">
        <f t="shared" si="3"/>
        <v>2</v>
      </c>
      <c r="BO26" s="47">
        <v>4</v>
      </c>
      <c r="BP26" s="48">
        <v>15</v>
      </c>
      <c r="BQ26" s="27">
        <f t="shared" si="4"/>
        <v>9.5</v>
      </c>
      <c r="BR26" s="47">
        <v>8</v>
      </c>
      <c r="BS26" s="48">
        <v>8</v>
      </c>
      <c r="BT26" s="48">
        <v>9</v>
      </c>
      <c r="BU26" s="27">
        <f t="shared" si="5"/>
        <v>8.3333333333333339</v>
      </c>
      <c r="BV26" s="9"/>
      <c r="BW26" s="2">
        <f t="shared" si="6"/>
        <v>19.833333333333336</v>
      </c>
    </row>
    <row r="27" spans="1:75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v>2</v>
      </c>
      <c r="BC27" s="9"/>
      <c r="BD27" s="9">
        <f t="shared" si="0"/>
        <v>2</v>
      </c>
      <c r="BE27" s="9">
        <v>33</v>
      </c>
      <c r="BF27" s="2">
        <f t="shared" si="1"/>
        <v>6.0606060606060606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9">
        <v>2</v>
      </c>
      <c r="BL27" s="9">
        <v>33</v>
      </c>
      <c r="BM27" s="2">
        <f t="shared" si="2"/>
        <v>6.0606060606060606</v>
      </c>
      <c r="BN27" s="9" t="str">
        <f t="shared" si="3"/>
        <v>0</v>
      </c>
      <c r="BO27" s="50">
        <v>0</v>
      </c>
      <c r="BP27" s="49">
        <v>0</v>
      </c>
      <c r="BQ27" s="27">
        <f t="shared" si="4"/>
        <v>0</v>
      </c>
      <c r="BR27" s="50">
        <v>0</v>
      </c>
      <c r="BS27" s="49">
        <v>0</v>
      </c>
      <c r="BT27" s="49">
        <v>0</v>
      </c>
      <c r="BU27" s="27">
        <f t="shared" si="5"/>
        <v>0</v>
      </c>
      <c r="BV27" s="9"/>
      <c r="BW27" s="2">
        <f t="shared" si="6"/>
        <v>0</v>
      </c>
    </row>
    <row r="28" spans="1:75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19</v>
      </c>
      <c r="BC28" s="9"/>
      <c r="BD28" s="9">
        <f t="shared" si="0"/>
        <v>19</v>
      </c>
      <c r="BE28" s="9">
        <v>33</v>
      </c>
      <c r="BF28" s="2">
        <f t="shared" si="1"/>
        <v>57.575757575757578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9">
        <v>19</v>
      </c>
      <c r="BL28" s="9">
        <v>33</v>
      </c>
      <c r="BM28" s="2">
        <f t="shared" si="2"/>
        <v>57.575757575757578</v>
      </c>
      <c r="BN28" s="9" t="str">
        <f t="shared" si="3"/>
        <v>0</v>
      </c>
      <c r="BO28" s="47">
        <v>6</v>
      </c>
      <c r="BP28" s="51">
        <v>6</v>
      </c>
      <c r="BQ28" s="27">
        <f t="shared" si="4"/>
        <v>6</v>
      </c>
      <c r="BR28" s="47">
        <v>8</v>
      </c>
      <c r="BS28" s="48">
        <v>7</v>
      </c>
      <c r="BT28" s="48">
        <v>8</v>
      </c>
      <c r="BU28" s="27">
        <f t="shared" si="5"/>
        <v>7.666666666666667</v>
      </c>
      <c r="BV28" s="9">
        <v>5</v>
      </c>
      <c r="BW28" s="2">
        <f t="shared" si="6"/>
        <v>18.666666666666668</v>
      </c>
    </row>
    <row r="29" spans="1:75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>
        <v>26</v>
      </c>
      <c r="BC29" s="9"/>
      <c r="BD29" s="9">
        <f t="shared" si="0"/>
        <v>26</v>
      </c>
      <c r="BE29" s="9">
        <v>33</v>
      </c>
      <c r="BF29" s="2">
        <f t="shared" si="1"/>
        <v>78.787878787878782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9">
        <v>26</v>
      </c>
      <c r="BL29" s="9">
        <v>33</v>
      </c>
      <c r="BM29" s="2">
        <f t="shared" si="2"/>
        <v>78.787878787878782</v>
      </c>
      <c r="BN29" s="9" t="str">
        <f t="shared" si="3"/>
        <v>2</v>
      </c>
      <c r="BO29" s="47">
        <v>3</v>
      </c>
      <c r="BP29" s="48">
        <v>8</v>
      </c>
      <c r="BQ29" s="27">
        <f t="shared" si="4"/>
        <v>5.5</v>
      </c>
      <c r="BR29" s="47">
        <v>9</v>
      </c>
      <c r="BS29" s="48">
        <v>9</v>
      </c>
      <c r="BT29" s="48">
        <v>8</v>
      </c>
      <c r="BU29" s="27">
        <f t="shared" si="5"/>
        <v>8.6666666666666661</v>
      </c>
      <c r="BV29" s="9"/>
      <c r="BW29" s="2">
        <f t="shared" si="6"/>
        <v>16.166666666666664</v>
      </c>
    </row>
    <row r="30" spans="1:75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>
        <v>23</v>
      </c>
      <c r="BC30" s="9"/>
      <c r="BD30" s="9">
        <f t="shared" si="0"/>
        <v>23</v>
      </c>
      <c r="BE30" s="9">
        <v>33</v>
      </c>
      <c r="BF30" s="2">
        <f t="shared" si="1"/>
        <v>69.696969696969703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9">
        <v>23</v>
      </c>
      <c r="BL30" s="9">
        <v>33</v>
      </c>
      <c r="BM30" s="2">
        <f t="shared" si="2"/>
        <v>69.696969696969703</v>
      </c>
      <c r="BN30" s="9" t="str">
        <f t="shared" si="3"/>
        <v>0</v>
      </c>
      <c r="BO30" s="47">
        <v>4</v>
      </c>
      <c r="BP30" s="48">
        <v>9</v>
      </c>
      <c r="BQ30" s="27">
        <f t="shared" si="4"/>
        <v>6.5</v>
      </c>
      <c r="BR30" s="47">
        <v>9</v>
      </c>
      <c r="BS30" s="48">
        <v>10</v>
      </c>
      <c r="BT30" s="48">
        <v>10</v>
      </c>
      <c r="BU30" s="27">
        <f t="shared" si="5"/>
        <v>9.6666666666666661</v>
      </c>
      <c r="BV30" s="9">
        <v>5</v>
      </c>
      <c r="BW30" s="2">
        <f t="shared" si="6"/>
        <v>21.166666666666664</v>
      </c>
    </row>
    <row r="31" spans="1:75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>
        <v>22</v>
      </c>
      <c r="BC31" s="9"/>
      <c r="BD31" s="9">
        <f t="shared" si="0"/>
        <v>22</v>
      </c>
      <c r="BE31" s="9">
        <v>33</v>
      </c>
      <c r="BF31" s="2">
        <f t="shared" si="1"/>
        <v>66.666666666666657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9">
        <v>22</v>
      </c>
      <c r="BL31" s="9">
        <v>33</v>
      </c>
      <c r="BM31" s="2">
        <f t="shared" si="2"/>
        <v>66.666666666666657</v>
      </c>
      <c r="BN31" s="9" t="str">
        <f t="shared" si="3"/>
        <v>0</v>
      </c>
      <c r="BO31" s="47">
        <v>6</v>
      </c>
      <c r="BP31" s="48">
        <v>14</v>
      </c>
      <c r="BQ31" s="27">
        <f t="shared" si="4"/>
        <v>10</v>
      </c>
      <c r="BR31" s="47">
        <v>8</v>
      </c>
      <c r="BS31" s="48">
        <v>8</v>
      </c>
      <c r="BT31" s="48">
        <v>9</v>
      </c>
      <c r="BU31" s="27">
        <f t="shared" si="5"/>
        <v>8.3333333333333339</v>
      </c>
      <c r="BV31" s="9">
        <v>5</v>
      </c>
      <c r="BW31" s="2">
        <f t="shared" si="6"/>
        <v>23.333333333333336</v>
      </c>
    </row>
    <row r="32" spans="1:75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>
        <v>8</v>
      </c>
      <c r="BC32" s="9"/>
      <c r="BD32" s="9">
        <f t="shared" si="0"/>
        <v>8</v>
      </c>
      <c r="BE32" s="9">
        <v>33</v>
      </c>
      <c r="BF32" s="2">
        <f t="shared" si="1"/>
        <v>24.242424242424242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9">
        <v>8</v>
      </c>
      <c r="BL32" s="9">
        <v>33</v>
      </c>
      <c r="BM32" s="2">
        <f t="shared" si="2"/>
        <v>24.242424242424242</v>
      </c>
      <c r="BN32" s="9" t="str">
        <f t="shared" si="3"/>
        <v>0</v>
      </c>
      <c r="BO32" s="50">
        <v>0</v>
      </c>
      <c r="BP32" s="48">
        <v>11</v>
      </c>
      <c r="BQ32" s="27">
        <f t="shared" si="4"/>
        <v>5.5</v>
      </c>
      <c r="BR32" s="47">
        <v>8</v>
      </c>
      <c r="BS32" s="48">
        <v>7</v>
      </c>
      <c r="BT32" s="48">
        <v>7</v>
      </c>
      <c r="BU32" s="27">
        <f t="shared" si="5"/>
        <v>7.333333333333333</v>
      </c>
      <c r="BV32" s="9"/>
      <c r="BW32" s="2">
        <f t="shared" si="6"/>
        <v>12.833333333333332</v>
      </c>
    </row>
    <row r="33" spans="1:75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>
        <v>30</v>
      </c>
      <c r="BC33" s="9"/>
      <c r="BD33" s="9">
        <f t="shared" si="0"/>
        <v>30</v>
      </c>
      <c r="BE33" s="9">
        <v>33</v>
      </c>
      <c r="BF33" s="2">
        <f t="shared" si="1"/>
        <v>90.909090909090907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9">
        <v>30</v>
      </c>
      <c r="BL33" s="9">
        <v>33</v>
      </c>
      <c r="BM33" s="2">
        <f t="shared" si="2"/>
        <v>90.909090909090907</v>
      </c>
      <c r="BN33" s="9" t="str">
        <f t="shared" si="3"/>
        <v>5</v>
      </c>
      <c r="BO33" s="47">
        <v>6</v>
      </c>
      <c r="BP33" s="48">
        <v>13</v>
      </c>
      <c r="BQ33" s="27">
        <f t="shared" si="4"/>
        <v>9.5</v>
      </c>
      <c r="BR33" s="47">
        <v>9</v>
      </c>
      <c r="BS33" s="48">
        <v>9</v>
      </c>
      <c r="BT33" s="48">
        <v>8</v>
      </c>
      <c r="BU33" s="27">
        <f t="shared" si="5"/>
        <v>8.6666666666666661</v>
      </c>
      <c r="BV33" s="9"/>
      <c r="BW33" s="2">
        <f t="shared" si="6"/>
        <v>23.166666666666664</v>
      </c>
    </row>
    <row r="34" spans="1:75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v>21</v>
      </c>
      <c r="BC34" s="9"/>
      <c r="BD34" s="9">
        <f t="shared" si="0"/>
        <v>21</v>
      </c>
      <c r="BE34" s="9">
        <v>33</v>
      </c>
      <c r="BF34" s="2">
        <f t="shared" si="1"/>
        <v>63.636363636363633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9">
        <v>21</v>
      </c>
      <c r="BL34" s="9">
        <v>33</v>
      </c>
      <c r="BM34" s="2">
        <f t="shared" si="2"/>
        <v>63.636363636363633</v>
      </c>
      <c r="BN34" s="9" t="str">
        <f t="shared" si="3"/>
        <v>0</v>
      </c>
      <c r="BO34" s="47">
        <v>5</v>
      </c>
      <c r="BP34" s="48">
        <v>10</v>
      </c>
      <c r="BQ34" s="27">
        <f t="shared" si="4"/>
        <v>7.5</v>
      </c>
      <c r="BR34" s="47">
        <v>9</v>
      </c>
      <c r="BS34" s="48">
        <v>9</v>
      </c>
      <c r="BT34" s="48">
        <v>10</v>
      </c>
      <c r="BU34" s="27">
        <f t="shared" si="5"/>
        <v>9.3333333333333339</v>
      </c>
      <c r="BV34" s="9"/>
      <c r="BW34" s="2">
        <f t="shared" si="6"/>
        <v>16.833333333333336</v>
      </c>
    </row>
    <row r="35" spans="1:75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v>23</v>
      </c>
      <c r="BC35" s="9"/>
      <c r="BD35" s="9">
        <f t="shared" si="0"/>
        <v>23</v>
      </c>
      <c r="BE35" s="9">
        <v>33</v>
      </c>
      <c r="BF35" s="2">
        <f t="shared" si="1"/>
        <v>69.696969696969703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9">
        <v>23</v>
      </c>
      <c r="BL35" s="9">
        <v>33</v>
      </c>
      <c r="BM35" s="2">
        <f t="shared" si="2"/>
        <v>69.696969696969703</v>
      </c>
      <c r="BN35" s="9" t="str">
        <f t="shared" si="3"/>
        <v>0</v>
      </c>
      <c r="BO35" s="47">
        <v>0</v>
      </c>
      <c r="BP35" s="48">
        <v>9</v>
      </c>
      <c r="BQ35" s="27">
        <f t="shared" si="4"/>
        <v>4.5</v>
      </c>
      <c r="BR35" s="47">
        <v>9</v>
      </c>
      <c r="BS35" s="48">
        <v>9</v>
      </c>
      <c r="BT35" s="48">
        <v>8</v>
      </c>
      <c r="BU35" s="27">
        <f t="shared" si="5"/>
        <v>8.6666666666666661</v>
      </c>
      <c r="BV35" s="9"/>
      <c r="BW35" s="2">
        <f t="shared" si="6"/>
        <v>13.166666666666666</v>
      </c>
    </row>
    <row r="36" spans="1:75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v>20</v>
      </c>
      <c r="BC36" s="9"/>
      <c r="BD36" s="9">
        <f t="shared" si="0"/>
        <v>20</v>
      </c>
      <c r="BE36" s="9">
        <v>33</v>
      </c>
      <c r="BF36" s="2">
        <f t="shared" si="1"/>
        <v>60.606060606060609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9">
        <v>20</v>
      </c>
      <c r="BL36" s="9">
        <v>33</v>
      </c>
      <c r="BM36" s="2">
        <f t="shared" si="2"/>
        <v>60.606060606060609</v>
      </c>
      <c r="BN36" s="9" t="str">
        <f t="shared" si="3"/>
        <v>0</v>
      </c>
      <c r="BO36" s="47">
        <v>0</v>
      </c>
      <c r="BP36" s="49">
        <v>0</v>
      </c>
      <c r="BQ36" s="27">
        <f t="shared" si="4"/>
        <v>0</v>
      </c>
      <c r="BR36" s="46">
        <v>7</v>
      </c>
      <c r="BS36" s="45">
        <v>8</v>
      </c>
      <c r="BT36" s="45">
        <v>8</v>
      </c>
      <c r="BU36" s="27">
        <f t="shared" si="5"/>
        <v>7.666666666666667</v>
      </c>
      <c r="BV36" s="9"/>
      <c r="BW36" s="2">
        <f t="shared" si="6"/>
        <v>7.666666666666667</v>
      </c>
    </row>
    <row r="37" spans="1:75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v>7</v>
      </c>
      <c r="BC37" s="9"/>
      <c r="BD37" s="9">
        <f t="shared" si="0"/>
        <v>7</v>
      </c>
      <c r="BE37" s="9">
        <v>33</v>
      </c>
      <c r="BF37" s="2">
        <f t="shared" si="1"/>
        <v>21.212121212121211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9">
        <v>7</v>
      </c>
      <c r="BL37" s="9">
        <v>33</v>
      </c>
      <c r="BM37" s="2">
        <f t="shared" si="2"/>
        <v>21.212121212121211</v>
      </c>
      <c r="BN37" s="9" t="str">
        <f t="shared" si="3"/>
        <v>0</v>
      </c>
      <c r="BO37" s="47">
        <v>5</v>
      </c>
      <c r="BP37" s="49">
        <v>0</v>
      </c>
      <c r="BQ37" s="27">
        <f t="shared" si="4"/>
        <v>2.5</v>
      </c>
      <c r="BR37" s="46">
        <v>10</v>
      </c>
      <c r="BS37" s="45">
        <v>7</v>
      </c>
      <c r="BT37" s="45">
        <v>7</v>
      </c>
      <c r="BU37" s="27">
        <f t="shared" si="5"/>
        <v>8</v>
      </c>
      <c r="BV37" s="9"/>
      <c r="BW37" s="2">
        <f t="shared" si="6"/>
        <v>10.5</v>
      </c>
    </row>
    <row r="38" spans="1:75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v>3</v>
      </c>
      <c r="BC38" s="9"/>
      <c r="BD38" s="9">
        <f t="shared" si="0"/>
        <v>3</v>
      </c>
      <c r="BE38" s="9">
        <v>33</v>
      </c>
      <c r="BF38" s="2">
        <f t="shared" si="1"/>
        <v>9.0909090909090917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9">
        <v>3</v>
      </c>
      <c r="BL38" s="9">
        <v>33</v>
      </c>
      <c r="BM38" s="2">
        <f t="shared" si="2"/>
        <v>9.0909090909090917</v>
      </c>
      <c r="BN38" s="9" t="str">
        <f t="shared" si="3"/>
        <v>0</v>
      </c>
      <c r="BO38" s="47">
        <v>8</v>
      </c>
      <c r="BP38" s="49">
        <v>0</v>
      </c>
      <c r="BQ38" s="27">
        <f t="shared" si="4"/>
        <v>4</v>
      </c>
      <c r="BR38" s="47">
        <v>7</v>
      </c>
      <c r="BS38" s="48">
        <v>7</v>
      </c>
      <c r="BT38" s="49">
        <v>0</v>
      </c>
      <c r="BU38" s="27">
        <f t="shared" si="5"/>
        <v>4.666666666666667</v>
      </c>
      <c r="BV38" s="9"/>
      <c r="BW38" s="2">
        <f t="shared" si="6"/>
        <v>8.6666666666666679</v>
      </c>
    </row>
    <row r="39" spans="1:75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>
        <v>18</v>
      </c>
      <c r="BC39" s="9"/>
      <c r="BD39" s="9">
        <f t="shared" si="0"/>
        <v>18</v>
      </c>
      <c r="BE39" s="9">
        <v>33</v>
      </c>
      <c r="BF39" s="2">
        <f t="shared" si="1"/>
        <v>54.54545454545454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9">
        <v>18</v>
      </c>
      <c r="BL39" s="9">
        <v>33</v>
      </c>
      <c r="BM39" s="2">
        <f t="shared" si="2"/>
        <v>54.54545454545454</v>
      </c>
      <c r="BN39" s="9" t="str">
        <f t="shared" si="3"/>
        <v>0</v>
      </c>
      <c r="BO39" s="47">
        <v>9</v>
      </c>
      <c r="BP39" s="48">
        <v>5</v>
      </c>
      <c r="BQ39" s="27">
        <f t="shared" si="4"/>
        <v>7</v>
      </c>
      <c r="BR39" s="46">
        <v>9</v>
      </c>
      <c r="BS39" s="45">
        <v>9</v>
      </c>
      <c r="BT39" s="45">
        <v>9</v>
      </c>
      <c r="BU39" s="27">
        <f t="shared" si="5"/>
        <v>9</v>
      </c>
      <c r="BV39" s="9">
        <v>5</v>
      </c>
      <c r="BW39" s="2">
        <f t="shared" si="6"/>
        <v>21</v>
      </c>
    </row>
    <row r="40" spans="1:75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v>6</v>
      </c>
      <c r="BC40" s="9"/>
      <c r="BD40" s="9">
        <f t="shared" si="0"/>
        <v>6</v>
      </c>
      <c r="BE40" s="9">
        <v>33</v>
      </c>
      <c r="BF40" s="2">
        <f t="shared" si="1"/>
        <v>18.181818181818183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9">
        <v>6</v>
      </c>
      <c r="BL40" s="9">
        <v>33</v>
      </c>
      <c r="BM40" s="2">
        <f t="shared" si="2"/>
        <v>18.181818181818183</v>
      </c>
      <c r="BN40" s="9" t="str">
        <f t="shared" si="3"/>
        <v>0</v>
      </c>
      <c r="BO40" s="50">
        <v>0</v>
      </c>
      <c r="BP40" s="49">
        <v>0</v>
      </c>
      <c r="BQ40" s="27">
        <f t="shared" si="4"/>
        <v>0</v>
      </c>
      <c r="BR40" s="47">
        <v>7</v>
      </c>
      <c r="BS40" s="49">
        <v>0</v>
      </c>
      <c r="BT40" s="49">
        <v>0</v>
      </c>
      <c r="BU40" s="27">
        <f t="shared" si="5"/>
        <v>2.3333333333333335</v>
      </c>
      <c r="BV40" s="9"/>
      <c r="BW40" s="2">
        <f t="shared" si="6"/>
        <v>2.3333333333333335</v>
      </c>
    </row>
    <row r="41" spans="1:75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>
        <v>28</v>
      </c>
      <c r="BC41" s="9"/>
      <c r="BD41" s="9">
        <f t="shared" si="0"/>
        <v>28</v>
      </c>
      <c r="BE41" s="9">
        <v>33</v>
      </c>
      <c r="BF41" s="2">
        <f t="shared" si="1"/>
        <v>84.848484848484844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9">
        <v>28</v>
      </c>
      <c r="BL41" s="9">
        <v>33</v>
      </c>
      <c r="BM41" s="2">
        <f t="shared" si="2"/>
        <v>84.848484848484844</v>
      </c>
      <c r="BN41" s="9" t="str">
        <f t="shared" si="3"/>
        <v>3</v>
      </c>
      <c r="BO41" s="46">
        <v>7</v>
      </c>
      <c r="BP41" s="45">
        <v>12</v>
      </c>
      <c r="BQ41" s="27">
        <f t="shared" si="4"/>
        <v>9.5</v>
      </c>
      <c r="BR41" s="46">
        <v>9</v>
      </c>
      <c r="BS41" s="45">
        <v>9</v>
      </c>
      <c r="BT41" s="45">
        <v>9</v>
      </c>
      <c r="BU41" s="27">
        <f t="shared" si="5"/>
        <v>9</v>
      </c>
      <c r="BV41" s="9">
        <v>5</v>
      </c>
      <c r="BW41" s="2">
        <f t="shared" si="6"/>
        <v>26.5</v>
      </c>
    </row>
    <row r="42" spans="1:75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>
        <v>29</v>
      </c>
      <c r="BC42" s="9"/>
      <c r="BD42" s="9">
        <f t="shared" si="0"/>
        <v>29</v>
      </c>
      <c r="BE42" s="9">
        <v>33</v>
      </c>
      <c r="BF42" s="2">
        <f t="shared" si="1"/>
        <v>87.878787878787875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9">
        <v>29</v>
      </c>
      <c r="BL42" s="9">
        <v>33</v>
      </c>
      <c r="BM42" s="2">
        <f t="shared" si="2"/>
        <v>87.878787878787875</v>
      </c>
      <c r="BN42" s="9" t="str">
        <f t="shared" si="3"/>
        <v>4</v>
      </c>
      <c r="BO42" s="47">
        <v>9</v>
      </c>
      <c r="BP42" s="48">
        <v>14</v>
      </c>
      <c r="BQ42" s="27">
        <f t="shared" si="4"/>
        <v>11.5</v>
      </c>
      <c r="BR42" s="47">
        <v>9</v>
      </c>
      <c r="BS42" s="48">
        <v>10</v>
      </c>
      <c r="BT42" s="48">
        <v>9</v>
      </c>
      <c r="BU42" s="27">
        <f t="shared" si="5"/>
        <v>9.3333333333333339</v>
      </c>
      <c r="BV42" s="9">
        <v>5</v>
      </c>
      <c r="BW42" s="2">
        <f t="shared" si="6"/>
        <v>29.833333333333336</v>
      </c>
    </row>
    <row r="43" spans="1:75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>
        <v>29</v>
      </c>
      <c r="BC43" s="9"/>
      <c r="BD43" s="9">
        <f t="shared" si="0"/>
        <v>29</v>
      </c>
      <c r="BE43" s="9">
        <v>33</v>
      </c>
      <c r="BF43" s="2">
        <f t="shared" si="1"/>
        <v>87.878787878787875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9">
        <v>29</v>
      </c>
      <c r="BL43" s="9">
        <v>33</v>
      </c>
      <c r="BM43" s="2">
        <f t="shared" si="2"/>
        <v>87.878787878787875</v>
      </c>
      <c r="BN43" s="9" t="str">
        <f t="shared" si="3"/>
        <v>4</v>
      </c>
      <c r="BO43" s="47">
        <v>8</v>
      </c>
      <c r="BP43" s="48">
        <v>20</v>
      </c>
      <c r="BQ43" s="27">
        <f t="shared" si="4"/>
        <v>14</v>
      </c>
      <c r="BR43" s="47">
        <v>9</v>
      </c>
      <c r="BS43" s="48">
        <v>9</v>
      </c>
      <c r="BT43" s="48">
        <v>9</v>
      </c>
      <c r="BU43" s="27">
        <f t="shared" si="5"/>
        <v>9</v>
      </c>
      <c r="BV43" s="9">
        <v>5</v>
      </c>
      <c r="BW43" s="2">
        <f t="shared" si="6"/>
        <v>32</v>
      </c>
    </row>
    <row r="44" spans="1:75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v>31</v>
      </c>
      <c r="BC44" s="9"/>
      <c r="BD44" s="9">
        <f t="shared" si="0"/>
        <v>31</v>
      </c>
      <c r="BE44" s="9">
        <v>33</v>
      </c>
      <c r="BF44" s="2">
        <f t="shared" si="1"/>
        <v>93.939393939393938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9">
        <v>31</v>
      </c>
      <c r="BL44" s="9">
        <v>33</v>
      </c>
      <c r="BM44" s="2">
        <f t="shared" si="2"/>
        <v>93.939393939393938</v>
      </c>
      <c r="BN44" s="9" t="str">
        <f t="shared" si="3"/>
        <v>5</v>
      </c>
      <c r="BO44" s="47">
        <v>10</v>
      </c>
      <c r="BP44" s="48">
        <v>17</v>
      </c>
      <c r="BQ44" s="27">
        <f t="shared" si="4"/>
        <v>13.5</v>
      </c>
      <c r="BR44" s="47">
        <v>9</v>
      </c>
      <c r="BS44" s="48">
        <v>9</v>
      </c>
      <c r="BT44" s="48">
        <v>10</v>
      </c>
      <c r="BU44" s="27">
        <f t="shared" si="5"/>
        <v>9.3333333333333339</v>
      </c>
      <c r="BV44" s="9">
        <v>5</v>
      </c>
      <c r="BW44" s="2">
        <f t="shared" si="6"/>
        <v>32.833333333333336</v>
      </c>
    </row>
    <row r="45" spans="1:75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v>73</v>
      </c>
      <c r="BC45" s="9"/>
      <c r="BD45" s="9">
        <f t="shared" si="0"/>
        <v>73</v>
      </c>
      <c r="BE45" s="9">
        <v>33</v>
      </c>
      <c r="BF45" s="2">
        <f t="shared" si="1"/>
        <v>221.21212121212119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9">
        <v>73</v>
      </c>
      <c r="BL45" s="9">
        <v>33</v>
      </c>
      <c r="BM45" s="2">
        <f t="shared" si="2"/>
        <v>221.21212121212119</v>
      </c>
      <c r="BN45" s="9" t="str">
        <f t="shared" si="3"/>
        <v>6</v>
      </c>
      <c r="BO45" s="47">
        <v>7</v>
      </c>
      <c r="BP45" s="52">
        <v>12</v>
      </c>
      <c r="BQ45" s="27">
        <f t="shared" si="4"/>
        <v>9.5</v>
      </c>
      <c r="BR45" s="47">
        <v>8</v>
      </c>
      <c r="BS45" s="48">
        <v>8</v>
      </c>
      <c r="BT45" s="48">
        <v>9</v>
      </c>
      <c r="BU45" s="27">
        <f t="shared" si="5"/>
        <v>8.3333333333333339</v>
      </c>
      <c r="BV45" s="9">
        <v>5</v>
      </c>
      <c r="BW45" s="2">
        <f t="shared" si="6"/>
        <v>28.833333333333336</v>
      </c>
    </row>
    <row r="46" spans="1:75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v>33</v>
      </c>
      <c r="BC46" s="9"/>
      <c r="BD46" s="9">
        <f t="shared" si="0"/>
        <v>33</v>
      </c>
      <c r="BE46" s="9">
        <v>33</v>
      </c>
      <c r="BF46" s="2">
        <f t="shared" si="1"/>
        <v>100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9">
        <v>33</v>
      </c>
      <c r="BL46" s="9">
        <v>33</v>
      </c>
      <c r="BM46" s="2">
        <f t="shared" si="2"/>
        <v>100</v>
      </c>
      <c r="BN46" s="9" t="str">
        <f t="shared" si="3"/>
        <v>6</v>
      </c>
      <c r="BO46" s="46">
        <v>8</v>
      </c>
      <c r="BP46" s="45">
        <v>15</v>
      </c>
      <c r="BQ46" s="27">
        <f t="shared" si="4"/>
        <v>11.5</v>
      </c>
      <c r="BR46" s="46">
        <v>9</v>
      </c>
      <c r="BS46" s="45">
        <v>8</v>
      </c>
      <c r="BT46" s="45">
        <v>9</v>
      </c>
      <c r="BU46" s="27">
        <f t="shared" si="5"/>
        <v>8.6666666666666661</v>
      </c>
      <c r="BV46" s="9">
        <v>5</v>
      </c>
      <c r="BW46" s="2">
        <f t="shared" si="6"/>
        <v>31.166666666666664</v>
      </c>
    </row>
    <row r="47" spans="1:75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v>22</v>
      </c>
      <c r="BC47" s="9"/>
      <c r="BD47" s="9">
        <f t="shared" si="0"/>
        <v>22</v>
      </c>
      <c r="BE47" s="9">
        <v>33</v>
      </c>
      <c r="BF47" s="2">
        <f t="shared" si="1"/>
        <v>66.666666666666657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9">
        <v>22</v>
      </c>
      <c r="BL47" s="9">
        <v>33</v>
      </c>
      <c r="BM47" s="2">
        <f t="shared" si="2"/>
        <v>66.666666666666657</v>
      </c>
      <c r="BN47" s="9" t="str">
        <f t="shared" si="3"/>
        <v>0</v>
      </c>
      <c r="BO47" s="47">
        <v>15</v>
      </c>
      <c r="BP47" s="48">
        <v>17</v>
      </c>
      <c r="BQ47" s="27">
        <f t="shared" si="4"/>
        <v>16</v>
      </c>
      <c r="BR47" s="47">
        <v>8</v>
      </c>
      <c r="BS47" s="48">
        <v>8</v>
      </c>
      <c r="BT47" s="48">
        <v>9</v>
      </c>
      <c r="BU47" s="27">
        <f t="shared" si="5"/>
        <v>8.3333333333333339</v>
      </c>
      <c r="BV47" s="9"/>
      <c r="BW47" s="2">
        <f t="shared" si="6"/>
        <v>24.333333333333336</v>
      </c>
    </row>
    <row r="48" spans="1:75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v>25</v>
      </c>
      <c r="BC48" s="9"/>
      <c r="BD48" s="9">
        <f t="shared" si="0"/>
        <v>25</v>
      </c>
      <c r="BE48" s="9">
        <v>33</v>
      </c>
      <c r="BF48" s="2">
        <f t="shared" si="1"/>
        <v>75.757575757575751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9">
        <v>25</v>
      </c>
      <c r="BL48" s="9">
        <v>33</v>
      </c>
      <c r="BM48" s="2">
        <f t="shared" si="2"/>
        <v>75.757575757575751</v>
      </c>
      <c r="BN48" s="9" t="str">
        <f t="shared" si="3"/>
        <v>2</v>
      </c>
      <c r="BO48" s="47">
        <v>12</v>
      </c>
      <c r="BP48" s="48">
        <v>20</v>
      </c>
      <c r="BQ48" s="27">
        <f t="shared" si="4"/>
        <v>16</v>
      </c>
      <c r="BR48" s="47">
        <v>9</v>
      </c>
      <c r="BS48" s="48">
        <v>8</v>
      </c>
      <c r="BT48" s="48">
        <v>8</v>
      </c>
      <c r="BU48" s="27">
        <f t="shared" si="5"/>
        <v>8.3333333333333339</v>
      </c>
      <c r="BV48" s="9">
        <v>5</v>
      </c>
      <c r="BW48" s="2">
        <f t="shared" si="6"/>
        <v>31.333333333333336</v>
      </c>
    </row>
    <row r="49" spans="1:75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v>20</v>
      </c>
      <c r="BC49" s="9"/>
      <c r="BD49" s="9">
        <f t="shared" si="0"/>
        <v>20</v>
      </c>
      <c r="BE49" s="9">
        <v>33</v>
      </c>
      <c r="BF49" s="2">
        <f t="shared" si="1"/>
        <v>60.606060606060609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9">
        <v>20</v>
      </c>
      <c r="BL49" s="9">
        <v>33</v>
      </c>
      <c r="BM49" s="2">
        <f t="shared" si="2"/>
        <v>60.606060606060609</v>
      </c>
      <c r="BN49" s="9" t="str">
        <f t="shared" si="3"/>
        <v>0</v>
      </c>
      <c r="BO49" s="47">
        <v>11</v>
      </c>
      <c r="BP49" s="48">
        <v>15</v>
      </c>
      <c r="BQ49" s="27">
        <f t="shared" si="4"/>
        <v>13</v>
      </c>
      <c r="BR49" s="47">
        <v>8</v>
      </c>
      <c r="BS49" s="48">
        <v>9</v>
      </c>
      <c r="BT49" s="48">
        <v>9</v>
      </c>
      <c r="BU49" s="27">
        <f t="shared" si="5"/>
        <v>8.6666666666666661</v>
      </c>
      <c r="BV49" s="9"/>
      <c r="BW49" s="2">
        <f t="shared" si="6"/>
        <v>21.666666666666664</v>
      </c>
    </row>
    <row r="50" spans="1:75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v>25</v>
      </c>
      <c r="BC50" s="9"/>
      <c r="BD50" s="9">
        <f t="shared" si="0"/>
        <v>25</v>
      </c>
      <c r="BE50" s="9">
        <v>33</v>
      </c>
      <c r="BF50" s="2">
        <f t="shared" si="1"/>
        <v>75.757575757575751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9">
        <v>25</v>
      </c>
      <c r="BL50" s="9">
        <v>33</v>
      </c>
      <c r="BM50" s="2">
        <f t="shared" si="2"/>
        <v>75.757575757575751</v>
      </c>
      <c r="BN50" s="9" t="str">
        <f t="shared" si="3"/>
        <v>2</v>
      </c>
      <c r="BO50" s="47">
        <v>10</v>
      </c>
      <c r="BP50" s="48">
        <v>15</v>
      </c>
      <c r="BQ50" s="27">
        <f t="shared" si="4"/>
        <v>12.5</v>
      </c>
      <c r="BR50" s="47">
        <v>9</v>
      </c>
      <c r="BS50" s="48">
        <v>8</v>
      </c>
      <c r="BT50" s="48">
        <v>8</v>
      </c>
      <c r="BU50" s="27">
        <f t="shared" si="5"/>
        <v>8.3333333333333339</v>
      </c>
      <c r="BV50" s="9">
        <v>5</v>
      </c>
      <c r="BW50" s="2">
        <f t="shared" si="6"/>
        <v>27.833333333333336</v>
      </c>
    </row>
    <row r="51" spans="1:75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v>13</v>
      </c>
      <c r="BC51" s="9"/>
      <c r="BD51" s="9">
        <f t="shared" si="0"/>
        <v>13</v>
      </c>
      <c r="BE51" s="9">
        <v>33</v>
      </c>
      <c r="BF51" s="2">
        <f t="shared" si="1"/>
        <v>39.393939393939391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9">
        <v>13</v>
      </c>
      <c r="BL51" s="9">
        <v>33</v>
      </c>
      <c r="BM51" s="2">
        <f t="shared" si="2"/>
        <v>39.393939393939391</v>
      </c>
      <c r="BN51" s="9" t="str">
        <f t="shared" si="3"/>
        <v>0</v>
      </c>
      <c r="BO51" s="50">
        <v>0</v>
      </c>
      <c r="BP51" s="48">
        <v>17</v>
      </c>
      <c r="BQ51" s="27">
        <f t="shared" si="4"/>
        <v>8.5</v>
      </c>
      <c r="BR51" s="47">
        <v>8</v>
      </c>
      <c r="BS51" s="53">
        <v>9</v>
      </c>
      <c r="BT51" s="48">
        <v>9</v>
      </c>
      <c r="BU51" s="27">
        <f t="shared" si="5"/>
        <v>8.6666666666666661</v>
      </c>
      <c r="BV51" s="9">
        <v>5</v>
      </c>
      <c r="BW51" s="2">
        <f t="shared" si="6"/>
        <v>22.166666666666664</v>
      </c>
    </row>
    <row r="52" spans="1:75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v>13</v>
      </c>
      <c r="BC52" s="9"/>
      <c r="BD52" s="9">
        <f t="shared" si="0"/>
        <v>13</v>
      </c>
      <c r="BE52" s="9">
        <v>33</v>
      </c>
      <c r="BF52" s="2">
        <f t="shared" si="1"/>
        <v>39.393939393939391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9">
        <v>13</v>
      </c>
      <c r="BL52" s="9">
        <v>33</v>
      </c>
      <c r="BM52" s="2">
        <f t="shared" si="2"/>
        <v>39.393939393939391</v>
      </c>
      <c r="BN52" s="9" t="str">
        <f t="shared" si="3"/>
        <v>0</v>
      </c>
      <c r="BO52" s="54">
        <v>6</v>
      </c>
      <c r="BP52" s="48">
        <v>19</v>
      </c>
      <c r="BQ52" s="27">
        <f t="shared" si="4"/>
        <v>12.5</v>
      </c>
      <c r="BR52" s="47">
        <v>8</v>
      </c>
      <c r="BS52" s="48">
        <v>9</v>
      </c>
      <c r="BT52" s="48">
        <v>8</v>
      </c>
      <c r="BU52" s="27">
        <f t="shared" si="5"/>
        <v>8.3333333333333339</v>
      </c>
      <c r="BV52" s="9"/>
      <c r="BW52" s="2">
        <f t="shared" si="6"/>
        <v>20.833333333333336</v>
      </c>
    </row>
    <row r="53" spans="1:75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v>19</v>
      </c>
      <c r="BC53" s="9"/>
      <c r="BD53" s="9">
        <f t="shared" si="0"/>
        <v>19</v>
      </c>
      <c r="BE53" s="9">
        <v>33</v>
      </c>
      <c r="BF53" s="2">
        <f t="shared" si="1"/>
        <v>57.575757575757578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9">
        <v>19</v>
      </c>
      <c r="BL53" s="9">
        <v>33</v>
      </c>
      <c r="BM53" s="2">
        <f t="shared" si="2"/>
        <v>57.575757575757578</v>
      </c>
      <c r="BN53" s="9" t="str">
        <f t="shared" si="3"/>
        <v>0</v>
      </c>
      <c r="BO53" s="47">
        <v>7</v>
      </c>
      <c r="BP53" s="48">
        <v>12</v>
      </c>
      <c r="BQ53" s="27">
        <f t="shared" si="4"/>
        <v>9.5</v>
      </c>
      <c r="BR53" s="46">
        <v>9</v>
      </c>
      <c r="BS53" s="45">
        <v>8</v>
      </c>
      <c r="BT53" s="45">
        <v>8</v>
      </c>
      <c r="BU53" s="27">
        <f t="shared" si="5"/>
        <v>8.3333333333333339</v>
      </c>
      <c r="BV53" s="9"/>
      <c r="BW53" s="2">
        <f t="shared" si="6"/>
        <v>17.833333333333336</v>
      </c>
    </row>
    <row r="54" spans="1:75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v>23</v>
      </c>
      <c r="BC54" s="9"/>
      <c r="BD54" s="9">
        <f t="shared" si="0"/>
        <v>23</v>
      </c>
      <c r="BE54" s="9">
        <v>33</v>
      </c>
      <c r="BF54" s="2">
        <f t="shared" si="1"/>
        <v>69.696969696969703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9">
        <v>23</v>
      </c>
      <c r="BL54" s="9">
        <v>33</v>
      </c>
      <c r="BM54" s="2">
        <f t="shared" si="2"/>
        <v>69.696969696969703</v>
      </c>
      <c r="BN54" s="9" t="str">
        <f t="shared" si="3"/>
        <v>0</v>
      </c>
      <c r="BO54" s="47">
        <v>4</v>
      </c>
      <c r="BP54" s="48">
        <v>7</v>
      </c>
      <c r="BQ54" s="27">
        <f t="shared" si="4"/>
        <v>5.5</v>
      </c>
      <c r="BR54" s="47">
        <v>9</v>
      </c>
      <c r="BS54" s="48">
        <v>9</v>
      </c>
      <c r="BT54" s="48">
        <v>8</v>
      </c>
      <c r="BU54" s="27">
        <f t="shared" si="5"/>
        <v>8.6666666666666661</v>
      </c>
      <c r="BV54" s="9">
        <v>5</v>
      </c>
      <c r="BW54" s="2">
        <f t="shared" si="6"/>
        <v>19.166666666666664</v>
      </c>
    </row>
    <row r="55" spans="1:75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v>25</v>
      </c>
      <c r="BC55" s="9"/>
      <c r="BD55" s="9">
        <f t="shared" si="0"/>
        <v>25</v>
      </c>
      <c r="BE55" s="9">
        <v>33</v>
      </c>
      <c r="BF55" s="2">
        <f t="shared" si="1"/>
        <v>75.757575757575751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9">
        <v>25</v>
      </c>
      <c r="BL55" s="9">
        <v>33</v>
      </c>
      <c r="BM55" s="2">
        <f t="shared" si="2"/>
        <v>75.757575757575751</v>
      </c>
      <c r="BN55" s="9" t="str">
        <f t="shared" si="3"/>
        <v>2</v>
      </c>
      <c r="BO55" s="47">
        <v>5</v>
      </c>
      <c r="BP55" s="48">
        <v>14</v>
      </c>
      <c r="BQ55" s="27">
        <f t="shared" si="4"/>
        <v>9.5</v>
      </c>
      <c r="BR55" s="47">
        <v>8</v>
      </c>
      <c r="BS55" s="48">
        <v>8</v>
      </c>
      <c r="BT55" s="48">
        <v>9</v>
      </c>
      <c r="BU55" s="27">
        <f t="shared" si="5"/>
        <v>8.3333333333333339</v>
      </c>
      <c r="BV55" s="9"/>
      <c r="BW55" s="2">
        <f t="shared" si="6"/>
        <v>19.833333333333336</v>
      </c>
    </row>
    <row r="56" spans="1:75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v>19</v>
      </c>
      <c r="BC56" s="9"/>
      <c r="BD56" s="9">
        <f t="shared" si="0"/>
        <v>19</v>
      </c>
      <c r="BE56" s="9">
        <v>33</v>
      </c>
      <c r="BF56" s="2">
        <f t="shared" si="1"/>
        <v>57.575757575757578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9">
        <v>19</v>
      </c>
      <c r="BL56" s="9">
        <v>33</v>
      </c>
      <c r="BM56" s="2">
        <f t="shared" si="2"/>
        <v>57.575757575757578</v>
      </c>
      <c r="BN56" s="9" t="str">
        <f t="shared" si="3"/>
        <v>0</v>
      </c>
      <c r="BO56" s="47">
        <v>0</v>
      </c>
      <c r="BP56" s="48">
        <v>12</v>
      </c>
      <c r="BQ56" s="27">
        <f t="shared" si="4"/>
        <v>6</v>
      </c>
      <c r="BR56" s="47">
        <v>8</v>
      </c>
      <c r="BS56" s="48">
        <v>8</v>
      </c>
      <c r="BT56" s="48">
        <v>9</v>
      </c>
      <c r="BU56" s="27">
        <f t="shared" si="5"/>
        <v>8.3333333333333339</v>
      </c>
      <c r="BV56" s="9"/>
      <c r="BW56" s="2">
        <f t="shared" si="6"/>
        <v>14.333333333333334</v>
      </c>
    </row>
    <row r="57" spans="1:75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v>11</v>
      </c>
      <c r="BC57" s="9"/>
      <c r="BD57" s="9">
        <f t="shared" si="0"/>
        <v>11</v>
      </c>
      <c r="BE57" s="9">
        <v>33</v>
      </c>
      <c r="BF57" s="2">
        <f t="shared" si="1"/>
        <v>33.333333333333329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9">
        <v>11</v>
      </c>
      <c r="BL57" s="9">
        <v>33</v>
      </c>
      <c r="BM57" s="2">
        <f t="shared" si="2"/>
        <v>33.333333333333329</v>
      </c>
      <c r="BN57" s="9" t="str">
        <f t="shared" si="3"/>
        <v>0</v>
      </c>
      <c r="BO57" s="47">
        <v>0</v>
      </c>
      <c r="BP57" s="48">
        <v>12</v>
      </c>
      <c r="BQ57" s="27">
        <f t="shared" si="4"/>
        <v>6</v>
      </c>
      <c r="BR57" s="11">
        <v>0</v>
      </c>
      <c r="BS57" s="11">
        <v>0</v>
      </c>
      <c r="BT57" s="11">
        <v>0</v>
      </c>
      <c r="BU57" s="27">
        <f t="shared" si="5"/>
        <v>0</v>
      </c>
      <c r="BV57" s="9">
        <v>5</v>
      </c>
      <c r="BW57" s="2">
        <f t="shared" si="6"/>
        <v>11</v>
      </c>
    </row>
    <row r="58" spans="1:75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v>23</v>
      </c>
      <c r="BC58" s="9"/>
      <c r="BD58" s="9">
        <f t="shared" si="0"/>
        <v>23</v>
      </c>
      <c r="BE58" s="9">
        <v>33</v>
      </c>
      <c r="BF58" s="2">
        <f t="shared" si="1"/>
        <v>69.696969696969703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9">
        <v>23</v>
      </c>
      <c r="BL58" s="9">
        <v>33</v>
      </c>
      <c r="BM58" s="2">
        <f t="shared" si="2"/>
        <v>69.696969696969703</v>
      </c>
      <c r="BN58" s="9" t="str">
        <f t="shared" si="3"/>
        <v>0</v>
      </c>
      <c r="BO58" s="47">
        <v>9</v>
      </c>
      <c r="BP58" s="48">
        <v>11</v>
      </c>
      <c r="BQ58" s="27">
        <f t="shared" si="4"/>
        <v>10</v>
      </c>
      <c r="BR58" s="46">
        <v>9</v>
      </c>
      <c r="BS58" s="45">
        <v>9</v>
      </c>
      <c r="BT58" s="45">
        <v>9</v>
      </c>
      <c r="BU58" s="27">
        <f t="shared" si="5"/>
        <v>9</v>
      </c>
      <c r="BV58" s="9">
        <v>5</v>
      </c>
      <c r="BW58" s="2">
        <f t="shared" si="6"/>
        <v>24</v>
      </c>
    </row>
    <row r="59" spans="1:75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v>15</v>
      </c>
      <c r="BC59" s="9"/>
      <c r="BD59" s="9">
        <f t="shared" si="0"/>
        <v>15</v>
      </c>
      <c r="BE59" s="9">
        <v>33</v>
      </c>
      <c r="BF59" s="2">
        <f t="shared" si="1"/>
        <v>45.454545454545453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9">
        <v>15</v>
      </c>
      <c r="BL59" s="9">
        <v>33</v>
      </c>
      <c r="BM59" s="2">
        <f t="shared" si="2"/>
        <v>45.454545454545453</v>
      </c>
      <c r="BN59" s="9" t="str">
        <f t="shared" si="3"/>
        <v>0</v>
      </c>
      <c r="BO59" s="47">
        <v>0</v>
      </c>
      <c r="BP59" s="48">
        <v>11</v>
      </c>
      <c r="BQ59" s="27">
        <f t="shared" si="4"/>
        <v>5.5</v>
      </c>
      <c r="BR59" s="47">
        <v>8</v>
      </c>
      <c r="BS59" s="48">
        <v>8</v>
      </c>
      <c r="BT59" s="48">
        <v>9</v>
      </c>
      <c r="BU59" s="27">
        <f t="shared" si="5"/>
        <v>8.3333333333333339</v>
      </c>
      <c r="BV59" s="9"/>
      <c r="BW59" s="2">
        <f t="shared" si="6"/>
        <v>13.833333333333334</v>
      </c>
    </row>
    <row r="60" spans="1:75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v>26</v>
      </c>
      <c r="BC60" s="9"/>
      <c r="BD60" s="9">
        <f t="shared" si="0"/>
        <v>26</v>
      </c>
      <c r="BE60" s="9">
        <v>33</v>
      </c>
      <c r="BF60" s="2">
        <f t="shared" si="1"/>
        <v>78.787878787878782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9">
        <v>26</v>
      </c>
      <c r="BL60" s="9">
        <v>33</v>
      </c>
      <c r="BM60" s="2">
        <f t="shared" si="2"/>
        <v>78.787878787878782</v>
      </c>
      <c r="BN60" s="9" t="str">
        <f t="shared" si="3"/>
        <v>2</v>
      </c>
      <c r="BO60" s="47">
        <v>8</v>
      </c>
      <c r="BP60" s="48">
        <v>16</v>
      </c>
      <c r="BQ60" s="27">
        <f t="shared" si="4"/>
        <v>12</v>
      </c>
      <c r="BR60" s="47">
        <v>9</v>
      </c>
      <c r="BS60" s="48">
        <v>9</v>
      </c>
      <c r="BT60" s="48">
        <v>9</v>
      </c>
      <c r="BU60" s="27">
        <f t="shared" si="5"/>
        <v>9</v>
      </c>
      <c r="BV60" s="9"/>
      <c r="BW60" s="2">
        <f t="shared" si="6"/>
        <v>23</v>
      </c>
    </row>
    <row r="61" spans="1:75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v>18</v>
      </c>
      <c r="BC61" s="9"/>
      <c r="BD61" s="9">
        <f t="shared" si="0"/>
        <v>18</v>
      </c>
      <c r="BE61" s="9">
        <v>33</v>
      </c>
      <c r="BF61" s="2">
        <f t="shared" si="1"/>
        <v>54.54545454545454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9">
        <v>18</v>
      </c>
      <c r="BL61" s="9">
        <v>33</v>
      </c>
      <c r="BM61" s="2">
        <f t="shared" si="2"/>
        <v>54.54545454545454</v>
      </c>
      <c r="BN61" s="9" t="str">
        <f t="shared" si="3"/>
        <v>0</v>
      </c>
      <c r="BO61" s="47">
        <v>4</v>
      </c>
      <c r="BP61" s="48">
        <v>6</v>
      </c>
      <c r="BQ61" s="27">
        <f t="shared" si="4"/>
        <v>5</v>
      </c>
      <c r="BR61" s="47">
        <v>9</v>
      </c>
      <c r="BS61" s="48">
        <v>8</v>
      </c>
      <c r="BT61" s="48">
        <v>8</v>
      </c>
      <c r="BU61" s="27">
        <f t="shared" si="5"/>
        <v>8.3333333333333339</v>
      </c>
      <c r="BV61" s="9"/>
      <c r="BW61" s="2">
        <f t="shared" si="6"/>
        <v>13.333333333333334</v>
      </c>
    </row>
    <row r="62" spans="1:75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v>22</v>
      </c>
      <c r="BC62" s="9"/>
      <c r="BD62" s="9">
        <f t="shared" si="0"/>
        <v>22</v>
      </c>
      <c r="BE62" s="9">
        <v>33</v>
      </c>
      <c r="BF62" s="2">
        <f t="shared" si="1"/>
        <v>66.666666666666657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9">
        <v>22</v>
      </c>
      <c r="BL62" s="9">
        <v>33</v>
      </c>
      <c r="BM62" s="2">
        <f t="shared" si="2"/>
        <v>66.666666666666657</v>
      </c>
      <c r="BN62" s="9" t="str">
        <f t="shared" si="3"/>
        <v>0</v>
      </c>
      <c r="BO62" s="47">
        <v>2</v>
      </c>
      <c r="BP62" s="48">
        <v>10</v>
      </c>
      <c r="BQ62" s="27">
        <f t="shared" si="4"/>
        <v>6</v>
      </c>
      <c r="BR62" s="47">
        <v>8</v>
      </c>
      <c r="BS62" s="48">
        <v>9</v>
      </c>
      <c r="BT62" s="48">
        <v>9</v>
      </c>
      <c r="BU62" s="27">
        <f t="shared" si="5"/>
        <v>8.6666666666666661</v>
      </c>
      <c r="BV62" s="9"/>
      <c r="BW62" s="2">
        <f t="shared" si="6"/>
        <v>14.666666666666666</v>
      </c>
    </row>
    <row r="63" spans="1:75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v>15</v>
      </c>
      <c r="BC63" s="9"/>
      <c r="BD63" s="9">
        <f t="shared" si="0"/>
        <v>15</v>
      </c>
      <c r="BE63" s="9">
        <v>33</v>
      </c>
      <c r="BF63" s="2">
        <f t="shared" si="1"/>
        <v>45.454545454545453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9">
        <v>15</v>
      </c>
      <c r="BL63" s="9">
        <v>33</v>
      </c>
      <c r="BM63" s="2">
        <f t="shared" si="2"/>
        <v>45.454545454545453</v>
      </c>
      <c r="BN63" s="9" t="str">
        <f t="shared" si="3"/>
        <v>0</v>
      </c>
      <c r="BO63" s="47">
        <v>3</v>
      </c>
      <c r="BP63" s="48">
        <v>8</v>
      </c>
      <c r="BQ63" s="27">
        <f t="shared" si="4"/>
        <v>5.5</v>
      </c>
      <c r="BR63" s="47">
        <v>8</v>
      </c>
      <c r="BS63" s="48">
        <v>8</v>
      </c>
      <c r="BT63" s="48">
        <v>9</v>
      </c>
      <c r="BU63" s="27">
        <f t="shared" si="5"/>
        <v>8.3333333333333339</v>
      </c>
      <c r="BV63" s="9"/>
      <c r="BW63" s="2">
        <f t="shared" si="6"/>
        <v>13.833333333333334</v>
      </c>
    </row>
    <row r="64" spans="1:75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v>26</v>
      </c>
      <c r="BC64" s="9"/>
      <c r="BD64" s="9">
        <f t="shared" si="0"/>
        <v>26</v>
      </c>
      <c r="BE64" s="9">
        <v>33</v>
      </c>
      <c r="BF64" s="2">
        <f t="shared" si="1"/>
        <v>78.787878787878782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9">
        <v>26</v>
      </c>
      <c r="BL64" s="9">
        <v>33</v>
      </c>
      <c r="BM64" s="2">
        <f t="shared" si="2"/>
        <v>78.787878787878782</v>
      </c>
      <c r="BN64" s="9" t="str">
        <f t="shared" si="3"/>
        <v>2</v>
      </c>
      <c r="BO64" s="47">
        <v>7</v>
      </c>
      <c r="BP64" s="48">
        <v>16</v>
      </c>
      <c r="BQ64" s="27">
        <f t="shared" si="4"/>
        <v>11.5</v>
      </c>
      <c r="BR64" s="47">
        <v>9</v>
      </c>
      <c r="BS64" s="48">
        <v>9</v>
      </c>
      <c r="BT64" s="48">
        <v>10</v>
      </c>
      <c r="BU64" s="27">
        <f t="shared" si="5"/>
        <v>9.3333333333333339</v>
      </c>
      <c r="BV64" s="9"/>
      <c r="BW64" s="2">
        <f t="shared" si="6"/>
        <v>22.833333333333336</v>
      </c>
    </row>
    <row r="65" spans="1:75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v>20</v>
      </c>
      <c r="BC65" s="9"/>
      <c r="BD65" s="9">
        <f t="shared" si="0"/>
        <v>20</v>
      </c>
      <c r="BE65" s="9">
        <v>33</v>
      </c>
      <c r="BF65" s="2">
        <f t="shared" si="1"/>
        <v>60.606060606060609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9">
        <v>20</v>
      </c>
      <c r="BL65" s="9">
        <v>33</v>
      </c>
      <c r="BM65" s="2">
        <f t="shared" si="2"/>
        <v>60.606060606060609</v>
      </c>
      <c r="BN65" s="9" t="str">
        <f t="shared" si="3"/>
        <v>0</v>
      </c>
      <c r="BO65" s="47">
        <v>9</v>
      </c>
      <c r="BP65" s="48">
        <v>5</v>
      </c>
      <c r="BQ65" s="27">
        <f t="shared" si="4"/>
        <v>7</v>
      </c>
      <c r="BR65" s="47">
        <v>9</v>
      </c>
      <c r="BS65" s="48">
        <v>9</v>
      </c>
      <c r="BT65" s="48">
        <v>9</v>
      </c>
      <c r="BU65" s="27">
        <f t="shared" si="5"/>
        <v>9</v>
      </c>
      <c r="BV65" s="9">
        <v>5</v>
      </c>
      <c r="BW65" s="2">
        <f t="shared" si="6"/>
        <v>21</v>
      </c>
    </row>
    <row r="66" spans="1:75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v>27</v>
      </c>
      <c r="BC66" s="9"/>
      <c r="BD66" s="9">
        <f t="shared" si="0"/>
        <v>27</v>
      </c>
      <c r="BE66" s="9">
        <v>33</v>
      </c>
      <c r="BF66" s="2">
        <f t="shared" si="1"/>
        <v>81.818181818181827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9">
        <v>27</v>
      </c>
      <c r="BL66" s="9">
        <v>33</v>
      </c>
      <c r="BM66" s="2">
        <f t="shared" si="2"/>
        <v>81.818181818181827</v>
      </c>
      <c r="BN66" s="9" t="str">
        <f t="shared" si="3"/>
        <v>3</v>
      </c>
      <c r="BO66" s="47">
        <v>11</v>
      </c>
      <c r="BP66" s="48">
        <v>14</v>
      </c>
      <c r="BQ66" s="27">
        <f t="shared" si="4"/>
        <v>12.5</v>
      </c>
      <c r="BR66" s="47">
        <v>10</v>
      </c>
      <c r="BS66" s="48">
        <v>9</v>
      </c>
      <c r="BT66" s="48">
        <v>9</v>
      </c>
      <c r="BU66" s="27">
        <f t="shared" si="5"/>
        <v>9.3333333333333339</v>
      </c>
      <c r="BV66" s="9"/>
      <c r="BW66" s="2">
        <f t="shared" si="6"/>
        <v>24.833333333333336</v>
      </c>
    </row>
    <row r="67" spans="1:75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v>23</v>
      </c>
      <c r="BC67" s="9"/>
      <c r="BD67" s="9">
        <f t="shared" si="0"/>
        <v>23</v>
      </c>
      <c r="BE67" s="9">
        <v>33</v>
      </c>
      <c r="BF67" s="2">
        <f t="shared" si="1"/>
        <v>69.696969696969703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9">
        <v>23</v>
      </c>
      <c r="BL67" s="9">
        <v>33</v>
      </c>
      <c r="BM67" s="2">
        <f t="shared" si="2"/>
        <v>69.696969696969703</v>
      </c>
      <c r="BN67" s="9" t="str">
        <f t="shared" si="3"/>
        <v>0</v>
      </c>
      <c r="BO67" s="47">
        <v>2</v>
      </c>
      <c r="BP67" s="48">
        <v>11</v>
      </c>
      <c r="BQ67" s="27">
        <f t="shared" si="4"/>
        <v>6.5</v>
      </c>
      <c r="BR67" s="47">
        <v>9</v>
      </c>
      <c r="BS67" s="48">
        <v>8</v>
      </c>
      <c r="BT67" s="48">
        <v>9</v>
      </c>
      <c r="BU67" s="27">
        <f t="shared" si="5"/>
        <v>8.6666666666666661</v>
      </c>
      <c r="BV67" s="9">
        <v>5</v>
      </c>
      <c r="BW67" s="2">
        <f t="shared" si="6"/>
        <v>20.166666666666664</v>
      </c>
    </row>
    <row r="68" spans="1:75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v>17</v>
      </c>
      <c r="BC68" s="9"/>
      <c r="BD68" s="9">
        <f t="shared" si="0"/>
        <v>17</v>
      </c>
      <c r="BE68" s="9">
        <v>33</v>
      </c>
      <c r="BF68" s="2">
        <f t="shared" si="1"/>
        <v>51.515151515151516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9">
        <v>17</v>
      </c>
      <c r="BL68" s="9">
        <v>33</v>
      </c>
      <c r="BM68" s="2">
        <f t="shared" si="2"/>
        <v>51.515151515151516</v>
      </c>
      <c r="BN68" s="9" t="str">
        <f t="shared" si="3"/>
        <v>0</v>
      </c>
      <c r="BO68" s="47">
        <v>1</v>
      </c>
      <c r="BP68" s="48">
        <v>13</v>
      </c>
      <c r="BQ68" s="27">
        <f t="shared" si="4"/>
        <v>7</v>
      </c>
      <c r="BR68" s="47">
        <v>8</v>
      </c>
      <c r="BS68" s="48">
        <v>8</v>
      </c>
      <c r="BT68" s="48">
        <v>8</v>
      </c>
      <c r="BU68" s="27">
        <f t="shared" si="5"/>
        <v>8</v>
      </c>
      <c r="BV68" s="9"/>
      <c r="BW68" s="2">
        <f t="shared" si="6"/>
        <v>15</v>
      </c>
    </row>
    <row r="69" spans="1:75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v>25</v>
      </c>
      <c r="BC69" s="9"/>
      <c r="BD69" s="9">
        <f t="shared" si="0"/>
        <v>25</v>
      </c>
      <c r="BE69" s="9">
        <v>33</v>
      </c>
      <c r="BF69" s="2">
        <f t="shared" si="1"/>
        <v>75.757575757575751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9">
        <v>25</v>
      </c>
      <c r="BL69" s="9">
        <v>33</v>
      </c>
      <c r="BM69" s="2">
        <f t="shared" si="2"/>
        <v>75.757575757575751</v>
      </c>
      <c r="BN69" s="9" t="str">
        <f t="shared" si="3"/>
        <v>2</v>
      </c>
      <c r="BO69" s="47">
        <v>6</v>
      </c>
      <c r="BP69" s="48">
        <v>6</v>
      </c>
      <c r="BQ69" s="27">
        <f t="shared" si="4"/>
        <v>6</v>
      </c>
      <c r="BR69" s="47">
        <v>9</v>
      </c>
      <c r="BS69" s="48">
        <v>8</v>
      </c>
      <c r="BT69" s="48">
        <v>8</v>
      </c>
      <c r="BU69" s="27">
        <f t="shared" si="5"/>
        <v>8.3333333333333339</v>
      </c>
      <c r="BV69" s="9"/>
      <c r="BW69" s="2">
        <f t="shared" si="6"/>
        <v>16.333333333333336</v>
      </c>
    </row>
    <row r="70" spans="1:75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v>0</v>
      </c>
      <c r="BC70" s="9"/>
      <c r="BD70" s="9">
        <f t="shared" si="0"/>
        <v>0</v>
      </c>
      <c r="BE70" s="9">
        <v>33</v>
      </c>
      <c r="BF70" s="2">
        <f t="shared" si="1"/>
        <v>0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9">
        <v>0</v>
      </c>
      <c r="BL70" s="9">
        <v>33</v>
      </c>
      <c r="BM70" s="2">
        <f t="shared" si="2"/>
        <v>0</v>
      </c>
      <c r="BN70" s="9" t="str">
        <f t="shared" si="3"/>
        <v>0</v>
      </c>
      <c r="BO70" s="50">
        <v>0</v>
      </c>
      <c r="BP70" s="48">
        <v>6</v>
      </c>
      <c r="BQ70" s="27">
        <f t="shared" si="4"/>
        <v>3</v>
      </c>
      <c r="BR70" s="47">
        <v>8</v>
      </c>
      <c r="BS70" s="48">
        <v>7</v>
      </c>
      <c r="BT70" s="48">
        <v>8</v>
      </c>
      <c r="BU70" s="27">
        <f t="shared" si="5"/>
        <v>7.666666666666667</v>
      </c>
      <c r="BV70" s="9">
        <v>5</v>
      </c>
      <c r="BW70" s="2">
        <f t="shared" si="6"/>
        <v>15.666666666666668</v>
      </c>
    </row>
    <row r="71" spans="1:75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v>29</v>
      </c>
      <c r="BC71" s="9"/>
      <c r="BD71" s="9">
        <f t="shared" si="0"/>
        <v>29</v>
      </c>
      <c r="BE71" s="9">
        <v>33</v>
      </c>
      <c r="BF71" s="2">
        <f t="shared" si="1"/>
        <v>87.878787878787875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1">
        <v>29</v>
      </c>
      <c r="BL71" s="11">
        <v>33</v>
      </c>
      <c r="BM71" s="13">
        <f t="shared" si="2"/>
        <v>87.878787878787875</v>
      </c>
      <c r="BN71" s="11" t="str">
        <f t="shared" si="3"/>
        <v>4</v>
      </c>
      <c r="BO71" s="55">
        <v>4</v>
      </c>
      <c r="BP71" s="55">
        <v>8</v>
      </c>
      <c r="BQ71" s="30">
        <f t="shared" si="4"/>
        <v>6</v>
      </c>
      <c r="BR71" s="56">
        <v>10</v>
      </c>
      <c r="BS71" s="55">
        <v>9</v>
      </c>
      <c r="BT71" s="55">
        <v>8</v>
      </c>
      <c r="BU71" s="30">
        <f t="shared" si="5"/>
        <v>9</v>
      </c>
      <c r="BV71" s="11">
        <v>5</v>
      </c>
      <c r="BW71" s="13">
        <f t="shared" si="6"/>
        <v>24</v>
      </c>
    </row>
    <row r="72" spans="1:75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v>24</v>
      </c>
      <c r="BC72" s="9"/>
      <c r="BD72" s="9">
        <f t="shared" si="0"/>
        <v>24</v>
      </c>
      <c r="BE72" s="9">
        <v>33</v>
      </c>
      <c r="BF72" s="2">
        <f t="shared" si="1"/>
        <v>72.727272727272734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1">
        <v>24</v>
      </c>
      <c r="BL72" s="11">
        <v>33</v>
      </c>
      <c r="BM72" s="13">
        <f t="shared" si="2"/>
        <v>72.727272727272734</v>
      </c>
      <c r="BN72" s="11" t="str">
        <f t="shared" si="3"/>
        <v>0</v>
      </c>
      <c r="BO72" s="49">
        <v>14</v>
      </c>
      <c r="BP72" s="49">
        <v>19</v>
      </c>
      <c r="BQ72" s="30">
        <f t="shared" si="4"/>
        <v>16.5</v>
      </c>
      <c r="BR72" s="50">
        <v>10</v>
      </c>
      <c r="BS72" s="49">
        <v>10</v>
      </c>
      <c r="BT72" s="49">
        <v>10</v>
      </c>
      <c r="BU72" s="30">
        <f t="shared" si="5"/>
        <v>10</v>
      </c>
      <c r="BV72" s="11">
        <v>5</v>
      </c>
      <c r="BW72" s="13">
        <f t="shared" si="6"/>
        <v>31.5</v>
      </c>
    </row>
    <row r="73" spans="1:75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v>12</v>
      </c>
      <c r="BC73" s="9"/>
      <c r="BD73" s="9">
        <f t="shared" si="0"/>
        <v>12</v>
      </c>
      <c r="BE73" s="9">
        <v>33</v>
      </c>
      <c r="BF73" s="2">
        <f t="shared" si="1"/>
        <v>36.363636363636367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1">
        <v>12</v>
      </c>
      <c r="BL73" s="11">
        <v>33</v>
      </c>
      <c r="BM73" s="13">
        <f t="shared" si="2"/>
        <v>36.363636363636367</v>
      </c>
      <c r="BN73" s="11" t="str">
        <f t="shared" si="3"/>
        <v>0</v>
      </c>
      <c r="BO73" s="50">
        <v>5</v>
      </c>
      <c r="BP73" s="49">
        <v>10</v>
      </c>
      <c r="BQ73" s="30">
        <f t="shared" si="4"/>
        <v>7.5</v>
      </c>
      <c r="BR73" s="56">
        <v>8</v>
      </c>
      <c r="BS73" s="55">
        <v>8</v>
      </c>
      <c r="BT73" s="55">
        <v>8</v>
      </c>
      <c r="BU73" s="30">
        <f t="shared" si="5"/>
        <v>8</v>
      </c>
      <c r="BV73" s="11">
        <v>5</v>
      </c>
      <c r="BW73" s="13">
        <f t="shared" si="6"/>
        <v>20.5</v>
      </c>
    </row>
    <row r="74" spans="1:75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v>21</v>
      </c>
      <c r="BC74" s="9"/>
      <c r="BD74" s="9">
        <f t="shared" si="0"/>
        <v>21</v>
      </c>
      <c r="BE74" s="9">
        <v>33</v>
      </c>
      <c r="BF74" s="2">
        <f t="shared" si="1"/>
        <v>63.636363636363633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1">
        <v>21</v>
      </c>
      <c r="BL74" s="11">
        <v>33</v>
      </c>
      <c r="BM74" s="13">
        <f t="shared" si="2"/>
        <v>63.636363636363633</v>
      </c>
      <c r="BN74" s="11" t="str">
        <f t="shared" si="3"/>
        <v>0</v>
      </c>
      <c r="BO74" s="50">
        <v>15</v>
      </c>
      <c r="BP74" s="49">
        <v>12</v>
      </c>
      <c r="BQ74" s="30">
        <f t="shared" si="4"/>
        <v>13.5</v>
      </c>
      <c r="BR74" s="50">
        <v>9</v>
      </c>
      <c r="BS74" s="49">
        <v>9</v>
      </c>
      <c r="BT74" s="49">
        <v>9</v>
      </c>
      <c r="BU74" s="30">
        <f t="shared" si="5"/>
        <v>9</v>
      </c>
      <c r="BV74" s="11">
        <v>5</v>
      </c>
      <c r="BW74" s="13">
        <f t="shared" si="6"/>
        <v>27.5</v>
      </c>
    </row>
    <row r="75" spans="1:75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v>15</v>
      </c>
      <c r="BC75" s="9"/>
      <c r="BD75" s="9">
        <f t="shared" si="0"/>
        <v>15</v>
      </c>
      <c r="BE75" s="9">
        <v>33</v>
      </c>
      <c r="BF75" s="2">
        <f t="shared" si="1"/>
        <v>45.454545454545453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1">
        <v>15</v>
      </c>
      <c r="BL75" s="11">
        <v>33</v>
      </c>
      <c r="BM75" s="13">
        <f t="shared" si="2"/>
        <v>45.454545454545453</v>
      </c>
      <c r="BN75" s="11" t="str">
        <f t="shared" si="3"/>
        <v>0</v>
      </c>
      <c r="BO75" s="50">
        <v>9</v>
      </c>
      <c r="BP75" s="49">
        <v>8</v>
      </c>
      <c r="BQ75" s="30">
        <f t="shared" si="4"/>
        <v>8.5</v>
      </c>
      <c r="BR75" s="50">
        <v>8</v>
      </c>
      <c r="BS75" s="49">
        <v>9</v>
      </c>
      <c r="BT75" s="49">
        <v>8</v>
      </c>
      <c r="BU75" s="30">
        <f t="shared" si="5"/>
        <v>8.3333333333333339</v>
      </c>
      <c r="BV75" s="11">
        <v>5</v>
      </c>
      <c r="BW75" s="13">
        <f t="shared" si="6"/>
        <v>21.833333333333336</v>
      </c>
    </row>
    <row r="76" spans="1:75" ht="14.2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>
        <v>19</v>
      </c>
      <c r="BC76" s="9"/>
      <c r="BD76" s="9">
        <f t="shared" si="0"/>
        <v>19</v>
      </c>
      <c r="BE76" s="9">
        <v>33</v>
      </c>
      <c r="BF76" s="2">
        <f t="shared" si="1"/>
        <v>57.575757575757578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57">
        <v>19</v>
      </c>
      <c r="BL76" s="11">
        <v>33</v>
      </c>
      <c r="BM76" s="13">
        <f t="shared" si="2"/>
        <v>57.575757575757578</v>
      </c>
      <c r="BN76" s="11" t="str">
        <f t="shared" si="3"/>
        <v>0</v>
      </c>
      <c r="BO76" s="50">
        <v>8</v>
      </c>
      <c r="BP76" s="49">
        <v>3</v>
      </c>
      <c r="BQ76" s="30">
        <f t="shared" si="4"/>
        <v>5.5</v>
      </c>
      <c r="BR76" s="50">
        <v>7</v>
      </c>
      <c r="BS76" s="49">
        <v>8</v>
      </c>
      <c r="BT76" s="49">
        <v>8</v>
      </c>
      <c r="BU76" s="30">
        <f t="shared" si="5"/>
        <v>7.666666666666667</v>
      </c>
      <c r="BV76" s="11">
        <v>5</v>
      </c>
      <c r="BW76" s="13">
        <f t="shared" si="6"/>
        <v>18.166666666666668</v>
      </c>
    </row>
    <row r="77" spans="1:75" ht="14.25" customHeight="1">
      <c r="A77" s="19"/>
      <c r="B77" s="20"/>
      <c r="C77" s="3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58"/>
      <c r="BG77" s="20"/>
      <c r="BH77" s="19"/>
      <c r="BI77" s="20"/>
      <c r="BJ77" s="20" t="s">
        <v>124</v>
      </c>
      <c r="BK77" s="19"/>
      <c r="BL77" s="9">
        <v>33</v>
      </c>
      <c r="BM77" s="19"/>
      <c r="BN77" s="19"/>
      <c r="BO77" s="19">
        <v>6</v>
      </c>
      <c r="BP77" s="19">
        <v>0</v>
      </c>
      <c r="BQ77" s="27">
        <f t="shared" si="4"/>
        <v>3</v>
      </c>
      <c r="BR77" s="46">
        <v>8</v>
      </c>
      <c r="BS77" s="45">
        <v>7</v>
      </c>
      <c r="BT77" s="45">
        <v>8</v>
      </c>
      <c r="BU77" s="2">
        <f t="shared" si="5"/>
        <v>7.666666666666667</v>
      </c>
      <c r="BV77" s="19"/>
      <c r="BW77" s="19"/>
    </row>
    <row r="78" spans="1:75" ht="14.25" customHeight="1">
      <c r="A78" s="19"/>
      <c r="B78" s="20"/>
      <c r="C78" s="3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58"/>
      <c r="BG78" s="20"/>
      <c r="BH78" s="19"/>
      <c r="BI78" s="20"/>
      <c r="BJ78" s="20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spans="1:75" ht="14.25" customHeight="1">
      <c r="A79" s="19"/>
      <c r="B79" s="20"/>
      <c r="C79" s="3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58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spans="1:75" ht="14.25" customHeight="1">
      <c r="A80" s="19"/>
      <c r="B80" s="20"/>
      <c r="C80" s="3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58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spans="1:75" ht="14.25" customHeight="1">
      <c r="A81" s="19"/>
      <c r="B81" s="20"/>
      <c r="C81" s="3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58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</row>
    <row r="82" spans="1:75" ht="14.25" customHeight="1">
      <c r="A82" s="19"/>
      <c r="B82" s="20"/>
      <c r="C82" s="3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58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spans="1:75" ht="14.25" customHeight="1">
      <c r="A83" s="19"/>
      <c r="B83" s="20"/>
      <c r="C83" s="3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58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spans="1:75" ht="14.25" customHeight="1">
      <c r="A84" s="19"/>
      <c r="B84" s="20"/>
      <c r="C84" s="3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58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spans="1:75" ht="14.25" customHeight="1">
      <c r="A85" s="19"/>
      <c r="B85" s="20"/>
      <c r="C85" s="3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58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spans="1:75" ht="14.25" customHeight="1">
      <c r="A86" s="19"/>
      <c r="B86" s="20"/>
      <c r="C86" s="3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58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spans="1:75" ht="14.25" customHeight="1">
      <c r="A87" s="19"/>
      <c r="B87" s="20"/>
      <c r="C87" s="3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58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spans="1:75" ht="14.25" customHeight="1">
      <c r="A88" s="19"/>
      <c r="B88" s="20"/>
      <c r="C88" s="3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58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spans="1:75" ht="14.25" customHeight="1">
      <c r="A89" s="19"/>
      <c r="B89" s="20"/>
      <c r="C89" s="3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58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spans="1:75" ht="14.25" customHeight="1">
      <c r="A90" s="19"/>
      <c r="B90" s="20"/>
      <c r="C90" s="3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58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spans="1:75" ht="14.25" customHeight="1">
      <c r="A91" s="19"/>
      <c r="B91" s="20"/>
      <c r="C91" s="3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58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spans="1:75" ht="14.25" customHeigh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58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spans="1:75" ht="14.25" customHeight="1">
      <c r="A93" s="19"/>
      <c r="B93" s="20"/>
      <c r="C93" s="3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58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spans="1:75" ht="14.25" customHeight="1">
      <c r="A94" s="19"/>
      <c r="B94" s="20"/>
      <c r="C94" s="3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58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spans="1:75" ht="14.25" customHeight="1">
      <c r="A95" s="19"/>
      <c r="B95" s="20"/>
      <c r="C95" s="3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58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spans="1:75" ht="14.25" customHeight="1">
      <c r="A96" s="19"/>
      <c r="B96" s="20"/>
      <c r="C96" s="3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58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spans="1:75" ht="14.25" customHeight="1">
      <c r="A97" s="19"/>
      <c r="B97" s="20"/>
      <c r="C97" s="3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58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spans="1:75" ht="14.25" customHeight="1">
      <c r="A98" s="19"/>
      <c r="B98" s="20"/>
      <c r="C98" s="3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58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spans="1:75" ht="14.25" customHeight="1">
      <c r="A99" s="19"/>
      <c r="B99" s="20"/>
      <c r="C99" s="3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58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</row>
    <row r="100" spans="1:75" ht="14.25" customHeight="1">
      <c r="A100" s="19"/>
      <c r="B100" s="20"/>
      <c r="C100" s="3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58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spans="1:75" ht="14.25" customHeight="1">
      <c r="A101" s="19"/>
      <c r="B101" s="20"/>
      <c r="C101" s="3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58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spans="1:75" ht="14.25" customHeight="1">
      <c r="A102" s="19"/>
      <c r="B102" s="20"/>
      <c r="C102" s="3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58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spans="1:75" ht="14.25" customHeight="1">
      <c r="A103" s="19"/>
      <c r="B103" s="20"/>
      <c r="C103" s="3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58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spans="1:75" ht="14.25" customHeight="1">
      <c r="A104" s="19"/>
      <c r="B104" s="20"/>
      <c r="C104" s="3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58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spans="1:75" ht="14.25" customHeight="1">
      <c r="A105" s="19"/>
      <c r="B105" s="20"/>
      <c r="C105" s="3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58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spans="1:75" ht="14.25" customHeight="1">
      <c r="A106" s="19"/>
      <c r="B106" s="20"/>
      <c r="C106" s="3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58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spans="1:75" ht="14.25" customHeight="1">
      <c r="A107" s="19"/>
      <c r="B107" s="20"/>
      <c r="C107" s="3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58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spans="1:75" ht="14.25" customHeight="1">
      <c r="A108" s="19"/>
      <c r="B108" s="20"/>
      <c r="C108" s="3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58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spans="1:75" ht="14.25" customHeight="1">
      <c r="A109" s="19"/>
      <c r="B109" s="20"/>
      <c r="C109" s="3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58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spans="1:75" ht="14.25" customHeight="1">
      <c r="A110" s="19"/>
      <c r="B110" s="20"/>
      <c r="C110" s="3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58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spans="1:75" ht="14.25" customHeight="1">
      <c r="A111" s="19"/>
      <c r="B111" s="20"/>
      <c r="C111" s="3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58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spans="1:75" ht="14.25" customHeigh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58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spans="1:75" ht="14.25" customHeight="1">
      <c r="A113" s="19"/>
      <c r="B113" s="20"/>
      <c r="C113" s="3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58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spans="1:75" ht="14.25" customHeight="1">
      <c r="A114" s="19"/>
      <c r="B114" s="20"/>
      <c r="C114" s="3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58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spans="1:75" ht="14.25" customHeight="1">
      <c r="A115" s="19"/>
      <c r="B115" s="20"/>
      <c r="C115" s="3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58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spans="1:75" ht="14.25" customHeight="1">
      <c r="A116" s="19"/>
      <c r="B116" s="20"/>
      <c r="C116" s="3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58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spans="1:75" ht="14.25" customHeight="1">
      <c r="A117" s="19"/>
      <c r="B117" s="20"/>
      <c r="C117" s="3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58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spans="1:75" ht="14.25" customHeight="1">
      <c r="A118" s="19"/>
      <c r="B118" s="20"/>
      <c r="C118" s="3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58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spans="1:75" ht="14.25" customHeight="1">
      <c r="A119" s="19"/>
      <c r="B119" s="20"/>
      <c r="C119" s="3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58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spans="1:75" ht="14.25" customHeight="1">
      <c r="A120" s="19"/>
      <c r="B120" s="20"/>
      <c r="C120" s="3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58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spans="1:75" ht="14.25" customHeight="1">
      <c r="A121" s="19"/>
      <c r="B121" s="20"/>
      <c r="C121" s="3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58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spans="1:75" ht="14.25" customHeight="1">
      <c r="A122" s="19"/>
      <c r="B122" s="20"/>
      <c r="C122" s="3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58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spans="1:75" ht="14.25" customHeight="1">
      <c r="A123" s="19"/>
      <c r="B123" s="20"/>
      <c r="C123" s="3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58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spans="1:75" ht="14.25" customHeight="1">
      <c r="A124" s="19"/>
      <c r="B124" s="20"/>
      <c r="C124" s="3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58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spans="1:75" ht="14.25" customHeight="1">
      <c r="A125" s="19"/>
      <c r="B125" s="20"/>
      <c r="C125" s="3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58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spans="1:75" ht="14.25" customHeight="1">
      <c r="A126" s="19"/>
      <c r="B126" s="20"/>
      <c r="C126" s="3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58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spans="1:75" ht="14.25" customHeight="1">
      <c r="A127" s="19"/>
      <c r="B127" s="20"/>
      <c r="C127" s="3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58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spans="1:75" ht="14.25" customHeigh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58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spans="1:75" ht="14.25" customHeight="1">
      <c r="A129" s="19"/>
      <c r="B129" s="20"/>
      <c r="C129" s="3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58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spans="1:75" ht="14.25" customHeight="1">
      <c r="A130" s="19"/>
      <c r="B130" s="20"/>
      <c r="C130" s="3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58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spans="1:75" ht="14.25" customHeight="1">
      <c r="A131" s="19"/>
      <c r="B131" s="20"/>
      <c r="C131" s="3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58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spans="1:75" ht="14.25" customHeight="1">
      <c r="A132" s="19"/>
      <c r="B132" s="20"/>
      <c r="C132" s="3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58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spans="1:75" ht="14.25" customHeight="1">
      <c r="A133" s="19"/>
      <c r="B133" s="20"/>
      <c r="C133" s="3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58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spans="1:75" ht="14.25" customHeight="1">
      <c r="A134" s="19"/>
      <c r="B134" s="20"/>
      <c r="C134" s="3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58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spans="1:75" ht="14.25" customHeight="1">
      <c r="A135" s="19"/>
      <c r="B135" s="20"/>
      <c r="C135" s="3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58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spans="1:75" ht="14.25" customHeight="1">
      <c r="A136" s="19"/>
      <c r="B136" s="20"/>
      <c r="C136" s="3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58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spans="1:75" ht="14.25" customHeight="1">
      <c r="A137" s="19"/>
      <c r="B137" s="20"/>
      <c r="C137" s="3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58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spans="1:75" ht="14.25" customHeight="1">
      <c r="A138" s="19"/>
      <c r="B138" s="20"/>
      <c r="C138" s="3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58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spans="1:75" ht="14.25" customHeight="1">
      <c r="A139" s="19"/>
      <c r="B139" s="20"/>
      <c r="C139" s="3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58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spans="1:75" ht="14.25" customHeight="1">
      <c r="A140" s="19"/>
      <c r="B140" s="20"/>
      <c r="C140" s="3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58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spans="1:75" ht="14.25" customHeight="1">
      <c r="A141" s="19"/>
      <c r="B141" s="20"/>
      <c r="C141" s="3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58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spans="1:75" ht="14.25" customHeight="1">
      <c r="A142" s="19"/>
      <c r="B142" s="20"/>
      <c r="C142" s="3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58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spans="1:75" ht="14.25" customHeight="1">
      <c r="A143" s="19"/>
      <c r="B143" s="20"/>
      <c r="C143" s="3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58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spans="1:75" ht="14.25" customHeight="1">
      <c r="A144" s="19"/>
      <c r="B144" s="20"/>
      <c r="C144" s="3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58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spans="1:75" ht="14.25" customHeight="1">
      <c r="A145" s="19"/>
      <c r="B145" s="20"/>
      <c r="C145" s="3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58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spans="1:75" ht="14.25" customHeight="1">
      <c r="A146" s="19"/>
      <c r="B146" s="20"/>
      <c r="C146" s="3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58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spans="1:75" ht="14.25" customHeight="1">
      <c r="A147" s="19"/>
      <c r="B147" s="20"/>
      <c r="C147" s="3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58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spans="1:75" ht="14.25" customHeigh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58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spans="1:75" ht="14.25" customHeight="1">
      <c r="A149" s="19"/>
      <c r="B149" s="20"/>
      <c r="C149" s="3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58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spans="1:75" ht="14.25" customHeight="1">
      <c r="A150" s="19"/>
      <c r="B150" s="20"/>
      <c r="C150" s="3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58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spans="1:75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58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spans="1:75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58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spans="1:75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58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spans="1:75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58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spans="1:75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58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spans="1:75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58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spans="1:75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58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spans="1:75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58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spans="1:75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58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spans="1:75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58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spans="1:75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58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spans="1:75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58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spans="1:75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58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spans="1:75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58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spans="1:75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58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spans="1:75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58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spans="1:75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58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spans="1:75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58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spans="1:75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58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spans="1:75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58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spans="1:75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58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spans="1:75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58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spans="1:75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58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spans="1:75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58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spans="1:75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58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spans="1:75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58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spans="1:75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58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spans="1:75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58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spans="1:75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58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spans="1:75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58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spans="1:75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58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spans="1:75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58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spans="1:75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58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spans="1:75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58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spans="1:75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58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spans="1:75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58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spans="1:75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58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spans="1:75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58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spans="1:75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58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spans="1:75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58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spans="1:75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58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spans="1:75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58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spans="1:75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58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spans="1:75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58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spans="1:75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58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spans="1:75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58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spans="1:75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58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spans="1:75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58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spans="1:75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58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spans="1:75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58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spans="1:75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58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spans="1:75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58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spans="1:75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58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spans="1:75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58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spans="1:75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58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spans="1:75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58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spans="1:75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58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spans="1:75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58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spans="1:75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58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spans="1:75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58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spans="1:75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58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spans="1:75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58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spans="1:75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58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spans="1:75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58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spans="1:75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58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spans="1:75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58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spans="1:75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58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spans="1:75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58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spans="1:75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58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spans="1:75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58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spans="1:75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58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spans="1:75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58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spans="1:75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58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spans="1:75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58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spans="1:75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58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spans="1:75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58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spans="1:75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58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spans="1:75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58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spans="1:75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58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spans="1:75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58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spans="1:75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58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spans="1:75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58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spans="1:75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58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spans="1:75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58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spans="1:75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58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spans="1:75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58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spans="1:75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58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spans="1:75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58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spans="1:75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58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spans="1:75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58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spans="1:75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58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spans="1:75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58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spans="1:75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58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spans="1:75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58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spans="1:75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58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spans="1:75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58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spans="1:75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58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spans="1:75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58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</row>
    <row r="249" spans="1:75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58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</row>
    <row r="250" spans="1:75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58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</row>
    <row r="251" spans="1:75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58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</row>
    <row r="252" spans="1:75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58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</row>
    <row r="253" spans="1:75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58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</row>
    <row r="254" spans="1:75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58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</row>
    <row r="255" spans="1:75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58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</row>
    <row r="256" spans="1:75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58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</row>
    <row r="257" spans="1:75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58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</row>
    <row r="258" spans="1:75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58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</row>
    <row r="259" spans="1:75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58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spans="1:75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58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</row>
    <row r="261" spans="1:75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58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</row>
    <row r="262" spans="1:75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58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spans="1:75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58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spans="1:75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58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spans="1:75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58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spans="1:75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58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spans="1:75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58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spans="1:75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58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spans="1:75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58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</row>
    <row r="270" spans="1:75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58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</row>
    <row r="271" spans="1:75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58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</row>
    <row r="272" spans="1:75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58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spans="1:75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58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spans="1:75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58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</row>
    <row r="275" spans="1:75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58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</row>
    <row r="276" spans="1:75" ht="15.75" customHeight="1">
      <c r="BF276" s="35"/>
    </row>
    <row r="277" spans="1:75" ht="15.75" customHeight="1">
      <c r="BF277" s="35"/>
    </row>
    <row r="278" spans="1:75" ht="15.75" customHeight="1">
      <c r="BF278" s="35"/>
    </row>
    <row r="279" spans="1:75" ht="15.75" customHeight="1">
      <c r="BF279" s="35"/>
    </row>
    <row r="280" spans="1:75" ht="15.75" customHeight="1">
      <c r="BF280" s="35"/>
    </row>
    <row r="281" spans="1:75" ht="15.75" customHeight="1">
      <c r="BF281" s="35"/>
    </row>
    <row r="282" spans="1:75" ht="15.75" customHeight="1">
      <c r="BF282" s="35"/>
    </row>
    <row r="283" spans="1:75" ht="15.75" customHeight="1">
      <c r="BF283" s="35"/>
    </row>
    <row r="284" spans="1:75" ht="15.75" customHeight="1">
      <c r="BF284" s="35"/>
    </row>
    <row r="285" spans="1:75" ht="15.75" customHeight="1">
      <c r="BF285" s="35"/>
    </row>
    <row r="286" spans="1:75" ht="15.75" customHeight="1">
      <c r="BF286" s="35"/>
    </row>
    <row r="287" spans="1:75" ht="15.75" customHeight="1">
      <c r="BF287" s="35"/>
    </row>
    <row r="288" spans="1:75" ht="15.75" customHeight="1">
      <c r="BF288" s="35"/>
    </row>
    <row r="289" spans="58:58" ht="15.75" customHeight="1">
      <c r="BF289" s="35"/>
    </row>
    <row r="290" spans="58:58" ht="15.75" customHeight="1">
      <c r="BF290" s="35"/>
    </row>
    <row r="291" spans="58:58" ht="15.75" customHeight="1">
      <c r="BF291" s="35"/>
    </row>
    <row r="292" spans="58:58" ht="15.75" customHeight="1">
      <c r="BF292" s="35"/>
    </row>
    <row r="293" spans="58:58" ht="15.75" customHeight="1">
      <c r="BF293" s="35"/>
    </row>
    <row r="294" spans="58:58" ht="15.75" customHeight="1">
      <c r="BF294" s="35"/>
    </row>
    <row r="295" spans="58:58" ht="15.75" customHeight="1">
      <c r="BF295" s="35"/>
    </row>
    <row r="296" spans="58:58" ht="15.75" customHeight="1">
      <c r="BF296" s="35"/>
    </row>
    <row r="297" spans="58:58" ht="15.75" customHeight="1">
      <c r="BF297" s="35"/>
    </row>
    <row r="298" spans="58:58" ht="15.75" customHeight="1">
      <c r="BF298" s="35"/>
    </row>
    <row r="299" spans="58:58" ht="15.75" customHeight="1">
      <c r="BF299" s="35"/>
    </row>
    <row r="300" spans="58:58" ht="15.75" customHeight="1">
      <c r="BF300" s="35"/>
    </row>
    <row r="301" spans="58:58" ht="15.75" customHeight="1">
      <c r="BF301" s="35"/>
    </row>
    <row r="302" spans="58:58" ht="15.75" customHeight="1">
      <c r="BF302" s="35"/>
    </row>
    <row r="303" spans="58:58" ht="15.75" customHeight="1">
      <c r="BF303" s="35"/>
    </row>
    <row r="304" spans="58:58" ht="15.75" customHeight="1">
      <c r="BF304" s="35"/>
    </row>
    <row r="305" spans="58:58" ht="15.75" customHeight="1">
      <c r="BF305" s="35"/>
    </row>
    <row r="306" spans="58:58" ht="15.75" customHeight="1">
      <c r="BF306" s="35"/>
    </row>
    <row r="307" spans="58:58" ht="15.75" customHeight="1">
      <c r="BF307" s="35"/>
    </row>
    <row r="308" spans="58:58" ht="15.75" customHeight="1">
      <c r="BF308" s="35"/>
    </row>
    <row r="309" spans="58:58" ht="15.75" customHeight="1">
      <c r="BF309" s="35"/>
    </row>
    <row r="310" spans="58:58" ht="15.75" customHeight="1">
      <c r="BF310" s="35"/>
    </row>
    <row r="311" spans="58:58" ht="15.75" customHeight="1">
      <c r="BF311" s="35"/>
    </row>
    <row r="312" spans="58:58" ht="15.75" customHeight="1">
      <c r="BF312" s="35"/>
    </row>
    <row r="313" spans="58:58" ht="15.75" customHeight="1">
      <c r="BF313" s="35"/>
    </row>
    <row r="314" spans="58:58" ht="15.75" customHeight="1">
      <c r="BF314" s="35"/>
    </row>
    <row r="315" spans="58:58" ht="15.75" customHeight="1">
      <c r="BF315" s="35"/>
    </row>
    <row r="316" spans="58:58" ht="15.75" customHeight="1">
      <c r="BF316" s="35"/>
    </row>
    <row r="317" spans="58:58" ht="15.75" customHeight="1">
      <c r="BF317" s="35"/>
    </row>
    <row r="318" spans="58:58" ht="15.75" customHeight="1">
      <c r="BF318" s="35"/>
    </row>
    <row r="319" spans="58:58" ht="15.75" customHeight="1">
      <c r="BF319" s="35"/>
    </row>
    <row r="320" spans="58:58" ht="15.75" customHeight="1">
      <c r="BF320" s="35"/>
    </row>
    <row r="321" spans="58:58" ht="15.75" customHeight="1">
      <c r="BF321" s="35"/>
    </row>
    <row r="322" spans="58:58" ht="15.75" customHeight="1">
      <c r="BF322" s="35"/>
    </row>
    <row r="323" spans="58:58" ht="15.75" customHeight="1">
      <c r="BF323" s="35"/>
    </row>
    <row r="324" spans="58:58" ht="15.75" customHeight="1">
      <c r="BF324" s="35"/>
    </row>
    <row r="325" spans="58:58" ht="15.75" customHeight="1">
      <c r="BF325" s="35"/>
    </row>
    <row r="326" spans="58:58" ht="15.75" customHeight="1">
      <c r="BF326" s="35"/>
    </row>
    <row r="327" spans="58:58" ht="15.75" customHeight="1">
      <c r="BF327" s="35"/>
    </row>
    <row r="328" spans="58:58" ht="15.75" customHeight="1">
      <c r="BF328" s="35"/>
    </row>
    <row r="329" spans="58:58" ht="15.75" customHeight="1">
      <c r="BF329" s="35"/>
    </row>
    <row r="330" spans="58:58" ht="15.75" customHeight="1">
      <c r="BF330" s="35"/>
    </row>
    <row r="331" spans="58:58" ht="15.75" customHeight="1">
      <c r="BF331" s="35"/>
    </row>
    <row r="332" spans="58:58" ht="15.75" customHeight="1">
      <c r="BF332" s="35"/>
    </row>
    <row r="333" spans="58:58" ht="15.75" customHeight="1">
      <c r="BF333" s="35"/>
    </row>
    <row r="334" spans="58:58" ht="15.75" customHeight="1">
      <c r="BF334" s="35"/>
    </row>
    <row r="335" spans="58:58" ht="15.75" customHeight="1">
      <c r="BF335" s="35"/>
    </row>
    <row r="336" spans="58:58" ht="15.75" customHeight="1">
      <c r="BF336" s="35"/>
    </row>
    <row r="337" spans="58:58" ht="15.75" customHeight="1">
      <c r="BF337" s="35"/>
    </row>
    <row r="338" spans="58:58" ht="15.75" customHeight="1">
      <c r="BF338" s="35"/>
    </row>
    <row r="339" spans="58:58" ht="15.75" customHeight="1">
      <c r="BF339" s="35"/>
    </row>
    <row r="340" spans="58:58" ht="15.75" customHeight="1">
      <c r="BF340" s="35"/>
    </row>
    <row r="341" spans="58:58" ht="15.75" customHeight="1">
      <c r="BF341" s="35"/>
    </row>
    <row r="342" spans="58:58" ht="15.75" customHeight="1">
      <c r="BF342" s="35"/>
    </row>
    <row r="343" spans="58:58" ht="15.75" customHeight="1">
      <c r="BF343" s="35"/>
    </row>
    <row r="344" spans="58:58" ht="15.75" customHeight="1">
      <c r="BF344" s="35"/>
    </row>
    <row r="345" spans="58:58" ht="15.75" customHeight="1">
      <c r="BF345" s="35"/>
    </row>
    <row r="346" spans="58:58" ht="15.75" customHeight="1">
      <c r="BF346" s="35"/>
    </row>
    <row r="347" spans="58:58" ht="15.75" customHeight="1">
      <c r="BF347" s="35"/>
    </row>
    <row r="348" spans="58:58" ht="15.75" customHeight="1">
      <c r="BF348" s="35"/>
    </row>
    <row r="349" spans="58:58" ht="15.75" customHeight="1">
      <c r="BF349" s="35"/>
    </row>
    <row r="350" spans="58:58" ht="15.75" customHeight="1">
      <c r="BF350" s="35"/>
    </row>
    <row r="351" spans="58:58" ht="15.75" customHeight="1">
      <c r="BF351" s="35"/>
    </row>
    <row r="352" spans="58:58" ht="15.75" customHeight="1">
      <c r="BF352" s="35"/>
    </row>
    <row r="353" spans="58:58" ht="15.75" customHeight="1">
      <c r="BF353" s="35"/>
    </row>
    <row r="354" spans="58:58" ht="15.75" customHeight="1">
      <c r="BF354" s="35"/>
    </row>
    <row r="355" spans="58:58" ht="15.75" customHeight="1">
      <c r="BF355" s="35"/>
    </row>
    <row r="356" spans="58:58" ht="15.75" customHeight="1">
      <c r="BF356" s="35"/>
    </row>
    <row r="357" spans="58:58" ht="15.75" customHeight="1">
      <c r="BF357" s="35"/>
    </row>
    <row r="358" spans="58:58" ht="15.75" customHeight="1">
      <c r="BF358" s="35"/>
    </row>
    <row r="359" spans="58:58" ht="15.75" customHeight="1">
      <c r="BF359" s="35"/>
    </row>
    <row r="360" spans="58:58" ht="15.75" customHeight="1">
      <c r="BF360" s="35"/>
    </row>
    <row r="361" spans="58:58" ht="15.75" customHeight="1">
      <c r="BF361" s="35"/>
    </row>
    <row r="362" spans="58:58" ht="15.75" customHeight="1">
      <c r="BF362" s="35"/>
    </row>
    <row r="363" spans="58:58" ht="15.75" customHeight="1">
      <c r="BF363" s="35"/>
    </row>
    <row r="364" spans="58:58" ht="15.75" customHeight="1">
      <c r="BF364" s="35"/>
    </row>
    <row r="365" spans="58:58" ht="15.75" customHeight="1">
      <c r="BF365" s="35"/>
    </row>
    <row r="366" spans="58:58" ht="15.75" customHeight="1">
      <c r="BF366" s="35"/>
    </row>
    <row r="367" spans="58:58" ht="15.75" customHeight="1">
      <c r="BF367" s="35"/>
    </row>
    <row r="368" spans="58:58" ht="15.75" customHeight="1">
      <c r="BF368" s="35"/>
    </row>
    <row r="369" spans="58:58" ht="15.75" customHeight="1">
      <c r="BF369" s="35"/>
    </row>
    <row r="370" spans="58:58" ht="15.75" customHeight="1">
      <c r="BF370" s="35"/>
    </row>
    <row r="371" spans="58:58" ht="15.75" customHeight="1">
      <c r="BF371" s="35"/>
    </row>
    <row r="372" spans="58:58" ht="15.75" customHeight="1">
      <c r="BF372" s="35"/>
    </row>
    <row r="373" spans="58:58" ht="15.75" customHeight="1">
      <c r="BF373" s="35"/>
    </row>
    <row r="374" spans="58:58" ht="15.75" customHeight="1">
      <c r="BF374" s="35"/>
    </row>
    <row r="375" spans="58:58" ht="15.75" customHeight="1">
      <c r="BF375" s="35"/>
    </row>
    <row r="376" spans="58:58" ht="15.75" customHeight="1">
      <c r="BF376" s="35"/>
    </row>
    <row r="377" spans="58:58" ht="15.75" customHeight="1">
      <c r="BF377" s="35"/>
    </row>
    <row r="378" spans="58:58" ht="15.75" customHeight="1">
      <c r="BF378" s="35"/>
    </row>
    <row r="379" spans="58:58" ht="15.75" customHeight="1">
      <c r="BF379" s="35"/>
    </row>
    <row r="380" spans="58:58" ht="15.75" customHeight="1">
      <c r="BF380" s="35"/>
    </row>
    <row r="381" spans="58:58" ht="15.75" customHeight="1">
      <c r="BF381" s="35"/>
    </row>
    <row r="382" spans="58:58" ht="15.75" customHeight="1">
      <c r="BF382" s="35"/>
    </row>
    <row r="383" spans="58:58" ht="15.75" customHeight="1">
      <c r="BF383" s="35"/>
    </row>
    <row r="384" spans="58:58" ht="15.75" customHeight="1">
      <c r="BF384" s="35"/>
    </row>
    <row r="385" spans="58:58" ht="15.75" customHeight="1">
      <c r="BF385" s="35"/>
    </row>
    <row r="386" spans="58:58" ht="15.75" customHeight="1">
      <c r="BF386" s="35"/>
    </row>
    <row r="387" spans="58:58" ht="15.75" customHeight="1">
      <c r="BF387" s="35"/>
    </row>
    <row r="388" spans="58:58" ht="15.75" customHeight="1">
      <c r="BF388" s="35"/>
    </row>
    <row r="389" spans="58:58" ht="15.75" customHeight="1">
      <c r="BF389" s="35"/>
    </row>
    <row r="390" spans="58:58" ht="15.75" customHeight="1">
      <c r="BF390" s="35"/>
    </row>
    <row r="391" spans="58:58" ht="15.75" customHeight="1">
      <c r="BF391" s="35"/>
    </row>
    <row r="392" spans="58:58" ht="15.75" customHeight="1">
      <c r="BF392" s="35"/>
    </row>
    <row r="393" spans="58:58" ht="15.75" customHeight="1">
      <c r="BF393" s="35"/>
    </row>
    <row r="394" spans="58:58" ht="15.75" customHeight="1">
      <c r="BF394" s="35"/>
    </row>
    <row r="395" spans="58:58" ht="15.75" customHeight="1">
      <c r="BF395" s="35"/>
    </row>
    <row r="396" spans="58:58" ht="15.75" customHeight="1">
      <c r="BF396" s="35"/>
    </row>
    <row r="397" spans="58:58" ht="15.75" customHeight="1">
      <c r="BF397" s="35"/>
    </row>
    <row r="398" spans="58:58" ht="15.75" customHeight="1">
      <c r="BF398" s="35"/>
    </row>
    <row r="399" spans="58:58" ht="15.75" customHeight="1">
      <c r="BF399" s="35"/>
    </row>
    <row r="400" spans="58:58" ht="15.75" customHeight="1">
      <c r="BF400" s="35"/>
    </row>
    <row r="401" spans="58:58" ht="15.75" customHeight="1">
      <c r="BF401" s="35"/>
    </row>
    <row r="402" spans="58:58" ht="15.75" customHeight="1">
      <c r="BF402" s="35"/>
    </row>
    <row r="403" spans="58:58" ht="15.75" customHeight="1">
      <c r="BF403" s="35"/>
    </row>
    <row r="404" spans="58:58" ht="15.75" customHeight="1">
      <c r="BF404" s="35"/>
    </row>
    <row r="405" spans="58:58" ht="15.75" customHeight="1">
      <c r="BF405" s="35"/>
    </row>
    <row r="406" spans="58:58" ht="15.75" customHeight="1">
      <c r="BF406" s="35"/>
    </row>
    <row r="407" spans="58:58" ht="15.75" customHeight="1">
      <c r="BF407" s="35"/>
    </row>
    <row r="408" spans="58:58" ht="15.75" customHeight="1">
      <c r="BF408" s="35"/>
    </row>
    <row r="409" spans="58:58" ht="15.75" customHeight="1">
      <c r="BF409" s="35"/>
    </row>
    <row r="410" spans="58:58" ht="15.75" customHeight="1">
      <c r="BF410" s="35"/>
    </row>
    <row r="411" spans="58:58" ht="15.75" customHeight="1">
      <c r="BF411" s="35"/>
    </row>
    <row r="412" spans="58:58" ht="15.75" customHeight="1">
      <c r="BF412" s="35"/>
    </row>
    <row r="413" spans="58:58" ht="15.75" customHeight="1">
      <c r="BF413" s="35"/>
    </row>
    <row r="414" spans="58:58" ht="15.75" customHeight="1">
      <c r="BF414" s="35"/>
    </row>
    <row r="415" spans="58:58" ht="15.75" customHeight="1">
      <c r="BF415" s="35"/>
    </row>
    <row r="416" spans="58:58" ht="15.75" customHeight="1">
      <c r="BF416" s="35"/>
    </row>
    <row r="417" spans="58:58" ht="15.75" customHeight="1">
      <c r="BF417" s="35"/>
    </row>
    <row r="418" spans="58:58" ht="15.75" customHeight="1">
      <c r="BF418" s="35"/>
    </row>
    <row r="419" spans="58:58" ht="15.75" customHeight="1">
      <c r="BF419" s="35"/>
    </row>
    <row r="420" spans="58:58" ht="15.75" customHeight="1">
      <c r="BF420" s="35"/>
    </row>
    <row r="421" spans="58:58" ht="15.75" customHeight="1">
      <c r="BF421" s="35"/>
    </row>
    <row r="422" spans="58:58" ht="15.75" customHeight="1">
      <c r="BF422" s="35"/>
    </row>
    <row r="423" spans="58:58" ht="15.75" customHeight="1">
      <c r="BF423" s="35"/>
    </row>
    <row r="424" spans="58:58" ht="15.75" customHeight="1">
      <c r="BF424" s="35"/>
    </row>
    <row r="425" spans="58:58" ht="15.75" customHeight="1">
      <c r="BF425" s="35"/>
    </row>
    <row r="426" spans="58:58" ht="15.75" customHeight="1">
      <c r="BF426" s="35"/>
    </row>
    <row r="427" spans="58:58" ht="15.75" customHeight="1">
      <c r="BF427" s="35"/>
    </row>
    <row r="428" spans="58:58" ht="15.75" customHeight="1">
      <c r="BF428" s="35"/>
    </row>
    <row r="429" spans="58:58" ht="15.75" customHeight="1">
      <c r="BF429" s="35"/>
    </row>
    <row r="430" spans="58:58" ht="15.75" customHeight="1">
      <c r="BF430" s="35"/>
    </row>
    <row r="431" spans="58:58" ht="15.75" customHeight="1">
      <c r="BF431" s="35"/>
    </row>
    <row r="432" spans="58:58" ht="15.75" customHeight="1">
      <c r="BF432" s="35"/>
    </row>
    <row r="433" spans="58:58" ht="15.75" customHeight="1">
      <c r="BF433" s="35"/>
    </row>
    <row r="434" spans="58:58" ht="15.75" customHeight="1">
      <c r="BF434" s="35"/>
    </row>
    <row r="435" spans="58:58" ht="15.75" customHeight="1">
      <c r="BF435" s="35"/>
    </row>
    <row r="436" spans="58:58" ht="15.75" customHeight="1">
      <c r="BF436" s="35"/>
    </row>
    <row r="437" spans="58:58" ht="15.75" customHeight="1">
      <c r="BF437" s="35"/>
    </row>
    <row r="438" spans="58:58" ht="15.75" customHeight="1">
      <c r="BF438" s="35"/>
    </row>
    <row r="439" spans="58:58" ht="15.75" customHeight="1">
      <c r="BF439" s="35"/>
    </row>
    <row r="440" spans="58:58" ht="15.75" customHeight="1">
      <c r="BF440" s="35"/>
    </row>
    <row r="441" spans="58:58" ht="15.75" customHeight="1">
      <c r="BF441" s="35"/>
    </row>
    <row r="442" spans="58:58" ht="15.75" customHeight="1">
      <c r="BF442" s="35"/>
    </row>
    <row r="443" spans="58:58" ht="15.75" customHeight="1">
      <c r="BF443" s="35"/>
    </row>
    <row r="444" spans="58:58" ht="15.75" customHeight="1">
      <c r="BF444" s="35"/>
    </row>
    <row r="445" spans="58:58" ht="15.75" customHeight="1">
      <c r="BF445" s="35"/>
    </row>
    <row r="446" spans="58:58" ht="15.75" customHeight="1">
      <c r="BF446" s="35"/>
    </row>
    <row r="447" spans="58:58" ht="15.75" customHeight="1">
      <c r="BF447" s="35"/>
    </row>
    <row r="448" spans="58:58" ht="15.75" customHeight="1">
      <c r="BF448" s="35"/>
    </row>
    <row r="449" spans="58:58" ht="15.75" customHeight="1">
      <c r="BF449" s="35"/>
    </row>
    <row r="450" spans="58:58" ht="15.75" customHeight="1">
      <c r="BF450" s="35"/>
    </row>
    <row r="451" spans="58:58" ht="15.75" customHeight="1">
      <c r="BF451" s="35"/>
    </row>
    <row r="452" spans="58:58" ht="15.75" customHeight="1">
      <c r="BF452" s="35"/>
    </row>
    <row r="453" spans="58:58" ht="15.75" customHeight="1">
      <c r="BF453" s="35"/>
    </row>
    <row r="454" spans="58:58" ht="15.75" customHeight="1">
      <c r="BF454" s="35"/>
    </row>
    <row r="455" spans="58:58" ht="15.75" customHeight="1">
      <c r="BF455" s="35"/>
    </row>
    <row r="456" spans="58:58" ht="15.75" customHeight="1">
      <c r="BF456" s="35"/>
    </row>
    <row r="457" spans="58:58" ht="15.75" customHeight="1">
      <c r="BF457" s="35"/>
    </row>
    <row r="458" spans="58:58" ht="15.75" customHeight="1">
      <c r="BF458" s="35"/>
    </row>
    <row r="459" spans="58:58" ht="15.75" customHeight="1">
      <c r="BF459" s="35"/>
    </row>
    <row r="460" spans="58:58" ht="15.75" customHeight="1">
      <c r="BF460" s="35"/>
    </row>
    <row r="461" spans="58:58" ht="15.75" customHeight="1">
      <c r="BF461" s="35"/>
    </row>
    <row r="462" spans="58:58" ht="15.75" customHeight="1">
      <c r="BF462" s="35"/>
    </row>
    <row r="463" spans="58:58" ht="15.75" customHeight="1">
      <c r="BF463" s="35"/>
    </row>
    <row r="464" spans="58:58" ht="15.75" customHeight="1">
      <c r="BF464" s="35"/>
    </row>
    <row r="465" spans="58:58" ht="15.75" customHeight="1">
      <c r="BF465" s="35"/>
    </row>
    <row r="466" spans="58:58" ht="15.75" customHeight="1">
      <c r="BF466" s="35"/>
    </row>
    <row r="467" spans="58:58" ht="15.75" customHeight="1">
      <c r="BF467" s="35"/>
    </row>
    <row r="468" spans="58:58" ht="15.75" customHeight="1">
      <c r="BF468" s="35"/>
    </row>
    <row r="469" spans="58:58" ht="15.75" customHeight="1">
      <c r="BF469" s="35"/>
    </row>
    <row r="470" spans="58:58" ht="15.75" customHeight="1">
      <c r="BF470" s="35"/>
    </row>
    <row r="471" spans="58:58" ht="15.75" customHeight="1">
      <c r="BF471" s="35"/>
    </row>
    <row r="472" spans="58:58" ht="15.75" customHeight="1">
      <c r="BF472" s="35"/>
    </row>
    <row r="473" spans="58:58" ht="15.75" customHeight="1">
      <c r="BF473" s="35"/>
    </row>
    <row r="474" spans="58:58" ht="15.75" customHeight="1">
      <c r="BF474" s="35"/>
    </row>
    <row r="475" spans="58:58" ht="15.75" customHeight="1">
      <c r="BF475" s="35"/>
    </row>
    <row r="476" spans="58:58" ht="15.75" customHeight="1">
      <c r="BF476" s="35"/>
    </row>
    <row r="477" spans="58:58" ht="15.75" customHeight="1">
      <c r="BF477" s="35"/>
    </row>
    <row r="478" spans="58:58" ht="15.75" customHeight="1">
      <c r="BF478" s="35"/>
    </row>
    <row r="479" spans="58:58" ht="15.75" customHeight="1">
      <c r="BF479" s="35"/>
    </row>
    <row r="480" spans="58:58" ht="15.75" customHeight="1">
      <c r="BF480" s="35"/>
    </row>
    <row r="481" spans="58:58" ht="15.75" customHeight="1">
      <c r="BF481" s="35"/>
    </row>
    <row r="482" spans="58:58" ht="15.75" customHeight="1">
      <c r="BF482" s="35"/>
    </row>
    <row r="483" spans="58:58" ht="15.75" customHeight="1">
      <c r="BF483" s="35"/>
    </row>
    <row r="484" spans="58:58" ht="15.75" customHeight="1">
      <c r="BF484" s="35"/>
    </row>
    <row r="485" spans="58:58" ht="15.75" customHeight="1">
      <c r="BF485" s="35"/>
    </row>
    <row r="486" spans="58:58" ht="15.75" customHeight="1">
      <c r="BF486" s="35"/>
    </row>
    <row r="487" spans="58:58" ht="15.75" customHeight="1">
      <c r="BF487" s="35"/>
    </row>
    <row r="488" spans="58:58" ht="15.75" customHeight="1">
      <c r="BF488" s="35"/>
    </row>
    <row r="489" spans="58:58" ht="15.75" customHeight="1">
      <c r="BF489" s="35"/>
    </row>
    <row r="490" spans="58:58" ht="15.75" customHeight="1">
      <c r="BF490" s="35"/>
    </row>
    <row r="491" spans="58:58" ht="15.75" customHeight="1">
      <c r="BF491" s="35"/>
    </row>
    <row r="492" spans="58:58" ht="15.75" customHeight="1">
      <c r="BF492" s="35"/>
    </row>
    <row r="493" spans="58:58" ht="15.75" customHeight="1">
      <c r="BF493" s="35"/>
    </row>
    <row r="494" spans="58:58" ht="15.75" customHeight="1">
      <c r="BF494" s="35"/>
    </row>
    <row r="495" spans="58:58" ht="15.75" customHeight="1">
      <c r="BF495" s="35"/>
    </row>
    <row r="496" spans="58:58" ht="15.75" customHeight="1">
      <c r="BF496" s="35"/>
    </row>
    <row r="497" spans="58:58" ht="15.75" customHeight="1">
      <c r="BF497" s="35"/>
    </row>
    <row r="498" spans="58:58" ht="15.75" customHeight="1">
      <c r="BF498" s="35"/>
    </row>
    <row r="499" spans="58:58" ht="15.75" customHeight="1">
      <c r="BF499" s="35"/>
    </row>
    <row r="500" spans="58:58" ht="15.75" customHeight="1">
      <c r="BF500" s="35"/>
    </row>
    <row r="501" spans="58:58" ht="15.75" customHeight="1">
      <c r="BF501" s="35"/>
    </row>
    <row r="502" spans="58:58" ht="15.75" customHeight="1">
      <c r="BF502" s="35"/>
    </row>
    <row r="503" spans="58:58" ht="15.75" customHeight="1">
      <c r="BF503" s="35"/>
    </row>
    <row r="504" spans="58:58" ht="15.75" customHeight="1">
      <c r="BF504" s="35"/>
    </row>
    <row r="505" spans="58:58" ht="15.75" customHeight="1">
      <c r="BF505" s="35"/>
    </row>
    <row r="506" spans="58:58" ht="15.75" customHeight="1">
      <c r="BF506" s="35"/>
    </row>
    <row r="507" spans="58:58" ht="15.75" customHeight="1">
      <c r="BF507" s="35"/>
    </row>
    <row r="508" spans="58:58" ht="15.75" customHeight="1">
      <c r="BF508" s="35"/>
    </row>
    <row r="509" spans="58:58" ht="15.75" customHeight="1">
      <c r="BF509" s="35"/>
    </row>
    <row r="510" spans="58:58" ht="15.75" customHeight="1">
      <c r="BF510" s="35"/>
    </row>
    <row r="511" spans="58:58" ht="15.75" customHeight="1">
      <c r="BF511" s="35"/>
    </row>
    <row r="512" spans="58:58" ht="15.75" customHeight="1">
      <c r="BF512" s="35"/>
    </row>
    <row r="513" spans="58:58" ht="15.75" customHeight="1">
      <c r="BF513" s="35"/>
    </row>
    <row r="514" spans="58:58" ht="15.75" customHeight="1">
      <c r="BF514" s="35"/>
    </row>
    <row r="515" spans="58:58" ht="15.75" customHeight="1">
      <c r="BF515" s="35"/>
    </row>
    <row r="516" spans="58:58" ht="15.75" customHeight="1">
      <c r="BF516" s="35"/>
    </row>
    <row r="517" spans="58:58" ht="15.75" customHeight="1">
      <c r="BF517" s="35"/>
    </row>
    <row r="518" spans="58:58" ht="15.75" customHeight="1">
      <c r="BF518" s="35"/>
    </row>
    <row r="519" spans="58:58" ht="15.75" customHeight="1">
      <c r="BF519" s="35"/>
    </row>
    <row r="520" spans="58:58" ht="15.75" customHeight="1">
      <c r="BF520" s="35"/>
    </row>
    <row r="521" spans="58:58" ht="15.75" customHeight="1">
      <c r="BF521" s="35"/>
    </row>
    <row r="522" spans="58:58" ht="15.75" customHeight="1">
      <c r="BF522" s="35"/>
    </row>
    <row r="523" spans="58:58" ht="15.75" customHeight="1">
      <c r="BF523" s="35"/>
    </row>
    <row r="524" spans="58:58" ht="15.75" customHeight="1">
      <c r="BF524" s="35"/>
    </row>
    <row r="525" spans="58:58" ht="15.75" customHeight="1">
      <c r="BF525" s="35"/>
    </row>
    <row r="526" spans="58:58" ht="15.75" customHeight="1">
      <c r="BF526" s="35"/>
    </row>
    <row r="527" spans="58:58" ht="15.75" customHeight="1">
      <c r="BF527" s="35"/>
    </row>
    <row r="528" spans="58:58" ht="15.75" customHeight="1">
      <c r="BF528" s="35"/>
    </row>
    <row r="529" spans="58:58" ht="15.75" customHeight="1">
      <c r="BF529" s="35"/>
    </row>
    <row r="530" spans="58:58" ht="15.75" customHeight="1">
      <c r="BF530" s="35"/>
    </row>
    <row r="531" spans="58:58" ht="15.75" customHeight="1">
      <c r="BF531" s="35"/>
    </row>
    <row r="532" spans="58:58" ht="15.75" customHeight="1">
      <c r="BF532" s="35"/>
    </row>
    <row r="533" spans="58:58" ht="15.75" customHeight="1">
      <c r="BF533" s="35"/>
    </row>
    <row r="534" spans="58:58" ht="15.75" customHeight="1">
      <c r="BF534" s="35"/>
    </row>
    <row r="535" spans="58:58" ht="15.75" customHeight="1">
      <c r="BF535" s="35"/>
    </row>
    <row r="536" spans="58:58" ht="15.75" customHeight="1">
      <c r="BF536" s="35"/>
    </row>
    <row r="537" spans="58:58" ht="15.75" customHeight="1">
      <c r="BF537" s="35"/>
    </row>
    <row r="538" spans="58:58" ht="15.75" customHeight="1">
      <c r="BF538" s="35"/>
    </row>
    <row r="539" spans="58:58" ht="15.75" customHeight="1">
      <c r="BF539" s="35"/>
    </row>
    <row r="540" spans="58:58" ht="15.75" customHeight="1">
      <c r="BF540" s="35"/>
    </row>
    <row r="541" spans="58:58" ht="15.75" customHeight="1">
      <c r="BF541" s="35"/>
    </row>
    <row r="542" spans="58:58" ht="15.75" customHeight="1">
      <c r="BF542" s="35"/>
    </row>
    <row r="543" spans="58:58" ht="15.75" customHeight="1">
      <c r="BF543" s="35"/>
    </row>
    <row r="544" spans="58:58" ht="15.75" customHeight="1">
      <c r="BF544" s="35"/>
    </row>
    <row r="545" spans="58:58" ht="15.75" customHeight="1">
      <c r="BF545" s="35"/>
    </row>
    <row r="546" spans="58:58" ht="15.75" customHeight="1">
      <c r="BF546" s="35"/>
    </row>
    <row r="547" spans="58:58" ht="15.75" customHeight="1">
      <c r="BF547" s="35"/>
    </row>
    <row r="548" spans="58:58" ht="15.75" customHeight="1">
      <c r="BF548" s="35"/>
    </row>
    <row r="549" spans="58:58" ht="15.75" customHeight="1">
      <c r="BF549" s="35"/>
    </row>
    <row r="550" spans="58:58" ht="15.75" customHeight="1">
      <c r="BF550" s="35"/>
    </row>
    <row r="551" spans="58:58" ht="15.75" customHeight="1">
      <c r="BF551" s="35"/>
    </row>
    <row r="552" spans="58:58" ht="15.75" customHeight="1">
      <c r="BF552" s="35"/>
    </row>
    <row r="553" spans="58:58" ht="15.75" customHeight="1">
      <c r="BF553" s="35"/>
    </row>
    <row r="554" spans="58:58" ht="15.75" customHeight="1">
      <c r="BF554" s="35"/>
    </row>
    <row r="555" spans="58:58" ht="15.75" customHeight="1">
      <c r="BF555" s="35"/>
    </row>
    <row r="556" spans="58:58" ht="15.75" customHeight="1">
      <c r="BF556" s="35"/>
    </row>
    <row r="557" spans="58:58" ht="15.75" customHeight="1">
      <c r="BF557" s="35"/>
    </row>
    <row r="558" spans="58:58" ht="15.75" customHeight="1">
      <c r="BF558" s="35"/>
    </row>
    <row r="559" spans="58:58" ht="15.75" customHeight="1">
      <c r="BF559" s="35"/>
    </row>
    <row r="560" spans="58:58" ht="15.75" customHeight="1">
      <c r="BF560" s="35"/>
    </row>
    <row r="561" spans="58:58" ht="15.75" customHeight="1">
      <c r="BF561" s="35"/>
    </row>
    <row r="562" spans="58:58" ht="15.75" customHeight="1">
      <c r="BF562" s="35"/>
    </row>
    <row r="563" spans="58:58" ht="15.75" customHeight="1">
      <c r="BF563" s="35"/>
    </row>
    <row r="564" spans="58:58" ht="15.75" customHeight="1">
      <c r="BF564" s="35"/>
    </row>
    <row r="565" spans="58:58" ht="15.75" customHeight="1">
      <c r="BF565" s="35"/>
    </row>
    <row r="566" spans="58:58" ht="15.75" customHeight="1">
      <c r="BF566" s="35"/>
    </row>
    <row r="567" spans="58:58" ht="15.75" customHeight="1">
      <c r="BF567" s="35"/>
    </row>
    <row r="568" spans="58:58" ht="15.75" customHeight="1">
      <c r="BF568" s="35"/>
    </row>
    <row r="569" spans="58:58" ht="15.75" customHeight="1">
      <c r="BF569" s="35"/>
    </row>
    <row r="570" spans="58:58" ht="15.75" customHeight="1">
      <c r="BF570" s="35"/>
    </row>
    <row r="571" spans="58:58" ht="15.75" customHeight="1">
      <c r="BF571" s="35"/>
    </row>
    <row r="572" spans="58:58" ht="15.75" customHeight="1">
      <c r="BF572" s="35"/>
    </row>
    <row r="573" spans="58:58" ht="15.75" customHeight="1">
      <c r="BF573" s="35"/>
    </row>
    <row r="574" spans="58:58" ht="15.75" customHeight="1">
      <c r="BF574" s="35"/>
    </row>
    <row r="575" spans="58:58" ht="15.75" customHeight="1">
      <c r="BF575" s="35"/>
    </row>
    <row r="576" spans="58:58" ht="15.75" customHeight="1">
      <c r="BF576" s="35"/>
    </row>
    <row r="577" spans="58:58" ht="15.75" customHeight="1">
      <c r="BF577" s="35"/>
    </row>
    <row r="578" spans="58:58" ht="15.75" customHeight="1">
      <c r="BF578" s="35"/>
    </row>
    <row r="579" spans="58:58" ht="15.75" customHeight="1">
      <c r="BF579" s="35"/>
    </row>
    <row r="580" spans="58:58" ht="15.75" customHeight="1">
      <c r="BF580" s="35"/>
    </row>
    <row r="581" spans="58:58" ht="15.75" customHeight="1">
      <c r="BF581" s="35"/>
    </row>
    <row r="582" spans="58:58" ht="15.75" customHeight="1">
      <c r="BF582" s="35"/>
    </row>
    <row r="583" spans="58:58" ht="15.75" customHeight="1">
      <c r="BF583" s="35"/>
    </row>
    <row r="584" spans="58:58" ht="15.75" customHeight="1">
      <c r="BF584" s="35"/>
    </row>
    <row r="585" spans="58:58" ht="15.75" customHeight="1">
      <c r="BF585" s="35"/>
    </row>
    <row r="586" spans="58:58" ht="15.75" customHeight="1">
      <c r="BF586" s="35"/>
    </row>
    <row r="587" spans="58:58" ht="15.75" customHeight="1">
      <c r="BF587" s="35"/>
    </row>
    <row r="588" spans="58:58" ht="15.75" customHeight="1">
      <c r="BF588" s="35"/>
    </row>
    <row r="589" spans="58:58" ht="15.75" customHeight="1">
      <c r="BF589" s="35"/>
    </row>
    <row r="590" spans="58:58" ht="15.75" customHeight="1">
      <c r="BF590" s="35"/>
    </row>
    <row r="591" spans="58:58" ht="15.75" customHeight="1">
      <c r="BF591" s="35"/>
    </row>
    <row r="592" spans="58:58" ht="15.75" customHeight="1">
      <c r="BF592" s="35"/>
    </row>
    <row r="593" spans="58:58" ht="15.75" customHeight="1">
      <c r="BF593" s="35"/>
    </row>
    <row r="594" spans="58:58" ht="15.75" customHeight="1">
      <c r="BF594" s="35"/>
    </row>
    <row r="595" spans="58:58" ht="15.75" customHeight="1">
      <c r="BF595" s="35"/>
    </row>
    <row r="596" spans="58:58" ht="15.75" customHeight="1">
      <c r="BF596" s="35"/>
    </row>
    <row r="597" spans="58:58" ht="15.75" customHeight="1">
      <c r="BF597" s="35"/>
    </row>
    <row r="598" spans="58:58" ht="15.75" customHeight="1">
      <c r="BF598" s="35"/>
    </row>
    <row r="599" spans="58:58" ht="15.75" customHeight="1">
      <c r="BF599" s="35"/>
    </row>
    <row r="600" spans="58:58" ht="15.75" customHeight="1">
      <c r="BF600" s="35"/>
    </row>
    <row r="601" spans="58:58" ht="15.75" customHeight="1">
      <c r="BF601" s="35"/>
    </row>
    <row r="602" spans="58:58" ht="15.75" customHeight="1">
      <c r="BF602" s="35"/>
    </row>
    <row r="603" spans="58:58" ht="15.75" customHeight="1">
      <c r="BF603" s="35"/>
    </row>
    <row r="604" spans="58:58" ht="15.75" customHeight="1">
      <c r="BF604" s="35"/>
    </row>
    <row r="605" spans="58:58" ht="15.75" customHeight="1">
      <c r="BF605" s="35"/>
    </row>
    <row r="606" spans="58:58" ht="15.75" customHeight="1">
      <c r="BF606" s="35"/>
    </row>
    <row r="607" spans="58:58" ht="15.75" customHeight="1">
      <c r="BF607" s="35"/>
    </row>
    <row r="608" spans="58:58" ht="15.75" customHeight="1">
      <c r="BF608" s="35"/>
    </row>
    <row r="609" spans="58:58" ht="15.75" customHeight="1">
      <c r="BF609" s="35"/>
    </row>
    <row r="610" spans="58:58" ht="15.75" customHeight="1">
      <c r="BF610" s="35"/>
    </row>
    <row r="611" spans="58:58" ht="15.75" customHeight="1">
      <c r="BF611" s="35"/>
    </row>
    <row r="612" spans="58:58" ht="15.75" customHeight="1">
      <c r="BF612" s="35"/>
    </row>
    <row r="613" spans="58:58" ht="15.75" customHeight="1">
      <c r="BF613" s="35"/>
    </row>
    <row r="614" spans="58:58" ht="15.75" customHeight="1">
      <c r="BF614" s="35"/>
    </row>
    <row r="615" spans="58:58" ht="15.75" customHeight="1">
      <c r="BF615" s="35"/>
    </row>
    <row r="616" spans="58:58" ht="15.75" customHeight="1">
      <c r="BF616" s="35"/>
    </row>
    <row r="617" spans="58:58" ht="15.75" customHeight="1">
      <c r="BF617" s="35"/>
    </row>
    <row r="618" spans="58:58" ht="15.75" customHeight="1">
      <c r="BF618" s="35"/>
    </row>
    <row r="619" spans="58:58" ht="15.75" customHeight="1">
      <c r="BF619" s="35"/>
    </row>
    <row r="620" spans="58:58" ht="15.75" customHeight="1">
      <c r="BF620" s="35"/>
    </row>
    <row r="621" spans="58:58" ht="15.75" customHeight="1">
      <c r="BF621" s="35"/>
    </row>
    <row r="622" spans="58:58" ht="15.75" customHeight="1">
      <c r="BF622" s="35"/>
    </row>
    <row r="623" spans="58:58" ht="15.75" customHeight="1">
      <c r="BF623" s="35"/>
    </row>
    <row r="624" spans="58:58" ht="15.75" customHeight="1">
      <c r="BF624" s="35"/>
    </row>
    <row r="625" spans="58:58" ht="15.75" customHeight="1">
      <c r="BF625" s="35"/>
    </row>
    <row r="626" spans="58:58" ht="15.75" customHeight="1">
      <c r="BF626" s="35"/>
    </row>
    <row r="627" spans="58:58" ht="15.75" customHeight="1">
      <c r="BF627" s="35"/>
    </row>
    <row r="628" spans="58:58" ht="15.75" customHeight="1">
      <c r="BF628" s="35"/>
    </row>
    <row r="629" spans="58:58" ht="15.75" customHeight="1">
      <c r="BF629" s="35"/>
    </row>
    <row r="630" spans="58:58" ht="15.75" customHeight="1">
      <c r="BF630" s="35"/>
    </row>
    <row r="631" spans="58:58" ht="15.75" customHeight="1">
      <c r="BF631" s="35"/>
    </row>
    <row r="632" spans="58:58" ht="15.75" customHeight="1">
      <c r="BF632" s="35"/>
    </row>
    <row r="633" spans="58:58" ht="15.75" customHeight="1">
      <c r="BF633" s="35"/>
    </row>
    <row r="634" spans="58:58" ht="15.75" customHeight="1">
      <c r="BF634" s="35"/>
    </row>
    <row r="635" spans="58:58" ht="15.75" customHeight="1">
      <c r="BF635" s="35"/>
    </row>
    <row r="636" spans="58:58" ht="15.75" customHeight="1">
      <c r="BF636" s="35"/>
    </row>
    <row r="637" spans="58:58" ht="15.75" customHeight="1">
      <c r="BF637" s="35"/>
    </row>
    <row r="638" spans="58:58" ht="15.75" customHeight="1">
      <c r="BF638" s="35"/>
    </row>
    <row r="639" spans="58:58" ht="15.75" customHeight="1">
      <c r="BF639" s="35"/>
    </row>
    <row r="640" spans="58:58" ht="15.75" customHeight="1">
      <c r="BF640" s="35"/>
    </row>
    <row r="641" spans="58:58" ht="15.75" customHeight="1">
      <c r="BF641" s="35"/>
    </row>
    <row r="642" spans="58:58" ht="15.75" customHeight="1">
      <c r="BF642" s="35"/>
    </row>
    <row r="643" spans="58:58" ht="15.75" customHeight="1">
      <c r="BF643" s="35"/>
    </row>
    <row r="644" spans="58:58" ht="15.75" customHeight="1">
      <c r="BF644" s="35"/>
    </row>
    <row r="645" spans="58:58" ht="15.75" customHeight="1">
      <c r="BF645" s="35"/>
    </row>
    <row r="646" spans="58:58" ht="15.75" customHeight="1">
      <c r="BF646" s="35"/>
    </row>
    <row r="647" spans="58:58" ht="15.75" customHeight="1">
      <c r="BF647" s="35"/>
    </row>
    <row r="648" spans="58:58" ht="15.75" customHeight="1">
      <c r="BF648" s="35"/>
    </row>
    <row r="649" spans="58:58" ht="15.75" customHeight="1">
      <c r="BF649" s="35"/>
    </row>
    <row r="650" spans="58:58" ht="15.75" customHeight="1">
      <c r="BF650" s="35"/>
    </row>
    <row r="651" spans="58:58" ht="15.75" customHeight="1">
      <c r="BF651" s="35"/>
    </row>
    <row r="652" spans="58:58" ht="15.75" customHeight="1">
      <c r="BF652" s="35"/>
    </row>
    <row r="653" spans="58:58" ht="15.75" customHeight="1">
      <c r="BF653" s="35"/>
    </row>
    <row r="654" spans="58:58" ht="15.75" customHeight="1">
      <c r="BF654" s="35"/>
    </row>
    <row r="655" spans="58:58" ht="15.75" customHeight="1">
      <c r="BF655" s="35"/>
    </row>
    <row r="656" spans="58:58" ht="15.75" customHeight="1">
      <c r="BF656" s="35"/>
    </row>
    <row r="657" spans="58:58" ht="15.75" customHeight="1">
      <c r="BF657" s="35"/>
    </row>
    <row r="658" spans="58:58" ht="15.75" customHeight="1">
      <c r="BF658" s="35"/>
    </row>
    <row r="659" spans="58:58" ht="15.75" customHeight="1">
      <c r="BF659" s="35"/>
    </row>
    <row r="660" spans="58:58" ht="15.75" customHeight="1">
      <c r="BF660" s="35"/>
    </row>
    <row r="661" spans="58:58" ht="15.75" customHeight="1">
      <c r="BF661" s="35"/>
    </row>
    <row r="662" spans="58:58" ht="15.75" customHeight="1">
      <c r="BF662" s="35"/>
    </row>
    <row r="663" spans="58:58" ht="15.75" customHeight="1">
      <c r="BF663" s="35"/>
    </row>
    <row r="664" spans="58:58" ht="15.75" customHeight="1">
      <c r="BF664" s="35"/>
    </row>
    <row r="665" spans="58:58" ht="15.75" customHeight="1">
      <c r="BF665" s="35"/>
    </row>
    <row r="666" spans="58:58" ht="15.75" customHeight="1">
      <c r="BF666" s="35"/>
    </row>
    <row r="667" spans="58:58" ht="15.75" customHeight="1">
      <c r="BF667" s="35"/>
    </row>
    <row r="668" spans="58:58" ht="15.75" customHeight="1">
      <c r="BF668" s="35"/>
    </row>
    <row r="669" spans="58:58" ht="15.75" customHeight="1">
      <c r="BF669" s="35"/>
    </row>
    <row r="670" spans="58:58" ht="15.75" customHeight="1">
      <c r="BF670" s="35"/>
    </row>
    <row r="671" spans="58:58" ht="15.75" customHeight="1">
      <c r="BF671" s="35"/>
    </row>
    <row r="672" spans="58:58" ht="15.75" customHeight="1">
      <c r="BF672" s="35"/>
    </row>
    <row r="673" spans="58:58" ht="15.75" customHeight="1">
      <c r="BF673" s="35"/>
    </row>
    <row r="674" spans="58:58" ht="15.75" customHeight="1">
      <c r="BF674" s="35"/>
    </row>
    <row r="675" spans="58:58" ht="15.75" customHeight="1">
      <c r="BF675" s="35"/>
    </row>
    <row r="676" spans="58:58" ht="15.75" customHeight="1">
      <c r="BF676" s="35"/>
    </row>
    <row r="677" spans="58:58" ht="15.75" customHeight="1">
      <c r="BF677" s="35"/>
    </row>
    <row r="678" spans="58:58" ht="15.75" customHeight="1">
      <c r="BF678" s="35"/>
    </row>
    <row r="679" spans="58:58" ht="15.75" customHeight="1">
      <c r="BF679" s="35"/>
    </row>
    <row r="680" spans="58:58" ht="15.75" customHeight="1">
      <c r="BF680" s="35"/>
    </row>
    <row r="681" spans="58:58" ht="15.75" customHeight="1">
      <c r="BF681" s="35"/>
    </row>
    <row r="682" spans="58:58" ht="15.75" customHeight="1">
      <c r="BF682" s="35"/>
    </row>
    <row r="683" spans="58:58" ht="15.75" customHeight="1">
      <c r="BF683" s="35"/>
    </row>
    <row r="684" spans="58:58" ht="15.75" customHeight="1">
      <c r="BF684" s="35"/>
    </row>
    <row r="685" spans="58:58" ht="15.75" customHeight="1">
      <c r="BF685" s="35"/>
    </row>
    <row r="686" spans="58:58" ht="15.75" customHeight="1">
      <c r="BF686" s="35"/>
    </row>
    <row r="687" spans="58:58" ht="15.75" customHeight="1">
      <c r="BF687" s="35"/>
    </row>
    <row r="688" spans="58:58" ht="15.75" customHeight="1">
      <c r="BF688" s="35"/>
    </row>
    <row r="689" spans="58:58" ht="15.75" customHeight="1">
      <c r="BF689" s="35"/>
    </row>
    <row r="690" spans="58:58" ht="15.75" customHeight="1">
      <c r="BF690" s="35"/>
    </row>
    <row r="691" spans="58:58" ht="15.75" customHeight="1">
      <c r="BF691" s="35"/>
    </row>
    <row r="692" spans="58:58" ht="15.75" customHeight="1">
      <c r="BF692" s="35"/>
    </row>
    <row r="693" spans="58:58" ht="15.75" customHeight="1">
      <c r="BF693" s="35"/>
    </row>
    <row r="694" spans="58:58" ht="15.75" customHeight="1">
      <c r="BF694" s="35"/>
    </row>
    <row r="695" spans="58:58" ht="15.75" customHeight="1">
      <c r="BF695" s="35"/>
    </row>
    <row r="696" spans="58:58" ht="15.75" customHeight="1">
      <c r="BF696" s="35"/>
    </row>
    <row r="697" spans="58:58" ht="15.75" customHeight="1">
      <c r="BF697" s="35"/>
    </row>
    <row r="698" spans="58:58" ht="15.75" customHeight="1">
      <c r="BF698" s="35"/>
    </row>
    <row r="699" spans="58:58" ht="15.75" customHeight="1">
      <c r="BF699" s="35"/>
    </row>
    <row r="700" spans="58:58" ht="15.75" customHeight="1">
      <c r="BF700" s="35"/>
    </row>
    <row r="701" spans="58:58" ht="15.75" customHeight="1">
      <c r="BF701" s="35"/>
    </row>
    <row r="702" spans="58:58" ht="15.75" customHeight="1">
      <c r="BF702" s="35"/>
    </row>
    <row r="703" spans="58:58" ht="15.75" customHeight="1">
      <c r="BF703" s="35"/>
    </row>
    <row r="704" spans="58:58" ht="15.75" customHeight="1">
      <c r="BF704" s="35"/>
    </row>
    <row r="705" spans="58:58" ht="15.75" customHeight="1">
      <c r="BF705" s="35"/>
    </row>
    <row r="706" spans="58:58" ht="15.75" customHeight="1">
      <c r="BF706" s="35"/>
    </row>
    <row r="707" spans="58:58" ht="15.75" customHeight="1">
      <c r="BF707" s="35"/>
    </row>
    <row r="708" spans="58:58" ht="15.75" customHeight="1">
      <c r="BF708" s="35"/>
    </row>
    <row r="709" spans="58:58" ht="15.75" customHeight="1">
      <c r="BF709" s="35"/>
    </row>
    <row r="710" spans="58:58" ht="15.75" customHeight="1">
      <c r="BF710" s="35"/>
    </row>
    <row r="711" spans="58:58" ht="15.75" customHeight="1">
      <c r="BF711" s="35"/>
    </row>
    <row r="712" spans="58:58" ht="15.75" customHeight="1">
      <c r="BF712" s="35"/>
    </row>
    <row r="713" spans="58:58" ht="15.75" customHeight="1">
      <c r="BF713" s="35"/>
    </row>
    <row r="714" spans="58:58" ht="15.75" customHeight="1">
      <c r="BF714" s="35"/>
    </row>
    <row r="715" spans="58:58" ht="15.75" customHeight="1">
      <c r="BF715" s="35"/>
    </row>
    <row r="716" spans="58:58" ht="15.75" customHeight="1">
      <c r="BF716" s="35"/>
    </row>
    <row r="717" spans="58:58" ht="15.75" customHeight="1">
      <c r="BF717" s="35"/>
    </row>
    <row r="718" spans="58:58" ht="15.75" customHeight="1">
      <c r="BF718" s="35"/>
    </row>
    <row r="719" spans="58:58" ht="15.75" customHeight="1">
      <c r="BF719" s="35"/>
    </row>
    <row r="720" spans="58:58" ht="15.75" customHeight="1">
      <c r="BF720" s="35"/>
    </row>
    <row r="721" spans="58:58" ht="15.75" customHeight="1">
      <c r="BF721" s="35"/>
    </row>
    <row r="722" spans="58:58" ht="15.75" customHeight="1">
      <c r="BF722" s="35"/>
    </row>
    <row r="723" spans="58:58" ht="15.75" customHeight="1">
      <c r="BF723" s="35"/>
    </row>
    <row r="724" spans="58:58" ht="15.75" customHeight="1">
      <c r="BF724" s="35"/>
    </row>
    <row r="725" spans="58:58" ht="15.75" customHeight="1">
      <c r="BF725" s="35"/>
    </row>
    <row r="726" spans="58:58" ht="15.75" customHeight="1">
      <c r="BF726" s="35"/>
    </row>
    <row r="727" spans="58:58" ht="15.75" customHeight="1">
      <c r="BF727" s="35"/>
    </row>
    <row r="728" spans="58:58" ht="15.75" customHeight="1">
      <c r="BF728" s="35"/>
    </row>
    <row r="729" spans="58:58" ht="15.75" customHeight="1">
      <c r="BF729" s="35"/>
    </row>
    <row r="730" spans="58:58" ht="15.75" customHeight="1">
      <c r="BF730" s="35"/>
    </row>
    <row r="731" spans="58:58" ht="15.75" customHeight="1">
      <c r="BF731" s="35"/>
    </row>
    <row r="732" spans="58:58" ht="15.75" customHeight="1">
      <c r="BF732" s="35"/>
    </row>
    <row r="733" spans="58:58" ht="15.75" customHeight="1">
      <c r="BF733" s="35"/>
    </row>
    <row r="734" spans="58:58" ht="15.75" customHeight="1">
      <c r="BF734" s="35"/>
    </row>
    <row r="735" spans="58:58" ht="15.75" customHeight="1">
      <c r="BF735" s="35"/>
    </row>
    <row r="736" spans="58:58" ht="15.75" customHeight="1">
      <c r="BF736" s="35"/>
    </row>
    <row r="737" spans="58:58" ht="15.75" customHeight="1">
      <c r="BF737" s="35"/>
    </row>
    <row r="738" spans="58:58" ht="15.75" customHeight="1">
      <c r="BF738" s="35"/>
    </row>
    <row r="739" spans="58:58" ht="15.75" customHeight="1">
      <c r="BF739" s="35"/>
    </row>
    <row r="740" spans="58:58" ht="15.75" customHeight="1">
      <c r="BF740" s="35"/>
    </row>
    <row r="741" spans="58:58" ht="15.75" customHeight="1">
      <c r="BF741" s="35"/>
    </row>
    <row r="742" spans="58:58" ht="15.75" customHeight="1">
      <c r="BF742" s="35"/>
    </row>
    <row r="743" spans="58:58" ht="15.75" customHeight="1">
      <c r="BF743" s="35"/>
    </row>
    <row r="744" spans="58:58" ht="15.75" customHeight="1">
      <c r="BF744" s="35"/>
    </row>
    <row r="745" spans="58:58" ht="15.75" customHeight="1">
      <c r="BF745" s="35"/>
    </row>
    <row r="746" spans="58:58" ht="15.75" customHeight="1">
      <c r="BF746" s="35"/>
    </row>
    <row r="747" spans="58:58" ht="15.75" customHeight="1">
      <c r="BF747" s="35"/>
    </row>
    <row r="748" spans="58:58" ht="15.75" customHeight="1">
      <c r="BF748" s="35"/>
    </row>
    <row r="749" spans="58:58" ht="15.75" customHeight="1">
      <c r="BF749" s="35"/>
    </row>
    <row r="750" spans="58:58" ht="15.75" customHeight="1">
      <c r="BF750" s="35"/>
    </row>
    <row r="751" spans="58:58" ht="15.75" customHeight="1">
      <c r="BF751" s="35"/>
    </row>
    <row r="752" spans="58:58" ht="15.75" customHeight="1">
      <c r="BF752" s="35"/>
    </row>
    <row r="753" spans="58:58" ht="15.75" customHeight="1">
      <c r="BF753" s="35"/>
    </row>
    <row r="754" spans="58:58" ht="15.75" customHeight="1">
      <c r="BF754" s="35"/>
    </row>
    <row r="755" spans="58:58" ht="15.75" customHeight="1">
      <c r="BF755" s="35"/>
    </row>
    <row r="756" spans="58:58" ht="15.75" customHeight="1">
      <c r="BF756" s="35"/>
    </row>
    <row r="757" spans="58:58" ht="15.75" customHeight="1">
      <c r="BF757" s="35"/>
    </row>
    <row r="758" spans="58:58" ht="15.75" customHeight="1">
      <c r="BF758" s="35"/>
    </row>
    <row r="759" spans="58:58" ht="15.75" customHeight="1">
      <c r="BF759" s="35"/>
    </row>
    <row r="760" spans="58:58" ht="15.75" customHeight="1">
      <c r="BF760" s="35"/>
    </row>
    <row r="761" spans="58:58" ht="15.75" customHeight="1">
      <c r="BF761" s="35"/>
    </row>
    <row r="762" spans="58:58" ht="15.75" customHeight="1">
      <c r="BF762" s="35"/>
    </row>
    <row r="763" spans="58:58" ht="15.75" customHeight="1">
      <c r="BF763" s="35"/>
    </row>
    <row r="764" spans="58:58" ht="15.75" customHeight="1">
      <c r="BF764" s="35"/>
    </row>
    <row r="765" spans="58:58" ht="15.75" customHeight="1">
      <c r="BF765" s="35"/>
    </row>
    <row r="766" spans="58:58" ht="15.75" customHeight="1">
      <c r="BF766" s="35"/>
    </row>
    <row r="767" spans="58:58" ht="15.75" customHeight="1">
      <c r="BF767" s="35"/>
    </row>
    <row r="768" spans="58:58" ht="15.75" customHeight="1">
      <c r="BF768" s="35"/>
    </row>
    <row r="769" spans="58:58" ht="15.75" customHeight="1">
      <c r="BF769" s="35"/>
    </row>
    <row r="770" spans="58:58" ht="15.75" customHeight="1">
      <c r="BF770" s="35"/>
    </row>
    <row r="771" spans="58:58" ht="15.75" customHeight="1">
      <c r="BF771" s="35"/>
    </row>
    <row r="772" spans="58:58" ht="15.75" customHeight="1">
      <c r="BF772" s="35"/>
    </row>
    <row r="773" spans="58:58" ht="15.75" customHeight="1">
      <c r="BF773" s="35"/>
    </row>
    <row r="774" spans="58:58" ht="15.75" customHeight="1">
      <c r="BF774" s="35"/>
    </row>
    <row r="775" spans="58:58" ht="15.75" customHeight="1">
      <c r="BF775" s="35"/>
    </row>
    <row r="776" spans="58:58" ht="15.75" customHeight="1">
      <c r="BF776" s="35"/>
    </row>
    <row r="777" spans="58:58" ht="15.75" customHeight="1">
      <c r="BF777" s="35"/>
    </row>
    <row r="778" spans="58:58" ht="15.75" customHeight="1">
      <c r="BF778" s="35"/>
    </row>
    <row r="779" spans="58:58" ht="15.75" customHeight="1">
      <c r="BF779" s="35"/>
    </row>
    <row r="780" spans="58:58" ht="15.75" customHeight="1">
      <c r="BF780" s="35"/>
    </row>
    <row r="781" spans="58:58" ht="15.75" customHeight="1">
      <c r="BF781" s="35"/>
    </row>
    <row r="782" spans="58:58" ht="15.75" customHeight="1">
      <c r="BF782" s="35"/>
    </row>
    <row r="783" spans="58:58" ht="15.75" customHeight="1">
      <c r="BF783" s="35"/>
    </row>
    <row r="784" spans="58:58" ht="15.75" customHeight="1">
      <c r="BF784" s="35"/>
    </row>
    <row r="785" spans="58:58" ht="15.75" customHeight="1">
      <c r="BF785" s="35"/>
    </row>
    <row r="786" spans="58:58" ht="15.75" customHeight="1">
      <c r="BF786" s="35"/>
    </row>
    <row r="787" spans="58:58" ht="15.75" customHeight="1">
      <c r="BF787" s="35"/>
    </row>
    <row r="788" spans="58:58" ht="15.75" customHeight="1">
      <c r="BF788" s="35"/>
    </row>
    <row r="789" spans="58:58" ht="15.75" customHeight="1">
      <c r="BF789" s="35"/>
    </row>
    <row r="790" spans="58:58" ht="15.75" customHeight="1">
      <c r="BF790" s="35"/>
    </row>
    <row r="791" spans="58:58" ht="15.75" customHeight="1">
      <c r="BF791" s="35"/>
    </row>
    <row r="792" spans="58:58" ht="15.75" customHeight="1">
      <c r="BF792" s="35"/>
    </row>
    <row r="793" spans="58:58" ht="15.75" customHeight="1">
      <c r="BF793" s="35"/>
    </row>
    <row r="794" spans="58:58" ht="15.75" customHeight="1">
      <c r="BF794" s="35"/>
    </row>
    <row r="795" spans="58:58" ht="15.75" customHeight="1">
      <c r="BF795" s="35"/>
    </row>
    <row r="796" spans="58:58" ht="15.75" customHeight="1">
      <c r="BF796" s="35"/>
    </row>
    <row r="797" spans="58:58" ht="15.75" customHeight="1">
      <c r="BF797" s="35"/>
    </row>
    <row r="798" spans="58:58" ht="15.75" customHeight="1">
      <c r="BF798" s="35"/>
    </row>
    <row r="799" spans="58:58" ht="15.75" customHeight="1">
      <c r="BF799" s="35"/>
    </row>
    <row r="800" spans="58:58" ht="15.75" customHeight="1">
      <c r="BF800" s="35"/>
    </row>
    <row r="801" spans="58:58" ht="15.75" customHeight="1">
      <c r="BF801" s="35"/>
    </row>
    <row r="802" spans="58:58" ht="15.75" customHeight="1">
      <c r="BF802" s="35"/>
    </row>
    <row r="803" spans="58:58" ht="15.75" customHeight="1">
      <c r="BF803" s="35"/>
    </row>
    <row r="804" spans="58:58" ht="15.75" customHeight="1">
      <c r="BF804" s="35"/>
    </row>
    <row r="805" spans="58:58" ht="15.75" customHeight="1">
      <c r="BF805" s="35"/>
    </row>
    <row r="806" spans="58:58" ht="15.75" customHeight="1">
      <c r="BF806" s="35"/>
    </row>
    <row r="807" spans="58:58" ht="15.75" customHeight="1">
      <c r="BF807" s="35"/>
    </row>
    <row r="808" spans="58:58" ht="15.75" customHeight="1">
      <c r="BF808" s="35"/>
    </row>
    <row r="809" spans="58:58" ht="15.75" customHeight="1">
      <c r="BF809" s="35"/>
    </row>
    <row r="810" spans="58:58" ht="15.75" customHeight="1">
      <c r="BF810" s="35"/>
    </row>
    <row r="811" spans="58:58" ht="15.75" customHeight="1">
      <c r="BF811" s="35"/>
    </row>
    <row r="812" spans="58:58" ht="15.75" customHeight="1">
      <c r="BF812" s="35"/>
    </row>
    <row r="813" spans="58:58" ht="15.75" customHeight="1">
      <c r="BF813" s="35"/>
    </row>
    <row r="814" spans="58:58" ht="15.75" customHeight="1">
      <c r="BF814" s="35"/>
    </row>
    <row r="815" spans="58:58" ht="15.75" customHeight="1">
      <c r="BF815" s="35"/>
    </row>
    <row r="816" spans="58:58" ht="15.75" customHeight="1">
      <c r="BF816" s="35"/>
    </row>
    <row r="817" spans="58:58" ht="15.75" customHeight="1">
      <c r="BF817" s="35"/>
    </row>
    <row r="818" spans="58:58" ht="15.75" customHeight="1">
      <c r="BF818" s="35"/>
    </row>
    <row r="819" spans="58:58" ht="15.75" customHeight="1">
      <c r="BF819" s="35"/>
    </row>
    <row r="820" spans="58:58" ht="15.75" customHeight="1">
      <c r="BF820" s="35"/>
    </row>
    <row r="821" spans="58:58" ht="15.75" customHeight="1">
      <c r="BF821" s="35"/>
    </row>
    <row r="822" spans="58:58" ht="15.75" customHeight="1">
      <c r="BF822" s="35"/>
    </row>
    <row r="823" spans="58:58" ht="15.75" customHeight="1">
      <c r="BF823" s="35"/>
    </row>
    <row r="824" spans="58:58" ht="15.75" customHeight="1">
      <c r="BF824" s="35"/>
    </row>
    <row r="825" spans="58:58" ht="15.75" customHeight="1">
      <c r="BF825" s="35"/>
    </row>
    <row r="826" spans="58:58" ht="15.75" customHeight="1">
      <c r="BF826" s="35"/>
    </row>
    <row r="827" spans="58:58" ht="15.75" customHeight="1">
      <c r="BF827" s="35"/>
    </row>
    <row r="828" spans="58:58" ht="15.75" customHeight="1">
      <c r="BF828" s="35"/>
    </row>
    <row r="829" spans="58:58" ht="15.75" customHeight="1">
      <c r="BF829" s="35"/>
    </row>
    <row r="830" spans="58:58" ht="15.75" customHeight="1">
      <c r="BF830" s="35"/>
    </row>
    <row r="831" spans="58:58" ht="15.75" customHeight="1">
      <c r="BF831" s="35"/>
    </row>
    <row r="832" spans="58:58" ht="15.75" customHeight="1">
      <c r="BF832" s="35"/>
    </row>
    <row r="833" spans="58:58" ht="15.75" customHeight="1">
      <c r="BF833" s="35"/>
    </row>
    <row r="834" spans="58:58" ht="15.75" customHeight="1">
      <c r="BF834" s="35"/>
    </row>
    <row r="835" spans="58:58" ht="15.75" customHeight="1">
      <c r="BF835" s="35"/>
    </row>
    <row r="836" spans="58:58" ht="15.75" customHeight="1">
      <c r="BF836" s="35"/>
    </row>
    <row r="837" spans="58:58" ht="15.75" customHeight="1">
      <c r="BF837" s="35"/>
    </row>
    <row r="838" spans="58:58" ht="15.75" customHeight="1">
      <c r="BF838" s="35"/>
    </row>
    <row r="839" spans="58:58" ht="15.75" customHeight="1">
      <c r="BF839" s="35"/>
    </row>
    <row r="840" spans="58:58" ht="15.75" customHeight="1">
      <c r="BF840" s="35"/>
    </row>
    <row r="841" spans="58:58" ht="15.75" customHeight="1">
      <c r="BF841" s="35"/>
    </row>
    <row r="842" spans="58:58" ht="15.75" customHeight="1">
      <c r="BF842" s="35"/>
    </row>
    <row r="843" spans="58:58" ht="15.75" customHeight="1">
      <c r="BF843" s="35"/>
    </row>
    <row r="844" spans="58:58" ht="15.75" customHeight="1">
      <c r="BF844" s="35"/>
    </row>
    <row r="845" spans="58:58" ht="15.75" customHeight="1">
      <c r="BF845" s="35"/>
    </row>
    <row r="846" spans="58:58" ht="15.75" customHeight="1">
      <c r="BF846" s="35"/>
    </row>
    <row r="847" spans="58:58" ht="15.75" customHeight="1">
      <c r="BF847" s="35"/>
    </row>
    <row r="848" spans="58:58" ht="15.75" customHeight="1">
      <c r="BF848" s="35"/>
    </row>
    <row r="849" spans="58:58" ht="15.75" customHeight="1">
      <c r="BF849" s="35"/>
    </row>
    <row r="850" spans="58:58" ht="15.75" customHeight="1">
      <c r="BF850" s="35"/>
    </row>
    <row r="851" spans="58:58" ht="15.75" customHeight="1">
      <c r="BF851" s="35"/>
    </row>
    <row r="852" spans="58:58" ht="15.75" customHeight="1">
      <c r="BF852" s="35"/>
    </row>
    <row r="853" spans="58:58" ht="15.75" customHeight="1">
      <c r="BF853" s="35"/>
    </row>
    <row r="854" spans="58:58" ht="15.75" customHeight="1">
      <c r="BF854" s="35"/>
    </row>
    <row r="855" spans="58:58" ht="15.75" customHeight="1">
      <c r="BF855" s="35"/>
    </row>
    <row r="856" spans="58:58" ht="15.75" customHeight="1">
      <c r="BF856" s="35"/>
    </row>
    <row r="857" spans="58:58" ht="15.75" customHeight="1">
      <c r="BF857" s="35"/>
    </row>
    <row r="858" spans="58:58" ht="15.75" customHeight="1">
      <c r="BF858" s="35"/>
    </row>
    <row r="859" spans="58:58" ht="15.75" customHeight="1">
      <c r="BF859" s="35"/>
    </row>
    <row r="860" spans="58:58" ht="15.75" customHeight="1">
      <c r="BF860" s="35"/>
    </row>
    <row r="861" spans="58:58" ht="15.75" customHeight="1">
      <c r="BF861" s="35"/>
    </row>
    <row r="862" spans="58:58" ht="15.75" customHeight="1">
      <c r="BF862" s="35"/>
    </row>
    <row r="863" spans="58:58" ht="15.75" customHeight="1">
      <c r="BF863" s="35"/>
    </row>
    <row r="864" spans="58:58" ht="15.75" customHeight="1">
      <c r="BF864" s="35"/>
    </row>
    <row r="865" spans="58:58" ht="15.75" customHeight="1">
      <c r="BF865" s="35"/>
    </row>
    <row r="866" spans="58:58" ht="15.75" customHeight="1">
      <c r="BF866" s="35"/>
    </row>
    <row r="867" spans="58:58" ht="15.75" customHeight="1">
      <c r="BF867" s="35"/>
    </row>
    <row r="868" spans="58:58" ht="15.75" customHeight="1">
      <c r="BF868" s="35"/>
    </row>
    <row r="869" spans="58:58" ht="15.75" customHeight="1">
      <c r="BF869" s="35"/>
    </row>
    <row r="870" spans="58:58" ht="15.75" customHeight="1">
      <c r="BF870" s="35"/>
    </row>
    <row r="871" spans="58:58" ht="15.75" customHeight="1">
      <c r="BF871" s="35"/>
    </row>
    <row r="872" spans="58:58" ht="15.75" customHeight="1">
      <c r="BF872" s="35"/>
    </row>
    <row r="873" spans="58:58" ht="15.75" customHeight="1">
      <c r="BF873" s="35"/>
    </row>
    <row r="874" spans="58:58" ht="15.75" customHeight="1">
      <c r="BF874" s="35"/>
    </row>
    <row r="875" spans="58:58" ht="15.75" customHeight="1">
      <c r="BF875" s="35"/>
    </row>
    <row r="876" spans="58:58" ht="15.75" customHeight="1">
      <c r="BF876" s="35"/>
    </row>
    <row r="877" spans="58:58" ht="15.75" customHeight="1">
      <c r="BF877" s="35"/>
    </row>
    <row r="878" spans="58:58" ht="15.75" customHeight="1">
      <c r="BF878" s="35"/>
    </row>
    <row r="879" spans="58:58" ht="15.75" customHeight="1">
      <c r="BF879" s="35"/>
    </row>
    <row r="880" spans="58:58" ht="15.75" customHeight="1">
      <c r="BF880" s="35"/>
    </row>
    <row r="881" spans="58:58" ht="15.75" customHeight="1">
      <c r="BF881" s="35"/>
    </row>
    <row r="882" spans="58:58" ht="15.75" customHeight="1">
      <c r="BF882" s="35"/>
    </row>
    <row r="883" spans="58:58" ht="15.75" customHeight="1">
      <c r="BF883" s="35"/>
    </row>
    <row r="884" spans="58:58" ht="15.75" customHeight="1">
      <c r="BF884" s="35"/>
    </row>
    <row r="885" spans="58:58" ht="15.75" customHeight="1">
      <c r="BF885" s="35"/>
    </row>
    <row r="886" spans="58:58" ht="15.75" customHeight="1">
      <c r="BF886" s="35"/>
    </row>
    <row r="887" spans="58:58" ht="15.75" customHeight="1">
      <c r="BF887" s="35"/>
    </row>
    <row r="888" spans="58:58" ht="15.75" customHeight="1">
      <c r="BF888" s="35"/>
    </row>
    <row r="889" spans="58:58" ht="15.75" customHeight="1">
      <c r="BF889" s="35"/>
    </row>
    <row r="890" spans="58:58" ht="15.75" customHeight="1">
      <c r="BF890" s="35"/>
    </row>
    <row r="891" spans="58:58" ht="15.75" customHeight="1">
      <c r="BF891" s="35"/>
    </row>
    <row r="892" spans="58:58" ht="15.75" customHeight="1">
      <c r="BF892" s="35"/>
    </row>
    <row r="893" spans="58:58" ht="15.75" customHeight="1">
      <c r="BF893" s="35"/>
    </row>
    <row r="894" spans="58:58" ht="15.75" customHeight="1">
      <c r="BF894" s="35"/>
    </row>
    <row r="895" spans="58:58" ht="15.75" customHeight="1">
      <c r="BF895" s="35"/>
    </row>
    <row r="896" spans="58:58" ht="15.75" customHeight="1">
      <c r="BF896" s="35"/>
    </row>
    <row r="897" spans="58:58" ht="15.75" customHeight="1">
      <c r="BF897" s="35"/>
    </row>
    <row r="898" spans="58:58" ht="15.75" customHeight="1">
      <c r="BF898" s="35"/>
    </row>
    <row r="899" spans="58:58" ht="15.75" customHeight="1">
      <c r="BF899" s="35"/>
    </row>
    <row r="900" spans="58:58" ht="15.75" customHeight="1">
      <c r="BF900" s="35"/>
    </row>
    <row r="901" spans="58:58" ht="15.75" customHeight="1">
      <c r="BF901" s="35"/>
    </row>
    <row r="902" spans="58:58" ht="15.75" customHeight="1">
      <c r="BF902" s="35"/>
    </row>
    <row r="903" spans="58:58" ht="15.75" customHeight="1">
      <c r="BF903" s="35"/>
    </row>
    <row r="904" spans="58:58" ht="15.75" customHeight="1">
      <c r="BF904" s="35"/>
    </row>
    <row r="905" spans="58:58" ht="15.75" customHeight="1">
      <c r="BF905" s="35"/>
    </row>
    <row r="906" spans="58:58" ht="15.75" customHeight="1">
      <c r="BF906" s="35"/>
    </row>
    <row r="907" spans="58:58" ht="15.75" customHeight="1">
      <c r="BF907" s="35"/>
    </row>
    <row r="908" spans="58:58" ht="15.75" customHeight="1">
      <c r="BF908" s="35"/>
    </row>
    <row r="909" spans="58:58" ht="15.75" customHeight="1">
      <c r="BF909" s="35"/>
    </row>
    <row r="910" spans="58:58" ht="15.75" customHeight="1">
      <c r="BF910" s="35"/>
    </row>
    <row r="911" spans="58:58" ht="15.75" customHeight="1">
      <c r="BF911" s="35"/>
    </row>
    <row r="912" spans="58:58" ht="15.75" customHeight="1">
      <c r="BF912" s="35"/>
    </row>
    <row r="913" spans="58:58" ht="15.75" customHeight="1">
      <c r="BF913" s="35"/>
    </row>
    <row r="914" spans="58:58" ht="15.75" customHeight="1">
      <c r="BF914" s="35"/>
    </row>
    <row r="915" spans="58:58" ht="15.75" customHeight="1">
      <c r="BF915" s="35"/>
    </row>
    <row r="916" spans="58:58" ht="15.75" customHeight="1">
      <c r="BF916" s="35"/>
    </row>
    <row r="917" spans="58:58" ht="15.75" customHeight="1">
      <c r="BF917" s="35"/>
    </row>
    <row r="918" spans="58:58" ht="15.75" customHeight="1">
      <c r="BF918" s="35"/>
    </row>
    <row r="919" spans="58:58" ht="15.75" customHeight="1">
      <c r="BF919" s="35"/>
    </row>
    <row r="920" spans="58:58" ht="15.75" customHeight="1">
      <c r="BF920" s="35"/>
    </row>
    <row r="921" spans="58:58" ht="15.75" customHeight="1">
      <c r="BF921" s="35"/>
    </row>
    <row r="922" spans="58:58" ht="15.75" customHeight="1">
      <c r="BF922" s="35"/>
    </row>
    <row r="923" spans="58:58" ht="15.75" customHeight="1">
      <c r="BF923" s="35"/>
    </row>
    <row r="924" spans="58:58" ht="15.75" customHeight="1">
      <c r="BF924" s="35"/>
    </row>
    <row r="925" spans="58:58" ht="15.75" customHeight="1">
      <c r="BF925" s="35"/>
    </row>
    <row r="926" spans="58:58" ht="15.75" customHeight="1">
      <c r="BF926" s="35"/>
    </row>
    <row r="927" spans="58:58" ht="15.75" customHeight="1">
      <c r="BF927" s="35"/>
    </row>
    <row r="928" spans="58:58" ht="15.75" customHeight="1">
      <c r="BF928" s="35"/>
    </row>
    <row r="929" spans="58:58" ht="15.75" customHeight="1">
      <c r="BF929" s="35"/>
    </row>
    <row r="930" spans="58:58" ht="15.75" customHeight="1">
      <c r="BF930" s="35"/>
    </row>
    <row r="931" spans="58:58" ht="15.75" customHeight="1">
      <c r="BF931" s="35"/>
    </row>
    <row r="932" spans="58:58" ht="15.75" customHeight="1">
      <c r="BF932" s="35"/>
    </row>
    <row r="933" spans="58:58" ht="15.75" customHeight="1">
      <c r="BF933" s="35"/>
    </row>
    <row r="934" spans="58:58" ht="15.75" customHeight="1">
      <c r="BF934" s="35"/>
    </row>
    <row r="935" spans="58:58" ht="15.75" customHeight="1">
      <c r="BF935" s="35"/>
    </row>
    <row r="936" spans="58:58" ht="15.75" customHeight="1">
      <c r="BF936" s="35"/>
    </row>
    <row r="937" spans="58:58" ht="15.75" customHeight="1">
      <c r="BF937" s="35"/>
    </row>
    <row r="938" spans="58:58" ht="15.75" customHeight="1">
      <c r="BF938" s="35"/>
    </row>
    <row r="939" spans="58:58" ht="15.75" customHeight="1">
      <c r="BF939" s="35"/>
    </row>
    <row r="940" spans="58:58" ht="15.75" customHeight="1">
      <c r="BF940" s="35"/>
    </row>
    <row r="941" spans="58:58" ht="15.75" customHeight="1">
      <c r="BF941" s="35"/>
    </row>
    <row r="942" spans="58:58" ht="15.75" customHeight="1">
      <c r="BF942" s="35"/>
    </row>
    <row r="943" spans="58:58" ht="15.75" customHeight="1">
      <c r="BF943" s="35"/>
    </row>
    <row r="944" spans="58:58" ht="15.75" customHeight="1">
      <c r="BF944" s="35"/>
    </row>
    <row r="945" spans="58:58" ht="15.75" customHeight="1">
      <c r="BF945" s="35"/>
    </row>
    <row r="946" spans="58:58" ht="15.75" customHeight="1">
      <c r="BF946" s="35"/>
    </row>
    <row r="947" spans="58:58" ht="15.75" customHeight="1">
      <c r="BF947" s="35"/>
    </row>
    <row r="948" spans="58:58" ht="15.75" customHeight="1">
      <c r="BF948" s="35"/>
    </row>
    <row r="949" spans="58:58" ht="15.75" customHeight="1">
      <c r="BF949" s="35"/>
    </row>
    <row r="950" spans="58:58" ht="15.75" customHeight="1">
      <c r="BF950" s="35"/>
    </row>
    <row r="951" spans="58:58" ht="15.75" customHeight="1">
      <c r="BF951" s="35"/>
    </row>
    <row r="952" spans="58:58" ht="15.75" customHeight="1">
      <c r="BF952" s="35"/>
    </row>
    <row r="953" spans="58:58" ht="15.75" customHeight="1">
      <c r="BF953" s="35"/>
    </row>
    <row r="954" spans="58:58" ht="15.75" customHeight="1">
      <c r="BF954" s="35"/>
    </row>
    <row r="955" spans="58:58" ht="15.75" customHeight="1">
      <c r="BF955" s="35"/>
    </row>
    <row r="956" spans="58:58" ht="15.75" customHeight="1">
      <c r="BF956" s="35"/>
    </row>
    <row r="957" spans="58:58" ht="15.75" customHeight="1">
      <c r="BF957" s="35"/>
    </row>
    <row r="958" spans="58:58" ht="15.75" customHeight="1">
      <c r="BF958" s="35"/>
    </row>
    <row r="959" spans="58:58" ht="15.75" customHeight="1">
      <c r="BF959" s="35"/>
    </row>
    <row r="960" spans="58:58" ht="15.75" customHeight="1">
      <c r="BF960" s="35"/>
    </row>
    <row r="961" spans="58:58" ht="15.75" customHeight="1">
      <c r="BF961" s="35"/>
    </row>
    <row r="962" spans="58:58" ht="15.75" customHeight="1">
      <c r="BF962" s="35"/>
    </row>
    <row r="963" spans="58:58" ht="15.75" customHeight="1">
      <c r="BF963" s="35"/>
    </row>
    <row r="964" spans="58:58" ht="15.75" customHeight="1">
      <c r="BF964" s="35"/>
    </row>
    <row r="965" spans="58:58" ht="15.75" customHeight="1">
      <c r="BF965" s="35"/>
    </row>
    <row r="966" spans="58:58" ht="15.75" customHeight="1">
      <c r="BF966" s="35"/>
    </row>
    <row r="967" spans="58:58" ht="15.75" customHeight="1">
      <c r="BF967" s="35"/>
    </row>
    <row r="968" spans="58:58" ht="15.75" customHeight="1">
      <c r="BF968" s="35"/>
    </row>
    <row r="969" spans="58:58" ht="15.75" customHeight="1">
      <c r="BF969" s="35"/>
    </row>
    <row r="970" spans="58:58" ht="15.75" customHeight="1">
      <c r="BF970" s="35"/>
    </row>
    <row r="971" spans="58:58" ht="15.75" customHeight="1">
      <c r="BF971" s="35"/>
    </row>
    <row r="972" spans="58:58" ht="15.75" customHeight="1">
      <c r="BF972" s="35"/>
    </row>
    <row r="973" spans="58:58" ht="15.75" customHeight="1">
      <c r="BF973" s="35"/>
    </row>
    <row r="974" spans="58:58" ht="15.75" customHeight="1">
      <c r="BF974" s="35"/>
    </row>
    <row r="975" spans="58:58" ht="15.75" customHeight="1">
      <c r="BF975" s="35"/>
    </row>
    <row r="976" spans="58:58" ht="15.75" customHeight="1">
      <c r="BF976" s="35"/>
    </row>
    <row r="977" spans="58:58" ht="15.75" customHeight="1">
      <c r="BF977" s="35"/>
    </row>
    <row r="978" spans="58:58" ht="15.75" customHeight="1">
      <c r="BF978" s="35"/>
    </row>
    <row r="979" spans="58:58" ht="15.75" customHeight="1">
      <c r="BF979" s="35"/>
    </row>
    <row r="980" spans="58:58" ht="15.75" customHeight="1">
      <c r="BF980" s="35"/>
    </row>
    <row r="981" spans="58:58" ht="15.75" customHeight="1">
      <c r="BF981" s="35"/>
    </row>
    <row r="982" spans="58:58" ht="15.75" customHeight="1">
      <c r="BF982" s="35"/>
    </row>
    <row r="983" spans="58:58" ht="15.75" customHeight="1">
      <c r="BF983" s="35"/>
    </row>
    <row r="984" spans="58:58" ht="15.75" customHeight="1">
      <c r="BF984" s="35"/>
    </row>
    <row r="985" spans="58:58" ht="15.75" customHeight="1">
      <c r="BF985" s="35"/>
    </row>
    <row r="986" spans="58:58" ht="15.75" customHeight="1">
      <c r="BF986" s="35"/>
    </row>
    <row r="987" spans="58:58" ht="15.75" customHeight="1">
      <c r="BF987" s="35"/>
    </row>
    <row r="988" spans="58:58" ht="15.75" customHeight="1">
      <c r="BF988" s="35"/>
    </row>
    <row r="989" spans="58:58" ht="15.75" customHeight="1">
      <c r="BF989" s="35"/>
    </row>
  </sheetData>
  <mergeCells count="28">
    <mergeCell ref="BM5:BM6"/>
    <mergeCell ref="BN5:BN6"/>
    <mergeCell ref="BH5:BH6"/>
    <mergeCell ref="BI5:BI6"/>
    <mergeCell ref="BJ5:BJ6"/>
    <mergeCell ref="BK5:BK6"/>
    <mergeCell ref="BL5:BL6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A1:BF3"/>
    <mergeCell ref="BH1:BW1"/>
    <mergeCell ref="BH2:BW2"/>
    <mergeCell ref="BH3:BO3"/>
    <mergeCell ref="BP3:BW3"/>
  </mergeCells>
  <conditionalFormatting sqref="BO7:BP77">
    <cfRule type="containsBlanks" dxfId="2" priority="1">
      <formula>LEN(TRIM(BO7))=0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989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3.33203125" customWidth="1"/>
    <col min="4" max="14" width="4.6640625" hidden="1" customWidth="1"/>
    <col min="15" max="26" width="4.33203125" hidden="1" customWidth="1"/>
    <col min="27" max="40" width="4" hidden="1" customWidth="1"/>
    <col min="41" max="53" width="4.44140625" hidden="1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3.33203125" customWidth="1"/>
    <col min="63" max="63" width="8" customWidth="1"/>
    <col min="64" max="64" width="8.109375" customWidth="1"/>
    <col min="65" max="65" width="9.109375" customWidth="1"/>
    <col min="66" max="66" width="14.33203125" customWidth="1"/>
    <col min="67" max="67" width="7" customWidth="1"/>
    <col min="68" max="68" width="7.6640625" customWidth="1"/>
    <col min="69" max="69" width="14.109375" customWidth="1"/>
    <col min="70" max="72" width="4" customWidth="1"/>
    <col min="73" max="73" width="11.88671875" customWidth="1"/>
    <col min="74" max="74" width="8.6640625" customWidth="1"/>
    <col min="75" max="75" width="9.88671875" customWidth="1"/>
  </cols>
  <sheetData>
    <row r="1" spans="1:75" ht="22.8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95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9"/>
    </row>
    <row r="2" spans="1:75" ht="20.399999999999999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9"/>
    </row>
    <row r="3" spans="1:75" ht="22.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8"/>
      <c r="BO3" s="89"/>
      <c r="BP3" s="107" t="s">
        <v>98</v>
      </c>
      <c r="BQ3" s="88"/>
      <c r="BR3" s="88"/>
      <c r="BS3" s="88"/>
      <c r="BT3" s="88"/>
      <c r="BU3" s="88"/>
      <c r="BV3" s="88"/>
      <c r="BW3" s="89"/>
    </row>
    <row r="4" spans="1:75" ht="14.25" customHeight="1">
      <c r="A4" s="108" t="s">
        <v>125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126</v>
      </c>
      <c r="BI4" s="88"/>
      <c r="BJ4" s="88"/>
      <c r="BK4" s="88"/>
      <c r="BL4" s="88"/>
      <c r="BM4" s="88"/>
      <c r="BN4" s="88"/>
      <c r="BO4" s="89"/>
      <c r="BP4" s="107" t="s">
        <v>127</v>
      </c>
      <c r="BQ4" s="88"/>
      <c r="BR4" s="88"/>
      <c r="BS4" s="88"/>
      <c r="BT4" s="88"/>
      <c r="BU4" s="88"/>
      <c r="BV4" s="88"/>
      <c r="BW4" s="89"/>
    </row>
    <row r="5" spans="1:75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7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111</v>
      </c>
      <c r="BP5" s="112" t="s">
        <v>112</v>
      </c>
      <c r="BQ5" s="112" t="s">
        <v>113</v>
      </c>
      <c r="BR5" s="114" t="s">
        <v>114</v>
      </c>
      <c r="BS5" s="88"/>
      <c r="BT5" s="89"/>
      <c r="BU5" s="112" t="s">
        <v>115</v>
      </c>
      <c r="BV5" s="112" t="s">
        <v>120</v>
      </c>
      <c r="BW5" s="112" t="s">
        <v>116</v>
      </c>
    </row>
    <row r="6" spans="1:75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24">
        <v>1</v>
      </c>
      <c r="BS6" s="24">
        <v>2</v>
      </c>
      <c r="BT6" s="24">
        <v>3</v>
      </c>
      <c r="BU6" s="92"/>
      <c r="BV6" s="92"/>
      <c r="BW6" s="92"/>
    </row>
    <row r="7" spans="1:75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v>15</v>
      </c>
      <c r="BC7" s="9"/>
      <c r="BD7" s="9">
        <f t="shared" ref="BD7:BD76" si="0">BB7+BC7</f>
        <v>15</v>
      </c>
      <c r="BE7" s="9">
        <v>30</v>
      </c>
      <c r="BF7" s="2">
        <f t="shared" ref="BF7:BF76" si="1">(BD7/BE7)*100</f>
        <v>50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9">
        <f t="shared" ref="BK7:BL7" si="2">BD7</f>
        <v>15</v>
      </c>
      <c r="BL7" s="9">
        <f t="shared" si="2"/>
        <v>30</v>
      </c>
      <c r="BM7" s="2">
        <f t="shared" ref="BM7:BM76" si="3">(BK7/BL7)*100</f>
        <v>50</v>
      </c>
      <c r="BN7" s="9" t="str">
        <f t="shared" ref="BN7:BN76" si="4">IF(BM7&gt;=95.5,"6",IF(BM7&gt;=90.5,"5", IF(BM7&gt;=85.5,"4",IF(BM7&gt;=80.5,"3",IF(BM7&gt;=75.5,"2","0")))))</f>
        <v>0</v>
      </c>
      <c r="BO7" s="59">
        <v>8</v>
      </c>
      <c r="BP7" s="60">
        <v>15</v>
      </c>
      <c r="BQ7" s="27">
        <f t="shared" ref="BQ7:BQ76" si="5">(BO7+BP7)/2</f>
        <v>11.5</v>
      </c>
      <c r="BR7" s="9">
        <v>9</v>
      </c>
      <c r="BS7" s="9">
        <v>9</v>
      </c>
      <c r="BT7" s="9">
        <v>9</v>
      </c>
      <c r="BU7" s="27">
        <f t="shared" ref="BU7:BU76" si="6">(BR7+BS7+BT7)/3</f>
        <v>9</v>
      </c>
      <c r="BV7" s="9">
        <v>5</v>
      </c>
      <c r="BW7" s="2">
        <f t="shared" ref="BW7:BW76" si="7">BV7+BU7+BQ7+BN7</f>
        <v>25.5</v>
      </c>
    </row>
    <row r="8" spans="1:75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>
        <v>18</v>
      </c>
      <c r="BC8" s="9"/>
      <c r="BD8" s="9">
        <f t="shared" si="0"/>
        <v>18</v>
      </c>
      <c r="BE8" s="9">
        <v>30</v>
      </c>
      <c r="BF8" s="2">
        <f t="shared" si="1"/>
        <v>60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9">
        <f t="shared" ref="BK8:BL8" si="8">BD8</f>
        <v>18</v>
      </c>
      <c r="BL8" s="9">
        <f t="shared" si="8"/>
        <v>30</v>
      </c>
      <c r="BM8" s="2">
        <f t="shared" si="3"/>
        <v>60</v>
      </c>
      <c r="BN8" s="9" t="str">
        <f t="shared" si="4"/>
        <v>0</v>
      </c>
      <c r="BO8" s="61">
        <v>10</v>
      </c>
      <c r="BP8" s="62">
        <v>12</v>
      </c>
      <c r="BQ8" s="27">
        <f t="shared" si="5"/>
        <v>11</v>
      </c>
      <c r="BR8" s="9">
        <v>9</v>
      </c>
      <c r="BS8" s="9">
        <v>10</v>
      </c>
      <c r="BT8" s="9">
        <v>8</v>
      </c>
      <c r="BU8" s="27">
        <f t="shared" si="6"/>
        <v>9</v>
      </c>
      <c r="BV8" s="9"/>
      <c r="BW8" s="2">
        <f t="shared" si="7"/>
        <v>20</v>
      </c>
    </row>
    <row r="9" spans="1:75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>
        <v>20</v>
      </c>
      <c r="BC9" s="9"/>
      <c r="BD9" s="9">
        <f t="shared" si="0"/>
        <v>20</v>
      </c>
      <c r="BE9" s="9">
        <v>30</v>
      </c>
      <c r="BF9" s="2">
        <f t="shared" si="1"/>
        <v>66.666666666666657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9">
        <f t="shared" ref="BK9:BL9" si="9">BD9</f>
        <v>20</v>
      </c>
      <c r="BL9" s="9">
        <f t="shared" si="9"/>
        <v>30</v>
      </c>
      <c r="BM9" s="2">
        <f t="shared" si="3"/>
        <v>66.666666666666657</v>
      </c>
      <c r="BN9" s="9" t="str">
        <f t="shared" si="4"/>
        <v>0</v>
      </c>
      <c r="BO9" s="61">
        <v>12</v>
      </c>
      <c r="BP9" s="62">
        <v>9</v>
      </c>
      <c r="BQ9" s="27">
        <f t="shared" si="5"/>
        <v>10.5</v>
      </c>
      <c r="BR9" s="9">
        <v>8</v>
      </c>
      <c r="BS9" s="9">
        <v>9</v>
      </c>
      <c r="BT9" s="9">
        <v>8</v>
      </c>
      <c r="BU9" s="27">
        <f t="shared" si="6"/>
        <v>8.3333333333333339</v>
      </c>
      <c r="BV9" s="9"/>
      <c r="BW9" s="2">
        <f t="shared" si="7"/>
        <v>18.833333333333336</v>
      </c>
    </row>
    <row r="10" spans="1:75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>
        <v>24</v>
      </c>
      <c r="BC10" s="9"/>
      <c r="BD10" s="9">
        <f t="shared" si="0"/>
        <v>24</v>
      </c>
      <c r="BE10" s="9">
        <v>30</v>
      </c>
      <c r="BF10" s="2">
        <f t="shared" si="1"/>
        <v>80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9">
        <f t="shared" ref="BK10:BL10" si="10">BD10</f>
        <v>24</v>
      </c>
      <c r="BL10" s="9">
        <f t="shared" si="10"/>
        <v>30</v>
      </c>
      <c r="BM10" s="2">
        <f t="shared" si="3"/>
        <v>80</v>
      </c>
      <c r="BN10" s="9" t="str">
        <f t="shared" si="4"/>
        <v>2</v>
      </c>
      <c r="BO10" s="61">
        <v>22</v>
      </c>
      <c r="BP10" s="62">
        <v>21</v>
      </c>
      <c r="BQ10" s="27">
        <f t="shared" si="5"/>
        <v>21.5</v>
      </c>
      <c r="BR10" s="9">
        <v>9</v>
      </c>
      <c r="BS10" s="9">
        <v>10</v>
      </c>
      <c r="BT10" s="9">
        <v>9</v>
      </c>
      <c r="BU10" s="27">
        <f t="shared" si="6"/>
        <v>9.3333333333333339</v>
      </c>
      <c r="BV10" s="9"/>
      <c r="BW10" s="2">
        <f t="shared" si="7"/>
        <v>32.833333333333336</v>
      </c>
    </row>
    <row r="11" spans="1:75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v>26</v>
      </c>
      <c r="BC11" s="9"/>
      <c r="BD11" s="9">
        <f t="shared" si="0"/>
        <v>26</v>
      </c>
      <c r="BE11" s="9">
        <v>30</v>
      </c>
      <c r="BF11" s="2">
        <f t="shared" si="1"/>
        <v>86.666666666666671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9">
        <f t="shared" ref="BK11:BL11" si="11">BD11</f>
        <v>26</v>
      </c>
      <c r="BL11" s="9">
        <f t="shared" si="11"/>
        <v>30</v>
      </c>
      <c r="BM11" s="2">
        <f t="shared" si="3"/>
        <v>86.666666666666671</v>
      </c>
      <c r="BN11" s="9" t="str">
        <f t="shared" si="4"/>
        <v>4</v>
      </c>
      <c r="BO11" s="61">
        <v>21</v>
      </c>
      <c r="BP11" s="62">
        <v>22</v>
      </c>
      <c r="BQ11" s="27">
        <f t="shared" si="5"/>
        <v>21.5</v>
      </c>
      <c r="BR11" s="9">
        <v>10</v>
      </c>
      <c r="BS11" s="9">
        <v>10</v>
      </c>
      <c r="BT11" s="9">
        <v>9</v>
      </c>
      <c r="BU11" s="27">
        <f t="shared" si="6"/>
        <v>9.6666666666666661</v>
      </c>
      <c r="BV11" s="9">
        <v>1</v>
      </c>
      <c r="BW11" s="2">
        <f t="shared" si="7"/>
        <v>36.166666666666664</v>
      </c>
    </row>
    <row r="12" spans="1:75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>
        <v>30</v>
      </c>
      <c r="BC12" s="9"/>
      <c r="BD12" s="9">
        <f t="shared" si="0"/>
        <v>30</v>
      </c>
      <c r="BE12" s="9">
        <v>30</v>
      </c>
      <c r="BF12" s="2">
        <f t="shared" si="1"/>
        <v>100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9">
        <f t="shared" ref="BK12:BL12" si="12">BD12</f>
        <v>30</v>
      </c>
      <c r="BL12" s="9">
        <f t="shared" si="12"/>
        <v>30</v>
      </c>
      <c r="BM12" s="2">
        <f t="shared" si="3"/>
        <v>100</v>
      </c>
      <c r="BN12" s="9" t="str">
        <f t="shared" si="4"/>
        <v>6</v>
      </c>
      <c r="BO12" s="61">
        <v>15</v>
      </c>
      <c r="BP12" s="62">
        <v>20</v>
      </c>
      <c r="BQ12" s="27">
        <f t="shared" si="5"/>
        <v>17.5</v>
      </c>
      <c r="BR12" s="9">
        <v>9</v>
      </c>
      <c r="BS12" s="9">
        <v>10</v>
      </c>
      <c r="BT12" s="9">
        <v>8</v>
      </c>
      <c r="BU12" s="27">
        <f t="shared" si="6"/>
        <v>9</v>
      </c>
      <c r="BV12" s="9"/>
      <c r="BW12" s="2">
        <f t="shared" si="7"/>
        <v>32.5</v>
      </c>
    </row>
    <row r="13" spans="1:75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v>16</v>
      </c>
      <c r="BC13" s="9"/>
      <c r="BD13" s="9">
        <f t="shared" si="0"/>
        <v>16</v>
      </c>
      <c r="BE13" s="9">
        <v>30</v>
      </c>
      <c r="BF13" s="2">
        <f t="shared" si="1"/>
        <v>53.333333333333336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9">
        <f t="shared" ref="BK13:BL13" si="13">BD13</f>
        <v>16</v>
      </c>
      <c r="BL13" s="9">
        <f t="shared" si="13"/>
        <v>30</v>
      </c>
      <c r="BM13" s="2">
        <f t="shared" si="3"/>
        <v>53.333333333333336</v>
      </c>
      <c r="BN13" s="9" t="str">
        <f t="shared" si="4"/>
        <v>0</v>
      </c>
      <c r="BO13" s="61">
        <v>13</v>
      </c>
      <c r="BP13" s="62">
        <v>6</v>
      </c>
      <c r="BQ13" s="27">
        <f t="shared" si="5"/>
        <v>9.5</v>
      </c>
      <c r="BR13" s="9">
        <v>7</v>
      </c>
      <c r="BS13" s="9">
        <v>7</v>
      </c>
      <c r="BT13" s="9">
        <v>7</v>
      </c>
      <c r="BU13" s="27">
        <f t="shared" si="6"/>
        <v>7</v>
      </c>
      <c r="BV13" s="9">
        <v>5</v>
      </c>
      <c r="BW13" s="2">
        <f t="shared" si="7"/>
        <v>21.5</v>
      </c>
    </row>
    <row r="14" spans="1:75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v>1</v>
      </c>
      <c r="BC14" s="9"/>
      <c r="BD14" s="9">
        <f t="shared" si="0"/>
        <v>1</v>
      </c>
      <c r="BE14" s="9">
        <v>30</v>
      </c>
      <c r="BF14" s="2">
        <f t="shared" si="1"/>
        <v>3.3333333333333335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9">
        <f t="shared" ref="BK14:BL14" si="14">BD14</f>
        <v>1</v>
      </c>
      <c r="BL14" s="9">
        <f t="shared" si="14"/>
        <v>30</v>
      </c>
      <c r="BM14" s="2">
        <f t="shared" si="3"/>
        <v>3.3333333333333335</v>
      </c>
      <c r="BN14" s="9" t="str">
        <f t="shared" si="4"/>
        <v>0</v>
      </c>
      <c r="BO14" s="61">
        <v>8</v>
      </c>
      <c r="BP14" s="62">
        <v>9</v>
      </c>
      <c r="BQ14" s="27">
        <f t="shared" si="5"/>
        <v>8.5</v>
      </c>
      <c r="BR14" s="9">
        <v>0</v>
      </c>
      <c r="BS14" s="9">
        <v>0</v>
      </c>
      <c r="BT14" s="9">
        <v>0</v>
      </c>
      <c r="BU14" s="27">
        <f t="shared" si="6"/>
        <v>0</v>
      </c>
      <c r="BV14" s="9"/>
      <c r="BW14" s="2">
        <f t="shared" si="7"/>
        <v>8.5</v>
      </c>
    </row>
    <row r="15" spans="1:75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v>26</v>
      </c>
      <c r="BC15" s="9"/>
      <c r="BD15" s="9">
        <f t="shared" si="0"/>
        <v>26</v>
      </c>
      <c r="BE15" s="9">
        <v>30</v>
      </c>
      <c r="BF15" s="2">
        <f t="shared" si="1"/>
        <v>86.666666666666671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9">
        <f t="shared" ref="BK15:BL15" si="15">BD15</f>
        <v>26</v>
      </c>
      <c r="BL15" s="9">
        <f t="shared" si="15"/>
        <v>30</v>
      </c>
      <c r="BM15" s="2">
        <f t="shared" si="3"/>
        <v>86.666666666666671</v>
      </c>
      <c r="BN15" s="9" t="str">
        <f t="shared" si="4"/>
        <v>4</v>
      </c>
      <c r="BO15" s="61">
        <v>19</v>
      </c>
      <c r="BP15" s="62">
        <v>20</v>
      </c>
      <c r="BQ15" s="27">
        <f t="shared" si="5"/>
        <v>19.5</v>
      </c>
      <c r="BR15" s="9">
        <v>9</v>
      </c>
      <c r="BS15" s="9">
        <v>10</v>
      </c>
      <c r="BT15" s="9">
        <v>10</v>
      </c>
      <c r="BU15" s="27">
        <f t="shared" si="6"/>
        <v>9.6666666666666661</v>
      </c>
      <c r="BV15" s="9"/>
      <c r="BW15" s="2">
        <f t="shared" si="7"/>
        <v>33.166666666666664</v>
      </c>
    </row>
    <row r="16" spans="1:75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v>26</v>
      </c>
      <c r="BC16" s="9"/>
      <c r="BD16" s="9">
        <f t="shared" si="0"/>
        <v>26</v>
      </c>
      <c r="BE16" s="9">
        <v>30</v>
      </c>
      <c r="BF16" s="2">
        <f t="shared" si="1"/>
        <v>86.666666666666671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9">
        <f t="shared" ref="BK16:BL16" si="16">BD16</f>
        <v>26</v>
      </c>
      <c r="BL16" s="9">
        <f t="shared" si="16"/>
        <v>30</v>
      </c>
      <c r="BM16" s="2">
        <f t="shared" si="3"/>
        <v>86.666666666666671</v>
      </c>
      <c r="BN16" s="9" t="str">
        <f t="shared" si="4"/>
        <v>4</v>
      </c>
      <c r="BO16" s="61">
        <v>10</v>
      </c>
      <c r="BP16" s="62">
        <v>13</v>
      </c>
      <c r="BQ16" s="27">
        <f t="shared" si="5"/>
        <v>11.5</v>
      </c>
      <c r="BR16" s="9">
        <v>9</v>
      </c>
      <c r="BS16" s="9">
        <v>9</v>
      </c>
      <c r="BT16" s="9">
        <v>9</v>
      </c>
      <c r="BU16" s="27">
        <f t="shared" si="6"/>
        <v>9</v>
      </c>
      <c r="BV16" s="9">
        <v>5</v>
      </c>
      <c r="BW16" s="2">
        <f t="shared" si="7"/>
        <v>29.5</v>
      </c>
    </row>
    <row r="17" spans="1:75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v>14</v>
      </c>
      <c r="BC17" s="9"/>
      <c r="BD17" s="9">
        <f t="shared" si="0"/>
        <v>14</v>
      </c>
      <c r="BE17" s="9">
        <v>30</v>
      </c>
      <c r="BF17" s="2">
        <f t="shared" si="1"/>
        <v>46.666666666666664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9">
        <f t="shared" ref="BK17:BL17" si="17">BD17</f>
        <v>14</v>
      </c>
      <c r="BL17" s="9">
        <f t="shared" si="17"/>
        <v>30</v>
      </c>
      <c r="BM17" s="2">
        <f t="shared" si="3"/>
        <v>46.666666666666664</v>
      </c>
      <c r="BN17" s="9" t="str">
        <f t="shared" si="4"/>
        <v>0</v>
      </c>
      <c r="BO17" s="61">
        <v>9</v>
      </c>
      <c r="BP17" s="62">
        <v>15</v>
      </c>
      <c r="BQ17" s="27">
        <f t="shared" si="5"/>
        <v>12</v>
      </c>
      <c r="BR17" s="9">
        <v>9</v>
      </c>
      <c r="BS17" s="9">
        <v>0</v>
      </c>
      <c r="BT17" s="9">
        <v>7</v>
      </c>
      <c r="BU17" s="27">
        <f t="shared" si="6"/>
        <v>5.333333333333333</v>
      </c>
      <c r="BV17" s="9"/>
      <c r="BW17" s="2">
        <f t="shared" si="7"/>
        <v>17.333333333333332</v>
      </c>
    </row>
    <row r="18" spans="1:75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v>25</v>
      </c>
      <c r="BC18" s="9"/>
      <c r="BD18" s="9">
        <f t="shared" si="0"/>
        <v>25</v>
      </c>
      <c r="BE18" s="9">
        <v>30</v>
      </c>
      <c r="BF18" s="2">
        <f t="shared" si="1"/>
        <v>83.333333333333343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9">
        <f t="shared" ref="BK18:BL18" si="18">BD18</f>
        <v>25</v>
      </c>
      <c r="BL18" s="9">
        <f t="shared" si="18"/>
        <v>30</v>
      </c>
      <c r="BM18" s="2">
        <f t="shared" si="3"/>
        <v>83.333333333333343</v>
      </c>
      <c r="BN18" s="9" t="str">
        <f t="shared" si="4"/>
        <v>3</v>
      </c>
      <c r="BO18" s="61">
        <v>4</v>
      </c>
      <c r="BP18" s="62">
        <v>16</v>
      </c>
      <c r="BQ18" s="27">
        <f t="shared" si="5"/>
        <v>10</v>
      </c>
      <c r="BR18" s="9">
        <v>8</v>
      </c>
      <c r="BS18" s="9">
        <v>8</v>
      </c>
      <c r="BT18" s="9">
        <v>7</v>
      </c>
      <c r="BU18" s="27">
        <f t="shared" si="6"/>
        <v>7.666666666666667</v>
      </c>
      <c r="BV18" s="9"/>
      <c r="BW18" s="2">
        <f t="shared" si="7"/>
        <v>20.666666666666668</v>
      </c>
    </row>
    <row r="19" spans="1:75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v>29</v>
      </c>
      <c r="BC19" s="9"/>
      <c r="BD19" s="9">
        <f t="shared" si="0"/>
        <v>29</v>
      </c>
      <c r="BE19" s="9">
        <v>30</v>
      </c>
      <c r="BF19" s="2">
        <f t="shared" si="1"/>
        <v>96.666666666666671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9">
        <f t="shared" ref="BK19:BL19" si="19">BD19</f>
        <v>29</v>
      </c>
      <c r="BL19" s="9">
        <f t="shared" si="19"/>
        <v>30</v>
      </c>
      <c r="BM19" s="2">
        <f t="shared" si="3"/>
        <v>96.666666666666671</v>
      </c>
      <c r="BN19" s="9" t="str">
        <f t="shared" si="4"/>
        <v>6</v>
      </c>
      <c r="BO19" s="61">
        <v>19</v>
      </c>
      <c r="BP19" s="62">
        <v>21</v>
      </c>
      <c r="BQ19" s="27">
        <f t="shared" si="5"/>
        <v>20</v>
      </c>
      <c r="BR19" s="9">
        <v>9</v>
      </c>
      <c r="BS19" s="9">
        <v>9</v>
      </c>
      <c r="BT19" s="9">
        <v>10</v>
      </c>
      <c r="BU19" s="27">
        <f t="shared" si="6"/>
        <v>9.3333333333333339</v>
      </c>
      <c r="BV19" s="9">
        <v>1</v>
      </c>
      <c r="BW19" s="2">
        <f t="shared" si="7"/>
        <v>36.333333333333336</v>
      </c>
    </row>
    <row r="20" spans="1:75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17</v>
      </c>
      <c r="BC20" s="9"/>
      <c r="BD20" s="9">
        <f t="shared" si="0"/>
        <v>17</v>
      </c>
      <c r="BE20" s="9">
        <v>30</v>
      </c>
      <c r="BF20" s="2">
        <f t="shared" si="1"/>
        <v>56.666666666666664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9">
        <f t="shared" ref="BK20:BL20" si="20">BD20</f>
        <v>17</v>
      </c>
      <c r="BL20" s="9">
        <f t="shared" si="20"/>
        <v>30</v>
      </c>
      <c r="BM20" s="2">
        <f t="shared" si="3"/>
        <v>56.666666666666664</v>
      </c>
      <c r="BN20" s="9" t="str">
        <f t="shared" si="4"/>
        <v>0</v>
      </c>
      <c r="BO20" s="50">
        <v>0</v>
      </c>
      <c r="BP20" s="62">
        <v>5</v>
      </c>
      <c r="BQ20" s="27">
        <f t="shared" si="5"/>
        <v>2.5</v>
      </c>
      <c r="BR20" s="9">
        <v>9</v>
      </c>
      <c r="BS20" s="9">
        <v>8</v>
      </c>
      <c r="BT20" s="9">
        <v>8</v>
      </c>
      <c r="BU20" s="27">
        <f t="shared" si="6"/>
        <v>8.3333333333333339</v>
      </c>
      <c r="BV20" s="9">
        <v>5</v>
      </c>
      <c r="BW20" s="2">
        <f t="shared" si="7"/>
        <v>15.833333333333334</v>
      </c>
    </row>
    <row r="21" spans="1:75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v>23</v>
      </c>
      <c r="BC21" s="9">
        <v>1</v>
      </c>
      <c r="BD21" s="9">
        <f t="shared" si="0"/>
        <v>24</v>
      </c>
      <c r="BE21" s="9">
        <v>30</v>
      </c>
      <c r="BF21" s="2">
        <f t="shared" si="1"/>
        <v>80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9">
        <f t="shared" ref="BK21:BL21" si="21">BD21</f>
        <v>24</v>
      </c>
      <c r="BL21" s="9">
        <f t="shared" si="21"/>
        <v>30</v>
      </c>
      <c r="BM21" s="2">
        <f t="shared" si="3"/>
        <v>80</v>
      </c>
      <c r="BN21" s="9" t="str">
        <f t="shared" si="4"/>
        <v>2</v>
      </c>
      <c r="BO21" s="61">
        <v>17</v>
      </c>
      <c r="BP21" s="62">
        <v>19</v>
      </c>
      <c r="BQ21" s="27">
        <f t="shared" si="5"/>
        <v>18</v>
      </c>
      <c r="BR21" s="9">
        <v>9</v>
      </c>
      <c r="BS21" s="9">
        <v>10</v>
      </c>
      <c r="BT21" s="9">
        <v>5</v>
      </c>
      <c r="BU21" s="27">
        <f t="shared" si="6"/>
        <v>8</v>
      </c>
      <c r="BV21" s="9"/>
      <c r="BW21" s="2">
        <f t="shared" si="7"/>
        <v>28</v>
      </c>
    </row>
    <row r="22" spans="1:75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v>22</v>
      </c>
      <c r="BC22" s="9"/>
      <c r="BD22" s="9">
        <f t="shared" si="0"/>
        <v>22</v>
      </c>
      <c r="BE22" s="9">
        <v>30</v>
      </c>
      <c r="BF22" s="2">
        <f t="shared" si="1"/>
        <v>73.333333333333329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9">
        <f t="shared" ref="BK22:BL22" si="22">BD22</f>
        <v>22</v>
      </c>
      <c r="BL22" s="9">
        <f t="shared" si="22"/>
        <v>30</v>
      </c>
      <c r="BM22" s="2">
        <f t="shared" si="3"/>
        <v>73.333333333333329</v>
      </c>
      <c r="BN22" s="9" t="str">
        <f t="shared" si="4"/>
        <v>0</v>
      </c>
      <c r="BO22" s="61">
        <v>15</v>
      </c>
      <c r="BP22" s="62">
        <v>13</v>
      </c>
      <c r="BQ22" s="27">
        <f t="shared" si="5"/>
        <v>14</v>
      </c>
      <c r="BR22" s="9">
        <v>10</v>
      </c>
      <c r="BS22" s="9">
        <v>10</v>
      </c>
      <c r="BT22" s="9">
        <v>10</v>
      </c>
      <c r="BU22" s="27">
        <f t="shared" si="6"/>
        <v>10</v>
      </c>
      <c r="BV22" s="9">
        <v>5</v>
      </c>
      <c r="BW22" s="2">
        <f t="shared" si="7"/>
        <v>29</v>
      </c>
    </row>
    <row r="23" spans="1:75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v>21</v>
      </c>
      <c r="BC23" s="9">
        <v>1</v>
      </c>
      <c r="BD23" s="9">
        <f t="shared" si="0"/>
        <v>22</v>
      </c>
      <c r="BE23" s="9">
        <v>30</v>
      </c>
      <c r="BF23" s="2">
        <f t="shared" si="1"/>
        <v>73.333333333333329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9">
        <f t="shared" ref="BK23:BL23" si="23">BD23</f>
        <v>22</v>
      </c>
      <c r="BL23" s="9">
        <f t="shared" si="23"/>
        <v>30</v>
      </c>
      <c r="BM23" s="2">
        <f t="shared" si="3"/>
        <v>73.333333333333329</v>
      </c>
      <c r="BN23" s="9" t="str">
        <f t="shared" si="4"/>
        <v>0</v>
      </c>
      <c r="BO23" s="61">
        <v>7</v>
      </c>
      <c r="BP23" s="62">
        <v>19</v>
      </c>
      <c r="BQ23" s="27">
        <f t="shared" si="5"/>
        <v>13</v>
      </c>
      <c r="BR23" s="9">
        <v>9</v>
      </c>
      <c r="BS23" s="9">
        <v>9</v>
      </c>
      <c r="BT23" s="9">
        <v>8</v>
      </c>
      <c r="BU23" s="27">
        <f t="shared" si="6"/>
        <v>8.6666666666666661</v>
      </c>
      <c r="BV23" s="9">
        <v>5</v>
      </c>
      <c r="BW23" s="2">
        <f t="shared" si="7"/>
        <v>26.666666666666664</v>
      </c>
    </row>
    <row r="24" spans="1:75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>
        <v>26</v>
      </c>
      <c r="BC24" s="9"/>
      <c r="BD24" s="9">
        <f t="shared" si="0"/>
        <v>26</v>
      </c>
      <c r="BE24" s="9">
        <v>30</v>
      </c>
      <c r="BF24" s="2">
        <f t="shared" si="1"/>
        <v>86.666666666666671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9">
        <f t="shared" ref="BK24:BL24" si="24">BD24</f>
        <v>26</v>
      </c>
      <c r="BL24" s="9">
        <f t="shared" si="24"/>
        <v>30</v>
      </c>
      <c r="BM24" s="2">
        <f t="shared" si="3"/>
        <v>86.666666666666671</v>
      </c>
      <c r="BN24" s="9" t="str">
        <f t="shared" si="4"/>
        <v>4</v>
      </c>
      <c r="BO24" s="61">
        <v>13</v>
      </c>
      <c r="BP24" s="62">
        <v>21</v>
      </c>
      <c r="BQ24" s="27">
        <f t="shared" si="5"/>
        <v>17</v>
      </c>
      <c r="BR24" s="9">
        <v>9</v>
      </c>
      <c r="BS24" s="9">
        <v>10</v>
      </c>
      <c r="BT24" s="9">
        <v>10</v>
      </c>
      <c r="BU24" s="27">
        <f t="shared" si="6"/>
        <v>9.6666666666666661</v>
      </c>
      <c r="BV24" s="9"/>
      <c r="BW24" s="2">
        <f t="shared" si="7"/>
        <v>30.666666666666664</v>
      </c>
    </row>
    <row r="25" spans="1:75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22</v>
      </c>
      <c r="BC25" s="9"/>
      <c r="BD25" s="9">
        <f t="shared" si="0"/>
        <v>22</v>
      </c>
      <c r="BE25" s="9">
        <v>30</v>
      </c>
      <c r="BF25" s="2">
        <f t="shared" si="1"/>
        <v>73.333333333333329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9">
        <f t="shared" ref="BK25:BL25" si="25">BD25</f>
        <v>22</v>
      </c>
      <c r="BL25" s="9">
        <f t="shared" si="25"/>
        <v>30</v>
      </c>
      <c r="BM25" s="2">
        <f t="shared" si="3"/>
        <v>73.333333333333329</v>
      </c>
      <c r="BN25" s="9" t="str">
        <f t="shared" si="4"/>
        <v>0</v>
      </c>
      <c r="BO25" s="61">
        <v>14</v>
      </c>
      <c r="BP25" s="62">
        <v>14</v>
      </c>
      <c r="BQ25" s="27">
        <f t="shared" si="5"/>
        <v>14</v>
      </c>
      <c r="BR25" s="9">
        <v>10</v>
      </c>
      <c r="BS25" s="9">
        <v>10</v>
      </c>
      <c r="BT25" s="9">
        <v>9</v>
      </c>
      <c r="BU25" s="27">
        <f t="shared" si="6"/>
        <v>9.6666666666666661</v>
      </c>
      <c r="BV25" s="9">
        <v>5</v>
      </c>
      <c r="BW25" s="2">
        <f t="shared" si="7"/>
        <v>28.666666666666664</v>
      </c>
    </row>
    <row r="26" spans="1:75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>
        <v>24</v>
      </c>
      <c r="BC26" s="9">
        <v>1</v>
      </c>
      <c r="BD26" s="9">
        <f t="shared" si="0"/>
        <v>25</v>
      </c>
      <c r="BE26" s="9">
        <v>30</v>
      </c>
      <c r="BF26" s="2">
        <f t="shared" si="1"/>
        <v>83.333333333333343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9">
        <f t="shared" ref="BK26:BL26" si="26">BD26</f>
        <v>25</v>
      </c>
      <c r="BL26" s="9">
        <f t="shared" si="26"/>
        <v>30</v>
      </c>
      <c r="BM26" s="2">
        <f t="shared" si="3"/>
        <v>83.333333333333343</v>
      </c>
      <c r="BN26" s="9" t="str">
        <f t="shared" si="4"/>
        <v>3</v>
      </c>
      <c r="BO26" s="61">
        <v>17</v>
      </c>
      <c r="BP26" s="62">
        <v>18</v>
      </c>
      <c r="BQ26" s="27">
        <f t="shared" si="5"/>
        <v>17.5</v>
      </c>
      <c r="BR26" s="9">
        <v>9</v>
      </c>
      <c r="BS26" s="9">
        <v>10</v>
      </c>
      <c r="BT26" s="9">
        <v>8</v>
      </c>
      <c r="BU26" s="27">
        <f t="shared" si="6"/>
        <v>9</v>
      </c>
      <c r="BV26" s="9"/>
      <c r="BW26" s="2">
        <f t="shared" si="7"/>
        <v>29.5</v>
      </c>
    </row>
    <row r="27" spans="1:75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v>0</v>
      </c>
      <c r="BC27" s="9"/>
      <c r="BD27" s="9">
        <f t="shared" si="0"/>
        <v>0</v>
      </c>
      <c r="BE27" s="9">
        <v>30</v>
      </c>
      <c r="BF27" s="2">
        <f t="shared" si="1"/>
        <v>0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9">
        <f t="shared" ref="BK27:BL27" si="27">BD27</f>
        <v>0</v>
      </c>
      <c r="BL27" s="9">
        <f t="shared" si="27"/>
        <v>30</v>
      </c>
      <c r="BM27" s="2">
        <f t="shared" si="3"/>
        <v>0</v>
      </c>
      <c r="BN27" s="9" t="str">
        <f t="shared" si="4"/>
        <v>0</v>
      </c>
      <c r="BO27" s="50">
        <v>0</v>
      </c>
      <c r="BP27" s="49">
        <v>0</v>
      </c>
      <c r="BQ27" s="27">
        <f t="shared" si="5"/>
        <v>0</v>
      </c>
      <c r="BR27" s="9">
        <v>0</v>
      </c>
      <c r="BS27" s="9">
        <v>0</v>
      </c>
      <c r="BT27" s="9">
        <v>0</v>
      </c>
      <c r="BU27" s="27">
        <f t="shared" si="6"/>
        <v>0</v>
      </c>
      <c r="BV27" s="9"/>
      <c r="BW27" s="2">
        <f t="shared" si="7"/>
        <v>0</v>
      </c>
    </row>
    <row r="28" spans="1:75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18</v>
      </c>
      <c r="BC28" s="9"/>
      <c r="BD28" s="9">
        <f t="shared" si="0"/>
        <v>18</v>
      </c>
      <c r="BE28" s="9">
        <v>30</v>
      </c>
      <c r="BF28" s="2">
        <f t="shared" si="1"/>
        <v>60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9">
        <f t="shared" ref="BK28:BL28" si="28">BD28</f>
        <v>18</v>
      </c>
      <c r="BL28" s="9">
        <f t="shared" si="28"/>
        <v>30</v>
      </c>
      <c r="BM28" s="2">
        <f t="shared" si="3"/>
        <v>60</v>
      </c>
      <c r="BN28" s="9" t="str">
        <f t="shared" si="4"/>
        <v>0</v>
      </c>
      <c r="BO28" s="61">
        <v>8</v>
      </c>
      <c r="BP28" s="51">
        <v>8</v>
      </c>
      <c r="BQ28" s="27">
        <f t="shared" si="5"/>
        <v>8</v>
      </c>
      <c r="BR28" s="9">
        <v>8</v>
      </c>
      <c r="BS28" s="9">
        <v>8</v>
      </c>
      <c r="BT28" s="9">
        <v>7</v>
      </c>
      <c r="BU28" s="27">
        <f t="shared" si="6"/>
        <v>7.666666666666667</v>
      </c>
      <c r="BV28" s="9">
        <v>5</v>
      </c>
      <c r="BW28" s="2">
        <f t="shared" si="7"/>
        <v>20.666666666666668</v>
      </c>
    </row>
    <row r="29" spans="1:75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>
        <v>21</v>
      </c>
      <c r="BC29" s="9"/>
      <c r="BD29" s="9">
        <f t="shared" si="0"/>
        <v>21</v>
      </c>
      <c r="BE29" s="9">
        <v>30</v>
      </c>
      <c r="BF29" s="2">
        <f t="shared" si="1"/>
        <v>70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9">
        <f t="shared" ref="BK29:BL29" si="29">BD29</f>
        <v>21</v>
      </c>
      <c r="BL29" s="9">
        <f t="shared" si="29"/>
        <v>30</v>
      </c>
      <c r="BM29" s="2">
        <f t="shared" si="3"/>
        <v>70</v>
      </c>
      <c r="BN29" s="9" t="str">
        <f t="shared" si="4"/>
        <v>0</v>
      </c>
      <c r="BO29" s="61">
        <v>16</v>
      </c>
      <c r="BP29" s="62">
        <v>21</v>
      </c>
      <c r="BQ29" s="27">
        <f t="shared" si="5"/>
        <v>18.5</v>
      </c>
      <c r="BR29" s="9">
        <v>9</v>
      </c>
      <c r="BS29" s="9">
        <v>9</v>
      </c>
      <c r="BT29" s="9">
        <v>10</v>
      </c>
      <c r="BU29" s="27">
        <f t="shared" si="6"/>
        <v>9.3333333333333339</v>
      </c>
      <c r="BV29" s="9"/>
      <c r="BW29" s="2">
        <f t="shared" si="7"/>
        <v>27.833333333333336</v>
      </c>
    </row>
    <row r="30" spans="1:75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>
        <v>15</v>
      </c>
      <c r="BC30" s="9"/>
      <c r="BD30" s="9">
        <f t="shared" si="0"/>
        <v>15</v>
      </c>
      <c r="BE30" s="9">
        <v>30</v>
      </c>
      <c r="BF30" s="2">
        <f t="shared" si="1"/>
        <v>50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9">
        <f t="shared" ref="BK30:BL30" si="30">BD30</f>
        <v>15</v>
      </c>
      <c r="BL30" s="9">
        <f t="shared" si="30"/>
        <v>30</v>
      </c>
      <c r="BM30" s="2">
        <f t="shared" si="3"/>
        <v>50</v>
      </c>
      <c r="BN30" s="9" t="str">
        <f t="shared" si="4"/>
        <v>0</v>
      </c>
      <c r="BO30" s="61">
        <v>12</v>
      </c>
      <c r="BP30" s="62">
        <v>20</v>
      </c>
      <c r="BQ30" s="27">
        <f t="shared" si="5"/>
        <v>16</v>
      </c>
      <c r="BR30" s="9">
        <v>9</v>
      </c>
      <c r="BS30" s="9">
        <v>9</v>
      </c>
      <c r="BT30" s="9">
        <v>10</v>
      </c>
      <c r="BU30" s="27">
        <f t="shared" si="6"/>
        <v>9.3333333333333339</v>
      </c>
      <c r="BV30" s="9">
        <v>5</v>
      </c>
      <c r="BW30" s="2">
        <f t="shared" si="7"/>
        <v>30.333333333333336</v>
      </c>
    </row>
    <row r="31" spans="1:75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>
        <v>15</v>
      </c>
      <c r="BC31" s="9"/>
      <c r="BD31" s="9">
        <f t="shared" si="0"/>
        <v>15</v>
      </c>
      <c r="BE31" s="9">
        <v>30</v>
      </c>
      <c r="BF31" s="2">
        <f t="shared" si="1"/>
        <v>50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9">
        <f t="shared" ref="BK31:BL31" si="31">BD31</f>
        <v>15</v>
      </c>
      <c r="BL31" s="9">
        <f t="shared" si="31"/>
        <v>30</v>
      </c>
      <c r="BM31" s="2">
        <f t="shared" si="3"/>
        <v>50</v>
      </c>
      <c r="BN31" s="9" t="str">
        <f t="shared" si="4"/>
        <v>0</v>
      </c>
      <c r="BO31" s="61">
        <v>13</v>
      </c>
      <c r="BP31" s="62">
        <v>22</v>
      </c>
      <c r="BQ31" s="27">
        <f t="shared" si="5"/>
        <v>17.5</v>
      </c>
      <c r="BR31" s="9">
        <v>10</v>
      </c>
      <c r="BS31" s="9">
        <v>10</v>
      </c>
      <c r="BT31" s="9">
        <v>10</v>
      </c>
      <c r="BU31" s="27">
        <f t="shared" si="6"/>
        <v>10</v>
      </c>
      <c r="BV31" s="9">
        <v>5</v>
      </c>
      <c r="BW31" s="2">
        <f t="shared" si="7"/>
        <v>32.5</v>
      </c>
    </row>
    <row r="32" spans="1:75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>
        <v>5</v>
      </c>
      <c r="BC32" s="9"/>
      <c r="BD32" s="9">
        <f t="shared" si="0"/>
        <v>5</v>
      </c>
      <c r="BE32" s="9">
        <v>30</v>
      </c>
      <c r="BF32" s="2">
        <f t="shared" si="1"/>
        <v>16.666666666666664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9">
        <f t="shared" ref="BK32:BL32" si="32">BD32</f>
        <v>5</v>
      </c>
      <c r="BL32" s="9">
        <f t="shared" si="32"/>
        <v>30</v>
      </c>
      <c r="BM32" s="2">
        <f t="shared" si="3"/>
        <v>16.666666666666664</v>
      </c>
      <c r="BN32" s="9" t="str">
        <f t="shared" si="4"/>
        <v>0</v>
      </c>
      <c r="BO32" s="61">
        <v>11</v>
      </c>
      <c r="BP32" s="62">
        <v>10</v>
      </c>
      <c r="BQ32" s="27">
        <f t="shared" si="5"/>
        <v>10.5</v>
      </c>
      <c r="BR32" s="9">
        <v>9</v>
      </c>
      <c r="BS32" s="9">
        <v>10</v>
      </c>
      <c r="BT32" s="9">
        <v>8</v>
      </c>
      <c r="BU32" s="27">
        <f t="shared" si="6"/>
        <v>9</v>
      </c>
      <c r="BV32" s="9"/>
      <c r="BW32" s="2">
        <f t="shared" si="7"/>
        <v>19.5</v>
      </c>
    </row>
    <row r="33" spans="1:75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>
        <v>30</v>
      </c>
      <c r="BC33" s="9"/>
      <c r="BD33" s="9">
        <f t="shared" si="0"/>
        <v>30</v>
      </c>
      <c r="BE33" s="9">
        <v>30</v>
      </c>
      <c r="BF33" s="2">
        <f t="shared" si="1"/>
        <v>100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9">
        <f t="shared" ref="BK33:BL33" si="33">BD33</f>
        <v>30</v>
      </c>
      <c r="BL33" s="9">
        <f t="shared" si="33"/>
        <v>30</v>
      </c>
      <c r="BM33" s="2">
        <f t="shared" si="3"/>
        <v>100</v>
      </c>
      <c r="BN33" s="9" t="str">
        <f t="shared" si="4"/>
        <v>6</v>
      </c>
      <c r="BO33" s="61">
        <v>14</v>
      </c>
      <c r="BP33" s="62">
        <v>20</v>
      </c>
      <c r="BQ33" s="27">
        <f t="shared" si="5"/>
        <v>17</v>
      </c>
      <c r="BR33" s="9">
        <v>9</v>
      </c>
      <c r="BS33" s="9">
        <v>9</v>
      </c>
      <c r="BT33" s="9">
        <v>9</v>
      </c>
      <c r="BU33" s="27">
        <f t="shared" si="6"/>
        <v>9</v>
      </c>
      <c r="BV33" s="9"/>
      <c r="BW33" s="2">
        <f t="shared" si="7"/>
        <v>32</v>
      </c>
    </row>
    <row r="34" spans="1:75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v>15</v>
      </c>
      <c r="BC34" s="9"/>
      <c r="BD34" s="9">
        <f t="shared" si="0"/>
        <v>15</v>
      </c>
      <c r="BE34" s="9">
        <v>30</v>
      </c>
      <c r="BF34" s="2">
        <f t="shared" si="1"/>
        <v>50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9">
        <f t="shared" ref="BK34:BL34" si="34">BD34</f>
        <v>15</v>
      </c>
      <c r="BL34" s="9">
        <f t="shared" si="34"/>
        <v>30</v>
      </c>
      <c r="BM34" s="2">
        <f t="shared" si="3"/>
        <v>50</v>
      </c>
      <c r="BN34" s="9" t="str">
        <f t="shared" si="4"/>
        <v>0</v>
      </c>
      <c r="BO34" s="61">
        <v>11</v>
      </c>
      <c r="BP34" s="62">
        <v>17</v>
      </c>
      <c r="BQ34" s="27">
        <f t="shared" si="5"/>
        <v>14</v>
      </c>
      <c r="BR34" s="9">
        <v>9</v>
      </c>
      <c r="BS34" s="9">
        <v>10</v>
      </c>
      <c r="BT34" s="9">
        <v>9</v>
      </c>
      <c r="BU34" s="27">
        <f t="shared" si="6"/>
        <v>9.3333333333333339</v>
      </c>
      <c r="BV34" s="9"/>
      <c r="BW34" s="2">
        <f t="shared" si="7"/>
        <v>23.333333333333336</v>
      </c>
    </row>
    <row r="35" spans="1:75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v>19</v>
      </c>
      <c r="BC35" s="9">
        <v>1</v>
      </c>
      <c r="BD35" s="9">
        <f t="shared" si="0"/>
        <v>20</v>
      </c>
      <c r="BE35" s="9">
        <v>30</v>
      </c>
      <c r="BF35" s="2">
        <f t="shared" si="1"/>
        <v>66.666666666666657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9">
        <f t="shared" ref="BK35:BL35" si="35">BD35</f>
        <v>20</v>
      </c>
      <c r="BL35" s="9">
        <f t="shared" si="35"/>
        <v>30</v>
      </c>
      <c r="BM35" s="2">
        <f t="shared" si="3"/>
        <v>66.666666666666657</v>
      </c>
      <c r="BN35" s="9" t="str">
        <f t="shared" si="4"/>
        <v>0</v>
      </c>
      <c r="BO35" s="61">
        <v>12</v>
      </c>
      <c r="BP35" s="62">
        <v>16</v>
      </c>
      <c r="BQ35" s="27">
        <f t="shared" si="5"/>
        <v>14</v>
      </c>
      <c r="BR35" s="9">
        <v>9</v>
      </c>
      <c r="BS35" s="9">
        <v>10</v>
      </c>
      <c r="BT35" s="9">
        <v>5</v>
      </c>
      <c r="BU35" s="27">
        <f t="shared" si="6"/>
        <v>8</v>
      </c>
      <c r="BV35" s="9"/>
      <c r="BW35" s="2">
        <f t="shared" si="7"/>
        <v>22</v>
      </c>
    </row>
    <row r="36" spans="1:75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v>14</v>
      </c>
      <c r="BC36" s="9"/>
      <c r="BD36" s="9">
        <f t="shared" si="0"/>
        <v>14</v>
      </c>
      <c r="BE36" s="9">
        <v>30</v>
      </c>
      <c r="BF36" s="2">
        <f t="shared" si="1"/>
        <v>46.666666666666664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9">
        <f t="shared" ref="BK36:BL36" si="36">BD36</f>
        <v>14</v>
      </c>
      <c r="BL36" s="9">
        <f t="shared" si="36"/>
        <v>30</v>
      </c>
      <c r="BM36" s="2">
        <f t="shared" si="3"/>
        <v>46.666666666666664</v>
      </c>
      <c r="BN36" s="9" t="str">
        <f t="shared" si="4"/>
        <v>0</v>
      </c>
      <c r="BO36" s="50">
        <v>0</v>
      </c>
      <c r="BP36" s="62">
        <v>13</v>
      </c>
      <c r="BQ36" s="27">
        <f t="shared" si="5"/>
        <v>6.5</v>
      </c>
      <c r="BR36" s="9">
        <v>8</v>
      </c>
      <c r="BS36" s="9">
        <v>8</v>
      </c>
      <c r="BT36" s="9">
        <v>7</v>
      </c>
      <c r="BU36" s="27">
        <f t="shared" si="6"/>
        <v>7.666666666666667</v>
      </c>
      <c r="BV36" s="9"/>
      <c r="BW36" s="2">
        <f t="shared" si="7"/>
        <v>14.166666666666668</v>
      </c>
    </row>
    <row r="37" spans="1:75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v>12</v>
      </c>
      <c r="BC37" s="9"/>
      <c r="BD37" s="9">
        <f t="shared" si="0"/>
        <v>12</v>
      </c>
      <c r="BE37" s="9">
        <v>30</v>
      </c>
      <c r="BF37" s="2">
        <f t="shared" si="1"/>
        <v>40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9">
        <f t="shared" ref="BK37:BL37" si="37">BD37</f>
        <v>12</v>
      </c>
      <c r="BL37" s="9">
        <f t="shared" si="37"/>
        <v>30</v>
      </c>
      <c r="BM37" s="2">
        <f t="shared" si="3"/>
        <v>40</v>
      </c>
      <c r="BN37" s="9" t="str">
        <f t="shared" si="4"/>
        <v>0</v>
      </c>
      <c r="BO37" s="61">
        <v>10</v>
      </c>
      <c r="BP37" s="49">
        <v>0</v>
      </c>
      <c r="BQ37" s="27">
        <f t="shared" si="5"/>
        <v>5</v>
      </c>
      <c r="BR37" s="9">
        <v>8</v>
      </c>
      <c r="BS37" s="9">
        <v>5</v>
      </c>
      <c r="BT37" s="9">
        <v>5</v>
      </c>
      <c r="BU37" s="27">
        <f t="shared" si="6"/>
        <v>6</v>
      </c>
      <c r="BV37" s="9"/>
      <c r="BW37" s="2">
        <f t="shared" si="7"/>
        <v>11</v>
      </c>
    </row>
    <row r="38" spans="1:75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f>COUNTIF(D38:BA38,"P")</f>
        <v>0</v>
      </c>
      <c r="BC38" s="9"/>
      <c r="BD38" s="9">
        <f t="shared" si="0"/>
        <v>0</v>
      </c>
      <c r="BE38" s="9">
        <v>30</v>
      </c>
      <c r="BF38" s="2">
        <f t="shared" si="1"/>
        <v>0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9">
        <f t="shared" ref="BK38:BL38" si="38">BD38</f>
        <v>0</v>
      </c>
      <c r="BL38" s="9">
        <f t="shared" si="38"/>
        <v>30</v>
      </c>
      <c r="BM38" s="2">
        <f t="shared" si="3"/>
        <v>0</v>
      </c>
      <c r="BN38" s="9" t="str">
        <f t="shared" si="4"/>
        <v>0</v>
      </c>
      <c r="BO38" s="50">
        <v>0</v>
      </c>
      <c r="BP38" s="62">
        <v>2</v>
      </c>
      <c r="BQ38" s="27">
        <f t="shared" si="5"/>
        <v>1</v>
      </c>
      <c r="BR38" s="9">
        <v>0</v>
      </c>
      <c r="BS38" s="9">
        <v>0</v>
      </c>
      <c r="BT38" s="9">
        <v>0</v>
      </c>
      <c r="BU38" s="27">
        <f t="shared" si="6"/>
        <v>0</v>
      </c>
      <c r="BV38" s="9"/>
      <c r="BW38" s="2">
        <f t="shared" si="7"/>
        <v>1</v>
      </c>
    </row>
    <row r="39" spans="1:75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>
        <v>21</v>
      </c>
      <c r="BC39" s="9"/>
      <c r="BD39" s="9">
        <f t="shared" si="0"/>
        <v>21</v>
      </c>
      <c r="BE39" s="9">
        <v>30</v>
      </c>
      <c r="BF39" s="2">
        <f t="shared" si="1"/>
        <v>70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9">
        <f t="shared" ref="BK39:BL39" si="39">BD39</f>
        <v>21</v>
      </c>
      <c r="BL39" s="9">
        <f t="shared" si="39"/>
        <v>30</v>
      </c>
      <c r="BM39" s="2">
        <f t="shared" si="3"/>
        <v>70</v>
      </c>
      <c r="BN39" s="9" t="str">
        <f t="shared" si="4"/>
        <v>0</v>
      </c>
      <c r="BO39" s="61">
        <v>13</v>
      </c>
      <c r="BP39" s="62">
        <v>22</v>
      </c>
      <c r="BQ39" s="27">
        <f t="shared" si="5"/>
        <v>17.5</v>
      </c>
      <c r="BR39" s="9">
        <v>9</v>
      </c>
      <c r="BS39" s="9">
        <v>10</v>
      </c>
      <c r="BT39" s="9">
        <v>8</v>
      </c>
      <c r="BU39" s="27">
        <f t="shared" si="6"/>
        <v>9</v>
      </c>
      <c r="BV39" s="9">
        <v>5</v>
      </c>
      <c r="BW39" s="2">
        <f t="shared" si="7"/>
        <v>31.5</v>
      </c>
    </row>
    <row r="40" spans="1:75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f>COUNTIF(D40:BA40,"P")</f>
        <v>0</v>
      </c>
      <c r="BC40" s="9"/>
      <c r="BD40" s="9">
        <f t="shared" si="0"/>
        <v>0</v>
      </c>
      <c r="BE40" s="9">
        <v>30</v>
      </c>
      <c r="BF40" s="2">
        <f t="shared" si="1"/>
        <v>0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9">
        <f t="shared" ref="BK40:BL40" si="40">BD40</f>
        <v>0</v>
      </c>
      <c r="BL40" s="9">
        <f t="shared" si="40"/>
        <v>30</v>
      </c>
      <c r="BM40" s="2">
        <f t="shared" si="3"/>
        <v>0</v>
      </c>
      <c r="BN40" s="9" t="str">
        <f t="shared" si="4"/>
        <v>0</v>
      </c>
      <c r="BO40" s="50">
        <v>0</v>
      </c>
      <c r="BP40" s="49">
        <v>0</v>
      </c>
      <c r="BQ40" s="27">
        <f t="shared" si="5"/>
        <v>0</v>
      </c>
      <c r="BR40" s="9">
        <v>0</v>
      </c>
      <c r="BS40" s="9">
        <v>0</v>
      </c>
      <c r="BT40" s="9">
        <v>0</v>
      </c>
      <c r="BU40" s="27">
        <f t="shared" si="6"/>
        <v>0</v>
      </c>
      <c r="BV40" s="9"/>
      <c r="BW40" s="2">
        <f t="shared" si="7"/>
        <v>0</v>
      </c>
    </row>
    <row r="41" spans="1:75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>
        <v>26</v>
      </c>
      <c r="BC41" s="9"/>
      <c r="BD41" s="9">
        <f t="shared" si="0"/>
        <v>26</v>
      </c>
      <c r="BE41" s="9">
        <v>30</v>
      </c>
      <c r="BF41" s="2">
        <f t="shared" si="1"/>
        <v>86.666666666666671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9">
        <f t="shared" ref="BK41:BL41" si="41">BD41</f>
        <v>26</v>
      </c>
      <c r="BL41" s="9">
        <f t="shared" si="41"/>
        <v>30</v>
      </c>
      <c r="BM41" s="2">
        <f t="shared" si="3"/>
        <v>86.666666666666671</v>
      </c>
      <c r="BN41" s="9" t="str">
        <f t="shared" si="4"/>
        <v>4</v>
      </c>
      <c r="BO41" s="61">
        <v>14</v>
      </c>
      <c r="BP41" s="62">
        <v>21</v>
      </c>
      <c r="BQ41" s="27">
        <f t="shared" si="5"/>
        <v>17.5</v>
      </c>
      <c r="BR41" s="9">
        <v>10</v>
      </c>
      <c r="BS41" s="9">
        <v>10</v>
      </c>
      <c r="BT41" s="9">
        <v>9</v>
      </c>
      <c r="BU41" s="27">
        <f t="shared" si="6"/>
        <v>9.6666666666666661</v>
      </c>
      <c r="BV41" s="9">
        <v>5</v>
      </c>
      <c r="BW41" s="2">
        <f t="shared" si="7"/>
        <v>36.166666666666664</v>
      </c>
    </row>
    <row r="42" spans="1:75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>
        <v>28</v>
      </c>
      <c r="BC42" s="9"/>
      <c r="BD42" s="9">
        <f t="shared" si="0"/>
        <v>28</v>
      </c>
      <c r="BE42" s="9">
        <v>30</v>
      </c>
      <c r="BF42" s="2">
        <f t="shared" si="1"/>
        <v>93.333333333333329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9">
        <f t="shared" ref="BK42:BL42" si="42">BD42</f>
        <v>28</v>
      </c>
      <c r="BL42" s="9">
        <f t="shared" si="42"/>
        <v>30</v>
      </c>
      <c r="BM42" s="2">
        <f t="shared" si="3"/>
        <v>93.333333333333329</v>
      </c>
      <c r="BN42" s="9" t="str">
        <f t="shared" si="4"/>
        <v>5</v>
      </c>
      <c r="BO42" s="61">
        <v>18</v>
      </c>
      <c r="BP42" s="62">
        <v>20</v>
      </c>
      <c r="BQ42" s="27">
        <f t="shared" si="5"/>
        <v>19</v>
      </c>
      <c r="BR42" s="9">
        <v>10</v>
      </c>
      <c r="BS42" s="9">
        <v>10</v>
      </c>
      <c r="BT42" s="9">
        <v>9</v>
      </c>
      <c r="BU42" s="27">
        <f t="shared" si="6"/>
        <v>9.6666666666666661</v>
      </c>
      <c r="BV42" s="9">
        <v>2</v>
      </c>
      <c r="BW42" s="2">
        <f t="shared" si="7"/>
        <v>35.666666666666664</v>
      </c>
    </row>
    <row r="43" spans="1:75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>
        <v>27</v>
      </c>
      <c r="BC43" s="9"/>
      <c r="BD43" s="9">
        <f t="shared" si="0"/>
        <v>27</v>
      </c>
      <c r="BE43" s="9">
        <v>30</v>
      </c>
      <c r="BF43" s="2">
        <f t="shared" si="1"/>
        <v>90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9">
        <f t="shared" ref="BK43:BL43" si="43">BD43</f>
        <v>27</v>
      </c>
      <c r="BL43" s="9">
        <f t="shared" si="43"/>
        <v>30</v>
      </c>
      <c r="BM43" s="2">
        <f t="shared" si="3"/>
        <v>90</v>
      </c>
      <c r="BN43" s="9" t="str">
        <f t="shared" si="4"/>
        <v>4</v>
      </c>
      <c r="BO43" s="61">
        <v>21</v>
      </c>
      <c r="BP43" s="62">
        <v>19</v>
      </c>
      <c r="BQ43" s="27">
        <f t="shared" si="5"/>
        <v>20</v>
      </c>
      <c r="BR43" s="9">
        <v>10</v>
      </c>
      <c r="BS43" s="9">
        <v>10</v>
      </c>
      <c r="BT43" s="9">
        <v>10</v>
      </c>
      <c r="BU43" s="27">
        <f t="shared" si="6"/>
        <v>10</v>
      </c>
      <c r="BV43" s="9">
        <v>2</v>
      </c>
      <c r="BW43" s="2">
        <f t="shared" si="7"/>
        <v>36</v>
      </c>
    </row>
    <row r="44" spans="1:75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v>27</v>
      </c>
      <c r="BC44" s="9"/>
      <c r="BD44" s="9">
        <f t="shared" si="0"/>
        <v>27</v>
      </c>
      <c r="BE44" s="9">
        <v>30</v>
      </c>
      <c r="BF44" s="2">
        <f t="shared" si="1"/>
        <v>90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9">
        <f t="shared" ref="BK44:BL44" si="44">BD44</f>
        <v>27</v>
      </c>
      <c r="BL44" s="9">
        <f t="shared" si="44"/>
        <v>30</v>
      </c>
      <c r="BM44" s="2">
        <f t="shared" si="3"/>
        <v>90</v>
      </c>
      <c r="BN44" s="9" t="str">
        <f t="shared" si="4"/>
        <v>4</v>
      </c>
      <c r="BO44" s="61">
        <v>17</v>
      </c>
      <c r="BP44" s="62">
        <v>23</v>
      </c>
      <c r="BQ44" s="27">
        <f t="shared" si="5"/>
        <v>20</v>
      </c>
      <c r="BR44" s="9">
        <v>10</v>
      </c>
      <c r="BS44" s="9">
        <v>10</v>
      </c>
      <c r="BT44" s="9">
        <v>10</v>
      </c>
      <c r="BU44" s="27">
        <f t="shared" si="6"/>
        <v>10</v>
      </c>
      <c r="BV44" s="9">
        <v>2</v>
      </c>
      <c r="BW44" s="2">
        <f t="shared" si="7"/>
        <v>36</v>
      </c>
    </row>
    <row r="45" spans="1:75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v>22</v>
      </c>
      <c r="BC45" s="9"/>
      <c r="BD45" s="9">
        <f t="shared" si="0"/>
        <v>22</v>
      </c>
      <c r="BE45" s="9">
        <v>30</v>
      </c>
      <c r="BF45" s="2">
        <f t="shared" si="1"/>
        <v>73.333333333333329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9">
        <f t="shared" ref="BK45:BL45" si="45">BD45</f>
        <v>22</v>
      </c>
      <c r="BL45" s="9">
        <f t="shared" si="45"/>
        <v>30</v>
      </c>
      <c r="BM45" s="2">
        <f t="shared" si="3"/>
        <v>73.333333333333329</v>
      </c>
      <c r="BN45" s="9" t="str">
        <f t="shared" si="4"/>
        <v>0</v>
      </c>
      <c r="BO45" s="61">
        <v>10</v>
      </c>
      <c r="BP45" s="62">
        <v>17</v>
      </c>
      <c r="BQ45" s="27">
        <f t="shared" si="5"/>
        <v>13.5</v>
      </c>
      <c r="BR45" s="9">
        <v>9</v>
      </c>
      <c r="BS45" s="9">
        <v>10</v>
      </c>
      <c r="BT45" s="9">
        <v>9</v>
      </c>
      <c r="BU45" s="27">
        <f t="shared" si="6"/>
        <v>9.3333333333333339</v>
      </c>
      <c r="BV45" s="9">
        <v>5</v>
      </c>
      <c r="BW45" s="2">
        <f t="shared" si="7"/>
        <v>27.833333333333336</v>
      </c>
    </row>
    <row r="46" spans="1:75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v>29</v>
      </c>
      <c r="BC46" s="9"/>
      <c r="BD46" s="9">
        <f t="shared" si="0"/>
        <v>29</v>
      </c>
      <c r="BE46" s="9">
        <v>30</v>
      </c>
      <c r="BF46" s="2">
        <f t="shared" si="1"/>
        <v>96.666666666666671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9">
        <f t="shared" ref="BK46:BL46" si="46">BD46</f>
        <v>29</v>
      </c>
      <c r="BL46" s="9">
        <f t="shared" si="46"/>
        <v>30</v>
      </c>
      <c r="BM46" s="2">
        <f t="shared" si="3"/>
        <v>96.666666666666671</v>
      </c>
      <c r="BN46" s="9" t="str">
        <f t="shared" si="4"/>
        <v>6</v>
      </c>
      <c r="BO46" s="61">
        <v>15</v>
      </c>
      <c r="BP46" s="62">
        <v>17</v>
      </c>
      <c r="BQ46" s="27">
        <f t="shared" si="5"/>
        <v>16</v>
      </c>
      <c r="BR46" s="9">
        <v>10</v>
      </c>
      <c r="BS46" s="9">
        <v>10</v>
      </c>
      <c r="BT46" s="9">
        <v>8</v>
      </c>
      <c r="BU46" s="27">
        <f t="shared" si="6"/>
        <v>9.3333333333333339</v>
      </c>
      <c r="BV46" s="9">
        <v>5</v>
      </c>
      <c r="BW46" s="2">
        <f t="shared" si="7"/>
        <v>36.333333333333336</v>
      </c>
    </row>
    <row r="47" spans="1:75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v>21</v>
      </c>
      <c r="BC47" s="9"/>
      <c r="BD47" s="9">
        <f t="shared" si="0"/>
        <v>21</v>
      </c>
      <c r="BE47" s="9">
        <v>30</v>
      </c>
      <c r="BF47" s="2">
        <f t="shared" si="1"/>
        <v>70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9">
        <f t="shared" ref="BK47:BL47" si="47">BD47</f>
        <v>21</v>
      </c>
      <c r="BL47" s="9">
        <f t="shared" si="47"/>
        <v>30</v>
      </c>
      <c r="BM47" s="2">
        <f t="shared" si="3"/>
        <v>70</v>
      </c>
      <c r="BN47" s="9" t="str">
        <f t="shared" si="4"/>
        <v>0</v>
      </c>
      <c r="BO47" s="61">
        <v>11</v>
      </c>
      <c r="BP47" s="62">
        <v>22</v>
      </c>
      <c r="BQ47" s="27">
        <f t="shared" si="5"/>
        <v>16.5</v>
      </c>
      <c r="BR47" s="9">
        <v>10</v>
      </c>
      <c r="BS47" s="9">
        <v>10</v>
      </c>
      <c r="BT47" s="9">
        <v>9</v>
      </c>
      <c r="BU47" s="27">
        <f t="shared" si="6"/>
        <v>9.6666666666666661</v>
      </c>
      <c r="BV47" s="9"/>
      <c r="BW47" s="2">
        <f t="shared" si="7"/>
        <v>26.166666666666664</v>
      </c>
    </row>
    <row r="48" spans="1:75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v>23</v>
      </c>
      <c r="BC48" s="9"/>
      <c r="BD48" s="9">
        <f t="shared" si="0"/>
        <v>23</v>
      </c>
      <c r="BE48" s="9">
        <v>30</v>
      </c>
      <c r="BF48" s="2">
        <f t="shared" si="1"/>
        <v>76.666666666666671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9">
        <f t="shared" ref="BK48:BL48" si="48">BD48</f>
        <v>23</v>
      </c>
      <c r="BL48" s="9">
        <f t="shared" si="48"/>
        <v>30</v>
      </c>
      <c r="BM48" s="2">
        <f t="shared" si="3"/>
        <v>76.666666666666671</v>
      </c>
      <c r="BN48" s="9" t="str">
        <f t="shared" si="4"/>
        <v>2</v>
      </c>
      <c r="BO48" s="61">
        <v>20</v>
      </c>
      <c r="BP48" s="62">
        <v>21</v>
      </c>
      <c r="BQ48" s="27">
        <f t="shared" si="5"/>
        <v>20.5</v>
      </c>
      <c r="BR48" s="9">
        <v>8</v>
      </c>
      <c r="BS48" s="9">
        <v>8</v>
      </c>
      <c r="BT48" s="9">
        <v>9</v>
      </c>
      <c r="BU48" s="27">
        <f t="shared" si="6"/>
        <v>8.3333333333333339</v>
      </c>
      <c r="BV48" s="9">
        <v>5</v>
      </c>
      <c r="BW48" s="2">
        <f t="shared" si="7"/>
        <v>35.833333333333336</v>
      </c>
    </row>
    <row r="49" spans="1:75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v>22</v>
      </c>
      <c r="BC49" s="9"/>
      <c r="BD49" s="9">
        <f t="shared" si="0"/>
        <v>22</v>
      </c>
      <c r="BE49" s="9">
        <v>30</v>
      </c>
      <c r="BF49" s="2">
        <f t="shared" si="1"/>
        <v>73.333333333333329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9">
        <f t="shared" ref="BK49:BL49" si="49">BD49</f>
        <v>22</v>
      </c>
      <c r="BL49" s="9">
        <f t="shared" si="49"/>
        <v>30</v>
      </c>
      <c r="BM49" s="2">
        <f t="shared" si="3"/>
        <v>73.333333333333329</v>
      </c>
      <c r="BN49" s="9" t="str">
        <f t="shared" si="4"/>
        <v>0</v>
      </c>
      <c r="BO49" s="61">
        <v>14</v>
      </c>
      <c r="BP49" s="62">
        <v>16</v>
      </c>
      <c r="BQ49" s="27">
        <f t="shared" si="5"/>
        <v>15</v>
      </c>
      <c r="BR49" s="9">
        <v>8</v>
      </c>
      <c r="BS49" s="9">
        <v>8</v>
      </c>
      <c r="BT49" s="9">
        <v>8</v>
      </c>
      <c r="BU49" s="27">
        <f t="shared" si="6"/>
        <v>8</v>
      </c>
      <c r="BV49" s="9"/>
      <c r="BW49" s="2">
        <f t="shared" si="7"/>
        <v>23</v>
      </c>
    </row>
    <row r="50" spans="1:75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v>23</v>
      </c>
      <c r="BC50" s="9"/>
      <c r="BD50" s="9">
        <f t="shared" si="0"/>
        <v>23</v>
      </c>
      <c r="BE50" s="9">
        <v>30</v>
      </c>
      <c r="BF50" s="2">
        <f t="shared" si="1"/>
        <v>76.666666666666671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9">
        <f t="shared" ref="BK50:BL50" si="50">BD50</f>
        <v>23</v>
      </c>
      <c r="BL50" s="9">
        <f t="shared" si="50"/>
        <v>30</v>
      </c>
      <c r="BM50" s="2">
        <f t="shared" si="3"/>
        <v>76.666666666666671</v>
      </c>
      <c r="BN50" s="9" t="str">
        <f t="shared" si="4"/>
        <v>2</v>
      </c>
      <c r="BO50" s="61">
        <v>15</v>
      </c>
      <c r="BP50" s="62">
        <v>16</v>
      </c>
      <c r="BQ50" s="27">
        <f t="shared" si="5"/>
        <v>15.5</v>
      </c>
      <c r="BR50" s="9">
        <v>10</v>
      </c>
      <c r="BS50" s="9">
        <v>10</v>
      </c>
      <c r="BT50" s="9">
        <v>8</v>
      </c>
      <c r="BU50" s="27">
        <f t="shared" si="6"/>
        <v>9.3333333333333339</v>
      </c>
      <c r="BV50" s="9">
        <v>5</v>
      </c>
      <c r="BW50" s="2">
        <f t="shared" si="7"/>
        <v>31.833333333333336</v>
      </c>
    </row>
    <row r="51" spans="1:75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v>13</v>
      </c>
      <c r="BC51" s="9"/>
      <c r="BD51" s="9">
        <f t="shared" si="0"/>
        <v>13</v>
      </c>
      <c r="BE51" s="9">
        <v>30</v>
      </c>
      <c r="BF51" s="2">
        <f t="shared" si="1"/>
        <v>43.333333333333336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9">
        <f t="shared" ref="BK51:BL51" si="51">BD51</f>
        <v>13</v>
      </c>
      <c r="BL51" s="9">
        <f t="shared" si="51"/>
        <v>30</v>
      </c>
      <c r="BM51" s="2">
        <f t="shared" si="3"/>
        <v>43.333333333333336</v>
      </c>
      <c r="BN51" s="9" t="str">
        <f t="shared" si="4"/>
        <v>0</v>
      </c>
      <c r="BO51" s="61">
        <v>3</v>
      </c>
      <c r="BP51" s="62">
        <v>18</v>
      </c>
      <c r="BQ51" s="27">
        <f t="shared" si="5"/>
        <v>10.5</v>
      </c>
      <c r="BR51" s="9">
        <v>9</v>
      </c>
      <c r="BS51" s="9">
        <v>8</v>
      </c>
      <c r="BT51" s="9">
        <v>8</v>
      </c>
      <c r="BU51" s="27">
        <f t="shared" si="6"/>
        <v>8.3333333333333339</v>
      </c>
      <c r="BV51" s="9">
        <v>5</v>
      </c>
      <c r="BW51" s="2">
        <f t="shared" si="7"/>
        <v>23.833333333333336</v>
      </c>
    </row>
    <row r="52" spans="1:75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v>19</v>
      </c>
      <c r="BC52" s="9"/>
      <c r="BD52" s="9">
        <f t="shared" si="0"/>
        <v>19</v>
      </c>
      <c r="BE52" s="9">
        <v>30</v>
      </c>
      <c r="BF52" s="2">
        <f t="shared" si="1"/>
        <v>63.333333333333329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9">
        <f t="shared" ref="BK52:BL52" si="52">BD52</f>
        <v>19</v>
      </c>
      <c r="BL52" s="9">
        <f t="shared" si="52"/>
        <v>30</v>
      </c>
      <c r="BM52" s="2">
        <f t="shared" si="3"/>
        <v>63.333333333333329</v>
      </c>
      <c r="BN52" s="9" t="str">
        <f t="shared" si="4"/>
        <v>0</v>
      </c>
      <c r="BO52" s="61">
        <v>5</v>
      </c>
      <c r="BP52" s="62">
        <v>21</v>
      </c>
      <c r="BQ52" s="27">
        <f t="shared" si="5"/>
        <v>13</v>
      </c>
      <c r="BR52" s="9">
        <v>9</v>
      </c>
      <c r="BS52" s="9">
        <v>10</v>
      </c>
      <c r="BT52" s="9">
        <v>9</v>
      </c>
      <c r="BU52" s="27">
        <f t="shared" si="6"/>
        <v>9.3333333333333339</v>
      </c>
      <c r="BV52" s="9"/>
      <c r="BW52" s="2">
        <f t="shared" si="7"/>
        <v>22.333333333333336</v>
      </c>
    </row>
    <row r="53" spans="1:75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v>14</v>
      </c>
      <c r="BC53" s="9"/>
      <c r="BD53" s="9">
        <f t="shared" si="0"/>
        <v>14</v>
      </c>
      <c r="BE53" s="9">
        <v>30</v>
      </c>
      <c r="BF53" s="2">
        <f t="shared" si="1"/>
        <v>46.666666666666664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9">
        <f t="shared" ref="BK53:BL53" si="53">BD53</f>
        <v>14</v>
      </c>
      <c r="BL53" s="9">
        <f t="shared" si="53"/>
        <v>30</v>
      </c>
      <c r="BM53" s="2">
        <f t="shared" si="3"/>
        <v>46.666666666666664</v>
      </c>
      <c r="BN53" s="9" t="str">
        <f t="shared" si="4"/>
        <v>0</v>
      </c>
      <c r="BO53" s="61">
        <v>12</v>
      </c>
      <c r="BP53" s="62">
        <v>21</v>
      </c>
      <c r="BQ53" s="27">
        <f t="shared" si="5"/>
        <v>16.5</v>
      </c>
      <c r="BR53" s="9">
        <v>9</v>
      </c>
      <c r="BS53" s="9">
        <v>8</v>
      </c>
      <c r="BT53" s="9">
        <v>8</v>
      </c>
      <c r="BU53" s="27">
        <f t="shared" si="6"/>
        <v>8.3333333333333339</v>
      </c>
      <c r="BV53" s="9"/>
      <c r="BW53" s="2">
        <f t="shared" si="7"/>
        <v>24.833333333333336</v>
      </c>
    </row>
    <row r="54" spans="1:75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v>28</v>
      </c>
      <c r="BC54" s="9"/>
      <c r="BD54" s="9">
        <f t="shared" si="0"/>
        <v>28</v>
      </c>
      <c r="BE54" s="9">
        <v>30</v>
      </c>
      <c r="BF54" s="2">
        <f t="shared" si="1"/>
        <v>93.333333333333329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9">
        <f t="shared" ref="BK54:BL54" si="54">BD54</f>
        <v>28</v>
      </c>
      <c r="BL54" s="9">
        <f t="shared" si="54"/>
        <v>30</v>
      </c>
      <c r="BM54" s="2">
        <f t="shared" si="3"/>
        <v>93.333333333333329</v>
      </c>
      <c r="BN54" s="9" t="str">
        <f t="shared" si="4"/>
        <v>5</v>
      </c>
      <c r="BO54" s="61">
        <v>15</v>
      </c>
      <c r="BP54" s="62">
        <v>15</v>
      </c>
      <c r="BQ54" s="27">
        <f t="shared" si="5"/>
        <v>15</v>
      </c>
      <c r="BR54" s="9">
        <v>10</v>
      </c>
      <c r="BS54" s="9">
        <v>9</v>
      </c>
      <c r="BT54" s="9">
        <v>8</v>
      </c>
      <c r="BU54" s="27">
        <f t="shared" si="6"/>
        <v>9</v>
      </c>
      <c r="BV54" s="9">
        <v>5</v>
      </c>
      <c r="BW54" s="2">
        <f t="shared" si="7"/>
        <v>34</v>
      </c>
    </row>
    <row r="55" spans="1:75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v>22</v>
      </c>
      <c r="BC55" s="9"/>
      <c r="BD55" s="9">
        <f t="shared" si="0"/>
        <v>22</v>
      </c>
      <c r="BE55" s="9">
        <v>30</v>
      </c>
      <c r="BF55" s="2">
        <f t="shared" si="1"/>
        <v>73.333333333333329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9">
        <f t="shared" ref="BK55:BL55" si="55">BD55</f>
        <v>22</v>
      </c>
      <c r="BL55" s="9">
        <f t="shared" si="55"/>
        <v>30</v>
      </c>
      <c r="BM55" s="2">
        <f t="shared" si="3"/>
        <v>73.333333333333329</v>
      </c>
      <c r="BN55" s="9" t="str">
        <f t="shared" si="4"/>
        <v>0</v>
      </c>
      <c r="BO55" s="61">
        <v>14</v>
      </c>
      <c r="BP55" s="62">
        <v>20</v>
      </c>
      <c r="BQ55" s="27">
        <f t="shared" si="5"/>
        <v>17</v>
      </c>
      <c r="BR55" s="9">
        <v>9</v>
      </c>
      <c r="BS55" s="9">
        <v>9</v>
      </c>
      <c r="BT55" s="9">
        <v>9</v>
      </c>
      <c r="BU55" s="27">
        <f t="shared" si="6"/>
        <v>9</v>
      </c>
      <c r="BV55" s="9"/>
      <c r="BW55" s="2">
        <f t="shared" si="7"/>
        <v>26</v>
      </c>
    </row>
    <row r="56" spans="1:75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v>19</v>
      </c>
      <c r="BC56" s="9"/>
      <c r="BD56" s="9">
        <f t="shared" si="0"/>
        <v>19</v>
      </c>
      <c r="BE56" s="9">
        <v>30</v>
      </c>
      <c r="BF56" s="2">
        <f t="shared" si="1"/>
        <v>63.333333333333329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9">
        <f t="shared" ref="BK56:BL56" si="56">BD56</f>
        <v>19</v>
      </c>
      <c r="BL56" s="9">
        <f t="shared" si="56"/>
        <v>30</v>
      </c>
      <c r="BM56" s="2">
        <f t="shared" si="3"/>
        <v>63.333333333333329</v>
      </c>
      <c r="BN56" s="9" t="str">
        <f t="shared" si="4"/>
        <v>0</v>
      </c>
      <c r="BO56" s="61">
        <v>5</v>
      </c>
      <c r="BP56" s="62">
        <v>21</v>
      </c>
      <c r="BQ56" s="27">
        <f t="shared" si="5"/>
        <v>13</v>
      </c>
      <c r="BR56" s="9">
        <v>8</v>
      </c>
      <c r="BS56" s="9">
        <v>8</v>
      </c>
      <c r="BT56" s="9">
        <v>5</v>
      </c>
      <c r="BU56" s="27">
        <f t="shared" si="6"/>
        <v>7</v>
      </c>
      <c r="BV56" s="9"/>
      <c r="BW56" s="2">
        <f t="shared" si="7"/>
        <v>20</v>
      </c>
    </row>
    <row r="57" spans="1:75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v>13</v>
      </c>
      <c r="BC57" s="9"/>
      <c r="BD57" s="9">
        <f t="shared" si="0"/>
        <v>13</v>
      </c>
      <c r="BE57" s="9">
        <v>30</v>
      </c>
      <c r="BF57" s="2">
        <f t="shared" si="1"/>
        <v>43.333333333333336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9">
        <f t="shared" ref="BK57:BL57" si="57">BD57</f>
        <v>13</v>
      </c>
      <c r="BL57" s="9">
        <f t="shared" si="57"/>
        <v>30</v>
      </c>
      <c r="BM57" s="2">
        <f t="shared" si="3"/>
        <v>43.333333333333336</v>
      </c>
      <c r="BN57" s="9" t="str">
        <f t="shared" si="4"/>
        <v>0</v>
      </c>
      <c r="BO57" s="61">
        <v>5</v>
      </c>
      <c r="BP57" s="62">
        <v>10</v>
      </c>
      <c r="BQ57" s="27">
        <f t="shared" si="5"/>
        <v>7.5</v>
      </c>
      <c r="BR57" s="9">
        <v>7</v>
      </c>
      <c r="BS57" s="9">
        <v>7</v>
      </c>
      <c r="BT57" s="9">
        <v>7</v>
      </c>
      <c r="BU57" s="27">
        <f t="shared" si="6"/>
        <v>7</v>
      </c>
      <c r="BV57" s="9">
        <v>5</v>
      </c>
      <c r="BW57" s="2">
        <f t="shared" si="7"/>
        <v>19.5</v>
      </c>
    </row>
    <row r="58" spans="1:75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v>17</v>
      </c>
      <c r="BC58" s="9"/>
      <c r="BD58" s="9">
        <f t="shared" si="0"/>
        <v>17</v>
      </c>
      <c r="BE58" s="9">
        <v>30</v>
      </c>
      <c r="BF58" s="2">
        <f t="shared" si="1"/>
        <v>56.666666666666664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9">
        <f t="shared" ref="BK58:BL58" si="58">BD58</f>
        <v>17</v>
      </c>
      <c r="BL58" s="9">
        <f t="shared" si="58"/>
        <v>30</v>
      </c>
      <c r="BM58" s="2">
        <f t="shared" si="3"/>
        <v>56.666666666666664</v>
      </c>
      <c r="BN58" s="9" t="str">
        <f t="shared" si="4"/>
        <v>0</v>
      </c>
      <c r="BO58" s="61">
        <v>18</v>
      </c>
      <c r="BP58" s="62">
        <v>23</v>
      </c>
      <c r="BQ58" s="27">
        <f t="shared" si="5"/>
        <v>20.5</v>
      </c>
      <c r="BR58" s="9">
        <v>8</v>
      </c>
      <c r="BS58" s="9">
        <v>8</v>
      </c>
      <c r="BT58" s="9">
        <v>8</v>
      </c>
      <c r="BU58" s="27">
        <f t="shared" si="6"/>
        <v>8</v>
      </c>
      <c r="BV58" s="9">
        <v>5</v>
      </c>
      <c r="BW58" s="2">
        <f t="shared" si="7"/>
        <v>33.5</v>
      </c>
    </row>
    <row r="59" spans="1:75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v>21</v>
      </c>
      <c r="BC59" s="9"/>
      <c r="BD59" s="9">
        <f t="shared" si="0"/>
        <v>21</v>
      </c>
      <c r="BE59" s="9">
        <v>30</v>
      </c>
      <c r="BF59" s="2">
        <f t="shared" si="1"/>
        <v>70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9">
        <f t="shared" ref="BK59:BL59" si="59">BD59</f>
        <v>21</v>
      </c>
      <c r="BL59" s="9">
        <f t="shared" si="59"/>
        <v>30</v>
      </c>
      <c r="BM59" s="2">
        <f t="shared" si="3"/>
        <v>70</v>
      </c>
      <c r="BN59" s="9" t="str">
        <f t="shared" si="4"/>
        <v>0</v>
      </c>
      <c r="BO59" s="61">
        <v>20</v>
      </c>
      <c r="BP59" s="62">
        <v>12</v>
      </c>
      <c r="BQ59" s="27">
        <f t="shared" si="5"/>
        <v>16</v>
      </c>
      <c r="BR59" s="9">
        <v>9</v>
      </c>
      <c r="BS59" s="9">
        <v>10</v>
      </c>
      <c r="BT59" s="9">
        <v>9</v>
      </c>
      <c r="BU59" s="27">
        <f t="shared" si="6"/>
        <v>9.3333333333333339</v>
      </c>
      <c r="BV59" s="9"/>
      <c r="BW59" s="2">
        <f t="shared" si="7"/>
        <v>25.333333333333336</v>
      </c>
    </row>
    <row r="60" spans="1:75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v>29</v>
      </c>
      <c r="BC60" s="9"/>
      <c r="BD60" s="9">
        <f t="shared" si="0"/>
        <v>29</v>
      </c>
      <c r="BE60" s="9">
        <v>30</v>
      </c>
      <c r="BF60" s="2">
        <f t="shared" si="1"/>
        <v>96.666666666666671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9">
        <f t="shared" ref="BK60:BL60" si="60">BD60</f>
        <v>29</v>
      </c>
      <c r="BL60" s="9">
        <f t="shared" si="60"/>
        <v>30</v>
      </c>
      <c r="BM60" s="2">
        <f t="shared" si="3"/>
        <v>96.666666666666671</v>
      </c>
      <c r="BN60" s="9" t="str">
        <f t="shared" si="4"/>
        <v>6</v>
      </c>
      <c r="BO60" s="61">
        <v>19</v>
      </c>
      <c r="BP60" s="62">
        <v>22</v>
      </c>
      <c r="BQ60" s="27">
        <f t="shared" si="5"/>
        <v>20.5</v>
      </c>
      <c r="BR60" s="9">
        <v>9</v>
      </c>
      <c r="BS60" s="9">
        <v>10</v>
      </c>
      <c r="BT60" s="9">
        <v>9</v>
      </c>
      <c r="BU60" s="27">
        <f t="shared" si="6"/>
        <v>9.3333333333333339</v>
      </c>
      <c r="BV60" s="9"/>
      <c r="BW60" s="2">
        <f t="shared" si="7"/>
        <v>35.833333333333336</v>
      </c>
    </row>
    <row r="61" spans="1:75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v>19</v>
      </c>
      <c r="BC61" s="9"/>
      <c r="BD61" s="9">
        <f t="shared" si="0"/>
        <v>19</v>
      </c>
      <c r="BE61" s="9">
        <v>30</v>
      </c>
      <c r="BF61" s="2">
        <f t="shared" si="1"/>
        <v>63.333333333333329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9">
        <f t="shared" ref="BK61:BL61" si="61">BD61</f>
        <v>19</v>
      </c>
      <c r="BL61" s="9">
        <f t="shared" si="61"/>
        <v>30</v>
      </c>
      <c r="BM61" s="2">
        <f t="shared" si="3"/>
        <v>63.333333333333329</v>
      </c>
      <c r="BN61" s="9" t="str">
        <f t="shared" si="4"/>
        <v>0</v>
      </c>
      <c r="BO61" s="61">
        <v>11</v>
      </c>
      <c r="BP61" s="62">
        <v>15</v>
      </c>
      <c r="BQ61" s="27">
        <f t="shared" si="5"/>
        <v>13</v>
      </c>
      <c r="BR61" s="9">
        <v>10</v>
      </c>
      <c r="BS61" s="9">
        <v>8</v>
      </c>
      <c r="BT61" s="9">
        <v>8</v>
      </c>
      <c r="BU61" s="27">
        <f t="shared" si="6"/>
        <v>8.6666666666666661</v>
      </c>
      <c r="BV61" s="9"/>
      <c r="BW61" s="2">
        <f t="shared" si="7"/>
        <v>21.666666666666664</v>
      </c>
    </row>
    <row r="62" spans="1:75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v>24</v>
      </c>
      <c r="BC62" s="9"/>
      <c r="BD62" s="9">
        <f t="shared" si="0"/>
        <v>24</v>
      </c>
      <c r="BE62" s="9">
        <v>30</v>
      </c>
      <c r="BF62" s="2">
        <f t="shared" si="1"/>
        <v>80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9">
        <f t="shared" ref="BK62:BL62" si="62">BD62</f>
        <v>24</v>
      </c>
      <c r="BL62" s="9">
        <f t="shared" si="62"/>
        <v>30</v>
      </c>
      <c r="BM62" s="2">
        <f t="shared" si="3"/>
        <v>80</v>
      </c>
      <c r="BN62" s="9" t="str">
        <f t="shared" si="4"/>
        <v>2</v>
      </c>
      <c r="BO62" s="61">
        <v>14</v>
      </c>
      <c r="BP62" s="62">
        <v>19</v>
      </c>
      <c r="BQ62" s="27">
        <f t="shared" si="5"/>
        <v>16.5</v>
      </c>
      <c r="BR62" s="9">
        <v>9</v>
      </c>
      <c r="BS62" s="9">
        <v>9</v>
      </c>
      <c r="BT62" s="9">
        <v>10</v>
      </c>
      <c r="BU62" s="27">
        <f t="shared" si="6"/>
        <v>9.3333333333333339</v>
      </c>
      <c r="BV62" s="9"/>
      <c r="BW62" s="2">
        <f t="shared" si="7"/>
        <v>27.833333333333336</v>
      </c>
    </row>
    <row r="63" spans="1:75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v>12</v>
      </c>
      <c r="BC63" s="9"/>
      <c r="BD63" s="9">
        <f t="shared" si="0"/>
        <v>12</v>
      </c>
      <c r="BE63" s="9">
        <v>30</v>
      </c>
      <c r="BF63" s="2">
        <f t="shared" si="1"/>
        <v>40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9">
        <f t="shared" ref="BK63:BL63" si="63">BD63</f>
        <v>12</v>
      </c>
      <c r="BL63" s="9">
        <f t="shared" si="63"/>
        <v>30</v>
      </c>
      <c r="BM63" s="2">
        <f t="shared" si="3"/>
        <v>40</v>
      </c>
      <c r="BN63" s="9" t="str">
        <f t="shared" si="4"/>
        <v>0</v>
      </c>
      <c r="BO63" s="61">
        <v>12</v>
      </c>
      <c r="BP63" s="62">
        <v>14</v>
      </c>
      <c r="BQ63" s="27">
        <f t="shared" si="5"/>
        <v>13</v>
      </c>
      <c r="BR63" s="9">
        <v>8</v>
      </c>
      <c r="BS63" s="9">
        <v>0</v>
      </c>
      <c r="BT63" s="9">
        <v>8</v>
      </c>
      <c r="BU63" s="27">
        <f t="shared" si="6"/>
        <v>5.333333333333333</v>
      </c>
      <c r="BV63" s="9"/>
      <c r="BW63" s="2">
        <f t="shared" si="7"/>
        <v>18.333333333333332</v>
      </c>
    </row>
    <row r="64" spans="1:75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v>25</v>
      </c>
      <c r="BC64" s="9"/>
      <c r="BD64" s="9">
        <f t="shared" si="0"/>
        <v>25</v>
      </c>
      <c r="BE64" s="9">
        <v>30</v>
      </c>
      <c r="BF64" s="2">
        <f t="shared" si="1"/>
        <v>83.333333333333343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9">
        <f t="shared" ref="BK64:BL64" si="64">BD64</f>
        <v>25</v>
      </c>
      <c r="BL64" s="9">
        <f t="shared" si="64"/>
        <v>30</v>
      </c>
      <c r="BM64" s="2">
        <f t="shared" si="3"/>
        <v>83.333333333333343</v>
      </c>
      <c r="BN64" s="9" t="str">
        <f t="shared" si="4"/>
        <v>3</v>
      </c>
      <c r="BO64" s="61">
        <v>12</v>
      </c>
      <c r="BP64" s="62">
        <v>23</v>
      </c>
      <c r="BQ64" s="27">
        <f t="shared" si="5"/>
        <v>17.5</v>
      </c>
      <c r="BR64" s="9">
        <v>9</v>
      </c>
      <c r="BS64" s="9">
        <v>9</v>
      </c>
      <c r="BT64" s="9">
        <v>9</v>
      </c>
      <c r="BU64" s="27">
        <f t="shared" si="6"/>
        <v>9</v>
      </c>
      <c r="BV64" s="9"/>
      <c r="BW64" s="2">
        <f t="shared" si="7"/>
        <v>29.5</v>
      </c>
    </row>
    <row r="65" spans="1:75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v>25</v>
      </c>
      <c r="BC65" s="9"/>
      <c r="BD65" s="9">
        <f t="shared" si="0"/>
        <v>25</v>
      </c>
      <c r="BE65" s="9">
        <v>30</v>
      </c>
      <c r="BF65" s="2">
        <f t="shared" si="1"/>
        <v>83.333333333333343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9">
        <f t="shared" ref="BK65:BL65" si="65">BD65</f>
        <v>25</v>
      </c>
      <c r="BL65" s="9">
        <f t="shared" si="65"/>
        <v>30</v>
      </c>
      <c r="BM65" s="2">
        <f t="shared" si="3"/>
        <v>83.333333333333343</v>
      </c>
      <c r="BN65" s="9" t="str">
        <f t="shared" si="4"/>
        <v>3</v>
      </c>
      <c r="BO65" s="61">
        <v>14</v>
      </c>
      <c r="BP65" s="62">
        <v>18</v>
      </c>
      <c r="BQ65" s="27">
        <f t="shared" si="5"/>
        <v>16</v>
      </c>
      <c r="BR65" s="9">
        <v>10</v>
      </c>
      <c r="BS65" s="9">
        <v>8</v>
      </c>
      <c r="BT65" s="9">
        <v>9</v>
      </c>
      <c r="BU65" s="27">
        <f t="shared" si="6"/>
        <v>9</v>
      </c>
      <c r="BV65" s="9">
        <v>5</v>
      </c>
      <c r="BW65" s="2">
        <f t="shared" si="7"/>
        <v>33</v>
      </c>
    </row>
    <row r="66" spans="1:75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v>27</v>
      </c>
      <c r="BC66" s="9"/>
      <c r="BD66" s="9">
        <f t="shared" si="0"/>
        <v>27</v>
      </c>
      <c r="BE66" s="9">
        <v>30</v>
      </c>
      <c r="BF66" s="2">
        <f t="shared" si="1"/>
        <v>90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9">
        <f t="shared" ref="BK66:BL66" si="66">BD66</f>
        <v>27</v>
      </c>
      <c r="BL66" s="9">
        <f t="shared" si="66"/>
        <v>30</v>
      </c>
      <c r="BM66" s="2">
        <f t="shared" si="3"/>
        <v>90</v>
      </c>
      <c r="BN66" s="9" t="str">
        <f t="shared" si="4"/>
        <v>4</v>
      </c>
      <c r="BO66" s="61">
        <v>17</v>
      </c>
      <c r="BP66" s="62">
        <v>22</v>
      </c>
      <c r="BQ66" s="27">
        <f t="shared" si="5"/>
        <v>19.5</v>
      </c>
      <c r="BR66" s="9">
        <v>9</v>
      </c>
      <c r="BS66" s="9">
        <v>10</v>
      </c>
      <c r="BT66" s="9">
        <v>10</v>
      </c>
      <c r="BU66" s="27">
        <f t="shared" si="6"/>
        <v>9.6666666666666661</v>
      </c>
      <c r="BV66" s="9"/>
      <c r="BW66" s="2">
        <f t="shared" si="7"/>
        <v>33.166666666666664</v>
      </c>
    </row>
    <row r="67" spans="1:75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v>27</v>
      </c>
      <c r="BC67" s="9"/>
      <c r="BD67" s="9">
        <f t="shared" si="0"/>
        <v>27</v>
      </c>
      <c r="BE67" s="9">
        <v>30</v>
      </c>
      <c r="BF67" s="2">
        <f t="shared" si="1"/>
        <v>90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9">
        <f t="shared" ref="BK67:BL67" si="67">BD67</f>
        <v>27</v>
      </c>
      <c r="BL67" s="9">
        <f t="shared" si="67"/>
        <v>30</v>
      </c>
      <c r="BM67" s="2">
        <f t="shared" si="3"/>
        <v>90</v>
      </c>
      <c r="BN67" s="9" t="str">
        <f t="shared" si="4"/>
        <v>4</v>
      </c>
      <c r="BO67" s="61">
        <v>0</v>
      </c>
      <c r="BP67" s="62">
        <v>18</v>
      </c>
      <c r="BQ67" s="27">
        <f t="shared" si="5"/>
        <v>9</v>
      </c>
      <c r="BR67" s="9">
        <v>9</v>
      </c>
      <c r="BS67" s="9">
        <v>8</v>
      </c>
      <c r="BT67" s="9">
        <v>9</v>
      </c>
      <c r="BU67" s="27">
        <f t="shared" si="6"/>
        <v>8.6666666666666661</v>
      </c>
      <c r="BV67" s="9"/>
      <c r="BW67" s="2">
        <f t="shared" si="7"/>
        <v>21.666666666666664</v>
      </c>
    </row>
    <row r="68" spans="1:75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v>16</v>
      </c>
      <c r="BC68" s="9"/>
      <c r="BD68" s="9">
        <f t="shared" si="0"/>
        <v>16</v>
      </c>
      <c r="BE68" s="9">
        <v>30</v>
      </c>
      <c r="BF68" s="2">
        <f t="shared" si="1"/>
        <v>53.333333333333336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9">
        <f t="shared" ref="BK68:BL68" si="68">BD68</f>
        <v>16</v>
      </c>
      <c r="BL68" s="9">
        <f t="shared" si="68"/>
        <v>30</v>
      </c>
      <c r="BM68" s="2">
        <f t="shared" si="3"/>
        <v>53.333333333333336</v>
      </c>
      <c r="BN68" s="9" t="str">
        <f t="shared" si="4"/>
        <v>0</v>
      </c>
      <c r="BO68" s="61">
        <v>0</v>
      </c>
      <c r="BP68" s="62">
        <v>20</v>
      </c>
      <c r="BQ68" s="27">
        <f t="shared" si="5"/>
        <v>10</v>
      </c>
      <c r="BR68" s="9">
        <v>7</v>
      </c>
      <c r="BS68" s="9">
        <v>7</v>
      </c>
      <c r="BT68" s="9">
        <v>7</v>
      </c>
      <c r="BU68" s="27">
        <f t="shared" si="6"/>
        <v>7</v>
      </c>
      <c r="BV68" s="9"/>
      <c r="BW68" s="2">
        <f t="shared" si="7"/>
        <v>17</v>
      </c>
    </row>
    <row r="69" spans="1:75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v>26</v>
      </c>
      <c r="BC69" s="9"/>
      <c r="BD69" s="9">
        <f t="shared" si="0"/>
        <v>26</v>
      </c>
      <c r="BE69" s="9">
        <v>30</v>
      </c>
      <c r="BF69" s="2">
        <f t="shared" si="1"/>
        <v>86.666666666666671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9">
        <f t="shared" ref="BK69:BL69" si="69">BD69</f>
        <v>26</v>
      </c>
      <c r="BL69" s="9">
        <f t="shared" si="69"/>
        <v>30</v>
      </c>
      <c r="BM69" s="2">
        <f t="shared" si="3"/>
        <v>86.666666666666671</v>
      </c>
      <c r="BN69" s="9" t="str">
        <f t="shared" si="4"/>
        <v>4</v>
      </c>
      <c r="BO69" s="61">
        <v>7</v>
      </c>
      <c r="BP69" s="62">
        <v>11</v>
      </c>
      <c r="BQ69" s="27">
        <f t="shared" si="5"/>
        <v>9</v>
      </c>
      <c r="BR69" s="9">
        <v>9</v>
      </c>
      <c r="BS69" s="9">
        <v>8</v>
      </c>
      <c r="BT69" s="9">
        <v>8</v>
      </c>
      <c r="BU69" s="27">
        <f t="shared" si="6"/>
        <v>8.3333333333333339</v>
      </c>
      <c r="BV69" s="9"/>
      <c r="BW69" s="2">
        <f t="shared" si="7"/>
        <v>21.333333333333336</v>
      </c>
    </row>
    <row r="70" spans="1:75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v>2</v>
      </c>
      <c r="BC70" s="9"/>
      <c r="BD70" s="9">
        <f t="shared" si="0"/>
        <v>2</v>
      </c>
      <c r="BE70" s="9">
        <v>30</v>
      </c>
      <c r="BF70" s="2">
        <f t="shared" si="1"/>
        <v>6.666666666666667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9">
        <f t="shared" ref="BK70:BL70" si="70">BD70</f>
        <v>2</v>
      </c>
      <c r="BL70" s="9">
        <f t="shared" si="70"/>
        <v>30</v>
      </c>
      <c r="BM70" s="2">
        <f t="shared" si="3"/>
        <v>6.666666666666667</v>
      </c>
      <c r="BN70" s="9" t="str">
        <f t="shared" si="4"/>
        <v>0</v>
      </c>
      <c r="BO70" s="50">
        <v>0</v>
      </c>
      <c r="BP70" s="62">
        <v>11</v>
      </c>
      <c r="BQ70" s="27">
        <f t="shared" si="5"/>
        <v>5.5</v>
      </c>
      <c r="BR70" s="9">
        <v>8</v>
      </c>
      <c r="BS70" s="9">
        <v>10</v>
      </c>
      <c r="BT70" s="9">
        <v>8</v>
      </c>
      <c r="BU70" s="27">
        <f t="shared" si="6"/>
        <v>8.6666666666666661</v>
      </c>
      <c r="BV70" s="9">
        <v>5</v>
      </c>
      <c r="BW70" s="2">
        <f t="shared" si="7"/>
        <v>19.166666666666664</v>
      </c>
    </row>
    <row r="71" spans="1:75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v>29</v>
      </c>
      <c r="BC71" s="9"/>
      <c r="BD71" s="9">
        <f t="shared" si="0"/>
        <v>29</v>
      </c>
      <c r="BE71" s="9">
        <v>30</v>
      </c>
      <c r="BF71" s="2">
        <f t="shared" si="1"/>
        <v>96.666666666666671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1">
        <f t="shared" ref="BK71:BL71" si="71">BD71</f>
        <v>29</v>
      </c>
      <c r="BL71" s="11">
        <f t="shared" si="71"/>
        <v>30</v>
      </c>
      <c r="BM71" s="13">
        <f t="shared" si="3"/>
        <v>96.666666666666671</v>
      </c>
      <c r="BN71" s="11" t="str">
        <f t="shared" si="4"/>
        <v>6</v>
      </c>
      <c r="BO71" s="50">
        <v>15</v>
      </c>
      <c r="BP71" s="49">
        <v>22</v>
      </c>
      <c r="BQ71" s="30">
        <f t="shared" si="5"/>
        <v>18.5</v>
      </c>
      <c r="BR71" s="11">
        <v>10</v>
      </c>
      <c r="BS71" s="11">
        <v>10</v>
      </c>
      <c r="BT71" s="11">
        <v>8</v>
      </c>
      <c r="BU71" s="30">
        <f t="shared" si="6"/>
        <v>9.3333333333333339</v>
      </c>
      <c r="BV71" s="11">
        <v>0</v>
      </c>
      <c r="BW71" s="13">
        <f t="shared" si="7"/>
        <v>33.833333333333336</v>
      </c>
    </row>
    <row r="72" spans="1:75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v>19</v>
      </c>
      <c r="BC72" s="9">
        <v>8</v>
      </c>
      <c r="BD72" s="9">
        <f t="shared" si="0"/>
        <v>27</v>
      </c>
      <c r="BE72" s="9">
        <v>30</v>
      </c>
      <c r="BF72" s="2">
        <f t="shared" si="1"/>
        <v>90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1">
        <f t="shared" ref="BK72:BL72" si="72">BD72</f>
        <v>27</v>
      </c>
      <c r="BL72" s="11">
        <f t="shared" si="72"/>
        <v>30</v>
      </c>
      <c r="BM72" s="13">
        <f t="shared" si="3"/>
        <v>90</v>
      </c>
      <c r="BN72" s="11" t="str">
        <f t="shared" si="4"/>
        <v>4</v>
      </c>
      <c r="BO72" s="50">
        <v>21</v>
      </c>
      <c r="BP72" s="49">
        <v>23</v>
      </c>
      <c r="BQ72" s="30">
        <f t="shared" si="5"/>
        <v>22</v>
      </c>
      <c r="BR72" s="11">
        <v>10</v>
      </c>
      <c r="BS72" s="11">
        <v>9</v>
      </c>
      <c r="BT72" s="11">
        <v>10</v>
      </c>
      <c r="BU72" s="30">
        <f t="shared" si="6"/>
        <v>9.6666666666666661</v>
      </c>
      <c r="BV72" s="11">
        <v>0</v>
      </c>
      <c r="BW72" s="13">
        <f t="shared" si="7"/>
        <v>35.666666666666664</v>
      </c>
    </row>
    <row r="73" spans="1:75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v>11</v>
      </c>
      <c r="BC73" s="9"/>
      <c r="BD73" s="9">
        <f t="shared" si="0"/>
        <v>11</v>
      </c>
      <c r="BE73" s="9">
        <v>30</v>
      </c>
      <c r="BF73" s="2">
        <f t="shared" si="1"/>
        <v>36.666666666666664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1">
        <f t="shared" ref="BK73:BL73" si="73">BD73</f>
        <v>11</v>
      </c>
      <c r="BL73" s="11">
        <f t="shared" si="73"/>
        <v>30</v>
      </c>
      <c r="BM73" s="13">
        <f t="shared" si="3"/>
        <v>36.666666666666664</v>
      </c>
      <c r="BN73" s="11" t="str">
        <f t="shared" si="4"/>
        <v>0</v>
      </c>
      <c r="BO73" s="50">
        <v>3</v>
      </c>
      <c r="BP73" s="49">
        <v>9</v>
      </c>
      <c r="BQ73" s="30">
        <f t="shared" si="5"/>
        <v>6</v>
      </c>
      <c r="BR73" s="11">
        <v>9</v>
      </c>
      <c r="BS73" s="11">
        <v>9</v>
      </c>
      <c r="BT73" s="11">
        <v>9</v>
      </c>
      <c r="BU73" s="30">
        <f t="shared" si="6"/>
        <v>9</v>
      </c>
      <c r="BV73" s="11">
        <v>4</v>
      </c>
      <c r="BW73" s="13">
        <f t="shared" si="7"/>
        <v>19</v>
      </c>
    </row>
    <row r="74" spans="1:75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v>24</v>
      </c>
      <c r="BC74" s="9"/>
      <c r="BD74" s="9">
        <f t="shared" si="0"/>
        <v>24</v>
      </c>
      <c r="BE74" s="9">
        <v>30</v>
      </c>
      <c r="BF74" s="2">
        <f t="shared" si="1"/>
        <v>80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1">
        <f t="shared" ref="BK74:BL74" si="74">BD74</f>
        <v>24</v>
      </c>
      <c r="BL74" s="11">
        <f t="shared" si="74"/>
        <v>30</v>
      </c>
      <c r="BM74" s="13">
        <f t="shared" si="3"/>
        <v>80</v>
      </c>
      <c r="BN74" s="11" t="str">
        <f t="shared" si="4"/>
        <v>2</v>
      </c>
      <c r="BO74" s="50">
        <v>19</v>
      </c>
      <c r="BP74" s="49">
        <v>22</v>
      </c>
      <c r="BQ74" s="30">
        <f t="shared" si="5"/>
        <v>20.5</v>
      </c>
      <c r="BR74" s="11">
        <v>10</v>
      </c>
      <c r="BS74" s="11">
        <v>10</v>
      </c>
      <c r="BT74" s="11">
        <v>9</v>
      </c>
      <c r="BU74" s="30">
        <f t="shared" si="6"/>
        <v>9.6666666666666661</v>
      </c>
      <c r="BV74" s="11">
        <v>2</v>
      </c>
      <c r="BW74" s="13">
        <f t="shared" si="7"/>
        <v>34.166666666666664</v>
      </c>
    </row>
    <row r="75" spans="1:75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v>12</v>
      </c>
      <c r="BC75" s="9"/>
      <c r="BD75" s="9">
        <f t="shared" si="0"/>
        <v>12</v>
      </c>
      <c r="BE75" s="9">
        <v>30</v>
      </c>
      <c r="BF75" s="2">
        <f t="shared" si="1"/>
        <v>40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1">
        <f t="shared" ref="BK75:BL75" si="75">BD75</f>
        <v>12</v>
      </c>
      <c r="BL75" s="11">
        <f t="shared" si="75"/>
        <v>30</v>
      </c>
      <c r="BM75" s="13">
        <f t="shared" si="3"/>
        <v>40</v>
      </c>
      <c r="BN75" s="11" t="str">
        <f t="shared" si="4"/>
        <v>0</v>
      </c>
      <c r="BO75" s="50">
        <v>10</v>
      </c>
      <c r="BP75" s="49">
        <v>18</v>
      </c>
      <c r="BQ75" s="30">
        <f t="shared" si="5"/>
        <v>14</v>
      </c>
      <c r="BR75" s="11">
        <v>8</v>
      </c>
      <c r="BS75" s="11">
        <v>9</v>
      </c>
      <c r="BT75" s="11">
        <v>9</v>
      </c>
      <c r="BU75" s="30">
        <f t="shared" si="6"/>
        <v>8.6666666666666661</v>
      </c>
      <c r="BV75" s="11">
        <v>2</v>
      </c>
      <c r="BW75" s="13">
        <f t="shared" si="7"/>
        <v>24.666666666666664</v>
      </c>
    </row>
    <row r="76" spans="1:75" ht="14.2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63">
        <v>17</v>
      </c>
      <c r="BC76" s="9"/>
      <c r="BD76" s="9">
        <f t="shared" si="0"/>
        <v>17</v>
      </c>
      <c r="BE76" s="9">
        <v>30</v>
      </c>
      <c r="BF76" s="2">
        <f t="shared" si="1"/>
        <v>56.666666666666664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11">
        <f t="shared" ref="BK76:BL76" si="76">BD76</f>
        <v>17</v>
      </c>
      <c r="BL76" s="11">
        <f t="shared" si="76"/>
        <v>30</v>
      </c>
      <c r="BM76" s="13">
        <f t="shared" si="3"/>
        <v>56.666666666666664</v>
      </c>
      <c r="BN76" s="11" t="str">
        <f t="shared" si="4"/>
        <v>0</v>
      </c>
      <c r="BO76" s="50">
        <v>7</v>
      </c>
      <c r="BP76" s="49">
        <v>14</v>
      </c>
      <c r="BQ76" s="30">
        <f t="shared" si="5"/>
        <v>10.5</v>
      </c>
      <c r="BR76" s="11">
        <v>5</v>
      </c>
      <c r="BS76" s="11">
        <v>5</v>
      </c>
      <c r="BT76" s="11">
        <v>8</v>
      </c>
      <c r="BU76" s="30">
        <f t="shared" si="6"/>
        <v>6</v>
      </c>
      <c r="BV76" s="11">
        <v>2</v>
      </c>
      <c r="BW76" s="13">
        <f t="shared" si="7"/>
        <v>18.5</v>
      </c>
    </row>
    <row r="77" spans="1:75" ht="14.25" customHeight="1">
      <c r="A77" s="19"/>
      <c r="B77" s="20"/>
      <c r="C77" s="3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58"/>
      <c r="BG77" s="20"/>
      <c r="BH77" s="19"/>
      <c r="BI77" s="20"/>
      <c r="BJ77" s="20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</row>
    <row r="78" spans="1:75" ht="14.25" customHeight="1">
      <c r="A78" s="19"/>
      <c r="B78" s="20"/>
      <c r="C78" s="3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58"/>
      <c r="BG78" s="20"/>
      <c r="BH78" s="19"/>
      <c r="BI78" s="20"/>
      <c r="BJ78" s="20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</row>
    <row r="79" spans="1:75" ht="14.25" customHeight="1">
      <c r="A79" s="19"/>
      <c r="B79" s="20"/>
      <c r="C79" s="3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58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</row>
    <row r="80" spans="1:75" ht="14.25" customHeight="1">
      <c r="A80" s="19"/>
      <c r="B80" s="20"/>
      <c r="C80" s="3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58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</row>
    <row r="81" spans="1:75" ht="14.25" customHeight="1">
      <c r="A81" s="19"/>
      <c r="B81" s="20"/>
      <c r="C81" s="3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58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</row>
    <row r="82" spans="1:75" ht="14.25" customHeight="1">
      <c r="A82" s="19"/>
      <c r="B82" s="20"/>
      <c r="C82" s="3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58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</row>
    <row r="83" spans="1:75" ht="14.25" customHeight="1">
      <c r="A83" s="19"/>
      <c r="B83" s="20"/>
      <c r="C83" s="3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58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</row>
    <row r="84" spans="1:75" ht="14.25" customHeight="1">
      <c r="A84" s="19"/>
      <c r="B84" s="20"/>
      <c r="C84" s="3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58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</row>
    <row r="85" spans="1:75" ht="14.25" customHeight="1">
      <c r="A85" s="19"/>
      <c r="B85" s="20"/>
      <c r="C85" s="3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58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</row>
    <row r="86" spans="1:75" ht="14.25" customHeight="1">
      <c r="A86" s="19"/>
      <c r="B86" s="20"/>
      <c r="C86" s="3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58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</row>
    <row r="87" spans="1:75" ht="14.25" customHeight="1">
      <c r="A87" s="19"/>
      <c r="B87" s="20"/>
      <c r="C87" s="3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58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</row>
    <row r="88" spans="1:75" ht="14.25" customHeight="1">
      <c r="A88" s="19"/>
      <c r="B88" s="20"/>
      <c r="C88" s="3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58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</row>
    <row r="89" spans="1:75" ht="14.25" customHeight="1">
      <c r="A89" s="19"/>
      <c r="B89" s="20"/>
      <c r="C89" s="3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58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</row>
    <row r="90" spans="1:75" ht="14.25" customHeight="1">
      <c r="A90" s="19"/>
      <c r="B90" s="20"/>
      <c r="C90" s="3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58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</row>
    <row r="91" spans="1:75" ht="14.25" customHeight="1">
      <c r="A91" s="19"/>
      <c r="B91" s="20"/>
      <c r="C91" s="3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58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</row>
    <row r="92" spans="1:75" ht="14.25" customHeigh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58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</row>
    <row r="93" spans="1:75" ht="14.25" customHeight="1">
      <c r="A93" s="19"/>
      <c r="B93" s="20"/>
      <c r="C93" s="3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58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</row>
    <row r="94" spans="1:75" ht="14.25" customHeight="1">
      <c r="A94" s="19"/>
      <c r="B94" s="20"/>
      <c r="C94" s="3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58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</row>
    <row r="95" spans="1:75" ht="14.25" customHeight="1">
      <c r="A95" s="19"/>
      <c r="B95" s="20"/>
      <c r="C95" s="3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58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</row>
    <row r="96" spans="1:75" ht="14.25" customHeight="1">
      <c r="A96" s="19"/>
      <c r="B96" s="20"/>
      <c r="C96" s="3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58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</row>
    <row r="97" spans="1:75" ht="14.25" customHeight="1">
      <c r="A97" s="19"/>
      <c r="B97" s="20"/>
      <c r="C97" s="3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58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</row>
    <row r="98" spans="1:75" ht="14.25" customHeight="1">
      <c r="A98" s="19"/>
      <c r="B98" s="20"/>
      <c r="C98" s="3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58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</row>
    <row r="99" spans="1:75" ht="14.25" customHeight="1">
      <c r="A99" s="19"/>
      <c r="B99" s="20"/>
      <c r="C99" s="3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58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</row>
    <row r="100" spans="1:75" ht="14.25" customHeight="1">
      <c r="A100" s="19"/>
      <c r="B100" s="20"/>
      <c r="C100" s="3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58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</row>
    <row r="101" spans="1:75" ht="14.25" customHeight="1">
      <c r="A101" s="19"/>
      <c r="B101" s="20"/>
      <c r="C101" s="3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58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</row>
    <row r="102" spans="1:75" ht="14.25" customHeight="1">
      <c r="A102" s="19"/>
      <c r="B102" s="20"/>
      <c r="C102" s="3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58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</row>
    <row r="103" spans="1:75" ht="14.25" customHeight="1">
      <c r="A103" s="19"/>
      <c r="B103" s="20"/>
      <c r="C103" s="3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58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</row>
    <row r="104" spans="1:75" ht="14.25" customHeight="1">
      <c r="A104" s="19"/>
      <c r="B104" s="20"/>
      <c r="C104" s="3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58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</row>
    <row r="105" spans="1:75" ht="14.25" customHeight="1">
      <c r="A105" s="19"/>
      <c r="B105" s="20"/>
      <c r="C105" s="3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58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</row>
    <row r="106" spans="1:75" ht="14.25" customHeight="1">
      <c r="A106" s="19"/>
      <c r="B106" s="20"/>
      <c r="C106" s="3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58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</row>
    <row r="107" spans="1:75" ht="14.25" customHeight="1">
      <c r="A107" s="19"/>
      <c r="B107" s="20"/>
      <c r="C107" s="3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58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</row>
    <row r="108" spans="1:75" ht="14.25" customHeight="1">
      <c r="A108" s="19"/>
      <c r="B108" s="20"/>
      <c r="C108" s="3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58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</row>
    <row r="109" spans="1:75" ht="14.25" customHeight="1">
      <c r="A109" s="19"/>
      <c r="B109" s="20"/>
      <c r="C109" s="3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58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</row>
    <row r="110" spans="1:75" ht="14.25" customHeight="1">
      <c r="A110" s="19"/>
      <c r="B110" s="20"/>
      <c r="C110" s="3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58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</row>
    <row r="111" spans="1:75" ht="14.25" customHeight="1">
      <c r="A111" s="19"/>
      <c r="B111" s="20"/>
      <c r="C111" s="3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58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</row>
    <row r="112" spans="1:75" ht="14.25" customHeigh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58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</row>
    <row r="113" spans="1:75" ht="14.25" customHeight="1">
      <c r="A113" s="19"/>
      <c r="B113" s="20"/>
      <c r="C113" s="3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58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</row>
    <row r="114" spans="1:75" ht="14.25" customHeight="1">
      <c r="A114" s="19"/>
      <c r="B114" s="20"/>
      <c r="C114" s="3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58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</row>
    <row r="115" spans="1:75" ht="14.25" customHeight="1">
      <c r="A115" s="19"/>
      <c r="B115" s="20"/>
      <c r="C115" s="3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58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</row>
    <row r="116" spans="1:75" ht="14.25" customHeight="1">
      <c r="A116" s="19"/>
      <c r="B116" s="20"/>
      <c r="C116" s="3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58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</row>
    <row r="117" spans="1:75" ht="14.25" customHeight="1">
      <c r="A117" s="19"/>
      <c r="B117" s="20"/>
      <c r="C117" s="3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58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</row>
    <row r="118" spans="1:75" ht="14.25" customHeight="1">
      <c r="A118" s="19"/>
      <c r="B118" s="20"/>
      <c r="C118" s="3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58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</row>
    <row r="119" spans="1:75" ht="14.25" customHeight="1">
      <c r="A119" s="19"/>
      <c r="B119" s="20"/>
      <c r="C119" s="3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58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</row>
    <row r="120" spans="1:75" ht="14.25" customHeight="1">
      <c r="A120" s="19"/>
      <c r="B120" s="20"/>
      <c r="C120" s="3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58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</row>
    <row r="121" spans="1:75" ht="14.25" customHeight="1">
      <c r="A121" s="19"/>
      <c r="B121" s="20"/>
      <c r="C121" s="3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58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</row>
    <row r="122" spans="1:75" ht="14.25" customHeight="1">
      <c r="A122" s="19"/>
      <c r="B122" s="20"/>
      <c r="C122" s="3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58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</row>
    <row r="123" spans="1:75" ht="14.25" customHeight="1">
      <c r="A123" s="19"/>
      <c r="B123" s="20"/>
      <c r="C123" s="3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58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</row>
    <row r="124" spans="1:75" ht="14.25" customHeight="1">
      <c r="A124" s="19"/>
      <c r="B124" s="20"/>
      <c r="C124" s="3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58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</row>
    <row r="125" spans="1:75" ht="14.25" customHeight="1">
      <c r="A125" s="19"/>
      <c r="B125" s="20"/>
      <c r="C125" s="3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58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</row>
    <row r="126" spans="1:75" ht="14.25" customHeight="1">
      <c r="A126" s="19"/>
      <c r="B126" s="20"/>
      <c r="C126" s="3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58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</row>
    <row r="127" spans="1:75" ht="14.25" customHeight="1">
      <c r="A127" s="19"/>
      <c r="B127" s="20"/>
      <c r="C127" s="3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58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</row>
    <row r="128" spans="1:75" ht="14.25" customHeigh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58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</row>
    <row r="129" spans="1:75" ht="14.25" customHeight="1">
      <c r="A129" s="19"/>
      <c r="B129" s="20"/>
      <c r="C129" s="3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58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</row>
    <row r="130" spans="1:75" ht="14.25" customHeight="1">
      <c r="A130" s="19"/>
      <c r="B130" s="20"/>
      <c r="C130" s="3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58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</row>
    <row r="131" spans="1:75" ht="14.25" customHeight="1">
      <c r="A131" s="19"/>
      <c r="B131" s="20"/>
      <c r="C131" s="3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58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</row>
    <row r="132" spans="1:75" ht="14.25" customHeight="1">
      <c r="A132" s="19"/>
      <c r="B132" s="20"/>
      <c r="C132" s="3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58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</row>
    <row r="133" spans="1:75" ht="14.25" customHeight="1">
      <c r="A133" s="19"/>
      <c r="B133" s="20"/>
      <c r="C133" s="3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58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</row>
    <row r="134" spans="1:75" ht="14.25" customHeight="1">
      <c r="A134" s="19"/>
      <c r="B134" s="20"/>
      <c r="C134" s="3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58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</row>
    <row r="135" spans="1:75" ht="14.25" customHeight="1">
      <c r="A135" s="19"/>
      <c r="B135" s="20"/>
      <c r="C135" s="3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58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</row>
    <row r="136" spans="1:75" ht="14.25" customHeight="1">
      <c r="A136" s="19"/>
      <c r="B136" s="20"/>
      <c r="C136" s="3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58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</row>
    <row r="137" spans="1:75" ht="14.25" customHeight="1">
      <c r="A137" s="19"/>
      <c r="B137" s="20"/>
      <c r="C137" s="3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58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</row>
    <row r="138" spans="1:75" ht="14.25" customHeight="1">
      <c r="A138" s="19"/>
      <c r="B138" s="20"/>
      <c r="C138" s="3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58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</row>
    <row r="139" spans="1:75" ht="14.25" customHeight="1">
      <c r="A139" s="19"/>
      <c r="B139" s="20"/>
      <c r="C139" s="3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58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</row>
    <row r="140" spans="1:75" ht="14.25" customHeight="1">
      <c r="A140" s="19"/>
      <c r="B140" s="20"/>
      <c r="C140" s="3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58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</row>
    <row r="141" spans="1:75" ht="14.25" customHeight="1">
      <c r="A141" s="19"/>
      <c r="B141" s="20"/>
      <c r="C141" s="3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58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</row>
    <row r="142" spans="1:75" ht="14.25" customHeight="1">
      <c r="A142" s="19"/>
      <c r="B142" s="20"/>
      <c r="C142" s="3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58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</row>
    <row r="143" spans="1:75" ht="14.25" customHeight="1">
      <c r="A143" s="19"/>
      <c r="B143" s="20"/>
      <c r="C143" s="3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58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</row>
    <row r="144" spans="1:75" ht="14.25" customHeight="1">
      <c r="A144" s="19"/>
      <c r="B144" s="20"/>
      <c r="C144" s="3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58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</row>
    <row r="145" spans="1:75" ht="14.25" customHeight="1">
      <c r="A145" s="19"/>
      <c r="B145" s="20"/>
      <c r="C145" s="3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58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</row>
    <row r="146" spans="1:75" ht="14.25" customHeight="1">
      <c r="A146" s="19"/>
      <c r="B146" s="20"/>
      <c r="C146" s="3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58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</row>
    <row r="147" spans="1:75" ht="14.25" customHeight="1">
      <c r="A147" s="19"/>
      <c r="B147" s="20"/>
      <c r="C147" s="3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58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</row>
    <row r="148" spans="1:75" ht="14.25" customHeigh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58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</row>
    <row r="149" spans="1:75" ht="14.25" customHeight="1">
      <c r="A149" s="19"/>
      <c r="B149" s="20"/>
      <c r="C149" s="3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58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</row>
    <row r="150" spans="1:75" ht="14.25" customHeight="1">
      <c r="A150" s="19"/>
      <c r="B150" s="20"/>
      <c r="C150" s="3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58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</row>
    <row r="151" spans="1:75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58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</row>
    <row r="152" spans="1:75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58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</row>
    <row r="153" spans="1:75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58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</row>
    <row r="154" spans="1:75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58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</row>
    <row r="155" spans="1:75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58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</row>
    <row r="156" spans="1:75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58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</row>
    <row r="157" spans="1:75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58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</row>
    <row r="158" spans="1:75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58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</row>
    <row r="159" spans="1:75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58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</row>
    <row r="160" spans="1:75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58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</row>
    <row r="161" spans="1:75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58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</row>
    <row r="162" spans="1:75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58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</row>
    <row r="163" spans="1:75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58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</row>
    <row r="164" spans="1:75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58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</row>
    <row r="165" spans="1:75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58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</row>
    <row r="166" spans="1:75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58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</row>
    <row r="167" spans="1:75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58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</row>
    <row r="168" spans="1:75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58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</row>
    <row r="169" spans="1:75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58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</row>
    <row r="170" spans="1:75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58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</row>
    <row r="171" spans="1:75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58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</row>
    <row r="172" spans="1:75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58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</row>
    <row r="173" spans="1:75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58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</row>
    <row r="174" spans="1:75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58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</row>
    <row r="175" spans="1:75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58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</row>
    <row r="176" spans="1:75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58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</row>
    <row r="177" spans="1:75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58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</row>
    <row r="178" spans="1:75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58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</row>
    <row r="179" spans="1:75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58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</row>
    <row r="180" spans="1:75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58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</row>
    <row r="181" spans="1:75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58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</row>
    <row r="182" spans="1:75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58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</row>
    <row r="183" spans="1:75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58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</row>
    <row r="184" spans="1:75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58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</row>
    <row r="185" spans="1:75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58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</row>
    <row r="186" spans="1:75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58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</row>
    <row r="187" spans="1:75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58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</row>
    <row r="188" spans="1:75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58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</row>
    <row r="189" spans="1:75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58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</row>
    <row r="190" spans="1:75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58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</row>
    <row r="191" spans="1:75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58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</row>
    <row r="192" spans="1:75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58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spans="1:75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58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</row>
    <row r="194" spans="1:75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58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</row>
    <row r="195" spans="1:75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58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</row>
    <row r="196" spans="1:75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58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</row>
    <row r="197" spans="1:75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58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</row>
    <row r="198" spans="1:75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58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</row>
    <row r="199" spans="1:75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58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</row>
    <row r="200" spans="1:75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58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</row>
    <row r="201" spans="1:75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58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</row>
    <row r="202" spans="1:75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58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</row>
    <row r="203" spans="1:75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58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</row>
    <row r="204" spans="1:75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58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</row>
    <row r="205" spans="1:75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58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</row>
    <row r="206" spans="1:75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58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</row>
    <row r="207" spans="1:75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58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</row>
    <row r="208" spans="1:75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58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</row>
    <row r="209" spans="1:75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58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</row>
    <row r="210" spans="1:75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58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</row>
    <row r="211" spans="1:75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58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</row>
    <row r="212" spans="1:75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58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</row>
    <row r="213" spans="1:75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58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</row>
    <row r="214" spans="1:75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58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</row>
    <row r="215" spans="1:75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58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</row>
    <row r="216" spans="1:75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58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</row>
    <row r="217" spans="1:75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58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</row>
    <row r="218" spans="1:75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58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</row>
    <row r="219" spans="1:75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58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</row>
    <row r="220" spans="1:75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58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</row>
    <row r="221" spans="1:75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58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</row>
    <row r="222" spans="1:75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58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</row>
    <row r="223" spans="1:75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58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</row>
    <row r="224" spans="1:75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58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</row>
    <row r="225" spans="1:75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58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</row>
    <row r="226" spans="1:75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58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</row>
    <row r="227" spans="1:75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58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</row>
    <row r="228" spans="1:75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58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</row>
    <row r="229" spans="1:75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58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</row>
    <row r="230" spans="1:75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58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</row>
    <row r="231" spans="1:75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58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</row>
    <row r="232" spans="1:75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58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</row>
    <row r="233" spans="1:75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58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</row>
    <row r="234" spans="1:75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58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</row>
    <row r="235" spans="1:75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58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</row>
    <row r="236" spans="1:75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58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</row>
    <row r="237" spans="1:75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58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</row>
    <row r="238" spans="1:75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58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</row>
    <row r="239" spans="1:75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58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</row>
    <row r="240" spans="1:75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58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</row>
    <row r="241" spans="1:75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58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</row>
    <row r="242" spans="1:75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58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</row>
    <row r="243" spans="1:75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58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</row>
    <row r="244" spans="1:75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58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</row>
    <row r="245" spans="1:75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58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</row>
    <row r="246" spans="1:75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58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</row>
    <row r="247" spans="1:75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58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</row>
    <row r="248" spans="1:75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58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</row>
    <row r="249" spans="1:75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58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</row>
    <row r="250" spans="1:75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58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</row>
    <row r="251" spans="1:75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58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</row>
    <row r="252" spans="1:75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58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</row>
    <row r="253" spans="1:75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58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</row>
    <row r="254" spans="1:75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58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</row>
    <row r="255" spans="1:75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58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</row>
    <row r="256" spans="1:75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58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</row>
    <row r="257" spans="1:75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58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</row>
    <row r="258" spans="1:75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58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</row>
    <row r="259" spans="1:75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58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</row>
    <row r="260" spans="1:75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58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</row>
    <row r="261" spans="1:75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58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</row>
    <row r="262" spans="1:75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58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</row>
    <row r="263" spans="1:75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58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</row>
    <row r="264" spans="1:75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58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</row>
    <row r="265" spans="1:75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58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</row>
    <row r="266" spans="1:75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58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</row>
    <row r="267" spans="1:75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58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</row>
    <row r="268" spans="1:75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58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</row>
    <row r="269" spans="1:75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58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</row>
    <row r="270" spans="1:75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58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</row>
    <row r="271" spans="1:75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58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</row>
    <row r="272" spans="1:75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58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</row>
    <row r="273" spans="1:75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58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</row>
    <row r="274" spans="1:75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58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</row>
    <row r="275" spans="1:75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58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</row>
    <row r="276" spans="1:75" ht="15.75" customHeight="1">
      <c r="BF276" s="35"/>
    </row>
    <row r="277" spans="1:75" ht="15.75" customHeight="1">
      <c r="BF277" s="35"/>
    </row>
    <row r="278" spans="1:75" ht="15.75" customHeight="1">
      <c r="BF278" s="35"/>
    </row>
    <row r="279" spans="1:75" ht="15.75" customHeight="1">
      <c r="BF279" s="35"/>
    </row>
    <row r="280" spans="1:75" ht="15.75" customHeight="1">
      <c r="BF280" s="35"/>
    </row>
    <row r="281" spans="1:75" ht="15.75" customHeight="1">
      <c r="BF281" s="35"/>
    </row>
    <row r="282" spans="1:75" ht="15.75" customHeight="1">
      <c r="BF282" s="35"/>
    </row>
    <row r="283" spans="1:75" ht="15.75" customHeight="1">
      <c r="BF283" s="35"/>
    </row>
    <row r="284" spans="1:75" ht="15.75" customHeight="1">
      <c r="BF284" s="35"/>
    </row>
    <row r="285" spans="1:75" ht="15.75" customHeight="1">
      <c r="BF285" s="35"/>
    </row>
    <row r="286" spans="1:75" ht="15.75" customHeight="1">
      <c r="BF286" s="35"/>
    </row>
    <row r="287" spans="1:75" ht="15.75" customHeight="1">
      <c r="BF287" s="35"/>
    </row>
    <row r="288" spans="1:75" ht="15.75" customHeight="1">
      <c r="BF288" s="35"/>
    </row>
    <row r="289" spans="58:58" ht="15.75" customHeight="1">
      <c r="BF289" s="35"/>
    </row>
    <row r="290" spans="58:58" ht="15.75" customHeight="1">
      <c r="BF290" s="35"/>
    </row>
    <row r="291" spans="58:58" ht="15.75" customHeight="1">
      <c r="BF291" s="35"/>
    </row>
    <row r="292" spans="58:58" ht="15.75" customHeight="1">
      <c r="BF292" s="35"/>
    </row>
    <row r="293" spans="58:58" ht="15.75" customHeight="1">
      <c r="BF293" s="35"/>
    </row>
    <row r="294" spans="58:58" ht="15.75" customHeight="1">
      <c r="BF294" s="35"/>
    </row>
    <row r="295" spans="58:58" ht="15.75" customHeight="1">
      <c r="BF295" s="35"/>
    </row>
    <row r="296" spans="58:58" ht="15.75" customHeight="1">
      <c r="BF296" s="35"/>
    </row>
    <row r="297" spans="58:58" ht="15.75" customHeight="1">
      <c r="BF297" s="35"/>
    </row>
    <row r="298" spans="58:58" ht="15.75" customHeight="1">
      <c r="BF298" s="35"/>
    </row>
    <row r="299" spans="58:58" ht="15.75" customHeight="1">
      <c r="BF299" s="35"/>
    </row>
    <row r="300" spans="58:58" ht="15.75" customHeight="1">
      <c r="BF300" s="35"/>
    </row>
    <row r="301" spans="58:58" ht="15.75" customHeight="1">
      <c r="BF301" s="35"/>
    </row>
    <row r="302" spans="58:58" ht="15.75" customHeight="1">
      <c r="BF302" s="35"/>
    </row>
    <row r="303" spans="58:58" ht="15.75" customHeight="1">
      <c r="BF303" s="35"/>
    </row>
    <row r="304" spans="58:58" ht="15.75" customHeight="1">
      <c r="BF304" s="35"/>
    </row>
    <row r="305" spans="58:58" ht="15.75" customHeight="1">
      <c r="BF305" s="35"/>
    </row>
    <row r="306" spans="58:58" ht="15.75" customHeight="1">
      <c r="BF306" s="35"/>
    </row>
    <row r="307" spans="58:58" ht="15.75" customHeight="1">
      <c r="BF307" s="35"/>
    </row>
    <row r="308" spans="58:58" ht="15.75" customHeight="1">
      <c r="BF308" s="35"/>
    </row>
    <row r="309" spans="58:58" ht="15.75" customHeight="1">
      <c r="BF309" s="35"/>
    </row>
    <row r="310" spans="58:58" ht="15.75" customHeight="1">
      <c r="BF310" s="35"/>
    </row>
    <row r="311" spans="58:58" ht="15.75" customHeight="1">
      <c r="BF311" s="35"/>
    </row>
    <row r="312" spans="58:58" ht="15.75" customHeight="1">
      <c r="BF312" s="35"/>
    </row>
    <row r="313" spans="58:58" ht="15.75" customHeight="1">
      <c r="BF313" s="35"/>
    </row>
    <row r="314" spans="58:58" ht="15.75" customHeight="1">
      <c r="BF314" s="35"/>
    </row>
    <row r="315" spans="58:58" ht="15.75" customHeight="1">
      <c r="BF315" s="35"/>
    </row>
    <row r="316" spans="58:58" ht="15.75" customHeight="1">
      <c r="BF316" s="35"/>
    </row>
    <row r="317" spans="58:58" ht="15.75" customHeight="1">
      <c r="BF317" s="35"/>
    </row>
    <row r="318" spans="58:58" ht="15.75" customHeight="1">
      <c r="BF318" s="35"/>
    </row>
    <row r="319" spans="58:58" ht="15.75" customHeight="1">
      <c r="BF319" s="35"/>
    </row>
    <row r="320" spans="58:58" ht="15.75" customHeight="1">
      <c r="BF320" s="35"/>
    </row>
    <row r="321" spans="58:58" ht="15.75" customHeight="1">
      <c r="BF321" s="35"/>
    </row>
    <row r="322" spans="58:58" ht="15.75" customHeight="1">
      <c r="BF322" s="35"/>
    </row>
    <row r="323" spans="58:58" ht="15.75" customHeight="1">
      <c r="BF323" s="35"/>
    </row>
    <row r="324" spans="58:58" ht="15.75" customHeight="1">
      <c r="BF324" s="35"/>
    </row>
    <row r="325" spans="58:58" ht="15.75" customHeight="1">
      <c r="BF325" s="35"/>
    </row>
    <row r="326" spans="58:58" ht="15.75" customHeight="1">
      <c r="BF326" s="35"/>
    </row>
    <row r="327" spans="58:58" ht="15.75" customHeight="1">
      <c r="BF327" s="35"/>
    </row>
    <row r="328" spans="58:58" ht="15.75" customHeight="1">
      <c r="BF328" s="35"/>
    </row>
    <row r="329" spans="58:58" ht="15.75" customHeight="1">
      <c r="BF329" s="35"/>
    </row>
    <row r="330" spans="58:58" ht="15.75" customHeight="1">
      <c r="BF330" s="35"/>
    </row>
    <row r="331" spans="58:58" ht="15.75" customHeight="1">
      <c r="BF331" s="35"/>
    </row>
    <row r="332" spans="58:58" ht="15.75" customHeight="1">
      <c r="BF332" s="35"/>
    </row>
    <row r="333" spans="58:58" ht="15.75" customHeight="1">
      <c r="BF333" s="35"/>
    </row>
    <row r="334" spans="58:58" ht="15.75" customHeight="1">
      <c r="BF334" s="35"/>
    </row>
    <row r="335" spans="58:58" ht="15.75" customHeight="1">
      <c r="BF335" s="35"/>
    </row>
    <row r="336" spans="58:58" ht="15.75" customHeight="1">
      <c r="BF336" s="35"/>
    </row>
    <row r="337" spans="58:58" ht="15.75" customHeight="1">
      <c r="BF337" s="35"/>
    </row>
    <row r="338" spans="58:58" ht="15.75" customHeight="1">
      <c r="BF338" s="35"/>
    </row>
    <row r="339" spans="58:58" ht="15.75" customHeight="1">
      <c r="BF339" s="35"/>
    </row>
    <row r="340" spans="58:58" ht="15.75" customHeight="1">
      <c r="BF340" s="35"/>
    </row>
    <row r="341" spans="58:58" ht="15.75" customHeight="1">
      <c r="BF341" s="35"/>
    </row>
    <row r="342" spans="58:58" ht="15.75" customHeight="1">
      <c r="BF342" s="35"/>
    </row>
    <row r="343" spans="58:58" ht="15.75" customHeight="1">
      <c r="BF343" s="35"/>
    </row>
    <row r="344" spans="58:58" ht="15.75" customHeight="1">
      <c r="BF344" s="35"/>
    </row>
    <row r="345" spans="58:58" ht="15.75" customHeight="1">
      <c r="BF345" s="35"/>
    </row>
    <row r="346" spans="58:58" ht="15.75" customHeight="1">
      <c r="BF346" s="35"/>
    </row>
    <row r="347" spans="58:58" ht="15.75" customHeight="1">
      <c r="BF347" s="35"/>
    </row>
    <row r="348" spans="58:58" ht="15.75" customHeight="1">
      <c r="BF348" s="35"/>
    </row>
    <row r="349" spans="58:58" ht="15.75" customHeight="1">
      <c r="BF349" s="35"/>
    </row>
    <row r="350" spans="58:58" ht="15.75" customHeight="1">
      <c r="BF350" s="35"/>
    </row>
    <row r="351" spans="58:58" ht="15.75" customHeight="1">
      <c r="BF351" s="35"/>
    </row>
    <row r="352" spans="58:58" ht="15.75" customHeight="1">
      <c r="BF352" s="35"/>
    </row>
    <row r="353" spans="58:58" ht="15.75" customHeight="1">
      <c r="BF353" s="35"/>
    </row>
    <row r="354" spans="58:58" ht="15.75" customHeight="1">
      <c r="BF354" s="35"/>
    </row>
    <row r="355" spans="58:58" ht="15.75" customHeight="1">
      <c r="BF355" s="35"/>
    </row>
    <row r="356" spans="58:58" ht="15.75" customHeight="1">
      <c r="BF356" s="35"/>
    </row>
    <row r="357" spans="58:58" ht="15.75" customHeight="1">
      <c r="BF357" s="35"/>
    </row>
    <row r="358" spans="58:58" ht="15.75" customHeight="1">
      <c r="BF358" s="35"/>
    </row>
    <row r="359" spans="58:58" ht="15.75" customHeight="1">
      <c r="BF359" s="35"/>
    </row>
    <row r="360" spans="58:58" ht="15.75" customHeight="1">
      <c r="BF360" s="35"/>
    </row>
    <row r="361" spans="58:58" ht="15.75" customHeight="1">
      <c r="BF361" s="35"/>
    </row>
    <row r="362" spans="58:58" ht="15.75" customHeight="1">
      <c r="BF362" s="35"/>
    </row>
    <row r="363" spans="58:58" ht="15.75" customHeight="1">
      <c r="BF363" s="35"/>
    </row>
    <row r="364" spans="58:58" ht="15.75" customHeight="1">
      <c r="BF364" s="35"/>
    </row>
    <row r="365" spans="58:58" ht="15.75" customHeight="1">
      <c r="BF365" s="35"/>
    </row>
    <row r="366" spans="58:58" ht="15.75" customHeight="1">
      <c r="BF366" s="35"/>
    </row>
    <row r="367" spans="58:58" ht="15.75" customHeight="1">
      <c r="BF367" s="35"/>
    </row>
    <row r="368" spans="58:58" ht="15.75" customHeight="1">
      <c r="BF368" s="35"/>
    </row>
    <row r="369" spans="58:58" ht="15.75" customHeight="1">
      <c r="BF369" s="35"/>
    </row>
    <row r="370" spans="58:58" ht="15.75" customHeight="1">
      <c r="BF370" s="35"/>
    </row>
    <row r="371" spans="58:58" ht="15.75" customHeight="1">
      <c r="BF371" s="35"/>
    </row>
    <row r="372" spans="58:58" ht="15.75" customHeight="1">
      <c r="BF372" s="35"/>
    </row>
    <row r="373" spans="58:58" ht="15.75" customHeight="1">
      <c r="BF373" s="35"/>
    </row>
    <row r="374" spans="58:58" ht="15.75" customHeight="1">
      <c r="BF374" s="35"/>
    </row>
    <row r="375" spans="58:58" ht="15.75" customHeight="1">
      <c r="BF375" s="35"/>
    </row>
    <row r="376" spans="58:58" ht="15.75" customHeight="1">
      <c r="BF376" s="35"/>
    </row>
    <row r="377" spans="58:58" ht="15.75" customHeight="1">
      <c r="BF377" s="35"/>
    </row>
    <row r="378" spans="58:58" ht="15.75" customHeight="1">
      <c r="BF378" s="35"/>
    </row>
    <row r="379" spans="58:58" ht="15.75" customHeight="1">
      <c r="BF379" s="35"/>
    </row>
    <row r="380" spans="58:58" ht="15.75" customHeight="1">
      <c r="BF380" s="35"/>
    </row>
    <row r="381" spans="58:58" ht="15.75" customHeight="1">
      <c r="BF381" s="35"/>
    </row>
    <row r="382" spans="58:58" ht="15.75" customHeight="1">
      <c r="BF382" s="35"/>
    </row>
    <row r="383" spans="58:58" ht="15.75" customHeight="1">
      <c r="BF383" s="35"/>
    </row>
    <row r="384" spans="58:58" ht="15.75" customHeight="1">
      <c r="BF384" s="35"/>
    </row>
    <row r="385" spans="58:58" ht="15.75" customHeight="1">
      <c r="BF385" s="35"/>
    </row>
    <row r="386" spans="58:58" ht="15.75" customHeight="1">
      <c r="BF386" s="35"/>
    </row>
    <row r="387" spans="58:58" ht="15.75" customHeight="1">
      <c r="BF387" s="35"/>
    </row>
    <row r="388" spans="58:58" ht="15.75" customHeight="1">
      <c r="BF388" s="35"/>
    </row>
    <row r="389" spans="58:58" ht="15.75" customHeight="1">
      <c r="BF389" s="35"/>
    </row>
    <row r="390" spans="58:58" ht="15.75" customHeight="1">
      <c r="BF390" s="35"/>
    </row>
    <row r="391" spans="58:58" ht="15.75" customHeight="1">
      <c r="BF391" s="35"/>
    </row>
    <row r="392" spans="58:58" ht="15.75" customHeight="1">
      <c r="BF392" s="35"/>
    </row>
    <row r="393" spans="58:58" ht="15.75" customHeight="1">
      <c r="BF393" s="35"/>
    </row>
    <row r="394" spans="58:58" ht="15.75" customHeight="1">
      <c r="BF394" s="35"/>
    </row>
    <row r="395" spans="58:58" ht="15.75" customHeight="1">
      <c r="BF395" s="35"/>
    </row>
    <row r="396" spans="58:58" ht="15.75" customHeight="1">
      <c r="BF396" s="35"/>
    </row>
    <row r="397" spans="58:58" ht="15.75" customHeight="1">
      <c r="BF397" s="35"/>
    </row>
    <row r="398" spans="58:58" ht="15.75" customHeight="1">
      <c r="BF398" s="35"/>
    </row>
    <row r="399" spans="58:58" ht="15.75" customHeight="1">
      <c r="BF399" s="35"/>
    </row>
    <row r="400" spans="58:58" ht="15.75" customHeight="1">
      <c r="BF400" s="35"/>
    </row>
    <row r="401" spans="58:58" ht="15.75" customHeight="1">
      <c r="BF401" s="35"/>
    </row>
    <row r="402" spans="58:58" ht="15.75" customHeight="1">
      <c r="BF402" s="35"/>
    </row>
    <row r="403" spans="58:58" ht="15.75" customHeight="1">
      <c r="BF403" s="35"/>
    </row>
    <row r="404" spans="58:58" ht="15.75" customHeight="1">
      <c r="BF404" s="35"/>
    </row>
    <row r="405" spans="58:58" ht="15.75" customHeight="1">
      <c r="BF405" s="35"/>
    </row>
    <row r="406" spans="58:58" ht="15.75" customHeight="1">
      <c r="BF406" s="35"/>
    </row>
    <row r="407" spans="58:58" ht="15.75" customHeight="1">
      <c r="BF407" s="35"/>
    </row>
    <row r="408" spans="58:58" ht="15.75" customHeight="1">
      <c r="BF408" s="35"/>
    </row>
    <row r="409" spans="58:58" ht="15.75" customHeight="1">
      <c r="BF409" s="35"/>
    </row>
    <row r="410" spans="58:58" ht="15.75" customHeight="1">
      <c r="BF410" s="35"/>
    </row>
    <row r="411" spans="58:58" ht="15.75" customHeight="1">
      <c r="BF411" s="35"/>
    </row>
    <row r="412" spans="58:58" ht="15.75" customHeight="1">
      <c r="BF412" s="35"/>
    </row>
    <row r="413" spans="58:58" ht="15.75" customHeight="1">
      <c r="BF413" s="35"/>
    </row>
    <row r="414" spans="58:58" ht="15.75" customHeight="1">
      <c r="BF414" s="35"/>
    </row>
    <row r="415" spans="58:58" ht="15.75" customHeight="1">
      <c r="BF415" s="35"/>
    </row>
    <row r="416" spans="58:58" ht="15.75" customHeight="1">
      <c r="BF416" s="35"/>
    </row>
    <row r="417" spans="58:58" ht="15.75" customHeight="1">
      <c r="BF417" s="35"/>
    </row>
    <row r="418" spans="58:58" ht="15.75" customHeight="1">
      <c r="BF418" s="35"/>
    </row>
    <row r="419" spans="58:58" ht="15.75" customHeight="1">
      <c r="BF419" s="35"/>
    </row>
    <row r="420" spans="58:58" ht="15.75" customHeight="1">
      <c r="BF420" s="35"/>
    </row>
    <row r="421" spans="58:58" ht="15.75" customHeight="1">
      <c r="BF421" s="35"/>
    </row>
    <row r="422" spans="58:58" ht="15.75" customHeight="1">
      <c r="BF422" s="35"/>
    </row>
    <row r="423" spans="58:58" ht="15.75" customHeight="1">
      <c r="BF423" s="35"/>
    </row>
    <row r="424" spans="58:58" ht="15.75" customHeight="1">
      <c r="BF424" s="35"/>
    </row>
    <row r="425" spans="58:58" ht="15.75" customHeight="1">
      <c r="BF425" s="35"/>
    </row>
    <row r="426" spans="58:58" ht="15.75" customHeight="1">
      <c r="BF426" s="35"/>
    </row>
    <row r="427" spans="58:58" ht="15.75" customHeight="1">
      <c r="BF427" s="35"/>
    </row>
    <row r="428" spans="58:58" ht="15.75" customHeight="1">
      <c r="BF428" s="35"/>
    </row>
    <row r="429" spans="58:58" ht="15.75" customHeight="1">
      <c r="BF429" s="35"/>
    </row>
    <row r="430" spans="58:58" ht="15.75" customHeight="1">
      <c r="BF430" s="35"/>
    </row>
    <row r="431" spans="58:58" ht="15.75" customHeight="1">
      <c r="BF431" s="35"/>
    </row>
    <row r="432" spans="58:58" ht="15.75" customHeight="1">
      <c r="BF432" s="35"/>
    </row>
    <row r="433" spans="58:58" ht="15.75" customHeight="1">
      <c r="BF433" s="35"/>
    </row>
    <row r="434" spans="58:58" ht="15.75" customHeight="1">
      <c r="BF434" s="35"/>
    </row>
    <row r="435" spans="58:58" ht="15.75" customHeight="1">
      <c r="BF435" s="35"/>
    </row>
    <row r="436" spans="58:58" ht="15.75" customHeight="1">
      <c r="BF436" s="35"/>
    </row>
    <row r="437" spans="58:58" ht="15.75" customHeight="1">
      <c r="BF437" s="35"/>
    </row>
    <row r="438" spans="58:58" ht="15.75" customHeight="1">
      <c r="BF438" s="35"/>
    </row>
    <row r="439" spans="58:58" ht="15.75" customHeight="1">
      <c r="BF439" s="35"/>
    </row>
    <row r="440" spans="58:58" ht="15.75" customHeight="1">
      <c r="BF440" s="35"/>
    </row>
    <row r="441" spans="58:58" ht="15.75" customHeight="1">
      <c r="BF441" s="35"/>
    </row>
    <row r="442" spans="58:58" ht="15.75" customHeight="1">
      <c r="BF442" s="35"/>
    </row>
    <row r="443" spans="58:58" ht="15.75" customHeight="1">
      <c r="BF443" s="35"/>
    </row>
    <row r="444" spans="58:58" ht="15.75" customHeight="1">
      <c r="BF444" s="35"/>
    </row>
    <row r="445" spans="58:58" ht="15.75" customHeight="1">
      <c r="BF445" s="35"/>
    </row>
    <row r="446" spans="58:58" ht="15.75" customHeight="1">
      <c r="BF446" s="35"/>
    </row>
    <row r="447" spans="58:58" ht="15.75" customHeight="1">
      <c r="BF447" s="35"/>
    </row>
    <row r="448" spans="58:58" ht="15.75" customHeight="1">
      <c r="BF448" s="35"/>
    </row>
    <row r="449" spans="58:58" ht="15.75" customHeight="1">
      <c r="BF449" s="35"/>
    </row>
    <row r="450" spans="58:58" ht="15.75" customHeight="1">
      <c r="BF450" s="35"/>
    </row>
    <row r="451" spans="58:58" ht="15.75" customHeight="1">
      <c r="BF451" s="35"/>
    </row>
    <row r="452" spans="58:58" ht="15.75" customHeight="1">
      <c r="BF452" s="35"/>
    </row>
    <row r="453" spans="58:58" ht="15.75" customHeight="1">
      <c r="BF453" s="35"/>
    </row>
    <row r="454" spans="58:58" ht="15.75" customHeight="1">
      <c r="BF454" s="35"/>
    </row>
    <row r="455" spans="58:58" ht="15.75" customHeight="1">
      <c r="BF455" s="35"/>
    </row>
    <row r="456" spans="58:58" ht="15.75" customHeight="1">
      <c r="BF456" s="35"/>
    </row>
    <row r="457" spans="58:58" ht="15.75" customHeight="1">
      <c r="BF457" s="35"/>
    </row>
    <row r="458" spans="58:58" ht="15.75" customHeight="1">
      <c r="BF458" s="35"/>
    </row>
    <row r="459" spans="58:58" ht="15.75" customHeight="1">
      <c r="BF459" s="35"/>
    </row>
    <row r="460" spans="58:58" ht="15.75" customHeight="1">
      <c r="BF460" s="35"/>
    </row>
    <row r="461" spans="58:58" ht="15.75" customHeight="1">
      <c r="BF461" s="35"/>
    </row>
    <row r="462" spans="58:58" ht="15.75" customHeight="1">
      <c r="BF462" s="35"/>
    </row>
    <row r="463" spans="58:58" ht="15.75" customHeight="1">
      <c r="BF463" s="35"/>
    </row>
    <row r="464" spans="58:58" ht="15.75" customHeight="1">
      <c r="BF464" s="35"/>
    </row>
    <row r="465" spans="58:58" ht="15.75" customHeight="1">
      <c r="BF465" s="35"/>
    </row>
    <row r="466" spans="58:58" ht="15.75" customHeight="1">
      <c r="BF466" s="35"/>
    </row>
    <row r="467" spans="58:58" ht="15.75" customHeight="1">
      <c r="BF467" s="35"/>
    </row>
    <row r="468" spans="58:58" ht="15.75" customHeight="1">
      <c r="BF468" s="35"/>
    </row>
    <row r="469" spans="58:58" ht="15.75" customHeight="1">
      <c r="BF469" s="35"/>
    </row>
    <row r="470" spans="58:58" ht="15.75" customHeight="1">
      <c r="BF470" s="35"/>
    </row>
    <row r="471" spans="58:58" ht="15.75" customHeight="1">
      <c r="BF471" s="35"/>
    </row>
    <row r="472" spans="58:58" ht="15.75" customHeight="1">
      <c r="BF472" s="35"/>
    </row>
    <row r="473" spans="58:58" ht="15.75" customHeight="1">
      <c r="BF473" s="35"/>
    </row>
    <row r="474" spans="58:58" ht="15.75" customHeight="1">
      <c r="BF474" s="35"/>
    </row>
    <row r="475" spans="58:58" ht="15.75" customHeight="1">
      <c r="BF475" s="35"/>
    </row>
    <row r="476" spans="58:58" ht="15.75" customHeight="1">
      <c r="BF476" s="35"/>
    </row>
    <row r="477" spans="58:58" ht="15.75" customHeight="1">
      <c r="BF477" s="35"/>
    </row>
    <row r="478" spans="58:58" ht="15.75" customHeight="1">
      <c r="BF478" s="35"/>
    </row>
    <row r="479" spans="58:58" ht="15.75" customHeight="1">
      <c r="BF479" s="35"/>
    </row>
    <row r="480" spans="58:58" ht="15.75" customHeight="1">
      <c r="BF480" s="35"/>
    </row>
    <row r="481" spans="58:58" ht="15.75" customHeight="1">
      <c r="BF481" s="35"/>
    </row>
    <row r="482" spans="58:58" ht="15.75" customHeight="1">
      <c r="BF482" s="35"/>
    </row>
    <row r="483" spans="58:58" ht="15.75" customHeight="1">
      <c r="BF483" s="35"/>
    </row>
    <row r="484" spans="58:58" ht="15.75" customHeight="1">
      <c r="BF484" s="35"/>
    </row>
    <row r="485" spans="58:58" ht="15.75" customHeight="1">
      <c r="BF485" s="35"/>
    </row>
    <row r="486" spans="58:58" ht="15.75" customHeight="1">
      <c r="BF486" s="35"/>
    </row>
    <row r="487" spans="58:58" ht="15.75" customHeight="1">
      <c r="BF487" s="35"/>
    </row>
    <row r="488" spans="58:58" ht="15.75" customHeight="1">
      <c r="BF488" s="35"/>
    </row>
    <row r="489" spans="58:58" ht="15.75" customHeight="1">
      <c r="BF489" s="35"/>
    </row>
    <row r="490" spans="58:58" ht="15.75" customHeight="1">
      <c r="BF490" s="35"/>
    </row>
    <row r="491" spans="58:58" ht="15.75" customHeight="1">
      <c r="BF491" s="35"/>
    </row>
    <row r="492" spans="58:58" ht="15.75" customHeight="1">
      <c r="BF492" s="35"/>
    </row>
    <row r="493" spans="58:58" ht="15.75" customHeight="1">
      <c r="BF493" s="35"/>
    </row>
    <row r="494" spans="58:58" ht="15.75" customHeight="1">
      <c r="BF494" s="35"/>
    </row>
    <row r="495" spans="58:58" ht="15.75" customHeight="1">
      <c r="BF495" s="35"/>
    </row>
    <row r="496" spans="58:58" ht="15.75" customHeight="1">
      <c r="BF496" s="35"/>
    </row>
    <row r="497" spans="58:58" ht="15.75" customHeight="1">
      <c r="BF497" s="35"/>
    </row>
    <row r="498" spans="58:58" ht="15.75" customHeight="1">
      <c r="BF498" s="35"/>
    </row>
    <row r="499" spans="58:58" ht="15.75" customHeight="1">
      <c r="BF499" s="35"/>
    </row>
    <row r="500" spans="58:58" ht="15.75" customHeight="1">
      <c r="BF500" s="35"/>
    </row>
    <row r="501" spans="58:58" ht="15.75" customHeight="1">
      <c r="BF501" s="35"/>
    </row>
    <row r="502" spans="58:58" ht="15.75" customHeight="1">
      <c r="BF502" s="35"/>
    </row>
    <row r="503" spans="58:58" ht="15.75" customHeight="1">
      <c r="BF503" s="35"/>
    </row>
    <row r="504" spans="58:58" ht="15.75" customHeight="1">
      <c r="BF504" s="35"/>
    </row>
    <row r="505" spans="58:58" ht="15.75" customHeight="1">
      <c r="BF505" s="35"/>
    </row>
    <row r="506" spans="58:58" ht="15.75" customHeight="1">
      <c r="BF506" s="35"/>
    </row>
    <row r="507" spans="58:58" ht="15.75" customHeight="1">
      <c r="BF507" s="35"/>
    </row>
    <row r="508" spans="58:58" ht="15.75" customHeight="1">
      <c r="BF508" s="35"/>
    </row>
    <row r="509" spans="58:58" ht="15.75" customHeight="1">
      <c r="BF509" s="35"/>
    </row>
    <row r="510" spans="58:58" ht="15.75" customHeight="1">
      <c r="BF510" s="35"/>
    </row>
    <row r="511" spans="58:58" ht="15.75" customHeight="1">
      <c r="BF511" s="35"/>
    </row>
    <row r="512" spans="58:58" ht="15.75" customHeight="1">
      <c r="BF512" s="35"/>
    </row>
    <row r="513" spans="58:58" ht="15.75" customHeight="1">
      <c r="BF513" s="35"/>
    </row>
    <row r="514" spans="58:58" ht="15.75" customHeight="1">
      <c r="BF514" s="35"/>
    </row>
    <row r="515" spans="58:58" ht="15.75" customHeight="1">
      <c r="BF515" s="35"/>
    </row>
    <row r="516" spans="58:58" ht="15.75" customHeight="1">
      <c r="BF516" s="35"/>
    </row>
    <row r="517" spans="58:58" ht="15.75" customHeight="1">
      <c r="BF517" s="35"/>
    </row>
    <row r="518" spans="58:58" ht="15.75" customHeight="1">
      <c r="BF518" s="35"/>
    </row>
    <row r="519" spans="58:58" ht="15.75" customHeight="1">
      <c r="BF519" s="35"/>
    </row>
    <row r="520" spans="58:58" ht="15.75" customHeight="1">
      <c r="BF520" s="35"/>
    </row>
    <row r="521" spans="58:58" ht="15.75" customHeight="1">
      <c r="BF521" s="35"/>
    </row>
    <row r="522" spans="58:58" ht="15.75" customHeight="1">
      <c r="BF522" s="35"/>
    </row>
    <row r="523" spans="58:58" ht="15.75" customHeight="1">
      <c r="BF523" s="35"/>
    </row>
    <row r="524" spans="58:58" ht="15.75" customHeight="1">
      <c r="BF524" s="35"/>
    </row>
    <row r="525" spans="58:58" ht="15.75" customHeight="1">
      <c r="BF525" s="35"/>
    </row>
    <row r="526" spans="58:58" ht="15.75" customHeight="1">
      <c r="BF526" s="35"/>
    </row>
    <row r="527" spans="58:58" ht="15.75" customHeight="1">
      <c r="BF527" s="35"/>
    </row>
    <row r="528" spans="58:58" ht="15.75" customHeight="1">
      <c r="BF528" s="35"/>
    </row>
    <row r="529" spans="58:58" ht="15.75" customHeight="1">
      <c r="BF529" s="35"/>
    </row>
    <row r="530" spans="58:58" ht="15.75" customHeight="1">
      <c r="BF530" s="35"/>
    </row>
    <row r="531" spans="58:58" ht="15.75" customHeight="1">
      <c r="BF531" s="35"/>
    </row>
    <row r="532" spans="58:58" ht="15.75" customHeight="1">
      <c r="BF532" s="35"/>
    </row>
    <row r="533" spans="58:58" ht="15.75" customHeight="1">
      <c r="BF533" s="35"/>
    </row>
    <row r="534" spans="58:58" ht="15.75" customHeight="1">
      <c r="BF534" s="35"/>
    </row>
    <row r="535" spans="58:58" ht="15.75" customHeight="1">
      <c r="BF535" s="35"/>
    </row>
    <row r="536" spans="58:58" ht="15.75" customHeight="1">
      <c r="BF536" s="35"/>
    </row>
    <row r="537" spans="58:58" ht="15.75" customHeight="1">
      <c r="BF537" s="35"/>
    </row>
    <row r="538" spans="58:58" ht="15.75" customHeight="1">
      <c r="BF538" s="35"/>
    </row>
    <row r="539" spans="58:58" ht="15.75" customHeight="1">
      <c r="BF539" s="35"/>
    </row>
    <row r="540" spans="58:58" ht="15.75" customHeight="1">
      <c r="BF540" s="35"/>
    </row>
    <row r="541" spans="58:58" ht="15.75" customHeight="1">
      <c r="BF541" s="35"/>
    </row>
    <row r="542" spans="58:58" ht="15.75" customHeight="1">
      <c r="BF542" s="35"/>
    </row>
    <row r="543" spans="58:58" ht="15.75" customHeight="1">
      <c r="BF543" s="35"/>
    </row>
    <row r="544" spans="58:58" ht="15.75" customHeight="1">
      <c r="BF544" s="35"/>
    </row>
    <row r="545" spans="58:58" ht="15.75" customHeight="1">
      <c r="BF545" s="35"/>
    </row>
    <row r="546" spans="58:58" ht="15.75" customHeight="1">
      <c r="BF546" s="35"/>
    </row>
    <row r="547" spans="58:58" ht="15.75" customHeight="1">
      <c r="BF547" s="35"/>
    </row>
    <row r="548" spans="58:58" ht="15.75" customHeight="1">
      <c r="BF548" s="35"/>
    </row>
    <row r="549" spans="58:58" ht="15.75" customHeight="1">
      <c r="BF549" s="35"/>
    </row>
    <row r="550" spans="58:58" ht="15.75" customHeight="1">
      <c r="BF550" s="35"/>
    </row>
    <row r="551" spans="58:58" ht="15.75" customHeight="1">
      <c r="BF551" s="35"/>
    </row>
    <row r="552" spans="58:58" ht="15.75" customHeight="1">
      <c r="BF552" s="35"/>
    </row>
    <row r="553" spans="58:58" ht="15.75" customHeight="1">
      <c r="BF553" s="35"/>
    </row>
    <row r="554" spans="58:58" ht="15.75" customHeight="1">
      <c r="BF554" s="35"/>
    </row>
    <row r="555" spans="58:58" ht="15.75" customHeight="1">
      <c r="BF555" s="35"/>
    </row>
    <row r="556" spans="58:58" ht="15.75" customHeight="1">
      <c r="BF556" s="35"/>
    </row>
    <row r="557" spans="58:58" ht="15.75" customHeight="1">
      <c r="BF557" s="35"/>
    </row>
    <row r="558" spans="58:58" ht="15.75" customHeight="1">
      <c r="BF558" s="35"/>
    </row>
    <row r="559" spans="58:58" ht="15.75" customHeight="1">
      <c r="BF559" s="35"/>
    </row>
    <row r="560" spans="58:58" ht="15.75" customHeight="1">
      <c r="BF560" s="35"/>
    </row>
    <row r="561" spans="58:58" ht="15.75" customHeight="1">
      <c r="BF561" s="35"/>
    </row>
    <row r="562" spans="58:58" ht="15.75" customHeight="1">
      <c r="BF562" s="35"/>
    </row>
    <row r="563" spans="58:58" ht="15.75" customHeight="1">
      <c r="BF563" s="35"/>
    </row>
    <row r="564" spans="58:58" ht="15.75" customHeight="1">
      <c r="BF564" s="35"/>
    </row>
    <row r="565" spans="58:58" ht="15.75" customHeight="1">
      <c r="BF565" s="35"/>
    </row>
    <row r="566" spans="58:58" ht="15.75" customHeight="1">
      <c r="BF566" s="35"/>
    </row>
    <row r="567" spans="58:58" ht="15.75" customHeight="1">
      <c r="BF567" s="35"/>
    </row>
    <row r="568" spans="58:58" ht="15.75" customHeight="1">
      <c r="BF568" s="35"/>
    </row>
    <row r="569" spans="58:58" ht="15.75" customHeight="1">
      <c r="BF569" s="35"/>
    </row>
    <row r="570" spans="58:58" ht="15.75" customHeight="1">
      <c r="BF570" s="35"/>
    </row>
    <row r="571" spans="58:58" ht="15.75" customHeight="1">
      <c r="BF571" s="35"/>
    </row>
    <row r="572" spans="58:58" ht="15.75" customHeight="1">
      <c r="BF572" s="35"/>
    </row>
    <row r="573" spans="58:58" ht="15.75" customHeight="1">
      <c r="BF573" s="35"/>
    </row>
    <row r="574" spans="58:58" ht="15.75" customHeight="1">
      <c r="BF574" s="35"/>
    </row>
    <row r="575" spans="58:58" ht="15.75" customHeight="1">
      <c r="BF575" s="35"/>
    </row>
    <row r="576" spans="58:58" ht="15.75" customHeight="1">
      <c r="BF576" s="35"/>
    </row>
    <row r="577" spans="58:58" ht="15.75" customHeight="1">
      <c r="BF577" s="35"/>
    </row>
    <row r="578" spans="58:58" ht="15.75" customHeight="1">
      <c r="BF578" s="35"/>
    </row>
    <row r="579" spans="58:58" ht="15.75" customHeight="1">
      <c r="BF579" s="35"/>
    </row>
    <row r="580" spans="58:58" ht="15.75" customHeight="1">
      <c r="BF580" s="35"/>
    </row>
    <row r="581" spans="58:58" ht="15.75" customHeight="1">
      <c r="BF581" s="35"/>
    </row>
    <row r="582" spans="58:58" ht="15.75" customHeight="1">
      <c r="BF582" s="35"/>
    </row>
    <row r="583" spans="58:58" ht="15.75" customHeight="1">
      <c r="BF583" s="35"/>
    </row>
    <row r="584" spans="58:58" ht="15.75" customHeight="1">
      <c r="BF584" s="35"/>
    </row>
    <row r="585" spans="58:58" ht="15.75" customHeight="1">
      <c r="BF585" s="35"/>
    </row>
    <row r="586" spans="58:58" ht="15.75" customHeight="1">
      <c r="BF586" s="35"/>
    </row>
    <row r="587" spans="58:58" ht="15.75" customHeight="1">
      <c r="BF587" s="35"/>
    </row>
    <row r="588" spans="58:58" ht="15.75" customHeight="1">
      <c r="BF588" s="35"/>
    </row>
    <row r="589" spans="58:58" ht="15.75" customHeight="1">
      <c r="BF589" s="35"/>
    </row>
    <row r="590" spans="58:58" ht="15.75" customHeight="1">
      <c r="BF590" s="35"/>
    </row>
    <row r="591" spans="58:58" ht="15.75" customHeight="1">
      <c r="BF591" s="35"/>
    </row>
    <row r="592" spans="58:58" ht="15.75" customHeight="1">
      <c r="BF592" s="35"/>
    </row>
    <row r="593" spans="58:58" ht="15.75" customHeight="1">
      <c r="BF593" s="35"/>
    </row>
    <row r="594" spans="58:58" ht="15.75" customHeight="1">
      <c r="BF594" s="35"/>
    </row>
    <row r="595" spans="58:58" ht="15.75" customHeight="1">
      <c r="BF595" s="35"/>
    </row>
    <row r="596" spans="58:58" ht="15.75" customHeight="1">
      <c r="BF596" s="35"/>
    </row>
    <row r="597" spans="58:58" ht="15.75" customHeight="1">
      <c r="BF597" s="35"/>
    </row>
    <row r="598" spans="58:58" ht="15.75" customHeight="1">
      <c r="BF598" s="35"/>
    </row>
    <row r="599" spans="58:58" ht="15.75" customHeight="1">
      <c r="BF599" s="35"/>
    </row>
    <row r="600" spans="58:58" ht="15.75" customHeight="1">
      <c r="BF600" s="35"/>
    </row>
    <row r="601" spans="58:58" ht="15.75" customHeight="1">
      <c r="BF601" s="35"/>
    </row>
    <row r="602" spans="58:58" ht="15.75" customHeight="1">
      <c r="BF602" s="35"/>
    </row>
    <row r="603" spans="58:58" ht="15.75" customHeight="1">
      <c r="BF603" s="35"/>
    </row>
    <row r="604" spans="58:58" ht="15.75" customHeight="1">
      <c r="BF604" s="35"/>
    </row>
    <row r="605" spans="58:58" ht="15.75" customHeight="1">
      <c r="BF605" s="35"/>
    </row>
    <row r="606" spans="58:58" ht="15.75" customHeight="1">
      <c r="BF606" s="35"/>
    </row>
    <row r="607" spans="58:58" ht="15.75" customHeight="1">
      <c r="BF607" s="35"/>
    </row>
    <row r="608" spans="58:58" ht="15.75" customHeight="1">
      <c r="BF608" s="35"/>
    </row>
    <row r="609" spans="58:58" ht="15.75" customHeight="1">
      <c r="BF609" s="35"/>
    </row>
    <row r="610" spans="58:58" ht="15.75" customHeight="1">
      <c r="BF610" s="35"/>
    </row>
    <row r="611" spans="58:58" ht="15.75" customHeight="1">
      <c r="BF611" s="35"/>
    </row>
    <row r="612" spans="58:58" ht="15.75" customHeight="1">
      <c r="BF612" s="35"/>
    </row>
    <row r="613" spans="58:58" ht="15.75" customHeight="1">
      <c r="BF613" s="35"/>
    </row>
    <row r="614" spans="58:58" ht="15.75" customHeight="1">
      <c r="BF614" s="35"/>
    </row>
    <row r="615" spans="58:58" ht="15.75" customHeight="1">
      <c r="BF615" s="35"/>
    </row>
    <row r="616" spans="58:58" ht="15.75" customHeight="1">
      <c r="BF616" s="35"/>
    </row>
    <row r="617" spans="58:58" ht="15.75" customHeight="1">
      <c r="BF617" s="35"/>
    </row>
    <row r="618" spans="58:58" ht="15.75" customHeight="1">
      <c r="BF618" s="35"/>
    </row>
    <row r="619" spans="58:58" ht="15.75" customHeight="1">
      <c r="BF619" s="35"/>
    </row>
    <row r="620" spans="58:58" ht="15.75" customHeight="1">
      <c r="BF620" s="35"/>
    </row>
    <row r="621" spans="58:58" ht="15.75" customHeight="1">
      <c r="BF621" s="35"/>
    </row>
    <row r="622" spans="58:58" ht="15.75" customHeight="1">
      <c r="BF622" s="35"/>
    </row>
    <row r="623" spans="58:58" ht="15.75" customHeight="1">
      <c r="BF623" s="35"/>
    </row>
    <row r="624" spans="58:58" ht="15.75" customHeight="1">
      <c r="BF624" s="35"/>
    </row>
    <row r="625" spans="58:58" ht="15.75" customHeight="1">
      <c r="BF625" s="35"/>
    </row>
    <row r="626" spans="58:58" ht="15.75" customHeight="1">
      <c r="BF626" s="35"/>
    </row>
    <row r="627" spans="58:58" ht="15.75" customHeight="1">
      <c r="BF627" s="35"/>
    </row>
    <row r="628" spans="58:58" ht="15.75" customHeight="1">
      <c r="BF628" s="35"/>
    </row>
    <row r="629" spans="58:58" ht="15.75" customHeight="1">
      <c r="BF629" s="35"/>
    </row>
    <row r="630" spans="58:58" ht="15.75" customHeight="1">
      <c r="BF630" s="35"/>
    </row>
    <row r="631" spans="58:58" ht="15.75" customHeight="1">
      <c r="BF631" s="35"/>
    </row>
    <row r="632" spans="58:58" ht="15.75" customHeight="1">
      <c r="BF632" s="35"/>
    </row>
    <row r="633" spans="58:58" ht="15.75" customHeight="1">
      <c r="BF633" s="35"/>
    </row>
    <row r="634" spans="58:58" ht="15.75" customHeight="1">
      <c r="BF634" s="35"/>
    </row>
    <row r="635" spans="58:58" ht="15.75" customHeight="1">
      <c r="BF635" s="35"/>
    </row>
    <row r="636" spans="58:58" ht="15.75" customHeight="1">
      <c r="BF636" s="35"/>
    </row>
    <row r="637" spans="58:58" ht="15.75" customHeight="1">
      <c r="BF637" s="35"/>
    </row>
    <row r="638" spans="58:58" ht="15.75" customHeight="1">
      <c r="BF638" s="35"/>
    </row>
    <row r="639" spans="58:58" ht="15.75" customHeight="1">
      <c r="BF639" s="35"/>
    </row>
    <row r="640" spans="58:58" ht="15.75" customHeight="1">
      <c r="BF640" s="35"/>
    </row>
    <row r="641" spans="58:58" ht="15.75" customHeight="1">
      <c r="BF641" s="35"/>
    </row>
    <row r="642" spans="58:58" ht="15.75" customHeight="1">
      <c r="BF642" s="35"/>
    </row>
    <row r="643" spans="58:58" ht="15.75" customHeight="1">
      <c r="BF643" s="35"/>
    </row>
    <row r="644" spans="58:58" ht="15.75" customHeight="1">
      <c r="BF644" s="35"/>
    </row>
    <row r="645" spans="58:58" ht="15.75" customHeight="1">
      <c r="BF645" s="35"/>
    </row>
    <row r="646" spans="58:58" ht="15.75" customHeight="1">
      <c r="BF646" s="35"/>
    </row>
    <row r="647" spans="58:58" ht="15.75" customHeight="1">
      <c r="BF647" s="35"/>
    </row>
    <row r="648" spans="58:58" ht="15.75" customHeight="1">
      <c r="BF648" s="35"/>
    </row>
    <row r="649" spans="58:58" ht="15.75" customHeight="1">
      <c r="BF649" s="35"/>
    </row>
    <row r="650" spans="58:58" ht="15.75" customHeight="1">
      <c r="BF650" s="35"/>
    </row>
    <row r="651" spans="58:58" ht="15.75" customHeight="1">
      <c r="BF651" s="35"/>
    </row>
    <row r="652" spans="58:58" ht="15.75" customHeight="1">
      <c r="BF652" s="35"/>
    </row>
    <row r="653" spans="58:58" ht="15.75" customHeight="1">
      <c r="BF653" s="35"/>
    </row>
    <row r="654" spans="58:58" ht="15.75" customHeight="1">
      <c r="BF654" s="35"/>
    </row>
    <row r="655" spans="58:58" ht="15.75" customHeight="1">
      <c r="BF655" s="35"/>
    </row>
    <row r="656" spans="58:58" ht="15.75" customHeight="1">
      <c r="BF656" s="35"/>
    </row>
    <row r="657" spans="58:58" ht="15.75" customHeight="1">
      <c r="BF657" s="35"/>
    </row>
    <row r="658" spans="58:58" ht="15.75" customHeight="1">
      <c r="BF658" s="35"/>
    </row>
    <row r="659" spans="58:58" ht="15.75" customHeight="1">
      <c r="BF659" s="35"/>
    </row>
    <row r="660" spans="58:58" ht="15.75" customHeight="1">
      <c r="BF660" s="35"/>
    </row>
    <row r="661" spans="58:58" ht="15.75" customHeight="1">
      <c r="BF661" s="35"/>
    </row>
    <row r="662" spans="58:58" ht="15.75" customHeight="1">
      <c r="BF662" s="35"/>
    </row>
    <row r="663" spans="58:58" ht="15.75" customHeight="1">
      <c r="BF663" s="35"/>
    </row>
    <row r="664" spans="58:58" ht="15.75" customHeight="1">
      <c r="BF664" s="35"/>
    </row>
    <row r="665" spans="58:58" ht="15.75" customHeight="1">
      <c r="BF665" s="35"/>
    </row>
    <row r="666" spans="58:58" ht="15.75" customHeight="1">
      <c r="BF666" s="35"/>
    </row>
    <row r="667" spans="58:58" ht="15.75" customHeight="1">
      <c r="BF667" s="35"/>
    </row>
    <row r="668" spans="58:58" ht="15.75" customHeight="1">
      <c r="BF668" s="35"/>
    </row>
    <row r="669" spans="58:58" ht="15.75" customHeight="1">
      <c r="BF669" s="35"/>
    </row>
    <row r="670" spans="58:58" ht="15.75" customHeight="1">
      <c r="BF670" s="35"/>
    </row>
    <row r="671" spans="58:58" ht="15.75" customHeight="1">
      <c r="BF671" s="35"/>
    </row>
    <row r="672" spans="58:58" ht="15.75" customHeight="1">
      <c r="BF672" s="35"/>
    </row>
    <row r="673" spans="58:58" ht="15.75" customHeight="1">
      <c r="BF673" s="35"/>
    </row>
    <row r="674" spans="58:58" ht="15.75" customHeight="1">
      <c r="BF674" s="35"/>
    </row>
    <row r="675" spans="58:58" ht="15.75" customHeight="1">
      <c r="BF675" s="35"/>
    </row>
    <row r="676" spans="58:58" ht="15.75" customHeight="1">
      <c r="BF676" s="35"/>
    </row>
    <row r="677" spans="58:58" ht="15.75" customHeight="1">
      <c r="BF677" s="35"/>
    </row>
    <row r="678" spans="58:58" ht="15.75" customHeight="1">
      <c r="BF678" s="35"/>
    </row>
    <row r="679" spans="58:58" ht="15.75" customHeight="1">
      <c r="BF679" s="35"/>
    </row>
    <row r="680" spans="58:58" ht="15.75" customHeight="1">
      <c r="BF680" s="35"/>
    </row>
    <row r="681" spans="58:58" ht="15.75" customHeight="1">
      <c r="BF681" s="35"/>
    </row>
    <row r="682" spans="58:58" ht="15.75" customHeight="1">
      <c r="BF682" s="35"/>
    </row>
    <row r="683" spans="58:58" ht="15.75" customHeight="1">
      <c r="BF683" s="35"/>
    </row>
    <row r="684" spans="58:58" ht="15.75" customHeight="1">
      <c r="BF684" s="35"/>
    </row>
    <row r="685" spans="58:58" ht="15.75" customHeight="1">
      <c r="BF685" s="35"/>
    </row>
    <row r="686" spans="58:58" ht="15.75" customHeight="1">
      <c r="BF686" s="35"/>
    </row>
    <row r="687" spans="58:58" ht="15.75" customHeight="1">
      <c r="BF687" s="35"/>
    </row>
    <row r="688" spans="58:58" ht="15.75" customHeight="1">
      <c r="BF688" s="35"/>
    </row>
    <row r="689" spans="58:58" ht="15.75" customHeight="1">
      <c r="BF689" s="35"/>
    </row>
    <row r="690" spans="58:58" ht="15.75" customHeight="1">
      <c r="BF690" s="35"/>
    </row>
    <row r="691" spans="58:58" ht="15.75" customHeight="1">
      <c r="BF691" s="35"/>
    </row>
    <row r="692" spans="58:58" ht="15.75" customHeight="1">
      <c r="BF692" s="35"/>
    </row>
    <row r="693" spans="58:58" ht="15.75" customHeight="1">
      <c r="BF693" s="35"/>
    </row>
    <row r="694" spans="58:58" ht="15.75" customHeight="1">
      <c r="BF694" s="35"/>
    </row>
    <row r="695" spans="58:58" ht="15.75" customHeight="1">
      <c r="BF695" s="35"/>
    </row>
    <row r="696" spans="58:58" ht="15.75" customHeight="1">
      <c r="BF696" s="35"/>
    </row>
    <row r="697" spans="58:58" ht="15.75" customHeight="1">
      <c r="BF697" s="35"/>
    </row>
    <row r="698" spans="58:58" ht="15.75" customHeight="1">
      <c r="BF698" s="35"/>
    </row>
    <row r="699" spans="58:58" ht="15.75" customHeight="1">
      <c r="BF699" s="35"/>
    </row>
    <row r="700" spans="58:58" ht="15.75" customHeight="1">
      <c r="BF700" s="35"/>
    </row>
    <row r="701" spans="58:58" ht="15.75" customHeight="1">
      <c r="BF701" s="35"/>
    </row>
    <row r="702" spans="58:58" ht="15.75" customHeight="1">
      <c r="BF702" s="35"/>
    </row>
    <row r="703" spans="58:58" ht="15.75" customHeight="1">
      <c r="BF703" s="35"/>
    </row>
    <row r="704" spans="58:58" ht="15.75" customHeight="1">
      <c r="BF704" s="35"/>
    </row>
    <row r="705" spans="58:58" ht="15.75" customHeight="1">
      <c r="BF705" s="35"/>
    </row>
    <row r="706" spans="58:58" ht="15.75" customHeight="1">
      <c r="BF706" s="35"/>
    </row>
    <row r="707" spans="58:58" ht="15.75" customHeight="1">
      <c r="BF707" s="35"/>
    </row>
    <row r="708" spans="58:58" ht="15.75" customHeight="1">
      <c r="BF708" s="35"/>
    </row>
    <row r="709" spans="58:58" ht="15.75" customHeight="1">
      <c r="BF709" s="35"/>
    </row>
    <row r="710" spans="58:58" ht="15.75" customHeight="1">
      <c r="BF710" s="35"/>
    </row>
    <row r="711" spans="58:58" ht="15.75" customHeight="1">
      <c r="BF711" s="35"/>
    </row>
    <row r="712" spans="58:58" ht="15.75" customHeight="1">
      <c r="BF712" s="35"/>
    </row>
    <row r="713" spans="58:58" ht="15.75" customHeight="1">
      <c r="BF713" s="35"/>
    </row>
    <row r="714" spans="58:58" ht="15.75" customHeight="1">
      <c r="BF714" s="35"/>
    </row>
    <row r="715" spans="58:58" ht="15.75" customHeight="1">
      <c r="BF715" s="35"/>
    </row>
    <row r="716" spans="58:58" ht="15.75" customHeight="1">
      <c r="BF716" s="35"/>
    </row>
    <row r="717" spans="58:58" ht="15.75" customHeight="1">
      <c r="BF717" s="35"/>
    </row>
    <row r="718" spans="58:58" ht="15.75" customHeight="1">
      <c r="BF718" s="35"/>
    </row>
    <row r="719" spans="58:58" ht="15.75" customHeight="1">
      <c r="BF719" s="35"/>
    </row>
    <row r="720" spans="58:58" ht="15.75" customHeight="1">
      <c r="BF720" s="35"/>
    </row>
    <row r="721" spans="58:58" ht="15.75" customHeight="1">
      <c r="BF721" s="35"/>
    </row>
    <row r="722" spans="58:58" ht="15.75" customHeight="1">
      <c r="BF722" s="35"/>
    </row>
    <row r="723" spans="58:58" ht="15.75" customHeight="1">
      <c r="BF723" s="35"/>
    </row>
    <row r="724" spans="58:58" ht="15.75" customHeight="1">
      <c r="BF724" s="35"/>
    </row>
    <row r="725" spans="58:58" ht="15.75" customHeight="1">
      <c r="BF725" s="35"/>
    </row>
    <row r="726" spans="58:58" ht="15.75" customHeight="1">
      <c r="BF726" s="35"/>
    </row>
    <row r="727" spans="58:58" ht="15.75" customHeight="1">
      <c r="BF727" s="35"/>
    </row>
    <row r="728" spans="58:58" ht="15.75" customHeight="1">
      <c r="BF728" s="35"/>
    </row>
    <row r="729" spans="58:58" ht="15.75" customHeight="1">
      <c r="BF729" s="35"/>
    </row>
    <row r="730" spans="58:58" ht="15.75" customHeight="1">
      <c r="BF730" s="35"/>
    </row>
    <row r="731" spans="58:58" ht="15.75" customHeight="1">
      <c r="BF731" s="35"/>
    </row>
    <row r="732" spans="58:58" ht="15.75" customHeight="1">
      <c r="BF732" s="35"/>
    </row>
    <row r="733" spans="58:58" ht="15.75" customHeight="1">
      <c r="BF733" s="35"/>
    </row>
    <row r="734" spans="58:58" ht="15.75" customHeight="1">
      <c r="BF734" s="35"/>
    </row>
    <row r="735" spans="58:58" ht="15.75" customHeight="1">
      <c r="BF735" s="35"/>
    </row>
    <row r="736" spans="58:58" ht="15.75" customHeight="1">
      <c r="BF736" s="35"/>
    </row>
    <row r="737" spans="58:58" ht="15.75" customHeight="1">
      <c r="BF737" s="35"/>
    </row>
    <row r="738" spans="58:58" ht="15.75" customHeight="1">
      <c r="BF738" s="35"/>
    </row>
    <row r="739" spans="58:58" ht="15.75" customHeight="1">
      <c r="BF739" s="35"/>
    </row>
    <row r="740" spans="58:58" ht="15.75" customHeight="1">
      <c r="BF740" s="35"/>
    </row>
    <row r="741" spans="58:58" ht="15.75" customHeight="1">
      <c r="BF741" s="35"/>
    </row>
    <row r="742" spans="58:58" ht="15.75" customHeight="1">
      <c r="BF742" s="35"/>
    </row>
    <row r="743" spans="58:58" ht="15.75" customHeight="1">
      <c r="BF743" s="35"/>
    </row>
    <row r="744" spans="58:58" ht="15.75" customHeight="1">
      <c r="BF744" s="35"/>
    </row>
    <row r="745" spans="58:58" ht="15.75" customHeight="1">
      <c r="BF745" s="35"/>
    </row>
    <row r="746" spans="58:58" ht="15.75" customHeight="1">
      <c r="BF746" s="35"/>
    </row>
    <row r="747" spans="58:58" ht="15.75" customHeight="1">
      <c r="BF747" s="35"/>
    </row>
    <row r="748" spans="58:58" ht="15.75" customHeight="1">
      <c r="BF748" s="35"/>
    </row>
    <row r="749" spans="58:58" ht="15.75" customHeight="1">
      <c r="BF749" s="35"/>
    </row>
    <row r="750" spans="58:58" ht="15.75" customHeight="1">
      <c r="BF750" s="35"/>
    </row>
    <row r="751" spans="58:58" ht="15.75" customHeight="1">
      <c r="BF751" s="35"/>
    </row>
    <row r="752" spans="58:58" ht="15.75" customHeight="1">
      <c r="BF752" s="35"/>
    </row>
    <row r="753" spans="58:58" ht="15.75" customHeight="1">
      <c r="BF753" s="35"/>
    </row>
    <row r="754" spans="58:58" ht="15.75" customHeight="1">
      <c r="BF754" s="35"/>
    </row>
    <row r="755" spans="58:58" ht="15.75" customHeight="1">
      <c r="BF755" s="35"/>
    </row>
    <row r="756" spans="58:58" ht="15.75" customHeight="1">
      <c r="BF756" s="35"/>
    </row>
    <row r="757" spans="58:58" ht="15.75" customHeight="1">
      <c r="BF757" s="35"/>
    </row>
    <row r="758" spans="58:58" ht="15.75" customHeight="1">
      <c r="BF758" s="35"/>
    </row>
    <row r="759" spans="58:58" ht="15.75" customHeight="1">
      <c r="BF759" s="35"/>
    </row>
    <row r="760" spans="58:58" ht="15.75" customHeight="1">
      <c r="BF760" s="35"/>
    </row>
    <row r="761" spans="58:58" ht="15.75" customHeight="1">
      <c r="BF761" s="35"/>
    </row>
    <row r="762" spans="58:58" ht="15.75" customHeight="1">
      <c r="BF762" s="35"/>
    </row>
    <row r="763" spans="58:58" ht="15.75" customHeight="1">
      <c r="BF763" s="35"/>
    </row>
    <row r="764" spans="58:58" ht="15.75" customHeight="1">
      <c r="BF764" s="35"/>
    </row>
    <row r="765" spans="58:58" ht="15.75" customHeight="1">
      <c r="BF765" s="35"/>
    </row>
    <row r="766" spans="58:58" ht="15.75" customHeight="1">
      <c r="BF766" s="35"/>
    </row>
    <row r="767" spans="58:58" ht="15.75" customHeight="1">
      <c r="BF767" s="35"/>
    </row>
    <row r="768" spans="58:58" ht="15.75" customHeight="1">
      <c r="BF768" s="35"/>
    </row>
    <row r="769" spans="58:58" ht="15.75" customHeight="1">
      <c r="BF769" s="35"/>
    </row>
    <row r="770" spans="58:58" ht="15.75" customHeight="1">
      <c r="BF770" s="35"/>
    </row>
    <row r="771" spans="58:58" ht="15.75" customHeight="1">
      <c r="BF771" s="35"/>
    </row>
    <row r="772" spans="58:58" ht="15.75" customHeight="1">
      <c r="BF772" s="35"/>
    </row>
    <row r="773" spans="58:58" ht="15.75" customHeight="1">
      <c r="BF773" s="35"/>
    </row>
    <row r="774" spans="58:58" ht="15.75" customHeight="1">
      <c r="BF774" s="35"/>
    </row>
    <row r="775" spans="58:58" ht="15.75" customHeight="1">
      <c r="BF775" s="35"/>
    </row>
    <row r="776" spans="58:58" ht="15.75" customHeight="1">
      <c r="BF776" s="35"/>
    </row>
    <row r="777" spans="58:58" ht="15.75" customHeight="1">
      <c r="BF777" s="35"/>
    </row>
    <row r="778" spans="58:58" ht="15.75" customHeight="1">
      <c r="BF778" s="35"/>
    </row>
    <row r="779" spans="58:58" ht="15.75" customHeight="1">
      <c r="BF779" s="35"/>
    </row>
    <row r="780" spans="58:58" ht="15.75" customHeight="1">
      <c r="BF780" s="35"/>
    </row>
    <row r="781" spans="58:58" ht="15.75" customHeight="1">
      <c r="BF781" s="35"/>
    </row>
    <row r="782" spans="58:58" ht="15.75" customHeight="1">
      <c r="BF782" s="35"/>
    </row>
    <row r="783" spans="58:58" ht="15.75" customHeight="1">
      <c r="BF783" s="35"/>
    </row>
    <row r="784" spans="58:58" ht="15.75" customHeight="1">
      <c r="BF784" s="35"/>
    </row>
    <row r="785" spans="58:58" ht="15.75" customHeight="1">
      <c r="BF785" s="35"/>
    </row>
    <row r="786" spans="58:58" ht="15.75" customHeight="1">
      <c r="BF786" s="35"/>
    </row>
    <row r="787" spans="58:58" ht="15.75" customHeight="1">
      <c r="BF787" s="35"/>
    </row>
    <row r="788" spans="58:58" ht="15.75" customHeight="1">
      <c r="BF788" s="35"/>
    </row>
    <row r="789" spans="58:58" ht="15.75" customHeight="1">
      <c r="BF789" s="35"/>
    </row>
    <row r="790" spans="58:58" ht="15.75" customHeight="1">
      <c r="BF790" s="35"/>
    </row>
    <row r="791" spans="58:58" ht="15.75" customHeight="1">
      <c r="BF791" s="35"/>
    </row>
    <row r="792" spans="58:58" ht="15.75" customHeight="1">
      <c r="BF792" s="35"/>
    </row>
    <row r="793" spans="58:58" ht="15.75" customHeight="1">
      <c r="BF793" s="35"/>
    </row>
    <row r="794" spans="58:58" ht="15.75" customHeight="1">
      <c r="BF794" s="35"/>
    </row>
    <row r="795" spans="58:58" ht="15.75" customHeight="1">
      <c r="BF795" s="35"/>
    </row>
    <row r="796" spans="58:58" ht="15.75" customHeight="1">
      <c r="BF796" s="35"/>
    </row>
    <row r="797" spans="58:58" ht="15.75" customHeight="1">
      <c r="BF797" s="35"/>
    </row>
    <row r="798" spans="58:58" ht="15.75" customHeight="1">
      <c r="BF798" s="35"/>
    </row>
    <row r="799" spans="58:58" ht="15.75" customHeight="1">
      <c r="BF799" s="35"/>
    </row>
    <row r="800" spans="58:58" ht="15.75" customHeight="1">
      <c r="BF800" s="35"/>
    </row>
    <row r="801" spans="58:58" ht="15.75" customHeight="1">
      <c r="BF801" s="35"/>
    </row>
    <row r="802" spans="58:58" ht="15.75" customHeight="1">
      <c r="BF802" s="35"/>
    </row>
    <row r="803" spans="58:58" ht="15.75" customHeight="1">
      <c r="BF803" s="35"/>
    </row>
    <row r="804" spans="58:58" ht="15.75" customHeight="1">
      <c r="BF804" s="35"/>
    </row>
    <row r="805" spans="58:58" ht="15.75" customHeight="1">
      <c r="BF805" s="35"/>
    </row>
    <row r="806" spans="58:58" ht="15.75" customHeight="1">
      <c r="BF806" s="35"/>
    </row>
    <row r="807" spans="58:58" ht="15.75" customHeight="1">
      <c r="BF807" s="35"/>
    </row>
    <row r="808" spans="58:58" ht="15.75" customHeight="1">
      <c r="BF808" s="35"/>
    </row>
    <row r="809" spans="58:58" ht="15.75" customHeight="1">
      <c r="BF809" s="35"/>
    </row>
    <row r="810" spans="58:58" ht="15.75" customHeight="1">
      <c r="BF810" s="35"/>
    </row>
    <row r="811" spans="58:58" ht="15.75" customHeight="1">
      <c r="BF811" s="35"/>
    </row>
    <row r="812" spans="58:58" ht="15.75" customHeight="1">
      <c r="BF812" s="35"/>
    </row>
    <row r="813" spans="58:58" ht="15.75" customHeight="1">
      <c r="BF813" s="35"/>
    </row>
    <row r="814" spans="58:58" ht="15.75" customHeight="1">
      <c r="BF814" s="35"/>
    </row>
    <row r="815" spans="58:58" ht="15.75" customHeight="1">
      <c r="BF815" s="35"/>
    </row>
    <row r="816" spans="58:58" ht="15.75" customHeight="1">
      <c r="BF816" s="35"/>
    </row>
    <row r="817" spans="58:58" ht="15.75" customHeight="1">
      <c r="BF817" s="35"/>
    </row>
    <row r="818" spans="58:58" ht="15.75" customHeight="1">
      <c r="BF818" s="35"/>
    </row>
    <row r="819" spans="58:58" ht="15.75" customHeight="1">
      <c r="BF819" s="35"/>
    </row>
    <row r="820" spans="58:58" ht="15.75" customHeight="1">
      <c r="BF820" s="35"/>
    </row>
    <row r="821" spans="58:58" ht="15.75" customHeight="1">
      <c r="BF821" s="35"/>
    </row>
    <row r="822" spans="58:58" ht="15.75" customHeight="1">
      <c r="BF822" s="35"/>
    </row>
    <row r="823" spans="58:58" ht="15.75" customHeight="1">
      <c r="BF823" s="35"/>
    </row>
    <row r="824" spans="58:58" ht="15.75" customHeight="1">
      <c r="BF824" s="35"/>
    </row>
    <row r="825" spans="58:58" ht="15.75" customHeight="1">
      <c r="BF825" s="35"/>
    </row>
    <row r="826" spans="58:58" ht="15.75" customHeight="1">
      <c r="BF826" s="35"/>
    </row>
    <row r="827" spans="58:58" ht="15.75" customHeight="1">
      <c r="BF827" s="35"/>
    </row>
    <row r="828" spans="58:58" ht="15.75" customHeight="1">
      <c r="BF828" s="35"/>
    </row>
    <row r="829" spans="58:58" ht="15.75" customHeight="1">
      <c r="BF829" s="35"/>
    </row>
    <row r="830" spans="58:58" ht="15.75" customHeight="1">
      <c r="BF830" s="35"/>
    </row>
    <row r="831" spans="58:58" ht="15.75" customHeight="1">
      <c r="BF831" s="35"/>
    </row>
    <row r="832" spans="58:58" ht="15.75" customHeight="1">
      <c r="BF832" s="35"/>
    </row>
    <row r="833" spans="58:58" ht="15.75" customHeight="1">
      <c r="BF833" s="35"/>
    </row>
    <row r="834" spans="58:58" ht="15.75" customHeight="1">
      <c r="BF834" s="35"/>
    </row>
    <row r="835" spans="58:58" ht="15.75" customHeight="1">
      <c r="BF835" s="35"/>
    </row>
    <row r="836" spans="58:58" ht="15.75" customHeight="1">
      <c r="BF836" s="35"/>
    </row>
    <row r="837" spans="58:58" ht="15.75" customHeight="1">
      <c r="BF837" s="35"/>
    </row>
    <row r="838" spans="58:58" ht="15.75" customHeight="1">
      <c r="BF838" s="35"/>
    </row>
    <row r="839" spans="58:58" ht="15.75" customHeight="1">
      <c r="BF839" s="35"/>
    </row>
    <row r="840" spans="58:58" ht="15.75" customHeight="1">
      <c r="BF840" s="35"/>
    </row>
    <row r="841" spans="58:58" ht="15.75" customHeight="1">
      <c r="BF841" s="35"/>
    </row>
    <row r="842" spans="58:58" ht="15.75" customHeight="1">
      <c r="BF842" s="35"/>
    </row>
    <row r="843" spans="58:58" ht="15.75" customHeight="1">
      <c r="BF843" s="35"/>
    </row>
    <row r="844" spans="58:58" ht="15.75" customHeight="1">
      <c r="BF844" s="35"/>
    </row>
    <row r="845" spans="58:58" ht="15.75" customHeight="1">
      <c r="BF845" s="35"/>
    </row>
    <row r="846" spans="58:58" ht="15.75" customHeight="1">
      <c r="BF846" s="35"/>
    </row>
    <row r="847" spans="58:58" ht="15.75" customHeight="1">
      <c r="BF847" s="35"/>
    </row>
    <row r="848" spans="58:58" ht="15.75" customHeight="1">
      <c r="BF848" s="35"/>
    </row>
    <row r="849" spans="58:58" ht="15.75" customHeight="1">
      <c r="BF849" s="35"/>
    </row>
    <row r="850" spans="58:58" ht="15.75" customHeight="1">
      <c r="BF850" s="35"/>
    </row>
    <row r="851" spans="58:58" ht="15.75" customHeight="1">
      <c r="BF851" s="35"/>
    </row>
    <row r="852" spans="58:58" ht="15.75" customHeight="1">
      <c r="BF852" s="35"/>
    </row>
    <row r="853" spans="58:58" ht="15.75" customHeight="1">
      <c r="BF853" s="35"/>
    </row>
    <row r="854" spans="58:58" ht="15.75" customHeight="1">
      <c r="BF854" s="35"/>
    </row>
    <row r="855" spans="58:58" ht="15.75" customHeight="1">
      <c r="BF855" s="35"/>
    </row>
    <row r="856" spans="58:58" ht="15.75" customHeight="1">
      <c r="BF856" s="35"/>
    </row>
    <row r="857" spans="58:58" ht="15.75" customHeight="1">
      <c r="BF857" s="35"/>
    </row>
    <row r="858" spans="58:58" ht="15.75" customHeight="1">
      <c r="BF858" s="35"/>
    </row>
    <row r="859" spans="58:58" ht="15.75" customHeight="1">
      <c r="BF859" s="35"/>
    </row>
    <row r="860" spans="58:58" ht="15.75" customHeight="1">
      <c r="BF860" s="35"/>
    </row>
    <row r="861" spans="58:58" ht="15.75" customHeight="1">
      <c r="BF861" s="35"/>
    </row>
    <row r="862" spans="58:58" ht="15.75" customHeight="1">
      <c r="BF862" s="35"/>
    </row>
    <row r="863" spans="58:58" ht="15.75" customHeight="1">
      <c r="BF863" s="35"/>
    </row>
    <row r="864" spans="58:58" ht="15.75" customHeight="1">
      <c r="BF864" s="35"/>
    </row>
    <row r="865" spans="58:58" ht="15.75" customHeight="1">
      <c r="BF865" s="35"/>
    </row>
    <row r="866" spans="58:58" ht="15.75" customHeight="1">
      <c r="BF866" s="35"/>
    </row>
    <row r="867" spans="58:58" ht="15.75" customHeight="1">
      <c r="BF867" s="35"/>
    </row>
    <row r="868" spans="58:58" ht="15.75" customHeight="1">
      <c r="BF868" s="35"/>
    </row>
    <row r="869" spans="58:58" ht="15.75" customHeight="1">
      <c r="BF869" s="35"/>
    </row>
    <row r="870" spans="58:58" ht="15.75" customHeight="1">
      <c r="BF870" s="35"/>
    </row>
    <row r="871" spans="58:58" ht="15.75" customHeight="1">
      <c r="BF871" s="35"/>
    </row>
    <row r="872" spans="58:58" ht="15.75" customHeight="1">
      <c r="BF872" s="35"/>
    </row>
    <row r="873" spans="58:58" ht="15.75" customHeight="1">
      <c r="BF873" s="35"/>
    </row>
    <row r="874" spans="58:58" ht="15.75" customHeight="1">
      <c r="BF874" s="35"/>
    </row>
    <row r="875" spans="58:58" ht="15.75" customHeight="1">
      <c r="BF875" s="35"/>
    </row>
    <row r="876" spans="58:58" ht="15.75" customHeight="1">
      <c r="BF876" s="35"/>
    </row>
    <row r="877" spans="58:58" ht="15.75" customHeight="1">
      <c r="BF877" s="35"/>
    </row>
    <row r="878" spans="58:58" ht="15.75" customHeight="1">
      <c r="BF878" s="35"/>
    </row>
    <row r="879" spans="58:58" ht="15.75" customHeight="1">
      <c r="BF879" s="35"/>
    </row>
    <row r="880" spans="58:58" ht="15.75" customHeight="1">
      <c r="BF880" s="35"/>
    </row>
    <row r="881" spans="58:58" ht="15.75" customHeight="1">
      <c r="BF881" s="35"/>
    </row>
    <row r="882" spans="58:58" ht="15.75" customHeight="1">
      <c r="BF882" s="35"/>
    </row>
    <row r="883" spans="58:58" ht="15.75" customHeight="1">
      <c r="BF883" s="35"/>
    </row>
    <row r="884" spans="58:58" ht="15.75" customHeight="1">
      <c r="BF884" s="35"/>
    </row>
    <row r="885" spans="58:58" ht="15.75" customHeight="1">
      <c r="BF885" s="35"/>
    </row>
    <row r="886" spans="58:58" ht="15.75" customHeight="1">
      <c r="BF886" s="35"/>
    </row>
    <row r="887" spans="58:58" ht="15.75" customHeight="1">
      <c r="BF887" s="35"/>
    </row>
    <row r="888" spans="58:58" ht="15.75" customHeight="1">
      <c r="BF888" s="35"/>
    </row>
    <row r="889" spans="58:58" ht="15.75" customHeight="1">
      <c r="BF889" s="35"/>
    </row>
    <row r="890" spans="58:58" ht="15.75" customHeight="1">
      <c r="BF890" s="35"/>
    </row>
    <row r="891" spans="58:58" ht="15.75" customHeight="1">
      <c r="BF891" s="35"/>
    </row>
    <row r="892" spans="58:58" ht="15.75" customHeight="1">
      <c r="BF892" s="35"/>
    </row>
    <row r="893" spans="58:58" ht="15.75" customHeight="1">
      <c r="BF893" s="35"/>
    </row>
    <row r="894" spans="58:58" ht="15.75" customHeight="1">
      <c r="BF894" s="35"/>
    </row>
    <row r="895" spans="58:58" ht="15.75" customHeight="1">
      <c r="BF895" s="35"/>
    </row>
    <row r="896" spans="58:58" ht="15.75" customHeight="1">
      <c r="BF896" s="35"/>
    </row>
    <row r="897" spans="58:58" ht="15.75" customHeight="1">
      <c r="BF897" s="35"/>
    </row>
    <row r="898" spans="58:58" ht="15.75" customHeight="1">
      <c r="BF898" s="35"/>
    </row>
    <row r="899" spans="58:58" ht="15.75" customHeight="1">
      <c r="BF899" s="35"/>
    </row>
    <row r="900" spans="58:58" ht="15.75" customHeight="1">
      <c r="BF900" s="35"/>
    </row>
    <row r="901" spans="58:58" ht="15.75" customHeight="1">
      <c r="BF901" s="35"/>
    </row>
    <row r="902" spans="58:58" ht="15.75" customHeight="1">
      <c r="BF902" s="35"/>
    </row>
    <row r="903" spans="58:58" ht="15.75" customHeight="1">
      <c r="BF903" s="35"/>
    </row>
    <row r="904" spans="58:58" ht="15.75" customHeight="1">
      <c r="BF904" s="35"/>
    </row>
    <row r="905" spans="58:58" ht="15.75" customHeight="1">
      <c r="BF905" s="35"/>
    </row>
    <row r="906" spans="58:58" ht="15.75" customHeight="1">
      <c r="BF906" s="35"/>
    </row>
    <row r="907" spans="58:58" ht="15.75" customHeight="1">
      <c r="BF907" s="35"/>
    </row>
    <row r="908" spans="58:58" ht="15.75" customHeight="1">
      <c r="BF908" s="35"/>
    </row>
    <row r="909" spans="58:58" ht="15.75" customHeight="1">
      <c r="BF909" s="35"/>
    </row>
    <row r="910" spans="58:58" ht="15.75" customHeight="1">
      <c r="BF910" s="35"/>
    </row>
    <row r="911" spans="58:58" ht="15.75" customHeight="1">
      <c r="BF911" s="35"/>
    </row>
    <row r="912" spans="58:58" ht="15.75" customHeight="1">
      <c r="BF912" s="35"/>
    </row>
    <row r="913" spans="58:58" ht="15.75" customHeight="1">
      <c r="BF913" s="35"/>
    </row>
    <row r="914" spans="58:58" ht="15.75" customHeight="1">
      <c r="BF914" s="35"/>
    </row>
    <row r="915" spans="58:58" ht="15.75" customHeight="1">
      <c r="BF915" s="35"/>
    </row>
    <row r="916" spans="58:58" ht="15.75" customHeight="1">
      <c r="BF916" s="35"/>
    </row>
    <row r="917" spans="58:58" ht="15.75" customHeight="1">
      <c r="BF917" s="35"/>
    </row>
    <row r="918" spans="58:58" ht="15.75" customHeight="1">
      <c r="BF918" s="35"/>
    </row>
    <row r="919" spans="58:58" ht="15.75" customHeight="1">
      <c r="BF919" s="35"/>
    </row>
    <row r="920" spans="58:58" ht="15.75" customHeight="1">
      <c r="BF920" s="35"/>
    </row>
    <row r="921" spans="58:58" ht="15.75" customHeight="1">
      <c r="BF921" s="35"/>
    </row>
    <row r="922" spans="58:58" ht="15.75" customHeight="1">
      <c r="BF922" s="35"/>
    </row>
    <row r="923" spans="58:58" ht="15.75" customHeight="1">
      <c r="BF923" s="35"/>
    </row>
    <row r="924" spans="58:58" ht="15.75" customHeight="1">
      <c r="BF924" s="35"/>
    </row>
    <row r="925" spans="58:58" ht="15.75" customHeight="1">
      <c r="BF925" s="35"/>
    </row>
    <row r="926" spans="58:58" ht="15.75" customHeight="1">
      <c r="BF926" s="35"/>
    </row>
    <row r="927" spans="58:58" ht="15.75" customHeight="1">
      <c r="BF927" s="35"/>
    </row>
    <row r="928" spans="58:58" ht="15.75" customHeight="1">
      <c r="BF928" s="35"/>
    </row>
    <row r="929" spans="58:58" ht="15.75" customHeight="1">
      <c r="BF929" s="35"/>
    </row>
    <row r="930" spans="58:58" ht="15.75" customHeight="1">
      <c r="BF930" s="35"/>
    </row>
    <row r="931" spans="58:58" ht="15.75" customHeight="1">
      <c r="BF931" s="35"/>
    </row>
    <row r="932" spans="58:58" ht="15.75" customHeight="1">
      <c r="BF932" s="35"/>
    </row>
    <row r="933" spans="58:58" ht="15.75" customHeight="1">
      <c r="BF933" s="35"/>
    </row>
    <row r="934" spans="58:58" ht="15.75" customHeight="1">
      <c r="BF934" s="35"/>
    </row>
    <row r="935" spans="58:58" ht="15.75" customHeight="1">
      <c r="BF935" s="35"/>
    </row>
    <row r="936" spans="58:58" ht="15.75" customHeight="1">
      <c r="BF936" s="35"/>
    </row>
    <row r="937" spans="58:58" ht="15.75" customHeight="1">
      <c r="BF937" s="35"/>
    </row>
    <row r="938" spans="58:58" ht="15.75" customHeight="1">
      <c r="BF938" s="35"/>
    </row>
    <row r="939" spans="58:58" ht="15.75" customHeight="1">
      <c r="BF939" s="35"/>
    </row>
    <row r="940" spans="58:58" ht="15.75" customHeight="1">
      <c r="BF940" s="35"/>
    </row>
    <row r="941" spans="58:58" ht="15.75" customHeight="1">
      <c r="BF941" s="35"/>
    </row>
    <row r="942" spans="58:58" ht="15.75" customHeight="1">
      <c r="BF942" s="35"/>
    </row>
    <row r="943" spans="58:58" ht="15.75" customHeight="1">
      <c r="BF943" s="35"/>
    </row>
    <row r="944" spans="58:58" ht="15.75" customHeight="1">
      <c r="BF944" s="35"/>
    </row>
    <row r="945" spans="58:58" ht="15.75" customHeight="1">
      <c r="BF945" s="35"/>
    </row>
    <row r="946" spans="58:58" ht="15.75" customHeight="1">
      <c r="BF946" s="35"/>
    </row>
    <row r="947" spans="58:58" ht="15.75" customHeight="1">
      <c r="BF947" s="35"/>
    </row>
    <row r="948" spans="58:58" ht="15.75" customHeight="1">
      <c r="BF948" s="35"/>
    </row>
    <row r="949" spans="58:58" ht="15.75" customHeight="1">
      <c r="BF949" s="35"/>
    </row>
    <row r="950" spans="58:58" ht="15.75" customHeight="1">
      <c r="BF950" s="35"/>
    </row>
    <row r="951" spans="58:58" ht="15.75" customHeight="1">
      <c r="BF951" s="35"/>
    </row>
    <row r="952" spans="58:58" ht="15.75" customHeight="1">
      <c r="BF952" s="35"/>
    </row>
    <row r="953" spans="58:58" ht="15.75" customHeight="1">
      <c r="BF953" s="35"/>
    </row>
    <row r="954" spans="58:58" ht="15.75" customHeight="1">
      <c r="BF954" s="35"/>
    </row>
    <row r="955" spans="58:58" ht="15.75" customHeight="1">
      <c r="BF955" s="35"/>
    </row>
    <row r="956" spans="58:58" ht="15.75" customHeight="1">
      <c r="BF956" s="35"/>
    </row>
    <row r="957" spans="58:58" ht="15.75" customHeight="1">
      <c r="BF957" s="35"/>
    </row>
    <row r="958" spans="58:58" ht="15.75" customHeight="1">
      <c r="BF958" s="35"/>
    </row>
    <row r="959" spans="58:58" ht="15.75" customHeight="1">
      <c r="BF959" s="35"/>
    </row>
    <row r="960" spans="58:58" ht="15.75" customHeight="1">
      <c r="BF960" s="35"/>
    </row>
    <row r="961" spans="58:58" ht="15.75" customHeight="1">
      <c r="BF961" s="35"/>
    </row>
    <row r="962" spans="58:58" ht="15.75" customHeight="1">
      <c r="BF962" s="35"/>
    </row>
    <row r="963" spans="58:58" ht="15.75" customHeight="1">
      <c r="BF963" s="35"/>
    </row>
    <row r="964" spans="58:58" ht="15.75" customHeight="1">
      <c r="BF964" s="35"/>
    </row>
    <row r="965" spans="58:58" ht="15.75" customHeight="1">
      <c r="BF965" s="35"/>
    </row>
    <row r="966" spans="58:58" ht="15.75" customHeight="1">
      <c r="BF966" s="35"/>
    </row>
    <row r="967" spans="58:58" ht="15.75" customHeight="1">
      <c r="BF967" s="35"/>
    </row>
    <row r="968" spans="58:58" ht="15.75" customHeight="1">
      <c r="BF968" s="35"/>
    </row>
    <row r="969" spans="58:58" ht="15.75" customHeight="1">
      <c r="BF969" s="35"/>
    </row>
    <row r="970" spans="58:58" ht="15.75" customHeight="1">
      <c r="BF970" s="35"/>
    </row>
    <row r="971" spans="58:58" ht="15.75" customHeight="1">
      <c r="BF971" s="35"/>
    </row>
    <row r="972" spans="58:58" ht="15.75" customHeight="1">
      <c r="BF972" s="35"/>
    </row>
    <row r="973" spans="58:58" ht="15.75" customHeight="1">
      <c r="BF973" s="35"/>
    </row>
    <row r="974" spans="58:58" ht="15.75" customHeight="1">
      <c r="BF974" s="35"/>
    </row>
    <row r="975" spans="58:58" ht="15.75" customHeight="1">
      <c r="BF975" s="35"/>
    </row>
    <row r="976" spans="58:58" ht="15.75" customHeight="1">
      <c r="BF976" s="35"/>
    </row>
    <row r="977" spans="58:58" ht="15.75" customHeight="1">
      <c r="BF977" s="35"/>
    </row>
    <row r="978" spans="58:58" ht="15.75" customHeight="1">
      <c r="BF978" s="35"/>
    </row>
    <row r="979" spans="58:58" ht="15.75" customHeight="1">
      <c r="BF979" s="35"/>
    </row>
    <row r="980" spans="58:58" ht="15.75" customHeight="1">
      <c r="BF980" s="35"/>
    </row>
    <row r="981" spans="58:58" ht="15.75" customHeight="1">
      <c r="BF981" s="35"/>
    </row>
    <row r="982" spans="58:58" ht="15.75" customHeight="1">
      <c r="BF982" s="35"/>
    </row>
    <row r="983" spans="58:58" ht="15.75" customHeight="1">
      <c r="BF983" s="35"/>
    </row>
    <row r="984" spans="58:58" ht="15.75" customHeight="1">
      <c r="BF984" s="35"/>
    </row>
    <row r="985" spans="58:58" ht="15.75" customHeight="1">
      <c r="BF985" s="35"/>
    </row>
    <row r="986" spans="58:58" ht="15.75" customHeight="1">
      <c r="BF986" s="35"/>
    </row>
    <row r="987" spans="58:58" ht="15.75" customHeight="1">
      <c r="BF987" s="35"/>
    </row>
    <row r="988" spans="58:58" ht="15.75" customHeight="1">
      <c r="BF988" s="35"/>
    </row>
    <row r="989" spans="58:58" ht="15.75" customHeight="1">
      <c r="BF989" s="35"/>
    </row>
  </sheetData>
  <mergeCells count="28">
    <mergeCell ref="BM5:BM6"/>
    <mergeCell ref="BN5:BN6"/>
    <mergeCell ref="BH5:BH6"/>
    <mergeCell ref="BI5:BI6"/>
    <mergeCell ref="BJ5:BJ6"/>
    <mergeCell ref="BK5:BK6"/>
    <mergeCell ref="BL5:BL6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A1:BF3"/>
    <mergeCell ref="BH1:BW1"/>
    <mergeCell ref="BH2:BW2"/>
    <mergeCell ref="BH3:BO3"/>
    <mergeCell ref="BP3:BW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W989"/>
  <sheetViews>
    <sheetView tabSelected="1"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3.33203125" customWidth="1"/>
    <col min="4" max="14" width="4.6640625" customWidth="1"/>
    <col min="15" max="26" width="4.33203125" customWidth="1"/>
    <col min="27" max="40" width="4" customWidth="1"/>
    <col min="41" max="53" width="4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3.33203125" customWidth="1"/>
    <col min="63" max="63" width="8" customWidth="1"/>
    <col min="64" max="64" width="8.109375" customWidth="1"/>
    <col min="65" max="65" width="9.109375" customWidth="1"/>
    <col min="66" max="66" width="14.33203125" customWidth="1"/>
    <col min="67" max="67" width="7" customWidth="1"/>
    <col min="68" max="68" width="7.6640625" customWidth="1"/>
    <col min="69" max="69" width="14.109375" customWidth="1"/>
    <col min="70" max="72" width="4" customWidth="1"/>
    <col min="73" max="73" width="11.88671875" customWidth="1"/>
    <col min="74" max="74" width="8.6640625" customWidth="1"/>
    <col min="75" max="75" width="9.88671875" customWidth="1"/>
  </cols>
  <sheetData>
    <row r="1" spans="1:75" ht="14.25" customHeight="1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95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9"/>
    </row>
    <row r="2" spans="1:75" ht="14.2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9"/>
    </row>
    <row r="3" spans="1:75" ht="54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8"/>
      <c r="BO3" s="89"/>
      <c r="BP3" s="107" t="s">
        <v>98</v>
      </c>
      <c r="BQ3" s="88"/>
      <c r="BR3" s="88"/>
      <c r="BS3" s="88"/>
      <c r="BT3" s="88"/>
      <c r="BU3" s="88"/>
      <c r="BV3" s="88"/>
      <c r="BW3" s="89"/>
    </row>
    <row r="4" spans="1:75" ht="42.75" customHeight="1">
      <c r="A4" s="108" t="s">
        <v>128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129</v>
      </c>
      <c r="BI4" s="88"/>
      <c r="BJ4" s="88"/>
      <c r="BK4" s="88"/>
      <c r="BL4" s="88"/>
      <c r="BM4" s="88"/>
      <c r="BN4" s="88"/>
      <c r="BO4" s="89"/>
      <c r="BP4" s="107" t="s">
        <v>130</v>
      </c>
      <c r="BQ4" s="88"/>
      <c r="BR4" s="88"/>
      <c r="BS4" s="88"/>
      <c r="BT4" s="88"/>
      <c r="BU4" s="88"/>
      <c r="BV4" s="88"/>
      <c r="BW4" s="89"/>
    </row>
    <row r="5" spans="1:75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0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111</v>
      </c>
      <c r="BP5" s="112" t="s">
        <v>112</v>
      </c>
      <c r="BQ5" s="112" t="s">
        <v>113</v>
      </c>
      <c r="BR5" s="114" t="s">
        <v>114</v>
      </c>
      <c r="BS5" s="88"/>
      <c r="BT5" s="89"/>
      <c r="BU5" s="113" t="s">
        <v>115</v>
      </c>
      <c r="BV5" s="112" t="s">
        <v>120</v>
      </c>
      <c r="BW5" s="112" t="s">
        <v>116</v>
      </c>
    </row>
    <row r="6" spans="1:75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24">
        <v>1</v>
      </c>
      <c r="BS6" s="24">
        <v>2</v>
      </c>
      <c r="BT6" s="24">
        <v>3</v>
      </c>
      <c r="BU6" s="92"/>
      <c r="BV6" s="92"/>
      <c r="BW6" s="92"/>
    </row>
    <row r="7" spans="1:75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f t="shared" ref="BB7:BB76" si="0">COUNTIF(D7:BA7,"P")</f>
        <v>0</v>
      </c>
      <c r="BC7" s="9"/>
      <c r="BD7" s="9">
        <f t="shared" ref="BD7:BD76" si="1">BB7+BC7</f>
        <v>0</v>
      </c>
      <c r="BE7" s="9"/>
      <c r="BF7" s="9" t="e">
        <f t="shared" ref="BF7:BF76" si="2">(BD7/BE7)*100</f>
        <v>#DIV/0!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64">
        <v>14</v>
      </c>
      <c r="BL7" s="9">
        <v>29</v>
      </c>
      <c r="BM7" s="2">
        <f t="shared" ref="BM7:BM42" si="3">(BK7/BL7)*100</f>
        <v>48.275862068965516</v>
      </c>
      <c r="BN7" s="9" t="str">
        <f t="shared" ref="BN7:BN76" si="4">IF(BM7&gt;=95.5,"6",IF(BM7&gt;=90.5,"5", IF(BM7&gt;=85.5,"4",IF(BM7&gt;=80.5,"3",IF(BM7&gt;=75.5,"2","0")))))</f>
        <v>0</v>
      </c>
      <c r="BO7" s="9">
        <v>9</v>
      </c>
      <c r="BP7" s="9">
        <v>14</v>
      </c>
      <c r="BQ7" s="27">
        <f t="shared" ref="BQ7:BQ76" si="5">(BO7+BP7)/2</f>
        <v>11.5</v>
      </c>
      <c r="BR7" s="9">
        <v>0</v>
      </c>
      <c r="BS7" s="9">
        <v>7</v>
      </c>
      <c r="BT7" s="9">
        <v>7</v>
      </c>
      <c r="BU7" s="27">
        <f t="shared" ref="BU7:BU76" si="6">(BR7+BS7+BT7)/3</f>
        <v>4.666666666666667</v>
      </c>
      <c r="BV7" s="9">
        <v>5</v>
      </c>
      <c r="BW7" s="2">
        <f t="shared" ref="BW7:BW76" si="7">BV7+BU7+BQ7+BN7</f>
        <v>21.166666666666668</v>
      </c>
    </row>
    <row r="8" spans="1:75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>
        <f t="shared" si="0"/>
        <v>0</v>
      </c>
      <c r="BC8" s="9"/>
      <c r="BD8" s="9">
        <f t="shared" si="1"/>
        <v>0</v>
      </c>
      <c r="BE8" s="9"/>
      <c r="BF8" s="9" t="e">
        <f t="shared" si="2"/>
        <v>#DIV/0!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64">
        <v>21</v>
      </c>
      <c r="BL8" s="9">
        <v>29</v>
      </c>
      <c r="BM8" s="2">
        <f t="shared" si="3"/>
        <v>72.41379310344827</v>
      </c>
      <c r="BN8" s="9" t="str">
        <f t="shared" si="4"/>
        <v>0</v>
      </c>
      <c r="BO8" s="9">
        <v>6</v>
      </c>
      <c r="BP8" s="9">
        <v>10</v>
      </c>
      <c r="BQ8" s="27">
        <f t="shared" si="5"/>
        <v>8</v>
      </c>
      <c r="BR8" s="9">
        <v>8</v>
      </c>
      <c r="BS8" s="9">
        <v>0</v>
      </c>
      <c r="BT8" s="9">
        <v>8</v>
      </c>
      <c r="BU8" s="27">
        <f t="shared" si="6"/>
        <v>5.333333333333333</v>
      </c>
      <c r="BV8" s="9"/>
      <c r="BW8" s="2">
        <f t="shared" si="7"/>
        <v>13.333333333333332</v>
      </c>
    </row>
    <row r="9" spans="1:75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>
        <f t="shared" si="0"/>
        <v>0</v>
      </c>
      <c r="BC9" s="9"/>
      <c r="BD9" s="9">
        <f t="shared" si="1"/>
        <v>0</v>
      </c>
      <c r="BE9" s="9"/>
      <c r="BF9" s="9" t="e">
        <f t="shared" si="2"/>
        <v>#DIV/0!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64">
        <v>24</v>
      </c>
      <c r="BL9" s="9">
        <v>29</v>
      </c>
      <c r="BM9" s="2">
        <f t="shared" si="3"/>
        <v>82.758620689655174</v>
      </c>
      <c r="BN9" s="9" t="str">
        <f t="shared" si="4"/>
        <v>3</v>
      </c>
      <c r="BO9" s="9">
        <v>7</v>
      </c>
      <c r="BP9" s="9">
        <v>12</v>
      </c>
      <c r="BQ9" s="27">
        <f t="shared" si="5"/>
        <v>9.5</v>
      </c>
      <c r="BR9" s="9">
        <v>7</v>
      </c>
      <c r="BS9" s="9">
        <v>8</v>
      </c>
      <c r="BT9" s="9">
        <v>8</v>
      </c>
      <c r="BU9" s="27">
        <f t="shared" si="6"/>
        <v>7.666666666666667</v>
      </c>
      <c r="BV9" s="9"/>
      <c r="BW9" s="2">
        <f t="shared" si="7"/>
        <v>20.166666666666668</v>
      </c>
    </row>
    <row r="10" spans="1:75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>
        <f t="shared" si="0"/>
        <v>0</v>
      </c>
      <c r="BC10" s="9"/>
      <c r="BD10" s="9">
        <f t="shared" si="1"/>
        <v>0</v>
      </c>
      <c r="BE10" s="9"/>
      <c r="BF10" s="9" t="e">
        <f t="shared" si="2"/>
        <v>#DIV/0!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64">
        <v>21</v>
      </c>
      <c r="BL10" s="9">
        <v>29</v>
      </c>
      <c r="BM10" s="2">
        <f t="shared" si="3"/>
        <v>72.41379310344827</v>
      </c>
      <c r="BN10" s="9" t="str">
        <f t="shared" si="4"/>
        <v>0</v>
      </c>
      <c r="BO10" s="9">
        <v>13</v>
      </c>
      <c r="BP10" s="9">
        <v>19</v>
      </c>
      <c r="BQ10" s="27">
        <f t="shared" si="5"/>
        <v>16</v>
      </c>
      <c r="BR10" s="9">
        <v>9</v>
      </c>
      <c r="BS10" s="9">
        <v>0</v>
      </c>
      <c r="BT10" s="9">
        <v>8</v>
      </c>
      <c r="BU10" s="27">
        <f t="shared" si="6"/>
        <v>5.666666666666667</v>
      </c>
      <c r="BV10" s="9"/>
      <c r="BW10" s="2">
        <f t="shared" si="7"/>
        <v>21.666666666666668</v>
      </c>
    </row>
    <row r="11" spans="1:75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f t="shared" si="0"/>
        <v>0</v>
      </c>
      <c r="BC11" s="9"/>
      <c r="BD11" s="9">
        <f t="shared" si="1"/>
        <v>0</v>
      </c>
      <c r="BE11" s="9"/>
      <c r="BF11" s="9" t="e">
        <f t="shared" si="2"/>
        <v>#DIV/0!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64">
        <v>23</v>
      </c>
      <c r="BL11" s="9">
        <v>29</v>
      </c>
      <c r="BM11" s="2">
        <f t="shared" si="3"/>
        <v>79.310344827586206</v>
      </c>
      <c r="BN11" s="9" t="str">
        <f t="shared" si="4"/>
        <v>2</v>
      </c>
      <c r="BO11" s="9">
        <v>10</v>
      </c>
      <c r="BP11" s="9">
        <v>10</v>
      </c>
      <c r="BQ11" s="27">
        <f t="shared" si="5"/>
        <v>10</v>
      </c>
      <c r="BR11" s="9">
        <v>7</v>
      </c>
      <c r="BS11" s="9">
        <v>8</v>
      </c>
      <c r="BT11" s="9">
        <v>8</v>
      </c>
      <c r="BU11" s="27">
        <f t="shared" si="6"/>
        <v>7.666666666666667</v>
      </c>
      <c r="BV11" s="9">
        <v>5</v>
      </c>
      <c r="BW11" s="2">
        <f t="shared" si="7"/>
        <v>24.666666666666668</v>
      </c>
    </row>
    <row r="12" spans="1:75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>
        <f t="shared" si="0"/>
        <v>0</v>
      </c>
      <c r="BC12" s="9"/>
      <c r="BD12" s="9">
        <f t="shared" si="1"/>
        <v>0</v>
      </c>
      <c r="BE12" s="9"/>
      <c r="BF12" s="9" t="e">
        <f t="shared" si="2"/>
        <v>#DIV/0!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64">
        <v>22</v>
      </c>
      <c r="BL12" s="9">
        <v>29</v>
      </c>
      <c r="BM12" s="2">
        <f t="shared" si="3"/>
        <v>75.862068965517238</v>
      </c>
      <c r="BN12" s="9" t="str">
        <f t="shared" si="4"/>
        <v>2</v>
      </c>
      <c r="BO12" s="9">
        <v>9</v>
      </c>
      <c r="BP12" s="9">
        <v>18</v>
      </c>
      <c r="BQ12" s="27">
        <f t="shared" si="5"/>
        <v>13.5</v>
      </c>
      <c r="BR12" s="9">
        <v>8</v>
      </c>
      <c r="BS12" s="9">
        <v>8</v>
      </c>
      <c r="BT12" s="9">
        <v>8</v>
      </c>
      <c r="BU12" s="27">
        <f t="shared" si="6"/>
        <v>8</v>
      </c>
      <c r="BV12" s="9"/>
      <c r="BW12" s="2">
        <f t="shared" si="7"/>
        <v>23.5</v>
      </c>
    </row>
    <row r="13" spans="1:75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f t="shared" si="0"/>
        <v>0</v>
      </c>
      <c r="BC13" s="9"/>
      <c r="BD13" s="9">
        <f t="shared" si="1"/>
        <v>0</v>
      </c>
      <c r="BE13" s="9"/>
      <c r="BF13" s="9" t="e">
        <f t="shared" si="2"/>
        <v>#DIV/0!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64">
        <v>20</v>
      </c>
      <c r="BL13" s="9">
        <v>29</v>
      </c>
      <c r="BM13" s="2">
        <f t="shared" si="3"/>
        <v>68.965517241379317</v>
      </c>
      <c r="BN13" s="9" t="str">
        <f t="shared" si="4"/>
        <v>0</v>
      </c>
      <c r="BO13" s="9">
        <v>14</v>
      </c>
      <c r="BP13" s="9">
        <v>17</v>
      </c>
      <c r="BQ13" s="27">
        <f t="shared" si="5"/>
        <v>15.5</v>
      </c>
      <c r="BR13" s="9">
        <v>0</v>
      </c>
      <c r="BS13" s="9">
        <v>0</v>
      </c>
      <c r="BT13" s="9">
        <v>0</v>
      </c>
      <c r="BU13" s="27">
        <f t="shared" si="6"/>
        <v>0</v>
      </c>
      <c r="BV13" s="9">
        <v>5</v>
      </c>
      <c r="BW13" s="2">
        <f t="shared" si="7"/>
        <v>20.5</v>
      </c>
    </row>
    <row r="14" spans="1:75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f t="shared" si="0"/>
        <v>0</v>
      </c>
      <c r="BC14" s="9"/>
      <c r="BD14" s="9">
        <f t="shared" si="1"/>
        <v>0</v>
      </c>
      <c r="BE14" s="9"/>
      <c r="BF14" s="9" t="e">
        <f t="shared" si="2"/>
        <v>#DIV/0!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64">
        <v>14</v>
      </c>
      <c r="BL14" s="9">
        <v>29</v>
      </c>
      <c r="BM14" s="2">
        <f t="shared" si="3"/>
        <v>48.275862068965516</v>
      </c>
      <c r="BN14" s="9" t="str">
        <f t="shared" si="4"/>
        <v>0</v>
      </c>
      <c r="BO14" s="11">
        <v>0</v>
      </c>
      <c r="BP14" s="9">
        <v>10</v>
      </c>
      <c r="BQ14" s="27">
        <f t="shared" si="5"/>
        <v>5</v>
      </c>
      <c r="BR14" s="9">
        <v>0</v>
      </c>
      <c r="BS14" s="9">
        <v>8</v>
      </c>
      <c r="BT14" s="9">
        <v>8</v>
      </c>
      <c r="BU14" s="27">
        <f t="shared" si="6"/>
        <v>5.333333333333333</v>
      </c>
      <c r="BV14" s="9"/>
      <c r="BW14" s="2">
        <f t="shared" si="7"/>
        <v>10.333333333333332</v>
      </c>
    </row>
    <row r="15" spans="1:75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f t="shared" si="0"/>
        <v>0</v>
      </c>
      <c r="BC15" s="9"/>
      <c r="BD15" s="9">
        <f t="shared" si="1"/>
        <v>0</v>
      </c>
      <c r="BE15" s="9"/>
      <c r="BF15" s="9" t="e">
        <f t="shared" si="2"/>
        <v>#DIV/0!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64">
        <v>19</v>
      </c>
      <c r="BL15" s="9">
        <v>29</v>
      </c>
      <c r="BM15" s="2">
        <f t="shared" si="3"/>
        <v>65.517241379310349</v>
      </c>
      <c r="BN15" s="9" t="str">
        <f t="shared" si="4"/>
        <v>0</v>
      </c>
      <c r="BO15" s="9">
        <v>7</v>
      </c>
      <c r="BP15" s="9">
        <v>15</v>
      </c>
      <c r="BQ15" s="27">
        <f t="shared" si="5"/>
        <v>11</v>
      </c>
      <c r="BR15" s="9">
        <v>8</v>
      </c>
      <c r="BS15" s="9">
        <v>8</v>
      </c>
      <c r="BT15" s="9">
        <v>8</v>
      </c>
      <c r="BU15" s="27">
        <f t="shared" si="6"/>
        <v>8</v>
      </c>
      <c r="BV15" s="9"/>
      <c r="BW15" s="2">
        <f t="shared" si="7"/>
        <v>19</v>
      </c>
    </row>
    <row r="16" spans="1:75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f t="shared" si="0"/>
        <v>0</v>
      </c>
      <c r="BC16" s="9"/>
      <c r="BD16" s="9">
        <f t="shared" si="1"/>
        <v>0</v>
      </c>
      <c r="BE16" s="9"/>
      <c r="BF16" s="9" t="e">
        <f t="shared" si="2"/>
        <v>#DIV/0!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64">
        <v>22</v>
      </c>
      <c r="BL16" s="9">
        <v>29</v>
      </c>
      <c r="BM16" s="2">
        <f t="shared" si="3"/>
        <v>75.862068965517238</v>
      </c>
      <c r="BN16" s="9" t="str">
        <f t="shared" si="4"/>
        <v>2</v>
      </c>
      <c r="BO16" s="9">
        <v>0</v>
      </c>
      <c r="BP16" s="9">
        <v>10</v>
      </c>
      <c r="BQ16" s="27">
        <f t="shared" si="5"/>
        <v>5</v>
      </c>
      <c r="BR16" s="9">
        <v>8</v>
      </c>
      <c r="BS16" s="9">
        <v>8</v>
      </c>
      <c r="BT16" s="9">
        <v>8</v>
      </c>
      <c r="BU16" s="27">
        <f t="shared" si="6"/>
        <v>8</v>
      </c>
      <c r="BV16" s="9">
        <v>5</v>
      </c>
      <c r="BW16" s="2">
        <f t="shared" si="7"/>
        <v>20</v>
      </c>
    </row>
    <row r="17" spans="1:75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f t="shared" si="0"/>
        <v>0</v>
      </c>
      <c r="BC17" s="9"/>
      <c r="BD17" s="9">
        <f t="shared" si="1"/>
        <v>0</v>
      </c>
      <c r="BE17" s="9"/>
      <c r="BF17" s="9" t="e">
        <f t="shared" si="2"/>
        <v>#DIV/0!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64">
        <v>11</v>
      </c>
      <c r="BL17" s="9">
        <v>29</v>
      </c>
      <c r="BM17" s="2">
        <f t="shared" si="3"/>
        <v>37.931034482758619</v>
      </c>
      <c r="BN17" s="9" t="str">
        <f t="shared" si="4"/>
        <v>0</v>
      </c>
      <c r="BO17" s="9">
        <v>3</v>
      </c>
      <c r="BP17" s="9">
        <v>21</v>
      </c>
      <c r="BQ17" s="27">
        <f t="shared" si="5"/>
        <v>12</v>
      </c>
      <c r="BR17" s="9">
        <v>8</v>
      </c>
      <c r="BS17" s="9">
        <v>0</v>
      </c>
      <c r="BT17" s="9">
        <v>0</v>
      </c>
      <c r="BU17" s="27">
        <f t="shared" si="6"/>
        <v>2.6666666666666665</v>
      </c>
      <c r="BV17" s="9"/>
      <c r="BW17" s="2">
        <f t="shared" si="7"/>
        <v>14.666666666666666</v>
      </c>
    </row>
    <row r="18" spans="1:75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f t="shared" si="0"/>
        <v>0</v>
      </c>
      <c r="BC18" s="9"/>
      <c r="BD18" s="9">
        <f t="shared" si="1"/>
        <v>0</v>
      </c>
      <c r="BE18" s="9"/>
      <c r="BF18" s="9" t="e">
        <f t="shared" si="2"/>
        <v>#DIV/0!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64">
        <v>21</v>
      </c>
      <c r="BL18" s="9">
        <v>29</v>
      </c>
      <c r="BM18" s="2">
        <f t="shared" si="3"/>
        <v>72.41379310344827</v>
      </c>
      <c r="BN18" s="9" t="str">
        <f t="shared" si="4"/>
        <v>0</v>
      </c>
      <c r="BO18" s="9">
        <v>8</v>
      </c>
      <c r="BP18" s="9">
        <v>12</v>
      </c>
      <c r="BQ18" s="27">
        <f t="shared" si="5"/>
        <v>10</v>
      </c>
      <c r="BR18" s="9">
        <v>7</v>
      </c>
      <c r="BS18" s="9">
        <v>8</v>
      </c>
      <c r="BT18" s="9">
        <v>8</v>
      </c>
      <c r="BU18" s="27">
        <f t="shared" si="6"/>
        <v>7.666666666666667</v>
      </c>
      <c r="BV18" s="9"/>
      <c r="BW18" s="2">
        <f t="shared" si="7"/>
        <v>17.666666666666668</v>
      </c>
    </row>
    <row r="19" spans="1:75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f t="shared" si="0"/>
        <v>0</v>
      </c>
      <c r="BC19" s="9"/>
      <c r="BD19" s="9">
        <f t="shared" si="1"/>
        <v>0</v>
      </c>
      <c r="BE19" s="9"/>
      <c r="BF19" s="9" t="e">
        <f t="shared" si="2"/>
        <v>#DIV/0!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64">
        <v>24</v>
      </c>
      <c r="BL19" s="9">
        <v>29</v>
      </c>
      <c r="BM19" s="2">
        <f t="shared" si="3"/>
        <v>82.758620689655174</v>
      </c>
      <c r="BN19" s="9" t="str">
        <f t="shared" si="4"/>
        <v>3</v>
      </c>
      <c r="BO19" s="9">
        <v>10</v>
      </c>
      <c r="BP19" s="9">
        <v>21</v>
      </c>
      <c r="BQ19" s="27">
        <f t="shared" si="5"/>
        <v>15.5</v>
      </c>
      <c r="BR19" s="9">
        <v>7</v>
      </c>
      <c r="BS19" s="9">
        <v>9</v>
      </c>
      <c r="BT19" s="9">
        <v>8</v>
      </c>
      <c r="BU19" s="27">
        <f t="shared" si="6"/>
        <v>8</v>
      </c>
      <c r="BV19" s="9">
        <v>5</v>
      </c>
      <c r="BW19" s="2">
        <f t="shared" si="7"/>
        <v>31.5</v>
      </c>
    </row>
    <row r="20" spans="1:75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f t="shared" si="0"/>
        <v>0</v>
      </c>
      <c r="BC20" s="9"/>
      <c r="BD20" s="9">
        <f t="shared" si="1"/>
        <v>0</v>
      </c>
      <c r="BE20" s="9"/>
      <c r="BF20" s="9" t="e">
        <f t="shared" si="2"/>
        <v>#DIV/0!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64">
        <v>14</v>
      </c>
      <c r="BL20" s="9">
        <v>29</v>
      </c>
      <c r="BM20" s="2">
        <f t="shared" si="3"/>
        <v>48.275862068965516</v>
      </c>
      <c r="BN20" s="9" t="str">
        <f t="shared" si="4"/>
        <v>0</v>
      </c>
      <c r="BO20" s="11">
        <v>0</v>
      </c>
      <c r="BP20" s="11">
        <v>0</v>
      </c>
      <c r="BQ20" s="27">
        <f t="shared" si="5"/>
        <v>0</v>
      </c>
      <c r="BR20" s="9">
        <v>7</v>
      </c>
      <c r="BS20" s="9">
        <v>7</v>
      </c>
      <c r="BT20" s="9">
        <v>7</v>
      </c>
      <c r="BU20" s="27">
        <f t="shared" si="6"/>
        <v>7</v>
      </c>
      <c r="BV20" s="9">
        <v>5</v>
      </c>
      <c r="BW20" s="2">
        <f t="shared" si="7"/>
        <v>12</v>
      </c>
    </row>
    <row r="21" spans="1:75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f t="shared" si="0"/>
        <v>0</v>
      </c>
      <c r="BC21" s="9"/>
      <c r="BD21" s="9">
        <f t="shared" si="1"/>
        <v>0</v>
      </c>
      <c r="BE21" s="9"/>
      <c r="BF21" s="9" t="e">
        <f t="shared" si="2"/>
        <v>#DIV/0!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64">
        <v>25</v>
      </c>
      <c r="BL21" s="9">
        <v>29</v>
      </c>
      <c r="BM21" s="2">
        <f t="shared" si="3"/>
        <v>86.206896551724128</v>
      </c>
      <c r="BN21" s="9" t="str">
        <f t="shared" si="4"/>
        <v>4</v>
      </c>
      <c r="BO21" s="9">
        <v>11</v>
      </c>
      <c r="BP21" s="9">
        <v>17</v>
      </c>
      <c r="BQ21" s="27">
        <f t="shared" si="5"/>
        <v>14</v>
      </c>
      <c r="BR21" s="9">
        <v>7</v>
      </c>
      <c r="BS21" s="9">
        <v>8</v>
      </c>
      <c r="BT21" s="9">
        <v>7</v>
      </c>
      <c r="BU21" s="27">
        <f t="shared" si="6"/>
        <v>7.333333333333333</v>
      </c>
      <c r="BV21" s="9"/>
      <c r="BW21" s="2">
        <f t="shared" si="7"/>
        <v>25.333333333333332</v>
      </c>
    </row>
    <row r="22" spans="1:75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f t="shared" si="0"/>
        <v>0</v>
      </c>
      <c r="BC22" s="9"/>
      <c r="BD22" s="9">
        <f t="shared" si="1"/>
        <v>0</v>
      </c>
      <c r="BE22" s="9"/>
      <c r="BF22" s="9" t="e">
        <f t="shared" si="2"/>
        <v>#DIV/0!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64">
        <v>17</v>
      </c>
      <c r="BL22" s="9">
        <v>29</v>
      </c>
      <c r="BM22" s="2">
        <f t="shared" si="3"/>
        <v>58.620689655172406</v>
      </c>
      <c r="BN22" s="9" t="str">
        <f t="shared" si="4"/>
        <v>0</v>
      </c>
      <c r="BO22" s="9">
        <v>2</v>
      </c>
      <c r="BP22" s="9">
        <v>13</v>
      </c>
      <c r="BQ22" s="27">
        <f t="shared" si="5"/>
        <v>7.5</v>
      </c>
      <c r="BR22" s="9">
        <v>8</v>
      </c>
      <c r="BS22" s="9">
        <v>8</v>
      </c>
      <c r="BT22" s="9">
        <v>8</v>
      </c>
      <c r="BU22" s="27">
        <f t="shared" si="6"/>
        <v>8</v>
      </c>
      <c r="BV22" s="9">
        <v>5</v>
      </c>
      <c r="BW22" s="2">
        <f t="shared" si="7"/>
        <v>20.5</v>
      </c>
    </row>
    <row r="23" spans="1:75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f t="shared" si="0"/>
        <v>0</v>
      </c>
      <c r="BC23" s="9"/>
      <c r="BD23" s="9">
        <f t="shared" si="1"/>
        <v>0</v>
      </c>
      <c r="BE23" s="9"/>
      <c r="BF23" s="9" t="e">
        <f t="shared" si="2"/>
        <v>#DIV/0!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64">
        <v>19</v>
      </c>
      <c r="BL23" s="9">
        <v>29</v>
      </c>
      <c r="BM23" s="2">
        <f t="shared" si="3"/>
        <v>65.517241379310349</v>
      </c>
      <c r="BN23" s="9" t="str">
        <f t="shared" si="4"/>
        <v>0</v>
      </c>
      <c r="BO23" s="11">
        <v>0</v>
      </c>
      <c r="BP23" s="9">
        <v>12</v>
      </c>
      <c r="BQ23" s="27">
        <f t="shared" si="5"/>
        <v>6</v>
      </c>
      <c r="BR23" s="9">
        <v>8</v>
      </c>
      <c r="BS23" s="9">
        <v>6</v>
      </c>
      <c r="BT23" s="9">
        <v>7</v>
      </c>
      <c r="BU23" s="27">
        <f t="shared" si="6"/>
        <v>7</v>
      </c>
      <c r="BV23" s="9">
        <v>5</v>
      </c>
      <c r="BW23" s="2">
        <f t="shared" si="7"/>
        <v>18</v>
      </c>
    </row>
    <row r="24" spans="1:75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>
        <f t="shared" si="0"/>
        <v>0</v>
      </c>
      <c r="BC24" s="9"/>
      <c r="BD24" s="9">
        <f t="shared" si="1"/>
        <v>0</v>
      </c>
      <c r="BE24" s="9"/>
      <c r="BF24" s="9" t="e">
        <f t="shared" si="2"/>
        <v>#DIV/0!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64">
        <v>23</v>
      </c>
      <c r="BL24" s="9">
        <v>29</v>
      </c>
      <c r="BM24" s="2">
        <f t="shared" si="3"/>
        <v>79.310344827586206</v>
      </c>
      <c r="BN24" s="9" t="str">
        <f t="shared" si="4"/>
        <v>2</v>
      </c>
      <c r="BO24" s="9">
        <v>10</v>
      </c>
      <c r="BP24" s="9">
        <v>20</v>
      </c>
      <c r="BQ24" s="27">
        <f t="shared" si="5"/>
        <v>15</v>
      </c>
      <c r="BR24" s="9">
        <v>8</v>
      </c>
      <c r="BS24" s="9">
        <v>8</v>
      </c>
      <c r="BT24" s="9">
        <v>8</v>
      </c>
      <c r="BU24" s="27">
        <f t="shared" si="6"/>
        <v>8</v>
      </c>
      <c r="BV24" s="9"/>
      <c r="BW24" s="2">
        <f t="shared" si="7"/>
        <v>25</v>
      </c>
    </row>
    <row r="25" spans="1:75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f t="shared" si="0"/>
        <v>0</v>
      </c>
      <c r="BC25" s="9"/>
      <c r="BD25" s="9">
        <f t="shared" si="1"/>
        <v>0</v>
      </c>
      <c r="BE25" s="9"/>
      <c r="BF25" s="9" t="e">
        <f t="shared" si="2"/>
        <v>#DIV/0!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64">
        <v>17</v>
      </c>
      <c r="BL25" s="9">
        <v>29</v>
      </c>
      <c r="BM25" s="2">
        <f t="shared" si="3"/>
        <v>58.620689655172406</v>
      </c>
      <c r="BN25" s="9" t="str">
        <f t="shared" si="4"/>
        <v>0</v>
      </c>
      <c r="BO25" s="9">
        <v>0</v>
      </c>
      <c r="BP25" s="9">
        <v>20</v>
      </c>
      <c r="BQ25" s="27">
        <f t="shared" si="5"/>
        <v>10</v>
      </c>
      <c r="BR25" s="9">
        <v>8</v>
      </c>
      <c r="BS25" s="9">
        <v>8</v>
      </c>
      <c r="BT25" s="9">
        <v>8</v>
      </c>
      <c r="BU25" s="27">
        <f t="shared" si="6"/>
        <v>8</v>
      </c>
      <c r="BV25" s="9">
        <v>5</v>
      </c>
      <c r="BW25" s="2">
        <f t="shared" si="7"/>
        <v>23</v>
      </c>
    </row>
    <row r="26" spans="1:75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>
        <f t="shared" si="0"/>
        <v>0</v>
      </c>
      <c r="BC26" s="9"/>
      <c r="BD26" s="9">
        <f t="shared" si="1"/>
        <v>0</v>
      </c>
      <c r="BE26" s="9"/>
      <c r="BF26" s="9" t="e">
        <f t="shared" si="2"/>
        <v>#DIV/0!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64">
        <v>23</v>
      </c>
      <c r="BL26" s="9">
        <v>29</v>
      </c>
      <c r="BM26" s="2">
        <f t="shared" si="3"/>
        <v>79.310344827586206</v>
      </c>
      <c r="BN26" s="9" t="str">
        <f t="shared" si="4"/>
        <v>2</v>
      </c>
      <c r="BO26" s="9">
        <v>14</v>
      </c>
      <c r="BP26" s="9">
        <v>19</v>
      </c>
      <c r="BQ26" s="27">
        <f t="shared" si="5"/>
        <v>16.5</v>
      </c>
      <c r="BR26" s="9">
        <v>7</v>
      </c>
      <c r="BS26" s="9">
        <v>7</v>
      </c>
      <c r="BT26" s="9">
        <v>7</v>
      </c>
      <c r="BU26" s="27">
        <f t="shared" si="6"/>
        <v>7</v>
      </c>
      <c r="BV26" s="9"/>
      <c r="BW26" s="2">
        <f t="shared" si="7"/>
        <v>25.5</v>
      </c>
    </row>
    <row r="27" spans="1:75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f t="shared" si="0"/>
        <v>0</v>
      </c>
      <c r="BC27" s="9"/>
      <c r="BD27" s="9">
        <f t="shared" si="1"/>
        <v>0</v>
      </c>
      <c r="BE27" s="9"/>
      <c r="BF27" s="9" t="e">
        <f t="shared" si="2"/>
        <v>#DIV/0!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64">
        <v>0</v>
      </c>
      <c r="BL27" s="9">
        <v>29</v>
      </c>
      <c r="BM27" s="2">
        <f t="shared" si="3"/>
        <v>0</v>
      </c>
      <c r="BN27" s="9" t="str">
        <f t="shared" si="4"/>
        <v>0</v>
      </c>
      <c r="BO27" s="11">
        <v>0</v>
      </c>
      <c r="BP27" s="11">
        <v>0</v>
      </c>
      <c r="BQ27" s="27">
        <f t="shared" si="5"/>
        <v>0</v>
      </c>
      <c r="BR27" s="9">
        <v>0</v>
      </c>
      <c r="BS27" s="9">
        <v>0</v>
      </c>
      <c r="BT27" s="9">
        <v>0</v>
      </c>
      <c r="BU27" s="27">
        <f t="shared" si="6"/>
        <v>0</v>
      </c>
      <c r="BV27" s="9"/>
      <c r="BW27" s="2">
        <f t="shared" si="7"/>
        <v>0</v>
      </c>
    </row>
    <row r="28" spans="1:75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f t="shared" si="0"/>
        <v>0</v>
      </c>
      <c r="BC28" s="9"/>
      <c r="BD28" s="9">
        <f t="shared" si="1"/>
        <v>0</v>
      </c>
      <c r="BE28" s="9"/>
      <c r="BF28" s="9" t="e">
        <f t="shared" si="2"/>
        <v>#DIV/0!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64">
        <v>15</v>
      </c>
      <c r="BL28" s="9">
        <v>29</v>
      </c>
      <c r="BM28" s="2">
        <f t="shared" si="3"/>
        <v>51.724137931034484</v>
      </c>
      <c r="BN28" s="9" t="str">
        <f t="shared" si="4"/>
        <v>0</v>
      </c>
      <c r="BO28" s="9">
        <v>12</v>
      </c>
      <c r="BP28" s="28">
        <v>12</v>
      </c>
      <c r="BQ28" s="27">
        <f t="shared" si="5"/>
        <v>12</v>
      </c>
      <c r="BR28" s="9">
        <v>8</v>
      </c>
      <c r="BS28" s="9">
        <v>0</v>
      </c>
      <c r="BT28" s="9">
        <v>0</v>
      </c>
      <c r="BU28" s="27">
        <f t="shared" si="6"/>
        <v>2.6666666666666665</v>
      </c>
      <c r="BV28" s="9">
        <v>5</v>
      </c>
      <c r="BW28" s="2">
        <f t="shared" si="7"/>
        <v>19.666666666666664</v>
      </c>
    </row>
    <row r="29" spans="1:75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>
        <f t="shared" si="0"/>
        <v>0</v>
      </c>
      <c r="BC29" s="9"/>
      <c r="BD29" s="9">
        <f t="shared" si="1"/>
        <v>0</v>
      </c>
      <c r="BE29" s="9"/>
      <c r="BF29" s="9" t="e">
        <f t="shared" si="2"/>
        <v>#DIV/0!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64">
        <v>20</v>
      </c>
      <c r="BL29" s="9">
        <v>29</v>
      </c>
      <c r="BM29" s="2">
        <f t="shared" si="3"/>
        <v>68.965517241379317</v>
      </c>
      <c r="BN29" s="9" t="str">
        <f t="shared" si="4"/>
        <v>0</v>
      </c>
      <c r="BO29" s="9">
        <v>11</v>
      </c>
      <c r="BP29" s="9">
        <v>20</v>
      </c>
      <c r="BQ29" s="27">
        <f t="shared" si="5"/>
        <v>15.5</v>
      </c>
      <c r="BR29" s="9">
        <v>8</v>
      </c>
      <c r="BS29" s="9">
        <v>9</v>
      </c>
      <c r="BT29" s="9">
        <v>8</v>
      </c>
      <c r="BU29" s="27">
        <f t="shared" si="6"/>
        <v>8.3333333333333339</v>
      </c>
      <c r="BV29" s="9"/>
      <c r="BW29" s="2">
        <f t="shared" si="7"/>
        <v>23.833333333333336</v>
      </c>
    </row>
    <row r="30" spans="1:75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>
        <f t="shared" si="0"/>
        <v>0</v>
      </c>
      <c r="BC30" s="9"/>
      <c r="BD30" s="9">
        <f t="shared" si="1"/>
        <v>0</v>
      </c>
      <c r="BE30" s="9"/>
      <c r="BF30" s="9" t="e">
        <f t="shared" si="2"/>
        <v>#DIV/0!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64">
        <v>16</v>
      </c>
      <c r="BL30" s="9">
        <v>29</v>
      </c>
      <c r="BM30" s="2">
        <f t="shared" si="3"/>
        <v>55.172413793103445</v>
      </c>
      <c r="BN30" s="9" t="str">
        <f t="shared" si="4"/>
        <v>0</v>
      </c>
      <c r="BO30" s="9">
        <v>14</v>
      </c>
      <c r="BP30" s="9">
        <v>18</v>
      </c>
      <c r="BQ30" s="27">
        <f t="shared" si="5"/>
        <v>16</v>
      </c>
      <c r="BR30" s="9">
        <v>8</v>
      </c>
      <c r="BS30" s="9">
        <v>0</v>
      </c>
      <c r="BT30" s="9">
        <v>0</v>
      </c>
      <c r="BU30" s="27">
        <f t="shared" si="6"/>
        <v>2.6666666666666665</v>
      </c>
      <c r="BV30" s="9">
        <v>5</v>
      </c>
      <c r="BW30" s="2">
        <f t="shared" si="7"/>
        <v>23.666666666666664</v>
      </c>
    </row>
    <row r="31" spans="1:75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>
        <f t="shared" si="0"/>
        <v>0</v>
      </c>
      <c r="BC31" s="9"/>
      <c r="BD31" s="9">
        <f t="shared" si="1"/>
        <v>0</v>
      </c>
      <c r="BE31" s="9"/>
      <c r="BF31" s="9" t="e">
        <f t="shared" si="2"/>
        <v>#DIV/0!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64">
        <v>15</v>
      </c>
      <c r="BL31" s="9">
        <v>29</v>
      </c>
      <c r="BM31" s="2">
        <f t="shared" si="3"/>
        <v>51.724137931034484</v>
      </c>
      <c r="BN31" s="9" t="str">
        <f t="shared" si="4"/>
        <v>0</v>
      </c>
      <c r="BO31" s="9">
        <v>3</v>
      </c>
      <c r="BP31" s="9">
        <v>17</v>
      </c>
      <c r="BQ31" s="27">
        <f t="shared" si="5"/>
        <v>10</v>
      </c>
      <c r="BR31" s="9">
        <v>8.5</v>
      </c>
      <c r="BS31" s="9">
        <v>8</v>
      </c>
      <c r="BT31" s="9">
        <v>8</v>
      </c>
      <c r="BU31" s="27">
        <f t="shared" si="6"/>
        <v>8.1666666666666661</v>
      </c>
      <c r="BV31" s="9">
        <v>5</v>
      </c>
      <c r="BW31" s="2">
        <f t="shared" si="7"/>
        <v>23.166666666666664</v>
      </c>
    </row>
    <row r="32" spans="1:75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>
        <f t="shared" si="0"/>
        <v>0</v>
      </c>
      <c r="BC32" s="9"/>
      <c r="BD32" s="9">
        <f t="shared" si="1"/>
        <v>0</v>
      </c>
      <c r="BE32" s="9"/>
      <c r="BF32" s="9" t="e">
        <f t="shared" si="2"/>
        <v>#DIV/0!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64">
        <v>5</v>
      </c>
      <c r="BL32" s="9">
        <v>29</v>
      </c>
      <c r="BM32" s="2">
        <f t="shared" si="3"/>
        <v>17.241379310344829</v>
      </c>
      <c r="BN32" s="9" t="str">
        <f t="shared" si="4"/>
        <v>0</v>
      </c>
      <c r="BO32" s="9">
        <v>13</v>
      </c>
      <c r="BP32" s="9">
        <v>14</v>
      </c>
      <c r="BQ32" s="27">
        <f t="shared" si="5"/>
        <v>13.5</v>
      </c>
      <c r="BR32" s="9">
        <v>0</v>
      </c>
      <c r="BS32" s="9">
        <v>8</v>
      </c>
      <c r="BT32" s="9">
        <v>0</v>
      </c>
      <c r="BU32" s="27">
        <f t="shared" si="6"/>
        <v>2.6666666666666665</v>
      </c>
      <c r="BV32" s="9"/>
      <c r="BW32" s="2">
        <f t="shared" si="7"/>
        <v>16.166666666666668</v>
      </c>
    </row>
    <row r="33" spans="1:75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>
        <f t="shared" si="0"/>
        <v>0</v>
      </c>
      <c r="BC33" s="9"/>
      <c r="BD33" s="9">
        <f t="shared" si="1"/>
        <v>0</v>
      </c>
      <c r="BE33" s="9"/>
      <c r="BF33" s="9" t="e">
        <f t="shared" si="2"/>
        <v>#DIV/0!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64">
        <v>21</v>
      </c>
      <c r="BL33" s="9">
        <v>29</v>
      </c>
      <c r="BM33" s="2">
        <f t="shared" si="3"/>
        <v>72.41379310344827</v>
      </c>
      <c r="BN33" s="9" t="str">
        <f t="shared" si="4"/>
        <v>0</v>
      </c>
      <c r="BO33" s="9">
        <v>16</v>
      </c>
      <c r="BP33" s="9">
        <v>21</v>
      </c>
      <c r="BQ33" s="27">
        <f t="shared" si="5"/>
        <v>18.5</v>
      </c>
      <c r="BR33" s="9">
        <v>9</v>
      </c>
      <c r="BS33" s="9">
        <v>8</v>
      </c>
      <c r="BT33" s="9">
        <v>8</v>
      </c>
      <c r="BU33" s="27">
        <f t="shared" si="6"/>
        <v>8.3333333333333339</v>
      </c>
      <c r="BV33" s="9"/>
      <c r="BW33" s="2">
        <f t="shared" si="7"/>
        <v>26.833333333333336</v>
      </c>
    </row>
    <row r="34" spans="1:75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f t="shared" si="0"/>
        <v>0</v>
      </c>
      <c r="BC34" s="9"/>
      <c r="BD34" s="9">
        <f t="shared" si="1"/>
        <v>0</v>
      </c>
      <c r="BE34" s="9"/>
      <c r="BF34" s="9" t="e">
        <f t="shared" si="2"/>
        <v>#DIV/0!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64">
        <v>15</v>
      </c>
      <c r="BL34" s="9">
        <v>29</v>
      </c>
      <c r="BM34" s="2">
        <f t="shared" si="3"/>
        <v>51.724137931034484</v>
      </c>
      <c r="BN34" s="9" t="str">
        <f t="shared" si="4"/>
        <v>0</v>
      </c>
      <c r="BO34" s="9">
        <v>15</v>
      </c>
      <c r="BP34" s="9">
        <v>15</v>
      </c>
      <c r="BQ34" s="27">
        <f t="shared" si="5"/>
        <v>15</v>
      </c>
      <c r="BR34" s="9">
        <v>8</v>
      </c>
      <c r="BS34" s="9">
        <v>9</v>
      </c>
      <c r="BT34" s="9">
        <v>8</v>
      </c>
      <c r="BU34" s="27">
        <f t="shared" si="6"/>
        <v>8.3333333333333339</v>
      </c>
      <c r="BV34" s="9"/>
      <c r="BW34" s="2">
        <f t="shared" si="7"/>
        <v>23.333333333333336</v>
      </c>
    </row>
    <row r="35" spans="1:75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f t="shared" si="0"/>
        <v>0</v>
      </c>
      <c r="BC35" s="9"/>
      <c r="BD35" s="9">
        <f t="shared" si="1"/>
        <v>0</v>
      </c>
      <c r="BE35" s="9"/>
      <c r="BF35" s="9" t="e">
        <f t="shared" si="2"/>
        <v>#DIV/0!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64">
        <v>22</v>
      </c>
      <c r="BL35" s="9">
        <v>29</v>
      </c>
      <c r="BM35" s="2">
        <f t="shared" si="3"/>
        <v>75.862068965517238</v>
      </c>
      <c r="BN35" s="9" t="str">
        <f t="shared" si="4"/>
        <v>2</v>
      </c>
      <c r="BO35" s="9">
        <v>16</v>
      </c>
      <c r="BP35" s="9">
        <v>14</v>
      </c>
      <c r="BQ35" s="27">
        <f t="shared" si="5"/>
        <v>15</v>
      </c>
      <c r="BR35" s="9">
        <v>7</v>
      </c>
      <c r="BS35" s="9">
        <v>7</v>
      </c>
      <c r="BT35" s="9">
        <v>8</v>
      </c>
      <c r="BU35" s="27">
        <f t="shared" si="6"/>
        <v>7.333333333333333</v>
      </c>
      <c r="BV35" s="9"/>
      <c r="BW35" s="2">
        <f t="shared" si="7"/>
        <v>24.333333333333332</v>
      </c>
    </row>
    <row r="36" spans="1:75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f t="shared" si="0"/>
        <v>0</v>
      </c>
      <c r="BC36" s="9"/>
      <c r="BD36" s="9">
        <f t="shared" si="1"/>
        <v>0</v>
      </c>
      <c r="BE36" s="9"/>
      <c r="BF36" s="9" t="e">
        <f t="shared" si="2"/>
        <v>#DIV/0!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64">
        <v>13</v>
      </c>
      <c r="BL36" s="9">
        <v>29</v>
      </c>
      <c r="BM36" s="2">
        <f t="shared" si="3"/>
        <v>44.827586206896555</v>
      </c>
      <c r="BN36" s="9" t="str">
        <f t="shared" si="4"/>
        <v>0</v>
      </c>
      <c r="BO36" s="9">
        <v>1</v>
      </c>
      <c r="BP36" s="9">
        <v>13</v>
      </c>
      <c r="BQ36" s="27">
        <f t="shared" si="5"/>
        <v>7</v>
      </c>
      <c r="BR36" s="9">
        <v>0</v>
      </c>
      <c r="BS36" s="9">
        <v>8</v>
      </c>
      <c r="BT36" s="9">
        <v>8.5</v>
      </c>
      <c r="BU36" s="27">
        <f t="shared" si="6"/>
        <v>5.5</v>
      </c>
      <c r="BV36" s="9"/>
      <c r="BW36" s="2">
        <f t="shared" si="7"/>
        <v>12.5</v>
      </c>
    </row>
    <row r="37" spans="1:75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f t="shared" si="0"/>
        <v>0</v>
      </c>
      <c r="BC37" s="9"/>
      <c r="BD37" s="9">
        <f t="shared" si="1"/>
        <v>0</v>
      </c>
      <c r="BE37" s="9"/>
      <c r="BF37" s="9" t="e">
        <f t="shared" si="2"/>
        <v>#DIV/0!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64">
        <v>4</v>
      </c>
      <c r="BL37" s="9">
        <v>29</v>
      </c>
      <c r="BM37" s="2">
        <f t="shared" si="3"/>
        <v>13.793103448275861</v>
      </c>
      <c r="BN37" s="9" t="str">
        <f t="shared" si="4"/>
        <v>0</v>
      </c>
      <c r="BO37" s="11">
        <v>0</v>
      </c>
      <c r="BP37" s="11">
        <v>0</v>
      </c>
      <c r="BQ37" s="27">
        <f t="shared" si="5"/>
        <v>0</v>
      </c>
      <c r="BR37" s="9">
        <v>8</v>
      </c>
      <c r="BS37" s="9">
        <v>0</v>
      </c>
      <c r="BT37" s="9">
        <v>0</v>
      </c>
      <c r="BU37" s="27">
        <f t="shared" si="6"/>
        <v>2.6666666666666665</v>
      </c>
      <c r="BV37" s="9"/>
      <c r="BW37" s="2">
        <f t="shared" si="7"/>
        <v>2.6666666666666665</v>
      </c>
    </row>
    <row r="38" spans="1:75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f t="shared" si="0"/>
        <v>0</v>
      </c>
      <c r="BC38" s="9"/>
      <c r="BD38" s="9">
        <f t="shared" si="1"/>
        <v>0</v>
      </c>
      <c r="BE38" s="9"/>
      <c r="BF38" s="9" t="e">
        <f t="shared" si="2"/>
        <v>#DIV/0!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64">
        <v>4</v>
      </c>
      <c r="BL38" s="9">
        <v>29</v>
      </c>
      <c r="BM38" s="2">
        <f t="shared" si="3"/>
        <v>13.793103448275861</v>
      </c>
      <c r="BN38" s="9" t="str">
        <f t="shared" si="4"/>
        <v>0</v>
      </c>
      <c r="BO38" s="11">
        <v>0</v>
      </c>
      <c r="BP38" s="11">
        <v>0</v>
      </c>
      <c r="BQ38" s="27">
        <f t="shared" si="5"/>
        <v>0</v>
      </c>
      <c r="BR38" s="9">
        <v>0</v>
      </c>
      <c r="BS38" s="9">
        <v>0</v>
      </c>
      <c r="BT38" s="9">
        <v>0</v>
      </c>
      <c r="BU38" s="27">
        <f t="shared" si="6"/>
        <v>0</v>
      </c>
      <c r="BV38" s="9"/>
      <c r="BW38" s="2">
        <f t="shared" si="7"/>
        <v>0</v>
      </c>
    </row>
    <row r="39" spans="1:75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>
        <f t="shared" si="0"/>
        <v>0</v>
      </c>
      <c r="BC39" s="9"/>
      <c r="BD39" s="9">
        <f t="shared" si="1"/>
        <v>0</v>
      </c>
      <c r="BE39" s="9"/>
      <c r="BF39" s="9" t="e">
        <f t="shared" si="2"/>
        <v>#DIV/0!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65">
        <v>17</v>
      </c>
      <c r="BL39" s="9">
        <v>29</v>
      </c>
      <c r="BM39" s="2">
        <f t="shared" si="3"/>
        <v>58.620689655172406</v>
      </c>
      <c r="BN39" s="9" t="str">
        <f t="shared" si="4"/>
        <v>0</v>
      </c>
      <c r="BO39" s="9">
        <v>17</v>
      </c>
      <c r="BP39" s="9">
        <v>16</v>
      </c>
      <c r="BQ39" s="27">
        <f t="shared" si="5"/>
        <v>16.5</v>
      </c>
      <c r="BR39" s="9">
        <v>9</v>
      </c>
      <c r="BS39" s="9">
        <v>9</v>
      </c>
      <c r="BT39" s="9">
        <v>9</v>
      </c>
      <c r="BU39" s="27">
        <f t="shared" si="6"/>
        <v>9</v>
      </c>
      <c r="BV39" s="9">
        <v>5</v>
      </c>
      <c r="BW39" s="2">
        <f t="shared" si="7"/>
        <v>30.5</v>
      </c>
    </row>
    <row r="40" spans="1:75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f t="shared" si="0"/>
        <v>0</v>
      </c>
      <c r="BC40" s="9"/>
      <c r="BD40" s="9">
        <f t="shared" si="1"/>
        <v>0</v>
      </c>
      <c r="BE40" s="9"/>
      <c r="BF40" s="9" t="e">
        <f t="shared" si="2"/>
        <v>#DIV/0!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65">
        <v>1</v>
      </c>
      <c r="BL40" s="9">
        <v>29</v>
      </c>
      <c r="BM40" s="2">
        <f t="shared" si="3"/>
        <v>3.4482758620689653</v>
      </c>
      <c r="BN40" s="9" t="str">
        <f t="shared" si="4"/>
        <v>0</v>
      </c>
      <c r="BO40" s="11">
        <v>0</v>
      </c>
      <c r="BP40" s="11">
        <v>0</v>
      </c>
      <c r="BQ40" s="27">
        <f t="shared" si="5"/>
        <v>0</v>
      </c>
      <c r="BR40" s="9">
        <v>0</v>
      </c>
      <c r="BS40" s="9">
        <v>0</v>
      </c>
      <c r="BT40" s="9">
        <v>0</v>
      </c>
      <c r="BU40" s="27">
        <f t="shared" si="6"/>
        <v>0</v>
      </c>
      <c r="BV40" s="9"/>
      <c r="BW40" s="2">
        <f t="shared" si="7"/>
        <v>0</v>
      </c>
    </row>
    <row r="41" spans="1:75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>
        <f t="shared" si="0"/>
        <v>0</v>
      </c>
      <c r="BC41" s="9"/>
      <c r="BD41" s="9">
        <f t="shared" si="1"/>
        <v>0</v>
      </c>
      <c r="BE41" s="9"/>
      <c r="BF41" s="9" t="e">
        <f t="shared" si="2"/>
        <v>#DIV/0!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64">
        <v>16</v>
      </c>
      <c r="BL41" s="9">
        <v>29</v>
      </c>
      <c r="BM41" s="2">
        <f t="shared" si="3"/>
        <v>55.172413793103445</v>
      </c>
      <c r="BN41" s="9" t="str">
        <f t="shared" si="4"/>
        <v>0</v>
      </c>
      <c r="BO41" s="9">
        <v>12</v>
      </c>
      <c r="BP41" s="9">
        <v>17</v>
      </c>
      <c r="BQ41" s="27">
        <f t="shared" si="5"/>
        <v>14.5</v>
      </c>
      <c r="BR41" s="9">
        <v>7</v>
      </c>
      <c r="BS41" s="9">
        <v>9</v>
      </c>
      <c r="BT41" s="9">
        <v>8</v>
      </c>
      <c r="BU41" s="27">
        <f t="shared" si="6"/>
        <v>8</v>
      </c>
      <c r="BV41" s="9">
        <v>5</v>
      </c>
      <c r="BW41" s="2">
        <f t="shared" si="7"/>
        <v>27.5</v>
      </c>
    </row>
    <row r="42" spans="1:75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>
        <f t="shared" si="0"/>
        <v>0</v>
      </c>
      <c r="BC42" s="9"/>
      <c r="BD42" s="9">
        <f t="shared" si="1"/>
        <v>0</v>
      </c>
      <c r="BE42" s="9"/>
      <c r="BF42" s="9" t="e">
        <f t="shared" si="2"/>
        <v>#DIV/0!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64">
        <v>22</v>
      </c>
      <c r="BL42" s="9">
        <v>29</v>
      </c>
      <c r="BM42" s="2">
        <f t="shared" si="3"/>
        <v>75.862068965517238</v>
      </c>
      <c r="BN42" s="9" t="str">
        <f t="shared" si="4"/>
        <v>2</v>
      </c>
      <c r="BO42" s="9">
        <v>17</v>
      </c>
      <c r="BP42" s="9">
        <v>18</v>
      </c>
      <c r="BQ42" s="27">
        <f t="shared" si="5"/>
        <v>17.5</v>
      </c>
      <c r="BR42" s="9">
        <v>8</v>
      </c>
      <c r="BS42" s="9">
        <v>9</v>
      </c>
      <c r="BT42" s="9">
        <v>9</v>
      </c>
      <c r="BU42" s="27">
        <f t="shared" si="6"/>
        <v>8.6666666666666661</v>
      </c>
      <c r="BV42" s="9">
        <v>5</v>
      </c>
      <c r="BW42" s="2">
        <f t="shared" si="7"/>
        <v>33.166666666666664</v>
      </c>
    </row>
    <row r="43" spans="1:75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>
        <f t="shared" si="0"/>
        <v>0</v>
      </c>
      <c r="BC43" s="9"/>
      <c r="BD43" s="9">
        <f t="shared" si="1"/>
        <v>0</v>
      </c>
      <c r="BE43" s="9"/>
      <c r="BF43" s="9" t="e">
        <f t="shared" si="2"/>
        <v>#DIV/0!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66">
        <v>17</v>
      </c>
      <c r="BL43" s="9">
        <v>29</v>
      </c>
      <c r="BM43" s="2">
        <f>(BK44/BL43)*100</f>
        <v>68.965517241379317</v>
      </c>
      <c r="BN43" s="9" t="str">
        <f t="shared" si="4"/>
        <v>0</v>
      </c>
      <c r="BO43" s="9">
        <v>17</v>
      </c>
      <c r="BP43" s="9">
        <v>21</v>
      </c>
      <c r="BQ43" s="27">
        <f t="shared" si="5"/>
        <v>19</v>
      </c>
      <c r="BR43" s="9">
        <v>8</v>
      </c>
      <c r="BS43" s="9">
        <v>8</v>
      </c>
      <c r="BT43" s="9">
        <v>8</v>
      </c>
      <c r="BU43" s="27">
        <f t="shared" si="6"/>
        <v>8</v>
      </c>
      <c r="BV43" s="9">
        <v>5</v>
      </c>
      <c r="BW43" s="2">
        <f t="shared" si="7"/>
        <v>32</v>
      </c>
    </row>
    <row r="44" spans="1:75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f t="shared" si="0"/>
        <v>0</v>
      </c>
      <c r="BC44" s="9"/>
      <c r="BD44" s="9">
        <f t="shared" si="1"/>
        <v>0</v>
      </c>
      <c r="BE44" s="9"/>
      <c r="BF44" s="9" t="e">
        <f t="shared" si="2"/>
        <v>#DIV/0!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67">
        <v>20</v>
      </c>
      <c r="BL44" s="9">
        <v>29</v>
      </c>
      <c r="BM44" s="2">
        <f>(BK44/BL44)*100</f>
        <v>68.965517241379317</v>
      </c>
      <c r="BN44" s="9" t="str">
        <f t="shared" si="4"/>
        <v>0</v>
      </c>
      <c r="BO44" s="9">
        <v>17</v>
      </c>
      <c r="BP44" s="9">
        <v>21</v>
      </c>
      <c r="BQ44" s="27">
        <f t="shared" si="5"/>
        <v>19</v>
      </c>
      <c r="BR44" s="9">
        <v>9</v>
      </c>
      <c r="BS44" s="9">
        <v>9</v>
      </c>
      <c r="BT44" s="9">
        <v>9</v>
      </c>
      <c r="BU44" s="27">
        <f t="shared" si="6"/>
        <v>9</v>
      </c>
      <c r="BV44" s="9">
        <v>5</v>
      </c>
      <c r="BW44" s="2">
        <f t="shared" si="7"/>
        <v>33</v>
      </c>
    </row>
    <row r="45" spans="1:75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f t="shared" si="0"/>
        <v>0</v>
      </c>
      <c r="BC45" s="9"/>
      <c r="BD45" s="9">
        <f t="shared" si="1"/>
        <v>0</v>
      </c>
      <c r="BE45" s="9"/>
      <c r="BF45" s="9" t="e">
        <f t="shared" si="2"/>
        <v>#DIV/0!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65">
        <v>20</v>
      </c>
      <c r="BL45" s="9">
        <v>29</v>
      </c>
      <c r="BM45" s="2">
        <f t="shared" ref="BM45:BM76" si="8">(BK45/BL45)*100</f>
        <v>68.965517241379317</v>
      </c>
      <c r="BN45" s="9" t="str">
        <f t="shared" si="4"/>
        <v>0</v>
      </c>
      <c r="BO45" s="9">
        <v>8</v>
      </c>
      <c r="BP45" s="9">
        <v>17</v>
      </c>
      <c r="BQ45" s="27">
        <f t="shared" si="5"/>
        <v>12.5</v>
      </c>
      <c r="BR45" s="9">
        <v>8</v>
      </c>
      <c r="BS45" s="9">
        <v>7</v>
      </c>
      <c r="BT45" s="9">
        <v>9</v>
      </c>
      <c r="BU45" s="27">
        <f t="shared" si="6"/>
        <v>8</v>
      </c>
      <c r="BV45" s="9">
        <v>5</v>
      </c>
      <c r="BW45" s="2">
        <f t="shared" si="7"/>
        <v>25.5</v>
      </c>
    </row>
    <row r="46" spans="1:75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f t="shared" si="0"/>
        <v>0</v>
      </c>
      <c r="BC46" s="9"/>
      <c r="BD46" s="9">
        <f t="shared" si="1"/>
        <v>0</v>
      </c>
      <c r="BE46" s="9"/>
      <c r="BF46" s="9" t="e">
        <f t="shared" si="2"/>
        <v>#DIV/0!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64">
        <v>26</v>
      </c>
      <c r="BL46" s="9">
        <v>29</v>
      </c>
      <c r="BM46" s="2">
        <f t="shared" si="8"/>
        <v>89.65517241379311</v>
      </c>
      <c r="BN46" s="9" t="str">
        <f t="shared" si="4"/>
        <v>4</v>
      </c>
      <c r="BO46" s="9">
        <v>12</v>
      </c>
      <c r="BP46" s="9">
        <v>15</v>
      </c>
      <c r="BQ46" s="27">
        <f t="shared" si="5"/>
        <v>13.5</v>
      </c>
      <c r="BR46" s="9">
        <v>8</v>
      </c>
      <c r="BS46" s="9">
        <v>9</v>
      </c>
      <c r="BT46" s="9">
        <v>9</v>
      </c>
      <c r="BU46" s="27">
        <f t="shared" si="6"/>
        <v>8.6666666666666661</v>
      </c>
      <c r="BV46" s="9">
        <v>5</v>
      </c>
      <c r="BW46" s="2">
        <f t="shared" si="7"/>
        <v>31.166666666666664</v>
      </c>
    </row>
    <row r="47" spans="1:75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f t="shared" si="0"/>
        <v>0</v>
      </c>
      <c r="BC47" s="9"/>
      <c r="BD47" s="9">
        <f t="shared" si="1"/>
        <v>0</v>
      </c>
      <c r="BE47" s="9"/>
      <c r="BF47" s="9" t="e">
        <f t="shared" si="2"/>
        <v>#DIV/0!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64">
        <v>18</v>
      </c>
      <c r="BL47" s="9">
        <v>29</v>
      </c>
      <c r="BM47" s="2">
        <f t="shared" si="8"/>
        <v>62.068965517241381</v>
      </c>
      <c r="BN47" s="9" t="str">
        <f t="shared" si="4"/>
        <v>0</v>
      </c>
      <c r="BO47" s="9">
        <v>14</v>
      </c>
      <c r="BP47" s="9">
        <v>15</v>
      </c>
      <c r="BQ47" s="27">
        <f t="shared" si="5"/>
        <v>14.5</v>
      </c>
      <c r="BR47" s="9">
        <v>8</v>
      </c>
      <c r="BS47" s="9">
        <v>8</v>
      </c>
      <c r="BT47" s="9">
        <v>8</v>
      </c>
      <c r="BU47" s="27">
        <f t="shared" si="6"/>
        <v>8</v>
      </c>
      <c r="BV47" s="9"/>
      <c r="BW47" s="2">
        <f t="shared" si="7"/>
        <v>22.5</v>
      </c>
    </row>
    <row r="48" spans="1:75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f t="shared" si="0"/>
        <v>0</v>
      </c>
      <c r="BC48" s="9"/>
      <c r="BD48" s="9">
        <f t="shared" si="1"/>
        <v>0</v>
      </c>
      <c r="BE48" s="9"/>
      <c r="BF48" s="9" t="e">
        <f t="shared" si="2"/>
        <v>#DIV/0!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64">
        <v>21</v>
      </c>
      <c r="BL48" s="9">
        <v>29</v>
      </c>
      <c r="BM48" s="2">
        <f t="shared" si="8"/>
        <v>72.41379310344827</v>
      </c>
      <c r="BN48" s="9" t="str">
        <f t="shared" si="4"/>
        <v>0</v>
      </c>
      <c r="BO48" s="9">
        <v>16</v>
      </c>
      <c r="BP48" s="9">
        <v>13</v>
      </c>
      <c r="BQ48" s="27">
        <f t="shared" si="5"/>
        <v>14.5</v>
      </c>
      <c r="BR48" s="9">
        <v>8</v>
      </c>
      <c r="BS48" s="9">
        <v>7</v>
      </c>
      <c r="BT48" s="9">
        <v>8</v>
      </c>
      <c r="BU48" s="27">
        <f t="shared" si="6"/>
        <v>7.666666666666667</v>
      </c>
      <c r="BV48" s="9">
        <v>5</v>
      </c>
      <c r="BW48" s="2">
        <f t="shared" si="7"/>
        <v>27.166666666666668</v>
      </c>
    </row>
    <row r="49" spans="1:75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f t="shared" si="0"/>
        <v>0</v>
      </c>
      <c r="BC49" s="9"/>
      <c r="BD49" s="9">
        <f t="shared" si="1"/>
        <v>0</v>
      </c>
      <c r="BE49" s="9"/>
      <c r="BF49" s="9" t="e">
        <f t="shared" si="2"/>
        <v>#DIV/0!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64">
        <v>21</v>
      </c>
      <c r="BL49" s="9">
        <v>29</v>
      </c>
      <c r="BM49" s="2">
        <f t="shared" si="8"/>
        <v>72.41379310344827</v>
      </c>
      <c r="BN49" s="9" t="str">
        <f t="shared" si="4"/>
        <v>0</v>
      </c>
      <c r="BO49" s="9">
        <v>10</v>
      </c>
      <c r="BP49" s="9">
        <v>12</v>
      </c>
      <c r="BQ49" s="27">
        <f t="shared" si="5"/>
        <v>11</v>
      </c>
      <c r="BR49" s="9">
        <v>8</v>
      </c>
      <c r="BS49" s="9">
        <v>8</v>
      </c>
      <c r="BT49" s="9">
        <v>8</v>
      </c>
      <c r="BU49" s="27">
        <f t="shared" si="6"/>
        <v>8</v>
      </c>
      <c r="BV49" s="9"/>
      <c r="BW49" s="2">
        <f t="shared" si="7"/>
        <v>19</v>
      </c>
    </row>
    <row r="50" spans="1:75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f t="shared" si="0"/>
        <v>0</v>
      </c>
      <c r="BC50" s="9"/>
      <c r="BD50" s="9">
        <f t="shared" si="1"/>
        <v>0</v>
      </c>
      <c r="BE50" s="9"/>
      <c r="BF50" s="9" t="e">
        <f t="shared" si="2"/>
        <v>#DIV/0!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64">
        <v>25</v>
      </c>
      <c r="BL50" s="9">
        <v>29</v>
      </c>
      <c r="BM50" s="2">
        <f t="shared" si="8"/>
        <v>86.206896551724128</v>
      </c>
      <c r="BN50" s="9" t="str">
        <f t="shared" si="4"/>
        <v>4</v>
      </c>
      <c r="BO50" s="9">
        <v>11</v>
      </c>
      <c r="BP50" s="9">
        <v>16</v>
      </c>
      <c r="BQ50" s="27">
        <f t="shared" si="5"/>
        <v>13.5</v>
      </c>
      <c r="BR50" s="9">
        <v>9</v>
      </c>
      <c r="BS50" s="9">
        <v>9</v>
      </c>
      <c r="BT50" s="9">
        <v>8</v>
      </c>
      <c r="BU50" s="27">
        <f t="shared" si="6"/>
        <v>8.6666666666666661</v>
      </c>
      <c r="BV50" s="9">
        <v>5</v>
      </c>
      <c r="BW50" s="2">
        <f t="shared" si="7"/>
        <v>31.166666666666664</v>
      </c>
    </row>
    <row r="51" spans="1:75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f t="shared" si="0"/>
        <v>0</v>
      </c>
      <c r="BC51" s="9"/>
      <c r="BD51" s="9">
        <f t="shared" si="1"/>
        <v>0</v>
      </c>
      <c r="BE51" s="9"/>
      <c r="BF51" s="9" t="e">
        <f t="shared" si="2"/>
        <v>#DIV/0!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64">
        <v>8</v>
      </c>
      <c r="BL51" s="9">
        <v>29</v>
      </c>
      <c r="BM51" s="2">
        <f t="shared" si="8"/>
        <v>27.586206896551722</v>
      </c>
      <c r="BN51" s="9" t="str">
        <f t="shared" si="4"/>
        <v>0</v>
      </c>
      <c r="BO51" s="9">
        <v>8</v>
      </c>
      <c r="BP51" s="9">
        <v>16</v>
      </c>
      <c r="BQ51" s="27">
        <f t="shared" si="5"/>
        <v>12</v>
      </c>
      <c r="BR51" s="9">
        <v>8</v>
      </c>
      <c r="BS51" s="9">
        <v>8</v>
      </c>
      <c r="BT51" s="9">
        <v>0</v>
      </c>
      <c r="BU51" s="27">
        <f t="shared" si="6"/>
        <v>5.333333333333333</v>
      </c>
      <c r="BV51" s="9">
        <v>5</v>
      </c>
      <c r="BW51" s="2">
        <f t="shared" si="7"/>
        <v>22.333333333333332</v>
      </c>
    </row>
    <row r="52" spans="1:75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f t="shared" si="0"/>
        <v>0</v>
      </c>
      <c r="BC52" s="9"/>
      <c r="BD52" s="9">
        <f t="shared" si="1"/>
        <v>0</v>
      </c>
      <c r="BE52" s="9"/>
      <c r="BF52" s="9" t="e">
        <f t="shared" si="2"/>
        <v>#DIV/0!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64">
        <v>12</v>
      </c>
      <c r="BL52" s="9">
        <v>29</v>
      </c>
      <c r="BM52" s="2">
        <f t="shared" si="8"/>
        <v>41.379310344827587</v>
      </c>
      <c r="BN52" s="9" t="str">
        <f t="shared" si="4"/>
        <v>0</v>
      </c>
      <c r="BO52" s="9">
        <v>10</v>
      </c>
      <c r="BP52" s="9">
        <v>12</v>
      </c>
      <c r="BQ52" s="27">
        <f t="shared" si="5"/>
        <v>11</v>
      </c>
      <c r="BR52" s="9">
        <v>8</v>
      </c>
      <c r="BS52" s="9">
        <v>8.5</v>
      </c>
      <c r="BT52" s="9">
        <v>8</v>
      </c>
      <c r="BU52" s="27">
        <f t="shared" si="6"/>
        <v>8.1666666666666661</v>
      </c>
      <c r="BV52" s="9"/>
      <c r="BW52" s="2">
        <f t="shared" si="7"/>
        <v>19.166666666666664</v>
      </c>
    </row>
    <row r="53" spans="1:75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f t="shared" si="0"/>
        <v>0</v>
      </c>
      <c r="BC53" s="9"/>
      <c r="BD53" s="9">
        <f t="shared" si="1"/>
        <v>0</v>
      </c>
      <c r="BE53" s="9"/>
      <c r="BF53" s="9" t="e">
        <f t="shared" si="2"/>
        <v>#DIV/0!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64">
        <v>12</v>
      </c>
      <c r="BL53" s="9">
        <v>29</v>
      </c>
      <c r="BM53" s="2">
        <f t="shared" si="8"/>
        <v>41.379310344827587</v>
      </c>
      <c r="BN53" s="9" t="str">
        <f t="shared" si="4"/>
        <v>0</v>
      </c>
      <c r="BO53" s="9">
        <v>11</v>
      </c>
      <c r="BP53" s="9">
        <v>8</v>
      </c>
      <c r="BQ53" s="27">
        <f t="shared" si="5"/>
        <v>9.5</v>
      </c>
      <c r="BR53" s="9">
        <v>8</v>
      </c>
      <c r="BS53" s="9">
        <v>8</v>
      </c>
      <c r="BT53" s="9">
        <v>8</v>
      </c>
      <c r="BU53" s="27">
        <f t="shared" si="6"/>
        <v>8</v>
      </c>
      <c r="BV53" s="9"/>
      <c r="BW53" s="2">
        <f t="shared" si="7"/>
        <v>17.5</v>
      </c>
    </row>
    <row r="54" spans="1:75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f t="shared" si="0"/>
        <v>0</v>
      </c>
      <c r="BC54" s="9"/>
      <c r="BD54" s="9">
        <f t="shared" si="1"/>
        <v>0</v>
      </c>
      <c r="BE54" s="9"/>
      <c r="BF54" s="9" t="e">
        <f t="shared" si="2"/>
        <v>#DIV/0!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64">
        <v>21</v>
      </c>
      <c r="BL54" s="9">
        <v>29</v>
      </c>
      <c r="BM54" s="2">
        <f t="shared" si="8"/>
        <v>72.41379310344827</v>
      </c>
      <c r="BN54" s="9" t="str">
        <f t="shared" si="4"/>
        <v>0</v>
      </c>
      <c r="BO54" s="9">
        <v>8</v>
      </c>
      <c r="BP54" s="9">
        <v>11</v>
      </c>
      <c r="BQ54" s="27">
        <f t="shared" si="5"/>
        <v>9.5</v>
      </c>
      <c r="BR54" s="9">
        <v>7</v>
      </c>
      <c r="BS54" s="9">
        <v>8</v>
      </c>
      <c r="BT54" s="9">
        <v>0</v>
      </c>
      <c r="BU54" s="27">
        <f t="shared" si="6"/>
        <v>5</v>
      </c>
      <c r="BV54" s="9">
        <v>5</v>
      </c>
      <c r="BW54" s="2">
        <f t="shared" si="7"/>
        <v>19.5</v>
      </c>
    </row>
    <row r="55" spans="1:75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f t="shared" si="0"/>
        <v>0</v>
      </c>
      <c r="BC55" s="9"/>
      <c r="BD55" s="9">
        <f t="shared" si="1"/>
        <v>0</v>
      </c>
      <c r="BE55" s="9"/>
      <c r="BF55" s="9" t="e">
        <f t="shared" si="2"/>
        <v>#DIV/0!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64">
        <v>17</v>
      </c>
      <c r="BL55" s="9">
        <v>29</v>
      </c>
      <c r="BM55" s="2">
        <f t="shared" si="8"/>
        <v>58.620689655172406</v>
      </c>
      <c r="BN55" s="9" t="str">
        <f t="shared" si="4"/>
        <v>0</v>
      </c>
      <c r="BO55" s="9">
        <v>17</v>
      </c>
      <c r="BP55" s="9">
        <v>15</v>
      </c>
      <c r="BQ55" s="27">
        <f t="shared" si="5"/>
        <v>16</v>
      </c>
      <c r="BR55" s="9">
        <v>8</v>
      </c>
      <c r="BS55" s="9">
        <v>8</v>
      </c>
      <c r="BT55" s="9">
        <v>8</v>
      </c>
      <c r="BU55" s="27">
        <f t="shared" si="6"/>
        <v>8</v>
      </c>
      <c r="BV55" s="9"/>
      <c r="BW55" s="2">
        <f t="shared" si="7"/>
        <v>24</v>
      </c>
    </row>
    <row r="56" spans="1:75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f t="shared" si="0"/>
        <v>0</v>
      </c>
      <c r="BC56" s="9"/>
      <c r="BD56" s="9">
        <f t="shared" si="1"/>
        <v>0</v>
      </c>
      <c r="BE56" s="9"/>
      <c r="BF56" s="9" t="e">
        <f t="shared" si="2"/>
        <v>#DIV/0!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64">
        <v>17</v>
      </c>
      <c r="BL56" s="9">
        <v>29</v>
      </c>
      <c r="BM56" s="2">
        <f t="shared" si="8"/>
        <v>58.620689655172406</v>
      </c>
      <c r="BN56" s="9" t="str">
        <f t="shared" si="4"/>
        <v>0</v>
      </c>
      <c r="BO56" s="9">
        <v>7</v>
      </c>
      <c r="BP56" s="11">
        <v>0</v>
      </c>
      <c r="BQ56" s="27">
        <f t="shared" si="5"/>
        <v>3.5</v>
      </c>
      <c r="BR56" s="9">
        <v>0</v>
      </c>
      <c r="BS56" s="9">
        <v>7</v>
      </c>
      <c r="BT56" s="9">
        <v>8</v>
      </c>
      <c r="BU56" s="27">
        <f t="shared" si="6"/>
        <v>5</v>
      </c>
      <c r="BV56" s="9"/>
      <c r="BW56" s="2">
        <f t="shared" si="7"/>
        <v>8.5</v>
      </c>
    </row>
    <row r="57" spans="1:75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f t="shared" si="0"/>
        <v>0</v>
      </c>
      <c r="BC57" s="9"/>
      <c r="BD57" s="9">
        <f t="shared" si="1"/>
        <v>0</v>
      </c>
      <c r="BE57" s="9"/>
      <c r="BF57" s="9" t="e">
        <f t="shared" si="2"/>
        <v>#DIV/0!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64">
        <v>11</v>
      </c>
      <c r="BL57" s="9">
        <v>29</v>
      </c>
      <c r="BM57" s="2">
        <f t="shared" si="8"/>
        <v>37.931034482758619</v>
      </c>
      <c r="BN57" s="9" t="str">
        <f t="shared" si="4"/>
        <v>0</v>
      </c>
      <c r="BO57" s="9">
        <v>6</v>
      </c>
      <c r="BP57" s="9">
        <v>4</v>
      </c>
      <c r="BQ57" s="27">
        <f t="shared" si="5"/>
        <v>5</v>
      </c>
      <c r="BR57" s="9">
        <v>0</v>
      </c>
      <c r="BS57" s="9">
        <v>0</v>
      </c>
      <c r="BT57" s="9">
        <v>0</v>
      </c>
      <c r="BU57" s="27">
        <f t="shared" si="6"/>
        <v>0</v>
      </c>
      <c r="BV57" s="9">
        <v>5</v>
      </c>
      <c r="BW57" s="2">
        <f t="shared" si="7"/>
        <v>10</v>
      </c>
    </row>
    <row r="58" spans="1:75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f t="shared" si="0"/>
        <v>0</v>
      </c>
      <c r="BC58" s="9"/>
      <c r="BD58" s="9">
        <f t="shared" si="1"/>
        <v>0</v>
      </c>
      <c r="BE58" s="9"/>
      <c r="BF58" s="9" t="e">
        <f t="shared" si="2"/>
        <v>#DIV/0!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64">
        <v>13</v>
      </c>
      <c r="BL58" s="9">
        <v>29</v>
      </c>
      <c r="BM58" s="2">
        <f t="shared" si="8"/>
        <v>44.827586206896555</v>
      </c>
      <c r="BN58" s="9" t="str">
        <f t="shared" si="4"/>
        <v>0</v>
      </c>
      <c r="BO58" s="9">
        <v>16</v>
      </c>
      <c r="BP58" s="9">
        <v>17</v>
      </c>
      <c r="BQ58" s="27">
        <f t="shared" si="5"/>
        <v>16.5</v>
      </c>
      <c r="BR58" s="9">
        <v>8</v>
      </c>
      <c r="BS58" s="9">
        <v>8</v>
      </c>
      <c r="BT58" s="9">
        <v>9</v>
      </c>
      <c r="BU58" s="27">
        <f t="shared" si="6"/>
        <v>8.3333333333333339</v>
      </c>
      <c r="BV58" s="9">
        <v>5</v>
      </c>
      <c r="BW58" s="2">
        <f t="shared" si="7"/>
        <v>29.833333333333336</v>
      </c>
    </row>
    <row r="59" spans="1:75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f t="shared" si="0"/>
        <v>0</v>
      </c>
      <c r="BC59" s="9"/>
      <c r="BD59" s="9">
        <f t="shared" si="1"/>
        <v>0</v>
      </c>
      <c r="BE59" s="9"/>
      <c r="BF59" s="9" t="e">
        <f t="shared" si="2"/>
        <v>#DIV/0!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64">
        <v>14</v>
      </c>
      <c r="BL59" s="9">
        <v>29</v>
      </c>
      <c r="BM59" s="2">
        <f t="shared" si="8"/>
        <v>48.275862068965516</v>
      </c>
      <c r="BN59" s="9" t="str">
        <f t="shared" si="4"/>
        <v>0</v>
      </c>
      <c r="BO59" s="9">
        <v>7</v>
      </c>
      <c r="BP59" s="9">
        <v>12</v>
      </c>
      <c r="BQ59" s="27">
        <f t="shared" si="5"/>
        <v>9.5</v>
      </c>
      <c r="BR59" s="9">
        <v>9</v>
      </c>
      <c r="BS59" s="9">
        <v>8</v>
      </c>
      <c r="BT59" s="9">
        <v>8</v>
      </c>
      <c r="BU59" s="27">
        <f t="shared" si="6"/>
        <v>8.3333333333333339</v>
      </c>
      <c r="BV59" s="9"/>
      <c r="BW59" s="2">
        <f t="shared" si="7"/>
        <v>17.833333333333336</v>
      </c>
    </row>
    <row r="60" spans="1:75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f t="shared" si="0"/>
        <v>0</v>
      </c>
      <c r="BC60" s="9"/>
      <c r="BD60" s="9">
        <f t="shared" si="1"/>
        <v>0</v>
      </c>
      <c r="BE60" s="9"/>
      <c r="BF60" s="9" t="e">
        <f t="shared" si="2"/>
        <v>#DIV/0!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64">
        <v>25</v>
      </c>
      <c r="BL60" s="9">
        <v>29</v>
      </c>
      <c r="BM60" s="2">
        <f t="shared" si="8"/>
        <v>86.206896551724128</v>
      </c>
      <c r="BN60" s="9" t="str">
        <f t="shared" si="4"/>
        <v>4</v>
      </c>
      <c r="BO60" s="9">
        <v>10</v>
      </c>
      <c r="BP60" s="9">
        <v>13</v>
      </c>
      <c r="BQ60" s="27">
        <f t="shared" si="5"/>
        <v>11.5</v>
      </c>
      <c r="BR60" s="9">
        <v>8</v>
      </c>
      <c r="BS60" s="9">
        <v>8</v>
      </c>
      <c r="BT60" s="9">
        <v>8</v>
      </c>
      <c r="BU60" s="27">
        <f t="shared" si="6"/>
        <v>8</v>
      </c>
      <c r="BV60" s="9"/>
      <c r="BW60" s="2">
        <f t="shared" si="7"/>
        <v>23.5</v>
      </c>
    </row>
    <row r="61" spans="1:75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f t="shared" si="0"/>
        <v>0</v>
      </c>
      <c r="BC61" s="9"/>
      <c r="BD61" s="9">
        <f t="shared" si="1"/>
        <v>0</v>
      </c>
      <c r="BE61" s="9"/>
      <c r="BF61" s="9" t="e">
        <f t="shared" si="2"/>
        <v>#DIV/0!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64">
        <v>23</v>
      </c>
      <c r="BL61" s="9">
        <v>29</v>
      </c>
      <c r="BM61" s="2">
        <f t="shared" si="8"/>
        <v>79.310344827586206</v>
      </c>
      <c r="BN61" s="9" t="str">
        <f t="shared" si="4"/>
        <v>2</v>
      </c>
      <c r="BO61" s="9">
        <v>2</v>
      </c>
      <c r="BP61" s="9">
        <v>10</v>
      </c>
      <c r="BQ61" s="27">
        <f t="shared" si="5"/>
        <v>6</v>
      </c>
      <c r="BR61" s="9">
        <v>8</v>
      </c>
      <c r="BS61" s="9">
        <v>8</v>
      </c>
      <c r="BT61" s="9">
        <v>8</v>
      </c>
      <c r="BU61" s="27">
        <f t="shared" si="6"/>
        <v>8</v>
      </c>
      <c r="BV61" s="9"/>
      <c r="BW61" s="2">
        <f t="shared" si="7"/>
        <v>16</v>
      </c>
    </row>
    <row r="62" spans="1:75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f t="shared" si="0"/>
        <v>0</v>
      </c>
      <c r="BC62" s="9"/>
      <c r="BD62" s="9">
        <f t="shared" si="1"/>
        <v>0</v>
      </c>
      <c r="BE62" s="9"/>
      <c r="BF62" s="9" t="e">
        <f t="shared" si="2"/>
        <v>#DIV/0!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64">
        <v>23</v>
      </c>
      <c r="BL62" s="9">
        <v>29</v>
      </c>
      <c r="BM62" s="2">
        <f t="shared" si="8"/>
        <v>79.310344827586206</v>
      </c>
      <c r="BN62" s="9" t="str">
        <f t="shared" si="4"/>
        <v>2</v>
      </c>
      <c r="BO62" s="9">
        <v>16</v>
      </c>
      <c r="BP62" s="9">
        <v>17</v>
      </c>
      <c r="BQ62" s="27">
        <f t="shared" si="5"/>
        <v>16.5</v>
      </c>
      <c r="BR62" s="9">
        <v>8</v>
      </c>
      <c r="BS62" s="9">
        <v>8</v>
      </c>
      <c r="BT62" s="9">
        <v>0</v>
      </c>
      <c r="BU62" s="27">
        <f t="shared" si="6"/>
        <v>5.333333333333333</v>
      </c>
      <c r="BV62" s="9"/>
      <c r="BW62" s="2">
        <f t="shared" si="7"/>
        <v>23.833333333333332</v>
      </c>
    </row>
    <row r="63" spans="1:75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f t="shared" si="0"/>
        <v>0</v>
      </c>
      <c r="BC63" s="9"/>
      <c r="BD63" s="9">
        <f t="shared" si="1"/>
        <v>0</v>
      </c>
      <c r="BE63" s="9"/>
      <c r="BF63" s="9" t="e">
        <f t="shared" si="2"/>
        <v>#DIV/0!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64">
        <v>18</v>
      </c>
      <c r="BL63" s="9">
        <v>29</v>
      </c>
      <c r="BM63" s="2">
        <f t="shared" si="8"/>
        <v>62.068965517241381</v>
      </c>
      <c r="BN63" s="9" t="str">
        <f t="shared" si="4"/>
        <v>0</v>
      </c>
      <c r="BO63" s="9">
        <v>14</v>
      </c>
      <c r="BP63" s="11">
        <v>0</v>
      </c>
      <c r="BQ63" s="27">
        <f t="shared" si="5"/>
        <v>7</v>
      </c>
      <c r="BR63" s="9">
        <v>0</v>
      </c>
      <c r="BS63" s="9">
        <v>0</v>
      </c>
      <c r="BT63" s="9">
        <v>0</v>
      </c>
      <c r="BU63" s="27">
        <f t="shared" si="6"/>
        <v>0</v>
      </c>
      <c r="BV63" s="9"/>
      <c r="BW63" s="2">
        <f t="shared" si="7"/>
        <v>7</v>
      </c>
    </row>
    <row r="64" spans="1:75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f t="shared" si="0"/>
        <v>0</v>
      </c>
      <c r="BC64" s="9"/>
      <c r="BD64" s="9">
        <f t="shared" si="1"/>
        <v>0</v>
      </c>
      <c r="BE64" s="9"/>
      <c r="BF64" s="9" t="e">
        <f t="shared" si="2"/>
        <v>#DIV/0!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64">
        <v>25</v>
      </c>
      <c r="BL64" s="9">
        <v>29</v>
      </c>
      <c r="BM64" s="2">
        <f t="shared" si="8"/>
        <v>86.206896551724128</v>
      </c>
      <c r="BN64" s="9" t="str">
        <f t="shared" si="4"/>
        <v>4</v>
      </c>
      <c r="BO64" s="9">
        <v>15</v>
      </c>
      <c r="BP64" s="9">
        <v>12</v>
      </c>
      <c r="BQ64" s="27">
        <f t="shared" si="5"/>
        <v>13.5</v>
      </c>
      <c r="BR64" s="9">
        <v>8</v>
      </c>
      <c r="BS64" s="9">
        <v>8</v>
      </c>
      <c r="BT64" s="9">
        <v>8</v>
      </c>
      <c r="BU64" s="27">
        <f t="shared" si="6"/>
        <v>8</v>
      </c>
      <c r="BV64" s="9"/>
      <c r="BW64" s="2">
        <f t="shared" si="7"/>
        <v>25.5</v>
      </c>
    </row>
    <row r="65" spans="1:75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f t="shared" si="0"/>
        <v>0</v>
      </c>
      <c r="BC65" s="9"/>
      <c r="BD65" s="9">
        <f t="shared" si="1"/>
        <v>0</v>
      </c>
      <c r="BE65" s="9"/>
      <c r="BF65" s="9" t="e">
        <f t="shared" si="2"/>
        <v>#DIV/0!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64">
        <v>21</v>
      </c>
      <c r="BL65" s="9">
        <v>29</v>
      </c>
      <c r="BM65" s="2">
        <f t="shared" si="8"/>
        <v>72.41379310344827</v>
      </c>
      <c r="BN65" s="9" t="str">
        <f t="shared" si="4"/>
        <v>0</v>
      </c>
      <c r="BO65" s="9">
        <v>14</v>
      </c>
      <c r="BP65" s="9">
        <v>4</v>
      </c>
      <c r="BQ65" s="27">
        <f t="shared" si="5"/>
        <v>9</v>
      </c>
      <c r="BR65" s="9">
        <v>8</v>
      </c>
      <c r="BS65" s="9">
        <v>8</v>
      </c>
      <c r="BT65" s="9">
        <v>9</v>
      </c>
      <c r="BU65" s="27">
        <f t="shared" si="6"/>
        <v>8.3333333333333339</v>
      </c>
      <c r="BV65" s="9">
        <v>5</v>
      </c>
      <c r="BW65" s="2">
        <f t="shared" si="7"/>
        <v>22.333333333333336</v>
      </c>
    </row>
    <row r="66" spans="1:75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f t="shared" si="0"/>
        <v>0</v>
      </c>
      <c r="BC66" s="9"/>
      <c r="BD66" s="9">
        <f t="shared" si="1"/>
        <v>0</v>
      </c>
      <c r="BE66" s="9"/>
      <c r="BF66" s="9" t="e">
        <f t="shared" si="2"/>
        <v>#DIV/0!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64">
        <v>27</v>
      </c>
      <c r="BL66" s="9">
        <v>29</v>
      </c>
      <c r="BM66" s="2">
        <f t="shared" si="8"/>
        <v>93.103448275862064</v>
      </c>
      <c r="BN66" s="9" t="str">
        <f t="shared" si="4"/>
        <v>5</v>
      </c>
      <c r="BO66" s="9">
        <v>15</v>
      </c>
      <c r="BP66" s="9">
        <v>18</v>
      </c>
      <c r="BQ66" s="27">
        <f t="shared" si="5"/>
        <v>16.5</v>
      </c>
      <c r="BR66" s="9">
        <v>8</v>
      </c>
      <c r="BS66" s="9">
        <v>7</v>
      </c>
      <c r="BT66" s="9">
        <v>8</v>
      </c>
      <c r="BU66" s="27">
        <f t="shared" si="6"/>
        <v>7.666666666666667</v>
      </c>
      <c r="BV66" s="9"/>
      <c r="BW66" s="2">
        <f t="shared" si="7"/>
        <v>29.166666666666668</v>
      </c>
    </row>
    <row r="67" spans="1:75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f t="shared" si="0"/>
        <v>0</v>
      </c>
      <c r="BC67" s="9"/>
      <c r="BD67" s="9">
        <f t="shared" si="1"/>
        <v>0</v>
      </c>
      <c r="BE67" s="9"/>
      <c r="BF67" s="9" t="e">
        <f t="shared" si="2"/>
        <v>#DIV/0!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64">
        <v>23</v>
      </c>
      <c r="BL67" s="9">
        <v>29</v>
      </c>
      <c r="BM67" s="2">
        <f t="shared" si="8"/>
        <v>79.310344827586206</v>
      </c>
      <c r="BN67" s="9" t="str">
        <f t="shared" si="4"/>
        <v>2</v>
      </c>
      <c r="BO67" s="9">
        <v>6</v>
      </c>
      <c r="BP67" s="9">
        <v>15</v>
      </c>
      <c r="BQ67" s="27">
        <f t="shared" si="5"/>
        <v>10.5</v>
      </c>
      <c r="BR67" s="9">
        <v>8</v>
      </c>
      <c r="BS67" s="9">
        <v>7</v>
      </c>
      <c r="BT67" s="9">
        <v>8</v>
      </c>
      <c r="BU67" s="27">
        <f t="shared" si="6"/>
        <v>7.666666666666667</v>
      </c>
      <c r="BV67" s="9"/>
      <c r="BW67" s="2">
        <f t="shared" si="7"/>
        <v>20.166666666666668</v>
      </c>
    </row>
    <row r="68" spans="1:75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f t="shared" si="0"/>
        <v>0</v>
      </c>
      <c r="BC68" s="9"/>
      <c r="BD68" s="9">
        <f t="shared" si="1"/>
        <v>0</v>
      </c>
      <c r="BE68" s="9"/>
      <c r="BF68" s="9" t="e">
        <f t="shared" si="2"/>
        <v>#DIV/0!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64">
        <v>13</v>
      </c>
      <c r="BL68" s="9">
        <v>29</v>
      </c>
      <c r="BM68" s="2">
        <f t="shared" si="8"/>
        <v>44.827586206896555</v>
      </c>
      <c r="BN68" s="9" t="str">
        <f t="shared" si="4"/>
        <v>0</v>
      </c>
      <c r="BO68" s="9">
        <v>2</v>
      </c>
      <c r="BP68" s="11">
        <v>0</v>
      </c>
      <c r="BQ68" s="27">
        <f t="shared" si="5"/>
        <v>1</v>
      </c>
      <c r="BR68" s="9">
        <v>7</v>
      </c>
      <c r="BS68" s="9">
        <v>0</v>
      </c>
      <c r="BT68" s="9">
        <v>0</v>
      </c>
      <c r="BU68" s="27">
        <f t="shared" si="6"/>
        <v>2.3333333333333335</v>
      </c>
      <c r="BV68" s="9"/>
      <c r="BW68" s="2">
        <f t="shared" si="7"/>
        <v>3.3333333333333335</v>
      </c>
    </row>
    <row r="69" spans="1:75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f t="shared" si="0"/>
        <v>0</v>
      </c>
      <c r="BC69" s="9"/>
      <c r="BD69" s="9">
        <f t="shared" si="1"/>
        <v>0</v>
      </c>
      <c r="BE69" s="9"/>
      <c r="BF69" s="9" t="e">
        <f t="shared" si="2"/>
        <v>#DIV/0!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64">
        <v>24</v>
      </c>
      <c r="BL69" s="9">
        <v>29</v>
      </c>
      <c r="BM69" s="2">
        <f t="shared" si="8"/>
        <v>82.758620689655174</v>
      </c>
      <c r="BN69" s="9" t="str">
        <f t="shared" si="4"/>
        <v>3</v>
      </c>
      <c r="BO69" s="9">
        <v>10</v>
      </c>
      <c r="BP69" s="9">
        <v>11</v>
      </c>
      <c r="BQ69" s="27">
        <f t="shared" si="5"/>
        <v>10.5</v>
      </c>
      <c r="BR69" s="9">
        <v>8</v>
      </c>
      <c r="BS69" s="9">
        <v>7</v>
      </c>
      <c r="BT69" s="9">
        <v>8</v>
      </c>
      <c r="BU69" s="27">
        <f t="shared" si="6"/>
        <v>7.666666666666667</v>
      </c>
      <c r="BV69" s="9"/>
      <c r="BW69" s="2">
        <f t="shared" si="7"/>
        <v>21.166666666666668</v>
      </c>
    </row>
    <row r="70" spans="1:75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f t="shared" si="0"/>
        <v>0</v>
      </c>
      <c r="BC70" s="9"/>
      <c r="BD70" s="9">
        <f t="shared" si="1"/>
        <v>0</v>
      </c>
      <c r="BE70" s="9"/>
      <c r="BF70" s="9" t="e">
        <f t="shared" si="2"/>
        <v>#DIV/0!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64">
        <v>2</v>
      </c>
      <c r="BL70" s="9">
        <v>29</v>
      </c>
      <c r="BM70" s="2">
        <f t="shared" si="8"/>
        <v>6.8965517241379306</v>
      </c>
      <c r="BN70" s="9" t="str">
        <f t="shared" si="4"/>
        <v>0</v>
      </c>
      <c r="BO70" s="11">
        <v>0</v>
      </c>
      <c r="BP70" s="9">
        <v>15</v>
      </c>
      <c r="BQ70" s="27">
        <f t="shared" si="5"/>
        <v>7.5</v>
      </c>
      <c r="BR70" s="9">
        <v>8</v>
      </c>
      <c r="BS70" s="9">
        <v>7</v>
      </c>
      <c r="BT70" s="9">
        <v>7</v>
      </c>
      <c r="BU70" s="27">
        <f t="shared" si="6"/>
        <v>7.333333333333333</v>
      </c>
      <c r="BV70" s="9">
        <v>5</v>
      </c>
      <c r="BW70" s="2">
        <f t="shared" si="7"/>
        <v>19.833333333333332</v>
      </c>
    </row>
    <row r="71" spans="1:75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f t="shared" si="0"/>
        <v>0</v>
      </c>
      <c r="BC71" s="9"/>
      <c r="BD71" s="9">
        <f t="shared" si="1"/>
        <v>0</v>
      </c>
      <c r="BE71" s="9"/>
      <c r="BF71" s="9" t="e">
        <f t="shared" si="2"/>
        <v>#DIV/0!</v>
      </c>
      <c r="BG71" s="20"/>
      <c r="BH71" s="9">
        <v>65</v>
      </c>
      <c r="BI71" s="29">
        <f>OVERALL!B68</f>
        <v>2322658</v>
      </c>
      <c r="BJ71" s="29" t="str">
        <f>OVERALL!C68</f>
        <v>BHAWANI THAKUR</v>
      </c>
      <c r="BK71" s="68">
        <v>25</v>
      </c>
      <c r="BL71" s="11">
        <v>29</v>
      </c>
      <c r="BM71" s="13">
        <f t="shared" si="8"/>
        <v>86.206896551724128</v>
      </c>
      <c r="BN71" s="11" t="str">
        <f t="shared" si="4"/>
        <v>4</v>
      </c>
      <c r="BO71" s="11">
        <v>11</v>
      </c>
      <c r="BP71" s="11">
        <v>16</v>
      </c>
      <c r="BQ71" s="30">
        <f t="shared" si="5"/>
        <v>13.5</v>
      </c>
      <c r="BR71" s="11">
        <v>8.5</v>
      </c>
      <c r="BS71" s="11">
        <v>9</v>
      </c>
      <c r="BT71" s="11">
        <v>7</v>
      </c>
      <c r="BU71" s="30">
        <f t="shared" si="6"/>
        <v>8.1666666666666661</v>
      </c>
      <c r="BV71" s="11">
        <v>4</v>
      </c>
      <c r="BW71" s="13">
        <f t="shared" si="7"/>
        <v>29.666666666666664</v>
      </c>
    </row>
    <row r="72" spans="1:75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f t="shared" si="0"/>
        <v>0</v>
      </c>
      <c r="BC72" s="9"/>
      <c r="BD72" s="9">
        <f t="shared" si="1"/>
        <v>0</v>
      </c>
      <c r="BE72" s="9"/>
      <c r="BF72" s="9" t="e">
        <f t="shared" si="2"/>
        <v>#DIV/0!</v>
      </c>
      <c r="BG72" s="20"/>
      <c r="BH72" s="9">
        <v>66</v>
      </c>
      <c r="BI72" s="29">
        <f>OVERALL!B69</f>
        <v>2322659</v>
      </c>
      <c r="BJ72" s="29" t="str">
        <f>OVERALL!C69</f>
        <v>HARGUN KAUR</v>
      </c>
      <c r="BK72" s="68">
        <v>28</v>
      </c>
      <c r="BL72" s="11">
        <v>29</v>
      </c>
      <c r="BM72" s="13">
        <f t="shared" si="8"/>
        <v>96.551724137931032</v>
      </c>
      <c r="BN72" s="11" t="str">
        <f t="shared" si="4"/>
        <v>6</v>
      </c>
      <c r="BO72" s="11">
        <v>17</v>
      </c>
      <c r="BP72" s="11">
        <v>16</v>
      </c>
      <c r="BQ72" s="30">
        <f t="shared" si="5"/>
        <v>16.5</v>
      </c>
      <c r="BR72" s="11">
        <v>9</v>
      </c>
      <c r="BS72" s="11">
        <v>9</v>
      </c>
      <c r="BT72" s="11">
        <v>9</v>
      </c>
      <c r="BU72" s="30">
        <f t="shared" si="6"/>
        <v>9</v>
      </c>
      <c r="BV72" s="11">
        <v>4</v>
      </c>
      <c r="BW72" s="13">
        <f t="shared" si="7"/>
        <v>35.5</v>
      </c>
    </row>
    <row r="73" spans="1:75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f t="shared" si="0"/>
        <v>0</v>
      </c>
      <c r="BC73" s="9"/>
      <c r="BD73" s="9">
        <f t="shared" si="1"/>
        <v>0</v>
      </c>
      <c r="BE73" s="9"/>
      <c r="BF73" s="9" t="e">
        <f t="shared" si="2"/>
        <v>#DIV/0!</v>
      </c>
      <c r="BG73" s="20"/>
      <c r="BH73" s="9">
        <v>67</v>
      </c>
      <c r="BI73" s="29">
        <f>OVERALL!B70</f>
        <v>2322665</v>
      </c>
      <c r="BJ73" s="29" t="str">
        <f>OVERALL!C70</f>
        <v>PAWAN KUMAR</v>
      </c>
      <c r="BK73" s="68">
        <v>11</v>
      </c>
      <c r="BL73" s="11">
        <v>29</v>
      </c>
      <c r="BM73" s="13">
        <f t="shared" si="8"/>
        <v>37.931034482758619</v>
      </c>
      <c r="BN73" s="11" t="str">
        <f t="shared" si="4"/>
        <v>0</v>
      </c>
      <c r="BO73" s="11">
        <v>15</v>
      </c>
      <c r="BP73" s="11">
        <v>17</v>
      </c>
      <c r="BQ73" s="30">
        <f t="shared" si="5"/>
        <v>16</v>
      </c>
      <c r="BR73" s="11">
        <v>8</v>
      </c>
      <c r="BS73" s="11">
        <v>8</v>
      </c>
      <c r="BT73" s="11">
        <v>8</v>
      </c>
      <c r="BU73" s="30">
        <f t="shared" si="6"/>
        <v>8</v>
      </c>
      <c r="BV73" s="11">
        <v>4</v>
      </c>
      <c r="BW73" s="13">
        <f t="shared" si="7"/>
        <v>28</v>
      </c>
    </row>
    <row r="74" spans="1:75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f t="shared" si="0"/>
        <v>0</v>
      </c>
      <c r="BC74" s="9"/>
      <c r="BD74" s="9">
        <f t="shared" si="1"/>
        <v>0</v>
      </c>
      <c r="BE74" s="9"/>
      <c r="BF74" s="9" t="e">
        <f t="shared" si="2"/>
        <v>#DIV/0!</v>
      </c>
      <c r="BG74" s="20"/>
      <c r="BH74" s="9">
        <v>68</v>
      </c>
      <c r="BI74" s="29">
        <f>OVERALL!B71</f>
        <v>2322666</v>
      </c>
      <c r="BJ74" s="29" t="str">
        <f>OVERALL!C71</f>
        <v>PRINCE ABHISHEK</v>
      </c>
      <c r="BK74" s="68">
        <v>22</v>
      </c>
      <c r="BL74" s="11">
        <v>29</v>
      </c>
      <c r="BM74" s="13">
        <f t="shared" si="8"/>
        <v>75.862068965517238</v>
      </c>
      <c r="BN74" s="11" t="str">
        <f t="shared" si="4"/>
        <v>2</v>
      </c>
      <c r="BO74" s="11">
        <v>15</v>
      </c>
      <c r="BP74" s="11">
        <v>17</v>
      </c>
      <c r="BQ74" s="30">
        <f t="shared" si="5"/>
        <v>16</v>
      </c>
      <c r="BR74" s="11">
        <v>8.5</v>
      </c>
      <c r="BS74" s="11">
        <v>7</v>
      </c>
      <c r="BT74" s="11">
        <v>0</v>
      </c>
      <c r="BU74" s="30">
        <f t="shared" si="6"/>
        <v>5.166666666666667</v>
      </c>
      <c r="BV74" s="11">
        <v>4</v>
      </c>
      <c r="BW74" s="13">
        <f t="shared" si="7"/>
        <v>27.166666666666668</v>
      </c>
    </row>
    <row r="75" spans="1:75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f t="shared" si="0"/>
        <v>0</v>
      </c>
      <c r="BC75" s="9"/>
      <c r="BD75" s="9">
        <f t="shared" si="1"/>
        <v>0</v>
      </c>
      <c r="BE75" s="9"/>
      <c r="BF75" s="9" t="e">
        <f t="shared" si="2"/>
        <v>#DIV/0!</v>
      </c>
      <c r="BG75" s="20"/>
      <c r="BH75" s="9">
        <v>69</v>
      </c>
      <c r="BI75" s="29">
        <f>OVERALL!B72</f>
        <v>2322670</v>
      </c>
      <c r="BJ75" s="29" t="str">
        <f>OVERALL!C72</f>
        <v>SUMIT MAHEY</v>
      </c>
      <c r="BK75" s="68">
        <v>9</v>
      </c>
      <c r="BL75" s="11">
        <v>29</v>
      </c>
      <c r="BM75" s="13">
        <f t="shared" si="8"/>
        <v>31.03448275862069</v>
      </c>
      <c r="BN75" s="11" t="str">
        <f t="shared" si="4"/>
        <v>0</v>
      </c>
      <c r="BO75" s="11">
        <v>13</v>
      </c>
      <c r="BP75" s="11">
        <v>16</v>
      </c>
      <c r="BQ75" s="30">
        <f t="shared" si="5"/>
        <v>14.5</v>
      </c>
      <c r="BR75" s="11">
        <v>8</v>
      </c>
      <c r="BS75" s="11">
        <v>8</v>
      </c>
      <c r="BT75" s="11">
        <v>0</v>
      </c>
      <c r="BU75" s="30">
        <f t="shared" si="6"/>
        <v>5.333333333333333</v>
      </c>
      <c r="BV75" s="11">
        <v>4</v>
      </c>
      <c r="BW75" s="13">
        <f t="shared" si="7"/>
        <v>23.833333333333332</v>
      </c>
    </row>
    <row r="76" spans="1:75" ht="14.2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>
        <f t="shared" si="0"/>
        <v>0</v>
      </c>
      <c r="BC76" s="9"/>
      <c r="BD76" s="9">
        <f t="shared" si="1"/>
        <v>0</v>
      </c>
      <c r="BE76" s="9"/>
      <c r="BF76" s="9" t="e">
        <f t="shared" si="2"/>
        <v>#DIV/0!</v>
      </c>
      <c r="BG76" s="20"/>
      <c r="BH76" s="9">
        <v>70</v>
      </c>
      <c r="BI76" s="29">
        <f>OVERALL!B73</f>
        <v>2322673</v>
      </c>
      <c r="BJ76" s="29" t="str">
        <f>OVERALL!C73</f>
        <v>USMAN ALI</v>
      </c>
      <c r="BK76" s="68">
        <v>16</v>
      </c>
      <c r="BL76" s="11">
        <v>29</v>
      </c>
      <c r="BM76" s="13">
        <f t="shared" si="8"/>
        <v>55.172413793103445</v>
      </c>
      <c r="BN76" s="11" t="str">
        <f t="shared" si="4"/>
        <v>0</v>
      </c>
      <c r="BO76" s="11">
        <v>3</v>
      </c>
      <c r="BP76" s="11">
        <v>10</v>
      </c>
      <c r="BQ76" s="30">
        <f t="shared" si="5"/>
        <v>6.5</v>
      </c>
      <c r="BR76" s="11">
        <v>8</v>
      </c>
      <c r="BS76" s="11">
        <v>0</v>
      </c>
      <c r="BT76" s="11">
        <v>0</v>
      </c>
      <c r="BU76" s="30">
        <f t="shared" si="6"/>
        <v>2.6666666666666665</v>
      </c>
      <c r="BV76" s="11">
        <v>4</v>
      </c>
      <c r="BW76" s="13">
        <f t="shared" si="7"/>
        <v>13.166666666666666</v>
      </c>
    </row>
    <row r="77" spans="1:75" ht="14.25" customHeight="1">
      <c r="A77" s="19"/>
      <c r="B77" s="20"/>
      <c r="C77" s="3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19"/>
      <c r="BI77" s="20"/>
      <c r="BJ77" s="20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33"/>
      <c r="BV77" s="19"/>
      <c r="BW77" s="19"/>
    </row>
    <row r="78" spans="1:75" ht="14.25" customHeight="1">
      <c r="A78" s="19"/>
      <c r="B78" s="20"/>
      <c r="C78" s="3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19"/>
      <c r="BI78" s="20"/>
      <c r="BJ78" s="20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33"/>
      <c r="BV78" s="19"/>
      <c r="BW78" s="19"/>
    </row>
    <row r="79" spans="1:75" ht="14.25" customHeight="1">
      <c r="A79" s="19"/>
      <c r="B79" s="20"/>
      <c r="C79" s="3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33"/>
      <c r="BV79" s="19"/>
      <c r="BW79" s="19"/>
    </row>
    <row r="80" spans="1:75" ht="14.25" customHeight="1">
      <c r="A80" s="19"/>
      <c r="B80" s="20"/>
      <c r="C80" s="3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33"/>
      <c r="BV80" s="19"/>
      <c r="BW80" s="19"/>
    </row>
    <row r="81" spans="1:75" ht="14.25" customHeight="1">
      <c r="A81" s="19"/>
      <c r="B81" s="20"/>
      <c r="C81" s="3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33"/>
      <c r="BV81" s="19"/>
      <c r="BW81" s="19"/>
    </row>
    <row r="82" spans="1:75" ht="14.25" customHeight="1">
      <c r="A82" s="19"/>
      <c r="B82" s="20"/>
      <c r="C82" s="3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33"/>
      <c r="BV82" s="19"/>
      <c r="BW82" s="19"/>
    </row>
    <row r="83" spans="1:75" ht="14.25" customHeight="1">
      <c r="A83" s="19"/>
      <c r="B83" s="20"/>
      <c r="C83" s="3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33"/>
      <c r="BV83" s="19"/>
      <c r="BW83" s="19"/>
    </row>
    <row r="84" spans="1:75" ht="14.25" customHeight="1">
      <c r="A84" s="19"/>
      <c r="B84" s="20"/>
      <c r="C84" s="3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33"/>
      <c r="BV84" s="19"/>
      <c r="BW84" s="19"/>
    </row>
    <row r="85" spans="1:75" ht="14.25" customHeight="1">
      <c r="A85" s="19"/>
      <c r="B85" s="20"/>
      <c r="C85" s="3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33"/>
      <c r="BV85" s="19"/>
      <c r="BW85" s="19"/>
    </row>
    <row r="86" spans="1:75" ht="14.25" customHeight="1">
      <c r="A86" s="19"/>
      <c r="B86" s="20"/>
      <c r="C86" s="3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33"/>
      <c r="BV86" s="19"/>
      <c r="BW86" s="19"/>
    </row>
    <row r="87" spans="1:75" ht="14.25" customHeight="1">
      <c r="A87" s="19"/>
      <c r="B87" s="20"/>
      <c r="C87" s="3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33"/>
      <c r="BV87" s="19"/>
      <c r="BW87" s="19"/>
    </row>
    <row r="88" spans="1:75" ht="14.25" customHeight="1">
      <c r="A88" s="19"/>
      <c r="B88" s="20"/>
      <c r="C88" s="3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33"/>
      <c r="BV88" s="19"/>
      <c r="BW88" s="19"/>
    </row>
    <row r="89" spans="1:75" ht="14.25" customHeight="1">
      <c r="A89" s="19"/>
      <c r="B89" s="20"/>
      <c r="C89" s="3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33"/>
      <c r="BV89" s="19"/>
      <c r="BW89" s="19"/>
    </row>
    <row r="90" spans="1:75" ht="14.25" customHeight="1">
      <c r="A90" s="19"/>
      <c r="B90" s="20"/>
      <c r="C90" s="3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33"/>
      <c r="BV90" s="19"/>
      <c r="BW90" s="19"/>
    </row>
    <row r="91" spans="1:75" ht="14.25" customHeight="1">
      <c r="A91" s="19"/>
      <c r="B91" s="20"/>
      <c r="C91" s="3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33"/>
      <c r="BV91" s="19"/>
      <c r="BW91" s="19"/>
    </row>
    <row r="92" spans="1:75" ht="14.25" customHeigh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33"/>
      <c r="BV92" s="19"/>
      <c r="BW92" s="19"/>
    </row>
    <row r="93" spans="1:75" ht="14.25" customHeight="1">
      <c r="A93" s="19"/>
      <c r="B93" s="20"/>
      <c r="C93" s="3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33"/>
      <c r="BV93" s="19"/>
      <c r="BW93" s="19"/>
    </row>
    <row r="94" spans="1:75" ht="14.25" customHeight="1">
      <c r="A94" s="19"/>
      <c r="B94" s="20"/>
      <c r="C94" s="3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33"/>
      <c r="BV94" s="19"/>
      <c r="BW94" s="19"/>
    </row>
    <row r="95" spans="1:75" ht="14.25" customHeight="1">
      <c r="A95" s="19"/>
      <c r="B95" s="20"/>
      <c r="C95" s="3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33"/>
      <c r="BV95" s="19"/>
      <c r="BW95" s="19"/>
    </row>
    <row r="96" spans="1:75" ht="14.25" customHeight="1">
      <c r="A96" s="19"/>
      <c r="B96" s="20"/>
      <c r="C96" s="3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33"/>
      <c r="BV96" s="19"/>
      <c r="BW96" s="19"/>
    </row>
    <row r="97" spans="1:75" ht="14.25" customHeight="1">
      <c r="A97" s="19"/>
      <c r="B97" s="20"/>
      <c r="C97" s="3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33"/>
      <c r="BV97" s="19"/>
      <c r="BW97" s="19"/>
    </row>
    <row r="98" spans="1:75" ht="14.25" customHeight="1">
      <c r="A98" s="19"/>
      <c r="B98" s="20"/>
      <c r="C98" s="3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33"/>
      <c r="BV98" s="19"/>
      <c r="BW98" s="19"/>
    </row>
    <row r="99" spans="1:75" ht="14.25" customHeight="1">
      <c r="A99" s="19"/>
      <c r="B99" s="20"/>
      <c r="C99" s="3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33"/>
      <c r="BV99" s="19"/>
      <c r="BW99" s="19"/>
    </row>
    <row r="100" spans="1:75" ht="14.25" customHeight="1">
      <c r="A100" s="19"/>
      <c r="B100" s="20"/>
      <c r="C100" s="3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33"/>
      <c r="BV100" s="19"/>
      <c r="BW100" s="19"/>
    </row>
    <row r="101" spans="1:75" ht="14.25" customHeight="1">
      <c r="A101" s="19"/>
      <c r="B101" s="20"/>
      <c r="C101" s="3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33"/>
      <c r="BV101" s="19"/>
      <c r="BW101" s="19"/>
    </row>
    <row r="102" spans="1:75" ht="14.25" customHeight="1">
      <c r="A102" s="19"/>
      <c r="B102" s="20"/>
      <c r="C102" s="3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33"/>
      <c r="BV102" s="19"/>
      <c r="BW102" s="19"/>
    </row>
    <row r="103" spans="1:75" ht="14.25" customHeight="1">
      <c r="A103" s="19"/>
      <c r="B103" s="20"/>
      <c r="C103" s="3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33"/>
      <c r="BV103" s="19"/>
      <c r="BW103" s="19"/>
    </row>
    <row r="104" spans="1:75" ht="14.25" customHeight="1">
      <c r="A104" s="19"/>
      <c r="B104" s="20"/>
      <c r="C104" s="3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33"/>
      <c r="BV104" s="19"/>
      <c r="BW104" s="19"/>
    </row>
    <row r="105" spans="1:75" ht="14.25" customHeight="1">
      <c r="A105" s="19"/>
      <c r="B105" s="20"/>
      <c r="C105" s="3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33"/>
      <c r="BV105" s="19"/>
      <c r="BW105" s="19"/>
    </row>
    <row r="106" spans="1:75" ht="14.25" customHeight="1">
      <c r="A106" s="19"/>
      <c r="B106" s="20"/>
      <c r="C106" s="3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33"/>
      <c r="BV106" s="19"/>
      <c r="BW106" s="19"/>
    </row>
    <row r="107" spans="1:75" ht="14.25" customHeight="1">
      <c r="A107" s="19"/>
      <c r="B107" s="20"/>
      <c r="C107" s="3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33"/>
      <c r="BV107" s="19"/>
      <c r="BW107" s="19"/>
    </row>
    <row r="108" spans="1:75" ht="14.25" customHeight="1">
      <c r="A108" s="19"/>
      <c r="B108" s="20"/>
      <c r="C108" s="3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33"/>
      <c r="BV108" s="19"/>
      <c r="BW108" s="19"/>
    </row>
    <row r="109" spans="1:75" ht="14.25" customHeight="1">
      <c r="A109" s="19"/>
      <c r="B109" s="20"/>
      <c r="C109" s="3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33"/>
      <c r="BV109" s="19"/>
      <c r="BW109" s="19"/>
    </row>
    <row r="110" spans="1:75" ht="14.25" customHeight="1">
      <c r="A110" s="19"/>
      <c r="B110" s="20"/>
      <c r="C110" s="3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33"/>
      <c r="BV110" s="19"/>
      <c r="BW110" s="19"/>
    </row>
    <row r="111" spans="1:75" ht="14.25" customHeight="1">
      <c r="A111" s="19"/>
      <c r="B111" s="20"/>
      <c r="C111" s="3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33"/>
      <c r="BV111" s="19"/>
      <c r="BW111" s="19"/>
    </row>
    <row r="112" spans="1:75" ht="14.25" customHeigh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33"/>
      <c r="BV112" s="19"/>
      <c r="BW112" s="19"/>
    </row>
    <row r="113" spans="1:75" ht="14.25" customHeight="1">
      <c r="A113" s="19"/>
      <c r="B113" s="20"/>
      <c r="C113" s="3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33"/>
      <c r="BV113" s="19"/>
      <c r="BW113" s="19"/>
    </row>
    <row r="114" spans="1:75" ht="14.25" customHeight="1">
      <c r="A114" s="19"/>
      <c r="B114" s="20"/>
      <c r="C114" s="3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33"/>
      <c r="BV114" s="19"/>
      <c r="BW114" s="19"/>
    </row>
    <row r="115" spans="1:75" ht="14.25" customHeight="1">
      <c r="A115" s="19"/>
      <c r="B115" s="20"/>
      <c r="C115" s="3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33"/>
      <c r="BV115" s="19"/>
      <c r="BW115" s="19"/>
    </row>
    <row r="116" spans="1:75" ht="14.25" customHeight="1">
      <c r="A116" s="19"/>
      <c r="B116" s="20"/>
      <c r="C116" s="3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33"/>
      <c r="BV116" s="19"/>
      <c r="BW116" s="19"/>
    </row>
    <row r="117" spans="1:75" ht="14.25" customHeight="1">
      <c r="A117" s="19"/>
      <c r="B117" s="20"/>
      <c r="C117" s="3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33"/>
      <c r="BV117" s="19"/>
      <c r="BW117" s="19"/>
    </row>
    <row r="118" spans="1:75" ht="14.25" customHeight="1">
      <c r="A118" s="19"/>
      <c r="B118" s="20"/>
      <c r="C118" s="3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33"/>
      <c r="BV118" s="19"/>
      <c r="BW118" s="19"/>
    </row>
    <row r="119" spans="1:75" ht="14.25" customHeight="1">
      <c r="A119" s="19"/>
      <c r="B119" s="20"/>
      <c r="C119" s="3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33"/>
      <c r="BV119" s="19"/>
      <c r="BW119" s="19"/>
    </row>
    <row r="120" spans="1:75" ht="14.25" customHeight="1">
      <c r="A120" s="19"/>
      <c r="B120" s="20"/>
      <c r="C120" s="3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33"/>
      <c r="BV120" s="19"/>
      <c r="BW120" s="19"/>
    </row>
    <row r="121" spans="1:75" ht="14.25" customHeight="1">
      <c r="A121" s="19"/>
      <c r="B121" s="20"/>
      <c r="C121" s="3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33"/>
      <c r="BV121" s="19"/>
      <c r="BW121" s="19"/>
    </row>
    <row r="122" spans="1:75" ht="14.25" customHeight="1">
      <c r="A122" s="19"/>
      <c r="B122" s="20"/>
      <c r="C122" s="3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33"/>
      <c r="BV122" s="19"/>
      <c r="BW122" s="19"/>
    </row>
    <row r="123" spans="1:75" ht="14.25" customHeight="1">
      <c r="A123" s="19"/>
      <c r="B123" s="20"/>
      <c r="C123" s="3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33"/>
      <c r="BV123" s="19"/>
      <c r="BW123" s="19"/>
    </row>
    <row r="124" spans="1:75" ht="14.25" customHeight="1">
      <c r="A124" s="19"/>
      <c r="B124" s="20"/>
      <c r="C124" s="3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33"/>
      <c r="BV124" s="19"/>
      <c r="BW124" s="19"/>
    </row>
    <row r="125" spans="1:75" ht="14.25" customHeight="1">
      <c r="A125" s="19"/>
      <c r="B125" s="20"/>
      <c r="C125" s="3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33"/>
      <c r="BV125" s="19"/>
      <c r="BW125" s="19"/>
    </row>
    <row r="126" spans="1:75" ht="14.25" customHeight="1">
      <c r="A126" s="19"/>
      <c r="B126" s="20"/>
      <c r="C126" s="3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33"/>
      <c r="BV126" s="19"/>
      <c r="BW126" s="19"/>
    </row>
    <row r="127" spans="1:75" ht="14.25" customHeight="1">
      <c r="A127" s="19"/>
      <c r="B127" s="20"/>
      <c r="C127" s="3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33"/>
      <c r="BV127" s="19"/>
      <c r="BW127" s="19"/>
    </row>
    <row r="128" spans="1:75" ht="14.25" customHeigh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33"/>
      <c r="BV128" s="19"/>
      <c r="BW128" s="19"/>
    </row>
    <row r="129" spans="1:75" ht="14.25" customHeight="1">
      <c r="A129" s="19"/>
      <c r="B129" s="20"/>
      <c r="C129" s="3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33"/>
      <c r="BV129" s="19"/>
      <c r="BW129" s="19"/>
    </row>
    <row r="130" spans="1:75" ht="14.25" customHeight="1">
      <c r="A130" s="19"/>
      <c r="B130" s="20"/>
      <c r="C130" s="3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33"/>
      <c r="BV130" s="19"/>
      <c r="BW130" s="19"/>
    </row>
    <row r="131" spans="1:75" ht="14.25" customHeight="1">
      <c r="A131" s="19"/>
      <c r="B131" s="20"/>
      <c r="C131" s="3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33"/>
      <c r="BV131" s="19"/>
      <c r="BW131" s="19"/>
    </row>
    <row r="132" spans="1:75" ht="14.25" customHeight="1">
      <c r="A132" s="19"/>
      <c r="B132" s="20"/>
      <c r="C132" s="3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33"/>
      <c r="BV132" s="19"/>
      <c r="BW132" s="19"/>
    </row>
    <row r="133" spans="1:75" ht="14.25" customHeight="1">
      <c r="A133" s="19"/>
      <c r="B133" s="20"/>
      <c r="C133" s="3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33"/>
      <c r="BV133" s="19"/>
      <c r="BW133" s="19"/>
    </row>
    <row r="134" spans="1:75" ht="14.25" customHeight="1">
      <c r="A134" s="19"/>
      <c r="B134" s="20"/>
      <c r="C134" s="3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33"/>
      <c r="BV134" s="19"/>
      <c r="BW134" s="19"/>
    </row>
    <row r="135" spans="1:75" ht="14.25" customHeight="1">
      <c r="A135" s="19"/>
      <c r="B135" s="20"/>
      <c r="C135" s="3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33"/>
      <c r="BV135" s="19"/>
      <c r="BW135" s="19"/>
    </row>
    <row r="136" spans="1:75" ht="14.25" customHeight="1">
      <c r="A136" s="19"/>
      <c r="B136" s="20"/>
      <c r="C136" s="3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33"/>
      <c r="BV136" s="19"/>
      <c r="BW136" s="19"/>
    </row>
    <row r="137" spans="1:75" ht="14.25" customHeight="1">
      <c r="A137" s="19"/>
      <c r="B137" s="20"/>
      <c r="C137" s="3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33"/>
      <c r="BV137" s="19"/>
      <c r="BW137" s="19"/>
    </row>
    <row r="138" spans="1:75" ht="14.25" customHeight="1">
      <c r="A138" s="19"/>
      <c r="B138" s="20"/>
      <c r="C138" s="3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33"/>
      <c r="BV138" s="19"/>
      <c r="BW138" s="19"/>
    </row>
    <row r="139" spans="1:75" ht="14.25" customHeight="1">
      <c r="A139" s="19"/>
      <c r="B139" s="20"/>
      <c r="C139" s="3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33"/>
      <c r="BV139" s="19"/>
      <c r="BW139" s="19"/>
    </row>
    <row r="140" spans="1:75" ht="14.25" customHeight="1">
      <c r="A140" s="19"/>
      <c r="B140" s="20"/>
      <c r="C140" s="3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33"/>
      <c r="BV140" s="19"/>
      <c r="BW140" s="19"/>
    </row>
    <row r="141" spans="1:75" ht="14.25" customHeight="1">
      <c r="A141" s="19"/>
      <c r="B141" s="20"/>
      <c r="C141" s="3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33"/>
      <c r="BV141" s="19"/>
      <c r="BW141" s="19"/>
    </row>
    <row r="142" spans="1:75" ht="14.25" customHeight="1">
      <c r="A142" s="19"/>
      <c r="B142" s="20"/>
      <c r="C142" s="3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33"/>
      <c r="BV142" s="19"/>
      <c r="BW142" s="19"/>
    </row>
    <row r="143" spans="1:75" ht="14.25" customHeight="1">
      <c r="A143" s="19"/>
      <c r="B143" s="20"/>
      <c r="C143" s="3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33"/>
      <c r="BV143" s="19"/>
      <c r="BW143" s="19"/>
    </row>
    <row r="144" spans="1:75" ht="14.25" customHeight="1">
      <c r="A144" s="19"/>
      <c r="B144" s="20"/>
      <c r="C144" s="3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33"/>
      <c r="BV144" s="19"/>
      <c r="BW144" s="19"/>
    </row>
    <row r="145" spans="1:75" ht="14.25" customHeight="1">
      <c r="A145" s="19"/>
      <c r="B145" s="20"/>
      <c r="C145" s="3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33"/>
      <c r="BV145" s="19"/>
      <c r="BW145" s="19"/>
    </row>
    <row r="146" spans="1:75" ht="14.25" customHeight="1">
      <c r="A146" s="19"/>
      <c r="B146" s="20"/>
      <c r="C146" s="3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33"/>
      <c r="BV146" s="19"/>
      <c r="BW146" s="19"/>
    </row>
    <row r="147" spans="1:75" ht="14.25" customHeight="1">
      <c r="A147" s="19"/>
      <c r="B147" s="20"/>
      <c r="C147" s="3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33"/>
      <c r="BV147" s="19"/>
      <c r="BW147" s="19"/>
    </row>
    <row r="148" spans="1:75" ht="14.25" customHeigh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33"/>
      <c r="BV148" s="19"/>
      <c r="BW148" s="19"/>
    </row>
    <row r="149" spans="1:75" ht="14.25" customHeight="1">
      <c r="A149" s="19"/>
      <c r="B149" s="20"/>
      <c r="C149" s="3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33"/>
      <c r="BV149" s="19"/>
      <c r="BW149" s="19"/>
    </row>
    <row r="150" spans="1:75" ht="14.25" customHeight="1">
      <c r="A150" s="19"/>
      <c r="B150" s="20"/>
      <c r="C150" s="3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33"/>
      <c r="BV150" s="19"/>
      <c r="BW150" s="19"/>
    </row>
    <row r="151" spans="1:75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33"/>
      <c r="BV151" s="19"/>
      <c r="BW151" s="19"/>
    </row>
    <row r="152" spans="1:75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33"/>
      <c r="BV152" s="19"/>
      <c r="BW152" s="19"/>
    </row>
    <row r="153" spans="1:75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33"/>
      <c r="BV153" s="19"/>
      <c r="BW153" s="19"/>
    </row>
    <row r="154" spans="1:75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33"/>
      <c r="BV154" s="19"/>
      <c r="BW154" s="19"/>
    </row>
    <row r="155" spans="1:75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33"/>
      <c r="BV155" s="19"/>
      <c r="BW155" s="19"/>
    </row>
    <row r="156" spans="1:75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33"/>
      <c r="BV156" s="19"/>
      <c r="BW156" s="19"/>
    </row>
    <row r="157" spans="1:75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33"/>
      <c r="BV157" s="19"/>
      <c r="BW157" s="19"/>
    </row>
    <row r="158" spans="1:75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33"/>
      <c r="BV158" s="19"/>
      <c r="BW158" s="19"/>
    </row>
    <row r="159" spans="1:75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33"/>
      <c r="BV159" s="19"/>
      <c r="BW159" s="19"/>
    </row>
    <row r="160" spans="1:75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33"/>
      <c r="BV160" s="19"/>
      <c r="BW160" s="19"/>
    </row>
    <row r="161" spans="1:75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33"/>
      <c r="BV161" s="19"/>
      <c r="BW161" s="19"/>
    </row>
    <row r="162" spans="1:75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33"/>
      <c r="BV162" s="19"/>
      <c r="BW162" s="19"/>
    </row>
    <row r="163" spans="1:75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33"/>
      <c r="BV163" s="19"/>
      <c r="BW163" s="19"/>
    </row>
    <row r="164" spans="1:75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33"/>
      <c r="BV164" s="19"/>
      <c r="BW164" s="19"/>
    </row>
    <row r="165" spans="1:75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33"/>
      <c r="BV165" s="19"/>
      <c r="BW165" s="19"/>
    </row>
    <row r="166" spans="1:75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33"/>
      <c r="BV166" s="19"/>
      <c r="BW166" s="19"/>
    </row>
    <row r="167" spans="1:75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33"/>
      <c r="BV167" s="19"/>
      <c r="BW167" s="19"/>
    </row>
    <row r="168" spans="1:75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33"/>
      <c r="BV168" s="19"/>
      <c r="BW168" s="19"/>
    </row>
    <row r="169" spans="1:75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33"/>
      <c r="BV169" s="19"/>
      <c r="BW169" s="19"/>
    </row>
    <row r="170" spans="1:75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33"/>
      <c r="BV170" s="19"/>
      <c r="BW170" s="19"/>
    </row>
    <row r="171" spans="1:75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33"/>
      <c r="BV171" s="19"/>
      <c r="BW171" s="19"/>
    </row>
    <row r="172" spans="1:75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33"/>
      <c r="BV172" s="19"/>
      <c r="BW172" s="19"/>
    </row>
    <row r="173" spans="1:75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33"/>
      <c r="BV173" s="19"/>
      <c r="BW173" s="19"/>
    </row>
    <row r="174" spans="1:75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33"/>
      <c r="BV174" s="19"/>
      <c r="BW174" s="19"/>
    </row>
    <row r="175" spans="1:75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33"/>
      <c r="BV175" s="19"/>
      <c r="BW175" s="19"/>
    </row>
    <row r="176" spans="1:75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33"/>
      <c r="BV176" s="19"/>
      <c r="BW176" s="19"/>
    </row>
    <row r="177" spans="1:75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33"/>
      <c r="BV177" s="19"/>
      <c r="BW177" s="19"/>
    </row>
    <row r="178" spans="1:75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33"/>
      <c r="BV178" s="19"/>
      <c r="BW178" s="19"/>
    </row>
    <row r="179" spans="1:75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33"/>
      <c r="BV179" s="19"/>
      <c r="BW179" s="19"/>
    </row>
    <row r="180" spans="1:75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33"/>
      <c r="BV180" s="19"/>
      <c r="BW180" s="19"/>
    </row>
    <row r="181" spans="1:75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33"/>
      <c r="BV181" s="19"/>
      <c r="BW181" s="19"/>
    </row>
    <row r="182" spans="1:75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33"/>
      <c r="BV182" s="19"/>
      <c r="BW182" s="19"/>
    </row>
    <row r="183" spans="1:75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33"/>
      <c r="BV183" s="19"/>
      <c r="BW183" s="19"/>
    </row>
    <row r="184" spans="1:75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33"/>
      <c r="BV184" s="19"/>
      <c r="BW184" s="19"/>
    </row>
    <row r="185" spans="1:75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33"/>
      <c r="BV185" s="19"/>
      <c r="BW185" s="19"/>
    </row>
    <row r="186" spans="1:75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33"/>
      <c r="BV186" s="19"/>
      <c r="BW186" s="19"/>
    </row>
    <row r="187" spans="1:75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33"/>
      <c r="BV187" s="19"/>
      <c r="BW187" s="19"/>
    </row>
    <row r="188" spans="1:75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33"/>
      <c r="BV188" s="19"/>
      <c r="BW188" s="19"/>
    </row>
    <row r="189" spans="1:75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33"/>
      <c r="BV189" s="19"/>
      <c r="BW189" s="19"/>
    </row>
    <row r="190" spans="1:75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33"/>
      <c r="BV190" s="19"/>
      <c r="BW190" s="19"/>
    </row>
    <row r="191" spans="1:75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33"/>
      <c r="BV191" s="19"/>
      <c r="BW191" s="19"/>
    </row>
    <row r="192" spans="1:75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33"/>
      <c r="BV192" s="19"/>
      <c r="BW192" s="19"/>
    </row>
    <row r="193" spans="1:75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33"/>
      <c r="BV193" s="19"/>
      <c r="BW193" s="19"/>
    </row>
    <row r="194" spans="1:75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33"/>
      <c r="BV194" s="19"/>
      <c r="BW194" s="19"/>
    </row>
    <row r="195" spans="1:75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33"/>
      <c r="BV195" s="19"/>
      <c r="BW195" s="19"/>
    </row>
    <row r="196" spans="1:75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33"/>
      <c r="BV196" s="19"/>
      <c r="BW196" s="19"/>
    </row>
    <row r="197" spans="1:75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33"/>
      <c r="BV197" s="19"/>
      <c r="BW197" s="19"/>
    </row>
    <row r="198" spans="1:75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33"/>
      <c r="BV198" s="19"/>
      <c r="BW198" s="19"/>
    </row>
    <row r="199" spans="1:75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33"/>
      <c r="BV199" s="19"/>
      <c r="BW199" s="19"/>
    </row>
    <row r="200" spans="1:75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33"/>
      <c r="BV200" s="19"/>
      <c r="BW200" s="19"/>
    </row>
    <row r="201" spans="1:75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33"/>
      <c r="BV201" s="19"/>
      <c r="BW201" s="19"/>
    </row>
    <row r="202" spans="1:75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33"/>
      <c r="BV202" s="19"/>
      <c r="BW202" s="19"/>
    </row>
    <row r="203" spans="1:75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33"/>
      <c r="BV203" s="19"/>
      <c r="BW203" s="19"/>
    </row>
    <row r="204" spans="1:75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33"/>
      <c r="BV204" s="19"/>
      <c r="BW204" s="19"/>
    </row>
    <row r="205" spans="1:75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33"/>
      <c r="BV205" s="19"/>
      <c r="BW205" s="19"/>
    </row>
    <row r="206" spans="1:75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33"/>
      <c r="BV206" s="19"/>
      <c r="BW206" s="19"/>
    </row>
    <row r="207" spans="1:75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33"/>
      <c r="BV207" s="19"/>
      <c r="BW207" s="19"/>
    </row>
    <row r="208" spans="1:75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33"/>
      <c r="BV208" s="19"/>
      <c r="BW208" s="19"/>
    </row>
    <row r="209" spans="1:75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33"/>
      <c r="BV209" s="19"/>
      <c r="BW209" s="19"/>
    </row>
    <row r="210" spans="1:75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33"/>
      <c r="BV210" s="19"/>
      <c r="BW210" s="19"/>
    </row>
    <row r="211" spans="1:75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33"/>
      <c r="BV211" s="19"/>
      <c r="BW211" s="19"/>
    </row>
    <row r="212" spans="1:75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33"/>
      <c r="BV212" s="19"/>
      <c r="BW212" s="19"/>
    </row>
    <row r="213" spans="1:75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33"/>
      <c r="BV213" s="19"/>
      <c r="BW213" s="19"/>
    </row>
    <row r="214" spans="1:75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33"/>
      <c r="BV214" s="19"/>
      <c r="BW214" s="19"/>
    </row>
    <row r="215" spans="1:75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33"/>
      <c r="BV215" s="19"/>
      <c r="BW215" s="19"/>
    </row>
    <row r="216" spans="1:75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33"/>
      <c r="BV216" s="19"/>
      <c r="BW216" s="19"/>
    </row>
    <row r="217" spans="1:75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33"/>
      <c r="BV217" s="19"/>
      <c r="BW217" s="19"/>
    </row>
    <row r="218" spans="1:75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33"/>
      <c r="BV218" s="19"/>
      <c r="BW218" s="19"/>
    </row>
    <row r="219" spans="1:75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33"/>
      <c r="BV219" s="19"/>
      <c r="BW219" s="19"/>
    </row>
    <row r="220" spans="1:75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33"/>
      <c r="BV220" s="19"/>
      <c r="BW220" s="19"/>
    </row>
    <row r="221" spans="1:75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33"/>
      <c r="BV221" s="19"/>
      <c r="BW221" s="19"/>
    </row>
    <row r="222" spans="1:75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33"/>
      <c r="BV222" s="19"/>
      <c r="BW222" s="19"/>
    </row>
    <row r="223" spans="1:75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33"/>
      <c r="BV223" s="19"/>
      <c r="BW223" s="19"/>
    </row>
    <row r="224" spans="1:75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33"/>
      <c r="BV224" s="19"/>
      <c r="BW224" s="19"/>
    </row>
    <row r="225" spans="1:75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33"/>
      <c r="BV225" s="19"/>
      <c r="BW225" s="19"/>
    </row>
    <row r="226" spans="1:75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33"/>
      <c r="BV226" s="19"/>
      <c r="BW226" s="19"/>
    </row>
    <row r="227" spans="1:75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33"/>
      <c r="BV227" s="19"/>
      <c r="BW227" s="19"/>
    </row>
    <row r="228" spans="1:75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33"/>
      <c r="BV228" s="19"/>
      <c r="BW228" s="19"/>
    </row>
    <row r="229" spans="1:75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33"/>
      <c r="BV229" s="19"/>
      <c r="BW229" s="19"/>
    </row>
    <row r="230" spans="1:75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33"/>
      <c r="BV230" s="19"/>
      <c r="BW230" s="19"/>
    </row>
    <row r="231" spans="1:75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33"/>
      <c r="BV231" s="19"/>
      <c r="BW231" s="19"/>
    </row>
    <row r="232" spans="1:75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33"/>
      <c r="BV232" s="19"/>
      <c r="BW232" s="19"/>
    </row>
    <row r="233" spans="1:75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33"/>
      <c r="BV233" s="19"/>
      <c r="BW233" s="19"/>
    </row>
    <row r="234" spans="1:75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33"/>
      <c r="BV234" s="19"/>
      <c r="BW234" s="19"/>
    </row>
    <row r="235" spans="1:75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33"/>
      <c r="BV235" s="19"/>
      <c r="BW235" s="19"/>
    </row>
    <row r="236" spans="1:75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33"/>
      <c r="BV236" s="19"/>
      <c r="BW236" s="19"/>
    </row>
    <row r="237" spans="1:75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33"/>
      <c r="BV237" s="19"/>
      <c r="BW237" s="19"/>
    </row>
    <row r="238" spans="1:75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33"/>
      <c r="BV238" s="19"/>
      <c r="BW238" s="19"/>
    </row>
    <row r="239" spans="1:75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33"/>
      <c r="BV239" s="19"/>
      <c r="BW239" s="19"/>
    </row>
    <row r="240" spans="1:75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33"/>
      <c r="BV240" s="19"/>
      <c r="BW240" s="19"/>
    </row>
    <row r="241" spans="1:75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33"/>
      <c r="BV241" s="19"/>
      <c r="BW241" s="19"/>
    </row>
    <row r="242" spans="1:75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33"/>
      <c r="BV242" s="19"/>
      <c r="BW242" s="19"/>
    </row>
    <row r="243" spans="1:75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33"/>
      <c r="BV243" s="19"/>
      <c r="BW243" s="19"/>
    </row>
    <row r="244" spans="1:75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33"/>
      <c r="BV244" s="19"/>
      <c r="BW244" s="19"/>
    </row>
    <row r="245" spans="1:75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33"/>
      <c r="BV245" s="19"/>
      <c r="BW245" s="19"/>
    </row>
    <row r="246" spans="1:75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33"/>
      <c r="BV246" s="19"/>
      <c r="BW246" s="19"/>
    </row>
    <row r="247" spans="1:75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33"/>
      <c r="BV247" s="19"/>
      <c r="BW247" s="19"/>
    </row>
    <row r="248" spans="1:75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33"/>
      <c r="BV248" s="19"/>
      <c r="BW248" s="19"/>
    </row>
    <row r="249" spans="1:75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33"/>
      <c r="BV249" s="19"/>
      <c r="BW249" s="19"/>
    </row>
    <row r="250" spans="1:75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33"/>
      <c r="BV250" s="19"/>
      <c r="BW250" s="19"/>
    </row>
    <row r="251" spans="1:75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33"/>
      <c r="BV251" s="19"/>
      <c r="BW251" s="19"/>
    </row>
    <row r="252" spans="1:75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33"/>
      <c r="BV252" s="19"/>
      <c r="BW252" s="19"/>
    </row>
    <row r="253" spans="1:75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33"/>
      <c r="BV253" s="19"/>
      <c r="BW253" s="19"/>
    </row>
    <row r="254" spans="1:75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33"/>
      <c r="BV254" s="19"/>
      <c r="BW254" s="19"/>
    </row>
    <row r="255" spans="1:75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33"/>
      <c r="BV255" s="19"/>
      <c r="BW255" s="19"/>
    </row>
    <row r="256" spans="1:75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33"/>
      <c r="BV256" s="19"/>
      <c r="BW256" s="19"/>
    </row>
    <row r="257" spans="1:75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33"/>
      <c r="BV257" s="19"/>
      <c r="BW257" s="19"/>
    </row>
    <row r="258" spans="1:75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33"/>
      <c r="BV258" s="19"/>
      <c r="BW258" s="19"/>
    </row>
    <row r="259" spans="1:75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33"/>
      <c r="BV259" s="19"/>
      <c r="BW259" s="19"/>
    </row>
    <row r="260" spans="1:75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33"/>
      <c r="BV260" s="19"/>
      <c r="BW260" s="19"/>
    </row>
    <row r="261" spans="1:75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33"/>
      <c r="BV261" s="19"/>
      <c r="BW261" s="19"/>
    </row>
    <row r="262" spans="1:75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33"/>
      <c r="BV262" s="19"/>
      <c r="BW262" s="19"/>
    </row>
    <row r="263" spans="1:75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33"/>
      <c r="BV263" s="19"/>
      <c r="BW263" s="19"/>
    </row>
    <row r="264" spans="1:75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33"/>
      <c r="BV264" s="19"/>
      <c r="BW264" s="19"/>
    </row>
    <row r="265" spans="1:75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33"/>
      <c r="BV265" s="19"/>
      <c r="BW265" s="19"/>
    </row>
    <row r="266" spans="1:75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33"/>
      <c r="BV266" s="19"/>
      <c r="BW266" s="19"/>
    </row>
    <row r="267" spans="1:75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33"/>
      <c r="BV267" s="19"/>
      <c r="BW267" s="19"/>
    </row>
    <row r="268" spans="1:75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33"/>
      <c r="BV268" s="19"/>
      <c r="BW268" s="19"/>
    </row>
    <row r="269" spans="1:75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33"/>
      <c r="BV269" s="19"/>
      <c r="BW269" s="19"/>
    </row>
    <row r="270" spans="1:75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33"/>
      <c r="BV270" s="19"/>
      <c r="BW270" s="19"/>
    </row>
    <row r="271" spans="1:75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33"/>
      <c r="BV271" s="19"/>
      <c r="BW271" s="19"/>
    </row>
    <row r="272" spans="1:75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33"/>
      <c r="BV272" s="19"/>
      <c r="BW272" s="19"/>
    </row>
    <row r="273" spans="1:75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33"/>
      <c r="BV273" s="19"/>
      <c r="BW273" s="19"/>
    </row>
    <row r="274" spans="1:75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33"/>
      <c r="BV274" s="19"/>
      <c r="BW274" s="19"/>
    </row>
    <row r="275" spans="1:75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33"/>
      <c r="BV275" s="19"/>
      <c r="BW275" s="19"/>
    </row>
    <row r="276" spans="1:75" ht="15.75" customHeight="1">
      <c r="BU276" s="35"/>
    </row>
    <row r="277" spans="1:75" ht="15.75" customHeight="1">
      <c r="BU277" s="35"/>
    </row>
    <row r="278" spans="1:75" ht="15.75" customHeight="1">
      <c r="BU278" s="35"/>
    </row>
    <row r="279" spans="1:75" ht="15.75" customHeight="1">
      <c r="BU279" s="35"/>
    </row>
    <row r="280" spans="1:75" ht="15.75" customHeight="1">
      <c r="BU280" s="35"/>
    </row>
    <row r="281" spans="1:75" ht="15.75" customHeight="1">
      <c r="BU281" s="35"/>
    </row>
    <row r="282" spans="1:75" ht="15.75" customHeight="1">
      <c r="BU282" s="35"/>
    </row>
    <row r="283" spans="1:75" ht="15.75" customHeight="1">
      <c r="BU283" s="35"/>
    </row>
    <row r="284" spans="1:75" ht="15.75" customHeight="1">
      <c r="BU284" s="35"/>
    </row>
    <row r="285" spans="1:75" ht="15.75" customHeight="1">
      <c r="BU285" s="35"/>
    </row>
    <row r="286" spans="1:75" ht="15.75" customHeight="1">
      <c r="BU286" s="35"/>
    </row>
    <row r="287" spans="1:75" ht="15.75" customHeight="1">
      <c r="BU287" s="35"/>
    </row>
    <row r="288" spans="1:75" ht="15.75" customHeight="1">
      <c r="BU288" s="35"/>
    </row>
    <row r="289" spans="73:73" ht="15.75" customHeight="1">
      <c r="BU289" s="35"/>
    </row>
    <row r="290" spans="73:73" ht="15.75" customHeight="1">
      <c r="BU290" s="35"/>
    </row>
    <row r="291" spans="73:73" ht="15.75" customHeight="1">
      <c r="BU291" s="35"/>
    </row>
    <row r="292" spans="73:73" ht="15.75" customHeight="1">
      <c r="BU292" s="35"/>
    </row>
    <row r="293" spans="73:73" ht="15.75" customHeight="1">
      <c r="BU293" s="35"/>
    </row>
    <row r="294" spans="73:73" ht="15.75" customHeight="1">
      <c r="BU294" s="35"/>
    </row>
    <row r="295" spans="73:73" ht="15.75" customHeight="1">
      <c r="BU295" s="35"/>
    </row>
    <row r="296" spans="73:73" ht="15.75" customHeight="1">
      <c r="BU296" s="35"/>
    </row>
    <row r="297" spans="73:73" ht="15.75" customHeight="1">
      <c r="BU297" s="35"/>
    </row>
    <row r="298" spans="73:73" ht="15.75" customHeight="1">
      <c r="BU298" s="35"/>
    </row>
    <row r="299" spans="73:73" ht="15.75" customHeight="1">
      <c r="BU299" s="35"/>
    </row>
    <row r="300" spans="73:73" ht="15.75" customHeight="1">
      <c r="BU300" s="35"/>
    </row>
    <row r="301" spans="73:73" ht="15.75" customHeight="1">
      <c r="BU301" s="35"/>
    </row>
    <row r="302" spans="73:73" ht="15.75" customHeight="1">
      <c r="BU302" s="35"/>
    </row>
    <row r="303" spans="73:73" ht="15.75" customHeight="1">
      <c r="BU303" s="35"/>
    </row>
    <row r="304" spans="73:73" ht="15.75" customHeight="1">
      <c r="BU304" s="35"/>
    </row>
    <row r="305" spans="73:73" ht="15.75" customHeight="1">
      <c r="BU305" s="35"/>
    </row>
    <row r="306" spans="73:73" ht="15.75" customHeight="1">
      <c r="BU306" s="35"/>
    </row>
    <row r="307" spans="73:73" ht="15.75" customHeight="1">
      <c r="BU307" s="35"/>
    </row>
    <row r="308" spans="73:73" ht="15.75" customHeight="1">
      <c r="BU308" s="35"/>
    </row>
    <row r="309" spans="73:73" ht="15.75" customHeight="1">
      <c r="BU309" s="35"/>
    </row>
    <row r="310" spans="73:73" ht="15.75" customHeight="1">
      <c r="BU310" s="35"/>
    </row>
    <row r="311" spans="73:73" ht="15.75" customHeight="1">
      <c r="BU311" s="35"/>
    </row>
    <row r="312" spans="73:73" ht="15.75" customHeight="1">
      <c r="BU312" s="35"/>
    </row>
    <row r="313" spans="73:73" ht="15.75" customHeight="1">
      <c r="BU313" s="35"/>
    </row>
    <row r="314" spans="73:73" ht="15.75" customHeight="1">
      <c r="BU314" s="35"/>
    </row>
    <row r="315" spans="73:73" ht="15.75" customHeight="1">
      <c r="BU315" s="35"/>
    </row>
    <row r="316" spans="73:73" ht="15.75" customHeight="1">
      <c r="BU316" s="35"/>
    </row>
    <row r="317" spans="73:73" ht="15.75" customHeight="1">
      <c r="BU317" s="35"/>
    </row>
    <row r="318" spans="73:73" ht="15.75" customHeight="1">
      <c r="BU318" s="35"/>
    </row>
    <row r="319" spans="73:73" ht="15.75" customHeight="1">
      <c r="BU319" s="35"/>
    </row>
    <row r="320" spans="73:73" ht="15.75" customHeight="1">
      <c r="BU320" s="35"/>
    </row>
    <row r="321" spans="73:73" ht="15.75" customHeight="1">
      <c r="BU321" s="35"/>
    </row>
    <row r="322" spans="73:73" ht="15.75" customHeight="1">
      <c r="BU322" s="35"/>
    </row>
    <row r="323" spans="73:73" ht="15.75" customHeight="1">
      <c r="BU323" s="35"/>
    </row>
    <row r="324" spans="73:73" ht="15.75" customHeight="1">
      <c r="BU324" s="35"/>
    </row>
    <row r="325" spans="73:73" ht="15.75" customHeight="1">
      <c r="BU325" s="35"/>
    </row>
    <row r="326" spans="73:73" ht="15.75" customHeight="1">
      <c r="BU326" s="35"/>
    </row>
    <row r="327" spans="73:73" ht="15.75" customHeight="1">
      <c r="BU327" s="35"/>
    </row>
    <row r="328" spans="73:73" ht="15.75" customHeight="1">
      <c r="BU328" s="35"/>
    </row>
    <row r="329" spans="73:73" ht="15.75" customHeight="1">
      <c r="BU329" s="35"/>
    </row>
    <row r="330" spans="73:73" ht="15.75" customHeight="1">
      <c r="BU330" s="35"/>
    </row>
    <row r="331" spans="73:73" ht="15.75" customHeight="1">
      <c r="BU331" s="35"/>
    </row>
    <row r="332" spans="73:73" ht="15.75" customHeight="1">
      <c r="BU332" s="35"/>
    </row>
    <row r="333" spans="73:73" ht="15.75" customHeight="1">
      <c r="BU333" s="35"/>
    </row>
    <row r="334" spans="73:73" ht="15.75" customHeight="1">
      <c r="BU334" s="35"/>
    </row>
    <row r="335" spans="73:73" ht="15.75" customHeight="1">
      <c r="BU335" s="35"/>
    </row>
    <row r="336" spans="73:73" ht="15.75" customHeight="1">
      <c r="BU336" s="35"/>
    </row>
    <row r="337" spans="73:73" ht="15.75" customHeight="1">
      <c r="BU337" s="35"/>
    </row>
    <row r="338" spans="73:73" ht="15.75" customHeight="1">
      <c r="BU338" s="35"/>
    </row>
    <row r="339" spans="73:73" ht="15.75" customHeight="1">
      <c r="BU339" s="35"/>
    </row>
    <row r="340" spans="73:73" ht="15.75" customHeight="1">
      <c r="BU340" s="35"/>
    </row>
    <row r="341" spans="73:73" ht="15.75" customHeight="1">
      <c r="BU341" s="35"/>
    </row>
    <row r="342" spans="73:73" ht="15.75" customHeight="1">
      <c r="BU342" s="35"/>
    </row>
    <row r="343" spans="73:73" ht="15.75" customHeight="1">
      <c r="BU343" s="35"/>
    </row>
    <row r="344" spans="73:73" ht="15.75" customHeight="1">
      <c r="BU344" s="35"/>
    </row>
    <row r="345" spans="73:73" ht="15.75" customHeight="1">
      <c r="BU345" s="35"/>
    </row>
    <row r="346" spans="73:73" ht="15.75" customHeight="1">
      <c r="BU346" s="35"/>
    </row>
    <row r="347" spans="73:73" ht="15.75" customHeight="1">
      <c r="BU347" s="35"/>
    </row>
    <row r="348" spans="73:73" ht="15.75" customHeight="1">
      <c r="BU348" s="35"/>
    </row>
    <row r="349" spans="73:73" ht="15.75" customHeight="1">
      <c r="BU349" s="35"/>
    </row>
    <row r="350" spans="73:73" ht="15.75" customHeight="1">
      <c r="BU350" s="35"/>
    </row>
    <row r="351" spans="73:73" ht="15.75" customHeight="1">
      <c r="BU351" s="35"/>
    </row>
    <row r="352" spans="73:73" ht="15.75" customHeight="1">
      <c r="BU352" s="35"/>
    </row>
    <row r="353" spans="73:73" ht="15.75" customHeight="1">
      <c r="BU353" s="35"/>
    </row>
    <row r="354" spans="73:73" ht="15.75" customHeight="1">
      <c r="BU354" s="35"/>
    </row>
    <row r="355" spans="73:73" ht="15.75" customHeight="1">
      <c r="BU355" s="35"/>
    </row>
    <row r="356" spans="73:73" ht="15.75" customHeight="1">
      <c r="BU356" s="35"/>
    </row>
    <row r="357" spans="73:73" ht="15.75" customHeight="1">
      <c r="BU357" s="35"/>
    </row>
    <row r="358" spans="73:73" ht="15.75" customHeight="1">
      <c r="BU358" s="35"/>
    </row>
    <row r="359" spans="73:73" ht="15.75" customHeight="1">
      <c r="BU359" s="35"/>
    </row>
    <row r="360" spans="73:73" ht="15.75" customHeight="1">
      <c r="BU360" s="35"/>
    </row>
    <row r="361" spans="73:73" ht="15.75" customHeight="1">
      <c r="BU361" s="35"/>
    </row>
    <row r="362" spans="73:73" ht="15.75" customHeight="1">
      <c r="BU362" s="35"/>
    </row>
    <row r="363" spans="73:73" ht="15.75" customHeight="1">
      <c r="BU363" s="35"/>
    </row>
    <row r="364" spans="73:73" ht="15.75" customHeight="1">
      <c r="BU364" s="35"/>
    </row>
    <row r="365" spans="73:73" ht="15.75" customHeight="1">
      <c r="BU365" s="35"/>
    </row>
    <row r="366" spans="73:73" ht="15.75" customHeight="1">
      <c r="BU366" s="35"/>
    </row>
    <row r="367" spans="73:73" ht="15.75" customHeight="1">
      <c r="BU367" s="35"/>
    </row>
    <row r="368" spans="73:73" ht="15.75" customHeight="1">
      <c r="BU368" s="35"/>
    </row>
    <row r="369" spans="73:73" ht="15.75" customHeight="1">
      <c r="BU369" s="35"/>
    </row>
    <row r="370" spans="73:73" ht="15.75" customHeight="1">
      <c r="BU370" s="35"/>
    </row>
    <row r="371" spans="73:73" ht="15.75" customHeight="1">
      <c r="BU371" s="35"/>
    </row>
    <row r="372" spans="73:73" ht="15.75" customHeight="1">
      <c r="BU372" s="35"/>
    </row>
    <row r="373" spans="73:73" ht="15.75" customHeight="1">
      <c r="BU373" s="35"/>
    </row>
    <row r="374" spans="73:73" ht="15.75" customHeight="1">
      <c r="BU374" s="35"/>
    </row>
    <row r="375" spans="73:73" ht="15.75" customHeight="1">
      <c r="BU375" s="35"/>
    </row>
    <row r="376" spans="73:73" ht="15.75" customHeight="1">
      <c r="BU376" s="35"/>
    </row>
    <row r="377" spans="73:73" ht="15.75" customHeight="1">
      <c r="BU377" s="35"/>
    </row>
    <row r="378" spans="73:73" ht="15.75" customHeight="1">
      <c r="BU378" s="35"/>
    </row>
    <row r="379" spans="73:73" ht="15.75" customHeight="1">
      <c r="BU379" s="35"/>
    </row>
    <row r="380" spans="73:73" ht="15.75" customHeight="1">
      <c r="BU380" s="35"/>
    </row>
    <row r="381" spans="73:73" ht="15.75" customHeight="1">
      <c r="BU381" s="35"/>
    </row>
    <row r="382" spans="73:73" ht="15.75" customHeight="1">
      <c r="BU382" s="35"/>
    </row>
    <row r="383" spans="73:73" ht="15.75" customHeight="1">
      <c r="BU383" s="35"/>
    </row>
    <row r="384" spans="73:73" ht="15.75" customHeight="1">
      <c r="BU384" s="35"/>
    </row>
    <row r="385" spans="73:73" ht="15.75" customHeight="1">
      <c r="BU385" s="35"/>
    </row>
    <row r="386" spans="73:73" ht="15.75" customHeight="1">
      <c r="BU386" s="35"/>
    </row>
    <row r="387" spans="73:73" ht="15.75" customHeight="1">
      <c r="BU387" s="35"/>
    </row>
    <row r="388" spans="73:73" ht="15.75" customHeight="1">
      <c r="BU388" s="35"/>
    </row>
    <row r="389" spans="73:73" ht="15.75" customHeight="1">
      <c r="BU389" s="35"/>
    </row>
    <row r="390" spans="73:73" ht="15.75" customHeight="1">
      <c r="BU390" s="35"/>
    </row>
    <row r="391" spans="73:73" ht="15.75" customHeight="1">
      <c r="BU391" s="35"/>
    </row>
    <row r="392" spans="73:73" ht="15.75" customHeight="1">
      <c r="BU392" s="35"/>
    </row>
    <row r="393" spans="73:73" ht="15.75" customHeight="1">
      <c r="BU393" s="35"/>
    </row>
    <row r="394" spans="73:73" ht="15.75" customHeight="1">
      <c r="BU394" s="35"/>
    </row>
    <row r="395" spans="73:73" ht="15.75" customHeight="1">
      <c r="BU395" s="35"/>
    </row>
    <row r="396" spans="73:73" ht="15.75" customHeight="1">
      <c r="BU396" s="35"/>
    </row>
    <row r="397" spans="73:73" ht="15.75" customHeight="1">
      <c r="BU397" s="35"/>
    </row>
    <row r="398" spans="73:73" ht="15.75" customHeight="1">
      <c r="BU398" s="35"/>
    </row>
    <row r="399" spans="73:73" ht="15.75" customHeight="1">
      <c r="BU399" s="35"/>
    </row>
    <row r="400" spans="73:73" ht="15.75" customHeight="1">
      <c r="BU400" s="35"/>
    </row>
    <row r="401" spans="73:73" ht="15.75" customHeight="1">
      <c r="BU401" s="35"/>
    </row>
    <row r="402" spans="73:73" ht="15.75" customHeight="1">
      <c r="BU402" s="35"/>
    </row>
    <row r="403" spans="73:73" ht="15.75" customHeight="1">
      <c r="BU403" s="35"/>
    </row>
    <row r="404" spans="73:73" ht="15.75" customHeight="1">
      <c r="BU404" s="35"/>
    </row>
    <row r="405" spans="73:73" ht="15.75" customHeight="1">
      <c r="BU405" s="35"/>
    </row>
    <row r="406" spans="73:73" ht="15.75" customHeight="1">
      <c r="BU406" s="35"/>
    </row>
    <row r="407" spans="73:73" ht="15.75" customHeight="1">
      <c r="BU407" s="35"/>
    </row>
    <row r="408" spans="73:73" ht="15.75" customHeight="1">
      <c r="BU408" s="35"/>
    </row>
    <row r="409" spans="73:73" ht="15.75" customHeight="1">
      <c r="BU409" s="35"/>
    </row>
    <row r="410" spans="73:73" ht="15.75" customHeight="1">
      <c r="BU410" s="35"/>
    </row>
    <row r="411" spans="73:73" ht="15.75" customHeight="1">
      <c r="BU411" s="35"/>
    </row>
    <row r="412" spans="73:73" ht="15.75" customHeight="1">
      <c r="BU412" s="35"/>
    </row>
    <row r="413" spans="73:73" ht="15.75" customHeight="1">
      <c r="BU413" s="35"/>
    </row>
    <row r="414" spans="73:73" ht="15.75" customHeight="1">
      <c r="BU414" s="35"/>
    </row>
    <row r="415" spans="73:73" ht="15.75" customHeight="1">
      <c r="BU415" s="35"/>
    </row>
    <row r="416" spans="73:73" ht="15.75" customHeight="1">
      <c r="BU416" s="35"/>
    </row>
    <row r="417" spans="73:73" ht="15.75" customHeight="1">
      <c r="BU417" s="35"/>
    </row>
    <row r="418" spans="73:73" ht="15.75" customHeight="1">
      <c r="BU418" s="35"/>
    </row>
    <row r="419" spans="73:73" ht="15.75" customHeight="1">
      <c r="BU419" s="35"/>
    </row>
    <row r="420" spans="73:73" ht="15.75" customHeight="1">
      <c r="BU420" s="35"/>
    </row>
    <row r="421" spans="73:73" ht="15.75" customHeight="1">
      <c r="BU421" s="35"/>
    </row>
    <row r="422" spans="73:73" ht="15.75" customHeight="1">
      <c r="BU422" s="35"/>
    </row>
    <row r="423" spans="73:73" ht="15.75" customHeight="1">
      <c r="BU423" s="35"/>
    </row>
    <row r="424" spans="73:73" ht="15.75" customHeight="1">
      <c r="BU424" s="35"/>
    </row>
    <row r="425" spans="73:73" ht="15.75" customHeight="1">
      <c r="BU425" s="35"/>
    </row>
    <row r="426" spans="73:73" ht="15.75" customHeight="1">
      <c r="BU426" s="35"/>
    </row>
    <row r="427" spans="73:73" ht="15.75" customHeight="1">
      <c r="BU427" s="35"/>
    </row>
    <row r="428" spans="73:73" ht="15.75" customHeight="1">
      <c r="BU428" s="35"/>
    </row>
    <row r="429" spans="73:73" ht="15.75" customHeight="1">
      <c r="BU429" s="35"/>
    </row>
    <row r="430" spans="73:73" ht="15.75" customHeight="1">
      <c r="BU430" s="35"/>
    </row>
    <row r="431" spans="73:73" ht="15.75" customHeight="1">
      <c r="BU431" s="35"/>
    </row>
    <row r="432" spans="73:73" ht="15.75" customHeight="1">
      <c r="BU432" s="35"/>
    </row>
    <row r="433" spans="73:73" ht="15.75" customHeight="1">
      <c r="BU433" s="35"/>
    </row>
    <row r="434" spans="73:73" ht="15.75" customHeight="1">
      <c r="BU434" s="35"/>
    </row>
    <row r="435" spans="73:73" ht="15.75" customHeight="1">
      <c r="BU435" s="35"/>
    </row>
    <row r="436" spans="73:73" ht="15.75" customHeight="1">
      <c r="BU436" s="35"/>
    </row>
    <row r="437" spans="73:73" ht="15.75" customHeight="1">
      <c r="BU437" s="35"/>
    </row>
    <row r="438" spans="73:73" ht="15.75" customHeight="1">
      <c r="BU438" s="35"/>
    </row>
    <row r="439" spans="73:73" ht="15.75" customHeight="1">
      <c r="BU439" s="35"/>
    </row>
    <row r="440" spans="73:73" ht="15.75" customHeight="1">
      <c r="BU440" s="35"/>
    </row>
    <row r="441" spans="73:73" ht="15.75" customHeight="1">
      <c r="BU441" s="35"/>
    </row>
    <row r="442" spans="73:73" ht="15.75" customHeight="1">
      <c r="BU442" s="35"/>
    </row>
    <row r="443" spans="73:73" ht="15.75" customHeight="1">
      <c r="BU443" s="35"/>
    </row>
    <row r="444" spans="73:73" ht="15.75" customHeight="1">
      <c r="BU444" s="35"/>
    </row>
    <row r="445" spans="73:73" ht="15.75" customHeight="1">
      <c r="BU445" s="35"/>
    </row>
    <row r="446" spans="73:73" ht="15.75" customHeight="1">
      <c r="BU446" s="35"/>
    </row>
    <row r="447" spans="73:73" ht="15.75" customHeight="1">
      <c r="BU447" s="35"/>
    </row>
    <row r="448" spans="73:73" ht="15.75" customHeight="1">
      <c r="BU448" s="35"/>
    </row>
    <row r="449" spans="73:73" ht="15.75" customHeight="1">
      <c r="BU449" s="35"/>
    </row>
    <row r="450" spans="73:73" ht="15.75" customHeight="1">
      <c r="BU450" s="35"/>
    </row>
    <row r="451" spans="73:73" ht="15.75" customHeight="1">
      <c r="BU451" s="35"/>
    </row>
    <row r="452" spans="73:73" ht="15.75" customHeight="1">
      <c r="BU452" s="35"/>
    </row>
    <row r="453" spans="73:73" ht="15.75" customHeight="1">
      <c r="BU453" s="35"/>
    </row>
    <row r="454" spans="73:73" ht="15.75" customHeight="1">
      <c r="BU454" s="35"/>
    </row>
    <row r="455" spans="73:73" ht="15.75" customHeight="1">
      <c r="BU455" s="35"/>
    </row>
    <row r="456" spans="73:73" ht="15.75" customHeight="1">
      <c r="BU456" s="35"/>
    </row>
    <row r="457" spans="73:73" ht="15.75" customHeight="1">
      <c r="BU457" s="35"/>
    </row>
    <row r="458" spans="73:73" ht="15.75" customHeight="1">
      <c r="BU458" s="35"/>
    </row>
    <row r="459" spans="73:73" ht="15.75" customHeight="1">
      <c r="BU459" s="35"/>
    </row>
    <row r="460" spans="73:73" ht="15.75" customHeight="1">
      <c r="BU460" s="35"/>
    </row>
    <row r="461" spans="73:73" ht="15.75" customHeight="1">
      <c r="BU461" s="35"/>
    </row>
    <row r="462" spans="73:73" ht="15.75" customHeight="1">
      <c r="BU462" s="35"/>
    </row>
    <row r="463" spans="73:73" ht="15.75" customHeight="1">
      <c r="BU463" s="35"/>
    </row>
    <row r="464" spans="73:73" ht="15.75" customHeight="1">
      <c r="BU464" s="35"/>
    </row>
    <row r="465" spans="73:73" ht="15.75" customHeight="1">
      <c r="BU465" s="35"/>
    </row>
    <row r="466" spans="73:73" ht="15.75" customHeight="1">
      <c r="BU466" s="35"/>
    </row>
    <row r="467" spans="73:73" ht="15.75" customHeight="1">
      <c r="BU467" s="35"/>
    </row>
    <row r="468" spans="73:73" ht="15.75" customHeight="1">
      <c r="BU468" s="35"/>
    </row>
    <row r="469" spans="73:73" ht="15.75" customHeight="1">
      <c r="BU469" s="35"/>
    </row>
    <row r="470" spans="73:73" ht="15.75" customHeight="1">
      <c r="BU470" s="35"/>
    </row>
    <row r="471" spans="73:73" ht="15.75" customHeight="1">
      <c r="BU471" s="35"/>
    </row>
    <row r="472" spans="73:73" ht="15.75" customHeight="1">
      <c r="BU472" s="35"/>
    </row>
    <row r="473" spans="73:73" ht="15.75" customHeight="1">
      <c r="BU473" s="35"/>
    </row>
    <row r="474" spans="73:73" ht="15.75" customHeight="1">
      <c r="BU474" s="35"/>
    </row>
    <row r="475" spans="73:73" ht="15.75" customHeight="1">
      <c r="BU475" s="35"/>
    </row>
    <row r="476" spans="73:73" ht="15.75" customHeight="1">
      <c r="BU476" s="35"/>
    </row>
    <row r="477" spans="73:73" ht="15.75" customHeight="1">
      <c r="BU477" s="35"/>
    </row>
    <row r="478" spans="73:73" ht="15.75" customHeight="1">
      <c r="BU478" s="35"/>
    </row>
    <row r="479" spans="73:73" ht="15.75" customHeight="1">
      <c r="BU479" s="35"/>
    </row>
    <row r="480" spans="73:73" ht="15.75" customHeight="1">
      <c r="BU480" s="35"/>
    </row>
    <row r="481" spans="73:73" ht="15.75" customHeight="1">
      <c r="BU481" s="35"/>
    </row>
    <row r="482" spans="73:73" ht="15.75" customHeight="1">
      <c r="BU482" s="35"/>
    </row>
    <row r="483" spans="73:73" ht="15.75" customHeight="1">
      <c r="BU483" s="35"/>
    </row>
    <row r="484" spans="73:73" ht="15.75" customHeight="1">
      <c r="BU484" s="35"/>
    </row>
    <row r="485" spans="73:73" ht="15.75" customHeight="1">
      <c r="BU485" s="35"/>
    </row>
    <row r="486" spans="73:73" ht="15.75" customHeight="1">
      <c r="BU486" s="35"/>
    </row>
    <row r="487" spans="73:73" ht="15.75" customHeight="1">
      <c r="BU487" s="35"/>
    </row>
    <row r="488" spans="73:73" ht="15.75" customHeight="1">
      <c r="BU488" s="35"/>
    </row>
    <row r="489" spans="73:73" ht="15.75" customHeight="1">
      <c r="BU489" s="35"/>
    </row>
    <row r="490" spans="73:73" ht="15.75" customHeight="1">
      <c r="BU490" s="35"/>
    </row>
    <row r="491" spans="73:73" ht="15.75" customHeight="1">
      <c r="BU491" s="35"/>
    </row>
    <row r="492" spans="73:73" ht="15.75" customHeight="1">
      <c r="BU492" s="35"/>
    </row>
    <row r="493" spans="73:73" ht="15.75" customHeight="1">
      <c r="BU493" s="35"/>
    </row>
    <row r="494" spans="73:73" ht="15.75" customHeight="1">
      <c r="BU494" s="35"/>
    </row>
    <row r="495" spans="73:73" ht="15.75" customHeight="1">
      <c r="BU495" s="35"/>
    </row>
    <row r="496" spans="73:73" ht="15.75" customHeight="1">
      <c r="BU496" s="35"/>
    </row>
    <row r="497" spans="73:73" ht="15.75" customHeight="1">
      <c r="BU497" s="35"/>
    </row>
    <row r="498" spans="73:73" ht="15.75" customHeight="1">
      <c r="BU498" s="35"/>
    </row>
    <row r="499" spans="73:73" ht="15.75" customHeight="1">
      <c r="BU499" s="35"/>
    </row>
    <row r="500" spans="73:73" ht="15.75" customHeight="1">
      <c r="BU500" s="35"/>
    </row>
    <row r="501" spans="73:73" ht="15.75" customHeight="1">
      <c r="BU501" s="35"/>
    </row>
    <row r="502" spans="73:73" ht="15.75" customHeight="1">
      <c r="BU502" s="35"/>
    </row>
    <row r="503" spans="73:73" ht="15.75" customHeight="1">
      <c r="BU503" s="35"/>
    </row>
    <row r="504" spans="73:73" ht="15.75" customHeight="1">
      <c r="BU504" s="35"/>
    </row>
    <row r="505" spans="73:73" ht="15.75" customHeight="1">
      <c r="BU505" s="35"/>
    </row>
    <row r="506" spans="73:73" ht="15.75" customHeight="1">
      <c r="BU506" s="35"/>
    </row>
    <row r="507" spans="73:73" ht="15.75" customHeight="1">
      <c r="BU507" s="35"/>
    </row>
    <row r="508" spans="73:73" ht="15.75" customHeight="1">
      <c r="BU508" s="35"/>
    </row>
    <row r="509" spans="73:73" ht="15.75" customHeight="1">
      <c r="BU509" s="35"/>
    </row>
    <row r="510" spans="73:73" ht="15.75" customHeight="1">
      <c r="BU510" s="35"/>
    </row>
    <row r="511" spans="73:73" ht="15.75" customHeight="1">
      <c r="BU511" s="35"/>
    </row>
    <row r="512" spans="73:73" ht="15.75" customHeight="1">
      <c r="BU512" s="35"/>
    </row>
    <row r="513" spans="73:73" ht="15.75" customHeight="1">
      <c r="BU513" s="35"/>
    </row>
    <row r="514" spans="73:73" ht="15.75" customHeight="1">
      <c r="BU514" s="35"/>
    </row>
    <row r="515" spans="73:73" ht="15.75" customHeight="1">
      <c r="BU515" s="35"/>
    </row>
    <row r="516" spans="73:73" ht="15.75" customHeight="1">
      <c r="BU516" s="35"/>
    </row>
    <row r="517" spans="73:73" ht="15.75" customHeight="1">
      <c r="BU517" s="35"/>
    </row>
    <row r="518" spans="73:73" ht="15.75" customHeight="1">
      <c r="BU518" s="35"/>
    </row>
    <row r="519" spans="73:73" ht="15.75" customHeight="1">
      <c r="BU519" s="35"/>
    </row>
    <row r="520" spans="73:73" ht="15.75" customHeight="1">
      <c r="BU520" s="35"/>
    </row>
    <row r="521" spans="73:73" ht="15.75" customHeight="1">
      <c r="BU521" s="35"/>
    </row>
    <row r="522" spans="73:73" ht="15.75" customHeight="1">
      <c r="BU522" s="35"/>
    </row>
    <row r="523" spans="73:73" ht="15.75" customHeight="1">
      <c r="BU523" s="35"/>
    </row>
    <row r="524" spans="73:73" ht="15.75" customHeight="1">
      <c r="BU524" s="35"/>
    </row>
    <row r="525" spans="73:73" ht="15.75" customHeight="1">
      <c r="BU525" s="35"/>
    </row>
    <row r="526" spans="73:73" ht="15.75" customHeight="1">
      <c r="BU526" s="35"/>
    </row>
    <row r="527" spans="73:73" ht="15.75" customHeight="1">
      <c r="BU527" s="35"/>
    </row>
    <row r="528" spans="73:73" ht="15.75" customHeight="1">
      <c r="BU528" s="35"/>
    </row>
    <row r="529" spans="73:73" ht="15.75" customHeight="1">
      <c r="BU529" s="35"/>
    </row>
    <row r="530" spans="73:73" ht="15.75" customHeight="1">
      <c r="BU530" s="35"/>
    </row>
    <row r="531" spans="73:73" ht="15.75" customHeight="1">
      <c r="BU531" s="35"/>
    </row>
    <row r="532" spans="73:73" ht="15.75" customHeight="1">
      <c r="BU532" s="35"/>
    </row>
    <row r="533" spans="73:73" ht="15.75" customHeight="1">
      <c r="BU533" s="35"/>
    </row>
    <row r="534" spans="73:73" ht="15.75" customHeight="1">
      <c r="BU534" s="35"/>
    </row>
    <row r="535" spans="73:73" ht="15.75" customHeight="1">
      <c r="BU535" s="35"/>
    </row>
    <row r="536" spans="73:73" ht="15.75" customHeight="1">
      <c r="BU536" s="35"/>
    </row>
    <row r="537" spans="73:73" ht="15.75" customHeight="1">
      <c r="BU537" s="35"/>
    </row>
    <row r="538" spans="73:73" ht="15.75" customHeight="1">
      <c r="BU538" s="35"/>
    </row>
    <row r="539" spans="73:73" ht="15.75" customHeight="1">
      <c r="BU539" s="35"/>
    </row>
    <row r="540" spans="73:73" ht="15.75" customHeight="1">
      <c r="BU540" s="35"/>
    </row>
    <row r="541" spans="73:73" ht="15.75" customHeight="1">
      <c r="BU541" s="35"/>
    </row>
    <row r="542" spans="73:73" ht="15.75" customHeight="1">
      <c r="BU542" s="35"/>
    </row>
    <row r="543" spans="73:73" ht="15.75" customHeight="1">
      <c r="BU543" s="35"/>
    </row>
    <row r="544" spans="73:73" ht="15.75" customHeight="1">
      <c r="BU544" s="35"/>
    </row>
    <row r="545" spans="73:73" ht="15.75" customHeight="1">
      <c r="BU545" s="35"/>
    </row>
    <row r="546" spans="73:73" ht="15.75" customHeight="1">
      <c r="BU546" s="35"/>
    </row>
    <row r="547" spans="73:73" ht="15.75" customHeight="1">
      <c r="BU547" s="35"/>
    </row>
    <row r="548" spans="73:73" ht="15.75" customHeight="1">
      <c r="BU548" s="35"/>
    </row>
    <row r="549" spans="73:73" ht="15.75" customHeight="1">
      <c r="BU549" s="35"/>
    </row>
    <row r="550" spans="73:73" ht="15.75" customHeight="1">
      <c r="BU550" s="35"/>
    </row>
    <row r="551" spans="73:73" ht="15.75" customHeight="1">
      <c r="BU551" s="35"/>
    </row>
    <row r="552" spans="73:73" ht="15.75" customHeight="1">
      <c r="BU552" s="35"/>
    </row>
    <row r="553" spans="73:73" ht="15.75" customHeight="1">
      <c r="BU553" s="35"/>
    </row>
    <row r="554" spans="73:73" ht="15.75" customHeight="1">
      <c r="BU554" s="35"/>
    </row>
    <row r="555" spans="73:73" ht="15.75" customHeight="1">
      <c r="BU555" s="35"/>
    </row>
    <row r="556" spans="73:73" ht="15.75" customHeight="1">
      <c r="BU556" s="35"/>
    </row>
    <row r="557" spans="73:73" ht="15.75" customHeight="1">
      <c r="BU557" s="35"/>
    </row>
    <row r="558" spans="73:73" ht="15.75" customHeight="1">
      <c r="BU558" s="35"/>
    </row>
    <row r="559" spans="73:73" ht="15.75" customHeight="1">
      <c r="BU559" s="35"/>
    </row>
    <row r="560" spans="73:73" ht="15.75" customHeight="1">
      <c r="BU560" s="35"/>
    </row>
    <row r="561" spans="73:73" ht="15.75" customHeight="1">
      <c r="BU561" s="35"/>
    </row>
    <row r="562" spans="73:73" ht="15.75" customHeight="1">
      <c r="BU562" s="35"/>
    </row>
    <row r="563" spans="73:73" ht="15.75" customHeight="1">
      <c r="BU563" s="35"/>
    </row>
    <row r="564" spans="73:73" ht="15.75" customHeight="1">
      <c r="BU564" s="35"/>
    </row>
    <row r="565" spans="73:73" ht="15.75" customHeight="1">
      <c r="BU565" s="35"/>
    </row>
    <row r="566" spans="73:73" ht="15.75" customHeight="1">
      <c r="BU566" s="35"/>
    </row>
    <row r="567" spans="73:73" ht="15.75" customHeight="1">
      <c r="BU567" s="35"/>
    </row>
    <row r="568" spans="73:73" ht="15.75" customHeight="1">
      <c r="BU568" s="35"/>
    </row>
    <row r="569" spans="73:73" ht="15.75" customHeight="1">
      <c r="BU569" s="35"/>
    </row>
    <row r="570" spans="73:73" ht="15.75" customHeight="1">
      <c r="BU570" s="35"/>
    </row>
    <row r="571" spans="73:73" ht="15.75" customHeight="1">
      <c r="BU571" s="35"/>
    </row>
    <row r="572" spans="73:73" ht="15.75" customHeight="1">
      <c r="BU572" s="35"/>
    </row>
    <row r="573" spans="73:73" ht="15.75" customHeight="1">
      <c r="BU573" s="35"/>
    </row>
    <row r="574" spans="73:73" ht="15.75" customHeight="1">
      <c r="BU574" s="35"/>
    </row>
    <row r="575" spans="73:73" ht="15.75" customHeight="1">
      <c r="BU575" s="35"/>
    </row>
    <row r="576" spans="73:73" ht="15.75" customHeight="1">
      <c r="BU576" s="35"/>
    </row>
    <row r="577" spans="73:73" ht="15.75" customHeight="1">
      <c r="BU577" s="35"/>
    </row>
    <row r="578" spans="73:73" ht="15.75" customHeight="1">
      <c r="BU578" s="35"/>
    </row>
    <row r="579" spans="73:73" ht="15.75" customHeight="1">
      <c r="BU579" s="35"/>
    </row>
    <row r="580" spans="73:73" ht="15.75" customHeight="1">
      <c r="BU580" s="35"/>
    </row>
    <row r="581" spans="73:73" ht="15.75" customHeight="1">
      <c r="BU581" s="35"/>
    </row>
    <row r="582" spans="73:73" ht="15.75" customHeight="1">
      <c r="BU582" s="35"/>
    </row>
    <row r="583" spans="73:73" ht="15.75" customHeight="1">
      <c r="BU583" s="35"/>
    </row>
    <row r="584" spans="73:73" ht="15.75" customHeight="1">
      <c r="BU584" s="35"/>
    </row>
    <row r="585" spans="73:73" ht="15.75" customHeight="1">
      <c r="BU585" s="35"/>
    </row>
    <row r="586" spans="73:73" ht="15.75" customHeight="1">
      <c r="BU586" s="35"/>
    </row>
    <row r="587" spans="73:73" ht="15.75" customHeight="1">
      <c r="BU587" s="35"/>
    </row>
    <row r="588" spans="73:73" ht="15.75" customHeight="1">
      <c r="BU588" s="35"/>
    </row>
    <row r="589" spans="73:73" ht="15.75" customHeight="1">
      <c r="BU589" s="35"/>
    </row>
    <row r="590" spans="73:73" ht="15.75" customHeight="1">
      <c r="BU590" s="35"/>
    </row>
    <row r="591" spans="73:73" ht="15.75" customHeight="1">
      <c r="BU591" s="35"/>
    </row>
    <row r="592" spans="73:73" ht="15.75" customHeight="1">
      <c r="BU592" s="35"/>
    </row>
    <row r="593" spans="73:73" ht="15.75" customHeight="1">
      <c r="BU593" s="35"/>
    </row>
    <row r="594" spans="73:73" ht="15.75" customHeight="1">
      <c r="BU594" s="35"/>
    </row>
    <row r="595" spans="73:73" ht="15.75" customHeight="1">
      <c r="BU595" s="35"/>
    </row>
    <row r="596" spans="73:73" ht="15.75" customHeight="1">
      <c r="BU596" s="35"/>
    </row>
    <row r="597" spans="73:73" ht="15.75" customHeight="1">
      <c r="BU597" s="35"/>
    </row>
    <row r="598" spans="73:73" ht="15.75" customHeight="1">
      <c r="BU598" s="35"/>
    </row>
    <row r="599" spans="73:73" ht="15.75" customHeight="1">
      <c r="BU599" s="35"/>
    </row>
    <row r="600" spans="73:73" ht="15.75" customHeight="1">
      <c r="BU600" s="35"/>
    </row>
    <row r="601" spans="73:73" ht="15.75" customHeight="1">
      <c r="BU601" s="35"/>
    </row>
    <row r="602" spans="73:73" ht="15.75" customHeight="1">
      <c r="BU602" s="35"/>
    </row>
    <row r="603" spans="73:73" ht="15.75" customHeight="1">
      <c r="BU603" s="35"/>
    </row>
    <row r="604" spans="73:73" ht="15.75" customHeight="1">
      <c r="BU604" s="35"/>
    </row>
    <row r="605" spans="73:73" ht="15.75" customHeight="1">
      <c r="BU605" s="35"/>
    </row>
    <row r="606" spans="73:73" ht="15.75" customHeight="1">
      <c r="BU606" s="35"/>
    </row>
    <row r="607" spans="73:73" ht="15.75" customHeight="1">
      <c r="BU607" s="35"/>
    </row>
    <row r="608" spans="73:73" ht="15.75" customHeight="1">
      <c r="BU608" s="35"/>
    </row>
    <row r="609" spans="73:73" ht="15.75" customHeight="1">
      <c r="BU609" s="35"/>
    </row>
    <row r="610" spans="73:73" ht="15.75" customHeight="1">
      <c r="BU610" s="35"/>
    </row>
    <row r="611" spans="73:73" ht="15.75" customHeight="1">
      <c r="BU611" s="35"/>
    </row>
    <row r="612" spans="73:73" ht="15.75" customHeight="1">
      <c r="BU612" s="35"/>
    </row>
    <row r="613" spans="73:73" ht="15.75" customHeight="1">
      <c r="BU613" s="35"/>
    </row>
    <row r="614" spans="73:73" ht="15.75" customHeight="1">
      <c r="BU614" s="35"/>
    </row>
    <row r="615" spans="73:73" ht="15.75" customHeight="1">
      <c r="BU615" s="35"/>
    </row>
    <row r="616" spans="73:73" ht="15.75" customHeight="1">
      <c r="BU616" s="35"/>
    </row>
    <row r="617" spans="73:73" ht="15.75" customHeight="1">
      <c r="BU617" s="35"/>
    </row>
    <row r="618" spans="73:73" ht="15.75" customHeight="1">
      <c r="BU618" s="35"/>
    </row>
    <row r="619" spans="73:73" ht="15.75" customHeight="1">
      <c r="BU619" s="35"/>
    </row>
    <row r="620" spans="73:73" ht="15.75" customHeight="1">
      <c r="BU620" s="35"/>
    </row>
    <row r="621" spans="73:73" ht="15.75" customHeight="1">
      <c r="BU621" s="35"/>
    </row>
    <row r="622" spans="73:73" ht="15.75" customHeight="1">
      <c r="BU622" s="35"/>
    </row>
    <row r="623" spans="73:73" ht="15.75" customHeight="1">
      <c r="BU623" s="35"/>
    </row>
    <row r="624" spans="73:73" ht="15.75" customHeight="1">
      <c r="BU624" s="35"/>
    </row>
    <row r="625" spans="73:73" ht="15.75" customHeight="1">
      <c r="BU625" s="35"/>
    </row>
    <row r="626" spans="73:73" ht="15.75" customHeight="1">
      <c r="BU626" s="35"/>
    </row>
    <row r="627" spans="73:73" ht="15.75" customHeight="1">
      <c r="BU627" s="35"/>
    </row>
    <row r="628" spans="73:73" ht="15.75" customHeight="1">
      <c r="BU628" s="35"/>
    </row>
    <row r="629" spans="73:73" ht="15.75" customHeight="1">
      <c r="BU629" s="35"/>
    </row>
    <row r="630" spans="73:73" ht="15.75" customHeight="1">
      <c r="BU630" s="35"/>
    </row>
    <row r="631" spans="73:73" ht="15.75" customHeight="1">
      <c r="BU631" s="35"/>
    </row>
    <row r="632" spans="73:73" ht="15.75" customHeight="1">
      <c r="BU632" s="35"/>
    </row>
    <row r="633" spans="73:73" ht="15.75" customHeight="1">
      <c r="BU633" s="35"/>
    </row>
    <row r="634" spans="73:73" ht="15.75" customHeight="1">
      <c r="BU634" s="35"/>
    </row>
    <row r="635" spans="73:73" ht="15.75" customHeight="1">
      <c r="BU635" s="35"/>
    </row>
    <row r="636" spans="73:73" ht="15.75" customHeight="1">
      <c r="BU636" s="35"/>
    </row>
    <row r="637" spans="73:73" ht="15.75" customHeight="1">
      <c r="BU637" s="35"/>
    </row>
    <row r="638" spans="73:73" ht="15.75" customHeight="1">
      <c r="BU638" s="35"/>
    </row>
    <row r="639" spans="73:73" ht="15.75" customHeight="1">
      <c r="BU639" s="35"/>
    </row>
    <row r="640" spans="73:73" ht="15.75" customHeight="1">
      <c r="BU640" s="35"/>
    </row>
    <row r="641" spans="73:73" ht="15.75" customHeight="1">
      <c r="BU641" s="35"/>
    </row>
    <row r="642" spans="73:73" ht="15.75" customHeight="1">
      <c r="BU642" s="35"/>
    </row>
    <row r="643" spans="73:73" ht="15.75" customHeight="1">
      <c r="BU643" s="35"/>
    </row>
    <row r="644" spans="73:73" ht="15.75" customHeight="1">
      <c r="BU644" s="35"/>
    </row>
    <row r="645" spans="73:73" ht="15.75" customHeight="1">
      <c r="BU645" s="35"/>
    </row>
    <row r="646" spans="73:73" ht="15.75" customHeight="1">
      <c r="BU646" s="35"/>
    </row>
    <row r="647" spans="73:73" ht="15.75" customHeight="1">
      <c r="BU647" s="35"/>
    </row>
    <row r="648" spans="73:73" ht="15.75" customHeight="1">
      <c r="BU648" s="35"/>
    </row>
    <row r="649" spans="73:73" ht="15.75" customHeight="1">
      <c r="BU649" s="35"/>
    </row>
    <row r="650" spans="73:73" ht="15.75" customHeight="1">
      <c r="BU650" s="35"/>
    </row>
    <row r="651" spans="73:73" ht="15.75" customHeight="1">
      <c r="BU651" s="35"/>
    </row>
    <row r="652" spans="73:73" ht="15.75" customHeight="1">
      <c r="BU652" s="35"/>
    </row>
    <row r="653" spans="73:73" ht="15.75" customHeight="1">
      <c r="BU653" s="35"/>
    </row>
    <row r="654" spans="73:73" ht="15.75" customHeight="1">
      <c r="BU654" s="35"/>
    </row>
    <row r="655" spans="73:73" ht="15.75" customHeight="1">
      <c r="BU655" s="35"/>
    </row>
    <row r="656" spans="73:73" ht="15.75" customHeight="1">
      <c r="BU656" s="35"/>
    </row>
    <row r="657" spans="73:73" ht="15.75" customHeight="1">
      <c r="BU657" s="35"/>
    </row>
    <row r="658" spans="73:73" ht="15.75" customHeight="1">
      <c r="BU658" s="35"/>
    </row>
    <row r="659" spans="73:73" ht="15.75" customHeight="1">
      <c r="BU659" s="35"/>
    </row>
    <row r="660" spans="73:73" ht="15.75" customHeight="1">
      <c r="BU660" s="35"/>
    </row>
    <row r="661" spans="73:73" ht="15.75" customHeight="1">
      <c r="BU661" s="35"/>
    </row>
    <row r="662" spans="73:73" ht="15.75" customHeight="1">
      <c r="BU662" s="35"/>
    </row>
    <row r="663" spans="73:73" ht="15.75" customHeight="1">
      <c r="BU663" s="35"/>
    </row>
    <row r="664" spans="73:73" ht="15.75" customHeight="1">
      <c r="BU664" s="35"/>
    </row>
    <row r="665" spans="73:73" ht="15.75" customHeight="1">
      <c r="BU665" s="35"/>
    </row>
    <row r="666" spans="73:73" ht="15.75" customHeight="1">
      <c r="BU666" s="35"/>
    </row>
    <row r="667" spans="73:73" ht="15.75" customHeight="1">
      <c r="BU667" s="35"/>
    </row>
    <row r="668" spans="73:73" ht="15.75" customHeight="1">
      <c r="BU668" s="35"/>
    </row>
    <row r="669" spans="73:73" ht="15.75" customHeight="1">
      <c r="BU669" s="35"/>
    </row>
    <row r="670" spans="73:73" ht="15.75" customHeight="1">
      <c r="BU670" s="35"/>
    </row>
    <row r="671" spans="73:73" ht="15.75" customHeight="1">
      <c r="BU671" s="35"/>
    </row>
    <row r="672" spans="73:73" ht="15.75" customHeight="1">
      <c r="BU672" s="35"/>
    </row>
    <row r="673" spans="73:73" ht="15.75" customHeight="1">
      <c r="BU673" s="35"/>
    </row>
    <row r="674" spans="73:73" ht="15.75" customHeight="1">
      <c r="BU674" s="35"/>
    </row>
    <row r="675" spans="73:73" ht="15.75" customHeight="1">
      <c r="BU675" s="35"/>
    </row>
    <row r="676" spans="73:73" ht="15.75" customHeight="1">
      <c r="BU676" s="35"/>
    </row>
    <row r="677" spans="73:73" ht="15.75" customHeight="1">
      <c r="BU677" s="35"/>
    </row>
    <row r="678" spans="73:73" ht="15.75" customHeight="1">
      <c r="BU678" s="35"/>
    </row>
    <row r="679" spans="73:73" ht="15.75" customHeight="1">
      <c r="BU679" s="35"/>
    </row>
    <row r="680" spans="73:73" ht="15.75" customHeight="1">
      <c r="BU680" s="35"/>
    </row>
    <row r="681" spans="73:73" ht="15.75" customHeight="1">
      <c r="BU681" s="35"/>
    </row>
    <row r="682" spans="73:73" ht="15.75" customHeight="1">
      <c r="BU682" s="35"/>
    </row>
    <row r="683" spans="73:73" ht="15.75" customHeight="1">
      <c r="BU683" s="35"/>
    </row>
    <row r="684" spans="73:73" ht="15.75" customHeight="1">
      <c r="BU684" s="35"/>
    </row>
    <row r="685" spans="73:73" ht="15.75" customHeight="1">
      <c r="BU685" s="35"/>
    </row>
    <row r="686" spans="73:73" ht="15.75" customHeight="1">
      <c r="BU686" s="35"/>
    </row>
    <row r="687" spans="73:73" ht="15.75" customHeight="1">
      <c r="BU687" s="35"/>
    </row>
    <row r="688" spans="73:73" ht="15.75" customHeight="1">
      <c r="BU688" s="35"/>
    </row>
    <row r="689" spans="73:73" ht="15.75" customHeight="1">
      <c r="BU689" s="35"/>
    </row>
    <row r="690" spans="73:73" ht="15.75" customHeight="1">
      <c r="BU690" s="35"/>
    </row>
    <row r="691" spans="73:73" ht="15.75" customHeight="1">
      <c r="BU691" s="35"/>
    </row>
    <row r="692" spans="73:73" ht="15.75" customHeight="1">
      <c r="BU692" s="35"/>
    </row>
    <row r="693" spans="73:73" ht="15.75" customHeight="1">
      <c r="BU693" s="35"/>
    </row>
    <row r="694" spans="73:73" ht="15.75" customHeight="1">
      <c r="BU694" s="35"/>
    </row>
    <row r="695" spans="73:73" ht="15.75" customHeight="1">
      <c r="BU695" s="35"/>
    </row>
    <row r="696" spans="73:73" ht="15.75" customHeight="1">
      <c r="BU696" s="35"/>
    </row>
    <row r="697" spans="73:73" ht="15.75" customHeight="1">
      <c r="BU697" s="35"/>
    </row>
    <row r="698" spans="73:73" ht="15.75" customHeight="1">
      <c r="BU698" s="35"/>
    </row>
    <row r="699" spans="73:73" ht="15.75" customHeight="1">
      <c r="BU699" s="35"/>
    </row>
    <row r="700" spans="73:73" ht="15.75" customHeight="1">
      <c r="BU700" s="35"/>
    </row>
    <row r="701" spans="73:73" ht="15.75" customHeight="1">
      <c r="BU701" s="35"/>
    </row>
    <row r="702" spans="73:73" ht="15.75" customHeight="1">
      <c r="BU702" s="35"/>
    </row>
    <row r="703" spans="73:73" ht="15.75" customHeight="1">
      <c r="BU703" s="35"/>
    </row>
    <row r="704" spans="73:73" ht="15.75" customHeight="1">
      <c r="BU704" s="35"/>
    </row>
    <row r="705" spans="73:73" ht="15.75" customHeight="1">
      <c r="BU705" s="35"/>
    </row>
    <row r="706" spans="73:73" ht="15.75" customHeight="1">
      <c r="BU706" s="35"/>
    </row>
    <row r="707" spans="73:73" ht="15.75" customHeight="1">
      <c r="BU707" s="35"/>
    </row>
    <row r="708" spans="73:73" ht="15.75" customHeight="1">
      <c r="BU708" s="35"/>
    </row>
    <row r="709" spans="73:73" ht="15.75" customHeight="1">
      <c r="BU709" s="35"/>
    </row>
    <row r="710" spans="73:73" ht="15.75" customHeight="1">
      <c r="BU710" s="35"/>
    </row>
    <row r="711" spans="73:73" ht="15.75" customHeight="1">
      <c r="BU711" s="35"/>
    </row>
    <row r="712" spans="73:73" ht="15.75" customHeight="1">
      <c r="BU712" s="35"/>
    </row>
    <row r="713" spans="73:73" ht="15.75" customHeight="1">
      <c r="BU713" s="35"/>
    </row>
    <row r="714" spans="73:73" ht="15.75" customHeight="1">
      <c r="BU714" s="35"/>
    </row>
    <row r="715" spans="73:73" ht="15.75" customHeight="1">
      <c r="BU715" s="35"/>
    </row>
    <row r="716" spans="73:73" ht="15.75" customHeight="1">
      <c r="BU716" s="35"/>
    </row>
    <row r="717" spans="73:73" ht="15.75" customHeight="1">
      <c r="BU717" s="35"/>
    </row>
    <row r="718" spans="73:73" ht="15.75" customHeight="1">
      <c r="BU718" s="35"/>
    </row>
    <row r="719" spans="73:73" ht="15.75" customHeight="1">
      <c r="BU719" s="35"/>
    </row>
    <row r="720" spans="73:73" ht="15.75" customHeight="1">
      <c r="BU720" s="35"/>
    </row>
    <row r="721" spans="73:73" ht="15.75" customHeight="1">
      <c r="BU721" s="35"/>
    </row>
    <row r="722" spans="73:73" ht="15.75" customHeight="1">
      <c r="BU722" s="35"/>
    </row>
    <row r="723" spans="73:73" ht="15.75" customHeight="1">
      <c r="BU723" s="35"/>
    </row>
    <row r="724" spans="73:73" ht="15.75" customHeight="1">
      <c r="BU724" s="35"/>
    </row>
    <row r="725" spans="73:73" ht="15.75" customHeight="1">
      <c r="BU725" s="35"/>
    </row>
    <row r="726" spans="73:73" ht="15.75" customHeight="1">
      <c r="BU726" s="35"/>
    </row>
    <row r="727" spans="73:73" ht="15.75" customHeight="1">
      <c r="BU727" s="35"/>
    </row>
    <row r="728" spans="73:73" ht="15.75" customHeight="1">
      <c r="BU728" s="35"/>
    </row>
    <row r="729" spans="73:73" ht="15.75" customHeight="1">
      <c r="BU729" s="35"/>
    </row>
    <row r="730" spans="73:73" ht="15.75" customHeight="1">
      <c r="BU730" s="35"/>
    </row>
    <row r="731" spans="73:73" ht="15.75" customHeight="1">
      <c r="BU731" s="35"/>
    </row>
    <row r="732" spans="73:73" ht="15.75" customHeight="1">
      <c r="BU732" s="35"/>
    </row>
    <row r="733" spans="73:73" ht="15.75" customHeight="1">
      <c r="BU733" s="35"/>
    </row>
    <row r="734" spans="73:73" ht="15.75" customHeight="1">
      <c r="BU734" s="35"/>
    </row>
    <row r="735" spans="73:73" ht="15.75" customHeight="1">
      <c r="BU735" s="35"/>
    </row>
    <row r="736" spans="73:73" ht="15.75" customHeight="1">
      <c r="BU736" s="35"/>
    </row>
    <row r="737" spans="73:73" ht="15.75" customHeight="1">
      <c r="BU737" s="35"/>
    </row>
    <row r="738" spans="73:73" ht="15.75" customHeight="1">
      <c r="BU738" s="35"/>
    </row>
    <row r="739" spans="73:73" ht="15.75" customHeight="1">
      <c r="BU739" s="35"/>
    </row>
    <row r="740" spans="73:73" ht="15.75" customHeight="1">
      <c r="BU740" s="35"/>
    </row>
    <row r="741" spans="73:73" ht="15.75" customHeight="1">
      <c r="BU741" s="35"/>
    </row>
    <row r="742" spans="73:73" ht="15.75" customHeight="1">
      <c r="BU742" s="35"/>
    </row>
    <row r="743" spans="73:73" ht="15.75" customHeight="1">
      <c r="BU743" s="35"/>
    </row>
    <row r="744" spans="73:73" ht="15.75" customHeight="1">
      <c r="BU744" s="35"/>
    </row>
    <row r="745" spans="73:73" ht="15.75" customHeight="1">
      <c r="BU745" s="35"/>
    </row>
    <row r="746" spans="73:73" ht="15.75" customHeight="1">
      <c r="BU746" s="35"/>
    </row>
    <row r="747" spans="73:73" ht="15.75" customHeight="1">
      <c r="BU747" s="35"/>
    </row>
    <row r="748" spans="73:73" ht="15.75" customHeight="1">
      <c r="BU748" s="35"/>
    </row>
    <row r="749" spans="73:73" ht="15.75" customHeight="1">
      <c r="BU749" s="35"/>
    </row>
    <row r="750" spans="73:73" ht="15.75" customHeight="1">
      <c r="BU750" s="35"/>
    </row>
    <row r="751" spans="73:73" ht="15.75" customHeight="1">
      <c r="BU751" s="35"/>
    </row>
    <row r="752" spans="73:73" ht="15.75" customHeight="1">
      <c r="BU752" s="35"/>
    </row>
    <row r="753" spans="73:73" ht="15.75" customHeight="1">
      <c r="BU753" s="35"/>
    </row>
    <row r="754" spans="73:73" ht="15.75" customHeight="1">
      <c r="BU754" s="35"/>
    </row>
    <row r="755" spans="73:73" ht="15.75" customHeight="1">
      <c r="BU755" s="35"/>
    </row>
    <row r="756" spans="73:73" ht="15.75" customHeight="1">
      <c r="BU756" s="35"/>
    </row>
    <row r="757" spans="73:73" ht="15.75" customHeight="1">
      <c r="BU757" s="35"/>
    </row>
    <row r="758" spans="73:73" ht="15.75" customHeight="1">
      <c r="BU758" s="35"/>
    </row>
    <row r="759" spans="73:73" ht="15.75" customHeight="1">
      <c r="BU759" s="35"/>
    </row>
    <row r="760" spans="73:73" ht="15.75" customHeight="1">
      <c r="BU760" s="35"/>
    </row>
    <row r="761" spans="73:73" ht="15.75" customHeight="1">
      <c r="BU761" s="35"/>
    </row>
    <row r="762" spans="73:73" ht="15.75" customHeight="1">
      <c r="BU762" s="35"/>
    </row>
    <row r="763" spans="73:73" ht="15.75" customHeight="1">
      <c r="BU763" s="35"/>
    </row>
    <row r="764" spans="73:73" ht="15.75" customHeight="1">
      <c r="BU764" s="35"/>
    </row>
    <row r="765" spans="73:73" ht="15.75" customHeight="1">
      <c r="BU765" s="35"/>
    </row>
    <row r="766" spans="73:73" ht="15.75" customHeight="1">
      <c r="BU766" s="35"/>
    </row>
    <row r="767" spans="73:73" ht="15.75" customHeight="1">
      <c r="BU767" s="35"/>
    </row>
    <row r="768" spans="73:73" ht="15.75" customHeight="1">
      <c r="BU768" s="35"/>
    </row>
    <row r="769" spans="73:73" ht="15.75" customHeight="1">
      <c r="BU769" s="35"/>
    </row>
    <row r="770" spans="73:73" ht="15.75" customHeight="1">
      <c r="BU770" s="35"/>
    </row>
    <row r="771" spans="73:73" ht="15.75" customHeight="1">
      <c r="BU771" s="35"/>
    </row>
    <row r="772" spans="73:73" ht="15.75" customHeight="1">
      <c r="BU772" s="35"/>
    </row>
    <row r="773" spans="73:73" ht="15.75" customHeight="1">
      <c r="BU773" s="35"/>
    </row>
    <row r="774" spans="73:73" ht="15.75" customHeight="1">
      <c r="BU774" s="35"/>
    </row>
    <row r="775" spans="73:73" ht="15.75" customHeight="1">
      <c r="BU775" s="35"/>
    </row>
    <row r="776" spans="73:73" ht="15.75" customHeight="1">
      <c r="BU776" s="35"/>
    </row>
    <row r="777" spans="73:73" ht="15.75" customHeight="1">
      <c r="BU777" s="35"/>
    </row>
    <row r="778" spans="73:73" ht="15.75" customHeight="1">
      <c r="BU778" s="35"/>
    </row>
    <row r="779" spans="73:73" ht="15.75" customHeight="1">
      <c r="BU779" s="35"/>
    </row>
    <row r="780" spans="73:73" ht="15.75" customHeight="1">
      <c r="BU780" s="35"/>
    </row>
    <row r="781" spans="73:73" ht="15.75" customHeight="1">
      <c r="BU781" s="35"/>
    </row>
    <row r="782" spans="73:73" ht="15.75" customHeight="1">
      <c r="BU782" s="35"/>
    </row>
    <row r="783" spans="73:73" ht="15.75" customHeight="1">
      <c r="BU783" s="35"/>
    </row>
    <row r="784" spans="73:73" ht="15.75" customHeight="1">
      <c r="BU784" s="35"/>
    </row>
    <row r="785" spans="73:73" ht="15.75" customHeight="1">
      <c r="BU785" s="35"/>
    </row>
    <row r="786" spans="73:73" ht="15.75" customHeight="1">
      <c r="BU786" s="35"/>
    </row>
    <row r="787" spans="73:73" ht="15.75" customHeight="1">
      <c r="BU787" s="35"/>
    </row>
    <row r="788" spans="73:73" ht="15.75" customHeight="1">
      <c r="BU788" s="35"/>
    </row>
    <row r="789" spans="73:73" ht="15.75" customHeight="1">
      <c r="BU789" s="35"/>
    </row>
    <row r="790" spans="73:73" ht="15.75" customHeight="1">
      <c r="BU790" s="35"/>
    </row>
    <row r="791" spans="73:73" ht="15.75" customHeight="1">
      <c r="BU791" s="35"/>
    </row>
    <row r="792" spans="73:73" ht="15.75" customHeight="1">
      <c r="BU792" s="35"/>
    </row>
    <row r="793" spans="73:73" ht="15.75" customHeight="1">
      <c r="BU793" s="35"/>
    </row>
    <row r="794" spans="73:73" ht="15.75" customHeight="1">
      <c r="BU794" s="35"/>
    </row>
    <row r="795" spans="73:73" ht="15.75" customHeight="1">
      <c r="BU795" s="35"/>
    </row>
    <row r="796" spans="73:73" ht="15.75" customHeight="1">
      <c r="BU796" s="35"/>
    </row>
    <row r="797" spans="73:73" ht="15.75" customHeight="1">
      <c r="BU797" s="35"/>
    </row>
    <row r="798" spans="73:73" ht="15.75" customHeight="1">
      <c r="BU798" s="35"/>
    </row>
    <row r="799" spans="73:73" ht="15.75" customHeight="1">
      <c r="BU799" s="35"/>
    </row>
    <row r="800" spans="73:73" ht="15.75" customHeight="1">
      <c r="BU800" s="35"/>
    </row>
    <row r="801" spans="73:73" ht="15.75" customHeight="1">
      <c r="BU801" s="35"/>
    </row>
    <row r="802" spans="73:73" ht="15.75" customHeight="1">
      <c r="BU802" s="35"/>
    </row>
    <row r="803" spans="73:73" ht="15.75" customHeight="1">
      <c r="BU803" s="35"/>
    </row>
    <row r="804" spans="73:73" ht="15.75" customHeight="1">
      <c r="BU804" s="35"/>
    </row>
    <row r="805" spans="73:73" ht="15.75" customHeight="1">
      <c r="BU805" s="35"/>
    </row>
    <row r="806" spans="73:73" ht="15.75" customHeight="1">
      <c r="BU806" s="35"/>
    </row>
    <row r="807" spans="73:73" ht="15.75" customHeight="1">
      <c r="BU807" s="35"/>
    </row>
    <row r="808" spans="73:73" ht="15.75" customHeight="1">
      <c r="BU808" s="35"/>
    </row>
    <row r="809" spans="73:73" ht="15.75" customHeight="1">
      <c r="BU809" s="35"/>
    </row>
    <row r="810" spans="73:73" ht="15.75" customHeight="1">
      <c r="BU810" s="35"/>
    </row>
    <row r="811" spans="73:73" ht="15.75" customHeight="1">
      <c r="BU811" s="35"/>
    </row>
    <row r="812" spans="73:73" ht="15.75" customHeight="1">
      <c r="BU812" s="35"/>
    </row>
    <row r="813" spans="73:73" ht="15.75" customHeight="1">
      <c r="BU813" s="35"/>
    </row>
    <row r="814" spans="73:73" ht="15.75" customHeight="1">
      <c r="BU814" s="35"/>
    </row>
    <row r="815" spans="73:73" ht="15.75" customHeight="1">
      <c r="BU815" s="35"/>
    </row>
    <row r="816" spans="73:73" ht="15.75" customHeight="1">
      <c r="BU816" s="35"/>
    </row>
    <row r="817" spans="73:73" ht="15.75" customHeight="1">
      <c r="BU817" s="35"/>
    </row>
    <row r="818" spans="73:73" ht="15.75" customHeight="1">
      <c r="BU818" s="35"/>
    </row>
    <row r="819" spans="73:73" ht="15.75" customHeight="1">
      <c r="BU819" s="35"/>
    </row>
    <row r="820" spans="73:73" ht="15.75" customHeight="1">
      <c r="BU820" s="35"/>
    </row>
    <row r="821" spans="73:73" ht="15.75" customHeight="1">
      <c r="BU821" s="35"/>
    </row>
    <row r="822" spans="73:73" ht="15.75" customHeight="1">
      <c r="BU822" s="35"/>
    </row>
    <row r="823" spans="73:73" ht="15.75" customHeight="1">
      <c r="BU823" s="35"/>
    </row>
    <row r="824" spans="73:73" ht="15.75" customHeight="1">
      <c r="BU824" s="35"/>
    </row>
    <row r="825" spans="73:73" ht="15.75" customHeight="1">
      <c r="BU825" s="35"/>
    </row>
    <row r="826" spans="73:73" ht="15.75" customHeight="1">
      <c r="BU826" s="35"/>
    </row>
    <row r="827" spans="73:73" ht="15.75" customHeight="1">
      <c r="BU827" s="35"/>
    </row>
    <row r="828" spans="73:73" ht="15.75" customHeight="1">
      <c r="BU828" s="35"/>
    </row>
    <row r="829" spans="73:73" ht="15.75" customHeight="1">
      <c r="BU829" s="35"/>
    </row>
    <row r="830" spans="73:73" ht="15.75" customHeight="1">
      <c r="BU830" s="35"/>
    </row>
    <row r="831" spans="73:73" ht="15.75" customHeight="1">
      <c r="BU831" s="35"/>
    </row>
    <row r="832" spans="73:73" ht="15.75" customHeight="1">
      <c r="BU832" s="35"/>
    </row>
    <row r="833" spans="73:73" ht="15.75" customHeight="1">
      <c r="BU833" s="35"/>
    </row>
    <row r="834" spans="73:73" ht="15.75" customHeight="1">
      <c r="BU834" s="35"/>
    </row>
    <row r="835" spans="73:73" ht="15.75" customHeight="1">
      <c r="BU835" s="35"/>
    </row>
    <row r="836" spans="73:73" ht="15.75" customHeight="1">
      <c r="BU836" s="35"/>
    </row>
    <row r="837" spans="73:73" ht="15.75" customHeight="1">
      <c r="BU837" s="35"/>
    </row>
    <row r="838" spans="73:73" ht="15.75" customHeight="1">
      <c r="BU838" s="35"/>
    </row>
    <row r="839" spans="73:73" ht="15.75" customHeight="1">
      <c r="BU839" s="35"/>
    </row>
    <row r="840" spans="73:73" ht="15.75" customHeight="1">
      <c r="BU840" s="35"/>
    </row>
    <row r="841" spans="73:73" ht="15.75" customHeight="1">
      <c r="BU841" s="35"/>
    </row>
    <row r="842" spans="73:73" ht="15.75" customHeight="1">
      <c r="BU842" s="35"/>
    </row>
    <row r="843" spans="73:73" ht="15.75" customHeight="1">
      <c r="BU843" s="35"/>
    </row>
    <row r="844" spans="73:73" ht="15.75" customHeight="1">
      <c r="BU844" s="35"/>
    </row>
    <row r="845" spans="73:73" ht="15.75" customHeight="1">
      <c r="BU845" s="35"/>
    </row>
    <row r="846" spans="73:73" ht="15.75" customHeight="1">
      <c r="BU846" s="35"/>
    </row>
    <row r="847" spans="73:73" ht="15.75" customHeight="1">
      <c r="BU847" s="35"/>
    </row>
    <row r="848" spans="73:73" ht="15.75" customHeight="1">
      <c r="BU848" s="35"/>
    </row>
    <row r="849" spans="73:73" ht="15.75" customHeight="1">
      <c r="BU849" s="35"/>
    </row>
    <row r="850" spans="73:73" ht="15.75" customHeight="1">
      <c r="BU850" s="35"/>
    </row>
    <row r="851" spans="73:73" ht="15.75" customHeight="1">
      <c r="BU851" s="35"/>
    </row>
    <row r="852" spans="73:73" ht="15.75" customHeight="1">
      <c r="BU852" s="35"/>
    </row>
    <row r="853" spans="73:73" ht="15.75" customHeight="1">
      <c r="BU853" s="35"/>
    </row>
    <row r="854" spans="73:73" ht="15.75" customHeight="1">
      <c r="BU854" s="35"/>
    </row>
    <row r="855" spans="73:73" ht="15.75" customHeight="1">
      <c r="BU855" s="35"/>
    </row>
    <row r="856" spans="73:73" ht="15.75" customHeight="1">
      <c r="BU856" s="35"/>
    </row>
    <row r="857" spans="73:73" ht="15.75" customHeight="1">
      <c r="BU857" s="35"/>
    </row>
    <row r="858" spans="73:73" ht="15.75" customHeight="1">
      <c r="BU858" s="35"/>
    </row>
    <row r="859" spans="73:73" ht="15.75" customHeight="1">
      <c r="BU859" s="35"/>
    </row>
    <row r="860" spans="73:73" ht="15.75" customHeight="1">
      <c r="BU860" s="35"/>
    </row>
    <row r="861" spans="73:73" ht="15.75" customHeight="1">
      <c r="BU861" s="35"/>
    </row>
    <row r="862" spans="73:73" ht="15.75" customHeight="1">
      <c r="BU862" s="35"/>
    </row>
    <row r="863" spans="73:73" ht="15.75" customHeight="1">
      <c r="BU863" s="35"/>
    </row>
    <row r="864" spans="73:73" ht="15.75" customHeight="1">
      <c r="BU864" s="35"/>
    </row>
    <row r="865" spans="73:73" ht="15.75" customHeight="1">
      <c r="BU865" s="35"/>
    </row>
    <row r="866" spans="73:73" ht="15.75" customHeight="1">
      <c r="BU866" s="35"/>
    </row>
    <row r="867" spans="73:73" ht="15.75" customHeight="1">
      <c r="BU867" s="35"/>
    </row>
    <row r="868" spans="73:73" ht="15.75" customHeight="1">
      <c r="BU868" s="35"/>
    </row>
    <row r="869" spans="73:73" ht="15.75" customHeight="1">
      <c r="BU869" s="35"/>
    </row>
    <row r="870" spans="73:73" ht="15.75" customHeight="1">
      <c r="BU870" s="35"/>
    </row>
    <row r="871" spans="73:73" ht="15.75" customHeight="1">
      <c r="BU871" s="35"/>
    </row>
    <row r="872" spans="73:73" ht="15.75" customHeight="1">
      <c r="BU872" s="35"/>
    </row>
    <row r="873" spans="73:73" ht="15.75" customHeight="1">
      <c r="BU873" s="35"/>
    </row>
    <row r="874" spans="73:73" ht="15.75" customHeight="1">
      <c r="BU874" s="35"/>
    </row>
    <row r="875" spans="73:73" ht="15.75" customHeight="1">
      <c r="BU875" s="35"/>
    </row>
    <row r="876" spans="73:73" ht="15.75" customHeight="1">
      <c r="BU876" s="35"/>
    </row>
    <row r="877" spans="73:73" ht="15.75" customHeight="1">
      <c r="BU877" s="35"/>
    </row>
    <row r="878" spans="73:73" ht="15.75" customHeight="1">
      <c r="BU878" s="35"/>
    </row>
    <row r="879" spans="73:73" ht="15.75" customHeight="1">
      <c r="BU879" s="35"/>
    </row>
    <row r="880" spans="73:73" ht="15.75" customHeight="1">
      <c r="BU880" s="35"/>
    </row>
    <row r="881" spans="73:73" ht="15.75" customHeight="1">
      <c r="BU881" s="35"/>
    </row>
    <row r="882" spans="73:73" ht="15.75" customHeight="1">
      <c r="BU882" s="35"/>
    </row>
    <row r="883" spans="73:73" ht="15.75" customHeight="1">
      <c r="BU883" s="35"/>
    </row>
    <row r="884" spans="73:73" ht="15.75" customHeight="1">
      <c r="BU884" s="35"/>
    </row>
    <row r="885" spans="73:73" ht="15.75" customHeight="1">
      <c r="BU885" s="35"/>
    </row>
    <row r="886" spans="73:73" ht="15.75" customHeight="1">
      <c r="BU886" s="35"/>
    </row>
    <row r="887" spans="73:73" ht="15.75" customHeight="1">
      <c r="BU887" s="35"/>
    </row>
    <row r="888" spans="73:73" ht="15.75" customHeight="1">
      <c r="BU888" s="35"/>
    </row>
    <row r="889" spans="73:73" ht="15.75" customHeight="1">
      <c r="BU889" s="35"/>
    </row>
    <row r="890" spans="73:73" ht="15.75" customHeight="1">
      <c r="BU890" s="35"/>
    </row>
    <row r="891" spans="73:73" ht="15.75" customHeight="1">
      <c r="BU891" s="35"/>
    </row>
    <row r="892" spans="73:73" ht="15.75" customHeight="1">
      <c r="BU892" s="35"/>
    </row>
    <row r="893" spans="73:73" ht="15.75" customHeight="1">
      <c r="BU893" s="35"/>
    </row>
    <row r="894" spans="73:73" ht="15.75" customHeight="1">
      <c r="BU894" s="35"/>
    </row>
    <row r="895" spans="73:73" ht="15.75" customHeight="1">
      <c r="BU895" s="35"/>
    </row>
    <row r="896" spans="73:73" ht="15.75" customHeight="1">
      <c r="BU896" s="35"/>
    </row>
    <row r="897" spans="73:73" ht="15.75" customHeight="1">
      <c r="BU897" s="35"/>
    </row>
    <row r="898" spans="73:73" ht="15.75" customHeight="1">
      <c r="BU898" s="35"/>
    </row>
    <row r="899" spans="73:73" ht="15.75" customHeight="1">
      <c r="BU899" s="35"/>
    </row>
    <row r="900" spans="73:73" ht="15.75" customHeight="1">
      <c r="BU900" s="35"/>
    </row>
    <row r="901" spans="73:73" ht="15.75" customHeight="1">
      <c r="BU901" s="35"/>
    </row>
    <row r="902" spans="73:73" ht="15.75" customHeight="1">
      <c r="BU902" s="35"/>
    </row>
    <row r="903" spans="73:73" ht="15.75" customHeight="1">
      <c r="BU903" s="35"/>
    </row>
    <row r="904" spans="73:73" ht="15.75" customHeight="1">
      <c r="BU904" s="35"/>
    </row>
    <row r="905" spans="73:73" ht="15.75" customHeight="1">
      <c r="BU905" s="35"/>
    </row>
    <row r="906" spans="73:73" ht="15.75" customHeight="1">
      <c r="BU906" s="35"/>
    </row>
    <row r="907" spans="73:73" ht="15.75" customHeight="1">
      <c r="BU907" s="35"/>
    </row>
    <row r="908" spans="73:73" ht="15.75" customHeight="1">
      <c r="BU908" s="35"/>
    </row>
    <row r="909" spans="73:73" ht="15.75" customHeight="1">
      <c r="BU909" s="35"/>
    </row>
    <row r="910" spans="73:73" ht="15.75" customHeight="1">
      <c r="BU910" s="35"/>
    </row>
    <row r="911" spans="73:73" ht="15.75" customHeight="1">
      <c r="BU911" s="35"/>
    </row>
    <row r="912" spans="73:73" ht="15.75" customHeight="1">
      <c r="BU912" s="35"/>
    </row>
    <row r="913" spans="73:73" ht="15.75" customHeight="1">
      <c r="BU913" s="35"/>
    </row>
    <row r="914" spans="73:73" ht="15.75" customHeight="1">
      <c r="BU914" s="35"/>
    </row>
    <row r="915" spans="73:73" ht="15.75" customHeight="1">
      <c r="BU915" s="35"/>
    </row>
    <row r="916" spans="73:73" ht="15.75" customHeight="1">
      <c r="BU916" s="35"/>
    </row>
    <row r="917" spans="73:73" ht="15.75" customHeight="1">
      <c r="BU917" s="35"/>
    </row>
    <row r="918" spans="73:73" ht="15.75" customHeight="1">
      <c r="BU918" s="35"/>
    </row>
    <row r="919" spans="73:73" ht="15.75" customHeight="1">
      <c r="BU919" s="35"/>
    </row>
    <row r="920" spans="73:73" ht="15.75" customHeight="1">
      <c r="BU920" s="35"/>
    </row>
    <row r="921" spans="73:73" ht="15.75" customHeight="1">
      <c r="BU921" s="35"/>
    </row>
    <row r="922" spans="73:73" ht="15.75" customHeight="1">
      <c r="BU922" s="35"/>
    </row>
    <row r="923" spans="73:73" ht="15.75" customHeight="1">
      <c r="BU923" s="35"/>
    </row>
    <row r="924" spans="73:73" ht="15.75" customHeight="1">
      <c r="BU924" s="35"/>
    </row>
    <row r="925" spans="73:73" ht="15.75" customHeight="1">
      <c r="BU925" s="35"/>
    </row>
    <row r="926" spans="73:73" ht="15.75" customHeight="1">
      <c r="BU926" s="35"/>
    </row>
    <row r="927" spans="73:73" ht="15.75" customHeight="1">
      <c r="BU927" s="35"/>
    </row>
    <row r="928" spans="73:73" ht="15.75" customHeight="1">
      <c r="BU928" s="35"/>
    </row>
    <row r="929" spans="73:73" ht="15.75" customHeight="1">
      <c r="BU929" s="35"/>
    </row>
    <row r="930" spans="73:73" ht="15.75" customHeight="1">
      <c r="BU930" s="35"/>
    </row>
    <row r="931" spans="73:73" ht="15.75" customHeight="1">
      <c r="BU931" s="35"/>
    </row>
    <row r="932" spans="73:73" ht="15.75" customHeight="1">
      <c r="BU932" s="35"/>
    </row>
    <row r="933" spans="73:73" ht="15.75" customHeight="1">
      <c r="BU933" s="35"/>
    </row>
    <row r="934" spans="73:73" ht="15.75" customHeight="1">
      <c r="BU934" s="35"/>
    </row>
    <row r="935" spans="73:73" ht="15.75" customHeight="1">
      <c r="BU935" s="35"/>
    </row>
    <row r="936" spans="73:73" ht="15.75" customHeight="1">
      <c r="BU936" s="35"/>
    </row>
    <row r="937" spans="73:73" ht="15.75" customHeight="1">
      <c r="BU937" s="35"/>
    </row>
    <row r="938" spans="73:73" ht="15.75" customHeight="1">
      <c r="BU938" s="35"/>
    </row>
    <row r="939" spans="73:73" ht="15.75" customHeight="1">
      <c r="BU939" s="35"/>
    </row>
    <row r="940" spans="73:73" ht="15.75" customHeight="1">
      <c r="BU940" s="35"/>
    </row>
    <row r="941" spans="73:73" ht="15.75" customHeight="1">
      <c r="BU941" s="35"/>
    </row>
    <row r="942" spans="73:73" ht="15.75" customHeight="1">
      <c r="BU942" s="35"/>
    </row>
    <row r="943" spans="73:73" ht="15.75" customHeight="1">
      <c r="BU943" s="35"/>
    </row>
    <row r="944" spans="73:73" ht="15.75" customHeight="1">
      <c r="BU944" s="35"/>
    </row>
    <row r="945" spans="73:73" ht="15.75" customHeight="1">
      <c r="BU945" s="35"/>
    </row>
    <row r="946" spans="73:73" ht="15.75" customHeight="1">
      <c r="BU946" s="35"/>
    </row>
    <row r="947" spans="73:73" ht="15.75" customHeight="1">
      <c r="BU947" s="35"/>
    </row>
    <row r="948" spans="73:73" ht="15.75" customHeight="1">
      <c r="BU948" s="35"/>
    </row>
    <row r="949" spans="73:73" ht="15.75" customHeight="1">
      <c r="BU949" s="35"/>
    </row>
    <row r="950" spans="73:73" ht="15.75" customHeight="1">
      <c r="BU950" s="35"/>
    </row>
    <row r="951" spans="73:73" ht="15.75" customHeight="1">
      <c r="BU951" s="35"/>
    </row>
    <row r="952" spans="73:73" ht="15.75" customHeight="1">
      <c r="BU952" s="35"/>
    </row>
    <row r="953" spans="73:73" ht="15.75" customHeight="1">
      <c r="BU953" s="35"/>
    </row>
    <row r="954" spans="73:73" ht="15.75" customHeight="1">
      <c r="BU954" s="35"/>
    </row>
    <row r="955" spans="73:73" ht="15.75" customHeight="1">
      <c r="BU955" s="35"/>
    </row>
    <row r="956" spans="73:73" ht="15.75" customHeight="1">
      <c r="BU956" s="35"/>
    </row>
    <row r="957" spans="73:73" ht="15.75" customHeight="1">
      <c r="BU957" s="35"/>
    </row>
    <row r="958" spans="73:73" ht="15.75" customHeight="1">
      <c r="BU958" s="35"/>
    </row>
    <row r="959" spans="73:73" ht="15.75" customHeight="1">
      <c r="BU959" s="35"/>
    </row>
    <row r="960" spans="73:73" ht="15.75" customHeight="1">
      <c r="BU960" s="35"/>
    </row>
    <row r="961" spans="73:73" ht="15.75" customHeight="1">
      <c r="BU961" s="35"/>
    </row>
    <row r="962" spans="73:73" ht="15.75" customHeight="1">
      <c r="BU962" s="35"/>
    </row>
    <row r="963" spans="73:73" ht="15.75" customHeight="1">
      <c r="BU963" s="35"/>
    </row>
    <row r="964" spans="73:73" ht="15.75" customHeight="1">
      <c r="BU964" s="35"/>
    </row>
    <row r="965" spans="73:73" ht="15.75" customHeight="1">
      <c r="BU965" s="35"/>
    </row>
    <row r="966" spans="73:73" ht="15.75" customHeight="1">
      <c r="BU966" s="35"/>
    </row>
    <row r="967" spans="73:73" ht="15.75" customHeight="1">
      <c r="BU967" s="35"/>
    </row>
    <row r="968" spans="73:73" ht="15.75" customHeight="1">
      <c r="BU968" s="35"/>
    </row>
    <row r="969" spans="73:73" ht="15.75" customHeight="1">
      <c r="BU969" s="35"/>
    </row>
    <row r="970" spans="73:73" ht="15.75" customHeight="1">
      <c r="BU970" s="35"/>
    </row>
    <row r="971" spans="73:73" ht="15.75" customHeight="1">
      <c r="BU971" s="35"/>
    </row>
    <row r="972" spans="73:73" ht="15.75" customHeight="1">
      <c r="BU972" s="35"/>
    </row>
    <row r="973" spans="73:73" ht="15.75" customHeight="1">
      <c r="BU973" s="35"/>
    </row>
    <row r="974" spans="73:73" ht="15.75" customHeight="1">
      <c r="BU974" s="35"/>
    </row>
    <row r="975" spans="73:73" ht="15.75" customHeight="1">
      <c r="BU975" s="35"/>
    </row>
    <row r="976" spans="73:73" ht="15.75" customHeight="1">
      <c r="BU976" s="35"/>
    </row>
    <row r="977" spans="73:73" ht="15.75" customHeight="1">
      <c r="BU977" s="35"/>
    </row>
    <row r="978" spans="73:73" ht="15.75" customHeight="1">
      <c r="BU978" s="35"/>
    </row>
    <row r="979" spans="73:73" ht="15.75" customHeight="1">
      <c r="BU979" s="35"/>
    </row>
    <row r="980" spans="73:73" ht="15.75" customHeight="1">
      <c r="BU980" s="35"/>
    </row>
    <row r="981" spans="73:73" ht="15.75" customHeight="1">
      <c r="BU981" s="35"/>
    </row>
    <row r="982" spans="73:73" ht="15.75" customHeight="1">
      <c r="BU982" s="35"/>
    </row>
    <row r="983" spans="73:73" ht="15.75" customHeight="1">
      <c r="BU983" s="35"/>
    </row>
    <row r="984" spans="73:73" ht="15.75" customHeight="1">
      <c r="BU984" s="35"/>
    </row>
    <row r="985" spans="73:73" ht="15.75" customHeight="1">
      <c r="BU985" s="35"/>
    </row>
    <row r="986" spans="73:73" ht="15.75" customHeight="1">
      <c r="BU986" s="35"/>
    </row>
    <row r="987" spans="73:73" ht="15.75" customHeight="1">
      <c r="BU987" s="35"/>
    </row>
    <row r="988" spans="73:73" ht="15.75" customHeight="1">
      <c r="BU988" s="35"/>
    </row>
    <row r="989" spans="73:73" ht="15.75" customHeight="1">
      <c r="BU989" s="35"/>
    </row>
  </sheetData>
  <mergeCells count="28">
    <mergeCell ref="BM5:BM6"/>
    <mergeCell ref="BN5:BN6"/>
    <mergeCell ref="BH5:BH6"/>
    <mergeCell ref="BI5:BI6"/>
    <mergeCell ref="BJ5:BJ6"/>
    <mergeCell ref="BK5:BK6"/>
    <mergeCell ref="BL5:BL6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A1:BF3"/>
    <mergeCell ref="BH1:BW1"/>
    <mergeCell ref="BH2:BW2"/>
    <mergeCell ref="BH3:BO3"/>
    <mergeCell ref="BP3:BW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990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4.5546875" customWidth="1"/>
    <col min="4" max="14" width="4.6640625" customWidth="1"/>
    <col min="15" max="26" width="4.33203125" customWidth="1"/>
    <col min="27" max="40" width="4" customWidth="1"/>
    <col min="41" max="50" width="4.44140625" customWidth="1"/>
    <col min="51" max="51" width="3.44140625" customWidth="1"/>
    <col min="52" max="53" width="0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3.33203125" customWidth="1"/>
    <col min="63" max="63" width="8" customWidth="1"/>
    <col min="64" max="64" width="8.109375" customWidth="1"/>
    <col min="65" max="65" width="9.109375" customWidth="1"/>
    <col min="66" max="66" width="14.33203125" customWidth="1"/>
    <col min="67" max="67" width="7" customWidth="1"/>
    <col min="68" max="68" width="7.6640625" customWidth="1"/>
    <col min="69" max="69" width="14.109375" customWidth="1"/>
    <col min="70" max="72" width="4" customWidth="1"/>
    <col min="73" max="73" width="11.88671875" customWidth="1"/>
    <col min="74" max="74" width="8.6640625" customWidth="1"/>
    <col min="75" max="75" width="9.88671875" customWidth="1"/>
  </cols>
  <sheetData>
    <row r="1" spans="1:75" ht="14.25" customHeight="1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95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9"/>
    </row>
    <row r="2" spans="1:75" ht="14.2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9"/>
    </row>
    <row r="3" spans="1:75" ht="22.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8"/>
      <c r="BO3" s="89"/>
      <c r="BP3" s="107" t="s">
        <v>98</v>
      </c>
      <c r="BQ3" s="88"/>
      <c r="BR3" s="88"/>
      <c r="BS3" s="88"/>
      <c r="BT3" s="88"/>
      <c r="BU3" s="88"/>
      <c r="BV3" s="88"/>
      <c r="BW3" s="89"/>
    </row>
    <row r="4" spans="1:75" ht="14.25" customHeight="1">
      <c r="A4" s="108" t="s">
        <v>131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132</v>
      </c>
      <c r="BI4" s="88"/>
      <c r="BJ4" s="88"/>
      <c r="BK4" s="88"/>
      <c r="BL4" s="88"/>
      <c r="BM4" s="88"/>
      <c r="BN4" s="88"/>
      <c r="BO4" s="89"/>
      <c r="BP4" s="107" t="s">
        <v>133</v>
      </c>
      <c r="BQ4" s="88"/>
      <c r="BR4" s="88"/>
      <c r="BS4" s="88"/>
      <c r="BT4" s="88"/>
      <c r="BU4" s="88"/>
      <c r="BV4" s="88"/>
      <c r="BW4" s="89"/>
    </row>
    <row r="5" spans="1:75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1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111</v>
      </c>
      <c r="BP5" s="112" t="s">
        <v>112</v>
      </c>
      <c r="BQ5" s="112" t="s">
        <v>113</v>
      </c>
      <c r="BR5" s="114" t="s">
        <v>114</v>
      </c>
      <c r="BS5" s="88"/>
      <c r="BT5" s="89"/>
      <c r="BU5" s="118" t="s">
        <v>115</v>
      </c>
      <c r="BV5" s="112" t="s">
        <v>120</v>
      </c>
      <c r="BW5" s="112" t="s">
        <v>116</v>
      </c>
    </row>
    <row r="6" spans="1:75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24">
        <v>1</v>
      </c>
      <c r="BS6" s="24">
        <v>2</v>
      </c>
      <c r="BT6" s="24">
        <v>3</v>
      </c>
      <c r="BU6" s="92"/>
      <c r="BV6" s="92"/>
      <c r="BW6" s="92"/>
    </row>
    <row r="7" spans="1:75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f t="shared" ref="BB7:BB76" si="0">COUNTIF(D7:BA7,"P")</f>
        <v>0</v>
      </c>
      <c r="BC7" s="9"/>
      <c r="BD7" s="69">
        <v>22</v>
      </c>
      <c r="BE7" s="9">
        <v>29</v>
      </c>
      <c r="BF7" s="25">
        <f t="shared" ref="BF7:BF76" si="1">(BD7/BE7)*100</f>
        <v>75.862068965517238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9">
        <v>18</v>
      </c>
      <c r="BL7" s="9">
        <f t="shared" ref="BL7:BL76" si="2">BE7</f>
        <v>29</v>
      </c>
      <c r="BM7" s="2">
        <f t="shared" ref="BM7:BM76" si="3">(BK7/BL7)*100</f>
        <v>62.068965517241381</v>
      </c>
      <c r="BN7" s="9" t="str">
        <f t="shared" ref="BN7:BN76" si="4">IF(BM7&gt;=95.5,"6",IF(BM7&gt;=90.5,"5", IF(BM7&gt;=85.5,"4",IF(BM7&gt;=80.5,"3",IF(BM7&gt;=75.5,"2","0")))))</f>
        <v>0</v>
      </c>
      <c r="BO7" s="9">
        <v>22</v>
      </c>
      <c r="BP7" s="70">
        <v>13.5</v>
      </c>
      <c r="BQ7" s="25">
        <f t="shared" ref="BQ7:BQ76" si="5">(BO7+BP7)/2</f>
        <v>17.75</v>
      </c>
      <c r="BR7" s="9">
        <v>7</v>
      </c>
      <c r="BS7" s="9">
        <v>8</v>
      </c>
      <c r="BT7" s="9">
        <v>0</v>
      </c>
      <c r="BU7" s="27">
        <f t="shared" ref="BU7:BU76" si="6">(BR7+BS7+BT7)/3</f>
        <v>5</v>
      </c>
      <c r="BV7" s="9">
        <v>5</v>
      </c>
      <c r="BW7" s="2">
        <f t="shared" ref="BW7:BW76" si="7">BV7+BU7+BQ7+BN7</f>
        <v>27.75</v>
      </c>
    </row>
    <row r="8" spans="1:75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>
        <f t="shared" si="0"/>
        <v>0</v>
      </c>
      <c r="BC8" s="9"/>
      <c r="BD8" s="69">
        <v>20</v>
      </c>
      <c r="BE8" s="9">
        <v>29</v>
      </c>
      <c r="BF8" s="25">
        <f t="shared" si="1"/>
        <v>68.965517241379317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2">
        <f t="shared" ref="BK8:BK76" si="8">BD8+BC8</f>
        <v>20</v>
      </c>
      <c r="BL8" s="9">
        <f t="shared" si="2"/>
        <v>29</v>
      </c>
      <c r="BM8" s="2">
        <f t="shared" si="3"/>
        <v>68.965517241379317</v>
      </c>
      <c r="BN8" s="9" t="str">
        <f t="shared" si="4"/>
        <v>0</v>
      </c>
      <c r="BO8" s="9">
        <v>15</v>
      </c>
      <c r="BP8" s="70">
        <v>2.5</v>
      </c>
      <c r="BQ8" s="25">
        <f t="shared" si="5"/>
        <v>8.75</v>
      </c>
      <c r="BR8" s="9">
        <v>8</v>
      </c>
      <c r="BS8" s="9">
        <v>7.5</v>
      </c>
      <c r="BT8" s="9">
        <v>8</v>
      </c>
      <c r="BU8" s="27">
        <f t="shared" si="6"/>
        <v>7.833333333333333</v>
      </c>
      <c r="BV8" s="9"/>
      <c r="BW8" s="2">
        <f t="shared" si="7"/>
        <v>16.583333333333332</v>
      </c>
    </row>
    <row r="9" spans="1:75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>
        <f t="shared" si="0"/>
        <v>0</v>
      </c>
      <c r="BC9" s="9"/>
      <c r="BD9" s="69">
        <v>22</v>
      </c>
      <c r="BE9" s="9">
        <v>29</v>
      </c>
      <c r="BF9" s="25">
        <f t="shared" si="1"/>
        <v>75.862068965517238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2">
        <f t="shared" si="8"/>
        <v>22</v>
      </c>
      <c r="BL9" s="9">
        <f t="shared" si="2"/>
        <v>29</v>
      </c>
      <c r="BM9" s="2">
        <f t="shared" si="3"/>
        <v>75.862068965517238</v>
      </c>
      <c r="BN9" s="9" t="str">
        <f t="shared" si="4"/>
        <v>2</v>
      </c>
      <c r="BO9" s="9">
        <v>17</v>
      </c>
      <c r="BP9" s="70">
        <v>9.5</v>
      </c>
      <c r="BQ9" s="25">
        <f t="shared" si="5"/>
        <v>13.25</v>
      </c>
      <c r="BR9" s="9">
        <v>7.5</v>
      </c>
      <c r="BS9" s="9">
        <v>8</v>
      </c>
      <c r="BT9" s="9">
        <v>8</v>
      </c>
      <c r="BU9" s="27">
        <f t="shared" si="6"/>
        <v>7.833333333333333</v>
      </c>
      <c r="BV9" s="9"/>
      <c r="BW9" s="2">
        <f t="shared" si="7"/>
        <v>23.083333333333332</v>
      </c>
    </row>
    <row r="10" spans="1:75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>
        <f t="shared" si="0"/>
        <v>0</v>
      </c>
      <c r="BC10" s="9">
        <v>2</v>
      </c>
      <c r="BD10" s="69">
        <v>24</v>
      </c>
      <c r="BE10" s="9">
        <v>29</v>
      </c>
      <c r="BF10" s="25">
        <f t="shared" si="1"/>
        <v>82.758620689655174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2">
        <f t="shared" si="8"/>
        <v>26</v>
      </c>
      <c r="BL10" s="9">
        <f t="shared" si="2"/>
        <v>29</v>
      </c>
      <c r="BM10" s="2">
        <f t="shared" si="3"/>
        <v>89.65517241379311</v>
      </c>
      <c r="BN10" s="9" t="str">
        <f t="shared" si="4"/>
        <v>4</v>
      </c>
      <c r="BO10" s="9">
        <v>24</v>
      </c>
      <c r="BP10" s="70">
        <v>20</v>
      </c>
      <c r="BQ10" s="25">
        <f t="shared" si="5"/>
        <v>22</v>
      </c>
      <c r="BR10" s="9">
        <v>8</v>
      </c>
      <c r="BS10" s="9">
        <v>8</v>
      </c>
      <c r="BT10" s="9">
        <v>7</v>
      </c>
      <c r="BU10" s="27">
        <f t="shared" si="6"/>
        <v>7.666666666666667</v>
      </c>
      <c r="BV10" s="9"/>
      <c r="BW10" s="2">
        <f t="shared" si="7"/>
        <v>33.666666666666671</v>
      </c>
    </row>
    <row r="11" spans="1:75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f t="shared" si="0"/>
        <v>0</v>
      </c>
      <c r="BC11" s="9"/>
      <c r="BD11" s="69">
        <v>22</v>
      </c>
      <c r="BE11" s="9">
        <v>29</v>
      </c>
      <c r="BF11" s="25">
        <f t="shared" si="1"/>
        <v>75.862068965517238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2">
        <f t="shared" si="8"/>
        <v>22</v>
      </c>
      <c r="BL11" s="9">
        <f t="shared" si="2"/>
        <v>29</v>
      </c>
      <c r="BM11" s="2">
        <f t="shared" si="3"/>
        <v>75.862068965517238</v>
      </c>
      <c r="BN11" s="9" t="str">
        <f t="shared" si="4"/>
        <v>2</v>
      </c>
      <c r="BO11" s="9">
        <v>22</v>
      </c>
      <c r="BP11" s="70">
        <v>14.5</v>
      </c>
      <c r="BQ11" s="25">
        <f t="shared" si="5"/>
        <v>18.25</v>
      </c>
      <c r="BR11" s="9">
        <v>8</v>
      </c>
      <c r="BS11" s="9">
        <v>9</v>
      </c>
      <c r="BT11" s="9">
        <v>8</v>
      </c>
      <c r="BU11" s="27">
        <f t="shared" si="6"/>
        <v>8.3333333333333339</v>
      </c>
      <c r="BV11" s="9">
        <v>5</v>
      </c>
      <c r="BW11" s="2">
        <f t="shared" si="7"/>
        <v>33.583333333333336</v>
      </c>
    </row>
    <row r="12" spans="1:75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>
        <f t="shared" si="0"/>
        <v>0</v>
      </c>
      <c r="BC12" s="9"/>
      <c r="BD12" s="69">
        <v>25</v>
      </c>
      <c r="BE12" s="9">
        <v>29</v>
      </c>
      <c r="BF12" s="25">
        <f t="shared" si="1"/>
        <v>86.206896551724128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2">
        <f t="shared" si="8"/>
        <v>25</v>
      </c>
      <c r="BL12" s="9">
        <f t="shared" si="2"/>
        <v>29</v>
      </c>
      <c r="BM12" s="2">
        <f t="shared" si="3"/>
        <v>86.206896551724128</v>
      </c>
      <c r="BN12" s="9" t="str">
        <f t="shared" si="4"/>
        <v>4</v>
      </c>
      <c r="BO12" s="9">
        <v>22</v>
      </c>
      <c r="BP12" s="70">
        <v>12.5</v>
      </c>
      <c r="BQ12" s="25">
        <f t="shared" si="5"/>
        <v>17.25</v>
      </c>
      <c r="BR12" s="9">
        <v>7.5</v>
      </c>
      <c r="BS12" s="9">
        <v>7.5</v>
      </c>
      <c r="BT12" s="9">
        <v>7</v>
      </c>
      <c r="BU12" s="27">
        <f t="shared" si="6"/>
        <v>7.333333333333333</v>
      </c>
      <c r="BV12" s="9"/>
      <c r="BW12" s="2">
        <f t="shared" si="7"/>
        <v>28.583333333333332</v>
      </c>
    </row>
    <row r="13" spans="1:75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f t="shared" si="0"/>
        <v>0</v>
      </c>
      <c r="BC13" s="9">
        <v>3</v>
      </c>
      <c r="BD13" s="69">
        <v>19</v>
      </c>
      <c r="BE13" s="9">
        <v>29</v>
      </c>
      <c r="BF13" s="25">
        <f t="shared" si="1"/>
        <v>65.517241379310349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2">
        <f t="shared" si="8"/>
        <v>22</v>
      </c>
      <c r="BL13" s="9">
        <f t="shared" si="2"/>
        <v>29</v>
      </c>
      <c r="BM13" s="2">
        <f t="shared" si="3"/>
        <v>75.862068965517238</v>
      </c>
      <c r="BN13" s="9" t="str">
        <f t="shared" si="4"/>
        <v>2</v>
      </c>
      <c r="BO13" s="9">
        <v>22</v>
      </c>
      <c r="BP13" s="70">
        <v>11.5</v>
      </c>
      <c r="BQ13" s="25">
        <f t="shared" si="5"/>
        <v>16.75</v>
      </c>
      <c r="BR13" s="28">
        <v>0</v>
      </c>
      <c r="BS13" s="28">
        <v>0</v>
      </c>
      <c r="BT13" s="28">
        <v>0</v>
      </c>
      <c r="BU13" s="27">
        <f t="shared" si="6"/>
        <v>0</v>
      </c>
      <c r="BV13" s="9">
        <v>5</v>
      </c>
      <c r="BW13" s="2">
        <f t="shared" si="7"/>
        <v>23.75</v>
      </c>
    </row>
    <row r="14" spans="1:75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f t="shared" si="0"/>
        <v>0</v>
      </c>
      <c r="BC14" s="9">
        <v>8</v>
      </c>
      <c r="BD14" s="69">
        <v>5</v>
      </c>
      <c r="BE14" s="9">
        <v>29</v>
      </c>
      <c r="BF14" s="25">
        <f t="shared" si="1"/>
        <v>17.241379310344829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2">
        <f t="shared" si="8"/>
        <v>13</v>
      </c>
      <c r="BL14" s="9">
        <f t="shared" si="2"/>
        <v>29</v>
      </c>
      <c r="BM14" s="2">
        <f t="shared" si="3"/>
        <v>44.827586206896555</v>
      </c>
      <c r="BN14" s="9" t="str">
        <f t="shared" si="4"/>
        <v>0</v>
      </c>
      <c r="BO14" s="9">
        <v>4</v>
      </c>
      <c r="BP14" s="70">
        <v>9.5</v>
      </c>
      <c r="BQ14" s="25">
        <f t="shared" si="5"/>
        <v>6.75</v>
      </c>
      <c r="BR14" s="28">
        <v>0</v>
      </c>
      <c r="BS14" s="28">
        <v>0</v>
      </c>
      <c r="BT14" s="28">
        <v>0</v>
      </c>
      <c r="BU14" s="27">
        <f t="shared" si="6"/>
        <v>0</v>
      </c>
      <c r="BV14" s="9"/>
      <c r="BW14" s="2">
        <f t="shared" si="7"/>
        <v>6.75</v>
      </c>
    </row>
    <row r="15" spans="1:75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f t="shared" si="0"/>
        <v>0</v>
      </c>
      <c r="BC15" s="9"/>
      <c r="BD15" s="69">
        <v>23</v>
      </c>
      <c r="BE15" s="9">
        <v>29</v>
      </c>
      <c r="BF15" s="25">
        <f t="shared" si="1"/>
        <v>79.310344827586206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2">
        <f t="shared" si="8"/>
        <v>23</v>
      </c>
      <c r="BL15" s="9">
        <f t="shared" si="2"/>
        <v>29</v>
      </c>
      <c r="BM15" s="2">
        <f t="shared" si="3"/>
        <v>79.310344827586206</v>
      </c>
      <c r="BN15" s="9" t="str">
        <f t="shared" si="4"/>
        <v>2</v>
      </c>
      <c r="BO15" s="9">
        <v>22</v>
      </c>
      <c r="BP15" s="70">
        <v>13</v>
      </c>
      <c r="BQ15" s="25">
        <f t="shared" si="5"/>
        <v>17.5</v>
      </c>
      <c r="BR15" s="9">
        <v>7</v>
      </c>
      <c r="BS15" s="9">
        <v>7.5</v>
      </c>
      <c r="BT15" s="9">
        <v>7</v>
      </c>
      <c r="BU15" s="27">
        <f t="shared" si="6"/>
        <v>7.166666666666667</v>
      </c>
      <c r="BV15" s="9"/>
      <c r="BW15" s="2">
        <f t="shared" si="7"/>
        <v>26.666666666666668</v>
      </c>
    </row>
    <row r="16" spans="1:75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f t="shared" si="0"/>
        <v>0</v>
      </c>
      <c r="BC16" s="9"/>
      <c r="BD16" s="69">
        <v>24</v>
      </c>
      <c r="BE16" s="9">
        <v>29</v>
      </c>
      <c r="BF16" s="25">
        <f t="shared" si="1"/>
        <v>82.758620689655174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2">
        <f t="shared" si="8"/>
        <v>24</v>
      </c>
      <c r="BL16" s="9">
        <f t="shared" si="2"/>
        <v>29</v>
      </c>
      <c r="BM16" s="2">
        <f t="shared" si="3"/>
        <v>82.758620689655174</v>
      </c>
      <c r="BN16" s="9" t="str">
        <f t="shared" si="4"/>
        <v>3</v>
      </c>
      <c r="BO16" s="9">
        <v>19</v>
      </c>
      <c r="BP16" s="70">
        <v>11.5</v>
      </c>
      <c r="BQ16" s="25">
        <f t="shared" si="5"/>
        <v>15.25</v>
      </c>
      <c r="BR16" s="9">
        <v>7</v>
      </c>
      <c r="BS16" s="9">
        <v>7.5</v>
      </c>
      <c r="BT16" s="9">
        <v>0</v>
      </c>
      <c r="BU16" s="27">
        <f t="shared" si="6"/>
        <v>4.833333333333333</v>
      </c>
      <c r="BV16" s="9">
        <v>5</v>
      </c>
      <c r="BW16" s="2">
        <f t="shared" si="7"/>
        <v>28.083333333333332</v>
      </c>
    </row>
    <row r="17" spans="1:75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f t="shared" si="0"/>
        <v>0</v>
      </c>
      <c r="BC17" s="9"/>
      <c r="BD17" s="69">
        <v>14</v>
      </c>
      <c r="BE17" s="9">
        <v>29</v>
      </c>
      <c r="BF17" s="25">
        <f t="shared" si="1"/>
        <v>48.275862068965516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2">
        <f t="shared" si="8"/>
        <v>14</v>
      </c>
      <c r="BL17" s="9">
        <f t="shared" si="2"/>
        <v>29</v>
      </c>
      <c r="BM17" s="2">
        <f t="shared" si="3"/>
        <v>48.275862068965516</v>
      </c>
      <c r="BN17" s="9" t="str">
        <f t="shared" si="4"/>
        <v>0</v>
      </c>
      <c r="BO17" s="9">
        <v>23</v>
      </c>
      <c r="BP17" s="70">
        <v>9.5</v>
      </c>
      <c r="BQ17" s="25">
        <f t="shared" si="5"/>
        <v>16.25</v>
      </c>
      <c r="BR17" s="9">
        <v>7</v>
      </c>
      <c r="BS17" s="28">
        <v>0</v>
      </c>
      <c r="BT17" s="28">
        <v>0</v>
      </c>
      <c r="BU17" s="27">
        <f t="shared" si="6"/>
        <v>2.3333333333333335</v>
      </c>
      <c r="BV17" s="9"/>
      <c r="BW17" s="2">
        <f t="shared" si="7"/>
        <v>18.583333333333332</v>
      </c>
    </row>
    <row r="18" spans="1:75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f t="shared" si="0"/>
        <v>0</v>
      </c>
      <c r="BC18" s="9"/>
      <c r="BD18" s="69">
        <v>25</v>
      </c>
      <c r="BE18" s="9">
        <v>29</v>
      </c>
      <c r="BF18" s="25">
        <f t="shared" si="1"/>
        <v>86.206896551724128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2">
        <f t="shared" si="8"/>
        <v>25</v>
      </c>
      <c r="BL18" s="9">
        <f t="shared" si="2"/>
        <v>29</v>
      </c>
      <c r="BM18" s="2">
        <f t="shared" si="3"/>
        <v>86.206896551724128</v>
      </c>
      <c r="BN18" s="9" t="str">
        <f t="shared" si="4"/>
        <v>4</v>
      </c>
      <c r="BO18" s="9">
        <v>21</v>
      </c>
      <c r="BP18" s="70">
        <v>12</v>
      </c>
      <c r="BQ18" s="25">
        <f t="shared" si="5"/>
        <v>16.5</v>
      </c>
      <c r="BR18" s="9">
        <v>7</v>
      </c>
      <c r="BS18" s="9">
        <v>8</v>
      </c>
      <c r="BT18" s="9">
        <v>7</v>
      </c>
      <c r="BU18" s="27">
        <f t="shared" si="6"/>
        <v>7.333333333333333</v>
      </c>
      <c r="BV18" s="9"/>
      <c r="BW18" s="2">
        <f t="shared" si="7"/>
        <v>27.833333333333332</v>
      </c>
    </row>
    <row r="19" spans="1:75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f t="shared" si="0"/>
        <v>0</v>
      </c>
      <c r="BC19" s="9"/>
      <c r="BD19" s="69">
        <v>26</v>
      </c>
      <c r="BE19" s="9">
        <v>29</v>
      </c>
      <c r="BF19" s="25">
        <f t="shared" si="1"/>
        <v>89.65517241379311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2">
        <f t="shared" si="8"/>
        <v>26</v>
      </c>
      <c r="BL19" s="9">
        <f t="shared" si="2"/>
        <v>29</v>
      </c>
      <c r="BM19" s="2">
        <f t="shared" si="3"/>
        <v>89.65517241379311</v>
      </c>
      <c r="BN19" s="9" t="str">
        <f t="shared" si="4"/>
        <v>4</v>
      </c>
      <c r="BO19" s="9">
        <v>21</v>
      </c>
      <c r="BP19" s="70">
        <v>15.5</v>
      </c>
      <c r="BQ19" s="25">
        <f t="shared" si="5"/>
        <v>18.25</v>
      </c>
      <c r="BR19" s="9">
        <v>7</v>
      </c>
      <c r="BS19" s="9">
        <v>8.5</v>
      </c>
      <c r="BT19" s="9">
        <v>8</v>
      </c>
      <c r="BU19" s="27">
        <f t="shared" si="6"/>
        <v>7.833333333333333</v>
      </c>
      <c r="BV19" s="9">
        <v>5</v>
      </c>
      <c r="BW19" s="2">
        <f t="shared" si="7"/>
        <v>35.083333333333329</v>
      </c>
    </row>
    <row r="20" spans="1:75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f t="shared" si="0"/>
        <v>0</v>
      </c>
      <c r="BC20" s="9"/>
      <c r="BD20" s="69">
        <v>9</v>
      </c>
      <c r="BE20" s="9">
        <v>29</v>
      </c>
      <c r="BF20" s="25">
        <f t="shared" si="1"/>
        <v>31.03448275862069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2">
        <f t="shared" si="8"/>
        <v>9</v>
      </c>
      <c r="BL20" s="9">
        <f t="shared" si="2"/>
        <v>29</v>
      </c>
      <c r="BM20" s="2">
        <f t="shared" si="3"/>
        <v>31.03448275862069</v>
      </c>
      <c r="BN20" s="9" t="str">
        <f t="shared" si="4"/>
        <v>0</v>
      </c>
      <c r="BO20" s="9">
        <v>0</v>
      </c>
      <c r="BP20" s="70">
        <v>5.5</v>
      </c>
      <c r="BQ20" s="25">
        <f t="shared" si="5"/>
        <v>2.75</v>
      </c>
      <c r="BR20" s="9">
        <v>7</v>
      </c>
      <c r="BS20" s="9">
        <v>8</v>
      </c>
      <c r="BT20" s="9">
        <v>8</v>
      </c>
      <c r="BU20" s="27">
        <f t="shared" si="6"/>
        <v>7.666666666666667</v>
      </c>
      <c r="BV20" s="9">
        <v>5</v>
      </c>
      <c r="BW20" s="2">
        <f t="shared" si="7"/>
        <v>15.416666666666668</v>
      </c>
    </row>
    <row r="21" spans="1:75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f t="shared" si="0"/>
        <v>0</v>
      </c>
      <c r="BC21" s="9"/>
      <c r="BD21" s="69">
        <v>21</v>
      </c>
      <c r="BE21" s="9">
        <v>29</v>
      </c>
      <c r="BF21" s="25">
        <f t="shared" si="1"/>
        <v>72.41379310344827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2">
        <f t="shared" si="8"/>
        <v>21</v>
      </c>
      <c r="BL21" s="9">
        <f t="shared" si="2"/>
        <v>29</v>
      </c>
      <c r="BM21" s="2">
        <f t="shared" si="3"/>
        <v>72.41379310344827</v>
      </c>
      <c r="BN21" s="9" t="str">
        <f t="shared" si="4"/>
        <v>0</v>
      </c>
      <c r="BO21" s="9">
        <v>23</v>
      </c>
      <c r="BP21" s="70">
        <v>19.5</v>
      </c>
      <c r="BQ21" s="25">
        <f t="shared" si="5"/>
        <v>21.25</v>
      </c>
      <c r="BR21" s="9">
        <v>7.5</v>
      </c>
      <c r="BS21" s="9">
        <v>8</v>
      </c>
      <c r="BT21" s="28">
        <v>0</v>
      </c>
      <c r="BU21" s="27">
        <f t="shared" si="6"/>
        <v>5.166666666666667</v>
      </c>
      <c r="BV21" s="9"/>
      <c r="BW21" s="2">
        <f t="shared" si="7"/>
        <v>26.416666666666668</v>
      </c>
    </row>
    <row r="22" spans="1:75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f t="shared" si="0"/>
        <v>0</v>
      </c>
      <c r="BC22" s="9"/>
      <c r="BD22" s="69">
        <v>23</v>
      </c>
      <c r="BE22" s="9">
        <v>29</v>
      </c>
      <c r="BF22" s="25">
        <f t="shared" si="1"/>
        <v>79.310344827586206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2">
        <f t="shared" si="8"/>
        <v>23</v>
      </c>
      <c r="BL22" s="9">
        <f t="shared" si="2"/>
        <v>29</v>
      </c>
      <c r="BM22" s="2">
        <f t="shared" si="3"/>
        <v>79.310344827586206</v>
      </c>
      <c r="BN22" s="9" t="str">
        <f t="shared" si="4"/>
        <v>2</v>
      </c>
      <c r="BO22" s="9">
        <v>22</v>
      </c>
      <c r="BP22" s="70">
        <v>13.5</v>
      </c>
      <c r="BQ22" s="25">
        <f t="shared" si="5"/>
        <v>17.75</v>
      </c>
      <c r="BR22" s="9">
        <v>8</v>
      </c>
      <c r="BS22" s="9">
        <v>8</v>
      </c>
      <c r="BT22" s="9">
        <v>8.5</v>
      </c>
      <c r="BU22" s="27">
        <f t="shared" si="6"/>
        <v>8.1666666666666661</v>
      </c>
      <c r="BV22" s="9">
        <v>5</v>
      </c>
      <c r="BW22" s="2">
        <f t="shared" si="7"/>
        <v>32.916666666666664</v>
      </c>
    </row>
    <row r="23" spans="1:75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f t="shared" si="0"/>
        <v>0</v>
      </c>
      <c r="BC23" s="9"/>
      <c r="BD23" s="69">
        <v>21</v>
      </c>
      <c r="BE23" s="9">
        <v>29</v>
      </c>
      <c r="BF23" s="25">
        <f t="shared" si="1"/>
        <v>72.41379310344827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2">
        <f t="shared" si="8"/>
        <v>21</v>
      </c>
      <c r="BL23" s="9">
        <f t="shared" si="2"/>
        <v>29</v>
      </c>
      <c r="BM23" s="2">
        <f t="shared" si="3"/>
        <v>72.41379310344827</v>
      </c>
      <c r="BN23" s="9" t="str">
        <f t="shared" si="4"/>
        <v>0</v>
      </c>
      <c r="BO23" s="9">
        <v>20</v>
      </c>
      <c r="BP23" s="70">
        <v>12.5</v>
      </c>
      <c r="BQ23" s="25">
        <f t="shared" si="5"/>
        <v>16.25</v>
      </c>
      <c r="BR23" s="9">
        <v>8</v>
      </c>
      <c r="BS23" s="9">
        <v>8</v>
      </c>
      <c r="BT23" s="9">
        <v>8</v>
      </c>
      <c r="BU23" s="27">
        <f t="shared" si="6"/>
        <v>8</v>
      </c>
      <c r="BV23" s="9">
        <v>5</v>
      </c>
      <c r="BW23" s="2">
        <f t="shared" si="7"/>
        <v>29.25</v>
      </c>
    </row>
    <row r="24" spans="1:75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>
        <f t="shared" si="0"/>
        <v>0</v>
      </c>
      <c r="BC24" s="9"/>
      <c r="BD24" s="69">
        <v>26</v>
      </c>
      <c r="BE24" s="9">
        <v>29</v>
      </c>
      <c r="BF24" s="25">
        <f t="shared" si="1"/>
        <v>89.65517241379311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2">
        <f t="shared" si="8"/>
        <v>26</v>
      </c>
      <c r="BL24" s="9">
        <f t="shared" si="2"/>
        <v>29</v>
      </c>
      <c r="BM24" s="2">
        <f t="shared" si="3"/>
        <v>89.65517241379311</v>
      </c>
      <c r="BN24" s="9" t="str">
        <f t="shared" si="4"/>
        <v>4</v>
      </c>
      <c r="BO24" s="9">
        <v>21</v>
      </c>
      <c r="BP24" s="70">
        <v>17.5</v>
      </c>
      <c r="BQ24" s="25">
        <f t="shared" si="5"/>
        <v>19.25</v>
      </c>
      <c r="BR24" s="9">
        <v>7.5</v>
      </c>
      <c r="BS24" s="9">
        <v>8</v>
      </c>
      <c r="BT24" s="9">
        <v>7.5</v>
      </c>
      <c r="BU24" s="27">
        <f t="shared" si="6"/>
        <v>7.666666666666667</v>
      </c>
      <c r="BV24" s="9"/>
      <c r="BW24" s="2">
        <f t="shared" si="7"/>
        <v>30.916666666666668</v>
      </c>
    </row>
    <row r="25" spans="1:75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f t="shared" si="0"/>
        <v>0</v>
      </c>
      <c r="BC25" s="9">
        <v>1</v>
      </c>
      <c r="BD25" s="69">
        <v>18</v>
      </c>
      <c r="BE25" s="9">
        <v>29</v>
      </c>
      <c r="BF25" s="25">
        <f t="shared" si="1"/>
        <v>62.068965517241381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2">
        <f t="shared" si="8"/>
        <v>19</v>
      </c>
      <c r="BL25" s="9">
        <f t="shared" si="2"/>
        <v>29</v>
      </c>
      <c r="BM25" s="2">
        <f t="shared" si="3"/>
        <v>65.517241379310349</v>
      </c>
      <c r="BN25" s="9" t="str">
        <f t="shared" si="4"/>
        <v>0</v>
      </c>
      <c r="BO25" s="9">
        <v>16</v>
      </c>
      <c r="BP25" s="70">
        <v>17.5</v>
      </c>
      <c r="BQ25" s="25">
        <f t="shared" si="5"/>
        <v>16.75</v>
      </c>
      <c r="BR25" s="9">
        <v>8</v>
      </c>
      <c r="BS25" s="28">
        <v>0</v>
      </c>
      <c r="BT25" s="9">
        <v>7</v>
      </c>
      <c r="BU25" s="27">
        <f t="shared" si="6"/>
        <v>5</v>
      </c>
      <c r="BV25" s="9">
        <v>5</v>
      </c>
      <c r="BW25" s="2">
        <f t="shared" si="7"/>
        <v>26.75</v>
      </c>
    </row>
    <row r="26" spans="1:75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>
        <f t="shared" si="0"/>
        <v>0</v>
      </c>
      <c r="BC26" s="9"/>
      <c r="BD26" s="69">
        <v>17</v>
      </c>
      <c r="BE26" s="9">
        <v>29</v>
      </c>
      <c r="BF26" s="25">
        <f t="shared" si="1"/>
        <v>58.620689655172406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2">
        <f t="shared" si="8"/>
        <v>17</v>
      </c>
      <c r="BL26" s="9">
        <f t="shared" si="2"/>
        <v>29</v>
      </c>
      <c r="BM26" s="2">
        <f t="shared" si="3"/>
        <v>58.620689655172406</v>
      </c>
      <c r="BN26" s="9" t="str">
        <f t="shared" si="4"/>
        <v>0</v>
      </c>
      <c r="BO26" s="9">
        <v>21</v>
      </c>
      <c r="BP26" s="70">
        <v>21</v>
      </c>
      <c r="BQ26" s="25">
        <f t="shared" si="5"/>
        <v>21</v>
      </c>
      <c r="BR26" s="9">
        <v>7</v>
      </c>
      <c r="BS26" s="9">
        <v>7</v>
      </c>
      <c r="BT26" s="9">
        <v>8</v>
      </c>
      <c r="BU26" s="27">
        <f t="shared" si="6"/>
        <v>7.333333333333333</v>
      </c>
      <c r="BV26" s="9"/>
      <c r="BW26" s="2">
        <f t="shared" si="7"/>
        <v>28.333333333333332</v>
      </c>
    </row>
    <row r="27" spans="1:75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f t="shared" si="0"/>
        <v>0</v>
      </c>
      <c r="BC27" s="9"/>
      <c r="BD27" s="69">
        <v>0</v>
      </c>
      <c r="BE27" s="9">
        <v>29</v>
      </c>
      <c r="BF27" s="25">
        <f t="shared" si="1"/>
        <v>0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2">
        <f t="shared" si="8"/>
        <v>0</v>
      </c>
      <c r="BL27" s="9">
        <f t="shared" si="2"/>
        <v>29</v>
      </c>
      <c r="BM27" s="2">
        <f t="shared" si="3"/>
        <v>0</v>
      </c>
      <c r="BN27" s="9" t="str">
        <f t="shared" si="4"/>
        <v>0</v>
      </c>
      <c r="BO27" s="11">
        <v>0</v>
      </c>
      <c r="BP27" s="71">
        <v>0</v>
      </c>
      <c r="BQ27" s="25">
        <f t="shared" si="5"/>
        <v>0</v>
      </c>
      <c r="BR27" s="28">
        <v>0</v>
      </c>
      <c r="BS27" s="28">
        <v>0</v>
      </c>
      <c r="BT27" s="28">
        <v>0</v>
      </c>
      <c r="BU27" s="27">
        <f t="shared" si="6"/>
        <v>0</v>
      </c>
      <c r="BV27" s="9"/>
      <c r="BW27" s="2">
        <f t="shared" si="7"/>
        <v>0</v>
      </c>
    </row>
    <row r="28" spans="1:75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f t="shared" si="0"/>
        <v>0</v>
      </c>
      <c r="BC28" s="9">
        <v>4</v>
      </c>
      <c r="BD28" s="69">
        <v>16</v>
      </c>
      <c r="BE28" s="9">
        <v>29</v>
      </c>
      <c r="BF28" s="25">
        <f t="shared" si="1"/>
        <v>55.172413793103445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2">
        <f t="shared" si="8"/>
        <v>20</v>
      </c>
      <c r="BL28" s="9">
        <f t="shared" si="2"/>
        <v>29</v>
      </c>
      <c r="BM28" s="2">
        <f t="shared" si="3"/>
        <v>68.965517241379317</v>
      </c>
      <c r="BN28" s="9" t="str">
        <f t="shared" si="4"/>
        <v>0</v>
      </c>
      <c r="BO28" s="9">
        <v>22</v>
      </c>
      <c r="BP28" s="72">
        <v>22</v>
      </c>
      <c r="BQ28" s="25">
        <f t="shared" si="5"/>
        <v>22</v>
      </c>
      <c r="BR28" s="9">
        <v>8</v>
      </c>
      <c r="BS28" s="28">
        <v>0</v>
      </c>
      <c r="BT28" s="28">
        <v>0</v>
      </c>
      <c r="BU28" s="27">
        <f t="shared" si="6"/>
        <v>2.6666666666666665</v>
      </c>
      <c r="BV28" s="9">
        <v>5</v>
      </c>
      <c r="BW28" s="2">
        <f t="shared" si="7"/>
        <v>29.666666666666664</v>
      </c>
    </row>
    <row r="29" spans="1:75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>
        <f t="shared" si="0"/>
        <v>0</v>
      </c>
      <c r="BC29" s="9">
        <v>1</v>
      </c>
      <c r="BD29" s="69">
        <v>20</v>
      </c>
      <c r="BE29" s="9">
        <v>29</v>
      </c>
      <c r="BF29" s="25">
        <f t="shared" si="1"/>
        <v>68.965517241379317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2">
        <f t="shared" si="8"/>
        <v>21</v>
      </c>
      <c r="BL29" s="9">
        <f t="shared" si="2"/>
        <v>29</v>
      </c>
      <c r="BM29" s="2">
        <f t="shared" si="3"/>
        <v>72.41379310344827</v>
      </c>
      <c r="BN29" s="9" t="str">
        <f t="shared" si="4"/>
        <v>0</v>
      </c>
      <c r="BO29" s="9">
        <v>20</v>
      </c>
      <c r="BP29" s="70">
        <v>18.5</v>
      </c>
      <c r="BQ29" s="25">
        <f t="shared" si="5"/>
        <v>19.25</v>
      </c>
      <c r="BR29" s="9">
        <v>7</v>
      </c>
      <c r="BS29" s="9">
        <v>8</v>
      </c>
      <c r="BT29" s="9">
        <v>8</v>
      </c>
      <c r="BU29" s="27">
        <f t="shared" si="6"/>
        <v>7.666666666666667</v>
      </c>
      <c r="BV29" s="9"/>
      <c r="BW29" s="2">
        <f t="shared" si="7"/>
        <v>26.916666666666668</v>
      </c>
    </row>
    <row r="30" spans="1:75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>
        <f t="shared" si="0"/>
        <v>0</v>
      </c>
      <c r="BC30" s="9"/>
      <c r="BD30" s="69">
        <v>17</v>
      </c>
      <c r="BE30" s="9">
        <v>29</v>
      </c>
      <c r="BF30" s="25">
        <f t="shared" si="1"/>
        <v>58.620689655172406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2">
        <f t="shared" si="8"/>
        <v>17</v>
      </c>
      <c r="BL30" s="9">
        <f t="shared" si="2"/>
        <v>29</v>
      </c>
      <c r="BM30" s="2">
        <f t="shared" si="3"/>
        <v>58.620689655172406</v>
      </c>
      <c r="BN30" s="9" t="str">
        <f t="shared" si="4"/>
        <v>0</v>
      </c>
      <c r="BO30" s="9">
        <v>15</v>
      </c>
      <c r="BP30" s="70">
        <v>13.5</v>
      </c>
      <c r="BQ30" s="25">
        <f t="shared" si="5"/>
        <v>14.25</v>
      </c>
      <c r="BR30" s="9">
        <v>7</v>
      </c>
      <c r="BS30" s="28">
        <v>0</v>
      </c>
      <c r="BT30" s="9">
        <v>8</v>
      </c>
      <c r="BU30" s="27">
        <f t="shared" si="6"/>
        <v>5</v>
      </c>
      <c r="BV30" s="9">
        <v>5</v>
      </c>
      <c r="BW30" s="2">
        <f t="shared" si="7"/>
        <v>24.25</v>
      </c>
    </row>
    <row r="31" spans="1:75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>
        <f t="shared" si="0"/>
        <v>0</v>
      </c>
      <c r="BC31" s="9"/>
      <c r="BD31" s="69">
        <v>11</v>
      </c>
      <c r="BE31" s="9">
        <v>29</v>
      </c>
      <c r="BF31" s="25">
        <f t="shared" si="1"/>
        <v>37.931034482758619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2">
        <f t="shared" si="8"/>
        <v>11</v>
      </c>
      <c r="BL31" s="9">
        <f t="shared" si="2"/>
        <v>29</v>
      </c>
      <c r="BM31" s="2">
        <f t="shared" si="3"/>
        <v>37.931034482758619</v>
      </c>
      <c r="BN31" s="9" t="str">
        <f t="shared" si="4"/>
        <v>0</v>
      </c>
      <c r="BO31" s="9">
        <v>22</v>
      </c>
      <c r="BP31" s="70">
        <v>21</v>
      </c>
      <c r="BQ31" s="25">
        <f t="shared" si="5"/>
        <v>21.5</v>
      </c>
      <c r="BR31" s="9">
        <v>7</v>
      </c>
      <c r="BS31" s="9">
        <v>7</v>
      </c>
      <c r="BT31" s="28">
        <v>0</v>
      </c>
      <c r="BU31" s="27">
        <f t="shared" si="6"/>
        <v>4.666666666666667</v>
      </c>
      <c r="BV31" s="9">
        <v>5</v>
      </c>
      <c r="BW31" s="2">
        <f t="shared" si="7"/>
        <v>31.166666666666668</v>
      </c>
    </row>
    <row r="32" spans="1:75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>
        <f t="shared" si="0"/>
        <v>0</v>
      </c>
      <c r="BC32" s="9"/>
      <c r="BD32" s="69">
        <v>3</v>
      </c>
      <c r="BE32" s="9">
        <v>29</v>
      </c>
      <c r="BF32" s="25">
        <f t="shared" si="1"/>
        <v>10.344827586206897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2">
        <f t="shared" si="8"/>
        <v>3</v>
      </c>
      <c r="BL32" s="9">
        <f t="shared" si="2"/>
        <v>29</v>
      </c>
      <c r="BM32" s="2">
        <f t="shared" si="3"/>
        <v>10.344827586206897</v>
      </c>
      <c r="BN32" s="9" t="str">
        <f t="shared" si="4"/>
        <v>0</v>
      </c>
      <c r="BO32" s="9">
        <v>18</v>
      </c>
      <c r="BP32" s="70">
        <v>19.5</v>
      </c>
      <c r="BQ32" s="25">
        <f t="shared" si="5"/>
        <v>18.75</v>
      </c>
      <c r="BR32" s="28">
        <v>0</v>
      </c>
      <c r="BS32" s="9">
        <v>8</v>
      </c>
      <c r="BT32" s="28">
        <v>0</v>
      </c>
      <c r="BU32" s="27">
        <f t="shared" si="6"/>
        <v>2.6666666666666665</v>
      </c>
      <c r="BV32" s="9"/>
      <c r="BW32" s="2">
        <f t="shared" si="7"/>
        <v>21.416666666666668</v>
      </c>
    </row>
    <row r="33" spans="1:75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>
        <f t="shared" si="0"/>
        <v>0</v>
      </c>
      <c r="BC33" s="9"/>
      <c r="BD33" s="69">
        <v>27</v>
      </c>
      <c r="BE33" s="9">
        <v>29</v>
      </c>
      <c r="BF33" s="25">
        <f t="shared" si="1"/>
        <v>93.103448275862064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2">
        <f t="shared" si="8"/>
        <v>27</v>
      </c>
      <c r="BL33" s="9">
        <f t="shared" si="2"/>
        <v>29</v>
      </c>
      <c r="BM33" s="2">
        <f t="shared" si="3"/>
        <v>93.103448275862064</v>
      </c>
      <c r="BN33" s="9" t="str">
        <f t="shared" si="4"/>
        <v>5</v>
      </c>
      <c r="BO33" s="9">
        <v>19</v>
      </c>
      <c r="BP33" s="70">
        <v>10</v>
      </c>
      <c r="BQ33" s="25">
        <f t="shared" si="5"/>
        <v>14.5</v>
      </c>
      <c r="BR33" s="9">
        <v>7.5</v>
      </c>
      <c r="BS33" s="9">
        <v>8</v>
      </c>
      <c r="BT33" s="9">
        <v>7</v>
      </c>
      <c r="BU33" s="27">
        <f t="shared" si="6"/>
        <v>7.5</v>
      </c>
      <c r="BV33" s="9"/>
      <c r="BW33" s="2">
        <f t="shared" si="7"/>
        <v>27</v>
      </c>
    </row>
    <row r="34" spans="1:75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f t="shared" si="0"/>
        <v>0</v>
      </c>
      <c r="BC34" s="9"/>
      <c r="BD34" s="69">
        <v>15</v>
      </c>
      <c r="BE34" s="9">
        <v>29</v>
      </c>
      <c r="BF34" s="25">
        <f t="shared" si="1"/>
        <v>51.724137931034484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2">
        <f t="shared" si="8"/>
        <v>15</v>
      </c>
      <c r="BL34" s="9">
        <f t="shared" si="2"/>
        <v>29</v>
      </c>
      <c r="BM34" s="2">
        <f t="shared" si="3"/>
        <v>51.724137931034484</v>
      </c>
      <c r="BN34" s="9" t="str">
        <f t="shared" si="4"/>
        <v>0</v>
      </c>
      <c r="BO34" s="9">
        <v>20</v>
      </c>
      <c r="BP34" s="70">
        <v>12.5</v>
      </c>
      <c r="BQ34" s="25">
        <f t="shared" si="5"/>
        <v>16.25</v>
      </c>
      <c r="BR34" s="9">
        <v>7.5</v>
      </c>
      <c r="BS34" s="9">
        <v>8</v>
      </c>
      <c r="BT34" s="9">
        <v>7</v>
      </c>
      <c r="BU34" s="27">
        <f t="shared" si="6"/>
        <v>7.5</v>
      </c>
      <c r="BV34" s="9"/>
      <c r="BW34" s="2">
        <f t="shared" si="7"/>
        <v>23.75</v>
      </c>
    </row>
    <row r="35" spans="1:75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f t="shared" si="0"/>
        <v>0</v>
      </c>
      <c r="BC35" s="9"/>
      <c r="BD35" s="69">
        <v>15</v>
      </c>
      <c r="BE35" s="9">
        <v>29</v>
      </c>
      <c r="BF35" s="25">
        <f t="shared" si="1"/>
        <v>51.724137931034484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2">
        <f t="shared" si="8"/>
        <v>15</v>
      </c>
      <c r="BL35" s="9">
        <f t="shared" si="2"/>
        <v>29</v>
      </c>
      <c r="BM35" s="2">
        <f t="shared" si="3"/>
        <v>51.724137931034484</v>
      </c>
      <c r="BN35" s="9" t="str">
        <f t="shared" si="4"/>
        <v>0</v>
      </c>
      <c r="BO35" s="9">
        <v>20</v>
      </c>
      <c r="BP35" s="70">
        <v>17</v>
      </c>
      <c r="BQ35" s="25">
        <f t="shared" si="5"/>
        <v>18.5</v>
      </c>
      <c r="BR35" s="9">
        <v>7</v>
      </c>
      <c r="BS35" s="9">
        <v>8</v>
      </c>
      <c r="BT35" s="9">
        <v>7</v>
      </c>
      <c r="BU35" s="27">
        <f t="shared" si="6"/>
        <v>7.333333333333333</v>
      </c>
      <c r="BV35" s="9"/>
      <c r="BW35" s="2">
        <f t="shared" si="7"/>
        <v>25.833333333333332</v>
      </c>
    </row>
    <row r="36" spans="1:75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f t="shared" si="0"/>
        <v>0</v>
      </c>
      <c r="BC36" s="9"/>
      <c r="BD36" s="69">
        <v>14</v>
      </c>
      <c r="BE36" s="9">
        <v>29</v>
      </c>
      <c r="BF36" s="25">
        <f t="shared" si="1"/>
        <v>48.275862068965516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2">
        <f t="shared" si="8"/>
        <v>14</v>
      </c>
      <c r="BL36" s="9">
        <f t="shared" si="2"/>
        <v>29</v>
      </c>
      <c r="BM36" s="2">
        <f t="shared" si="3"/>
        <v>48.275862068965516</v>
      </c>
      <c r="BN36" s="9" t="str">
        <f t="shared" si="4"/>
        <v>0</v>
      </c>
      <c r="BO36" s="9">
        <v>8</v>
      </c>
      <c r="BP36" s="70">
        <v>9.5</v>
      </c>
      <c r="BQ36" s="25">
        <f t="shared" si="5"/>
        <v>8.75</v>
      </c>
      <c r="BR36" s="28">
        <v>0</v>
      </c>
      <c r="BS36" s="28">
        <v>0</v>
      </c>
      <c r="BT36" s="9">
        <v>7.5</v>
      </c>
      <c r="BU36" s="27">
        <f t="shared" si="6"/>
        <v>2.5</v>
      </c>
      <c r="BV36" s="9"/>
      <c r="BW36" s="2">
        <f t="shared" si="7"/>
        <v>11.25</v>
      </c>
    </row>
    <row r="37" spans="1:75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f t="shared" si="0"/>
        <v>0</v>
      </c>
      <c r="BC37" s="9"/>
      <c r="BD37" s="69">
        <v>10</v>
      </c>
      <c r="BE37" s="9">
        <v>29</v>
      </c>
      <c r="BF37" s="25">
        <f t="shared" si="1"/>
        <v>34.482758620689658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2">
        <f t="shared" si="8"/>
        <v>10</v>
      </c>
      <c r="BL37" s="9">
        <f t="shared" si="2"/>
        <v>29</v>
      </c>
      <c r="BM37" s="2">
        <f t="shared" si="3"/>
        <v>34.482758620689658</v>
      </c>
      <c r="BN37" s="9" t="str">
        <f t="shared" si="4"/>
        <v>0</v>
      </c>
      <c r="BO37" s="11">
        <v>0</v>
      </c>
      <c r="BP37" s="71">
        <v>0</v>
      </c>
      <c r="BQ37" s="25">
        <f t="shared" si="5"/>
        <v>0</v>
      </c>
      <c r="BR37" s="9">
        <v>7</v>
      </c>
      <c r="BS37" s="28">
        <v>0</v>
      </c>
      <c r="BT37" s="28">
        <v>0</v>
      </c>
      <c r="BU37" s="27">
        <f t="shared" si="6"/>
        <v>2.3333333333333335</v>
      </c>
      <c r="BV37" s="9"/>
      <c r="BW37" s="2">
        <f t="shared" si="7"/>
        <v>2.3333333333333335</v>
      </c>
    </row>
    <row r="38" spans="1:75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f t="shared" si="0"/>
        <v>0</v>
      </c>
      <c r="BC38" s="9">
        <v>4</v>
      </c>
      <c r="BD38" s="69">
        <v>1</v>
      </c>
      <c r="BE38" s="9">
        <v>29</v>
      </c>
      <c r="BF38" s="25">
        <f t="shared" si="1"/>
        <v>3.4482758620689653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2">
        <f t="shared" si="8"/>
        <v>5</v>
      </c>
      <c r="BL38" s="9">
        <f t="shared" si="2"/>
        <v>29</v>
      </c>
      <c r="BM38" s="2">
        <f t="shared" si="3"/>
        <v>17.241379310344829</v>
      </c>
      <c r="BN38" s="9" t="str">
        <f t="shared" si="4"/>
        <v>0</v>
      </c>
      <c r="BO38" s="9">
        <v>0</v>
      </c>
      <c r="BP38" s="70">
        <v>5.5</v>
      </c>
      <c r="BQ38" s="25">
        <f t="shared" si="5"/>
        <v>2.75</v>
      </c>
      <c r="BR38" s="28">
        <v>0</v>
      </c>
      <c r="BS38" s="28">
        <v>0</v>
      </c>
      <c r="BT38" s="28">
        <v>0</v>
      </c>
      <c r="BU38" s="27">
        <f t="shared" si="6"/>
        <v>0</v>
      </c>
      <c r="BV38" s="9"/>
      <c r="BW38" s="2">
        <f t="shared" si="7"/>
        <v>2.75</v>
      </c>
    </row>
    <row r="39" spans="1:75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>
        <f t="shared" si="0"/>
        <v>0</v>
      </c>
      <c r="BC39" s="9"/>
      <c r="BD39" s="69">
        <v>20</v>
      </c>
      <c r="BE39" s="9">
        <v>29</v>
      </c>
      <c r="BF39" s="25">
        <f t="shared" si="1"/>
        <v>68.965517241379317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2">
        <f t="shared" si="8"/>
        <v>20</v>
      </c>
      <c r="BL39" s="9">
        <f t="shared" si="2"/>
        <v>29</v>
      </c>
      <c r="BM39" s="2">
        <f t="shared" si="3"/>
        <v>68.965517241379317</v>
      </c>
      <c r="BN39" s="9" t="str">
        <f t="shared" si="4"/>
        <v>0</v>
      </c>
      <c r="BO39" s="9">
        <v>20</v>
      </c>
      <c r="BP39" s="70">
        <v>19</v>
      </c>
      <c r="BQ39" s="25">
        <f t="shared" si="5"/>
        <v>19.5</v>
      </c>
      <c r="BR39" s="9">
        <v>8</v>
      </c>
      <c r="BS39" s="9">
        <v>7</v>
      </c>
      <c r="BT39" s="9">
        <v>8</v>
      </c>
      <c r="BU39" s="27">
        <f t="shared" si="6"/>
        <v>7.666666666666667</v>
      </c>
      <c r="BV39" s="9">
        <v>5</v>
      </c>
      <c r="BW39" s="2">
        <f t="shared" si="7"/>
        <v>32.166666666666671</v>
      </c>
    </row>
    <row r="40" spans="1:75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f t="shared" si="0"/>
        <v>0</v>
      </c>
      <c r="BC40" s="9"/>
      <c r="BD40" s="69">
        <v>2</v>
      </c>
      <c r="BE40" s="9">
        <v>29</v>
      </c>
      <c r="BF40" s="25">
        <f t="shared" si="1"/>
        <v>6.8965517241379306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2">
        <f t="shared" si="8"/>
        <v>2</v>
      </c>
      <c r="BL40" s="9">
        <f t="shared" si="2"/>
        <v>29</v>
      </c>
      <c r="BM40" s="2">
        <f t="shared" si="3"/>
        <v>6.8965517241379306</v>
      </c>
      <c r="BN40" s="9" t="str">
        <f t="shared" si="4"/>
        <v>0</v>
      </c>
      <c r="BO40" s="9">
        <v>0</v>
      </c>
      <c r="BP40" s="70">
        <v>0</v>
      </c>
      <c r="BQ40" s="25">
        <f t="shared" si="5"/>
        <v>0</v>
      </c>
      <c r="BR40" s="28">
        <v>0</v>
      </c>
      <c r="BS40" s="28">
        <v>0</v>
      </c>
      <c r="BT40" s="28">
        <v>0</v>
      </c>
      <c r="BU40" s="27">
        <f t="shared" si="6"/>
        <v>0</v>
      </c>
      <c r="BV40" s="9"/>
      <c r="BW40" s="2">
        <f t="shared" si="7"/>
        <v>0</v>
      </c>
    </row>
    <row r="41" spans="1:75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>
        <f t="shared" si="0"/>
        <v>0</v>
      </c>
      <c r="BC41" s="9"/>
      <c r="BD41" s="69">
        <v>26</v>
      </c>
      <c r="BE41" s="9">
        <v>29</v>
      </c>
      <c r="BF41" s="25">
        <f t="shared" si="1"/>
        <v>89.65517241379311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2">
        <f t="shared" si="8"/>
        <v>26</v>
      </c>
      <c r="BL41" s="9">
        <f t="shared" si="2"/>
        <v>29</v>
      </c>
      <c r="BM41" s="2">
        <f t="shared" si="3"/>
        <v>89.65517241379311</v>
      </c>
      <c r="BN41" s="9" t="str">
        <f t="shared" si="4"/>
        <v>4</v>
      </c>
      <c r="BO41" s="9">
        <v>22</v>
      </c>
      <c r="BP41" s="70">
        <v>18</v>
      </c>
      <c r="BQ41" s="25">
        <f t="shared" si="5"/>
        <v>20</v>
      </c>
      <c r="BR41" s="9">
        <v>8</v>
      </c>
      <c r="BS41" s="9">
        <v>8</v>
      </c>
      <c r="BT41" s="9">
        <v>8</v>
      </c>
      <c r="BU41" s="27">
        <f t="shared" si="6"/>
        <v>8</v>
      </c>
      <c r="BV41" s="9">
        <v>4</v>
      </c>
      <c r="BW41" s="2">
        <f t="shared" si="7"/>
        <v>36</v>
      </c>
    </row>
    <row r="42" spans="1:75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>
        <f t="shared" si="0"/>
        <v>0</v>
      </c>
      <c r="BC42" s="9"/>
      <c r="BD42" s="69">
        <v>27</v>
      </c>
      <c r="BE42" s="9">
        <v>29</v>
      </c>
      <c r="BF42" s="25">
        <f t="shared" si="1"/>
        <v>93.103448275862064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2">
        <f t="shared" si="8"/>
        <v>27</v>
      </c>
      <c r="BL42" s="9">
        <f t="shared" si="2"/>
        <v>29</v>
      </c>
      <c r="BM42" s="2">
        <f t="shared" si="3"/>
        <v>93.103448275862064</v>
      </c>
      <c r="BN42" s="9" t="str">
        <f t="shared" si="4"/>
        <v>5</v>
      </c>
      <c r="BO42" s="9">
        <v>23</v>
      </c>
      <c r="BP42" s="70">
        <v>19</v>
      </c>
      <c r="BQ42" s="25">
        <f t="shared" si="5"/>
        <v>21</v>
      </c>
      <c r="BR42" s="9">
        <v>7.5</v>
      </c>
      <c r="BS42" s="9">
        <v>8</v>
      </c>
      <c r="BT42" s="9">
        <v>7</v>
      </c>
      <c r="BU42" s="27">
        <f t="shared" si="6"/>
        <v>7.5</v>
      </c>
      <c r="BV42" s="9">
        <v>2</v>
      </c>
      <c r="BW42" s="2">
        <f t="shared" si="7"/>
        <v>35.5</v>
      </c>
    </row>
    <row r="43" spans="1:75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>
        <f t="shared" si="0"/>
        <v>0</v>
      </c>
      <c r="BC43" s="9"/>
      <c r="BD43" s="69">
        <v>23</v>
      </c>
      <c r="BE43" s="9">
        <v>29</v>
      </c>
      <c r="BF43" s="25">
        <f t="shared" si="1"/>
        <v>79.310344827586206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2">
        <f t="shared" si="8"/>
        <v>23</v>
      </c>
      <c r="BL43" s="9">
        <f t="shared" si="2"/>
        <v>29</v>
      </c>
      <c r="BM43" s="2">
        <f t="shared" si="3"/>
        <v>79.310344827586206</v>
      </c>
      <c r="BN43" s="9" t="str">
        <f t="shared" si="4"/>
        <v>2</v>
      </c>
      <c r="BO43" s="9">
        <v>23</v>
      </c>
      <c r="BP43" s="70">
        <v>19.5</v>
      </c>
      <c r="BQ43" s="25">
        <f t="shared" si="5"/>
        <v>21.25</v>
      </c>
      <c r="BR43" s="9">
        <v>7.5</v>
      </c>
      <c r="BS43" s="9">
        <v>8</v>
      </c>
      <c r="BT43" s="9">
        <v>8</v>
      </c>
      <c r="BU43" s="27">
        <f t="shared" si="6"/>
        <v>7.833333333333333</v>
      </c>
      <c r="BV43" s="9">
        <v>5</v>
      </c>
      <c r="BW43" s="2">
        <f t="shared" si="7"/>
        <v>36.083333333333329</v>
      </c>
    </row>
    <row r="44" spans="1:75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f t="shared" si="0"/>
        <v>0</v>
      </c>
      <c r="BC44" s="9"/>
      <c r="BD44" s="69">
        <v>24</v>
      </c>
      <c r="BE44" s="9">
        <v>29</v>
      </c>
      <c r="BF44" s="25">
        <f t="shared" si="1"/>
        <v>82.758620689655174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2">
        <f t="shared" si="8"/>
        <v>24</v>
      </c>
      <c r="BL44" s="9">
        <f t="shared" si="2"/>
        <v>29</v>
      </c>
      <c r="BM44" s="2">
        <f t="shared" si="3"/>
        <v>82.758620689655174</v>
      </c>
      <c r="BN44" s="9" t="str">
        <f t="shared" si="4"/>
        <v>3</v>
      </c>
      <c r="BO44" s="9">
        <v>23</v>
      </c>
      <c r="BP44" s="70">
        <v>20.5</v>
      </c>
      <c r="BQ44" s="25">
        <f t="shared" si="5"/>
        <v>21.75</v>
      </c>
      <c r="BR44" s="9">
        <v>7.5</v>
      </c>
      <c r="BS44" s="9">
        <v>8</v>
      </c>
      <c r="BT44" s="9">
        <v>7</v>
      </c>
      <c r="BU44" s="27">
        <f t="shared" si="6"/>
        <v>7.5</v>
      </c>
      <c r="BV44" s="9">
        <v>5</v>
      </c>
      <c r="BW44" s="2">
        <f t="shared" si="7"/>
        <v>37.25</v>
      </c>
    </row>
    <row r="45" spans="1:75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f t="shared" si="0"/>
        <v>0</v>
      </c>
      <c r="BC45" s="9">
        <v>3</v>
      </c>
      <c r="BD45" s="69">
        <v>21</v>
      </c>
      <c r="BE45" s="9">
        <v>29</v>
      </c>
      <c r="BF45" s="25">
        <f t="shared" si="1"/>
        <v>72.41379310344827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2">
        <f t="shared" si="8"/>
        <v>24</v>
      </c>
      <c r="BL45" s="9">
        <f t="shared" si="2"/>
        <v>29</v>
      </c>
      <c r="BM45" s="2">
        <f t="shared" si="3"/>
        <v>82.758620689655174</v>
      </c>
      <c r="BN45" s="9" t="str">
        <f t="shared" si="4"/>
        <v>3</v>
      </c>
      <c r="BO45" s="9">
        <v>20</v>
      </c>
      <c r="BP45" s="70">
        <v>16.5</v>
      </c>
      <c r="BQ45" s="25">
        <f t="shared" si="5"/>
        <v>18.25</v>
      </c>
      <c r="BR45" s="9">
        <v>7.5</v>
      </c>
      <c r="BS45" s="9">
        <v>8</v>
      </c>
      <c r="BT45" s="9">
        <v>7.5</v>
      </c>
      <c r="BU45" s="27">
        <f t="shared" si="6"/>
        <v>7.666666666666667</v>
      </c>
      <c r="BV45" s="9">
        <v>5</v>
      </c>
      <c r="BW45" s="2">
        <f t="shared" si="7"/>
        <v>33.916666666666671</v>
      </c>
    </row>
    <row r="46" spans="1:75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f t="shared" si="0"/>
        <v>0</v>
      </c>
      <c r="BC46" s="9">
        <v>1</v>
      </c>
      <c r="BD46" s="69">
        <v>26</v>
      </c>
      <c r="BE46" s="9">
        <v>29</v>
      </c>
      <c r="BF46" s="25">
        <f t="shared" si="1"/>
        <v>89.65517241379311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2">
        <f t="shared" si="8"/>
        <v>27</v>
      </c>
      <c r="BL46" s="9">
        <f t="shared" si="2"/>
        <v>29</v>
      </c>
      <c r="BM46" s="2">
        <f t="shared" si="3"/>
        <v>93.103448275862064</v>
      </c>
      <c r="BN46" s="9" t="str">
        <f t="shared" si="4"/>
        <v>5</v>
      </c>
      <c r="BO46" s="9">
        <v>18</v>
      </c>
      <c r="BP46" s="70">
        <v>14</v>
      </c>
      <c r="BQ46" s="25">
        <f t="shared" si="5"/>
        <v>16</v>
      </c>
      <c r="BR46" s="9">
        <v>7.5</v>
      </c>
      <c r="BS46" s="9">
        <v>8</v>
      </c>
      <c r="BT46" s="9">
        <v>8.5</v>
      </c>
      <c r="BU46" s="27">
        <f t="shared" si="6"/>
        <v>8</v>
      </c>
      <c r="BV46" s="9">
        <v>5</v>
      </c>
      <c r="BW46" s="2">
        <f t="shared" si="7"/>
        <v>34</v>
      </c>
    </row>
    <row r="47" spans="1:75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f t="shared" si="0"/>
        <v>0</v>
      </c>
      <c r="BC47" s="9"/>
      <c r="BD47" s="69">
        <v>20</v>
      </c>
      <c r="BE47" s="9">
        <v>29</v>
      </c>
      <c r="BF47" s="25">
        <f t="shared" si="1"/>
        <v>68.965517241379317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2">
        <f t="shared" si="8"/>
        <v>20</v>
      </c>
      <c r="BL47" s="9">
        <f t="shared" si="2"/>
        <v>29</v>
      </c>
      <c r="BM47" s="2">
        <f t="shared" si="3"/>
        <v>68.965517241379317</v>
      </c>
      <c r="BN47" s="9" t="str">
        <f t="shared" si="4"/>
        <v>0</v>
      </c>
      <c r="BO47" s="9">
        <v>21</v>
      </c>
      <c r="BP47" s="70">
        <v>19</v>
      </c>
      <c r="BQ47" s="25">
        <f t="shared" si="5"/>
        <v>20</v>
      </c>
      <c r="BR47" s="9">
        <v>8.5</v>
      </c>
      <c r="BS47" s="9">
        <v>8.5</v>
      </c>
      <c r="BT47" s="9">
        <v>8</v>
      </c>
      <c r="BU47" s="27">
        <f t="shared" si="6"/>
        <v>8.3333333333333339</v>
      </c>
      <c r="BV47" s="9"/>
      <c r="BW47" s="2">
        <f t="shared" si="7"/>
        <v>28.333333333333336</v>
      </c>
    </row>
    <row r="48" spans="1:75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f t="shared" si="0"/>
        <v>0</v>
      </c>
      <c r="BC48" s="9"/>
      <c r="BD48" s="69">
        <v>19</v>
      </c>
      <c r="BE48" s="9">
        <v>29</v>
      </c>
      <c r="BF48" s="25">
        <f t="shared" si="1"/>
        <v>65.517241379310349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2">
        <f t="shared" si="8"/>
        <v>19</v>
      </c>
      <c r="BL48" s="9">
        <f t="shared" si="2"/>
        <v>29</v>
      </c>
      <c r="BM48" s="2">
        <f t="shared" si="3"/>
        <v>65.517241379310349</v>
      </c>
      <c r="BN48" s="9" t="str">
        <f t="shared" si="4"/>
        <v>0</v>
      </c>
      <c r="BO48" s="9">
        <v>23</v>
      </c>
      <c r="BP48" s="70">
        <v>13</v>
      </c>
      <c r="BQ48" s="25">
        <f t="shared" si="5"/>
        <v>18</v>
      </c>
      <c r="BR48" s="9">
        <v>7.5</v>
      </c>
      <c r="BS48" s="9">
        <v>7.5</v>
      </c>
      <c r="BT48" s="9">
        <v>8</v>
      </c>
      <c r="BU48" s="27">
        <f t="shared" si="6"/>
        <v>7.666666666666667</v>
      </c>
      <c r="BV48" s="9">
        <v>5</v>
      </c>
      <c r="BW48" s="2">
        <f t="shared" si="7"/>
        <v>30.666666666666668</v>
      </c>
    </row>
    <row r="49" spans="1:75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f t="shared" si="0"/>
        <v>0</v>
      </c>
      <c r="BC49" s="9"/>
      <c r="BD49" s="69">
        <v>18</v>
      </c>
      <c r="BE49" s="9">
        <v>29</v>
      </c>
      <c r="BF49" s="25">
        <f t="shared" si="1"/>
        <v>62.068965517241381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2">
        <f t="shared" si="8"/>
        <v>18</v>
      </c>
      <c r="BL49" s="9">
        <f t="shared" si="2"/>
        <v>29</v>
      </c>
      <c r="BM49" s="2">
        <f t="shared" si="3"/>
        <v>62.068965517241381</v>
      </c>
      <c r="BN49" s="9" t="str">
        <f t="shared" si="4"/>
        <v>0</v>
      </c>
      <c r="BO49" s="9">
        <v>15</v>
      </c>
      <c r="BP49" s="70">
        <v>10.5</v>
      </c>
      <c r="BQ49" s="25">
        <f t="shared" si="5"/>
        <v>12.75</v>
      </c>
      <c r="BR49" s="9">
        <v>7.5</v>
      </c>
      <c r="BS49" s="9">
        <v>7.5</v>
      </c>
      <c r="BT49" s="9">
        <v>8</v>
      </c>
      <c r="BU49" s="27">
        <f t="shared" si="6"/>
        <v>7.666666666666667</v>
      </c>
      <c r="BV49" s="9"/>
      <c r="BW49" s="2">
        <f t="shared" si="7"/>
        <v>20.416666666666668</v>
      </c>
    </row>
    <row r="50" spans="1:75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f t="shared" si="0"/>
        <v>0</v>
      </c>
      <c r="BC50" s="9"/>
      <c r="BD50" s="69">
        <v>17</v>
      </c>
      <c r="BE50" s="9">
        <v>29</v>
      </c>
      <c r="BF50" s="25">
        <f t="shared" si="1"/>
        <v>58.620689655172406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2">
        <f t="shared" si="8"/>
        <v>17</v>
      </c>
      <c r="BL50" s="9">
        <f t="shared" si="2"/>
        <v>29</v>
      </c>
      <c r="BM50" s="2">
        <f t="shared" si="3"/>
        <v>58.620689655172406</v>
      </c>
      <c r="BN50" s="9" t="str">
        <f t="shared" si="4"/>
        <v>0</v>
      </c>
      <c r="BO50" s="9">
        <v>21</v>
      </c>
      <c r="BP50" s="70">
        <v>14.5</v>
      </c>
      <c r="BQ50" s="25">
        <f t="shared" si="5"/>
        <v>17.75</v>
      </c>
      <c r="BR50" s="9">
        <v>7</v>
      </c>
      <c r="BS50" s="9">
        <v>7.5</v>
      </c>
      <c r="BT50" s="9">
        <v>7.5</v>
      </c>
      <c r="BU50" s="27">
        <f t="shared" si="6"/>
        <v>7.333333333333333</v>
      </c>
      <c r="BV50" s="9">
        <v>5</v>
      </c>
      <c r="BW50" s="2">
        <f t="shared" si="7"/>
        <v>30.083333333333332</v>
      </c>
    </row>
    <row r="51" spans="1:75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f t="shared" si="0"/>
        <v>0</v>
      </c>
      <c r="BC51" s="9"/>
      <c r="BD51" s="69">
        <v>8</v>
      </c>
      <c r="BE51" s="9">
        <v>29</v>
      </c>
      <c r="BF51" s="25">
        <f t="shared" si="1"/>
        <v>27.586206896551722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2">
        <f t="shared" si="8"/>
        <v>8</v>
      </c>
      <c r="BL51" s="9">
        <f t="shared" si="2"/>
        <v>29</v>
      </c>
      <c r="BM51" s="2">
        <f t="shared" si="3"/>
        <v>27.586206896551722</v>
      </c>
      <c r="BN51" s="9" t="str">
        <f t="shared" si="4"/>
        <v>0</v>
      </c>
      <c r="BO51" s="9">
        <v>19</v>
      </c>
      <c r="BP51" s="70">
        <v>13</v>
      </c>
      <c r="BQ51" s="25">
        <f t="shared" si="5"/>
        <v>16</v>
      </c>
      <c r="BR51" s="9">
        <v>7</v>
      </c>
      <c r="BS51" s="9">
        <v>0</v>
      </c>
      <c r="BT51" s="9">
        <v>0</v>
      </c>
      <c r="BU51" s="27">
        <f t="shared" si="6"/>
        <v>2.3333333333333335</v>
      </c>
      <c r="BV51" s="9">
        <v>5</v>
      </c>
      <c r="BW51" s="2">
        <f t="shared" si="7"/>
        <v>23.333333333333336</v>
      </c>
    </row>
    <row r="52" spans="1:75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f t="shared" si="0"/>
        <v>0</v>
      </c>
      <c r="BC52" s="9"/>
      <c r="BD52" s="69">
        <v>11</v>
      </c>
      <c r="BE52" s="9">
        <v>29</v>
      </c>
      <c r="BF52" s="25">
        <f t="shared" si="1"/>
        <v>37.931034482758619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2">
        <f t="shared" si="8"/>
        <v>11</v>
      </c>
      <c r="BL52" s="9">
        <f t="shared" si="2"/>
        <v>29</v>
      </c>
      <c r="BM52" s="2">
        <f t="shared" si="3"/>
        <v>37.931034482758619</v>
      </c>
      <c r="BN52" s="9" t="str">
        <f t="shared" si="4"/>
        <v>0</v>
      </c>
      <c r="BO52" s="9">
        <v>19</v>
      </c>
      <c r="BP52" s="70">
        <v>14.5</v>
      </c>
      <c r="BQ52" s="25">
        <f t="shared" si="5"/>
        <v>16.75</v>
      </c>
      <c r="BR52" s="9">
        <v>8</v>
      </c>
      <c r="BS52" s="9">
        <v>8</v>
      </c>
      <c r="BT52" s="9">
        <v>7</v>
      </c>
      <c r="BU52" s="27">
        <f t="shared" si="6"/>
        <v>7.666666666666667</v>
      </c>
      <c r="BV52" s="9"/>
      <c r="BW52" s="2">
        <f t="shared" si="7"/>
        <v>24.416666666666668</v>
      </c>
    </row>
    <row r="53" spans="1:75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f t="shared" si="0"/>
        <v>0</v>
      </c>
      <c r="BC53" s="9"/>
      <c r="BD53" s="69">
        <v>14</v>
      </c>
      <c r="BE53" s="9">
        <v>29</v>
      </c>
      <c r="BF53" s="25">
        <f t="shared" si="1"/>
        <v>48.275862068965516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2">
        <f t="shared" si="8"/>
        <v>14</v>
      </c>
      <c r="BL53" s="9">
        <f t="shared" si="2"/>
        <v>29</v>
      </c>
      <c r="BM53" s="2">
        <f t="shared" si="3"/>
        <v>48.275862068965516</v>
      </c>
      <c r="BN53" s="9" t="str">
        <f t="shared" si="4"/>
        <v>0</v>
      </c>
      <c r="BO53" s="9">
        <v>20</v>
      </c>
      <c r="BP53" s="70">
        <v>16</v>
      </c>
      <c r="BQ53" s="25">
        <f t="shared" si="5"/>
        <v>18</v>
      </c>
      <c r="BR53" s="9">
        <v>7.5</v>
      </c>
      <c r="BS53" s="9">
        <v>8</v>
      </c>
      <c r="BT53" s="9">
        <v>0</v>
      </c>
      <c r="BU53" s="27">
        <f t="shared" si="6"/>
        <v>5.166666666666667</v>
      </c>
      <c r="BV53" s="9"/>
      <c r="BW53" s="2">
        <f t="shared" si="7"/>
        <v>23.166666666666668</v>
      </c>
    </row>
    <row r="54" spans="1:75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f t="shared" si="0"/>
        <v>0</v>
      </c>
      <c r="BC54" s="9">
        <v>1</v>
      </c>
      <c r="BD54" s="69">
        <v>25</v>
      </c>
      <c r="BE54" s="9">
        <v>29</v>
      </c>
      <c r="BF54" s="25">
        <f t="shared" si="1"/>
        <v>86.206896551724128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2">
        <f t="shared" si="8"/>
        <v>26</v>
      </c>
      <c r="BL54" s="9">
        <f t="shared" si="2"/>
        <v>29</v>
      </c>
      <c r="BM54" s="2">
        <f t="shared" si="3"/>
        <v>89.65517241379311</v>
      </c>
      <c r="BN54" s="9" t="str">
        <f t="shared" si="4"/>
        <v>4</v>
      </c>
      <c r="BO54" s="9">
        <v>22</v>
      </c>
      <c r="BP54" s="70">
        <v>11</v>
      </c>
      <c r="BQ54" s="25">
        <f t="shared" si="5"/>
        <v>16.5</v>
      </c>
      <c r="BR54" s="9">
        <v>7</v>
      </c>
      <c r="BS54" s="9">
        <v>8</v>
      </c>
      <c r="BT54" s="9">
        <v>8</v>
      </c>
      <c r="BU54" s="27">
        <f t="shared" si="6"/>
        <v>7.666666666666667</v>
      </c>
      <c r="BV54" s="9">
        <v>5</v>
      </c>
      <c r="BW54" s="2">
        <f t="shared" si="7"/>
        <v>33.166666666666671</v>
      </c>
    </row>
    <row r="55" spans="1:75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f t="shared" si="0"/>
        <v>0</v>
      </c>
      <c r="BC55" s="9"/>
      <c r="BD55" s="69">
        <v>20</v>
      </c>
      <c r="BE55" s="9">
        <v>29</v>
      </c>
      <c r="BF55" s="25">
        <f t="shared" si="1"/>
        <v>68.965517241379317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2">
        <f t="shared" si="8"/>
        <v>20</v>
      </c>
      <c r="BL55" s="9">
        <f t="shared" si="2"/>
        <v>29</v>
      </c>
      <c r="BM55" s="2">
        <f t="shared" si="3"/>
        <v>68.965517241379317</v>
      </c>
      <c r="BN55" s="9" t="str">
        <f t="shared" si="4"/>
        <v>0</v>
      </c>
      <c r="BO55" s="9">
        <v>21</v>
      </c>
      <c r="BP55" s="70">
        <v>17</v>
      </c>
      <c r="BQ55" s="25">
        <f t="shared" si="5"/>
        <v>19</v>
      </c>
      <c r="BR55" s="9">
        <v>7</v>
      </c>
      <c r="BS55" s="9">
        <v>8</v>
      </c>
      <c r="BT55" s="9">
        <v>8</v>
      </c>
      <c r="BU55" s="27">
        <f t="shared" si="6"/>
        <v>7.666666666666667</v>
      </c>
      <c r="BV55" s="9"/>
      <c r="BW55" s="2">
        <f t="shared" si="7"/>
        <v>26.666666666666668</v>
      </c>
    </row>
    <row r="56" spans="1:75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f t="shared" si="0"/>
        <v>0</v>
      </c>
      <c r="BC56" s="9"/>
      <c r="BD56" s="69">
        <v>16</v>
      </c>
      <c r="BE56" s="9">
        <v>29</v>
      </c>
      <c r="BF56" s="25">
        <f t="shared" si="1"/>
        <v>55.172413793103445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2">
        <f t="shared" si="8"/>
        <v>16</v>
      </c>
      <c r="BL56" s="9">
        <f t="shared" si="2"/>
        <v>29</v>
      </c>
      <c r="BM56" s="2">
        <f t="shared" si="3"/>
        <v>55.172413793103445</v>
      </c>
      <c r="BN56" s="9" t="str">
        <f t="shared" si="4"/>
        <v>0</v>
      </c>
      <c r="BO56" s="9">
        <v>18</v>
      </c>
      <c r="BP56" s="70">
        <v>15</v>
      </c>
      <c r="BQ56" s="25">
        <f t="shared" si="5"/>
        <v>16.5</v>
      </c>
      <c r="BR56" s="28">
        <v>0</v>
      </c>
      <c r="BS56" s="28">
        <v>0</v>
      </c>
      <c r="BT56" s="28">
        <v>0</v>
      </c>
      <c r="BU56" s="27">
        <f t="shared" si="6"/>
        <v>0</v>
      </c>
      <c r="BV56" s="9"/>
      <c r="BW56" s="2">
        <f t="shared" si="7"/>
        <v>16.5</v>
      </c>
    </row>
    <row r="57" spans="1:75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f t="shared" si="0"/>
        <v>0</v>
      </c>
      <c r="BC57" s="9"/>
      <c r="BD57" s="69">
        <v>3</v>
      </c>
      <c r="BE57" s="9">
        <v>29</v>
      </c>
      <c r="BF57" s="25">
        <f t="shared" si="1"/>
        <v>10.344827586206897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2">
        <f t="shared" si="8"/>
        <v>3</v>
      </c>
      <c r="BL57" s="9">
        <f t="shared" si="2"/>
        <v>29</v>
      </c>
      <c r="BM57" s="2">
        <f t="shared" si="3"/>
        <v>10.344827586206897</v>
      </c>
      <c r="BN57" s="9" t="str">
        <f t="shared" si="4"/>
        <v>0</v>
      </c>
      <c r="BO57" s="9">
        <v>14</v>
      </c>
      <c r="BP57" s="70">
        <v>7</v>
      </c>
      <c r="BQ57" s="25">
        <f t="shared" si="5"/>
        <v>10.5</v>
      </c>
      <c r="BR57" s="28">
        <v>0</v>
      </c>
      <c r="BS57" s="28">
        <v>0</v>
      </c>
      <c r="BT57" s="28">
        <v>0</v>
      </c>
      <c r="BU57" s="27">
        <f t="shared" si="6"/>
        <v>0</v>
      </c>
      <c r="BV57" s="9">
        <v>5</v>
      </c>
      <c r="BW57" s="2">
        <f t="shared" si="7"/>
        <v>15.5</v>
      </c>
    </row>
    <row r="58" spans="1:75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f t="shared" si="0"/>
        <v>0</v>
      </c>
      <c r="BC58" s="9"/>
      <c r="BD58" s="69">
        <v>18</v>
      </c>
      <c r="BE58" s="9">
        <v>29</v>
      </c>
      <c r="BF58" s="25">
        <f t="shared" si="1"/>
        <v>62.068965517241381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2">
        <f t="shared" si="8"/>
        <v>18</v>
      </c>
      <c r="BL58" s="9">
        <f t="shared" si="2"/>
        <v>29</v>
      </c>
      <c r="BM58" s="2">
        <f t="shared" si="3"/>
        <v>62.068965517241381</v>
      </c>
      <c r="BN58" s="9" t="str">
        <f t="shared" si="4"/>
        <v>0</v>
      </c>
      <c r="BO58" s="28">
        <v>12.5</v>
      </c>
      <c r="BP58" s="70">
        <v>12.5</v>
      </c>
      <c r="BQ58" s="25">
        <f t="shared" si="5"/>
        <v>12.5</v>
      </c>
      <c r="BR58" s="9">
        <v>7.5</v>
      </c>
      <c r="BS58" s="9">
        <v>8</v>
      </c>
      <c r="BT58" s="9">
        <v>8</v>
      </c>
      <c r="BU58" s="27">
        <f t="shared" si="6"/>
        <v>7.833333333333333</v>
      </c>
      <c r="BV58" s="9">
        <v>5</v>
      </c>
      <c r="BW58" s="2">
        <f t="shared" si="7"/>
        <v>25.333333333333332</v>
      </c>
    </row>
    <row r="59" spans="1:75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f t="shared" si="0"/>
        <v>0</v>
      </c>
      <c r="BC59" s="9"/>
      <c r="BD59" s="69">
        <v>13</v>
      </c>
      <c r="BE59" s="9">
        <v>29</v>
      </c>
      <c r="BF59" s="25">
        <f t="shared" si="1"/>
        <v>44.827586206896555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2">
        <f t="shared" si="8"/>
        <v>13</v>
      </c>
      <c r="BL59" s="9">
        <f t="shared" si="2"/>
        <v>29</v>
      </c>
      <c r="BM59" s="2">
        <f t="shared" si="3"/>
        <v>44.827586206896555</v>
      </c>
      <c r="BN59" s="9" t="str">
        <f t="shared" si="4"/>
        <v>0</v>
      </c>
      <c r="BO59" s="9">
        <v>16</v>
      </c>
      <c r="BP59" s="70">
        <v>9.5</v>
      </c>
      <c r="BQ59" s="25">
        <f t="shared" si="5"/>
        <v>12.75</v>
      </c>
      <c r="BR59" s="9">
        <v>8</v>
      </c>
      <c r="BS59" s="9">
        <v>8.5</v>
      </c>
      <c r="BT59" s="9">
        <v>8</v>
      </c>
      <c r="BU59" s="27">
        <f t="shared" si="6"/>
        <v>8.1666666666666661</v>
      </c>
      <c r="BV59" s="9"/>
      <c r="BW59" s="2">
        <f t="shared" si="7"/>
        <v>20.916666666666664</v>
      </c>
    </row>
    <row r="60" spans="1:75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f t="shared" si="0"/>
        <v>0</v>
      </c>
      <c r="BC60" s="9"/>
      <c r="BD60" s="69">
        <v>23</v>
      </c>
      <c r="BE60" s="9">
        <v>29</v>
      </c>
      <c r="BF60" s="25">
        <f t="shared" si="1"/>
        <v>79.310344827586206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2">
        <f t="shared" si="8"/>
        <v>23</v>
      </c>
      <c r="BL60" s="9">
        <f t="shared" si="2"/>
        <v>29</v>
      </c>
      <c r="BM60" s="2">
        <f t="shared" si="3"/>
        <v>79.310344827586206</v>
      </c>
      <c r="BN60" s="9" t="str">
        <f t="shared" si="4"/>
        <v>2</v>
      </c>
      <c r="BO60" s="9">
        <v>17</v>
      </c>
      <c r="BP60" s="70">
        <v>17.5</v>
      </c>
      <c r="BQ60" s="25">
        <f t="shared" si="5"/>
        <v>17.25</v>
      </c>
      <c r="BR60" s="9">
        <v>8</v>
      </c>
      <c r="BS60" s="9">
        <v>8</v>
      </c>
      <c r="BT60" s="9">
        <v>7</v>
      </c>
      <c r="BU60" s="27">
        <f t="shared" si="6"/>
        <v>7.666666666666667</v>
      </c>
      <c r="BV60" s="9"/>
      <c r="BW60" s="2">
        <f t="shared" si="7"/>
        <v>26.916666666666668</v>
      </c>
    </row>
    <row r="61" spans="1:75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f t="shared" si="0"/>
        <v>0</v>
      </c>
      <c r="BC61" s="9"/>
      <c r="BD61" s="69">
        <v>19</v>
      </c>
      <c r="BE61" s="9">
        <v>29</v>
      </c>
      <c r="BF61" s="25">
        <f t="shared" si="1"/>
        <v>65.517241379310349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2">
        <f t="shared" si="8"/>
        <v>19</v>
      </c>
      <c r="BL61" s="9">
        <f t="shared" si="2"/>
        <v>29</v>
      </c>
      <c r="BM61" s="2">
        <f t="shared" si="3"/>
        <v>65.517241379310349</v>
      </c>
      <c r="BN61" s="9" t="str">
        <f t="shared" si="4"/>
        <v>0</v>
      </c>
      <c r="BO61" s="9">
        <v>14</v>
      </c>
      <c r="BP61" s="70">
        <v>7</v>
      </c>
      <c r="BQ61" s="25">
        <f t="shared" si="5"/>
        <v>10.5</v>
      </c>
      <c r="BR61" s="9">
        <v>7.5</v>
      </c>
      <c r="BS61" s="9">
        <v>7.5</v>
      </c>
      <c r="BT61" s="28">
        <v>0</v>
      </c>
      <c r="BU61" s="27">
        <f t="shared" si="6"/>
        <v>5</v>
      </c>
      <c r="BV61" s="9"/>
      <c r="BW61" s="2">
        <f t="shared" si="7"/>
        <v>15.5</v>
      </c>
    </row>
    <row r="62" spans="1:75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f t="shared" si="0"/>
        <v>0</v>
      </c>
      <c r="BC62" s="9"/>
      <c r="BD62" s="69">
        <v>23</v>
      </c>
      <c r="BE62" s="9">
        <v>29</v>
      </c>
      <c r="BF62" s="25">
        <f t="shared" si="1"/>
        <v>79.310344827586206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2">
        <f t="shared" si="8"/>
        <v>23</v>
      </c>
      <c r="BL62" s="9">
        <f t="shared" si="2"/>
        <v>29</v>
      </c>
      <c r="BM62" s="2">
        <f t="shared" si="3"/>
        <v>79.310344827586206</v>
      </c>
      <c r="BN62" s="9" t="str">
        <f t="shared" si="4"/>
        <v>2</v>
      </c>
      <c r="BO62" s="9">
        <v>24</v>
      </c>
      <c r="BP62" s="70">
        <v>10.5</v>
      </c>
      <c r="BQ62" s="25">
        <f t="shared" si="5"/>
        <v>17.25</v>
      </c>
      <c r="BR62" s="9">
        <v>8.5</v>
      </c>
      <c r="BS62" s="9">
        <v>8</v>
      </c>
      <c r="BT62" s="9">
        <v>8</v>
      </c>
      <c r="BU62" s="27">
        <f t="shared" si="6"/>
        <v>8.1666666666666661</v>
      </c>
      <c r="BV62" s="9"/>
      <c r="BW62" s="2">
        <f t="shared" si="7"/>
        <v>27.416666666666664</v>
      </c>
    </row>
    <row r="63" spans="1:75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f t="shared" si="0"/>
        <v>0</v>
      </c>
      <c r="BC63" s="9">
        <v>2</v>
      </c>
      <c r="BD63" s="69">
        <v>12</v>
      </c>
      <c r="BE63" s="9">
        <v>29</v>
      </c>
      <c r="BF63" s="25">
        <f t="shared" si="1"/>
        <v>41.379310344827587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2">
        <f t="shared" si="8"/>
        <v>14</v>
      </c>
      <c r="BL63" s="9">
        <f t="shared" si="2"/>
        <v>29</v>
      </c>
      <c r="BM63" s="2">
        <f t="shared" si="3"/>
        <v>48.275862068965516</v>
      </c>
      <c r="BN63" s="9" t="str">
        <f t="shared" si="4"/>
        <v>0</v>
      </c>
      <c r="BO63" s="9">
        <v>22</v>
      </c>
      <c r="BP63" s="70">
        <v>11</v>
      </c>
      <c r="BQ63" s="25">
        <f t="shared" si="5"/>
        <v>16.5</v>
      </c>
      <c r="BR63" s="28">
        <v>0</v>
      </c>
      <c r="BS63" s="28">
        <v>0</v>
      </c>
      <c r="BT63" s="28">
        <v>0</v>
      </c>
      <c r="BU63" s="27">
        <f t="shared" si="6"/>
        <v>0</v>
      </c>
      <c r="BV63" s="9"/>
      <c r="BW63" s="2">
        <f t="shared" si="7"/>
        <v>16.5</v>
      </c>
    </row>
    <row r="64" spans="1:75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f t="shared" si="0"/>
        <v>0</v>
      </c>
      <c r="BC64" s="9"/>
      <c r="BD64" s="69">
        <v>25</v>
      </c>
      <c r="BE64" s="9">
        <v>29</v>
      </c>
      <c r="BF64" s="25">
        <f t="shared" si="1"/>
        <v>86.206896551724128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2">
        <f t="shared" si="8"/>
        <v>25</v>
      </c>
      <c r="BL64" s="9">
        <f t="shared" si="2"/>
        <v>29</v>
      </c>
      <c r="BM64" s="2">
        <f t="shared" si="3"/>
        <v>86.206896551724128</v>
      </c>
      <c r="BN64" s="9" t="str">
        <f t="shared" si="4"/>
        <v>4</v>
      </c>
      <c r="BO64" s="9">
        <v>20</v>
      </c>
      <c r="BP64" s="70">
        <v>13</v>
      </c>
      <c r="BQ64" s="25">
        <f t="shared" si="5"/>
        <v>16.5</v>
      </c>
      <c r="BR64" s="9">
        <v>8.5</v>
      </c>
      <c r="BS64" s="9">
        <v>8</v>
      </c>
      <c r="BT64" s="9">
        <v>7.5</v>
      </c>
      <c r="BU64" s="27">
        <f t="shared" si="6"/>
        <v>8</v>
      </c>
      <c r="BV64" s="9"/>
      <c r="BW64" s="2">
        <f t="shared" si="7"/>
        <v>28.5</v>
      </c>
    </row>
    <row r="65" spans="1:75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f t="shared" si="0"/>
        <v>0</v>
      </c>
      <c r="BC65" s="9"/>
      <c r="BD65" s="69">
        <v>25</v>
      </c>
      <c r="BE65" s="9">
        <v>29</v>
      </c>
      <c r="BF65" s="25">
        <f t="shared" si="1"/>
        <v>86.206896551724128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2">
        <f t="shared" si="8"/>
        <v>25</v>
      </c>
      <c r="BL65" s="9">
        <f t="shared" si="2"/>
        <v>29</v>
      </c>
      <c r="BM65" s="2">
        <f t="shared" si="3"/>
        <v>86.206896551724128</v>
      </c>
      <c r="BN65" s="9" t="str">
        <f t="shared" si="4"/>
        <v>4</v>
      </c>
      <c r="BO65" s="9">
        <v>20</v>
      </c>
      <c r="BP65" s="70">
        <v>18.5</v>
      </c>
      <c r="BQ65" s="25">
        <f t="shared" si="5"/>
        <v>19.25</v>
      </c>
      <c r="BR65" s="9">
        <v>7</v>
      </c>
      <c r="BS65" s="9">
        <v>7.5</v>
      </c>
      <c r="BT65" s="9">
        <v>8.5</v>
      </c>
      <c r="BU65" s="27">
        <f t="shared" si="6"/>
        <v>7.666666666666667</v>
      </c>
      <c r="BV65" s="9">
        <v>5</v>
      </c>
      <c r="BW65" s="2">
        <f t="shared" si="7"/>
        <v>35.916666666666671</v>
      </c>
    </row>
    <row r="66" spans="1:75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f t="shared" si="0"/>
        <v>0</v>
      </c>
      <c r="BC66" s="9"/>
      <c r="BD66" s="69">
        <v>22</v>
      </c>
      <c r="BE66" s="9">
        <v>29</v>
      </c>
      <c r="BF66" s="25">
        <f t="shared" si="1"/>
        <v>75.862068965517238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2">
        <f t="shared" si="8"/>
        <v>22</v>
      </c>
      <c r="BL66" s="9">
        <f t="shared" si="2"/>
        <v>29</v>
      </c>
      <c r="BM66" s="2">
        <f t="shared" si="3"/>
        <v>75.862068965517238</v>
      </c>
      <c r="BN66" s="9" t="str">
        <f t="shared" si="4"/>
        <v>2</v>
      </c>
      <c r="BO66" s="9">
        <v>21</v>
      </c>
      <c r="BP66" s="70">
        <v>11</v>
      </c>
      <c r="BQ66" s="25">
        <f t="shared" si="5"/>
        <v>16</v>
      </c>
      <c r="BR66" s="9">
        <v>8</v>
      </c>
      <c r="BS66" s="9">
        <v>7.5</v>
      </c>
      <c r="BT66" s="9">
        <v>7</v>
      </c>
      <c r="BU66" s="27">
        <f t="shared" si="6"/>
        <v>7.5</v>
      </c>
      <c r="BV66" s="9"/>
      <c r="BW66" s="2">
        <f t="shared" si="7"/>
        <v>25.5</v>
      </c>
    </row>
    <row r="67" spans="1:75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f t="shared" si="0"/>
        <v>0</v>
      </c>
      <c r="BC67" s="9"/>
      <c r="BD67" s="69">
        <v>18</v>
      </c>
      <c r="BE67" s="9">
        <v>29</v>
      </c>
      <c r="BF67" s="25">
        <f t="shared" si="1"/>
        <v>62.068965517241381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2">
        <f t="shared" si="8"/>
        <v>18</v>
      </c>
      <c r="BL67" s="9">
        <f t="shared" si="2"/>
        <v>29</v>
      </c>
      <c r="BM67" s="2">
        <f t="shared" si="3"/>
        <v>62.068965517241381</v>
      </c>
      <c r="BN67" s="9" t="str">
        <f t="shared" si="4"/>
        <v>0</v>
      </c>
      <c r="BO67" s="9">
        <v>20</v>
      </c>
      <c r="BP67" s="70">
        <v>15</v>
      </c>
      <c r="BQ67" s="25">
        <f t="shared" si="5"/>
        <v>17.5</v>
      </c>
      <c r="BR67" s="9">
        <v>7.5</v>
      </c>
      <c r="BS67" s="9">
        <v>8</v>
      </c>
      <c r="BT67" s="9">
        <v>7</v>
      </c>
      <c r="BU67" s="27">
        <f t="shared" si="6"/>
        <v>7.5</v>
      </c>
      <c r="BV67" s="9"/>
      <c r="BW67" s="2">
        <f t="shared" si="7"/>
        <v>25</v>
      </c>
    </row>
    <row r="68" spans="1:75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f t="shared" si="0"/>
        <v>0</v>
      </c>
      <c r="BC68" s="9"/>
      <c r="BD68" s="69">
        <v>13</v>
      </c>
      <c r="BE68" s="9">
        <v>29</v>
      </c>
      <c r="BF68" s="25">
        <f t="shared" si="1"/>
        <v>44.827586206896555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2">
        <f t="shared" si="8"/>
        <v>13</v>
      </c>
      <c r="BL68" s="9">
        <f t="shared" si="2"/>
        <v>29</v>
      </c>
      <c r="BM68" s="2">
        <f t="shared" si="3"/>
        <v>44.827586206896555</v>
      </c>
      <c r="BN68" s="9" t="str">
        <f t="shared" si="4"/>
        <v>0</v>
      </c>
      <c r="BO68" s="9">
        <v>15</v>
      </c>
      <c r="BP68" s="70">
        <v>10</v>
      </c>
      <c r="BQ68" s="25">
        <f t="shared" si="5"/>
        <v>12.5</v>
      </c>
      <c r="BR68" s="28">
        <v>0</v>
      </c>
      <c r="BS68" s="28">
        <v>0</v>
      </c>
      <c r="BT68" s="28">
        <v>0</v>
      </c>
      <c r="BU68" s="27">
        <f t="shared" si="6"/>
        <v>0</v>
      </c>
      <c r="BV68" s="9"/>
      <c r="BW68" s="2">
        <f t="shared" si="7"/>
        <v>12.5</v>
      </c>
    </row>
    <row r="69" spans="1:75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f t="shared" si="0"/>
        <v>0</v>
      </c>
      <c r="BC69" s="9"/>
      <c r="BD69" s="69">
        <v>23</v>
      </c>
      <c r="BE69" s="9">
        <v>29</v>
      </c>
      <c r="BF69" s="25">
        <f t="shared" si="1"/>
        <v>79.310344827586206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2">
        <f t="shared" si="8"/>
        <v>23</v>
      </c>
      <c r="BL69" s="9">
        <f t="shared" si="2"/>
        <v>29</v>
      </c>
      <c r="BM69" s="2">
        <f t="shared" si="3"/>
        <v>79.310344827586206</v>
      </c>
      <c r="BN69" s="9" t="str">
        <f t="shared" si="4"/>
        <v>2</v>
      </c>
      <c r="BO69" s="9">
        <v>20</v>
      </c>
      <c r="BP69" s="70">
        <v>9</v>
      </c>
      <c r="BQ69" s="25">
        <f t="shared" si="5"/>
        <v>14.5</v>
      </c>
      <c r="BR69" s="9">
        <v>8</v>
      </c>
      <c r="BS69" s="9">
        <v>7.5</v>
      </c>
      <c r="BT69" s="9">
        <v>8</v>
      </c>
      <c r="BU69" s="27">
        <f t="shared" si="6"/>
        <v>7.833333333333333</v>
      </c>
      <c r="BV69" s="9"/>
      <c r="BW69" s="2">
        <f t="shared" si="7"/>
        <v>24.333333333333332</v>
      </c>
    </row>
    <row r="70" spans="1:75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f t="shared" si="0"/>
        <v>0</v>
      </c>
      <c r="BC70" s="9"/>
      <c r="BD70" s="69">
        <v>2</v>
      </c>
      <c r="BE70" s="9">
        <v>29</v>
      </c>
      <c r="BF70" s="25">
        <f t="shared" si="1"/>
        <v>6.8965517241379306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2">
        <f t="shared" si="8"/>
        <v>2</v>
      </c>
      <c r="BL70" s="9">
        <f t="shared" si="2"/>
        <v>29</v>
      </c>
      <c r="BM70" s="2">
        <f t="shared" si="3"/>
        <v>6.8965517241379306</v>
      </c>
      <c r="BN70" s="9" t="str">
        <f t="shared" si="4"/>
        <v>0</v>
      </c>
      <c r="BO70" s="9">
        <v>0</v>
      </c>
      <c r="BP70" s="70">
        <v>8.5</v>
      </c>
      <c r="BQ70" s="25">
        <f t="shared" si="5"/>
        <v>4.25</v>
      </c>
      <c r="BR70" s="9">
        <v>8</v>
      </c>
      <c r="BS70" s="9">
        <v>8</v>
      </c>
      <c r="BT70" s="9">
        <v>7</v>
      </c>
      <c r="BU70" s="27">
        <f t="shared" si="6"/>
        <v>7.666666666666667</v>
      </c>
      <c r="BV70" s="9">
        <v>5</v>
      </c>
      <c r="BW70" s="2">
        <f t="shared" si="7"/>
        <v>16.916666666666668</v>
      </c>
    </row>
    <row r="71" spans="1:75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f t="shared" si="0"/>
        <v>0</v>
      </c>
      <c r="BC71" s="9"/>
      <c r="BD71" s="69">
        <v>25</v>
      </c>
      <c r="BE71" s="9">
        <v>29</v>
      </c>
      <c r="BF71" s="25">
        <f t="shared" si="1"/>
        <v>86.206896551724128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3">
        <f t="shared" si="8"/>
        <v>25</v>
      </c>
      <c r="BL71" s="11">
        <f t="shared" si="2"/>
        <v>29</v>
      </c>
      <c r="BM71" s="13">
        <f t="shared" si="3"/>
        <v>86.206896551724128</v>
      </c>
      <c r="BN71" s="11" t="str">
        <f t="shared" si="4"/>
        <v>4</v>
      </c>
      <c r="BO71" s="11">
        <v>21</v>
      </c>
      <c r="BP71" s="71">
        <v>14</v>
      </c>
      <c r="BQ71" s="73">
        <f t="shared" si="5"/>
        <v>17.5</v>
      </c>
      <c r="BR71" s="11">
        <v>7.5</v>
      </c>
      <c r="BS71" s="11">
        <v>8</v>
      </c>
      <c r="BT71" s="11">
        <v>7.5</v>
      </c>
      <c r="BU71" s="30">
        <f t="shared" si="6"/>
        <v>7.666666666666667</v>
      </c>
      <c r="BV71" s="11">
        <v>4</v>
      </c>
      <c r="BW71" s="13">
        <f t="shared" si="7"/>
        <v>33.166666666666671</v>
      </c>
    </row>
    <row r="72" spans="1:75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f t="shared" si="0"/>
        <v>0</v>
      </c>
      <c r="BC72" s="9">
        <v>5</v>
      </c>
      <c r="BD72" s="69">
        <v>17</v>
      </c>
      <c r="BE72" s="9">
        <v>29</v>
      </c>
      <c r="BF72" s="25">
        <f t="shared" si="1"/>
        <v>58.620689655172406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3">
        <f t="shared" si="8"/>
        <v>22</v>
      </c>
      <c r="BL72" s="11">
        <f t="shared" si="2"/>
        <v>29</v>
      </c>
      <c r="BM72" s="13">
        <f t="shared" si="3"/>
        <v>75.862068965517238</v>
      </c>
      <c r="BN72" s="11" t="str">
        <f t="shared" si="4"/>
        <v>2</v>
      </c>
      <c r="BO72" s="11">
        <v>24</v>
      </c>
      <c r="BP72" s="71">
        <v>20.5</v>
      </c>
      <c r="BQ72" s="73">
        <f t="shared" si="5"/>
        <v>22.25</v>
      </c>
      <c r="BR72" s="11">
        <v>8.5</v>
      </c>
      <c r="BS72" s="11">
        <v>8</v>
      </c>
      <c r="BT72" s="11">
        <v>8</v>
      </c>
      <c r="BU72" s="30">
        <f t="shared" si="6"/>
        <v>8.1666666666666661</v>
      </c>
      <c r="BV72" s="11">
        <v>4</v>
      </c>
      <c r="BW72" s="13">
        <f t="shared" si="7"/>
        <v>36.416666666666664</v>
      </c>
    </row>
    <row r="73" spans="1:75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f t="shared" si="0"/>
        <v>0</v>
      </c>
      <c r="BC73" s="9"/>
      <c r="BD73" s="69">
        <v>10</v>
      </c>
      <c r="BE73" s="9">
        <v>29</v>
      </c>
      <c r="BF73" s="25">
        <f t="shared" si="1"/>
        <v>34.482758620689658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3">
        <f t="shared" si="8"/>
        <v>10</v>
      </c>
      <c r="BL73" s="11">
        <f t="shared" si="2"/>
        <v>29</v>
      </c>
      <c r="BM73" s="13">
        <f t="shared" si="3"/>
        <v>34.482758620689658</v>
      </c>
      <c r="BN73" s="11" t="str">
        <f t="shared" si="4"/>
        <v>0</v>
      </c>
      <c r="BO73" s="11">
        <v>21</v>
      </c>
      <c r="BP73" s="71">
        <v>13.5</v>
      </c>
      <c r="BQ73" s="73">
        <f t="shared" si="5"/>
        <v>17.25</v>
      </c>
      <c r="BR73" s="11">
        <v>7</v>
      </c>
      <c r="BS73" s="11">
        <v>7.5</v>
      </c>
      <c r="BT73" s="11">
        <v>8</v>
      </c>
      <c r="BU73" s="30">
        <f t="shared" si="6"/>
        <v>7.5</v>
      </c>
      <c r="BV73" s="11">
        <v>4</v>
      </c>
      <c r="BW73" s="13">
        <f t="shared" si="7"/>
        <v>28.75</v>
      </c>
    </row>
    <row r="74" spans="1:75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f t="shared" si="0"/>
        <v>0</v>
      </c>
      <c r="BC74" s="9"/>
      <c r="BD74" s="69">
        <v>22</v>
      </c>
      <c r="BE74" s="9">
        <v>29</v>
      </c>
      <c r="BF74" s="25">
        <f t="shared" si="1"/>
        <v>75.862068965517238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3">
        <f t="shared" si="8"/>
        <v>22</v>
      </c>
      <c r="BL74" s="11">
        <f t="shared" si="2"/>
        <v>29</v>
      </c>
      <c r="BM74" s="13">
        <f t="shared" si="3"/>
        <v>75.862068965517238</v>
      </c>
      <c r="BN74" s="11" t="str">
        <f t="shared" si="4"/>
        <v>2</v>
      </c>
      <c r="BO74" s="11">
        <v>21</v>
      </c>
      <c r="BP74" s="71">
        <v>17</v>
      </c>
      <c r="BQ74" s="73">
        <f t="shared" si="5"/>
        <v>19</v>
      </c>
      <c r="BR74" s="11">
        <v>7.5</v>
      </c>
      <c r="BS74" s="11">
        <v>8</v>
      </c>
      <c r="BT74" s="11">
        <v>8</v>
      </c>
      <c r="BU74" s="30">
        <f t="shared" si="6"/>
        <v>7.833333333333333</v>
      </c>
      <c r="BV74" s="11">
        <v>4</v>
      </c>
      <c r="BW74" s="13">
        <f t="shared" si="7"/>
        <v>32.833333333333329</v>
      </c>
    </row>
    <row r="75" spans="1:75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f t="shared" si="0"/>
        <v>0</v>
      </c>
      <c r="BC75" s="9"/>
      <c r="BD75" s="69">
        <v>11</v>
      </c>
      <c r="BE75" s="9">
        <v>29</v>
      </c>
      <c r="BF75" s="25">
        <f t="shared" si="1"/>
        <v>37.931034482758619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3">
        <f t="shared" si="8"/>
        <v>11</v>
      </c>
      <c r="BL75" s="11">
        <f t="shared" si="2"/>
        <v>29</v>
      </c>
      <c r="BM75" s="13">
        <f t="shared" si="3"/>
        <v>37.931034482758619</v>
      </c>
      <c r="BN75" s="11" t="str">
        <f t="shared" si="4"/>
        <v>0</v>
      </c>
      <c r="BO75" s="11">
        <v>15</v>
      </c>
      <c r="BP75" s="71">
        <v>14</v>
      </c>
      <c r="BQ75" s="73">
        <f t="shared" si="5"/>
        <v>14.5</v>
      </c>
      <c r="BR75" s="11">
        <v>7.5</v>
      </c>
      <c r="BS75" s="11">
        <v>8</v>
      </c>
      <c r="BT75" s="11">
        <v>7</v>
      </c>
      <c r="BU75" s="30">
        <f t="shared" si="6"/>
        <v>7.5</v>
      </c>
      <c r="BV75" s="11">
        <v>4</v>
      </c>
      <c r="BW75" s="13">
        <f t="shared" si="7"/>
        <v>26</v>
      </c>
    </row>
    <row r="76" spans="1:75" ht="14.2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>
        <f t="shared" si="0"/>
        <v>0</v>
      </c>
      <c r="BC76" s="9"/>
      <c r="BD76" s="69">
        <v>12</v>
      </c>
      <c r="BE76" s="9">
        <v>29</v>
      </c>
      <c r="BF76" s="25">
        <f t="shared" si="1"/>
        <v>41.379310344827587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13">
        <f t="shared" si="8"/>
        <v>12</v>
      </c>
      <c r="BL76" s="11">
        <f t="shared" si="2"/>
        <v>29</v>
      </c>
      <c r="BM76" s="13">
        <f t="shared" si="3"/>
        <v>41.379310344827587</v>
      </c>
      <c r="BN76" s="11" t="str">
        <f t="shared" si="4"/>
        <v>0</v>
      </c>
      <c r="BO76" s="11">
        <v>18</v>
      </c>
      <c r="BP76" s="71">
        <v>7</v>
      </c>
      <c r="BQ76" s="73">
        <f t="shared" si="5"/>
        <v>12.5</v>
      </c>
      <c r="BR76" s="11">
        <v>8</v>
      </c>
      <c r="BS76" s="11">
        <v>8</v>
      </c>
      <c r="BT76" s="11">
        <v>8</v>
      </c>
      <c r="BU76" s="30">
        <f t="shared" si="6"/>
        <v>8</v>
      </c>
      <c r="BV76" s="11">
        <v>4</v>
      </c>
      <c r="BW76" s="13">
        <f t="shared" si="7"/>
        <v>24.5</v>
      </c>
    </row>
    <row r="77" spans="1:75" ht="14.25" customHeight="1">
      <c r="A77" s="19"/>
      <c r="B77" s="20"/>
      <c r="C77" s="3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69"/>
      <c r="BE77" s="20"/>
      <c r="BF77" s="32"/>
      <c r="BG77" s="20"/>
      <c r="BH77" s="19"/>
      <c r="BI77" s="20"/>
      <c r="BJ77" s="20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74"/>
      <c r="BV77" s="19"/>
      <c r="BW77" s="19"/>
    </row>
    <row r="78" spans="1:75" ht="14.25" customHeight="1">
      <c r="A78" s="19"/>
      <c r="B78" s="20"/>
      <c r="C78" s="3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32"/>
      <c r="BG78" s="20"/>
      <c r="BH78" s="19"/>
      <c r="BI78" s="20"/>
      <c r="BJ78" s="20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74"/>
      <c r="BV78" s="19"/>
      <c r="BW78" s="19"/>
    </row>
    <row r="79" spans="1:75" ht="14.25" customHeight="1">
      <c r="A79" s="19"/>
      <c r="B79" s="20"/>
      <c r="C79" s="3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32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74"/>
      <c r="BV79" s="19"/>
      <c r="BW79" s="19"/>
    </row>
    <row r="80" spans="1:75" ht="14.25" customHeight="1">
      <c r="A80" s="19"/>
      <c r="B80" s="20"/>
      <c r="C80" s="3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32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74"/>
      <c r="BV80" s="19"/>
      <c r="BW80" s="19"/>
    </row>
    <row r="81" spans="1:75" ht="14.25" customHeight="1">
      <c r="A81" s="19"/>
      <c r="B81" s="20"/>
      <c r="C81" s="3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32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74"/>
      <c r="BV81" s="19"/>
      <c r="BW81" s="19"/>
    </row>
    <row r="82" spans="1:75" ht="14.25" customHeight="1">
      <c r="A82" s="19"/>
      <c r="B82" s="20"/>
      <c r="C82" s="3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32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74"/>
      <c r="BV82" s="19"/>
      <c r="BW82" s="19"/>
    </row>
    <row r="83" spans="1:75" ht="14.25" customHeight="1">
      <c r="A83" s="19"/>
      <c r="B83" s="20"/>
      <c r="C83" s="3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32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74"/>
      <c r="BV83" s="19"/>
      <c r="BW83" s="19"/>
    </row>
    <row r="84" spans="1:75" ht="14.25" customHeight="1">
      <c r="A84" s="19"/>
      <c r="B84" s="20"/>
      <c r="C84" s="3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32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74"/>
      <c r="BV84" s="19"/>
      <c r="BW84" s="19"/>
    </row>
    <row r="85" spans="1:75" ht="14.25" customHeight="1">
      <c r="A85" s="19"/>
      <c r="B85" s="20"/>
      <c r="C85" s="3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32"/>
      <c r="BG85" s="20"/>
      <c r="BH85" s="19"/>
      <c r="BI85" s="20"/>
      <c r="BJ85" s="20"/>
      <c r="BK85" s="19"/>
      <c r="BL85" s="2">
        <f t="shared" ref="BL85:BL154" si="9">BK85+BJ85+BF85+BC85</f>
        <v>0</v>
      </c>
      <c r="BM85" s="19"/>
      <c r="BN85" s="19"/>
      <c r="BO85" s="19"/>
      <c r="BP85" s="19"/>
      <c r="BQ85" s="19"/>
      <c r="BR85" s="19"/>
      <c r="BS85" s="19"/>
      <c r="BT85" s="19"/>
      <c r="BU85" s="74"/>
      <c r="BV85" s="19"/>
      <c r="BW85" s="19"/>
    </row>
    <row r="86" spans="1:75" ht="14.25" customHeight="1">
      <c r="A86" s="19"/>
      <c r="B86" s="20"/>
      <c r="C86" s="3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32"/>
      <c r="BG86" s="20"/>
      <c r="BH86" s="19"/>
      <c r="BI86" s="20"/>
      <c r="BJ86" s="20"/>
      <c r="BK86" s="19"/>
      <c r="BL86" s="2">
        <f t="shared" si="9"/>
        <v>0</v>
      </c>
      <c r="BM86" s="19"/>
      <c r="BN86" s="19"/>
      <c r="BO86" s="19"/>
      <c r="BP86" s="19"/>
      <c r="BQ86" s="19"/>
      <c r="BR86" s="19"/>
      <c r="BS86" s="19"/>
      <c r="BT86" s="19"/>
      <c r="BU86" s="74"/>
      <c r="BV86" s="19"/>
      <c r="BW86" s="19"/>
    </row>
    <row r="87" spans="1:75" ht="14.25" customHeight="1">
      <c r="A87" s="19"/>
      <c r="B87" s="20"/>
      <c r="C87" s="3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32"/>
      <c r="BG87" s="20"/>
      <c r="BH87" s="19"/>
      <c r="BI87" s="20"/>
      <c r="BJ87" s="20"/>
      <c r="BK87" s="19"/>
      <c r="BL87" s="2">
        <f t="shared" si="9"/>
        <v>0</v>
      </c>
      <c r="BM87" s="19"/>
      <c r="BN87" s="19"/>
      <c r="BO87" s="19"/>
      <c r="BP87" s="19"/>
      <c r="BQ87" s="19"/>
      <c r="BR87" s="19"/>
      <c r="BS87" s="19"/>
      <c r="BT87" s="19"/>
      <c r="BU87" s="74"/>
      <c r="BV87" s="19"/>
      <c r="BW87" s="19"/>
    </row>
    <row r="88" spans="1:75" ht="14.25" customHeight="1">
      <c r="A88" s="19"/>
      <c r="B88" s="20"/>
      <c r="C88" s="3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32"/>
      <c r="BG88" s="20"/>
      <c r="BH88" s="19"/>
      <c r="BI88" s="20"/>
      <c r="BJ88" s="20"/>
      <c r="BK88" s="19"/>
      <c r="BL88" s="2">
        <f t="shared" si="9"/>
        <v>0</v>
      </c>
      <c r="BM88" s="19"/>
      <c r="BN88" s="19"/>
      <c r="BO88" s="19"/>
      <c r="BP88" s="19"/>
      <c r="BQ88" s="19"/>
      <c r="BR88" s="19"/>
      <c r="BS88" s="19"/>
      <c r="BT88" s="19"/>
      <c r="BU88" s="74"/>
      <c r="BV88" s="19"/>
      <c r="BW88" s="19"/>
    </row>
    <row r="89" spans="1:75" ht="14.25" customHeight="1">
      <c r="A89" s="19"/>
      <c r="B89" s="20"/>
      <c r="C89" s="3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32"/>
      <c r="BG89" s="20"/>
      <c r="BH89" s="19"/>
      <c r="BI89" s="20"/>
      <c r="BJ89" s="20"/>
      <c r="BK89" s="19"/>
      <c r="BL89" s="2">
        <f t="shared" si="9"/>
        <v>0</v>
      </c>
      <c r="BM89" s="19"/>
      <c r="BN89" s="19"/>
      <c r="BO89" s="19"/>
      <c r="BP89" s="19"/>
      <c r="BQ89" s="19"/>
      <c r="BR89" s="19"/>
      <c r="BS89" s="19"/>
      <c r="BT89" s="19"/>
      <c r="BU89" s="74"/>
      <c r="BV89" s="19"/>
      <c r="BW89" s="19"/>
    </row>
    <row r="90" spans="1:75" ht="14.25" customHeight="1">
      <c r="A90" s="19"/>
      <c r="B90" s="20"/>
      <c r="C90" s="3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32"/>
      <c r="BG90" s="20"/>
      <c r="BH90" s="19"/>
      <c r="BI90" s="20"/>
      <c r="BJ90" s="20"/>
      <c r="BK90" s="19"/>
      <c r="BL90" s="2">
        <f t="shared" si="9"/>
        <v>0</v>
      </c>
      <c r="BM90" s="19"/>
      <c r="BN90" s="19"/>
      <c r="BO90" s="19"/>
      <c r="BP90" s="19"/>
      <c r="BQ90" s="19"/>
      <c r="BR90" s="19"/>
      <c r="BS90" s="19"/>
      <c r="BT90" s="19"/>
      <c r="BU90" s="74"/>
      <c r="BV90" s="19"/>
      <c r="BW90" s="19"/>
    </row>
    <row r="91" spans="1:75" ht="14.25" customHeight="1">
      <c r="A91" s="19"/>
      <c r="B91" s="20"/>
      <c r="C91" s="3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32"/>
      <c r="BG91" s="20"/>
      <c r="BH91" s="19"/>
      <c r="BI91" s="20"/>
      <c r="BJ91" s="20"/>
      <c r="BK91" s="19"/>
      <c r="BL91" s="2">
        <f t="shared" si="9"/>
        <v>0</v>
      </c>
      <c r="BM91" s="19"/>
      <c r="BN91" s="19"/>
      <c r="BO91" s="19"/>
      <c r="BP91" s="19"/>
      <c r="BQ91" s="19"/>
      <c r="BR91" s="19"/>
      <c r="BS91" s="19"/>
      <c r="BT91" s="19"/>
      <c r="BU91" s="74"/>
      <c r="BV91" s="19"/>
      <c r="BW91" s="19"/>
    </row>
    <row r="92" spans="1:75" ht="14.25" customHeigh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32"/>
      <c r="BG92" s="20"/>
      <c r="BH92" s="19"/>
      <c r="BI92" s="20"/>
      <c r="BJ92" s="20"/>
      <c r="BK92" s="19"/>
      <c r="BL92" s="2">
        <f t="shared" si="9"/>
        <v>0</v>
      </c>
      <c r="BM92" s="19"/>
      <c r="BN92" s="19"/>
      <c r="BO92" s="19"/>
      <c r="BP92" s="19"/>
      <c r="BQ92" s="19"/>
      <c r="BR92" s="19"/>
      <c r="BS92" s="19"/>
      <c r="BT92" s="19"/>
      <c r="BU92" s="74"/>
      <c r="BV92" s="19"/>
      <c r="BW92" s="19"/>
    </row>
    <row r="93" spans="1:75" ht="14.25" customHeight="1">
      <c r="A93" s="19"/>
      <c r="B93" s="20"/>
      <c r="C93" s="3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32"/>
      <c r="BG93" s="20"/>
      <c r="BH93" s="19"/>
      <c r="BI93" s="20"/>
      <c r="BJ93" s="20"/>
      <c r="BK93" s="19"/>
      <c r="BL93" s="2">
        <f t="shared" si="9"/>
        <v>0</v>
      </c>
      <c r="BM93" s="19"/>
      <c r="BN93" s="19"/>
      <c r="BO93" s="19"/>
      <c r="BP93" s="19"/>
      <c r="BQ93" s="19"/>
      <c r="BR93" s="19"/>
      <c r="BS93" s="19"/>
      <c r="BT93" s="19"/>
      <c r="BU93" s="74"/>
      <c r="BV93" s="19"/>
      <c r="BW93" s="19"/>
    </row>
    <row r="94" spans="1:75" ht="14.25" customHeight="1">
      <c r="A94" s="19"/>
      <c r="B94" s="20"/>
      <c r="C94" s="3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32"/>
      <c r="BG94" s="20"/>
      <c r="BH94" s="19"/>
      <c r="BI94" s="20"/>
      <c r="BJ94" s="20"/>
      <c r="BK94" s="19"/>
      <c r="BL94" s="2">
        <f t="shared" si="9"/>
        <v>0</v>
      </c>
      <c r="BM94" s="19"/>
      <c r="BN94" s="19"/>
      <c r="BO94" s="19"/>
      <c r="BP94" s="19"/>
      <c r="BQ94" s="19"/>
      <c r="BR94" s="19"/>
      <c r="BS94" s="19"/>
      <c r="BT94" s="19"/>
      <c r="BU94" s="74"/>
      <c r="BV94" s="19"/>
      <c r="BW94" s="19"/>
    </row>
    <row r="95" spans="1:75" ht="14.25" customHeight="1">
      <c r="A95" s="19"/>
      <c r="B95" s="20"/>
      <c r="C95" s="3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32"/>
      <c r="BG95" s="20"/>
      <c r="BH95" s="19"/>
      <c r="BI95" s="20"/>
      <c r="BJ95" s="20"/>
      <c r="BK95" s="19"/>
      <c r="BL95" s="2">
        <f t="shared" si="9"/>
        <v>0</v>
      </c>
      <c r="BM95" s="19"/>
      <c r="BN95" s="19"/>
      <c r="BO95" s="19"/>
      <c r="BP95" s="19"/>
      <c r="BQ95" s="19"/>
      <c r="BR95" s="19"/>
      <c r="BS95" s="19"/>
      <c r="BT95" s="19"/>
      <c r="BU95" s="74"/>
      <c r="BV95" s="19"/>
      <c r="BW95" s="19"/>
    </row>
    <row r="96" spans="1:75" ht="14.25" customHeight="1">
      <c r="A96" s="19"/>
      <c r="B96" s="20"/>
      <c r="C96" s="3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32"/>
      <c r="BG96" s="20"/>
      <c r="BH96" s="19"/>
      <c r="BI96" s="20"/>
      <c r="BJ96" s="20"/>
      <c r="BK96" s="19"/>
      <c r="BL96" s="2">
        <f t="shared" si="9"/>
        <v>0</v>
      </c>
      <c r="BM96" s="19"/>
      <c r="BN96" s="19"/>
      <c r="BO96" s="19"/>
      <c r="BP96" s="19"/>
      <c r="BQ96" s="19"/>
      <c r="BR96" s="19"/>
      <c r="BS96" s="19"/>
      <c r="BT96" s="19"/>
      <c r="BU96" s="74"/>
      <c r="BV96" s="19"/>
      <c r="BW96" s="19"/>
    </row>
    <row r="97" spans="1:75" ht="14.25" customHeight="1">
      <c r="A97" s="19"/>
      <c r="B97" s="20"/>
      <c r="C97" s="3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32"/>
      <c r="BG97" s="20"/>
      <c r="BH97" s="19"/>
      <c r="BI97" s="20"/>
      <c r="BJ97" s="20"/>
      <c r="BK97" s="19"/>
      <c r="BL97" s="2">
        <f t="shared" si="9"/>
        <v>0</v>
      </c>
      <c r="BM97" s="19"/>
      <c r="BN97" s="19"/>
      <c r="BO97" s="19"/>
      <c r="BP97" s="19"/>
      <c r="BQ97" s="19"/>
      <c r="BR97" s="19"/>
      <c r="BS97" s="19"/>
      <c r="BT97" s="19"/>
      <c r="BU97" s="74"/>
      <c r="BV97" s="19"/>
      <c r="BW97" s="19"/>
    </row>
    <row r="98" spans="1:75" ht="14.25" customHeight="1">
      <c r="A98" s="19"/>
      <c r="B98" s="20"/>
      <c r="C98" s="3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32"/>
      <c r="BG98" s="20"/>
      <c r="BH98" s="19"/>
      <c r="BI98" s="20"/>
      <c r="BJ98" s="20"/>
      <c r="BK98" s="19"/>
      <c r="BL98" s="2">
        <f t="shared" si="9"/>
        <v>0</v>
      </c>
      <c r="BM98" s="19"/>
      <c r="BN98" s="19"/>
      <c r="BO98" s="19"/>
      <c r="BP98" s="19"/>
      <c r="BQ98" s="19"/>
      <c r="BR98" s="19"/>
      <c r="BS98" s="19"/>
      <c r="BT98" s="19"/>
      <c r="BU98" s="74"/>
      <c r="BV98" s="19"/>
      <c r="BW98" s="19"/>
    </row>
    <row r="99" spans="1:75" ht="14.25" customHeight="1">
      <c r="A99" s="19"/>
      <c r="B99" s="20"/>
      <c r="C99" s="3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32"/>
      <c r="BG99" s="20"/>
      <c r="BH99" s="19"/>
      <c r="BI99" s="20"/>
      <c r="BJ99" s="20"/>
      <c r="BK99" s="19"/>
      <c r="BL99" s="2">
        <f t="shared" si="9"/>
        <v>0</v>
      </c>
      <c r="BM99" s="19"/>
      <c r="BN99" s="19"/>
      <c r="BO99" s="19"/>
      <c r="BP99" s="19"/>
      <c r="BQ99" s="19"/>
      <c r="BR99" s="19"/>
      <c r="BS99" s="19"/>
      <c r="BT99" s="19"/>
      <c r="BU99" s="74"/>
      <c r="BV99" s="19"/>
      <c r="BW99" s="19"/>
    </row>
    <row r="100" spans="1:75" ht="14.25" customHeight="1">
      <c r="A100" s="19"/>
      <c r="B100" s="20"/>
      <c r="C100" s="3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32"/>
      <c r="BG100" s="20"/>
      <c r="BH100" s="19"/>
      <c r="BI100" s="20"/>
      <c r="BJ100" s="20"/>
      <c r="BK100" s="19"/>
      <c r="BL100" s="2">
        <f t="shared" si="9"/>
        <v>0</v>
      </c>
      <c r="BM100" s="19"/>
      <c r="BN100" s="19"/>
      <c r="BO100" s="19"/>
      <c r="BP100" s="19"/>
      <c r="BQ100" s="19"/>
      <c r="BR100" s="19"/>
      <c r="BS100" s="19"/>
      <c r="BT100" s="19"/>
      <c r="BU100" s="74"/>
      <c r="BV100" s="19"/>
      <c r="BW100" s="19"/>
    </row>
    <row r="101" spans="1:75" ht="14.25" customHeight="1">
      <c r="A101" s="19"/>
      <c r="B101" s="20"/>
      <c r="C101" s="3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32"/>
      <c r="BG101" s="20"/>
      <c r="BH101" s="19"/>
      <c r="BI101" s="20"/>
      <c r="BJ101" s="20"/>
      <c r="BK101" s="19"/>
      <c r="BL101" s="2">
        <f t="shared" si="9"/>
        <v>0</v>
      </c>
      <c r="BM101" s="19"/>
      <c r="BN101" s="19"/>
      <c r="BO101" s="19"/>
      <c r="BP101" s="19"/>
      <c r="BQ101" s="19"/>
      <c r="BR101" s="19"/>
      <c r="BS101" s="19"/>
      <c r="BT101" s="19"/>
      <c r="BU101" s="74"/>
      <c r="BV101" s="19"/>
      <c r="BW101" s="19"/>
    </row>
    <row r="102" spans="1:75" ht="14.25" customHeight="1">
      <c r="A102" s="19"/>
      <c r="B102" s="20"/>
      <c r="C102" s="3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32"/>
      <c r="BG102" s="20"/>
      <c r="BH102" s="19"/>
      <c r="BI102" s="20"/>
      <c r="BJ102" s="20"/>
      <c r="BK102" s="19"/>
      <c r="BL102" s="2">
        <f t="shared" si="9"/>
        <v>0</v>
      </c>
      <c r="BM102" s="19"/>
      <c r="BN102" s="19"/>
      <c r="BO102" s="19"/>
      <c r="BP102" s="19"/>
      <c r="BQ102" s="19"/>
      <c r="BR102" s="19"/>
      <c r="BS102" s="19"/>
      <c r="BT102" s="19"/>
      <c r="BU102" s="74"/>
      <c r="BV102" s="19"/>
      <c r="BW102" s="19"/>
    </row>
    <row r="103" spans="1:75" ht="14.25" customHeight="1">
      <c r="A103" s="19"/>
      <c r="B103" s="20"/>
      <c r="C103" s="3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32"/>
      <c r="BG103" s="20"/>
      <c r="BH103" s="19"/>
      <c r="BI103" s="20"/>
      <c r="BJ103" s="20"/>
      <c r="BK103" s="19"/>
      <c r="BL103" s="2">
        <f t="shared" si="9"/>
        <v>0</v>
      </c>
      <c r="BM103" s="19"/>
      <c r="BN103" s="19"/>
      <c r="BO103" s="19"/>
      <c r="BP103" s="19"/>
      <c r="BQ103" s="19"/>
      <c r="BR103" s="19"/>
      <c r="BS103" s="19"/>
      <c r="BT103" s="19"/>
      <c r="BU103" s="74"/>
      <c r="BV103" s="19"/>
      <c r="BW103" s="19"/>
    </row>
    <row r="104" spans="1:75" ht="14.25" customHeight="1">
      <c r="A104" s="19"/>
      <c r="B104" s="20"/>
      <c r="C104" s="3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32"/>
      <c r="BG104" s="20"/>
      <c r="BH104" s="19"/>
      <c r="BI104" s="20"/>
      <c r="BJ104" s="20"/>
      <c r="BK104" s="19"/>
      <c r="BL104" s="2">
        <f t="shared" si="9"/>
        <v>0</v>
      </c>
      <c r="BM104" s="19"/>
      <c r="BN104" s="19"/>
      <c r="BO104" s="19"/>
      <c r="BP104" s="19"/>
      <c r="BQ104" s="19"/>
      <c r="BR104" s="19"/>
      <c r="BS104" s="19"/>
      <c r="BT104" s="19"/>
      <c r="BU104" s="74"/>
      <c r="BV104" s="19"/>
      <c r="BW104" s="19"/>
    </row>
    <row r="105" spans="1:75" ht="14.25" customHeight="1">
      <c r="A105" s="19"/>
      <c r="B105" s="20"/>
      <c r="C105" s="3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32"/>
      <c r="BG105" s="20"/>
      <c r="BH105" s="19"/>
      <c r="BI105" s="20"/>
      <c r="BJ105" s="20"/>
      <c r="BK105" s="19"/>
      <c r="BL105" s="2">
        <f t="shared" si="9"/>
        <v>0</v>
      </c>
      <c r="BM105" s="19"/>
      <c r="BN105" s="19"/>
      <c r="BO105" s="19"/>
      <c r="BP105" s="19"/>
      <c r="BQ105" s="19"/>
      <c r="BR105" s="19"/>
      <c r="BS105" s="19"/>
      <c r="BT105" s="19"/>
      <c r="BU105" s="74"/>
      <c r="BV105" s="19"/>
      <c r="BW105" s="19"/>
    </row>
    <row r="106" spans="1:75" ht="14.25" customHeight="1">
      <c r="A106" s="19"/>
      <c r="B106" s="20"/>
      <c r="C106" s="3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32"/>
      <c r="BG106" s="20"/>
      <c r="BH106" s="19"/>
      <c r="BI106" s="20"/>
      <c r="BJ106" s="20"/>
      <c r="BK106" s="19"/>
      <c r="BL106" s="2">
        <f t="shared" si="9"/>
        <v>0</v>
      </c>
      <c r="BM106" s="19"/>
      <c r="BN106" s="19"/>
      <c r="BO106" s="19"/>
      <c r="BP106" s="19"/>
      <c r="BQ106" s="19"/>
      <c r="BR106" s="19"/>
      <c r="BS106" s="19"/>
      <c r="BT106" s="19"/>
      <c r="BU106" s="74"/>
      <c r="BV106" s="19"/>
      <c r="BW106" s="19"/>
    </row>
    <row r="107" spans="1:75" ht="14.25" customHeight="1">
      <c r="A107" s="19"/>
      <c r="B107" s="20"/>
      <c r="C107" s="3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32"/>
      <c r="BG107" s="20"/>
      <c r="BH107" s="19"/>
      <c r="BI107" s="20"/>
      <c r="BJ107" s="20"/>
      <c r="BK107" s="19"/>
      <c r="BL107" s="2">
        <f t="shared" si="9"/>
        <v>0</v>
      </c>
      <c r="BM107" s="19"/>
      <c r="BN107" s="19"/>
      <c r="BO107" s="19"/>
      <c r="BP107" s="19"/>
      <c r="BQ107" s="19"/>
      <c r="BR107" s="19"/>
      <c r="BS107" s="19"/>
      <c r="BT107" s="19"/>
      <c r="BU107" s="74"/>
      <c r="BV107" s="19"/>
      <c r="BW107" s="19"/>
    </row>
    <row r="108" spans="1:75" ht="14.25" customHeight="1">
      <c r="A108" s="19"/>
      <c r="B108" s="20"/>
      <c r="C108" s="3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32"/>
      <c r="BG108" s="20"/>
      <c r="BH108" s="19"/>
      <c r="BI108" s="20"/>
      <c r="BJ108" s="20"/>
      <c r="BK108" s="19"/>
      <c r="BL108" s="2">
        <f t="shared" si="9"/>
        <v>0</v>
      </c>
      <c r="BM108" s="19"/>
      <c r="BN108" s="19"/>
      <c r="BO108" s="19"/>
      <c r="BP108" s="19"/>
      <c r="BQ108" s="19"/>
      <c r="BR108" s="19"/>
      <c r="BS108" s="19"/>
      <c r="BT108" s="19"/>
      <c r="BU108" s="74"/>
      <c r="BV108" s="19"/>
      <c r="BW108" s="19"/>
    </row>
    <row r="109" spans="1:75" ht="14.25" customHeight="1">
      <c r="A109" s="19"/>
      <c r="B109" s="20"/>
      <c r="C109" s="3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32"/>
      <c r="BG109" s="20"/>
      <c r="BH109" s="19"/>
      <c r="BI109" s="20"/>
      <c r="BJ109" s="20"/>
      <c r="BK109" s="19"/>
      <c r="BL109" s="2">
        <f t="shared" si="9"/>
        <v>0</v>
      </c>
      <c r="BM109" s="19"/>
      <c r="BN109" s="19"/>
      <c r="BO109" s="19"/>
      <c r="BP109" s="19"/>
      <c r="BQ109" s="19"/>
      <c r="BR109" s="19"/>
      <c r="BS109" s="19"/>
      <c r="BT109" s="19"/>
      <c r="BU109" s="74"/>
      <c r="BV109" s="19"/>
      <c r="BW109" s="19"/>
    </row>
    <row r="110" spans="1:75" ht="14.25" customHeight="1">
      <c r="A110" s="19"/>
      <c r="B110" s="20"/>
      <c r="C110" s="3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32"/>
      <c r="BG110" s="20"/>
      <c r="BH110" s="19"/>
      <c r="BI110" s="20"/>
      <c r="BJ110" s="20"/>
      <c r="BK110" s="19"/>
      <c r="BL110" s="2">
        <f t="shared" si="9"/>
        <v>0</v>
      </c>
      <c r="BM110" s="19"/>
      <c r="BN110" s="19"/>
      <c r="BO110" s="19"/>
      <c r="BP110" s="19"/>
      <c r="BQ110" s="19"/>
      <c r="BR110" s="19"/>
      <c r="BS110" s="19"/>
      <c r="BT110" s="19"/>
      <c r="BU110" s="74"/>
      <c r="BV110" s="19"/>
      <c r="BW110" s="19"/>
    </row>
    <row r="111" spans="1:75" ht="14.25" customHeight="1">
      <c r="A111" s="19"/>
      <c r="B111" s="20"/>
      <c r="C111" s="3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32"/>
      <c r="BG111" s="20"/>
      <c r="BH111" s="19"/>
      <c r="BI111" s="20"/>
      <c r="BJ111" s="20"/>
      <c r="BK111" s="19"/>
      <c r="BL111" s="2">
        <f t="shared" si="9"/>
        <v>0</v>
      </c>
      <c r="BM111" s="19"/>
      <c r="BN111" s="19"/>
      <c r="BO111" s="19"/>
      <c r="BP111" s="19"/>
      <c r="BQ111" s="19"/>
      <c r="BR111" s="19"/>
      <c r="BS111" s="19"/>
      <c r="BT111" s="19"/>
      <c r="BU111" s="74"/>
      <c r="BV111" s="19"/>
      <c r="BW111" s="19"/>
    </row>
    <row r="112" spans="1:75" ht="14.25" customHeigh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32"/>
      <c r="BG112" s="20"/>
      <c r="BH112" s="19"/>
      <c r="BI112" s="20"/>
      <c r="BJ112" s="20"/>
      <c r="BK112" s="19"/>
      <c r="BL112" s="2">
        <f t="shared" si="9"/>
        <v>0</v>
      </c>
      <c r="BM112" s="19"/>
      <c r="BN112" s="19"/>
      <c r="BO112" s="19"/>
      <c r="BP112" s="19"/>
      <c r="BQ112" s="19"/>
      <c r="BR112" s="19"/>
      <c r="BS112" s="19"/>
      <c r="BT112" s="19"/>
      <c r="BU112" s="74"/>
      <c r="BV112" s="19"/>
      <c r="BW112" s="19"/>
    </row>
    <row r="113" spans="1:75" ht="14.25" customHeight="1">
      <c r="A113" s="19"/>
      <c r="B113" s="20"/>
      <c r="C113" s="3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32"/>
      <c r="BG113" s="20"/>
      <c r="BH113" s="19"/>
      <c r="BI113" s="20"/>
      <c r="BJ113" s="20"/>
      <c r="BK113" s="19"/>
      <c r="BL113" s="2">
        <f t="shared" si="9"/>
        <v>0</v>
      </c>
      <c r="BM113" s="19"/>
      <c r="BN113" s="19"/>
      <c r="BO113" s="19"/>
      <c r="BP113" s="19"/>
      <c r="BQ113" s="19"/>
      <c r="BR113" s="19"/>
      <c r="BS113" s="19"/>
      <c r="BT113" s="19"/>
      <c r="BU113" s="74"/>
      <c r="BV113" s="19"/>
      <c r="BW113" s="19"/>
    </row>
    <row r="114" spans="1:75" ht="14.25" customHeight="1">
      <c r="A114" s="19"/>
      <c r="B114" s="20"/>
      <c r="C114" s="3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32"/>
      <c r="BG114" s="20"/>
      <c r="BH114" s="19"/>
      <c r="BI114" s="20"/>
      <c r="BJ114" s="20"/>
      <c r="BK114" s="19"/>
      <c r="BL114" s="2">
        <f t="shared" si="9"/>
        <v>0</v>
      </c>
      <c r="BM114" s="19"/>
      <c r="BN114" s="19"/>
      <c r="BO114" s="19"/>
      <c r="BP114" s="19"/>
      <c r="BQ114" s="19"/>
      <c r="BR114" s="19"/>
      <c r="BS114" s="19"/>
      <c r="BT114" s="19"/>
      <c r="BU114" s="74"/>
      <c r="BV114" s="19"/>
      <c r="BW114" s="19"/>
    </row>
    <row r="115" spans="1:75" ht="14.25" customHeight="1">
      <c r="A115" s="19"/>
      <c r="B115" s="20"/>
      <c r="C115" s="3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32"/>
      <c r="BG115" s="20"/>
      <c r="BH115" s="19"/>
      <c r="BI115" s="20"/>
      <c r="BJ115" s="20"/>
      <c r="BK115" s="19"/>
      <c r="BL115" s="2">
        <f t="shared" si="9"/>
        <v>0</v>
      </c>
      <c r="BM115" s="19"/>
      <c r="BN115" s="19"/>
      <c r="BO115" s="19"/>
      <c r="BP115" s="19"/>
      <c r="BQ115" s="19"/>
      <c r="BR115" s="19"/>
      <c r="BS115" s="19"/>
      <c r="BT115" s="19"/>
      <c r="BU115" s="74"/>
      <c r="BV115" s="19"/>
      <c r="BW115" s="19"/>
    </row>
    <row r="116" spans="1:75" ht="14.25" customHeight="1">
      <c r="A116" s="19"/>
      <c r="B116" s="20"/>
      <c r="C116" s="3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32"/>
      <c r="BG116" s="20"/>
      <c r="BH116" s="19"/>
      <c r="BI116" s="20"/>
      <c r="BJ116" s="20"/>
      <c r="BK116" s="19"/>
      <c r="BL116" s="2">
        <f t="shared" si="9"/>
        <v>0</v>
      </c>
      <c r="BM116" s="19"/>
      <c r="BN116" s="19"/>
      <c r="BO116" s="19"/>
      <c r="BP116" s="19"/>
      <c r="BQ116" s="19"/>
      <c r="BR116" s="19"/>
      <c r="BS116" s="19"/>
      <c r="BT116" s="19"/>
      <c r="BU116" s="74"/>
      <c r="BV116" s="19"/>
      <c r="BW116" s="19"/>
    </row>
    <row r="117" spans="1:75" ht="14.25" customHeight="1">
      <c r="A117" s="19"/>
      <c r="B117" s="20"/>
      <c r="C117" s="3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32"/>
      <c r="BG117" s="20"/>
      <c r="BH117" s="19"/>
      <c r="BI117" s="20"/>
      <c r="BJ117" s="20"/>
      <c r="BK117" s="19"/>
      <c r="BL117" s="2">
        <f t="shared" si="9"/>
        <v>0</v>
      </c>
      <c r="BM117" s="19"/>
      <c r="BN117" s="19"/>
      <c r="BO117" s="19"/>
      <c r="BP117" s="19"/>
      <c r="BQ117" s="19"/>
      <c r="BR117" s="19"/>
      <c r="BS117" s="19"/>
      <c r="BT117" s="19"/>
      <c r="BU117" s="74"/>
      <c r="BV117" s="19"/>
      <c r="BW117" s="19"/>
    </row>
    <row r="118" spans="1:75" ht="14.25" customHeight="1">
      <c r="A118" s="19"/>
      <c r="B118" s="20"/>
      <c r="C118" s="3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32"/>
      <c r="BG118" s="20"/>
      <c r="BH118" s="19"/>
      <c r="BI118" s="20"/>
      <c r="BJ118" s="20"/>
      <c r="BK118" s="19"/>
      <c r="BL118" s="2">
        <f t="shared" si="9"/>
        <v>0</v>
      </c>
      <c r="BM118" s="19"/>
      <c r="BN118" s="19"/>
      <c r="BO118" s="19"/>
      <c r="BP118" s="19"/>
      <c r="BQ118" s="19"/>
      <c r="BR118" s="19"/>
      <c r="BS118" s="19"/>
      <c r="BT118" s="19"/>
      <c r="BU118" s="74"/>
      <c r="BV118" s="19"/>
      <c r="BW118" s="19"/>
    </row>
    <row r="119" spans="1:75" ht="14.25" customHeight="1">
      <c r="A119" s="19"/>
      <c r="B119" s="20"/>
      <c r="C119" s="3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32"/>
      <c r="BG119" s="20"/>
      <c r="BH119" s="19"/>
      <c r="BI119" s="20"/>
      <c r="BJ119" s="20"/>
      <c r="BK119" s="19"/>
      <c r="BL119" s="2">
        <f t="shared" si="9"/>
        <v>0</v>
      </c>
      <c r="BM119" s="19"/>
      <c r="BN119" s="19"/>
      <c r="BO119" s="19"/>
      <c r="BP119" s="19"/>
      <c r="BQ119" s="19"/>
      <c r="BR119" s="19"/>
      <c r="BS119" s="19"/>
      <c r="BT119" s="19"/>
      <c r="BU119" s="74"/>
      <c r="BV119" s="19"/>
      <c r="BW119" s="19"/>
    </row>
    <row r="120" spans="1:75" ht="14.25" customHeight="1">
      <c r="A120" s="19"/>
      <c r="B120" s="20"/>
      <c r="C120" s="3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32"/>
      <c r="BG120" s="20"/>
      <c r="BH120" s="19"/>
      <c r="BI120" s="20"/>
      <c r="BJ120" s="20"/>
      <c r="BK120" s="19"/>
      <c r="BL120" s="2">
        <f t="shared" si="9"/>
        <v>0</v>
      </c>
      <c r="BM120" s="19"/>
      <c r="BN120" s="19"/>
      <c r="BO120" s="19"/>
      <c r="BP120" s="19"/>
      <c r="BQ120" s="19"/>
      <c r="BR120" s="19"/>
      <c r="BS120" s="19"/>
      <c r="BT120" s="19"/>
      <c r="BU120" s="74"/>
      <c r="BV120" s="19"/>
      <c r="BW120" s="19"/>
    </row>
    <row r="121" spans="1:75" ht="14.25" customHeight="1">
      <c r="A121" s="19"/>
      <c r="B121" s="20"/>
      <c r="C121" s="3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32"/>
      <c r="BG121" s="20"/>
      <c r="BH121" s="19"/>
      <c r="BI121" s="20"/>
      <c r="BJ121" s="20"/>
      <c r="BK121" s="19"/>
      <c r="BL121" s="2">
        <f t="shared" si="9"/>
        <v>0</v>
      </c>
      <c r="BM121" s="19"/>
      <c r="BN121" s="19"/>
      <c r="BO121" s="19"/>
      <c r="BP121" s="19"/>
      <c r="BQ121" s="19"/>
      <c r="BR121" s="19"/>
      <c r="BS121" s="19"/>
      <c r="BT121" s="19"/>
      <c r="BU121" s="74"/>
      <c r="BV121" s="19"/>
      <c r="BW121" s="19"/>
    </row>
    <row r="122" spans="1:75" ht="14.25" customHeight="1">
      <c r="A122" s="19"/>
      <c r="B122" s="20"/>
      <c r="C122" s="3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32"/>
      <c r="BG122" s="20"/>
      <c r="BH122" s="19"/>
      <c r="BI122" s="20"/>
      <c r="BJ122" s="20"/>
      <c r="BK122" s="19"/>
      <c r="BL122" s="2">
        <f t="shared" si="9"/>
        <v>0</v>
      </c>
      <c r="BM122" s="19"/>
      <c r="BN122" s="19"/>
      <c r="BO122" s="19"/>
      <c r="BP122" s="19"/>
      <c r="BQ122" s="19"/>
      <c r="BR122" s="19"/>
      <c r="BS122" s="19"/>
      <c r="BT122" s="19"/>
      <c r="BU122" s="74"/>
      <c r="BV122" s="19"/>
      <c r="BW122" s="19"/>
    </row>
    <row r="123" spans="1:75" ht="14.25" customHeight="1">
      <c r="A123" s="19"/>
      <c r="B123" s="20"/>
      <c r="C123" s="3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32"/>
      <c r="BG123" s="20"/>
      <c r="BH123" s="19"/>
      <c r="BI123" s="20"/>
      <c r="BJ123" s="20"/>
      <c r="BK123" s="19"/>
      <c r="BL123" s="2">
        <f t="shared" si="9"/>
        <v>0</v>
      </c>
      <c r="BM123" s="19"/>
      <c r="BN123" s="19"/>
      <c r="BO123" s="19"/>
      <c r="BP123" s="19"/>
      <c r="BQ123" s="19"/>
      <c r="BR123" s="19"/>
      <c r="BS123" s="19"/>
      <c r="BT123" s="19"/>
      <c r="BU123" s="74"/>
      <c r="BV123" s="19"/>
      <c r="BW123" s="19"/>
    </row>
    <row r="124" spans="1:75" ht="14.25" customHeight="1">
      <c r="A124" s="19"/>
      <c r="B124" s="20"/>
      <c r="C124" s="3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32"/>
      <c r="BG124" s="20"/>
      <c r="BH124" s="19"/>
      <c r="BI124" s="20"/>
      <c r="BJ124" s="20"/>
      <c r="BK124" s="19"/>
      <c r="BL124" s="2">
        <f t="shared" si="9"/>
        <v>0</v>
      </c>
      <c r="BM124" s="19"/>
      <c r="BN124" s="19"/>
      <c r="BO124" s="19"/>
      <c r="BP124" s="19"/>
      <c r="BQ124" s="19"/>
      <c r="BR124" s="19"/>
      <c r="BS124" s="19"/>
      <c r="BT124" s="19"/>
      <c r="BU124" s="74"/>
      <c r="BV124" s="19"/>
      <c r="BW124" s="19"/>
    </row>
    <row r="125" spans="1:75" ht="14.25" customHeight="1">
      <c r="A125" s="19"/>
      <c r="B125" s="20"/>
      <c r="C125" s="3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32"/>
      <c r="BG125" s="20"/>
      <c r="BH125" s="19"/>
      <c r="BI125" s="20"/>
      <c r="BJ125" s="20"/>
      <c r="BK125" s="19"/>
      <c r="BL125" s="2">
        <f t="shared" si="9"/>
        <v>0</v>
      </c>
      <c r="BM125" s="19"/>
      <c r="BN125" s="19"/>
      <c r="BO125" s="19"/>
      <c r="BP125" s="19"/>
      <c r="BQ125" s="19"/>
      <c r="BR125" s="19"/>
      <c r="BS125" s="19"/>
      <c r="BT125" s="19"/>
      <c r="BU125" s="74"/>
      <c r="BV125" s="19"/>
      <c r="BW125" s="19"/>
    </row>
    <row r="126" spans="1:75" ht="14.25" customHeight="1">
      <c r="A126" s="19"/>
      <c r="B126" s="20"/>
      <c r="C126" s="3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32"/>
      <c r="BG126" s="20"/>
      <c r="BH126" s="19"/>
      <c r="BI126" s="20"/>
      <c r="BJ126" s="20"/>
      <c r="BK126" s="19"/>
      <c r="BL126" s="2">
        <f t="shared" si="9"/>
        <v>0</v>
      </c>
      <c r="BM126" s="19"/>
      <c r="BN126" s="19"/>
      <c r="BO126" s="19"/>
      <c r="BP126" s="19"/>
      <c r="BQ126" s="19"/>
      <c r="BR126" s="19"/>
      <c r="BS126" s="19"/>
      <c r="BT126" s="19"/>
      <c r="BU126" s="74"/>
      <c r="BV126" s="19"/>
      <c r="BW126" s="19"/>
    </row>
    <row r="127" spans="1:75" ht="14.25" customHeight="1">
      <c r="A127" s="19"/>
      <c r="B127" s="20"/>
      <c r="C127" s="3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32"/>
      <c r="BG127" s="20"/>
      <c r="BH127" s="19"/>
      <c r="BI127" s="20"/>
      <c r="BJ127" s="20"/>
      <c r="BK127" s="19"/>
      <c r="BL127" s="2">
        <f t="shared" si="9"/>
        <v>0</v>
      </c>
      <c r="BM127" s="19"/>
      <c r="BN127" s="19"/>
      <c r="BO127" s="19"/>
      <c r="BP127" s="19"/>
      <c r="BQ127" s="19"/>
      <c r="BR127" s="19"/>
      <c r="BS127" s="19"/>
      <c r="BT127" s="19"/>
      <c r="BU127" s="74"/>
      <c r="BV127" s="19"/>
      <c r="BW127" s="19"/>
    </row>
    <row r="128" spans="1:75" ht="14.25" customHeigh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32"/>
      <c r="BG128" s="20"/>
      <c r="BH128" s="19"/>
      <c r="BI128" s="20"/>
      <c r="BJ128" s="20"/>
      <c r="BK128" s="19"/>
      <c r="BL128" s="2">
        <f t="shared" si="9"/>
        <v>0</v>
      </c>
      <c r="BM128" s="19"/>
      <c r="BN128" s="19"/>
      <c r="BO128" s="19"/>
      <c r="BP128" s="19"/>
      <c r="BQ128" s="19"/>
      <c r="BR128" s="19"/>
      <c r="BS128" s="19"/>
      <c r="BT128" s="19"/>
      <c r="BU128" s="74"/>
      <c r="BV128" s="19"/>
      <c r="BW128" s="19"/>
    </row>
    <row r="129" spans="1:75" ht="14.25" customHeight="1">
      <c r="A129" s="19"/>
      <c r="B129" s="20"/>
      <c r="C129" s="3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32"/>
      <c r="BG129" s="20"/>
      <c r="BH129" s="19"/>
      <c r="BI129" s="20"/>
      <c r="BJ129" s="20"/>
      <c r="BK129" s="19"/>
      <c r="BL129" s="2">
        <f t="shared" si="9"/>
        <v>0</v>
      </c>
      <c r="BM129" s="19"/>
      <c r="BN129" s="19"/>
      <c r="BO129" s="19"/>
      <c r="BP129" s="19"/>
      <c r="BQ129" s="19"/>
      <c r="BR129" s="19"/>
      <c r="BS129" s="19"/>
      <c r="BT129" s="19"/>
      <c r="BU129" s="74"/>
      <c r="BV129" s="19"/>
      <c r="BW129" s="19"/>
    </row>
    <row r="130" spans="1:75" ht="14.25" customHeight="1">
      <c r="A130" s="19"/>
      <c r="B130" s="20"/>
      <c r="C130" s="3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32"/>
      <c r="BG130" s="20"/>
      <c r="BH130" s="19"/>
      <c r="BI130" s="20"/>
      <c r="BJ130" s="20"/>
      <c r="BK130" s="19"/>
      <c r="BL130" s="2">
        <f t="shared" si="9"/>
        <v>0</v>
      </c>
      <c r="BM130" s="19"/>
      <c r="BN130" s="19"/>
      <c r="BO130" s="19"/>
      <c r="BP130" s="19"/>
      <c r="BQ130" s="19"/>
      <c r="BR130" s="19"/>
      <c r="BS130" s="19"/>
      <c r="BT130" s="19"/>
      <c r="BU130" s="74"/>
      <c r="BV130" s="19"/>
      <c r="BW130" s="19"/>
    </row>
    <row r="131" spans="1:75" ht="14.25" customHeight="1">
      <c r="A131" s="19"/>
      <c r="B131" s="20"/>
      <c r="C131" s="3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32"/>
      <c r="BG131" s="20"/>
      <c r="BH131" s="19"/>
      <c r="BI131" s="20"/>
      <c r="BJ131" s="20"/>
      <c r="BK131" s="19"/>
      <c r="BL131" s="2">
        <f t="shared" si="9"/>
        <v>0</v>
      </c>
      <c r="BM131" s="19"/>
      <c r="BN131" s="19"/>
      <c r="BO131" s="19"/>
      <c r="BP131" s="19"/>
      <c r="BQ131" s="19"/>
      <c r="BR131" s="19"/>
      <c r="BS131" s="19"/>
      <c r="BT131" s="19"/>
      <c r="BU131" s="74"/>
      <c r="BV131" s="19"/>
      <c r="BW131" s="19"/>
    </row>
    <row r="132" spans="1:75" ht="14.25" customHeight="1">
      <c r="A132" s="19"/>
      <c r="B132" s="20"/>
      <c r="C132" s="3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32"/>
      <c r="BG132" s="20"/>
      <c r="BH132" s="19"/>
      <c r="BI132" s="20"/>
      <c r="BJ132" s="20"/>
      <c r="BK132" s="19"/>
      <c r="BL132" s="2">
        <f t="shared" si="9"/>
        <v>0</v>
      </c>
      <c r="BM132" s="19"/>
      <c r="BN132" s="19"/>
      <c r="BO132" s="19"/>
      <c r="BP132" s="19"/>
      <c r="BQ132" s="19"/>
      <c r="BR132" s="19"/>
      <c r="BS132" s="19"/>
      <c r="BT132" s="19"/>
      <c r="BU132" s="74"/>
      <c r="BV132" s="19"/>
      <c r="BW132" s="19"/>
    </row>
    <row r="133" spans="1:75" ht="14.25" customHeight="1">
      <c r="A133" s="19"/>
      <c r="B133" s="20"/>
      <c r="C133" s="3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32"/>
      <c r="BG133" s="20"/>
      <c r="BH133" s="19"/>
      <c r="BI133" s="20"/>
      <c r="BJ133" s="20"/>
      <c r="BK133" s="19"/>
      <c r="BL133" s="2">
        <f t="shared" si="9"/>
        <v>0</v>
      </c>
      <c r="BM133" s="19"/>
      <c r="BN133" s="19"/>
      <c r="BO133" s="19"/>
      <c r="BP133" s="19"/>
      <c r="BQ133" s="19"/>
      <c r="BR133" s="19"/>
      <c r="BS133" s="19"/>
      <c r="BT133" s="19"/>
      <c r="BU133" s="74"/>
      <c r="BV133" s="19"/>
      <c r="BW133" s="19"/>
    </row>
    <row r="134" spans="1:75" ht="14.25" customHeight="1">
      <c r="A134" s="19"/>
      <c r="B134" s="20"/>
      <c r="C134" s="3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32"/>
      <c r="BG134" s="20"/>
      <c r="BH134" s="19"/>
      <c r="BI134" s="20"/>
      <c r="BJ134" s="20"/>
      <c r="BK134" s="19"/>
      <c r="BL134" s="2">
        <f t="shared" si="9"/>
        <v>0</v>
      </c>
      <c r="BM134" s="19"/>
      <c r="BN134" s="19"/>
      <c r="BO134" s="19"/>
      <c r="BP134" s="19"/>
      <c r="BQ134" s="19"/>
      <c r="BR134" s="19"/>
      <c r="BS134" s="19"/>
      <c r="BT134" s="19"/>
      <c r="BU134" s="74"/>
      <c r="BV134" s="19"/>
      <c r="BW134" s="19"/>
    </row>
    <row r="135" spans="1:75" ht="14.25" customHeight="1">
      <c r="A135" s="19"/>
      <c r="B135" s="20"/>
      <c r="C135" s="3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32"/>
      <c r="BG135" s="20"/>
      <c r="BH135" s="19"/>
      <c r="BI135" s="20"/>
      <c r="BJ135" s="20"/>
      <c r="BK135" s="19"/>
      <c r="BL135" s="2">
        <f t="shared" si="9"/>
        <v>0</v>
      </c>
      <c r="BM135" s="19"/>
      <c r="BN135" s="19"/>
      <c r="BO135" s="19"/>
      <c r="BP135" s="19"/>
      <c r="BQ135" s="19"/>
      <c r="BR135" s="19"/>
      <c r="BS135" s="19"/>
      <c r="BT135" s="19"/>
      <c r="BU135" s="74"/>
      <c r="BV135" s="19"/>
      <c r="BW135" s="19"/>
    </row>
    <row r="136" spans="1:75" ht="14.25" customHeight="1">
      <c r="A136" s="19"/>
      <c r="B136" s="20"/>
      <c r="C136" s="3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32"/>
      <c r="BG136" s="20"/>
      <c r="BH136" s="19"/>
      <c r="BI136" s="20"/>
      <c r="BJ136" s="20"/>
      <c r="BK136" s="19"/>
      <c r="BL136" s="2">
        <f t="shared" si="9"/>
        <v>0</v>
      </c>
      <c r="BM136" s="19"/>
      <c r="BN136" s="19"/>
      <c r="BO136" s="19"/>
      <c r="BP136" s="19"/>
      <c r="BQ136" s="19"/>
      <c r="BR136" s="19"/>
      <c r="BS136" s="19"/>
      <c r="BT136" s="19"/>
      <c r="BU136" s="74"/>
      <c r="BV136" s="19"/>
      <c r="BW136" s="19"/>
    </row>
    <row r="137" spans="1:75" ht="14.25" customHeight="1">
      <c r="A137" s="19"/>
      <c r="B137" s="20"/>
      <c r="C137" s="3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32"/>
      <c r="BG137" s="20"/>
      <c r="BH137" s="19"/>
      <c r="BI137" s="20"/>
      <c r="BJ137" s="20"/>
      <c r="BK137" s="19"/>
      <c r="BL137" s="2">
        <f t="shared" si="9"/>
        <v>0</v>
      </c>
      <c r="BM137" s="19"/>
      <c r="BN137" s="19"/>
      <c r="BO137" s="19"/>
      <c r="BP137" s="19"/>
      <c r="BQ137" s="19"/>
      <c r="BR137" s="19"/>
      <c r="BS137" s="19"/>
      <c r="BT137" s="19"/>
      <c r="BU137" s="74"/>
      <c r="BV137" s="19"/>
      <c r="BW137" s="19"/>
    </row>
    <row r="138" spans="1:75" ht="14.25" customHeight="1">
      <c r="A138" s="19"/>
      <c r="B138" s="20"/>
      <c r="C138" s="3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32"/>
      <c r="BG138" s="20"/>
      <c r="BH138" s="19"/>
      <c r="BI138" s="20"/>
      <c r="BJ138" s="20"/>
      <c r="BK138" s="19"/>
      <c r="BL138" s="2">
        <f t="shared" si="9"/>
        <v>0</v>
      </c>
      <c r="BM138" s="19"/>
      <c r="BN138" s="19"/>
      <c r="BO138" s="19"/>
      <c r="BP138" s="19"/>
      <c r="BQ138" s="19"/>
      <c r="BR138" s="19"/>
      <c r="BS138" s="19"/>
      <c r="BT138" s="19"/>
      <c r="BU138" s="74"/>
      <c r="BV138" s="19"/>
      <c r="BW138" s="19"/>
    </row>
    <row r="139" spans="1:75" ht="14.25" customHeight="1">
      <c r="A139" s="19"/>
      <c r="B139" s="20"/>
      <c r="C139" s="3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32"/>
      <c r="BG139" s="20"/>
      <c r="BH139" s="19"/>
      <c r="BI139" s="20"/>
      <c r="BJ139" s="20"/>
      <c r="BK139" s="19"/>
      <c r="BL139" s="2">
        <f t="shared" si="9"/>
        <v>0</v>
      </c>
      <c r="BM139" s="19"/>
      <c r="BN139" s="19"/>
      <c r="BO139" s="19"/>
      <c r="BP139" s="19"/>
      <c r="BQ139" s="19"/>
      <c r="BR139" s="19"/>
      <c r="BS139" s="19"/>
      <c r="BT139" s="19"/>
      <c r="BU139" s="74"/>
      <c r="BV139" s="19"/>
      <c r="BW139" s="19"/>
    </row>
    <row r="140" spans="1:75" ht="14.25" customHeight="1">
      <c r="A140" s="19"/>
      <c r="B140" s="20"/>
      <c r="C140" s="3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32"/>
      <c r="BG140" s="20"/>
      <c r="BH140" s="19"/>
      <c r="BI140" s="20"/>
      <c r="BJ140" s="20"/>
      <c r="BK140" s="19"/>
      <c r="BL140" s="2">
        <f t="shared" si="9"/>
        <v>0</v>
      </c>
      <c r="BM140" s="19"/>
      <c r="BN140" s="19"/>
      <c r="BO140" s="19"/>
      <c r="BP140" s="19"/>
      <c r="BQ140" s="19"/>
      <c r="BR140" s="19"/>
      <c r="BS140" s="19"/>
      <c r="BT140" s="19"/>
      <c r="BU140" s="74"/>
      <c r="BV140" s="19"/>
      <c r="BW140" s="19"/>
    </row>
    <row r="141" spans="1:75" ht="14.25" customHeight="1">
      <c r="A141" s="19"/>
      <c r="B141" s="20"/>
      <c r="C141" s="3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32"/>
      <c r="BG141" s="20"/>
      <c r="BH141" s="19"/>
      <c r="BI141" s="20"/>
      <c r="BJ141" s="20"/>
      <c r="BK141" s="19"/>
      <c r="BL141" s="2">
        <f t="shared" si="9"/>
        <v>0</v>
      </c>
      <c r="BM141" s="19"/>
      <c r="BN141" s="19"/>
      <c r="BO141" s="19"/>
      <c r="BP141" s="19"/>
      <c r="BQ141" s="19"/>
      <c r="BR141" s="19"/>
      <c r="BS141" s="19"/>
      <c r="BT141" s="19"/>
      <c r="BU141" s="74"/>
      <c r="BV141" s="19"/>
      <c r="BW141" s="19"/>
    </row>
    <row r="142" spans="1:75" ht="14.25" customHeight="1">
      <c r="A142" s="19"/>
      <c r="B142" s="20"/>
      <c r="C142" s="3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32"/>
      <c r="BG142" s="20"/>
      <c r="BH142" s="19"/>
      <c r="BI142" s="20"/>
      <c r="BJ142" s="20"/>
      <c r="BK142" s="19"/>
      <c r="BL142" s="2">
        <f t="shared" si="9"/>
        <v>0</v>
      </c>
      <c r="BM142" s="19"/>
      <c r="BN142" s="19"/>
      <c r="BO142" s="19"/>
      <c r="BP142" s="19"/>
      <c r="BQ142" s="19"/>
      <c r="BR142" s="19"/>
      <c r="BS142" s="19"/>
      <c r="BT142" s="19"/>
      <c r="BU142" s="74"/>
      <c r="BV142" s="19"/>
      <c r="BW142" s="19"/>
    </row>
    <row r="143" spans="1:75" ht="14.25" customHeight="1">
      <c r="A143" s="19"/>
      <c r="B143" s="20"/>
      <c r="C143" s="3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32"/>
      <c r="BG143" s="20"/>
      <c r="BH143" s="19"/>
      <c r="BI143" s="20"/>
      <c r="BJ143" s="20"/>
      <c r="BK143" s="19"/>
      <c r="BL143" s="2">
        <f t="shared" si="9"/>
        <v>0</v>
      </c>
      <c r="BM143" s="19"/>
      <c r="BN143" s="19"/>
      <c r="BO143" s="19"/>
      <c r="BP143" s="19"/>
      <c r="BQ143" s="19"/>
      <c r="BR143" s="19"/>
      <c r="BS143" s="19"/>
      <c r="BT143" s="19"/>
      <c r="BU143" s="74"/>
      <c r="BV143" s="19"/>
      <c r="BW143" s="19"/>
    </row>
    <row r="144" spans="1:75" ht="14.25" customHeight="1">
      <c r="A144" s="19"/>
      <c r="B144" s="20"/>
      <c r="C144" s="3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32"/>
      <c r="BG144" s="20"/>
      <c r="BH144" s="19"/>
      <c r="BI144" s="20"/>
      <c r="BJ144" s="20"/>
      <c r="BK144" s="19"/>
      <c r="BL144" s="2">
        <f t="shared" si="9"/>
        <v>0</v>
      </c>
      <c r="BM144" s="19"/>
      <c r="BN144" s="19"/>
      <c r="BO144" s="19"/>
      <c r="BP144" s="19"/>
      <c r="BQ144" s="19"/>
      <c r="BR144" s="19"/>
      <c r="BS144" s="19"/>
      <c r="BT144" s="19"/>
      <c r="BU144" s="74"/>
      <c r="BV144" s="19"/>
      <c r="BW144" s="19"/>
    </row>
    <row r="145" spans="1:75" ht="14.25" customHeight="1">
      <c r="A145" s="19"/>
      <c r="B145" s="20"/>
      <c r="C145" s="3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32"/>
      <c r="BG145" s="20"/>
      <c r="BH145" s="19"/>
      <c r="BI145" s="20"/>
      <c r="BJ145" s="20"/>
      <c r="BK145" s="19"/>
      <c r="BL145" s="2">
        <f t="shared" si="9"/>
        <v>0</v>
      </c>
      <c r="BM145" s="19"/>
      <c r="BN145" s="19"/>
      <c r="BO145" s="19"/>
      <c r="BP145" s="19"/>
      <c r="BQ145" s="19"/>
      <c r="BR145" s="19"/>
      <c r="BS145" s="19"/>
      <c r="BT145" s="19"/>
      <c r="BU145" s="74"/>
      <c r="BV145" s="19"/>
      <c r="BW145" s="19"/>
    </row>
    <row r="146" spans="1:75" ht="14.25" customHeight="1">
      <c r="A146" s="19"/>
      <c r="B146" s="20"/>
      <c r="C146" s="3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32"/>
      <c r="BG146" s="20"/>
      <c r="BH146" s="19"/>
      <c r="BI146" s="20"/>
      <c r="BJ146" s="20"/>
      <c r="BK146" s="19"/>
      <c r="BL146" s="2">
        <f t="shared" si="9"/>
        <v>0</v>
      </c>
      <c r="BM146" s="19"/>
      <c r="BN146" s="19"/>
      <c r="BO146" s="19"/>
      <c r="BP146" s="19"/>
      <c r="BQ146" s="19"/>
      <c r="BR146" s="19"/>
      <c r="BS146" s="19"/>
      <c r="BT146" s="19"/>
      <c r="BU146" s="74"/>
      <c r="BV146" s="19"/>
      <c r="BW146" s="19"/>
    </row>
    <row r="147" spans="1:75" ht="14.25" customHeight="1">
      <c r="A147" s="19"/>
      <c r="B147" s="20"/>
      <c r="C147" s="3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32"/>
      <c r="BG147" s="20"/>
      <c r="BH147" s="19"/>
      <c r="BI147" s="20"/>
      <c r="BJ147" s="20"/>
      <c r="BK147" s="19"/>
      <c r="BL147" s="2">
        <f t="shared" si="9"/>
        <v>0</v>
      </c>
      <c r="BM147" s="19"/>
      <c r="BN147" s="19"/>
      <c r="BO147" s="19"/>
      <c r="BP147" s="19"/>
      <c r="BQ147" s="19"/>
      <c r="BR147" s="19"/>
      <c r="BS147" s="19"/>
      <c r="BT147" s="19"/>
      <c r="BU147" s="74"/>
      <c r="BV147" s="19"/>
      <c r="BW147" s="19"/>
    </row>
    <row r="148" spans="1:75" ht="14.25" customHeigh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32"/>
      <c r="BG148" s="20"/>
      <c r="BH148" s="19"/>
      <c r="BI148" s="20"/>
      <c r="BJ148" s="20"/>
      <c r="BK148" s="19"/>
      <c r="BL148" s="2">
        <f t="shared" si="9"/>
        <v>0</v>
      </c>
      <c r="BM148" s="19"/>
      <c r="BN148" s="19"/>
      <c r="BO148" s="19"/>
      <c r="BP148" s="19"/>
      <c r="BQ148" s="19"/>
      <c r="BR148" s="19"/>
      <c r="BS148" s="19"/>
      <c r="BT148" s="19"/>
      <c r="BU148" s="74"/>
      <c r="BV148" s="19"/>
      <c r="BW148" s="19"/>
    </row>
    <row r="149" spans="1:75" ht="14.25" customHeight="1">
      <c r="A149" s="19"/>
      <c r="B149" s="20"/>
      <c r="C149" s="3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32"/>
      <c r="BG149" s="20"/>
      <c r="BH149" s="19"/>
      <c r="BI149" s="20"/>
      <c r="BJ149" s="20"/>
      <c r="BK149" s="19"/>
      <c r="BL149" s="13">
        <f t="shared" si="9"/>
        <v>0</v>
      </c>
      <c r="BM149" s="19"/>
      <c r="BN149" s="19"/>
      <c r="BO149" s="19"/>
      <c r="BP149" s="19"/>
      <c r="BQ149" s="19"/>
      <c r="BR149" s="19"/>
      <c r="BS149" s="19"/>
      <c r="BT149" s="19"/>
      <c r="BU149" s="74"/>
      <c r="BV149" s="19"/>
      <c r="BW149" s="19"/>
    </row>
    <row r="150" spans="1:75" ht="14.25" customHeight="1">
      <c r="A150" s="19"/>
      <c r="B150" s="20"/>
      <c r="C150" s="3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32"/>
      <c r="BG150" s="20"/>
      <c r="BH150" s="19"/>
      <c r="BI150" s="20"/>
      <c r="BJ150" s="20"/>
      <c r="BK150" s="19"/>
      <c r="BL150" s="13">
        <f t="shared" si="9"/>
        <v>0</v>
      </c>
      <c r="BM150" s="19"/>
      <c r="BN150" s="19"/>
      <c r="BO150" s="19"/>
      <c r="BP150" s="19"/>
      <c r="BQ150" s="19"/>
      <c r="BR150" s="19"/>
      <c r="BS150" s="19"/>
      <c r="BT150" s="19"/>
      <c r="BU150" s="74"/>
      <c r="BV150" s="19"/>
      <c r="BW150" s="19"/>
    </row>
    <row r="151" spans="1:75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32"/>
      <c r="BG151" s="20"/>
      <c r="BH151" s="19"/>
      <c r="BI151" s="20"/>
      <c r="BJ151" s="20"/>
      <c r="BK151" s="19"/>
      <c r="BL151" s="13">
        <f t="shared" si="9"/>
        <v>0</v>
      </c>
      <c r="BM151" s="19"/>
      <c r="BN151" s="19"/>
      <c r="BO151" s="19"/>
      <c r="BP151" s="19"/>
      <c r="BQ151" s="19"/>
      <c r="BR151" s="19"/>
      <c r="BS151" s="19"/>
      <c r="BT151" s="19"/>
      <c r="BU151" s="74"/>
      <c r="BV151" s="19"/>
      <c r="BW151" s="19"/>
    </row>
    <row r="152" spans="1:75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32"/>
      <c r="BG152" s="20"/>
      <c r="BH152" s="19"/>
      <c r="BI152" s="20"/>
      <c r="BJ152" s="20"/>
      <c r="BK152" s="19"/>
      <c r="BL152" s="13">
        <f t="shared" si="9"/>
        <v>0</v>
      </c>
      <c r="BM152" s="19"/>
      <c r="BN152" s="19"/>
      <c r="BO152" s="19"/>
      <c r="BP152" s="19"/>
      <c r="BQ152" s="19"/>
      <c r="BR152" s="19"/>
      <c r="BS152" s="19"/>
      <c r="BT152" s="19"/>
      <c r="BU152" s="74"/>
      <c r="BV152" s="19"/>
      <c r="BW152" s="19"/>
    </row>
    <row r="153" spans="1:75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32"/>
      <c r="BG153" s="20"/>
      <c r="BH153" s="19"/>
      <c r="BI153" s="20"/>
      <c r="BJ153" s="20"/>
      <c r="BK153" s="19"/>
      <c r="BL153" s="13">
        <f t="shared" si="9"/>
        <v>0</v>
      </c>
      <c r="BM153" s="19"/>
      <c r="BN153" s="19"/>
      <c r="BO153" s="19"/>
      <c r="BP153" s="19"/>
      <c r="BQ153" s="19"/>
      <c r="BR153" s="19"/>
      <c r="BS153" s="19"/>
      <c r="BT153" s="19"/>
      <c r="BU153" s="74"/>
      <c r="BV153" s="19"/>
      <c r="BW153" s="19"/>
    </row>
    <row r="154" spans="1:75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32"/>
      <c r="BG154" s="20"/>
      <c r="BH154" s="19"/>
      <c r="BI154" s="20"/>
      <c r="BJ154" s="20"/>
      <c r="BK154" s="19"/>
      <c r="BL154" s="13">
        <f t="shared" si="9"/>
        <v>0</v>
      </c>
      <c r="BM154" s="19"/>
      <c r="BN154" s="19"/>
      <c r="BO154" s="19"/>
      <c r="BP154" s="19"/>
      <c r="BQ154" s="19"/>
      <c r="BR154" s="19"/>
      <c r="BS154" s="19"/>
      <c r="BT154" s="19"/>
      <c r="BU154" s="74"/>
      <c r="BV154" s="19"/>
      <c r="BW154" s="19"/>
    </row>
    <row r="155" spans="1:75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32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74"/>
      <c r="BV155" s="19"/>
      <c r="BW155" s="19"/>
    </row>
    <row r="156" spans="1:75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32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74"/>
      <c r="BV156" s="19"/>
      <c r="BW156" s="19"/>
    </row>
    <row r="157" spans="1:75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32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74"/>
      <c r="BV157" s="19"/>
      <c r="BW157" s="19"/>
    </row>
    <row r="158" spans="1:75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32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74"/>
      <c r="BV158" s="19"/>
      <c r="BW158" s="19"/>
    </row>
    <row r="159" spans="1:75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32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74"/>
      <c r="BV159" s="19"/>
      <c r="BW159" s="19"/>
    </row>
    <row r="160" spans="1:75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32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74"/>
      <c r="BV160" s="19"/>
      <c r="BW160" s="19"/>
    </row>
    <row r="161" spans="1:75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32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74"/>
      <c r="BV161" s="19"/>
      <c r="BW161" s="19"/>
    </row>
    <row r="162" spans="1:75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32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74"/>
      <c r="BV162" s="19"/>
      <c r="BW162" s="19"/>
    </row>
    <row r="163" spans="1:75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32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74"/>
      <c r="BV163" s="19"/>
      <c r="BW163" s="19"/>
    </row>
    <row r="164" spans="1:75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32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74"/>
      <c r="BV164" s="19"/>
      <c r="BW164" s="19"/>
    </row>
    <row r="165" spans="1:75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32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74"/>
      <c r="BV165" s="19"/>
      <c r="BW165" s="19"/>
    </row>
    <row r="166" spans="1:75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32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74"/>
      <c r="BV166" s="19"/>
      <c r="BW166" s="19"/>
    </row>
    <row r="167" spans="1:75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32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74"/>
      <c r="BV167" s="19"/>
      <c r="BW167" s="19"/>
    </row>
    <row r="168" spans="1:75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32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74"/>
      <c r="BV168" s="19"/>
      <c r="BW168" s="19"/>
    </row>
    <row r="169" spans="1:75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32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74"/>
      <c r="BV169" s="19"/>
      <c r="BW169" s="19"/>
    </row>
    <row r="170" spans="1:75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32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74"/>
      <c r="BV170" s="19"/>
      <c r="BW170" s="19"/>
    </row>
    <row r="171" spans="1:75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32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74"/>
      <c r="BV171" s="19"/>
      <c r="BW171" s="19"/>
    </row>
    <row r="172" spans="1:75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32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74"/>
      <c r="BV172" s="19"/>
      <c r="BW172" s="19"/>
    </row>
    <row r="173" spans="1:75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32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74"/>
      <c r="BV173" s="19"/>
      <c r="BW173" s="19"/>
    </row>
    <row r="174" spans="1:75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32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74"/>
      <c r="BV174" s="19"/>
      <c r="BW174" s="19"/>
    </row>
    <row r="175" spans="1:75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32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74"/>
      <c r="BV175" s="19"/>
      <c r="BW175" s="19"/>
    </row>
    <row r="176" spans="1:75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32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74"/>
      <c r="BV176" s="19"/>
      <c r="BW176" s="19"/>
    </row>
    <row r="177" spans="1:75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32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74"/>
      <c r="BV177" s="19"/>
      <c r="BW177" s="19"/>
    </row>
    <row r="178" spans="1:75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32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74"/>
      <c r="BV178" s="19"/>
      <c r="BW178" s="19"/>
    </row>
    <row r="179" spans="1:75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32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74"/>
      <c r="BV179" s="19"/>
      <c r="BW179" s="19"/>
    </row>
    <row r="180" spans="1:75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32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74"/>
      <c r="BV180" s="19"/>
      <c r="BW180" s="19"/>
    </row>
    <row r="181" spans="1:75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32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74"/>
      <c r="BV181" s="19"/>
      <c r="BW181" s="19"/>
    </row>
    <row r="182" spans="1:75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32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74"/>
      <c r="BV182" s="19"/>
      <c r="BW182" s="19"/>
    </row>
    <row r="183" spans="1:75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32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74"/>
      <c r="BV183" s="19"/>
      <c r="BW183" s="19"/>
    </row>
    <row r="184" spans="1:75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32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74"/>
      <c r="BV184" s="19"/>
      <c r="BW184" s="19"/>
    </row>
    <row r="185" spans="1:75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32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74"/>
      <c r="BV185" s="19"/>
      <c r="BW185" s="19"/>
    </row>
    <row r="186" spans="1:75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32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74"/>
      <c r="BV186" s="19"/>
      <c r="BW186" s="19"/>
    </row>
    <row r="187" spans="1:75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32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74"/>
      <c r="BV187" s="19"/>
      <c r="BW187" s="19"/>
    </row>
    <row r="188" spans="1:75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32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74"/>
      <c r="BV188" s="19"/>
      <c r="BW188" s="19"/>
    </row>
    <row r="189" spans="1:75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32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74"/>
      <c r="BV189" s="19"/>
      <c r="BW189" s="19"/>
    </row>
    <row r="190" spans="1:75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32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74"/>
      <c r="BV190" s="19"/>
      <c r="BW190" s="19"/>
    </row>
    <row r="191" spans="1:75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32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74"/>
      <c r="BV191" s="19"/>
      <c r="BW191" s="19"/>
    </row>
    <row r="192" spans="1:75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32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74"/>
      <c r="BV192" s="19"/>
      <c r="BW192" s="19"/>
    </row>
    <row r="193" spans="1:75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32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74"/>
      <c r="BV193" s="19"/>
      <c r="BW193" s="19"/>
    </row>
    <row r="194" spans="1:75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32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74"/>
      <c r="BV194" s="19"/>
      <c r="BW194" s="19"/>
    </row>
    <row r="195" spans="1:75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32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74"/>
      <c r="BV195" s="19"/>
      <c r="BW195" s="19"/>
    </row>
    <row r="196" spans="1:75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32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74"/>
      <c r="BV196" s="19"/>
      <c r="BW196" s="19"/>
    </row>
    <row r="197" spans="1:75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32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74"/>
      <c r="BV197" s="19"/>
      <c r="BW197" s="19"/>
    </row>
    <row r="198" spans="1:75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32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74"/>
      <c r="BV198" s="19"/>
      <c r="BW198" s="19"/>
    </row>
    <row r="199" spans="1:75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32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74"/>
      <c r="BV199" s="19"/>
      <c r="BW199" s="19"/>
    </row>
    <row r="200" spans="1:75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32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74"/>
      <c r="BV200" s="19"/>
      <c r="BW200" s="19"/>
    </row>
    <row r="201" spans="1:75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32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74"/>
      <c r="BV201" s="19"/>
      <c r="BW201" s="19"/>
    </row>
    <row r="202" spans="1:75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32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74"/>
      <c r="BV202" s="19"/>
      <c r="BW202" s="19"/>
    </row>
    <row r="203" spans="1:75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32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74"/>
      <c r="BV203" s="19"/>
      <c r="BW203" s="19"/>
    </row>
    <row r="204" spans="1:75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32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74"/>
      <c r="BV204" s="19"/>
      <c r="BW204" s="19"/>
    </row>
    <row r="205" spans="1:75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32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74"/>
      <c r="BV205" s="19"/>
      <c r="BW205" s="19"/>
    </row>
    <row r="206" spans="1:75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32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74"/>
      <c r="BV206" s="19"/>
      <c r="BW206" s="19"/>
    </row>
    <row r="207" spans="1:75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32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74"/>
      <c r="BV207" s="19"/>
      <c r="BW207" s="19"/>
    </row>
    <row r="208" spans="1:75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32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74"/>
      <c r="BV208" s="19"/>
      <c r="BW208" s="19"/>
    </row>
    <row r="209" spans="1:75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32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74"/>
      <c r="BV209" s="19"/>
      <c r="BW209" s="19"/>
    </row>
    <row r="210" spans="1:75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32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74"/>
      <c r="BV210" s="19"/>
      <c r="BW210" s="19"/>
    </row>
    <row r="211" spans="1:75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32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74"/>
      <c r="BV211" s="19"/>
      <c r="BW211" s="19"/>
    </row>
    <row r="212" spans="1:75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32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74"/>
      <c r="BV212" s="19"/>
      <c r="BW212" s="19"/>
    </row>
    <row r="213" spans="1:75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32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74"/>
      <c r="BV213" s="19"/>
      <c r="BW213" s="19"/>
    </row>
    <row r="214" spans="1:75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32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74"/>
      <c r="BV214" s="19"/>
      <c r="BW214" s="19"/>
    </row>
    <row r="215" spans="1:75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32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74"/>
      <c r="BV215" s="19"/>
      <c r="BW215" s="19"/>
    </row>
    <row r="216" spans="1:75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32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74"/>
      <c r="BV216" s="19"/>
      <c r="BW216" s="19"/>
    </row>
    <row r="217" spans="1:75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32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74"/>
      <c r="BV217" s="19"/>
      <c r="BW217" s="19"/>
    </row>
    <row r="218" spans="1:75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32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74"/>
      <c r="BV218" s="19"/>
      <c r="BW218" s="19"/>
    </row>
    <row r="219" spans="1:75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32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74"/>
      <c r="BV219" s="19"/>
      <c r="BW219" s="19"/>
    </row>
    <row r="220" spans="1:75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32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74"/>
      <c r="BV220" s="19"/>
      <c r="BW220" s="19"/>
    </row>
    <row r="221" spans="1:75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32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74"/>
      <c r="BV221" s="19"/>
      <c r="BW221" s="19"/>
    </row>
    <row r="222" spans="1:75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32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74"/>
      <c r="BV222" s="19"/>
      <c r="BW222" s="19"/>
    </row>
    <row r="223" spans="1:75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32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74"/>
      <c r="BV223" s="19"/>
      <c r="BW223" s="19"/>
    </row>
    <row r="224" spans="1:75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32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74"/>
      <c r="BV224" s="19"/>
      <c r="BW224" s="19"/>
    </row>
    <row r="225" spans="1:75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32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74"/>
      <c r="BV225" s="19"/>
      <c r="BW225" s="19"/>
    </row>
    <row r="226" spans="1:75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32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74"/>
      <c r="BV226" s="19"/>
      <c r="BW226" s="19"/>
    </row>
    <row r="227" spans="1:75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32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74"/>
      <c r="BV227" s="19"/>
      <c r="BW227" s="19"/>
    </row>
    <row r="228" spans="1:75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32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74"/>
      <c r="BV228" s="19"/>
      <c r="BW228" s="19"/>
    </row>
    <row r="229" spans="1:75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32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74"/>
      <c r="BV229" s="19"/>
      <c r="BW229" s="19"/>
    </row>
    <row r="230" spans="1:75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32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74"/>
      <c r="BV230" s="19"/>
      <c r="BW230" s="19"/>
    </row>
    <row r="231" spans="1:75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32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74"/>
      <c r="BV231" s="19"/>
      <c r="BW231" s="19"/>
    </row>
    <row r="232" spans="1:75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32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74"/>
      <c r="BV232" s="19"/>
      <c r="BW232" s="19"/>
    </row>
    <row r="233" spans="1:75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32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74"/>
      <c r="BV233" s="19"/>
      <c r="BW233" s="19"/>
    </row>
    <row r="234" spans="1:75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32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74"/>
      <c r="BV234" s="19"/>
      <c r="BW234" s="19"/>
    </row>
    <row r="235" spans="1:75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32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74"/>
      <c r="BV235" s="19"/>
      <c r="BW235" s="19"/>
    </row>
    <row r="236" spans="1:75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32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74"/>
      <c r="BV236" s="19"/>
      <c r="BW236" s="19"/>
    </row>
    <row r="237" spans="1:75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32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74"/>
      <c r="BV237" s="19"/>
      <c r="BW237" s="19"/>
    </row>
    <row r="238" spans="1:75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32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74"/>
      <c r="BV238" s="19"/>
      <c r="BW238" s="19"/>
    </row>
    <row r="239" spans="1:75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32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74"/>
      <c r="BV239" s="19"/>
      <c r="BW239" s="19"/>
    </row>
    <row r="240" spans="1:75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32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74"/>
      <c r="BV240" s="19"/>
      <c r="BW240" s="19"/>
    </row>
    <row r="241" spans="1:75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32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74"/>
      <c r="BV241" s="19"/>
      <c r="BW241" s="19"/>
    </row>
    <row r="242" spans="1:75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32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74"/>
      <c r="BV242" s="19"/>
      <c r="BW242" s="19"/>
    </row>
    <row r="243" spans="1:75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32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74"/>
      <c r="BV243" s="19"/>
      <c r="BW243" s="19"/>
    </row>
    <row r="244" spans="1:75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32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74"/>
      <c r="BV244" s="19"/>
      <c r="BW244" s="19"/>
    </row>
    <row r="245" spans="1:75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32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74"/>
      <c r="BV245" s="19"/>
      <c r="BW245" s="19"/>
    </row>
    <row r="246" spans="1:75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32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74"/>
      <c r="BV246" s="19"/>
      <c r="BW246" s="19"/>
    </row>
    <row r="247" spans="1:75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32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74"/>
      <c r="BV247" s="19"/>
      <c r="BW247" s="19"/>
    </row>
    <row r="248" spans="1:75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32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74"/>
      <c r="BV248" s="19"/>
      <c r="BW248" s="19"/>
    </row>
    <row r="249" spans="1:75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32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74"/>
      <c r="BV249" s="19"/>
      <c r="BW249" s="19"/>
    </row>
    <row r="250" spans="1:75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32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74"/>
      <c r="BV250" s="19"/>
      <c r="BW250" s="19"/>
    </row>
    <row r="251" spans="1:75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32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74"/>
      <c r="BV251" s="19"/>
      <c r="BW251" s="19"/>
    </row>
    <row r="252" spans="1:75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32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74"/>
      <c r="BV252" s="19"/>
      <c r="BW252" s="19"/>
    </row>
    <row r="253" spans="1:75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32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74"/>
      <c r="BV253" s="19"/>
      <c r="BW253" s="19"/>
    </row>
    <row r="254" spans="1:75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32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74"/>
      <c r="BV254" s="19"/>
      <c r="BW254" s="19"/>
    </row>
    <row r="255" spans="1:75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32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74"/>
      <c r="BV255" s="19"/>
      <c r="BW255" s="19"/>
    </row>
    <row r="256" spans="1:75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32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74"/>
      <c r="BV256" s="19"/>
      <c r="BW256" s="19"/>
    </row>
    <row r="257" spans="1:75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32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74"/>
      <c r="BV257" s="19"/>
      <c r="BW257" s="19"/>
    </row>
    <row r="258" spans="1:75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32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74"/>
      <c r="BV258" s="19"/>
      <c r="BW258" s="19"/>
    </row>
    <row r="259" spans="1:75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32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74"/>
      <c r="BV259" s="19"/>
      <c r="BW259" s="19"/>
    </row>
    <row r="260" spans="1:75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32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74"/>
      <c r="BV260" s="19"/>
      <c r="BW260" s="19"/>
    </row>
    <row r="261" spans="1:75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32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74"/>
      <c r="BV261" s="19"/>
      <c r="BW261" s="19"/>
    </row>
    <row r="262" spans="1:75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32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74"/>
      <c r="BV262" s="19"/>
      <c r="BW262" s="19"/>
    </row>
    <row r="263" spans="1:75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32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74"/>
      <c r="BV263" s="19"/>
      <c r="BW263" s="19"/>
    </row>
    <row r="264" spans="1:75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32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74"/>
      <c r="BV264" s="19"/>
      <c r="BW264" s="19"/>
    </row>
    <row r="265" spans="1:75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32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74"/>
      <c r="BV265" s="19"/>
      <c r="BW265" s="19"/>
    </row>
    <row r="266" spans="1:75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32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74"/>
      <c r="BV266" s="19"/>
      <c r="BW266" s="19"/>
    </row>
    <row r="267" spans="1:75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32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74"/>
      <c r="BV267" s="19"/>
      <c r="BW267" s="19"/>
    </row>
    <row r="268" spans="1:75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32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74"/>
      <c r="BV268" s="19"/>
      <c r="BW268" s="19"/>
    </row>
    <row r="269" spans="1:75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32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74"/>
      <c r="BV269" s="19"/>
      <c r="BW269" s="19"/>
    </row>
    <row r="270" spans="1:75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32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74"/>
      <c r="BV270" s="19"/>
      <c r="BW270" s="19"/>
    </row>
    <row r="271" spans="1:75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32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74"/>
      <c r="BV271" s="19"/>
      <c r="BW271" s="19"/>
    </row>
    <row r="272" spans="1:75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32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74"/>
      <c r="BV272" s="19"/>
      <c r="BW272" s="19"/>
    </row>
    <row r="273" spans="1:75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32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74"/>
      <c r="BV273" s="19"/>
      <c r="BW273" s="19"/>
    </row>
    <row r="274" spans="1:75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32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74"/>
      <c r="BV274" s="19"/>
      <c r="BW274" s="19"/>
    </row>
    <row r="275" spans="1:75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32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74"/>
      <c r="BV275" s="19"/>
      <c r="BW275" s="19"/>
    </row>
    <row r="276" spans="1:75" ht="14.25" customHeight="1">
      <c r="A276" s="19"/>
      <c r="B276" s="20"/>
      <c r="C276" s="3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32"/>
      <c r="BG276" s="20"/>
      <c r="BH276" s="19"/>
      <c r="BI276" s="20"/>
      <c r="BJ276" s="20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74"/>
      <c r="BV276" s="19"/>
      <c r="BW276" s="19"/>
    </row>
    <row r="277" spans="1:75" ht="15.75" customHeight="1">
      <c r="BF277" s="34"/>
      <c r="BO277" s="75"/>
      <c r="BP277" s="75"/>
      <c r="BQ277" s="75"/>
      <c r="BR277" s="75"/>
      <c r="BS277" s="75"/>
      <c r="BT277" s="75"/>
      <c r="BU277" s="76"/>
      <c r="BV277" s="75"/>
      <c r="BW277" s="75"/>
    </row>
    <row r="278" spans="1:75" ht="15.75" customHeight="1">
      <c r="BF278" s="34"/>
      <c r="BO278" s="75"/>
      <c r="BP278" s="75"/>
      <c r="BQ278" s="75"/>
      <c r="BR278" s="75"/>
      <c r="BS278" s="75"/>
      <c r="BT278" s="75"/>
      <c r="BU278" s="76"/>
      <c r="BV278" s="75"/>
      <c r="BW278" s="75"/>
    </row>
    <row r="279" spans="1:75" ht="15.75" customHeight="1">
      <c r="BF279" s="34"/>
      <c r="BO279" s="75"/>
      <c r="BP279" s="75"/>
      <c r="BQ279" s="75"/>
      <c r="BR279" s="75"/>
      <c r="BS279" s="75"/>
      <c r="BT279" s="75"/>
      <c r="BU279" s="76"/>
      <c r="BV279" s="75"/>
      <c r="BW279" s="75"/>
    </row>
    <row r="280" spans="1:75" ht="15.75" customHeight="1">
      <c r="BF280" s="34"/>
      <c r="BO280" s="75"/>
      <c r="BP280" s="75"/>
      <c r="BQ280" s="75"/>
      <c r="BR280" s="75"/>
      <c r="BS280" s="75"/>
      <c r="BT280" s="75"/>
      <c r="BU280" s="76"/>
      <c r="BV280" s="75"/>
      <c r="BW280" s="75"/>
    </row>
    <row r="281" spans="1:75" ht="15.75" customHeight="1">
      <c r="BF281" s="34"/>
      <c r="BO281" s="75"/>
      <c r="BP281" s="75"/>
      <c r="BQ281" s="75"/>
      <c r="BR281" s="75"/>
      <c r="BS281" s="75"/>
      <c r="BT281" s="75"/>
      <c r="BU281" s="76"/>
      <c r="BV281" s="75"/>
      <c r="BW281" s="75"/>
    </row>
    <row r="282" spans="1:75" ht="15.75" customHeight="1">
      <c r="BF282" s="34"/>
      <c r="BO282" s="75"/>
      <c r="BP282" s="75"/>
      <c r="BQ282" s="75"/>
      <c r="BR282" s="75"/>
      <c r="BS282" s="75"/>
      <c r="BT282" s="75"/>
      <c r="BU282" s="76"/>
      <c r="BV282" s="75"/>
      <c r="BW282" s="75"/>
    </row>
    <row r="283" spans="1:75" ht="15.75" customHeight="1">
      <c r="BF283" s="34"/>
      <c r="BO283" s="75"/>
      <c r="BP283" s="75"/>
      <c r="BQ283" s="75"/>
      <c r="BR283" s="75"/>
      <c r="BS283" s="75"/>
      <c r="BT283" s="75"/>
      <c r="BU283" s="76"/>
      <c r="BV283" s="75"/>
      <c r="BW283" s="75"/>
    </row>
    <row r="284" spans="1:75" ht="15.75" customHeight="1">
      <c r="BF284" s="34"/>
      <c r="BO284" s="75"/>
      <c r="BP284" s="75"/>
      <c r="BQ284" s="75"/>
      <c r="BR284" s="75"/>
      <c r="BS284" s="75"/>
      <c r="BT284" s="75"/>
      <c r="BU284" s="76"/>
      <c r="BV284" s="75"/>
      <c r="BW284" s="75"/>
    </row>
    <row r="285" spans="1:75" ht="15.75" customHeight="1">
      <c r="BF285" s="34"/>
      <c r="BO285" s="75"/>
      <c r="BP285" s="75"/>
      <c r="BQ285" s="75"/>
      <c r="BR285" s="75"/>
      <c r="BS285" s="75"/>
      <c r="BT285" s="75"/>
      <c r="BU285" s="76"/>
      <c r="BV285" s="75"/>
      <c r="BW285" s="75"/>
    </row>
    <row r="286" spans="1:75" ht="15.75" customHeight="1">
      <c r="BF286" s="34"/>
      <c r="BO286" s="75"/>
      <c r="BP286" s="75"/>
      <c r="BQ286" s="75"/>
      <c r="BR286" s="75"/>
      <c r="BS286" s="75"/>
      <c r="BT286" s="75"/>
      <c r="BU286" s="76"/>
      <c r="BV286" s="75"/>
      <c r="BW286" s="75"/>
    </row>
    <row r="287" spans="1:75" ht="15.75" customHeight="1">
      <c r="BF287" s="34"/>
      <c r="BO287" s="75"/>
      <c r="BP287" s="75"/>
      <c r="BQ287" s="75"/>
      <c r="BR287" s="75"/>
      <c r="BS287" s="75"/>
      <c r="BT287" s="75"/>
      <c r="BU287" s="76"/>
      <c r="BV287" s="75"/>
      <c r="BW287" s="75"/>
    </row>
    <row r="288" spans="1:75" ht="15.75" customHeight="1">
      <c r="BF288" s="34"/>
      <c r="BO288" s="75"/>
      <c r="BP288" s="75"/>
      <c r="BQ288" s="75"/>
      <c r="BR288" s="75"/>
      <c r="BS288" s="75"/>
      <c r="BT288" s="75"/>
      <c r="BU288" s="76"/>
      <c r="BV288" s="75"/>
      <c r="BW288" s="75"/>
    </row>
    <row r="289" spans="58:75" ht="15.75" customHeight="1">
      <c r="BF289" s="34"/>
      <c r="BO289" s="75"/>
      <c r="BP289" s="75"/>
      <c r="BQ289" s="75"/>
      <c r="BR289" s="75"/>
      <c r="BS289" s="75"/>
      <c r="BT289" s="75"/>
      <c r="BU289" s="76"/>
      <c r="BV289" s="75"/>
      <c r="BW289" s="75"/>
    </row>
    <row r="290" spans="58:75" ht="15.75" customHeight="1">
      <c r="BF290" s="34"/>
      <c r="BO290" s="75"/>
      <c r="BP290" s="75"/>
      <c r="BQ290" s="75"/>
      <c r="BR290" s="75"/>
      <c r="BS290" s="75"/>
      <c r="BT290" s="75"/>
      <c r="BU290" s="76"/>
      <c r="BV290" s="75"/>
      <c r="BW290" s="75"/>
    </row>
    <row r="291" spans="58:75" ht="15.75" customHeight="1">
      <c r="BF291" s="34"/>
      <c r="BO291" s="75"/>
      <c r="BP291" s="75"/>
      <c r="BQ291" s="75"/>
      <c r="BR291" s="75"/>
      <c r="BS291" s="75"/>
      <c r="BT291" s="75"/>
      <c r="BU291" s="76"/>
      <c r="BV291" s="75"/>
      <c r="BW291" s="75"/>
    </row>
    <row r="292" spans="58:75" ht="15.75" customHeight="1">
      <c r="BF292" s="34"/>
      <c r="BO292" s="75"/>
      <c r="BP292" s="75"/>
      <c r="BQ292" s="75"/>
      <c r="BR292" s="75"/>
      <c r="BS292" s="75"/>
      <c r="BT292" s="75"/>
      <c r="BU292" s="76"/>
      <c r="BV292" s="75"/>
      <c r="BW292" s="75"/>
    </row>
    <row r="293" spans="58:75" ht="15.75" customHeight="1">
      <c r="BF293" s="34"/>
      <c r="BO293" s="75"/>
      <c r="BP293" s="75"/>
      <c r="BQ293" s="75"/>
      <c r="BR293" s="75"/>
      <c r="BS293" s="75"/>
      <c r="BT293" s="75"/>
      <c r="BU293" s="76"/>
      <c r="BV293" s="75"/>
      <c r="BW293" s="75"/>
    </row>
    <row r="294" spans="58:75" ht="15.75" customHeight="1">
      <c r="BF294" s="34"/>
      <c r="BO294" s="75"/>
      <c r="BP294" s="75"/>
      <c r="BQ294" s="75"/>
      <c r="BR294" s="75"/>
      <c r="BS294" s="75"/>
      <c r="BT294" s="75"/>
      <c r="BU294" s="76"/>
      <c r="BV294" s="75"/>
      <c r="BW294" s="75"/>
    </row>
    <row r="295" spans="58:75" ht="15.75" customHeight="1">
      <c r="BF295" s="34"/>
      <c r="BO295" s="75"/>
      <c r="BP295" s="75"/>
      <c r="BQ295" s="75"/>
      <c r="BR295" s="75"/>
      <c r="BS295" s="75"/>
      <c r="BT295" s="75"/>
      <c r="BU295" s="76"/>
      <c r="BV295" s="75"/>
      <c r="BW295" s="75"/>
    </row>
    <row r="296" spans="58:75" ht="15.75" customHeight="1">
      <c r="BF296" s="34"/>
      <c r="BO296" s="75"/>
      <c r="BP296" s="75"/>
      <c r="BQ296" s="75"/>
      <c r="BR296" s="75"/>
      <c r="BS296" s="75"/>
      <c r="BT296" s="75"/>
      <c r="BU296" s="76"/>
      <c r="BV296" s="75"/>
      <c r="BW296" s="75"/>
    </row>
    <row r="297" spans="58:75" ht="15.75" customHeight="1">
      <c r="BF297" s="34"/>
      <c r="BO297" s="75"/>
      <c r="BP297" s="75"/>
      <c r="BQ297" s="75"/>
      <c r="BR297" s="75"/>
      <c r="BS297" s="75"/>
      <c r="BT297" s="75"/>
      <c r="BU297" s="76"/>
      <c r="BV297" s="75"/>
      <c r="BW297" s="75"/>
    </row>
    <row r="298" spans="58:75" ht="15.75" customHeight="1">
      <c r="BF298" s="34"/>
      <c r="BO298" s="75"/>
      <c r="BP298" s="75"/>
      <c r="BQ298" s="75"/>
      <c r="BR298" s="75"/>
      <c r="BS298" s="75"/>
      <c r="BT298" s="75"/>
      <c r="BU298" s="76"/>
      <c r="BV298" s="75"/>
      <c r="BW298" s="75"/>
    </row>
    <row r="299" spans="58:75" ht="15.75" customHeight="1">
      <c r="BF299" s="34"/>
      <c r="BO299" s="75"/>
      <c r="BP299" s="75"/>
      <c r="BQ299" s="75"/>
      <c r="BR299" s="75"/>
      <c r="BS299" s="75"/>
      <c r="BT299" s="75"/>
      <c r="BU299" s="76"/>
      <c r="BV299" s="75"/>
      <c r="BW299" s="75"/>
    </row>
    <row r="300" spans="58:75" ht="15.75" customHeight="1">
      <c r="BF300" s="34"/>
      <c r="BO300" s="75"/>
      <c r="BP300" s="75"/>
      <c r="BQ300" s="75"/>
      <c r="BR300" s="75"/>
      <c r="BS300" s="75"/>
      <c r="BT300" s="75"/>
      <c r="BU300" s="76"/>
      <c r="BV300" s="75"/>
      <c r="BW300" s="75"/>
    </row>
    <row r="301" spans="58:75" ht="15.75" customHeight="1">
      <c r="BF301" s="34"/>
      <c r="BO301" s="75"/>
      <c r="BP301" s="75"/>
      <c r="BQ301" s="75"/>
      <c r="BR301" s="75"/>
      <c r="BS301" s="75"/>
      <c r="BT301" s="75"/>
      <c r="BU301" s="76"/>
      <c r="BV301" s="75"/>
      <c r="BW301" s="75"/>
    </row>
    <row r="302" spans="58:75" ht="15.75" customHeight="1">
      <c r="BF302" s="34"/>
      <c r="BO302" s="75"/>
      <c r="BP302" s="75"/>
      <c r="BQ302" s="75"/>
      <c r="BR302" s="75"/>
      <c r="BS302" s="75"/>
      <c r="BT302" s="75"/>
      <c r="BU302" s="76"/>
      <c r="BV302" s="75"/>
      <c r="BW302" s="75"/>
    </row>
    <row r="303" spans="58:75" ht="15.75" customHeight="1">
      <c r="BF303" s="34"/>
      <c r="BO303" s="75"/>
      <c r="BP303" s="75"/>
      <c r="BQ303" s="75"/>
      <c r="BR303" s="75"/>
      <c r="BS303" s="75"/>
      <c r="BT303" s="75"/>
      <c r="BU303" s="76"/>
      <c r="BV303" s="75"/>
      <c r="BW303" s="75"/>
    </row>
    <row r="304" spans="58:75" ht="15.75" customHeight="1">
      <c r="BF304" s="34"/>
      <c r="BO304" s="75"/>
      <c r="BP304" s="75"/>
      <c r="BQ304" s="75"/>
      <c r="BR304" s="75"/>
      <c r="BS304" s="75"/>
      <c r="BT304" s="75"/>
      <c r="BU304" s="76"/>
      <c r="BV304" s="75"/>
      <c r="BW304" s="75"/>
    </row>
    <row r="305" spans="58:75" ht="15.75" customHeight="1">
      <c r="BF305" s="34"/>
      <c r="BO305" s="75"/>
      <c r="BP305" s="75"/>
      <c r="BQ305" s="75"/>
      <c r="BR305" s="75"/>
      <c r="BS305" s="75"/>
      <c r="BT305" s="75"/>
      <c r="BU305" s="76"/>
      <c r="BV305" s="75"/>
      <c r="BW305" s="75"/>
    </row>
    <row r="306" spans="58:75" ht="15.75" customHeight="1">
      <c r="BF306" s="34"/>
      <c r="BO306" s="75"/>
      <c r="BP306" s="75"/>
      <c r="BQ306" s="75"/>
      <c r="BR306" s="75"/>
      <c r="BS306" s="75"/>
      <c r="BT306" s="75"/>
      <c r="BU306" s="76"/>
      <c r="BV306" s="75"/>
      <c r="BW306" s="75"/>
    </row>
    <row r="307" spans="58:75" ht="15.75" customHeight="1">
      <c r="BF307" s="34"/>
      <c r="BO307" s="75"/>
      <c r="BP307" s="75"/>
      <c r="BQ307" s="75"/>
      <c r="BR307" s="75"/>
      <c r="BS307" s="75"/>
      <c r="BT307" s="75"/>
      <c r="BU307" s="76"/>
      <c r="BV307" s="75"/>
      <c r="BW307" s="75"/>
    </row>
    <row r="308" spans="58:75" ht="15.75" customHeight="1">
      <c r="BF308" s="34"/>
      <c r="BO308" s="75"/>
      <c r="BP308" s="75"/>
      <c r="BQ308" s="75"/>
      <c r="BR308" s="75"/>
      <c r="BS308" s="75"/>
      <c r="BT308" s="75"/>
      <c r="BU308" s="76"/>
      <c r="BV308" s="75"/>
      <c r="BW308" s="75"/>
    </row>
    <row r="309" spans="58:75" ht="15.75" customHeight="1">
      <c r="BF309" s="34"/>
      <c r="BO309" s="75"/>
      <c r="BP309" s="75"/>
      <c r="BQ309" s="75"/>
      <c r="BR309" s="75"/>
      <c r="BS309" s="75"/>
      <c r="BT309" s="75"/>
      <c r="BU309" s="76"/>
      <c r="BV309" s="75"/>
      <c r="BW309" s="75"/>
    </row>
    <row r="310" spans="58:75" ht="15.75" customHeight="1">
      <c r="BF310" s="34"/>
      <c r="BO310" s="75"/>
      <c r="BP310" s="75"/>
      <c r="BQ310" s="75"/>
      <c r="BR310" s="75"/>
      <c r="BS310" s="75"/>
      <c r="BT310" s="75"/>
      <c r="BU310" s="76"/>
      <c r="BV310" s="75"/>
      <c r="BW310" s="75"/>
    </row>
    <row r="311" spans="58:75" ht="15.75" customHeight="1">
      <c r="BF311" s="34"/>
      <c r="BO311" s="75"/>
      <c r="BP311" s="75"/>
      <c r="BQ311" s="75"/>
      <c r="BR311" s="75"/>
      <c r="BS311" s="75"/>
      <c r="BT311" s="75"/>
      <c r="BU311" s="76"/>
      <c r="BV311" s="75"/>
      <c r="BW311" s="75"/>
    </row>
    <row r="312" spans="58:75" ht="15.75" customHeight="1">
      <c r="BF312" s="34"/>
      <c r="BO312" s="75"/>
      <c r="BP312" s="75"/>
      <c r="BQ312" s="75"/>
      <c r="BR312" s="75"/>
      <c r="BS312" s="75"/>
      <c r="BT312" s="75"/>
      <c r="BU312" s="76"/>
      <c r="BV312" s="75"/>
      <c r="BW312" s="75"/>
    </row>
    <row r="313" spans="58:75" ht="15.75" customHeight="1">
      <c r="BF313" s="34"/>
      <c r="BO313" s="75"/>
      <c r="BP313" s="75"/>
      <c r="BQ313" s="75"/>
      <c r="BR313" s="75"/>
      <c r="BS313" s="75"/>
      <c r="BT313" s="75"/>
      <c r="BU313" s="76"/>
      <c r="BV313" s="75"/>
      <c r="BW313" s="75"/>
    </row>
    <row r="314" spans="58:75" ht="15.75" customHeight="1">
      <c r="BF314" s="34"/>
      <c r="BO314" s="75"/>
      <c r="BP314" s="75"/>
      <c r="BQ314" s="75"/>
      <c r="BR314" s="75"/>
      <c r="BS314" s="75"/>
      <c r="BT314" s="75"/>
      <c r="BU314" s="76"/>
      <c r="BV314" s="75"/>
      <c r="BW314" s="75"/>
    </row>
    <row r="315" spans="58:75" ht="15.75" customHeight="1">
      <c r="BF315" s="34"/>
      <c r="BO315" s="75"/>
      <c r="BP315" s="75"/>
      <c r="BQ315" s="75"/>
      <c r="BR315" s="75"/>
      <c r="BS315" s="75"/>
      <c r="BT315" s="75"/>
      <c r="BU315" s="76"/>
      <c r="BV315" s="75"/>
      <c r="BW315" s="75"/>
    </row>
    <row r="316" spans="58:75" ht="15.75" customHeight="1">
      <c r="BF316" s="34"/>
      <c r="BO316" s="75"/>
      <c r="BP316" s="75"/>
      <c r="BQ316" s="75"/>
      <c r="BR316" s="75"/>
      <c r="BS316" s="75"/>
      <c r="BT316" s="75"/>
      <c r="BU316" s="76"/>
      <c r="BV316" s="75"/>
      <c r="BW316" s="75"/>
    </row>
    <row r="317" spans="58:75" ht="15.75" customHeight="1">
      <c r="BF317" s="34"/>
      <c r="BO317" s="75"/>
      <c r="BP317" s="75"/>
      <c r="BQ317" s="75"/>
      <c r="BR317" s="75"/>
      <c r="BS317" s="75"/>
      <c r="BT317" s="75"/>
      <c r="BU317" s="76"/>
      <c r="BV317" s="75"/>
      <c r="BW317" s="75"/>
    </row>
    <row r="318" spans="58:75" ht="15.75" customHeight="1">
      <c r="BF318" s="34"/>
      <c r="BO318" s="75"/>
      <c r="BP318" s="75"/>
      <c r="BQ318" s="75"/>
      <c r="BR318" s="75"/>
      <c r="BS318" s="75"/>
      <c r="BT318" s="75"/>
      <c r="BU318" s="76"/>
      <c r="BV318" s="75"/>
      <c r="BW318" s="75"/>
    </row>
    <row r="319" spans="58:75" ht="15.75" customHeight="1">
      <c r="BF319" s="34"/>
      <c r="BO319" s="75"/>
      <c r="BP319" s="75"/>
      <c r="BQ319" s="75"/>
      <c r="BR319" s="75"/>
      <c r="BS319" s="75"/>
      <c r="BT319" s="75"/>
      <c r="BU319" s="76"/>
      <c r="BV319" s="75"/>
      <c r="BW319" s="75"/>
    </row>
    <row r="320" spans="58:75" ht="15.75" customHeight="1">
      <c r="BF320" s="34"/>
      <c r="BO320" s="75"/>
      <c r="BP320" s="75"/>
      <c r="BQ320" s="75"/>
      <c r="BR320" s="75"/>
      <c r="BS320" s="75"/>
      <c r="BT320" s="75"/>
      <c r="BU320" s="76"/>
      <c r="BV320" s="75"/>
      <c r="BW320" s="75"/>
    </row>
    <row r="321" spans="58:75" ht="15.75" customHeight="1">
      <c r="BF321" s="34"/>
      <c r="BO321" s="75"/>
      <c r="BP321" s="75"/>
      <c r="BQ321" s="75"/>
      <c r="BR321" s="75"/>
      <c r="BS321" s="75"/>
      <c r="BT321" s="75"/>
      <c r="BU321" s="76"/>
      <c r="BV321" s="75"/>
      <c r="BW321" s="75"/>
    </row>
    <row r="322" spans="58:75" ht="15.75" customHeight="1">
      <c r="BF322" s="34"/>
      <c r="BO322" s="75"/>
      <c r="BP322" s="75"/>
      <c r="BQ322" s="75"/>
      <c r="BR322" s="75"/>
      <c r="BS322" s="75"/>
      <c r="BT322" s="75"/>
      <c r="BU322" s="76"/>
      <c r="BV322" s="75"/>
      <c r="BW322" s="75"/>
    </row>
    <row r="323" spans="58:75" ht="15.75" customHeight="1">
      <c r="BF323" s="34"/>
      <c r="BO323" s="75"/>
      <c r="BP323" s="75"/>
      <c r="BQ323" s="75"/>
      <c r="BR323" s="75"/>
      <c r="BS323" s="75"/>
      <c r="BT323" s="75"/>
      <c r="BU323" s="76"/>
      <c r="BV323" s="75"/>
      <c r="BW323" s="75"/>
    </row>
    <row r="324" spans="58:75" ht="15.75" customHeight="1">
      <c r="BF324" s="34"/>
      <c r="BO324" s="75"/>
      <c r="BP324" s="75"/>
      <c r="BQ324" s="75"/>
      <c r="BR324" s="75"/>
      <c r="BS324" s="75"/>
      <c r="BT324" s="75"/>
      <c r="BU324" s="76"/>
      <c r="BV324" s="75"/>
      <c r="BW324" s="75"/>
    </row>
    <row r="325" spans="58:75" ht="15.75" customHeight="1">
      <c r="BF325" s="34"/>
      <c r="BO325" s="75"/>
      <c r="BP325" s="75"/>
      <c r="BQ325" s="75"/>
      <c r="BR325" s="75"/>
      <c r="BS325" s="75"/>
      <c r="BT325" s="75"/>
      <c r="BU325" s="76"/>
      <c r="BV325" s="75"/>
      <c r="BW325" s="75"/>
    </row>
    <row r="326" spans="58:75" ht="15.75" customHeight="1">
      <c r="BF326" s="34"/>
      <c r="BO326" s="75"/>
      <c r="BP326" s="75"/>
      <c r="BQ326" s="75"/>
      <c r="BR326" s="75"/>
      <c r="BS326" s="75"/>
      <c r="BT326" s="75"/>
      <c r="BU326" s="76"/>
      <c r="BV326" s="75"/>
      <c r="BW326" s="75"/>
    </row>
    <row r="327" spans="58:75" ht="15.75" customHeight="1">
      <c r="BF327" s="34"/>
      <c r="BO327" s="75"/>
      <c r="BP327" s="75"/>
      <c r="BQ327" s="75"/>
      <c r="BR327" s="75"/>
      <c r="BS327" s="75"/>
      <c r="BT327" s="75"/>
      <c r="BU327" s="76"/>
      <c r="BV327" s="75"/>
      <c r="BW327" s="75"/>
    </row>
    <row r="328" spans="58:75" ht="15.75" customHeight="1">
      <c r="BF328" s="34"/>
      <c r="BO328" s="75"/>
      <c r="BP328" s="75"/>
      <c r="BQ328" s="75"/>
      <c r="BR328" s="75"/>
      <c r="BS328" s="75"/>
      <c r="BT328" s="75"/>
      <c r="BU328" s="76"/>
      <c r="BV328" s="75"/>
      <c r="BW328" s="75"/>
    </row>
    <row r="329" spans="58:75" ht="15.75" customHeight="1">
      <c r="BF329" s="34"/>
      <c r="BO329" s="75"/>
      <c r="BP329" s="75"/>
      <c r="BQ329" s="75"/>
      <c r="BR329" s="75"/>
      <c r="BS329" s="75"/>
      <c r="BT329" s="75"/>
      <c r="BU329" s="76"/>
      <c r="BV329" s="75"/>
      <c r="BW329" s="75"/>
    </row>
    <row r="330" spans="58:75" ht="15.75" customHeight="1">
      <c r="BF330" s="34"/>
      <c r="BO330" s="75"/>
      <c r="BP330" s="75"/>
      <c r="BQ330" s="75"/>
      <c r="BR330" s="75"/>
      <c r="BS330" s="75"/>
      <c r="BT330" s="75"/>
      <c r="BU330" s="76"/>
      <c r="BV330" s="75"/>
      <c r="BW330" s="75"/>
    </row>
    <row r="331" spans="58:75" ht="15.75" customHeight="1">
      <c r="BF331" s="34"/>
      <c r="BO331" s="75"/>
      <c r="BP331" s="75"/>
      <c r="BQ331" s="75"/>
      <c r="BR331" s="75"/>
      <c r="BS331" s="75"/>
      <c r="BT331" s="75"/>
      <c r="BU331" s="76"/>
      <c r="BV331" s="75"/>
      <c r="BW331" s="75"/>
    </row>
    <row r="332" spans="58:75" ht="15.75" customHeight="1">
      <c r="BF332" s="34"/>
      <c r="BO332" s="75"/>
      <c r="BP332" s="75"/>
      <c r="BQ332" s="75"/>
      <c r="BR332" s="75"/>
      <c r="BS332" s="75"/>
      <c r="BT332" s="75"/>
      <c r="BU332" s="76"/>
      <c r="BV332" s="75"/>
      <c r="BW332" s="75"/>
    </row>
    <row r="333" spans="58:75" ht="15.75" customHeight="1">
      <c r="BF333" s="34"/>
      <c r="BO333" s="75"/>
      <c r="BP333" s="75"/>
      <c r="BQ333" s="75"/>
      <c r="BR333" s="75"/>
      <c r="BS333" s="75"/>
      <c r="BT333" s="75"/>
      <c r="BU333" s="76"/>
      <c r="BV333" s="75"/>
      <c r="BW333" s="75"/>
    </row>
    <row r="334" spans="58:75" ht="15.75" customHeight="1">
      <c r="BF334" s="34"/>
      <c r="BO334" s="75"/>
      <c r="BP334" s="75"/>
      <c r="BQ334" s="75"/>
      <c r="BR334" s="75"/>
      <c r="BS334" s="75"/>
      <c r="BT334" s="75"/>
      <c r="BU334" s="76"/>
      <c r="BV334" s="75"/>
      <c r="BW334" s="75"/>
    </row>
    <row r="335" spans="58:75" ht="15.75" customHeight="1">
      <c r="BF335" s="34"/>
      <c r="BO335" s="75"/>
      <c r="BP335" s="75"/>
      <c r="BQ335" s="75"/>
      <c r="BR335" s="75"/>
      <c r="BS335" s="75"/>
      <c r="BT335" s="75"/>
      <c r="BU335" s="76"/>
      <c r="BV335" s="75"/>
      <c r="BW335" s="75"/>
    </row>
    <row r="336" spans="58:75" ht="15.75" customHeight="1">
      <c r="BF336" s="34"/>
      <c r="BO336" s="75"/>
      <c r="BP336" s="75"/>
      <c r="BQ336" s="75"/>
      <c r="BR336" s="75"/>
      <c r="BS336" s="75"/>
      <c r="BT336" s="75"/>
      <c r="BU336" s="76"/>
      <c r="BV336" s="75"/>
      <c r="BW336" s="75"/>
    </row>
    <row r="337" spans="58:75" ht="15.75" customHeight="1">
      <c r="BF337" s="34"/>
      <c r="BO337" s="75"/>
      <c r="BP337" s="75"/>
      <c r="BQ337" s="75"/>
      <c r="BR337" s="75"/>
      <c r="BS337" s="75"/>
      <c r="BT337" s="75"/>
      <c r="BU337" s="76"/>
      <c r="BV337" s="75"/>
      <c r="BW337" s="75"/>
    </row>
    <row r="338" spans="58:75" ht="15.75" customHeight="1">
      <c r="BF338" s="34"/>
      <c r="BO338" s="75"/>
      <c r="BP338" s="75"/>
      <c r="BQ338" s="75"/>
      <c r="BR338" s="75"/>
      <c r="BS338" s="75"/>
      <c r="BT338" s="75"/>
      <c r="BU338" s="76"/>
      <c r="BV338" s="75"/>
      <c r="BW338" s="75"/>
    </row>
    <row r="339" spans="58:75" ht="15.75" customHeight="1">
      <c r="BF339" s="34"/>
      <c r="BO339" s="75"/>
      <c r="BP339" s="75"/>
      <c r="BQ339" s="75"/>
      <c r="BR339" s="75"/>
      <c r="BS339" s="75"/>
      <c r="BT339" s="75"/>
      <c r="BU339" s="76"/>
      <c r="BV339" s="75"/>
      <c r="BW339" s="75"/>
    </row>
    <row r="340" spans="58:75" ht="15.75" customHeight="1">
      <c r="BF340" s="34"/>
      <c r="BO340" s="75"/>
      <c r="BP340" s="75"/>
      <c r="BQ340" s="75"/>
      <c r="BR340" s="75"/>
      <c r="BS340" s="75"/>
      <c r="BT340" s="75"/>
      <c r="BU340" s="76"/>
      <c r="BV340" s="75"/>
      <c r="BW340" s="75"/>
    </row>
    <row r="341" spans="58:75" ht="15.75" customHeight="1">
      <c r="BF341" s="34"/>
      <c r="BO341" s="75"/>
      <c r="BP341" s="75"/>
      <c r="BQ341" s="75"/>
      <c r="BR341" s="75"/>
      <c r="BS341" s="75"/>
      <c r="BT341" s="75"/>
      <c r="BU341" s="76"/>
      <c r="BV341" s="75"/>
      <c r="BW341" s="75"/>
    </row>
    <row r="342" spans="58:75" ht="15.75" customHeight="1">
      <c r="BF342" s="34"/>
      <c r="BO342" s="75"/>
      <c r="BP342" s="75"/>
      <c r="BQ342" s="75"/>
      <c r="BR342" s="75"/>
      <c r="BS342" s="75"/>
      <c r="BT342" s="75"/>
      <c r="BU342" s="76"/>
      <c r="BV342" s="75"/>
      <c r="BW342" s="75"/>
    </row>
    <row r="343" spans="58:75" ht="15.75" customHeight="1">
      <c r="BF343" s="34"/>
      <c r="BO343" s="75"/>
      <c r="BP343" s="75"/>
      <c r="BQ343" s="75"/>
      <c r="BR343" s="75"/>
      <c r="BS343" s="75"/>
      <c r="BT343" s="75"/>
      <c r="BU343" s="76"/>
      <c r="BV343" s="75"/>
      <c r="BW343" s="75"/>
    </row>
    <row r="344" spans="58:75" ht="15.75" customHeight="1">
      <c r="BF344" s="34"/>
      <c r="BO344" s="75"/>
      <c r="BP344" s="75"/>
      <c r="BQ344" s="75"/>
      <c r="BR344" s="75"/>
      <c r="BS344" s="75"/>
      <c r="BT344" s="75"/>
      <c r="BU344" s="76"/>
      <c r="BV344" s="75"/>
      <c r="BW344" s="75"/>
    </row>
    <row r="345" spans="58:75" ht="15.75" customHeight="1">
      <c r="BF345" s="34"/>
      <c r="BO345" s="75"/>
      <c r="BP345" s="75"/>
      <c r="BQ345" s="75"/>
      <c r="BR345" s="75"/>
      <c r="BS345" s="75"/>
      <c r="BT345" s="75"/>
      <c r="BU345" s="76"/>
      <c r="BV345" s="75"/>
      <c r="BW345" s="75"/>
    </row>
    <row r="346" spans="58:75" ht="15.75" customHeight="1">
      <c r="BF346" s="34"/>
      <c r="BO346" s="75"/>
      <c r="BP346" s="75"/>
      <c r="BQ346" s="75"/>
      <c r="BR346" s="75"/>
      <c r="BS346" s="75"/>
      <c r="BT346" s="75"/>
      <c r="BU346" s="76"/>
      <c r="BV346" s="75"/>
      <c r="BW346" s="75"/>
    </row>
    <row r="347" spans="58:75" ht="15.75" customHeight="1">
      <c r="BF347" s="34"/>
      <c r="BO347" s="75"/>
      <c r="BP347" s="75"/>
      <c r="BQ347" s="75"/>
      <c r="BR347" s="75"/>
      <c r="BS347" s="75"/>
      <c r="BT347" s="75"/>
      <c r="BU347" s="76"/>
      <c r="BV347" s="75"/>
      <c r="BW347" s="75"/>
    </row>
    <row r="348" spans="58:75" ht="15.75" customHeight="1">
      <c r="BF348" s="34"/>
      <c r="BO348" s="75"/>
      <c r="BP348" s="75"/>
      <c r="BQ348" s="75"/>
      <c r="BR348" s="75"/>
      <c r="BS348" s="75"/>
      <c r="BT348" s="75"/>
      <c r="BU348" s="76"/>
      <c r="BV348" s="75"/>
      <c r="BW348" s="75"/>
    </row>
    <row r="349" spans="58:75" ht="15.75" customHeight="1">
      <c r="BF349" s="34"/>
      <c r="BO349" s="75"/>
      <c r="BP349" s="75"/>
      <c r="BQ349" s="75"/>
      <c r="BR349" s="75"/>
      <c r="BS349" s="75"/>
      <c r="BT349" s="75"/>
      <c r="BU349" s="76"/>
      <c r="BV349" s="75"/>
      <c r="BW349" s="75"/>
    </row>
    <row r="350" spans="58:75" ht="15.75" customHeight="1">
      <c r="BF350" s="34"/>
      <c r="BO350" s="75"/>
      <c r="BP350" s="75"/>
      <c r="BQ350" s="75"/>
      <c r="BR350" s="75"/>
      <c r="BS350" s="75"/>
      <c r="BT350" s="75"/>
      <c r="BU350" s="76"/>
      <c r="BV350" s="75"/>
      <c r="BW350" s="75"/>
    </row>
    <row r="351" spans="58:75" ht="15.75" customHeight="1">
      <c r="BF351" s="34"/>
      <c r="BO351" s="75"/>
      <c r="BP351" s="75"/>
      <c r="BQ351" s="75"/>
      <c r="BR351" s="75"/>
      <c r="BS351" s="75"/>
      <c r="BT351" s="75"/>
      <c r="BU351" s="76"/>
      <c r="BV351" s="75"/>
      <c r="BW351" s="75"/>
    </row>
    <row r="352" spans="58:75" ht="15.75" customHeight="1">
      <c r="BF352" s="34"/>
      <c r="BO352" s="75"/>
      <c r="BP352" s="75"/>
      <c r="BQ352" s="75"/>
      <c r="BR352" s="75"/>
      <c r="BS352" s="75"/>
      <c r="BT352" s="75"/>
      <c r="BU352" s="76"/>
      <c r="BV352" s="75"/>
      <c r="BW352" s="75"/>
    </row>
    <row r="353" spans="58:75" ht="15.75" customHeight="1">
      <c r="BF353" s="34"/>
      <c r="BO353" s="75"/>
      <c r="BP353" s="75"/>
      <c r="BQ353" s="75"/>
      <c r="BR353" s="75"/>
      <c r="BS353" s="75"/>
      <c r="BT353" s="75"/>
      <c r="BU353" s="76"/>
      <c r="BV353" s="75"/>
      <c r="BW353" s="75"/>
    </row>
    <row r="354" spans="58:75" ht="15.75" customHeight="1">
      <c r="BF354" s="34"/>
      <c r="BO354" s="75"/>
      <c r="BP354" s="75"/>
      <c r="BQ354" s="75"/>
      <c r="BR354" s="75"/>
      <c r="BS354" s="75"/>
      <c r="BT354" s="75"/>
      <c r="BU354" s="76"/>
      <c r="BV354" s="75"/>
      <c r="BW354" s="75"/>
    </row>
    <row r="355" spans="58:75" ht="15.75" customHeight="1">
      <c r="BF355" s="34"/>
      <c r="BO355" s="75"/>
      <c r="BP355" s="75"/>
      <c r="BQ355" s="75"/>
      <c r="BR355" s="75"/>
      <c r="BS355" s="75"/>
      <c r="BT355" s="75"/>
      <c r="BU355" s="76"/>
      <c r="BV355" s="75"/>
      <c r="BW355" s="75"/>
    </row>
    <row r="356" spans="58:75" ht="15.75" customHeight="1">
      <c r="BF356" s="34"/>
      <c r="BO356" s="75"/>
      <c r="BP356" s="75"/>
      <c r="BQ356" s="75"/>
      <c r="BR356" s="75"/>
      <c r="BS356" s="75"/>
      <c r="BT356" s="75"/>
      <c r="BU356" s="76"/>
      <c r="BV356" s="75"/>
      <c r="BW356" s="75"/>
    </row>
    <row r="357" spans="58:75" ht="15.75" customHeight="1">
      <c r="BF357" s="34"/>
      <c r="BO357" s="75"/>
      <c r="BP357" s="75"/>
      <c r="BQ357" s="75"/>
      <c r="BR357" s="75"/>
      <c r="BS357" s="75"/>
      <c r="BT357" s="75"/>
      <c r="BU357" s="76"/>
      <c r="BV357" s="75"/>
      <c r="BW357" s="75"/>
    </row>
    <row r="358" spans="58:75" ht="15.75" customHeight="1">
      <c r="BF358" s="34"/>
      <c r="BO358" s="75"/>
      <c r="BP358" s="75"/>
      <c r="BQ358" s="75"/>
      <c r="BR358" s="75"/>
      <c r="BS358" s="75"/>
      <c r="BT358" s="75"/>
      <c r="BU358" s="76"/>
      <c r="BV358" s="75"/>
      <c r="BW358" s="75"/>
    </row>
    <row r="359" spans="58:75" ht="15.75" customHeight="1">
      <c r="BF359" s="34"/>
      <c r="BO359" s="75"/>
      <c r="BP359" s="75"/>
      <c r="BQ359" s="75"/>
      <c r="BR359" s="75"/>
      <c r="BS359" s="75"/>
      <c r="BT359" s="75"/>
      <c r="BU359" s="76"/>
      <c r="BV359" s="75"/>
      <c r="BW359" s="75"/>
    </row>
    <row r="360" spans="58:75" ht="15.75" customHeight="1">
      <c r="BF360" s="34"/>
      <c r="BO360" s="75"/>
      <c r="BP360" s="75"/>
      <c r="BQ360" s="75"/>
      <c r="BR360" s="75"/>
      <c r="BS360" s="75"/>
      <c r="BT360" s="75"/>
      <c r="BU360" s="76"/>
      <c r="BV360" s="75"/>
      <c r="BW360" s="75"/>
    </row>
    <row r="361" spans="58:75" ht="15.75" customHeight="1">
      <c r="BF361" s="34"/>
      <c r="BO361" s="75"/>
      <c r="BP361" s="75"/>
      <c r="BQ361" s="75"/>
      <c r="BR361" s="75"/>
      <c r="BS361" s="75"/>
      <c r="BT361" s="75"/>
      <c r="BU361" s="76"/>
      <c r="BV361" s="75"/>
      <c r="BW361" s="75"/>
    </row>
    <row r="362" spans="58:75" ht="15.75" customHeight="1">
      <c r="BF362" s="34"/>
      <c r="BO362" s="75"/>
      <c r="BP362" s="75"/>
      <c r="BQ362" s="75"/>
      <c r="BR362" s="75"/>
      <c r="BS362" s="75"/>
      <c r="BT362" s="75"/>
      <c r="BU362" s="76"/>
      <c r="BV362" s="75"/>
      <c r="BW362" s="75"/>
    </row>
    <row r="363" spans="58:75" ht="15.75" customHeight="1">
      <c r="BF363" s="34"/>
      <c r="BO363" s="75"/>
      <c r="BP363" s="75"/>
      <c r="BQ363" s="75"/>
      <c r="BR363" s="75"/>
      <c r="BS363" s="75"/>
      <c r="BT363" s="75"/>
      <c r="BU363" s="76"/>
      <c r="BV363" s="75"/>
      <c r="BW363" s="75"/>
    </row>
    <row r="364" spans="58:75" ht="15.75" customHeight="1">
      <c r="BF364" s="34"/>
      <c r="BO364" s="75"/>
      <c r="BP364" s="75"/>
      <c r="BQ364" s="75"/>
      <c r="BR364" s="75"/>
      <c r="BS364" s="75"/>
      <c r="BT364" s="75"/>
      <c r="BU364" s="76"/>
      <c r="BV364" s="75"/>
      <c r="BW364" s="75"/>
    </row>
    <row r="365" spans="58:75" ht="15.75" customHeight="1">
      <c r="BF365" s="34"/>
      <c r="BO365" s="75"/>
      <c r="BP365" s="75"/>
      <c r="BQ365" s="75"/>
      <c r="BR365" s="75"/>
      <c r="BS365" s="75"/>
      <c r="BT365" s="75"/>
      <c r="BU365" s="76"/>
      <c r="BV365" s="75"/>
      <c r="BW365" s="75"/>
    </row>
    <row r="366" spans="58:75" ht="15.75" customHeight="1">
      <c r="BF366" s="34"/>
      <c r="BO366" s="75"/>
      <c r="BP366" s="75"/>
      <c r="BQ366" s="75"/>
      <c r="BR366" s="75"/>
      <c r="BS366" s="75"/>
      <c r="BT366" s="75"/>
      <c r="BU366" s="76"/>
      <c r="BV366" s="75"/>
      <c r="BW366" s="75"/>
    </row>
    <row r="367" spans="58:75" ht="15.75" customHeight="1">
      <c r="BF367" s="34"/>
      <c r="BO367" s="75"/>
      <c r="BP367" s="75"/>
      <c r="BQ367" s="75"/>
      <c r="BR367" s="75"/>
      <c r="BS367" s="75"/>
      <c r="BT367" s="75"/>
      <c r="BU367" s="76"/>
      <c r="BV367" s="75"/>
      <c r="BW367" s="75"/>
    </row>
    <row r="368" spans="58:75" ht="15.75" customHeight="1">
      <c r="BF368" s="34"/>
      <c r="BO368" s="75"/>
      <c r="BP368" s="75"/>
      <c r="BQ368" s="75"/>
      <c r="BR368" s="75"/>
      <c r="BS368" s="75"/>
      <c r="BT368" s="75"/>
      <c r="BU368" s="76"/>
      <c r="BV368" s="75"/>
      <c r="BW368" s="75"/>
    </row>
    <row r="369" spans="58:75" ht="15.75" customHeight="1">
      <c r="BF369" s="34"/>
      <c r="BO369" s="75"/>
      <c r="BP369" s="75"/>
      <c r="BQ369" s="75"/>
      <c r="BR369" s="75"/>
      <c r="BS369" s="75"/>
      <c r="BT369" s="75"/>
      <c r="BU369" s="76"/>
      <c r="BV369" s="75"/>
      <c r="BW369" s="75"/>
    </row>
    <row r="370" spans="58:75" ht="15.75" customHeight="1">
      <c r="BF370" s="34"/>
      <c r="BO370" s="75"/>
      <c r="BP370" s="75"/>
      <c r="BQ370" s="75"/>
      <c r="BR370" s="75"/>
      <c r="BS370" s="75"/>
      <c r="BT370" s="75"/>
      <c r="BU370" s="76"/>
      <c r="BV370" s="75"/>
      <c r="BW370" s="75"/>
    </row>
    <row r="371" spans="58:75" ht="15.75" customHeight="1">
      <c r="BF371" s="34"/>
      <c r="BO371" s="75"/>
      <c r="BP371" s="75"/>
      <c r="BQ371" s="75"/>
      <c r="BR371" s="75"/>
      <c r="BS371" s="75"/>
      <c r="BT371" s="75"/>
      <c r="BU371" s="76"/>
      <c r="BV371" s="75"/>
      <c r="BW371" s="75"/>
    </row>
    <row r="372" spans="58:75" ht="15.75" customHeight="1">
      <c r="BF372" s="34"/>
      <c r="BO372" s="75"/>
      <c r="BP372" s="75"/>
      <c r="BQ372" s="75"/>
      <c r="BR372" s="75"/>
      <c r="BS372" s="75"/>
      <c r="BT372" s="75"/>
      <c r="BU372" s="76"/>
      <c r="BV372" s="75"/>
      <c r="BW372" s="75"/>
    </row>
    <row r="373" spans="58:75" ht="15.75" customHeight="1">
      <c r="BF373" s="34"/>
      <c r="BO373" s="75"/>
      <c r="BP373" s="75"/>
      <c r="BQ373" s="75"/>
      <c r="BR373" s="75"/>
      <c r="BS373" s="75"/>
      <c r="BT373" s="75"/>
      <c r="BU373" s="76"/>
      <c r="BV373" s="75"/>
      <c r="BW373" s="75"/>
    </row>
    <row r="374" spans="58:75" ht="15.75" customHeight="1">
      <c r="BF374" s="34"/>
      <c r="BO374" s="75"/>
      <c r="BP374" s="75"/>
      <c r="BQ374" s="75"/>
      <c r="BR374" s="75"/>
      <c r="BS374" s="75"/>
      <c r="BT374" s="75"/>
      <c r="BU374" s="76"/>
      <c r="BV374" s="75"/>
      <c r="BW374" s="75"/>
    </row>
    <row r="375" spans="58:75" ht="15.75" customHeight="1">
      <c r="BF375" s="34"/>
      <c r="BO375" s="75"/>
      <c r="BP375" s="75"/>
      <c r="BQ375" s="75"/>
      <c r="BR375" s="75"/>
      <c r="BS375" s="75"/>
      <c r="BT375" s="75"/>
      <c r="BU375" s="76"/>
      <c r="BV375" s="75"/>
      <c r="BW375" s="75"/>
    </row>
    <row r="376" spans="58:75" ht="15.75" customHeight="1">
      <c r="BF376" s="34"/>
      <c r="BO376" s="75"/>
      <c r="BP376" s="75"/>
      <c r="BQ376" s="75"/>
      <c r="BR376" s="75"/>
      <c r="BS376" s="75"/>
      <c r="BT376" s="75"/>
      <c r="BU376" s="76"/>
      <c r="BV376" s="75"/>
      <c r="BW376" s="75"/>
    </row>
    <row r="377" spans="58:75" ht="15.75" customHeight="1">
      <c r="BF377" s="34"/>
      <c r="BO377" s="75"/>
      <c r="BP377" s="75"/>
      <c r="BQ377" s="75"/>
      <c r="BR377" s="75"/>
      <c r="BS377" s="75"/>
      <c r="BT377" s="75"/>
      <c r="BU377" s="76"/>
      <c r="BV377" s="75"/>
      <c r="BW377" s="75"/>
    </row>
    <row r="378" spans="58:75" ht="15.75" customHeight="1">
      <c r="BF378" s="34"/>
      <c r="BO378" s="75"/>
      <c r="BP378" s="75"/>
      <c r="BQ378" s="75"/>
      <c r="BR378" s="75"/>
      <c r="BS378" s="75"/>
      <c r="BT378" s="75"/>
      <c r="BU378" s="76"/>
      <c r="BV378" s="75"/>
      <c r="BW378" s="75"/>
    </row>
    <row r="379" spans="58:75" ht="15.75" customHeight="1">
      <c r="BF379" s="34"/>
      <c r="BO379" s="75"/>
      <c r="BP379" s="75"/>
      <c r="BQ379" s="75"/>
      <c r="BR379" s="75"/>
      <c r="BS379" s="75"/>
      <c r="BT379" s="75"/>
      <c r="BU379" s="76"/>
      <c r="BV379" s="75"/>
      <c r="BW379" s="75"/>
    </row>
    <row r="380" spans="58:75" ht="15.75" customHeight="1">
      <c r="BF380" s="34"/>
      <c r="BO380" s="75"/>
      <c r="BP380" s="75"/>
      <c r="BQ380" s="75"/>
      <c r="BR380" s="75"/>
      <c r="BS380" s="75"/>
      <c r="BT380" s="75"/>
      <c r="BU380" s="76"/>
      <c r="BV380" s="75"/>
      <c r="BW380" s="75"/>
    </row>
    <row r="381" spans="58:75" ht="15.75" customHeight="1">
      <c r="BF381" s="34"/>
      <c r="BO381" s="75"/>
      <c r="BP381" s="75"/>
      <c r="BQ381" s="75"/>
      <c r="BR381" s="75"/>
      <c r="BS381" s="75"/>
      <c r="BT381" s="75"/>
      <c r="BU381" s="76"/>
      <c r="BV381" s="75"/>
      <c r="BW381" s="75"/>
    </row>
    <row r="382" spans="58:75" ht="15.75" customHeight="1">
      <c r="BF382" s="34"/>
      <c r="BO382" s="75"/>
      <c r="BP382" s="75"/>
      <c r="BQ382" s="75"/>
      <c r="BR382" s="75"/>
      <c r="BS382" s="75"/>
      <c r="BT382" s="75"/>
      <c r="BU382" s="76"/>
      <c r="BV382" s="75"/>
      <c r="BW382" s="75"/>
    </row>
    <row r="383" spans="58:75" ht="15.75" customHeight="1">
      <c r="BF383" s="34"/>
      <c r="BO383" s="75"/>
      <c r="BP383" s="75"/>
      <c r="BQ383" s="75"/>
      <c r="BR383" s="75"/>
      <c r="BS383" s="75"/>
      <c r="BT383" s="75"/>
      <c r="BU383" s="76"/>
      <c r="BV383" s="75"/>
      <c r="BW383" s="75"/>
    </row>
    <row r="384" spans="58:75" ht="15.75" customHeight="1">
      <c r="BF384" s="34"/>
      <c r="BO384" s="75"/>
      <c r="BP384" s="75"/>
      <c r="BQ384" s="75"/>
      <c r="BR384" s="75"/>
      <c r="BS384" s="75"/>
      <c r="BT384" s="75"/>
      <c r="BU384" s="76"/>
      <c r="BV384" s="75"/>
      <c r="BW384" s="75"/>
    </row>
    <row r="385" spans="58:75" ht="15.75" customHeight="1">
      <c r="BF385" s="34"/>
      <c r="BO385" s="75"/>
      <c r="BP385" s="75"/>
      <c r="BQ385" s="75"/>
      <c r="BR385" s="75"/>
      <c r="BS385" s="75"/>
      <c r="BT385" s="75"/>
      <c r="BU385" s="76"/>
      <c r="BV385" s="75"/>
      <c r="BW385" s="75"/>
    </row>
    <row r="386" spans="58:75" ht="15.75" customHeight="1">
      <c r="BF386" s="34"/>
      <c r="BO386" s="75"/>
      <c r="BP386" s="75"/>
      <c r="BQ386" s="75"/>
      <c r="BR386" s="75"/>
      <c r="BS386" s="75"/>
      <c r="BT386" s="75"/>
      <c r="BU386" s="76"/>
      <c r="BV386" s="75"/>
      <c r="BW386" s="75"/>
    </row>
    <row r="387" spans="58:75" ht="15.75" customHeight="1">
      <c r="BF387" s="34"/>
      <c r="BO387" s="75"/>
      <c r="BP387" s="75"/>
      <c r="BQ387" s="75"/>
      <c r="BR387" s="75"/>
      <c r="BS387" s="75"/>
      <c r="BT387" s="75"/>
      <c r="BU387" s="76"/>
      <c r="BV387" s="75"/>
      <c r="BW387" s="75"/>
    </row>
    <row r="388" spans="58:75" ht="15.75" customHeight="1">
      <c r="BF388" s="34"/>
      <c r="BO388" s="75"/>
      <c r="BP388" s="75"/>
      <c r="BQ388" s="75"/>
      <c r="BR388" s="75"/>
      <c r="BS388" s="75"/>
      <c r="BT388" s="75"/>
      <c r="BU388" s="76"/>
      <c r="BV388" s="75"/>
      <c r="BW388" s="75"/>
    </row>
    <row r="389" spans="58:75" ht="15.75" customHeight="1">
      <c r="BF389" s="34"/>
      <c r="BO389" s="75"/>
      <c r="BP389" s="75"/>
      <c r="BQ389" s="75"/>
      <c r="BR389" s="75"/>
      <c r="BS389" s="75"/>
      <c r="BT389" s="75"/>
      <c r="BU389" s="76"/>
      <c r="BV389" s="75"/>
      <c r="BW389" s="75"/>
    </row>
    <row r="390" spans="58:75" ht="15.75" customHeight="1">
      <c r="BF390" s="34"/>
      <c r="BO390" s="75"/>
      <c r="BP390" s="75"/>
      <c r="BQ390" s="75"/>
      <c r="BR390" s="75"/>
      <c r="BS390" s="75"/>
      <c r="BT390" s="75"/>
      <c r="BU390" s="76"/>
      <c r="BV390" s="75"/>
      <c r="BW390" s="75"/>
    </row>
    <row r="391" spans="58:75" ht="15.75" customHeight="1">
      <c r="BF391" s="34"/>
      <c r="BO391" s="75"/>
      <c r="BP391" s="75"/>
      <c r="BQ391" s="75"/>
      <c r="BR391" s="75"/>
      <c r="BS391" s="75"/>
      <c r="BT391" s="75"/>
      <c r="BU391" s="76"/>
      <c r="BV391" s="75"/>
      <c r="BW391" s="75"/>
    </row>
    <row r="392" spans="58:75" ht="15.75" customHeight="1">
      <c r="BF392" s="34"/>
      <c r="BO392" s="75"/>
      <c r="BP392" s="75"/>
      <c r="BQ392" s="75"/>
      <c r="BR392" s="75"/>
      <c r="BS392" s="75"/>
      <c r="BT392" s="75"/>
      <c r="BU392" s="76"/>
      <c r="BV392" s="75"/>
      <c r="BW392" s="75"/>
    </row>
    <row r="393" spans="58:75" ht="15.75" customHeight="1">
      <c r="BF393" s="34"/>
      <c r="BO393" s="75"/>
      <c r="BP393" s="75"/>
      <c r="BQ393" s="75"/>
      <c r="BR393" s="75"/>
      <c r="BS393" s="75"/>
      <c r="BT393" s="75"/>
      <c r="BU393" s="76"/>
      <c r="BV393" s="75"/>
      <c r="BW393" s="75"/>
    </row>
    <row r="394" spans="58:75" ht="15.75" customHeight="1">
      <c r="BF394" s="34"/>
      <c r="BO394" s="75"/>
      <c r="BP394" s="75"/>
      <c r="BQ394" s="75"/>
      <c r="BR394" s="75"/>
      <c r="BS394" s="75"/>
      <c r="BT394" s="75"/>
      <c r="BU394" s="76"/>
      <c r="BV394" s="75"/>
      <c r="BW394" s="75"/>
    </row>
    <row r="395" spans="58:75" ht="15.75" customHeight="1">
      <c r="BF395" s="34"/>
      <c r="BO395" s="75"/>
      <c r="BP395" s="75"/>
      <c r="BQ395" s="75"/>
      <c r="BR395" s="75"/>
      <c r="BS395" s="75"/>
      <c r="BT395" s="75"/>
      <c r="BU395" s="76"/>
      <c r="BV395" s="75"/>
      <c r="BW395" s="75"/>
    </row>
    <row r="396" spans="58:75" ht="15.75" customHeight="1">
      <c r="BF396" s="34"/>
      <c r="BO396" s="75"/>
      <c r="BP396" s="75"/>
      <c r="BQ396" s="75"/>
      <c r="BR396" s="75"/>
      <c r="BS396" s="75"/>
      <c r="BT396" s="75"/>
      <c r="BU396" s="76"/>
      <c r="BV396" s="75"/>
      <c r="BW396" s="75"/>
    </row>
    <row r="397" spans="58:75" ht="15.75" customHeight="1">
      <c r="BF397" s="34"/>
      <c r="BO397" s="75"/>
      <c r="BP397" s="75"/>
      <c r="BQ397" s="75"/>
      <c r="BR397" s="75"/>
      <c r="BS397" s="75"/>
      <c r="BT397" s="75"/>
      <c r="BU397" s="76"/>
      <c r="BV397" s="75"/>
      <c r="BW397" s="75"/>
    </row>
    <row r="398" spans="58:75" ht="15.75" customHeight="1">
      <c r="BF398" s="34"/>
      <c r="BO398" s="75"/>
      <c r="BP398" s="75"/>
      <c r="BQ398" s="75"/>
      <c r="BR398" s="75"/>
      <c r="BS398" s="75"/>
      <c r="BT398" s="75"/>
      <c r="BU398" s="76"/>
      <c r="BV398" s="75"/>
      <c r="BW398" s="75"/>
    </row>
    <row r="399" spans="58:75" ht="15.75" customHeight="1">
      <c r="BF399" s="34"/>
      <c r="BO399" s="75"/>
      <c r="BP399" s="75"/>
      <c r="BQ399" s="75"/>
      <c r="BR399" s="75"/>
      <c r="BS399" s="75"/>
      <c r="BT399" s="75"/>
      <c r="BU399" s="76"/>
      <c r="BV399" s="75"/>
      <c r="BW399" s="75"/>
    </row>
    <row r="400" spans="58:75" ht="15.75" customHeight="1">
      <c r="BF400" s="34"/>
      <c r="BO400" s="75"/>
      <c r="BP400" s="75"/>
      <c r="BQ400" s="75"/>
      <c r="BR400" s="75"/>
      <c r="BS400" s="75"/>
      <c r="BT400" s="75"/>
      <c r="BU400" s="76"/>
      <c r="BV400" s="75"/>
      <c r="BW400" s="75"/>
    </row>
    <row r="401" spans="58:75" ht="15.75" customHeight="1">
      <c r="BF401" s="34"/>
      <c r="BO401" s="75"/>
      <c r="BP401" s="75"/>
      <c r="BQ401" s="75"/>
      <c r="BR401" s="75"/>
      <c r="BS401" s="75"/>
      <c r="BT401" s="75"/>
      <c r="BU401" s="76"/>
      <c r="BV401" s="75"/>
      <c r="BW401" s="75"/>
    </row>
    <row r="402" spans="58:75" ht="15.75" customHeight="1">
      <c r="BF402" s="34"/>
      <c r="BO402" s="75"/>
      <c r="BP402" s="75"/>
      <c r="BQ402" s="75"/>
      <c r="BR402" s="75"/>
      <c r="BS402" s="75"/>
      <c r="BT402" s="75"/>
      <c r="BU402" s="76"/>
      <c r="BV402" s="75"/>
      <c r="BW402" s="75"/>
    </row>
    <row r="403" spans="58:75" ht="15.75" customHeight="1">
      <c r="BF403" s="34"/>
      <c r="BO403" s="75"/>
      <c r="BP403" s="75"/>
      <c r="BQ403" s="75"/>
      <c r="BR403" s="75"/>
      <c r="BS403" s="75"/>
      <c r="BT403" s="75"/>
      <c r="BU403" s="76"/>
      <c r="BV403" s="75"/>
      <c r="BW403" s="75"/>
    </row>
    <row r="404" spans="58:75" ht="15.75" customHeight="1">
      <c r="BF404" s="34"/>
      <c r="BO404" s="75"/>
      <c r="BP404" s="75"/>
      <c r="BQ404" s="75"/>
      <c r="BR404" s="75"/>
      <c r="BS404" s="75"/>
      <c r="BT404" s="75"/>
      <c r="BU404" s="76"/>
      <c r="BV404" s="75"/>
      <c r="BW404" s="75"/>
    </row>
    <row r="405" spans="58:75" ht="15.75" customHeight="1">
      <c r="BF405" s="34"/>
      <c r="BO405" s="75"/>
      <c r="BP405" s="75"/>
      <c r="BQ405" s="75"/>
      <c r="BR405" s="75"/>
      <c r="BS405" s="75"/>
      <c r="BT405" s="75"/>
      <c r="BU405" s="76"/>
      <c r="BV405" s="75"/>
      <c r="BW405" s="75"/>
    </row>
    <row r="406" spans="58:75" ht="15.75" customHeight="1">
      <c r="BF406" s="34"/>
      <c r="BO406" s="75"/>
      <c r="BP406" s="75"/>
      <c r="BQ406" s="75"/>
      <c r="BR406" s="75"/>
      <c r="BS406" s="75"/>
      <c r="BT406" s="75"/>
      <c r="BU406" s="76"/>
      <c r="BV406" s="75"/>
      <c r="BW406" s="75"/>
    </row>
    <row r="407" spans="58:75" ht="15.75" customHeight="1">
      <c r="BF407" s="34"/>
      <c r="BO407" s="75"/>
      <c r="BP407" s="75"/>
      <c r="BQ407" s="75"/>
      <c r="BR407" s="75"/>
      <c r="BS407" s="75"/>
      <c r="BT407" s="75"/>
      <c r="BU407" s="76"/>
      <c r="BV407" s="75"/>
      <c r="BW407" s="75"/>
    </row>
    <row r="408" spans="58:75" ht="15.75" customHeight="1">
      <c r="BF408" s="34"/>
      <c r="BO408" s="75"/>
      <c r="BP408" s="75"/>
      <c r="BQ408" s="75"/>
      <c r="BR408" s="75"/>
      <c r="BS408" s="75"/>
      <c r="BT408" s="75"/>
      <c r="BU408" s="76"/>
      <c r="BV408" s="75"/>
      <c r="BW408" s="75"/>
    </row>
    <row r="409" spans="58:75" ht="15.75" customHeight="1">
      <c r="BF409" s="34"/>
      <c r="BO409" s="75"/>
      <c r="BP409" s="75"/>
      <c r="BQ409" s="75"/>
      <c r="BR409" s="75"/>
      <c r="BS409" s="75"/>
      <c r="BT409" s="75"/>
      <c r="BU409" s="76"/>
      <c r="BV409" s="75"/>
      <c r="BW409" s="75"/>
    </row>
    <row r="410" spans="58:75" ht="15.75" customHeight="1">
      <c r="BF410" s="34"/>
      <c r="BO410" s="75"/>
      <c r="BP410" s="75"/>
      <c r="BQ410" s="75"/>
      <c r="BR410" s="75"/>
      <c r="BS410" s="75"/>
      <c r="BT410" s="75"/>
      <c r="BU410" s="76"/>
      <c r="BV410" s="75"/>
      <c r="BW410" s="75"/>
    </row>
    <row r="411" spans="58:75" ht="15.75" customHeight="1">
      <c r="BF411" s="34"/>
      <c r="BO411" s="75"/>
      <c r="BP411" s="75"/>
      <c r="BQ411" s="75"/>
      <c r="BR411" s="75"/>
      <c r="BS411" s="75"/>
      <c r="BT411" s="75"/>
      <c r="BU411" s="76"/>
      <c r="BV411" s="75"/>
      <c r="BW411" s="75"/>
    </row>
    <row r="412" spans="58:75" ht="15.75" customHeight="1">
      <c r="BF412" s="34"/>
      <c r="BO412" s="75"/>
      <c r="BP412" s="75"/>
      <c r="BQ412" s="75"/>
      <c r="BR412" s="75"/>
      <c r="BS412" s="75"/>
      <c r="BT412" s="75"/>
      <c r="BU412" s="76"/>
      <c r="BV412" s="75"/>
      <c r="BW412" s="75"/>
    </row>
    <row r="413" spans="58:75" ht="15.75" customHeight="1">
      <c r="BF413" s="34"/>
      <c r="BO413" s="75"/>
      <c r="BP413" s="75"/>
      <c r="BQ413" s="75"/>
      <c r="BR413" s="75"/>
      <c r="BS413" s="75"/>
      <c r="BT413" s="75"/>
      <c r="BU413" s="76"/>
      <c r="BV413" s="75"/>
      <c r="BW413" s="75"/>
    </row>
    <row r="414" spans="58:75" ht="15.75" customHeight="1">
      <c r="BF414" s="34"/>
      <c r="BO414" s="75"/>
      <c r="BP414" s="75"/>
      <c r="BQ414" s="75"/>
      <c r="BR414" s="75"/>
      <c r="BS414" s="75"/>
      <c r="BT414" s="75"/>
      <c r="BU414" s="76"/>
      <c r="BV414" s="75"/>
      <c r="BW414" s="75"/>
    </row>
    <row r="415" spans="58:75" ht="15.75" customHeight="1">
      <c r="BF415" s="34"/>
      <c r="BO415" s="75"/>
      <c r="BP415" s="75"/>
      <c r="BQ415" s="75"/>
      <c r="BR415" s="75"/>
      <c r="BS415" s="75"/>
      <c r="BT415" s="75"/>
      <c r="BU415" s="76"/>
      <c r="BV415" s="75"/>
      <c r="BW415" s="75"/>
    </row>
    <row r="416" spans="58:75" ht="15.75" customHeight="1">
      <c r="BF416" s="34"/>
      <c r="BO416" s="75"/>
      <c r="BP416" s="75"/>
      <c r="BQ416" s="75"/>
      <c r="BR416" s="75"/>
      <c r="BS416" s="75"/>
      <c r="BT416" s="75"/>
      <c r="BU416" s="76"/>
      <c r="BV416" s="75"/>
      <c r="BW416" s="75"/>
    </row>
    <row r="417" spans="58:75" ht="15.75" customHeight="1">
      <c r="BF417" s="34"/>
      <c r="BO417" s="75"/>
      <c r="BP417" s="75"/>
      <c r="BQ417" s="75"/>
      <c r="BR417" s="75"/>
      <c r="BS417" s="75"/>
      <c r="BT417" s="75"/>
      <c r="BU417" s="76"/>
      <c r="BV417" s="75"/>
      <c r="BW417" s="75"/>
    </row>
    <row r="418" spans="58:75" ht="15.75" customHeight="1">
      <c r="BF418" s="34"/>
      <c r="BO418" s="75"/>
      <c r="BP418" s="75"/>
      <c r="BQ418" s="75"/>
      <c r="BR418" s="75"/>
      <c r="BS418" s="75"/>
      <c r="BT418" s="75"/>
      <c r="BU418" s="76"/>
      <c r="BV418" s="75"/>
      <c r="BW418" s="75"/>
    </row>
    <row r="419" spans="58:75" ht="15.75" customHeight="1">
      <c r="BF419" s="34"/>
      <c r="BO419" s="75"/>
      <c r="BP419" s="75"/>
      <c r="BQ419" s="75"/>
      <c r="BR419" s="75"/>
      <c r="BS419" s="75"/>
      <c r="BT419" s="75"/>
      <c r="BU419" s="76"/>
      <c r="BV419" s="75"/>
      <c r="BW419" s="75"/>
    </row>
    <row r="420" spans="58:75" ht="15.75" customHeight="1">
      <c r="BF420" s="34"/>
      <c r="BO420" s="75"/>
      <c r="BP420" s="75"/>
      <c r="BQ420" s="75"/>
      <c r="BR420" s="75"/>
      <c r="BS420" s="75"/>
      <c r="BT420" s="75"/>
      <c r="BU420" s="76"/>
      <c r="BV420" s="75"/>
      <c r="BW420" s="75"/>
    </row>
    <row r="421" spans="58:75" ht="15.75" customHeight="1">
      <c r="BF421" s="34"/>
      <c r="BO421" s="75"/>
      <c r="BP421" s="75"/>
      <c r="BQ421" s="75"/>
      <c r="BR421" s="75"/>
      <c r="BS421" s="75"/>
      <c r="BT421" s="75"/>
      <c r="BU421" s="76"/>
      <c r="BV421" s="75"/>
      <c r="BW421" s="75"/>
    </row>
    <row r="422" spans="58:75" ht="15.75" customHeight="1">
      <c r="BF422" s="34"/>
      <c r="BO422" s="75"/>
      <c r="BP422" s="75"/>
      <c r="BQ422" s="75"/>
      <c r="BR422" s="75"/>
      <c r="BS422" s="75"/>
      <c r="BT422" s="75"/>
      <c r="BU422" s="76"/>
      <c r="BV422" s="75"/>
      <c r="BW422" s="75"/>
    </row>
    <row r="423" spans="58:75" ht="15.75" customHeight="1">
      <c r="BF423" s="34"/>
      <c r="BO423" s="75"/>
      <c r="BP423" s="75"/>
      <c r="BQ423" s="75"/>
      <c r="BR423" s="75"/>
      <c r="BS423" s="75"/>
      <c r="BT423" s="75"/>
      <c r="BU423" s="76"/>
      <c r="BV423" s="75"/>
      <c r="BW423" s="75"/>
    </row>
    <row r="424" spans="58:75" ht="15.75" customHeight="1">
      <c r="BF424" s="34"/>
      <c r="BO424" s="75"/>
      <c r="BP424" s="75"/>
      <c r="BQ424" s="75"/>
      <c r="BR424" s="75"/>
      <c r="BS424" s="75"/>
      <c r="BT424" s="75"/>
      <c r="BU424" s="76"/>
      <c r="BV424" s="75"/>
      <c r="BW424" s="75"/>
    </row>
    <row r="425" spans="58:75" ht="15.75" customHeight="1">
      <c r="BF425" s="34"/>
      <c r="BO425" s="75"/>
      <c r="BP425" s="75"/>
      <c r="BQ425" s="75"/>
      <c r="BR425" s="75"/>
      <c r="BS425" s="75"/>
      <c r="BT425" s="75"/>
      <c r="BU425" s="76"/>
      <c r="BV425" s="75"/>
      <c r="BW425" s="75"/>
    </row>
    <row r="426" spans="58:75" ht="15.75" customHeight="1">
      <c r="BF426" s="34"/>
      <c r="BO426" s="75"/>
      <c r="BP426" s="75"/>
      <c r="BQ426" s="75"/>
      <c r="BR426" s="75"/>
      <c r="BS426" s="75"/>
      <c r="BT426" s="75"/>
      <c r="BU426" s="76"/>
      <c r="BV426" s="75"/>
      <c r="BW426" s="75"/>
    </row>
    <row r="427" spans="58:75" ht="15.75" customHeight="1">
      <c r="BF427" s="34"/>
      <c r="BO427" s="75"/>
      <c r="BP427" s="75"/>
      <c r="BQ427" s="75"/>
      <c r="BR427" s="75"/>
      <c r="BS427" s="75"/>
      <c r="BT427" s="75"/>
      <c r="BU427" s="76"/>
      <c r="BV427" s="75"/>
      <c r="BW427" s="75"/>
    </row>
    <row r="428" spans="58:75" ht="15.75" customHeight="1">
      <c r="BF428" s="34"/>
      <c r="BO428" s="75"/>
      <c r="BP428" s="75"/>
      <c r="BQ428" s="75"/>
      <c r="BR428" s="75"/>
      <c r="BS428" s="75"/>
      <c r="BT428" s="75"/>
      <c r="BU428" s="76"/>
      <c r="BV428" s="75"/>
      <c r="BW428" s="75"/>
    </row>
    <row r="429" spans="58:75" ht="15.75" customHeight="1">
      <c r="BF429" s="34"/>
      <c r="BO429" s="75"/>
      <c r="BP429" s="75"/>
      <c r="BQ429" s="75"/>
      <c r="BR429" s="75"/>
      <c r="BS429" s="75"/>
      <c r="BT429" s="75"/>
      <c r="BU429" s="76"/>
      <c r="BV429" s="75"/>
      <c r="BW429" s="75"/>
    </row>
    <row r="430" spans="58:75" ht="15.75" customHeight="1">
      <c r="BF430" s="34"/>
      <c r="BO430" s="75"/>
      <c r="BP430" s="75"/>
      <c r="BQ430" s="75"/>
      <c r="BR430" s="75"/>
      <c r="BS430" s="75"/>
      <c r="BT430" s="75"/>
      <c r="BU430" s="76"/>
      <c r="BV430" s="75"/>
      <c r="BW430" s="75"/>
    </row>
    <row r="431" spans="58:75" ht="15.75" customHeight="1">
      <c r="BF431" s="34"/>
      <c r="BO431" s="75"/>
      <c r="BP431" s="75"/>
      <c r="BQ431" s="75"/>
      <c r="BR431" s="75"/>
      <c r="BS431" s="75"/>
      <c r="BT431" s="75"/>
      <c r="BU431" s="76"/>
      <c r="BV431" s="75"/>
      <c r="BW431" s="75"/>
    </row>
    <row r="432" spans="58:75" ht="15.75" customHeight="1">
      <c r="BF432" s="34"/>
      <c r="BO432" s="75"/>
      <c r="BP432" s="75"/>
      <c r="BQ432" s="75"/>
      <c r="BR432" s="75"/>
      <c r="BS432" s="75"/>
      <c r="BT432" s="75"/>
      <c r="BU432" s="76"/>
      <c r="BV432" s="75"/>
      <c r="BW432" s="75"/>
    </row>
    <row r="433" spans="58:75" ht="15.75" customHeight="1">
      <c r="BF433" s="34"/>
      <c r="BO433" s="75"/>
      <c r="BP433" s="75"/>
      <c r="BQ433" s="75"/>
      <c r="BR433" s="75"/>
      <c r="BS433" s="75"/>
      <c r="BT433" s="75"/>
      <c r="BU433" s="76"/>
      <c r="BV433" s="75"/>
      <c r="BW433" s="75"/>
    </row>
    <row r="434" spans="58:75" ht="15.75" customHeight="1">
      <c r="BF434" s="34"/>
      <c r="BO434" s="75"/>
      <c r="BP434" s="75"/>
      <c r="BQ434" s="75"/>
      <c r="BR434" s="75"/>
      <c r="BS434" s="75"/>
      <c r="BT434" s="75"/>
      <c r="BU434" s="76"/>
      <c r="BV434" s="75"/>
      <c r="BW434" s="75"/>
    </row>
    <row r="435" spans="58:75" ht="15.75" customHeight="1">
      <c r="BF435" s="34"/>
      <c r="BO435" s="75"/>
      <c r="BP435" s="75"/>
      <c r="BQ435" s="75"/>
      <c r="BR435" s="75"/>
      <c r="BS435" s="75"/>
      <c r="BT435" s="75"/>
      <c r="BU435" s="76"/>
      <c r="BV435" s="75"/>
      <c r="BW435" s="75"/>
    </row>
    <row r="436" spans="58:75" ht="15.75" customHeight="1">
      <c r="BF436" s="34"/>
      <c r="BO436" s="75"/>
      <c r="BP436" s="75"/>
      <c r="BQ436" s="75"/>
      <c r="BR436" s="75"/>
      <c r="BS436" s="75"/>
      <c r="BT436" s="75"/>
      <c r="BU436" s="76"/>
      <c r="BV436" s="75"/>
      <c r="BW436" s="75"/>
    </row>
    <row r="437" spans="58:75" ht="15.75" customHeight="1">
      <c r="BF437" s="34"/>
      <c r="BO437" s="75"/>
      <c r="BP437" s="75"/>
      <c r="BQ437" s="75"/>
      <c r="BR437" s="75"/>
      <c r="BS437" s="75"/>
      <c r="BT437" s="75"/>
      <c r="BU437" s="76"/>
      <c r="BV437" s="75"/>
      <c r="BW437" s="75"/>
    </row>
    <row r="438" spans="58:75" ht="15.75" customHeight="1">
      <c r="BF438" s="34"/>
      <c r="BO438" s="75"/>
      <c r="BP438" s="75"/>
      <c r="BQ438" s="75"/>
      <c r="BR438" s="75"/>
      <c r="BS438" s="75"/>
      <c r="BT438" s="75"/>
      <c r="BU438" s="76"/>
      <c r="BV438" s="75"/>
      <c r="BW438" s="75"/>
    </row>
    <row r="439" spans="58:75" ht="15.75" customHeight="1">
      <c r="BF439" s="34"/>
      <c r="BO439" s="75"/>
      <c r="BP439" s="75"/>
      <c r="BQ439" s="75"/>
      <c r="BR439" s="75"/>
      <c r="BS439" s="75"/>
      <c r="BT439" s="75"/>
      <c r="BU439" s="76"/>
      <c r="BV439" s="75"/>
      <c r="BW439" s="75"/>
    </row>
    <row r="440" spans="58:75" ht="15.75" customHeight="1">
      <c r="BF440" s="34"/>
      <c r="BO440" s="75"/>
      <c r="BP440" s="75"/>
      <c r="BQ440" s="75"/>
      <c r="BR440" s="75"/>
      <c r="BS440" s="75"/>
      <c r="BT440" s="75"/>
      <c r="BU440" s="76"/>
      <c r="BV440" s="75"/>
      <c r="BW440" s="75"/>
    </row>
    <row r="441" spans="58:75" ht="15.75" customHeight="1">
      <c r="BF441" s="34"/>
      <c r="BO441" s="75"/>
      <c r="BP441" s="75"/>
      <c r="BQ441" s="75"/>
      <c r="BR441" s="75"/>
      <c r="BS441" s="75"/>
      <c r="BT441" s="75"/>
      <c r="BU441" s="76"/>
      <c r="BV441" s="75"/>
      <c r="BW441" s="75"/>
    </row>
    <row r="442" spans="58:75" ht="15.75" customHeight="1">
      <c r="BF442" s="34"/>
      <c r="BO442" s="75"/>
      <c r="BP442" s="75"/>
      <c r="BQ442" s="75"/>
      <c r="BR442" s="75"/>
      <c r="BS442" s="75"/>
      <c r="BT442" s="75"/>
      <c r="BU442" s="76"/>
      <c r="BV442" s="75"/>
      <c r="BW442" s="75"/>
    </row>
    <row r="443" spans="58:75" ht="15.75" customHeight="1">
      <c r="BF443" s="34"/>
      <c r="BO443" s="75"/>
      <c r="BP443" s="75"/>
      <c r="BQ443" s="75"/>
      <c r="BR443" s="75"/>
      <c r="BS443" s="75"/>
      <c r="BT443" s="75"/>
      <c r="BU443" s="76"/>
      <c r="BV443" s="75"/>
      <c r="BW443" s="75"/>
    </row>
    <row r="444" spans="58:75" ht="15.75" customHeight="1">
      <c r="BF444" s="34"/>
      <c r="BO444" s="75"/>
      <c r="BP444" s="75"/>
      <c r="BQ444" s="75"/>
      <c r="BR444" s="75"/>
      <c r="BS444" s="75"/>
      <c r="BT444" s="75"/>
      <c r="BU444" s="76"/>
      <c r="BV444" s="75"/>
      <c r="BW444" s="75"/>
    </row>
    <row r="445" spans="58:75" ht="15.75" customHeight="1">
      <c r="BF445" s="34"/>
      <c r="BO445" s="75"/>
      <c r="BP445" s="75"/>
      <c r="BQ445" s="75"/>
      <c r="BR445" s="75"/>
      <c r="BS445" s="75"/>
      <c r="BT445" s="75"/>
      <c r="BU445" s="76"/>
      <c r="BV445" s="75"/>
      <c r="BW445" s="75"/>
    </row>
    <row r="446" spans="58:75" ht="15.75" customHeight="1">
      <c r="BF446" s="34"/>
      <c r="BO446" s="75"/>
      <c r="BP446" s="75"/>
      <c r="BQ446" s="75"/>
      <c r="BR446" s="75"/>
      <c r="BS446" s="75"/>
      <c r="BT446" s="75"/>
      <c r="BU446" s="76"/>
      <c r="BV446" s="75"/>
      <c r="BW446" s="75"/>
    </row>
    <row r="447" spans="58:75" ht="15.75" customHeight="1">
      <c r="BF447" s="34"/>
      <c r="BO447" s="75"/>
      <c r="BP447" s="75"/>
      <c r="BQ447" s="75"/>
      <c r="BR447" s="75"/>
      <c r="BS447" s="75"/>
      <c r="BT447" s="75"/>
      <c r="BU447" s="76"/>
      <c r="BV447" s="75"/>
      <c r="BW447" s="75"/>
    </row>
    <row r="448" spans="58:75" ht="15.75" customHeight="1">
      <c r="BF448" s="34"/>
      <c r="BO448" s="75"/>
      <c r="BP448" s="75"/>
      <c r="BQ448" s="75"/>
      <c r="BR448" s="75"/>
      <c r="BS448" s="75"/>
      <c r="BT448" s="75"/>
      <c r="BU448" s="76"/>
      <c r="BV448" s="75"/>
      <c r="BW448" s="75"/>
    </row>
    <row r="449" spans="58:75" ht="15.75" customHeight="1">
      <c r="BF449" s="34"/>
      <c r="BO449" s="75"/>
      <c r="BP449" s="75"/>
      <c r="BQ449" s="75"/>
      <c r="BR449" s="75"/>
      <c r="BS449" s="75"/>
      <c r="BT449" s="75"/>
      <c r="BU449" s="76"/>
      <c r="BV449" s="75"/>
      <c r="BW449" s="75"/>
    </row>
    <row r="450" spans="58:75" ht="15.75" customHeight="1">
      <c r="BF450" s="34"/>
      <c r="BO450" s="75"/>
      <c r="BP450" s="75"/>
      <c r="BQ450" s="75"/>
      <c r="BR450" s="75"/>
      <c r="BS450" s="75"/>
      <c r="BT450" s="75"/>
      <c r="BU450" s="76"/>
      <c r="BV450" s="75"/>
      <c r="BW450" s="75"/>
    </row>
    <row r="451" spans="58:75" ht="15.75" customHeight="1">
      <c r="BF451" s="34"/>
      <c r="BO451" s="75"/>
      <c r="BP451" s="75"/>
      <c r="BQ451" s="75"/>
      <c r="BR451" s="75"/>
      <c r="BS451" s="75"/>
      <c r="BT451" s="75"/>
      <c r="BU451" s="76"/>
      <c r="BV451" s="75"/>
      <c r="BW451" s="75"/>
    </row>
    <row r="452" spans="58:75" ht="15.75" customHeight="1">
      <c r="BF452" s="34"/>
      <c r="BO452" s="75"/>
      <c r="BP452" s="75"/>
      <c r="BQ452" s="75"/>
      <c r="BR452" s="75"/>
      <c r="BS452" s="75"/>
      <c r="BT452" s="75"/>
      <c r="BU452" s="76"/>
      <c r="BV452" s="75"/>
      <c r="BW452" s="75"/>
    </row>
    <row r="453" spans="58:75" ht="15.75" customHeight="1">
      <c r="BF453" s="34"/>
      <c r="BO453" s="75"/>
      <c r="BP453" s="75"/>
      <c r="BQ453" s="75"/>
      <c r="BR453" s="75"/>
      <c r="BS453" s="75"/>
      <c r="BT453" s="75"/>
      <c r="BU453" s="76"/>
      <c r="BV453" s="75"/>
      <c r="BW453" s="75"/>
    </row>
    <row r="454" spans="58:75" ht="15.75" customHeight="1">
      <c r="BF454" s="34"/>
      <c r="BO454" s="75"/>
      <c r="BP454" s="75"/>
      <c r="BQ454" s="75"/>
      <c r="BR454" s="75"/>
      <c r="BS454" s="75"/>
      <c r="BT454" s="75"/>
      <c r="BU454" s="76"/>
      <c r="BV454" s="75"/>
      <c r="BW454" s="75"/>
    </row>
    <row r="455" spans="58:75" ht="15.75" customHeight="1">
      <c r="BF455" s="34"/>
      <c r="BO455" s="75"/>
      <c r="BP455" s="75"/>
      <c r="BQ455" s="75"/>
      <c r="BR455" s="75"/>
      <c r="BS455" s="75"/>
      <c r="BT455" s="75"/>
      <c r="BU455" s="76"/>
      <c r="BV455" s="75"/>
      <c r="BW455" s="75"/>
    </row>
    <row r="456" spans="58:75" ht="15.75" customHeight="1">
      <c r="BF456" s="34"/>
      <c r="BO456" s="75"/>
      <c r="BP456" s="75"/>
      <c r="BQ456" s="75"/>
      <c r="BR456" s="75"/>
      <c r="BS456" s="75"/>
      <c r="BT456" s="75"/>
      <c r="BU456" s="76"/>
      <c r="BV456" s="75"/>
      <c r="BW456" s="75"/>
    </row>
    <row r="457" spans="58:75" ht="15.75" customHeight="1">
      <c r="BF457" s="34"/>
      <c r="BO457" s="75"/>
      <c r="BP457" s="75"/>
      <c r="BQ457" s="75"/>
      <c r="BR457" s="75"/>
      <c r="BS457" s="75"/>
      <c r="BT457" s="75"/>
      <c r="BU457" s="76"/>
      <c r="BV457" s="75"/>
      <c r="BW457" s="75"/>
    </row>
    <row r="458" spans="58:75" ht="15.75" customHeight="1">
      <c r="BF458" s="34"/>
      <c r="BO458" s="75"/>
      <c r="BP458" s="75"/>
      <c r="BQ458" s="75"/>
      <c r="BR458" s="75"/>
      <c r="BS458" s="75"/>
      <c r="BT458" s="75"/>
      <c r="BU458" s="76"/>
      <c r="BV458" s="75"/>
      <c r="BW458" s="75"/>
    </row>
    <row r="459" spans="58:75" ht="15.75" customHeight="1">
      <c r="BF459" s="34"/>
      <c r="BO459" s="75"/>
      <c r="BP459" s="75"/>
      <c r="BQ459" s="75"/>
      <c r="BR459" s="75"/>
      <c r="BS459" s="75"/>
      <c r="BT459" s="75"/>
      <c r="BU459" s="76"/>
      <c r="BV459" s="75"/>
      <c r="BW459" s="75"/>
    </row>
    <row r="460" spans="58:75" ht="15.75" customHeight="1">
      <c r="BF460" s="34"/>
      <c r="BO460" s="75"/>
      <c r="BP460" s="75"/>
      <c r="BQ460" s="75"/>
      <c r="BR460" s="75"/>
      <c r="BS460" s="75"/>
      <c r="BT460" s="75"/>
      <c r="BU460" s="76"/>
      <c r="BV460" s="75"/>
      <c r="BW460" s="75"/>
    </row>
    <row r="461" spans="58:75" ht="15.75" customHeight="1">
      <c r="BF461" s="34"/>
      <c r="BO461" s="75"/>
      <c r="BP461" s="75"/>
      <c r="BQ461" s="75"/>
      <c r="BR461" s="75"/>
      <c r="BS461" s="75"/>
      <c r="BT461" s="75"/>
      <c r="BU461" s="76"/>
      <c r="BV461" s="75"/>
      <c r="BW461" s="75"/>
    </row>
    <row r="462" spans="58:75" ht="15.75" customHeight="1">
      <c r="BF462" s="34"/>
      <c r="BO462" s="75"/>
      <c r="BP462" s="75"/>
      <c r="BQ462" s="75"/>
      <c r="BR462" s="75"/>
      <c r="BS462" s="75"/>
      <c r="BT462" s="75"/>
      <c r="BU462" s="76"/>
      <c r="BV462" s="75"/>
      <c r="BW462" s="75"/>
    </row>
    <row r="463" spans="58:75" ht="15.75" customHeight="1">
      <c r="BF463" s="34"/>
      <c r="BO463" s="75"/>
      <c r="BP463" s="75"/>
      <c r="BQ463" s="75"/>
      <c r="BR463" s="75"/>
      <c r="BS463" s="75"/>
      <c r="BT463" s="75"/>
      <c r="BU463" s="76"/>
      <c r="BV463" s="75"/>
      <c r="BW463" s="75"/>
    </row>
    <row r="464" spans="58:75" ht="15.75" customHeight="1">
      <c r="BF464" s="34"/>
      <c r="BO464" s="75"/>
      <c r="BP464" s="75"/>
      <c r="BQ464" s="75"/>
      <c r="BR464" s="75"/>
      <c r="BS464" s="75"/>
      <c r="BT464" s="75"/>
      <c r="BU464" s="76"/>
      <c r="BV464" s="75"/>
      <c r="BW464" s="75"/>
    </row>
    <row r="465" spans="58:75" ht="15.75" customHeight="1">
      <c r="BF465" s="34"/>
      <c r="BO465" s="75"/>
      <c r="BP465" s="75"/>
      <c r="BQ465" s="75"/>
      <c r="BR465" s="75"/>
      <c r="BS465" s="75"/>
      <c r="BT465" s="75"/>
      <c r="BU465" s="76"/>
      <c r="BV465" s="75"/>
      <c r="BW465" s="75"/>
    </row>
    <row r="466" spans="58:75" ht="15.75" customHeight="1">
      <c r="BF466" s="34"/>
      <c r="BO466" s="75"/>
      <c r="BP466" s="75"/>
      <c r="BQ466" s="75"/>
      <c r="BR466" s="75"/>
      <c r="BS466" s="75"/>
      <c r="BT466" s="75"/>
      <c r="BU466" s="76"/>
      <c r="BV466" s="75"/>
      <c r="BW466" s="75"/>
    </row>
    <row r="467" spans="58:75" ht="15.75" customHeight="1">
      <c r="BF467" s="34"/>
      <c r="BO467" s="75"/>
      <c r="BP467" s="75"/>
      <c r="BQ467" s="75"/>
      <c r="BR467" s="75"/>
      <c r="BS467" s="75"/>
      <c r="BT467" s="75"/>
      <c r="BU467" s="76"/>
      <c r="BV467" s="75"/>
      <c r="BW467" s="75"/>
    </row>
    <row r="468" spans="58:75" ht="15.75" customHeight="1">
      <c r="BF468" s="34"/>
      <c r="BO468" s="75"/>
      <c r="BP468" s="75"/>
      <c r="BQ468" s="75"/>
      <c r="BR468" s="75"/>
      <c r="BS468" s="75"/>
      <c r="BT468" s="75"/>
      <c r="BU468" s="76"/>
      <c r="BV468" s="75"/>
      <c r="BW468" s="75"/>
    </row>
    <row r="469" spans="58:75" ht="15.75" customHeight="1">
      <c r="BF469" s="34"/>
      <c r="BO469" s="75"/>
      <c r="BP469" s="75"/>
      <c r="BQ469" s="75"/>
      <c r="BR469" s="75"/>
      <c r="BS469" s="75"/>
      <c r="BT469" s="75"/>
      <c r="BU469" s="76"/>
      <c r="BV469" s="75"/>
      <c r="BW469" s="75"/>
    </row>
    <row r="470" spans="58:75" ht="15.75" customHeight="1">
      <c r="BF470" s="34"/>
      <c r="BO470" s="75"/>
      <c r="BP470" s="75"/>
      <c r="BQ470" s="75"/>
      <c r="BR470" s="75"/>
      <c r="BS470" s="75"/>
      <c r="BT470" s="75"/>
      <c r="BU470" s="76"/>
      <c r="BV470" s="75"/>
      <c r="BW470" s="75"/>
    </row>
    <row r="471" spans="58:75" ht="15.75" customHeight="1">
      <c r="BF471" s="34"/>
      <c r="BO471" s="75"/>
      <c r="BP471" s="75"/>
      <c r="BQ471" s="75"/>
      <c r="BR471" s="75"/>
      <c r="BS471" s="75"/>
      <c r="BT471" s="75"/>
      <c r="BU471" s="76"/>
      <c r="BV471" s="75"/>
      <c r="BW471" s="75"/>
    </row>
    <row r="472" spans="58:75" ht="15.75" customHeight="1">
      <c r="BF472" s="34"/>
      <c r="BO472" s="75"/>
      <c r="BP472" s="75"/>
      <c r="BQ472" s="75"/>
      <c r="BR472" s="75"/>
      <c r="BS472" s="75"/>
      <c r="BT472" s="75"/>
      <c r="BU472" s="76"/>
      <c r="BV472" s="75"/>
      <c r="BW472" s="75"/>
    </row>
    <row r="473" spans="58:75" ht="15.75" customHeight="1">
      <c r="BF473" s="34"/>
      <c r="BO473" s="75"/>
      <c r="BP473" s="75"/>
      <c r="BQ473" s="75"/>
      <c r="BR473" s="75"/>
      <c r="BS473" s="75"/>
      <c r="BT473" s="75"/>
      <c r="BU473" s="76"/>
      <c r="BV473" s="75"/>
      <c r="BW473" s="75"/>
    </row>
    <row r="474" spans="58:75" ht="15.75" customHeight="1">
      <c r="BF474" s="34"/>
      <c r="BO474" s="75"/>
      <c r="BP474" s="75"/>
      <c r="BQ474" s="75"/>
      <c r="BR474" s="75"/>
      <c r="BS474" s="75"/>
      <c r="BT474" s="75"/>
      <c r="BU474" s="76"/>
      <c r="BV474" s="75"/>
      <c r="BW474" s="75"/>
    </row>
    <row r="475" spans="58:75" ht="15.75" customHeight="1">
      <c r="BF475" s="34"/>
      <c r="BO475" s="75"/>
      <c r="BP475" s="75"/>
      <c r="BQ475" s="75"/>
      <c r="BR475" s="75"/>
      <c r="BS475" s="75"/>
      <c r="BT475" s="75"/>
      <c r="BU475" s="76"/>
      <c r="BV475" s="75"/>
      <c r="BW475" s="75"/>
    </row>
    <row r="476" spans="58:75" ht="15.75" customHeight="1">
      <c r="BF476" s="34"/>
      <c r="BO476" s="75"/>
      <c r="BP476" s="75"/>
      <c r="BQ476" s="75"/>
      <c r="BR476" s="75"/>
      <c r="BS476" s="75"/>
      <c r="BT476" s="75"/>
      <c r="BU476" s="76"/>
      <c r="BV476" s="75"/>
      <c r="BW476" s="75"/>
    </row>
    <row r="477" spans="58:75" ht="15.75" customHeight="1">
      <c r="BF477" s="34"/>
      <c r="BO477" s="75"/>
      <c r="BP477" s="75"/>
      <c r="BQ477" s="75"/>
      <c r="BR477" s="75"/>
      <c r="BS477" s="75"/>
      <c r="BT477" s="75"/>
      <c r="BU477" s="76"/>
      <c r="BV477" s="75"/>
      <c r="BW477" s="75"/>
    </row>
    <row r="478" spans="58:75" ht="15.75" customHeight="1">
      <c r="BF478" s="34"/>
      <c r="BO478" s="75"/>
      <c r="BP478" s="75"/>
      <c r="BQ478" s="75"/>
      <c r="BR478" s="75"/>
      <c r="BS478" s="75"/>
      <c r="BT478" s="75"/>
      <c r="BU478" s="76"/>
      <c r="BV478" s="75"/>
      <c r="BW478" s="75"/>
    </row>
    <row r="479" spans="58:75" ht="15.75" customHeight="1">
      <c r="BF479" s="34"/>
      <c r="BO479" s="75"/>
      <c r="BP479" s="75"/>
      <c r="BQ479" s="75"/>
      <c r="BR479" s="75"/>
      <c r="BS479" s="75"/>
      <c r="BT479" s="75"/>
      <c r="BU479" s="76"/>
      <c r="BV479" s="75"/>
      <c r="BW479" s="75"/>
    </row>
    <row r="480" spans="58:75" ht="15.75" customHeight="1">
      <c r="BF480" s="34"/>
      <c r="BO480" s="75"/>
      <c r="BP480" s="75"/>
      <c r="BQ480" s="75"/>
      <c r="BR480" s="75"/>
      <c r="BS480" s="75"/>
      <c r="BT480" s="75"/>
      <c r="BU480" s="76"/>
      <c r="BV480" s="75"/>
      <c r="BW480" s="75"/>
    </row>
    <row r="481" spans="58:75" ht="15.75" customHeight="1">
      <c r="BF481" s="34"/>
      <c r="BO481" s="75"/>
      <c r="BP481" s="75"/>
      <c r="BQ481" s="75"/>
      <c r="BR481" s="75"/>
      <c r="BS481" s="75"/>
      <c r="BT481" s="75"/>
      <c r="BU481" s="76"/>
      <c r="BV481" s="75"/>
      <c r="BW481" s="75"/>
    </row>
    <row r="482" spans="58:75" ht="15.75" customHeight="1">
      <c r="BF482" s="34"/>
      <c r="BO482" s="75"/>
      <c r="BP482" s="75"/>
      <c r="BQ482" s="75"/>
      <c r="BR482" s="75"/>
      <c r="BS482" s="75"/>
      <c r="BT482" s="75"/>
      <c r="BU482" s="76"/>
      <c r="BV482" s="75"/>
      <c r="BW482" s="75"/>
    </row>
    <row r="483" spans="58:75" ht="15.75" customHeight="1">
      <c r="BF483" s="34"/>
      <c r="BO483" s="75"/>
      <c r="BP483" s="75"/>
      <c r="BQ483" s="75"/>
      <c r="BR483" s="75"/>
      <c r="BS483" s="75"/>
      <c r="BT483" s="75"/>
      <c r="BU483" s="76"/>
      <c r="BV483" s="75"/>
      <c r="BW483" s="75"/>
    </row>
    <row r="484" spans="58:75" ht="15.75" customHeight="1">
      <c r="BF484" s="34"/>
      <c r="BO484" s="75"/>
      <c r="BP484" s="75"/>
      <c r="BQ484" s="75"/>
      <c r="BR484" s="75"/>
      <c r="BS484" s="75"/>
      <c r="BT484" s="75"/>
      <c r="BU484" s="76"/>
      <c r="BV484" s="75"/>
      <c r="BW484" s="75"/>
    </row>
    <row r="485" spans="58:75" ht="15.75" customHeight="1">
      <c r="BF485" s="34"/>
      <c r="BO485" s="75"/>
      <c r="BP485" s="75"/>
      <c r="BQ485" s="75"/>
      <c r="BR485" s="75"/>
      <c r="BS485" s="75"/>
      <c r="BT485" s="75"/>
      <c r="BU485" s="76"/>
      <c r="BV485" s="75"/>
      <c r="BW485" s="75"/>
    </row>
    <row r="486" spans="58:75" ht="15.75" customHeight="1">
      <c r="BF486" s="34"/>
      <c r="BO486" s="75"/>
      <c r="BP486" s="75"/>
      <c r="BQ486" s="75"/>
      <c r="BR486" s="75"/>
      <c r="BS486" s="75"/>
      <c r="BT486" s="75"/>
      <c r="BU486" s="76"/>
      <c r="BV486" s="75"/>
      <c r="BW486" s="75"/>
    </row>
    <row r="487" spans="58:75" ht="15.75" customHeight="1">
      <c r="BF487" s="34"/>
      <c r="BO487" s="75"/>
      <c r="BP487" s="75"/>
      <c r="BQ487" s="75"/>
      <c r="BR487" s="75"/>
      <c r="BS487" s="75"/>
      <c r="BT487" s="75"/>
      <c r="BU487" s="76"/>
      <c r="BV487" s="75"/>
      <c r="BW487" s="75"/>
    </row>
    <row r="488" spans="58:75" ht="15.75" customHeight="1">
      <c r="BF488" s="34"/>
      <c r="BO488" s="75"/>
      <c r="BP488" s="75"/>
      <c r="BQ488" s="75"/>
      <c r="BR488" s="75"/>
      <c r="BS488" s="75"/>
      <c r="BT488" s="75"/>
      <c r="BU488" s="76"/>
      <c r="BV488" s="75"/>
      <c r="BW488" s="75"/>
    </row>
    <row r="489" spans="58:75" ht="15.75" customHeight="1">
      <c r="BF489" s="34"/>
      <c r="BO489" s="75"/>
      <c r="BP489" s="75"/>
      <c r="BQ489" s="75"/>
      <c r="BR489" s="75"/>
      <c r="BS489" s="75"/>
      <c r="BT489" s="75"/>
      <c r="BU489" s="76"/>
      <c r="BV489" s="75"/>
      <c r="BW489" s="75"/>
    </row>
    <row r="490" spans="58:75" ht="15.75" customHeight="1">
      <c r="BF490" s="34"/>
      <c r="BO490" s="75"/>
      <c r="BP490" s="75"/>
      <c r="BQ490" s="75"/>
      <c r="BR490" s="75"/>
      <c r="BS490" s="75"/>
      <c r="BT490" s="75"/>
      <c r="BU490" s="76"/>
      <c r="BV490" s="75"/>
      <c r="BW490" s="75"/>
    </row>
    <row r="491" spans="58:75" ht="15.75" customHeight="1">
      <c r="BF491" s="34"/>
      <c r="BO491" s="75"/>
      <c r="BP491" s="75"/>
      <c r="BQ491" s="75"/>
      <c r="BR491" s="75"/>
      <c r="BS491" s="75"/>
      <c r="BT491" s="75"/>
      <c r="BU491" s="76"/>
      <c r="BV491" s="75"/>
      <c r="BW491" s="75"/>
    </row>
    <row r="492" spans="58:75" ht="15.75" customHeight="1">
      <c r="BF492" s="34"/>
      <c r="BO492" s="75"/>
      <c r="BP492" s="75"/>
      <c r="BQ492" s="75"/>
      <c r="BR492" s="75"/>
      <c r="BS492" s="75"/>
      <c r="BT492" s="75"/>
      <c r="BU492" s="76"/>
      <c r="BV492" s="75"/>
      <c r="BW492" s="75"/>
    </row>
    <row r="493" spans="58:75" ht="15.75" customHeight="1">
      <c r="BF493" s="34"/>
      <c r="BO493" s="75"/>
      <c r="BP493" s="75"/>
      <c r="BQ493" s="75"/>
      <c r="BR493" s="75"/>
      <c r="BS493" s="75"/>
      <c r="BT493" s="75"/>
      <c r="BU493" s="76"/>
      <c r="BV493" s="75"/>
      <c r="BW493" s="75"/>
    </row>
    <row r="494" spans="58:75" ht="15.75" customHeight="1">
      <c r="BF494" s="34"/>
      <c r="BO494" s="75"/>
      <c r="BP494" s="75"/>
      <c r="BQ494" s="75"/>
      <c r="BR494" s="75"/>
      <c r="BS494" s="75"/>
      <c r="BT494" s="75"/>
      <c r="BU494" s="76"/>
      <c r="BV494" s="75"/>
      <c r="BW494" s="75"/>
    </row>
    <row r="495" spans="58:75" ht="15.75" customHeight="1">
      <c r="BF495" s="34"/>
      <c r="BO495" s="75"/>
      <c r="BP495" s="75"/>
      <c r="BQ495" s="75"/>
      <c r="BR495" s="75"/>
      <c r="BS495" s="75"/>
      <c r="BT495" s="75"/>
      <c r="BU495" s="76"/>
      <c r="BV495" s="75"/>
      <c r="BW495" s="75"/>
    </row>
    <row r="496" spans="58:75" ht="15.75" customHeight="1">
      <c r="BF496" s="34"/>
      <c r="BO496" s="75"/>
      <c r="BP496" s="75"/>
      <c r="BQ496" s="75"/>
      <c r="BR496" s="75"/>
      <c r="BS496" s="75"/>
      <c r="BT496" s="75"/>
      <c r="BU496" s="76"/>
      <c r="BV496" s="75"/>
      <c r="BW496" s="75"/>
    </row>
    <row r="497" spans="58:75" ht="15.75" customHeight="1">
      <c r="BF497" s="34"/>
      <c r="BO497" s="75"/>
      <c r="BP497" s="75"/>
      <c r="BQ497" s="75"/>
      <c r="BR497" s="75"/>
      <c r="BS497" s="75"/>
      <c r="BT497" s="75"/>
      <c r="BU497" s="76"/>
      <c r="BV497" s="75"/>
      <c r="BW497" s="75"/>
    </row>
    <row r="498" spans="58:75" ht="15.75" customHeight="1">
      <c r="BF498" s="34"/>
      <c r="BO498" s="75"/>
      <c r="BP498" s="75"/>
      <c r="BQ498" s="75"/>
      <c r="BR498" s="75"/>
      <c r="BS498" s="75"/>
      <c r="BT498" s="75"/>
      <c r="BU498" s="76"/>
      <c r="BV498" s="75"/>
      <c r="BW498" s="75"/>
    </row>
    <row r="499" spans="58:75" ht="15.75" customHeight="1">
      <c r="BF499" s="34"/>
      <c r="BO499" s="75"/>
      <c r="BP499" s="75"/>
      <c r="BQ499" s="75"/>
      <c r="BR499" s="75"/>
      <c r="BS499" s="75"/>
      <c r="BT499" s="75"/>
      <c r="BU499" s="76"/>
      <c r="BV499" s="75"/>
      <c r="BW499" s="75"/>
    </row>
    <row r="500" spans="58:75" ht="15.75" customHeight="1">
      <c r="BF500" s="34"/>
      <c r="BO500" s="75"/>
      <c r="BP500" s="75"/>
      <c r="BQ500" s="75"/>
      <c r="BR500" s="75"/>
      <c r="BS500" s="75"/>
      <c r="BT500" s="75"/>
      <c r="BU500" s="76"/>
      <c r="BV500" s="75"/>
      <c r="BW500" s="75"/>
    </row>
    <row r="501" spans="58:75" ht="15.75" customHeight="1">
      <c r="BF501" s="34"/>
      <c r="BO501" s="75"/>
      <c r="BP501" s="75"/>
      <c r="BQ501" s="75"/>
      <c r="BR501" s="75"/>
      <c r="BS501" s="75"/>
      <c r="BT501" s="75"/>
      <c r="BU501" s="76"/>
      <c r="BV501" s="75"/>
      <c r="BW501" s="75"/>
    </row>
    <row r="502" spans="58:75" ht="15.75" customHeight="1">
      <c r="BF502" s="34"/>
      <c r="BO502" s="75"/>
      <c r="BP502" s="75"/>
      <c r="BQ502" s="75"/>
      <c r="BR502" s="75"/>
      <c r="BS502" s="75"/>
      <c r="BT502" s="75"/>
      <c r="BU502" s="76"/>
      <c r="BV502" s="75"/>
      <c r="BW502" s="75"/>
    </row>
    <row r="503" spans="58:75" ht="15.75" customHeight="1">
      <c r="BF503" s="34"/>
      <c r="BO503" s="75"/>
      <c r="BP503" s="75"/>
      <c r="BQ503" s="75"/>
      <c r="BR503" s="75"/>
      <c r="BS503" s="75"/>
      <c r="BT503" s="75"/>
      <c r="BU503" s="76"/>
      <c r="BV503" s="75"/>
      <c r="BW503" s="75"/>
    </row>
    <row r="504" spans="58:75" ht="15.75" customHeight="1">
      <c r="BF504" s="34"/>
      <c r="BO504" s="75"/>
      <c r="BP504" s="75"/>
      <c r="BQ504" s="75"/>
      <c r="BR504" s="75"/>
      <c r="BS504" s="75"/>
      <c r="BT504" s="75"/>
      <c r="BU504" s="76"/>
      <c r="BV504" s="75"/>
      <c r="BW504" s="75"/>
    </row>
    <row r="505" spans="58:75" ht="15.75" customHeight="1">
      <c r="BF505" s="34"/>
      <c r="BO505" s="75"/>
      <c r="BP505" s="75"/>
      <c r="BQ505" s="75"/>
      <c r="BR505" s="75"/>
      <c r="BS505" s="75"/>
      <c r="BT505" s="75"/>
      <c r="BU505" s="76"/>
      <c r="BV505" s="75"/>
      <c r="BW505" s="75"/>
    </row>
    <row r="506" spans="58:75" ht="15.75" customHeight="1">
      <c r="BF506" s="34"/>
      <c r="BO506" s="75"/>
      <c r="BP506" s="75"/>
      <c r="BQ506" s="75"/>
      <c r="BR506" s="75"/>
      <c r="BS506" s="75"/>
      <c r="BT506" s="75"/>
      <c r="BU506" s="76"/>
      <c r="BV506" s="75"/>
      <c r="BW506" s="75"/>
    </row>
    <row r="507" spans="58:75" ht="15.75" customHeight="1">
      <c r="BF507" s="34"/>
      <c r="BO507" s="75"/>
      <c r="BP507" s="75"/>
      <c r="BQ507" s="75"/>
      <c r="BR507" s="75"/>
      <c r="BS507" s="75"/>
      <c r="BT507" s="75"/>
      <c r="BU507" s="76"/>
      <c r="BV507" s="75"/>
      <c r="BW507" s="75"/>
    </row>
    <row r="508" spans="58:75" ht="15.75" customHeight="1">
      <c r="BF508" s="34"/>
      <c r="BO508" s="75"/>
      <c r="BP508" s="75"/>
      <c r="BQ508" s="75"/>
      <c r="BR508" s="75"/>
      <c r="BS508" s="75"/>
      <c r="BT508" s="75"/>
      <c r="BU508" s="76"/>
      <c r="BV508" s="75"/>
      <c r="BW508" s="75"/>
    </row>
    <row r="509" spans="58:75" ht="15.75" customHeight="1">
      <c r="BF509" s="34"/>
      <c r="BO509" s="75"/>
      <c r="BP509" s="75"/>
      <c r="BQ509" s="75"/>
      <c r="BR509" s="75"/>
      <c r="BS509" s="75"/>
      <c r="BT509" s="75"/>
      <c r="BU509" s="76"/>
      <c r="BV509" s="75"/>
      <c r="BW509" s="75"/>
    </row>
    <row r="510" spans="58:75" ht="15.75" customHeight="1">
      <c r="BF510" s="34"/>
      <c r="BO510" s="75"/>
      <c r="BP510" s="75"/>
      <c r="BQ510" s="75"/>
      <c r="BR510" s="75"/>
      <c r="BS510" s="75"/>
      <c r="BT510" s="75"/>
      <c r="BU510" s="76"/>
      <c r="BV510" s="75"/>
      <c r="BW510" s="75"/>
    </row>
    <row r="511" spans="58:75" ht="15.75" customHeight="1">
      <c r="BF511" s="34"/>
      <c r="BO511" s="75"/>
      <c r="BP511" s="75"/>
      <c r="BQ511" s="75"/>
      <c r="BR511" s="75"/>
      <c r="BS511" s="75"/>
      <c r="BT511" s="75"/>
      <c r="BU511" s="76"/>
      <c r="BV511" s="75"/>
      <c r="BW511" s="75"/>
    </row>
    <row r="512" spans="58:75" ht="15.75" customHeight="1">
      <c r="BF512" s="34"/>
      <c r="BO512" s="75"/>
      <c r="BP512" s="75"/>
      <c r="BQ512" s="75"/>
      <c r="BR512" s="75"/>
      <c r="BS512" s="75"/>
      <c r="BT512" s="75"/>
      <c r="BU512" s="76"/>
      <c r="BV512" s="75"/>
      <c r="BW512" s="75"/>
    </row>
    <row r="513" spans="58:75" ht="15.75" customHeight="1">
      <c r="BF513" s="34"/>
      <c r="BO513" s="75"/>
      <c r="BP513" s="75"/>
      <c r="BQ513" s="75"/>
      <c r="BR513" s="75"/>
      <c r="BS513" s="75"/>
      <c r="BT513" s="75"/>
      <c r="BU513" s="76"/>
      <c r="BV513" s="75"/>
      <c r="BW513" s="75"/>
    </row>
    <row r="514" spans="58:75" ht="15.75" customHeight="1">
      <c r="BF514" s="34"/>
      <c r="BO514" s="75"/>
      <c r="BP514" s="75"/>
      <c r="BQ514" s="75"/>
      <c r="BR514" s="75"/>
      <c r="BS514" s="75"/>
      <c r="BT514" s="75"/>
      <c r="BU514" s="76"/>
      <c r="BV514" s="75"/>
      <c r="BW514" s="75"/>
    </row>
    <row r="515" spans="58:75" ht="15.75" customHeight="1">
      <c r="BF515" s="34"/>
      <c r="BO515" s="75"/>
      <c r="BP515" s="75"/>
      <c r="BQ515" s="75"/>
      <c r="BR515" s="75"/>
      <c r="BS515" s="75"/>
      <c r="BT515" s="75"/>
      <c r="BU515" s="76"/>
      <c r="BV515" s="75"/>
      <c r="BW515" s="75"/>
    </row>
    <row r="516" spans="58:75" ht="15.75" customHeight="1">
      <c r="BF516" s="34"/>
      <c r="BO516" s="75"/>
      <c r="BP516" s="75"/>
      <c r="BQ516" s="75"/>
      <c r="BR516" s="75"/>
      <c r="BS516" s="75"/>
      <c r="BT516" s="75"/>
      <c r="BU516" s="76"/>
      <c r="BV516" s="75"/>
      <c r="BW516" s="75"/>
    </row>
    <row r="517" spans="58:75" ht="15.75" customHeight="1">
      <c r="BF517" s="34"/>
      <c r="BO517" s="75"/>
      <c r="BP517" s="75"/>
      <c r="BQ517" s="75"/>
      <c r="BR517" s="75"/>
      <c r="BS517" s="75"/>
      <c r="BT517" s="75"/>
      <c r="BU517" s="76"/>
      <c r="BV517" s="75"/>
      <c r="BW517" s="75"/>
    </row>
    <row r="518" spans="58:75" ht="15.75" customHeight="1">
      <c r="BF518" s="34"/>
      <c r="BO518" s="75"/>
      <c r="BP518" s="75"/>
      <c r="BQ518" s="75"/>
      <c r="BR518" s="75"/>
      <c r="BS518" s="75"/>
      <c r="BT518" s="75"/>
      <c r="BU518" s="76"/>
      <c r="BV518" s="75"/>
      <c r="BW518" s="75"/>
    </row>
    <row r="519" spans="58:75" ht="15.75" customHeight="1">
      <c r="BF519" s="34"/>
      <c r="BO519" s="75"/>
      <c r="BP519" s="75"/>
      <c r="BQ519" s="75"/>
      <c r="BR519" s="75"/>
      <c r="BS519" s="75"/>
      <c r="BT519" s="75"/>
      <c r="BU519" s="76"/>
      <c r="BV519" s="75"/>
      <c r="BW519" s="75"/>
    </row>
    <row r="520" spans="58:75" ht="15.75" customHeight="1">
      <c r="BF520" s="34"/>
      <c r="BO520" s="75"/>
      <c r="BP520" s="75"/>
      <c r="BQ520" s="75"/>
      <c r="BR520" s="75"/>
      <c r="BS520" s="75"/>
      <c r="BT520" s="75"/>
      <c r="BU520" s="76"/>
      <c r="BV520" s="75"/>
      <c r="BW520" s="75"/>
    </row>
    <row r="521" spans="58:75" ht="15.75" customHeight="1">
      <c r="BF521" s="34"/>
      <c r="BO521" s="75"/>
      <c r="BP521" s="75"/>
      <c r="BQ521" s="75"/>
      <c r="BR521" s="75"/>
      <c r="BS521" s="75"/>
      <c r="BT521" s="75"/>
      <c r="BU521" s="76"/>
      <c r="BV521" s="75"/>
      <c r="BW521" s="75"/>
    </row>
    <row r="522" spans="58:75" ht="15.75" customHeight="1">
      <c r="BF522" s="34"/>
      <c r="BO522" s="75"/>
      <c r="BP522" s="75"/>
      <c r="BQ522" s="75"/>
      <c r="BR522" s="75"/>
      <c r="BS522" s="75"/>
      <c r="BT522" s="75"/>
      <c r="BU522" s="76"/>
      <c r="BV522" s="75"/>
      <c r="BW522" s="75"/>
    </row>
    <row r="523" spans="58:75" ht="15.75" customHeight="1">
      <c r="BF523" s="34"/>
      <c r="BO523" s="75"/>
      <c r="BP523" s="75"/>
      <c r="BQ523" s="75"/>
      <c r="BR523" s="75"/>
      <c r="BS523" s="75"/>
      <c r="BT523" s="75"/>
      <c r="BU523" s="76"/>
      <c r="BV523" s="75"/>
      <c r="BW523" s="75"/>
    </row>
    <row r="524" spans="58:75" ht="15.75" customHeight="1">
      <c r="BF524" s="34"/>
      <c r="BO524" s="75"/>
      <c r="BP524" s="75"/>
      <c r="BQ524" s="75"/>
      <c r="BR524" s="75"/>
      <c r="BS524" s="75"/>
      <c r="BT524" s="75"/>
      <c r="BU524" s="76"/>
      <c r="BV524" s="75"/>
      <c r="BW524" s="75"/>
    </row>
    <row r="525" spans="58:75" ht="15.75" customHeight="1">
      <c r="BF525" s="34"/>
      <c r="BO525" s="75"/>
      <c r="BP525" s="75"/>
      <c r="BQ525" s="75"/>
      <c r="BR525" s="75"/>
      <c r="BS525" s="75"/>
      <c r="BT525" s="75"/>
      <c r="BU525" s="76"/>
      <c r="BV525" s="75"/>
      <c r="BW525" s="75"/>
    </row>
    <row r="526" spans="58:75" ht="15.75" customHeight="1">
      <c r="BF526" s="34"/>
      <c r="BO526" s="75"/>
      <c r="BP526" s="75"/>
      <c r="BQ526" s="75"/>
      <c r="BR526" s="75"/>
      <c r="BS526" s="75"/>
      <c r="BT526" s="75"/>
      <c r="BU526" s="76"/>
      <c r="BV526" s="75"/>
      <c r="BW526" s="75"/>
    </row>
    <row r="527" spans="58:75" ht="15.75" customHeight="1">
      <c r="BF527" s="34"/>
      <c r="BO527" s="75"/>
      <c r="BP527" s="75"/>
      <c r="BQ527" s="75"/>
      <c r="BR527" s="75"/>
      <c r="BS527" s="75"/>
      <c r="BT527" s="75"/>
      <c r="BU527" s="76"/>
      <c r="BV527" s="75"/>
      <c r="BW527" s="75"/>
    </row>
    <row r="528" spans="58:75" ht="15.75" customHeight="1">
      <c r="BF528" s="34"/>
      <c r="BO528" s="75"/>
      <c r="BP528" s="75"/>
      <c r="BQ528" s="75"/>
      <c r="BR528" s="75"/>
      <c r="BS528" s="75"/>
      <c r="BT528" s="75"/>
      <c r="BU528" s="76"/>
      <c r="BV528" s="75"/>
      <c r="BW528" s="75"/>
    </row>
    <row r="529" spans="58:75" ht="15.75" customHeight="1">
      <c r="BF529" s="34"/>
      <c r="BO529" s="75"/>
      <c r="BP529" s="75"/>
      <c r="BQ529" s="75"/>
      <c r="BR529" s="75"/>
      <c r="BS529" s="75"/>
      <c r="BT529" s="75"/>
      <c r="BU529" s="76"/>
      <c r="BV529" s="75"/>
      <c r="BW529" s="75"/>
    </row>
    <row r="530" spans="58:75" ht="15.75" customHeight="1">
      <c r="BF530" s="34"/>
      <c r="BO530" s="75"/>
      <c r="BP530" s="75"/>
      <c r="BQ530" s="75"/>
      <c r="BR530" s="75"/>
      <c r="BS530" s="75"/>
      <c r="BT530" s="75"/>
      <c r="BU530" s="76"/>
      <c r="BV530" s="75"/>
      <c r="BW530" s="75"/>
    </row>
    <row r="531" spans="58:75" ht="15.75" customHeight="1">
      <c r="BF531" s="34"/>
      <c r="BO531" s="75"/>
      <c r="BP531" s="75"/>
      <c r="BQ531" s="75"/>
      <c r="BR531" s="75"/>
      <c r="BS531" s="75"/>
      <c r="BT531" s="75"/>
      <c r="BU531" s="76"/>
      <c r="BV531" s="75"/>
      <c r="BW531" s="75"/>
    </row>
    <row r="532" spans="58:75" ht="15.75" customHeight="1">
      <c r="BF532" s="34"/>
      <c r="BO532" s="75"/>
      <c r="BP532" s="75"/>
      <c r="BQ532" s="75"/>
      <c r="BR532" s="75"/>
      <c r="BS532" s="75"/>
      <c r="BT532" s="75"/>
      <c r="BU532" s="76"/>
      <c r="BV532" s="75"/>
      <c r="BW532" s="75"/>
    </row>
    <row r="533" spans="58:75" ht="15.75" customHeight="1">
      <c r="BF533" s="34"/>
      <c r="BO533" s="75"/>
      <c r="BP533" s="75"/>
      <c r="BQ533" s="75"/>
      <c r="BR533" s="75"/>
      <c r="BS533" s="75"/>
      <c r="BT533" s="75"/>
      <c r="BU533" s="76"/>
      <c r="BV533" s="75"/>
      <c r="BW533" s="75"/>
    </row>
    <row r="534" spans="58:75" ht="15.75" customHeight="1">
      <c r="BF534" s="34"/>
      <c r="BO534" s="75"/>
      <c r="BP534" s="75"/>
      <c r="BQ534" s="75"/>
      <c r="BR534" s="75"/>
      <c r="BS534" s="75"/>
      <c r="BT534" s="75"/>
      <c r="BU534" s="76"/>
      <c r="BV534" s="75"/>
      <c r="BW534" s="75"/>
    </row>
    <row r="535" spans="58:75" ht="15.75" customHeight="1">
      <c r="BF535" s="34"/>
      <c r="BO535" s="75"/>
      <c r="BP535" s="75"/>
      <c r="BQ535" s="75"/>
      <c r="BR535" s="75"/>
      <c r="BS535" s="75"/>
      <c r="BT535" s="75"/>
      <c r="BU535" s="76"/>
      <c r="BV535" s="75"/>
      <c r="BW535" s="75"/>
    </row>
    <row r="536" spans="58:75" ht="15.75" customHeight="1">
      <c r="BF536" s="34"/>
      <c r="BO536" s="75"/>
      <c r="BP536" s="75"/>
      <c r="BQ536" s="75"/>
      <c r="BR536" s="75"/>
      <c r="BS536" s="75"/>
      <c r="BT536" s="75"/>
      <c r="BU536" s="76"/>
      <c r="BV536" s="75"/>
      <c r="BW536" s="75"/>
    </row>
    <row r="537" spans="58:75" ht="15.75" customHeight="1">
      <c r="BF537" s="34"/>
      <c r="BO537" s="75"/>
      <c r="BP537" s="75"/>
      <c r="BQ537" s="75"/>
      <c r="BR537" s="75"/>
      <c r="BS537" s="75"/>
      <c r="BT537" s="75"/>
      <c r="BU537" s="76"/>
      <c r="BV537" s="75"/>
      <c r="BW537" s="75"/>
    </row>
    <row r="538" spans="58:75" ht="15.75" customHeight="1">
      <c r="BF538" s="34"/>
      <c r="BO538" s="75"/>
      <c r="BP538" s="75"/>
      <c r="BQ538" s="75"/>
      <c r="BR538" s="75"/>
      <c r="BS538" s="75"/>
      <c r="BT538" s="75"/>
      <c r="BU538" s="76"/>
      <c r="BV538" s="75"/>
      <c r="BW538" s="75"/>
    </row>
    <row r="539" spans="58:75" ht="15.75" customHeight="1">
      <c r="BF539" s="34"/>
      <c r="BO539" s="75"/>
      <c r="BP539" s="75"/>
      <c r="BQ539" s="75"/>
      <c r="BR539" s="75"/>
      <c r="BS539" s="75"/>
      <c r="BT539" s="75"/>
      <c r="BU539" s="76"/>
      <c r="BV539" s="75"/>
      <c r="BW539" s="75"/>
    </row>
    <row r="540" spans="58:75" ht="15.75" customHeight="1">
      <c r="BF540" s="34"/>
      <c r="BO540" s="75"/>
      <c r="BP540" s="75"/>
      <c r="BQ540" s="75"/>
      <c r="BR540" s="75"/>
      <c r="BS540" s="75"/>
      <c r="BT540" s="75"/>
      <c r="BU540" s="76"/>
      <c r="BV540" s="75"/>
      <c r="BW540" s="75"/>
    </row>
    <row r="541" spans="58:75" ht="15.75" customHeight="1">
      <c r="BF541" s="34"/>
      <c r="BO541" s="75"/>
      <c r="BP541" s="75"/>
      <c r="BQ541" s="75"/>
      <c r="BR541" s="75"/>
      <c r="BS541" s="75"/>
      <c r="BT541" s="75"/>
      <c r="BU541" s="76"/>
      <c r="BV541" s="75"/>
      <c r="BW541" s="75"/>
    </row>
    <row r="542" spans="58:75" ht="15.75" customHeight="1">
      <c r="BF542" s="34"/>
      <c r="BO542" s="75"/>
      <c r="BP542" s="75"/>
      <c r="BQ542" s="75"/>
      <c r="BR542" s="75"/>
      <c r="BS542" s="75"/>
      <c r="BT542" s="75"/>
      <c r="BU542" s="76"/>
      <c r="BV542" s="75"/>
      <c r="BW542" s="75"/>
    </row>
    <row r="543" spans="58:75" ht="15.75" customHeight="1">
      <c r="BF543" s="34"/>
      <c r="BO543" s="75"/>
      <c r="BP543" s="75"/>
      <c r="BQ543" s="75"/>
      <c r="BR543" s="75"/>
      <c r="BS543" s="75"/>
      <c r="BT543" s="75"/>
      <c r="BU543" s="76"/>
      <c r="BV543" s="75"/>
      <c r="BW543" s="75"/>
    </row>
    <row r="544" spans="58:75" ht="15.75" customHeight="1">
      <c r="BF544" s="34"/>
      <c r="BO544" s="75"/>
      <c r="BP544" s="75"/>
      <c r="BQ544" s="75"/>
      <c r="BR544" s="75"/>
      <c r="BS544" s="75"/>
      <c r="BT544" s="75"/>
      <c r="BU544" s="76"/>
      <c r="BV544" s="75"/>
      <c r="BW544" s="75"/>
    </row>
    <row r="545" spans="58:75" ht="15.75" customHeight="1">
      <c r="BF545" s="34"/>
      <c r="BO545" s="75"/>
      <c r="BP545" s="75"/>
      <c r="BQ545" s="75"/>
      <c r="BR545" s="75"/>
      <c r="BS545" s="75"/>
      <c r="BT545" s="75"/>
      <c r="BU545" s="76"/>
      <c r="BV545" s="75"/>
      <c r="BW545" s="75"/>
    </row>
    <row r="546" spans="58:75" ht="15.75" customHeight="1">
      <c r="BF546" s="34"/>
      <c r="BO546" s="75"/>
      <c r="BP546" s="75"/>
      <c r="BQ546" s="75"/>
      <c r="BR546" s="75"/>
      <c r="BS546" s="75"/>
      <c r="BT546" s="75"/>
      <c r="BU546" s="76"/>
      <c r="BV546" s="75"/>
      <c r="BW546" s="75"/>
    </row>
    <row r="547" spans="58:75" ht="15.75" customHeight="1">
      <c r="BF547" s="34"/>
      <c r="BO547" s="75"/>
      <c r="BP547" s="75"/>
      <c r="BQ547" s="75"/>
      <c r="BR547" s="75"/>
      <c r="BS547" s="75"/>
      <c r="BT547" s="75"/>
      <c r="BU547" s="76"/>
      <c r="BV547" s="75"/>
      <c r="BW547" s="75"/>
    </row>
    <row r="548" spans="58:75" ht="15.75" customHeight="1">
      <c r="BF548" s="34"/>
      <c r="BO548" s="75"/>
      <c r="BP548" s="75"/>
      <c r="BQ548" s="75"/>
      <c r="BR548" s="75"/>
      <c r="BS548" s="75"/>
      <c r="BT548" s="75"/>
      <c r="BU548" s="76"/>
      <c r="BV548" s="75"/>
      <c r="BW548" s="75"/>
    </row>
    <row r="549" spans="58:75" ht="15.75" customHeight="1">
      <c r="BF549" s="34"/>
      <c r="BO549" s="75"/>
      <c r="BP549" s="75"/>
      <c r="BQ549" s="75"/>
      <c r="BR549" s="75"/>
      <c r="BS549" s="75"/>
      <c r="BT549" s="75"/>
      <c r="BU549" s="76"/>
      <c r="BV549" s="75"/>
      <c r="BW549" s="75"/>
    </row>
    <row r="550" spans="58:75" ht="15.75" customHeight="1">
      <c r="BF550" s="34"/>
      <c r="BO550" s="75"/>
      <c r="BP550" s="75"/>
      <c r="BQ550" s="75"/>
      <c r="BR550" s="75"/>
      <c r="BS550" s="75"/>
      <c r="BT550" s="75"/>
      <c r="BU550" s="76"/>
      <c r="BV550" s="75"/>
      <c r="BW550" s="75"/>
    </row>
    <row r="551" spans="58:75" ht="15.75" customHeight="1">
      <c r="BF551" s="34"/>
      <c r="BO551" s="75"/>
      <c r="BP551" s="75"/>
      <c r="BQ551" s="75"/>
      <c r="BR551" s="75"/>
      <c r="BS551" s="75"/>
      <c r="BT551" s="75"/>
      <c r="BU551" s="76"/>
      <c r="BV551" s="75"/>
      <c r="BW551" s="75"/>
    </row>
    <row r="552" spans="58:75" ht="15.75" customHeight="1">
      <c r="BF552" s="34"/>
      <c r="BO552" s="75"/>
      <c r="BP552" s="75"/>
      <c r="BQ552" s="75"/>
      <c r="BR552" s="75"/>
      <c r="BS552" s="75"/>
      <c r="BT552" s="75"/>
      <c r="BU552" s="76"/>
      <c r="BV552" s="75"/>
      <c r="BW552" s="75"/>
    </row>
    <row r="553" spans="58:75" ht="15.75" customHeight="1">
      <c r="BF553" s="34"/>
      <c r="BO553" s="75"/>
      <c r="BP553" s="75"/>
      <c r="BQ553" s="75"/>
      <c r="BR553" s="75"/>
      <c r="BS553" s="75"/>
      <c r="BT553" s="75"/>
      <c r="BU553" s="76"/>
      <c r="BV553" s="75"/>
      <c r="BW553" s="75"/>
    </row>
    <row r="554" spans="58:75" ht="15.75" customHeight="1">
      <c r="BF554" s="34"/>
      <c r="BO554" s="75"/>
      <c r="BP554" s="75"/>
      <c r="BQ554" s="75"/>
      <c r="BR554" s="75"/>
      <c r="BS554" s="75"/>
      <c r="BT554" s="75"/>
      <c r="BU554" s="76"/>
      <c r="BV554" s="75"/>
      <c r="BW554" s="75"/>
    </row>
    <row r="555" spans="58:75" ht="15.75" customHeight="1">
      <c r="BF555" s="34"/>
      <c r="BO555" s="75"/>
      <c r="BP555" s="75"/>
      <c r="BQ555" s="75"/>
      <c r="BR555" s="75"/>
      <c r="BS555" s="75"/>
      <c r="BT555" s="75"/>
      <c r="BU555" s="76"/>
      <c r="BV555" s="75"/>
      <c r="BW555" s="75"/>
    </row>
    <row r="556" spans="58:75" ht="15.75" customHeight="1">
      <c r="BF556" s="34"/>
      <c r="BO556" s="75"/>
      <c r="BP556" s="75"/>
      <c r="BQ556" s="75"/>
      <c r="BR556" s="75"/>
      <c r="BS556" s="75"/>
      <c r="BT556" s="75"/>
      <c r="BU556" s="76"/>
      <c r="BV556" s="75"/>
      <c r="BW556" s="75"/>
    </row>
    <row r="557" spans="58:75" ht="15.75" customHeight="1">
      <c r="BF557" s="34"/>
      <c r="BO557" s="75"/>
      <c r="BP557" s="75"/>
      <c r="BQ557" s="75"/>
      <c r="BR557" s="75"/>
      <c r="BS557" s="75"/>
      <c r="BT557" s="75"/>
      <c r="BU557" s="76"/>
      <c r="BV557" s="75"/>
      <c r="BW557" s="75"/>
    </row>
    <row r="558" spans="58:75" ht="15.75" customHeight="1">
      <c r="BF558" s="34"/>
      <c r="BO558" s="75"/>
      <c r="BP558" s="75"/>
      <c r="BQ558" s="75"/>
      <c r="BR558" s="75"/>
      <c r="BS558" s="75"/>
      <c r="BT558" s="75"/>
      <c r="BU558" s="76"/>
      <c r="BV558" s="75"/>
      <c r="BW558" s="75"/>
    </row>
    <row r="559" spans="58:75" ht="15.75" customHeight="1">
      <c r="BF559" s="34"/>
      <c r="BO559" s="75"/>
      <c r="BP559" s="75"/>
      <c r="BQ559" s="75"/>
      <c r="BR559" s="75"/>
      <c r="BS559" s="75"/>
      <c r="BT559" s="75"/>
      <c r="BU559" s="76"/>
      <c r="BV559" s="75"/>
      <c r="BW559" s="75"/>
    </row>
    <row r="560" spans="58:75" ht="15.75" customHeight="1">
      <c r="BF560" s="34"/>
      <c r="BO560" s="75"/>
      <c r="BP560" s="75"/>
      <c r="BQ560" s="75"/>
      <c r="BR560" s="75"/>
      <c r="BS560" s="75"/>
      <c r="BT560" s="75"/>
      <c r="BU560" s="76"/>
      <c r="BV560" s="75"/>
      <c r="BW560" s="75"/>
    </row>
    <row r="561" spans="58:75" ht="15.75" customHeight="1">
      <c r="BF561" s="34"/>
      <c r="BO561" s="75"/>
      <c r="BP561" s="75"/>
      <c r="BQ561" s="75"/>
      <c r="BR561" s="75"/>
      <c r="BS561" s="75"/>
      <c r="BT561" s="75"/>
      <c r="BU561" s="76"/>
      <c r="BV561" s="75"/>
      <c r="BW561" s="75"/>
    </row>
    <row r="562" spans="58:75" ht="15.75" customHeight="1">
      <c r="BF562" s="34"/>
      <c r="BO562" s="75"/>
      <c r="BP562" s="75"/>
      <c r="BQ562" s="75"/>
      <c r="BR562" s="75"/>
      <c r="BS562" s="75"/>
      <c r="BT562" s="75"/>
      <c r="BU562" s="76"/>
      <c r="BV562" s="75"/>
      <c r="BW562" s="75"/>
    </row>
    <row r="563" spans="58:75" ht="15.75" customHeight="1">
      <c r="BF563" s="34"/>
      <c r="BO563" s="75"/>
      <c r="BP563" s="75"/>
      <c r="BQ563" s="75"/>
      <c r="BR563" s="75"/>
      <c r="BS563" s="75"/>
      <c r="BT563" s="75"/>
      <c r="BU563" s="76"/>
      <c r="BV563" s="75"/>
      <c r="BW563" s="75"/>
    </row>
    <row r="564" spans="58:75" ht="15.75" customHeight="1">
      <c r="BF564" s="34"/>
      <c r="BO564" s="75"/>
      <c r="BP564" s="75"/>
      <c r="BQ564" s="75"/>
      <c r="BR564" s="75"/>
      <c r="BS564" s="75"/>
      <c r="BT564" s="75"/>
      <c r="BU564" s="76"/>
      <c r="BV564" s="75"/>
      <c r="BW564" s="75"/>
    </row>
    <row r="565" spans="58:75" ht="15.75" customHeight="1">
      <c r="BF565" s="34"/>
      <c r="BO565" s="75"/>
      <c r="BP565" s="75"/>
      <c r="BQ565" s="75"/>
      <c r="BR565" s="75"/>
      <c r="BS565" s="75"/>
      <c r="BT565" s="75"/>
      <c r="BU565" s="76"/>
      <c r="BV565" s="75"/>
      <c r="BW565" s="75"/>
    </row>
    <row r="566" spans="58:75" ht="15.75" customHeight="1">
      <c r="BF566" s="34"/>
      <c r="BO566" s="75"/>
      <c r="BP566" s="75"/>
      <c r="BQ566" s="75"/>
      <c r="BR566" s="75"/>
      <c r="BS566" s="75"/>
      <c r="BT566" s="75"/>
      <c r="BU566" s="76"/>
      <c r="BV566" s="75"/>
      <c r="BW566" s="75"/>
    </row>
    <row r="567" spans="58:75" ht="15.75" customHeight="1">
      <c r="BF567" s="34"/>
      <c r="BO567" s="75"/>
      <c r="BP567" s="75"/>
      <c r="BQ567" s="75"/>
      <c r="BR567" s="75"/>
      <c r="BS567" s="75"/>
      <c r="BT567" s="75"/>
      <c r="BU567" s="76"/>
      <c r="BV567" s="75"/>
      <c r="BW567" s="75"/>
    </row>
    <row r="568" spans="58:75" ht="15.75" customHeight="1">
      <c r="BF568" s="34"/>
      <c r="BO568" s="75"/>
      <c r="BP568" s="75"/>
      <c r="BQ568" s="75"/>
      <c r="BR568" s="75"/>
      <c r="BS568" s="75"/>
      <c r="BT568" s="75"/>
      <c r="BU568" s="76"/>
      <c r="BV568" s="75"/>
      <c r="BW568" s="75"/>
    </row>
    <row r="569" spans="58:75" ht="15.75" customHeight="1">
      <c r="BF569" s="34"/>
      <c r="BO569" s="75"/>
      <c r="BP569" s="75"/>
      <c r="BQ569" s="75"/>
      <c r="BR569" s="75"/>
      <c r="BS569" s="75"/>
      <c r="BT569" s="75"/>
      <c r="BU569" s="76"/>
      <c r="BV569" s="75"/>
      <c r="BW569" s="75"/>
    </row>
    <row r="570" spans="58:75" ht="15.75" customHeight="1">
      <c r="BF570" s="34"/>
      <c r="BO570" s="75"/>
      <c r="BP570" s="75"/>
      <c r="BQ570" s="75"/>
      <c r="BR570" s="75"/>
      <c r="BS570" s="75"/>
      <c r="BT570" s="75"/>
      <c r="BU570" s="76"/>
      <c r="BV570" s="75"/>
      <c r="BW570" s="75"/>
    </row>
    <row r="571" spans="58:75" ht="15.75" customHeight="1">
      <c r="BF571" s="34"/>
      <c r="BO571" s="75"/>
      <c r="BP571" s="75"/>
      <c r="BQ571" s="75"/>
      <c r="BR571" s="75"/>
      <c r="BS571" s="75"/>
      <c r="BT571" s="75"/>
      <c r="BU571" s="76"/>
      <c r="BV571" s="75"/>
      <c r="BW571" s="75"/>
    </row>
    <row r="572" spans="58:75" ht="15.75" customHeight="1">
      <c r="BF572" s="34"/>
      <c r="BO572" s="75"/>
      <c r="BP572" s="75"/>
      <c r="BQ572" s="75"/>
      <c r="BR572" s="75"/>
      <c r="BS572" s="75"/>
      <c r="BT572" s="75"/>
      <c r="BU572" s="76"/>
      <c r="BV572" s="75"/>
      <c r="BW572" s="75"/>
    </row>
    <row r="573" spans="58:75" ht="15.75" customHeight="1">
      <c r="BF573" s="34"/>
      <c r="BO573" s="75"/>
      <c r="BP573" s="75"/>
      <c r="BQ573" s="75"/>
      <c r="BR573" s="75"/>
      <c r="BS573" s="75"/>
      <c r="BT573" s="75"/>
      <c r="BU573" s="76"/>
      <c r="BV573" s="75"/>
      <c r="BW573" s="75"/>
    </row>
    <row r="574" spans="58:75" ht="15.75" customHeight="1">
      <c r="BF574" s="34"/>
      <c r="BO574" s="75"/>
      <c r="BP574" s="75"/>
      <c r="BQ574" s="75"/>
      <c r="BR574" s="75"/>
      <c r="BS574" s="75"/>
      <c r="BT574" s="75"/>
      <c r="BU574" s="76"/>
      <c r="BV574" s="75"/>
      <c r="BW574" s="75"/>
    </row>
    <row r="575" spans="58:75" ht="15.75" customHeight="1">
      <c r="BF575" s="34"/>
      <c r="BO575" s="75"/>
      <c r="BP575" s="75"/>
      <c r="BQ575" s="75"/>
      <c r="BR575" s="75"/>
      <c r="BS575" s="75"/>
      <c r="BT575" s="75"/>
      <c r="BU575" s="76"/>
      <c r="BV575" s="75"/>
      <c r="BW575" s="75"/>
    </row>
    <row r="576" spans="58:75" ht="15.75" customHeight="1">
      <c r="BF576" s="34"/>
      <c r="BO576" s="75"/>
      <c r="BP576" s="75"/>
      <c r="BQ576" s="75"/>
      <c r="BR576" s="75"/>
      <c r="BS576" s="75"/>
      <c r="BT576" s="75"/>
      <c r="BU576" s="76"/>
      <c r="BV576" s="75"/>
      <c r="BW576" s="75"/>
    </row>
    <row r="577" spans="58:75" ht="15.75" customHeight="1">
      <c r="BF577" s="34"/>
      <c r="BO577" s="75"/>
      <c r="BP577" s="75"/>
      <c r="BQ577" s="75"/>
      <c r="BR577" s="75"/>
      <c r="BS577" s="75"/>
      <c r="BT577" s="75"/>
      <c r="BU577" s="76"/>
      <c r="BV577" s="75"/>
      <c r="BW577" s="75"/>
    </row>
    <row r="578" spans="58:75" ht="15.75" customHeight="1">
      <c r="BF578" s="34"/>
      <c r="BO578" s="75"/>
      <c r="BP578" s="75"/>
      <c r="BQ578" s="75"/>
      <c r="BR578" s="75"/>
      <c r="BS578" s="75"/>
      <c r="BT578" s="75"/>
      <c r="BU578" s="76"/>
      <c r="BV578" s="75"/>
      <c r="BW578" s="75"/>
    </row>
    <row r="579" spans="58:75" ht="15.75" customHeight="1">
      <c r="BF579" s="34"/>
      <c r="BO579" s="75"/>
      <c r="BP579" s="75"/>
      <c r="BQ579" s="75"/>
      <c r="BR579" s="75"/>
      <c r="BS579" s="75"/>
      <c r="BT579" s="75"/>
      <c r="BU579" s="76"/>
      <c r="BV579" s="75"/>
      <c r="BW579" s="75"/>
    </row>
    <row r="580" spans="58:75" ht="15.75" customHeight="1">
      <c r="BF580" s="34"/>
      <c r="BO580" s="75"/>
      <c r="BP580" s="75"/>
      <c r="BQ580" s="75"/>
      <c r="BR580" s="75"/>
      <c r="BS580" s="75"/>
      <c r="BT580" s="75"/>
      <c r="BU580" s="76"/>
      <c r="BV580" s="75"/>
      <c r="BW580" s="75"/>
    </row>
    <row r="581" spans="58:75" ht="15.75" customHeight="1">
      <c r="BF581" s="34"/>
      <c r="BO581" s="75"/>
      <c r="BP581" s="75"/>
      <c r="BQ581" s="75"/>
      <c r="BR581" s="75"/>
      <c r="BS581" s="75"/>
      <c r="BT581" s="75"/>
      <c r="BU581" s="76"/>
      <c r="BV581" s="75"/>
      <c r="BW581" s="75"/>
    </row>
    <row r="582" spans="58:75" ht="15.75" customHeight="1">
      <c r="BF582" s="34"/>
      <c r="BO582" s="75"/>
      <c r="BP582" s="75"/>
      <c r="BQ582" s="75"/>
      <c r="BR582" s="75"/>
      <c r="BS582" s="75"/>
      <c r="BT582" s="75"/>
      <c r="BU582" s="76"/>
      <c r="BV582" s="75"/>
      <c r="BW582" s="75"/>
    </row>
    <row r="583" spans="58:75" ht="15.75" customHeight="1">
      <c r="BF583" s="34"/>
      <c r="BO583" s="75"/>
      <c r="BP583" s="75"/>
      <c r="BQ583" s="75"/>
      <c r="BR583" s="75"/>
      <c r="BS583" s="75"/>
      <c r="BT583" s="75"/>
      <c r="BU583" s="76"/>
      <c r="BV583" s="75"/>
      <c r="BW583" s="75"/>
    </row>
    <row r="584" spans="58:75" ht="15.75" customHeight="1">
      <c r="BF584" s="34"/>
      <c r="BO584" s="75"/>
      <c r="BP584" s="75"/>
      <c r="BQ584" s="75"/>
      <c r="BR584" s="75"/>
      <c r="BS584" s="75"/>
      <c r="BT584" s="75"/>
      <c r="BU584" s="76"/>
      <c r="BV584" s="75"/>
      <c r="BW584" s="75"/>
    </row>
    <row r="585" spans="58:75" ht="15.75" customHeight="1">
      <c r="BF585" s="34"/>
      <c r="BO585" s="75"/>
      <c r="BP585" s="75"/>
      <c r="BQ585" s="75"/>
      <c r="BR585" s="75"/>
      <c r="BS585" s="75"/>
      <c r="BT585" s="75"/>
      <c r="BU585" s="76"/>
      <c r="BV585" s="75"/>
      <c r="BW585" s="75"/>
    </row>
    <row r="586" spans="58:75" ht="15.75" customHeight="1">
      <c r="BF586" s="34"/>
      <c r="BO586" s="75"/>
      <c r="BP586" s="75"/>
      <c r="BQ586" s="75"/>
      <c r="BR586" s="75"/>
      <c r="BS586" s="75"/>
      <c r="BT586" s="75"/>
      <c r="BU586" s="76"/>
      <c r="BV586" s="75"/>
      <c r="BW586" s="75"/>
    </row>
    <row r="587" spans="58:75" ht="15.75" customHeight="1">
      <c r="BF587" s="34"/>
      <c r="BO587" s="75"/>
      <c r="BP587" s="75"/>
      <c r="BQ587" s="75"/>
      <c r="BR587" s="75"/>
      <c r="BS587" s="75"/>
      <c r="BT587" s="75"/>
      <c r="BU587" s="76"/>
      <c r="BV587" s="75"/>
      <c r="BW587" s="75"/>
    </row>
    <row r="588" spans="58:75" ht="15.75" customHeight="1">
      <c r="BF588" s="34"/>
      <c r="BO588" s="75"/>
      <c r="BP588" s="75"/>
      <c r="BQ588" s="75"/>
      <c r="BR588" s="75"/>
      <c r="BS588" s="75"/>
      <c r="BT588" s="75"/>
      <c r="BU588" s="76"/>
      <c r="BV588" s="75"/>
      <c r="BW588" s="75"/>
    </row>
    <row r="589" spans="58:75" ht="15.75" customHeight="1">
      <c r="BF589" s="34"/>
      <c r="BO589" s="75"/>
      <c r="BP589" s="75"/>
      <c r="BQ589" s="75"/>
      <c r="BR589" s="75"/>
      <c r="BS589" s="75"/>
      <c r="BT589" s="75"/>
      <c r="BU589" s="76"/>
      <c r="BV589" s="75"/>
      <c r="BW589" s="75"/>
    </row>
    <row r="590" spans="58:75" ht="15.75" customHeight="1">
      <c r="BF590" s="34"/>
      <c r="BO590" s="75"/>
      <c r="BP590" s="75"/>
      <c r="BQ590" s="75"/>
      <c r="BR590" s="75"/>
      <c r="BS590" s="75"/>
      <c r="BT590" s="75"/>
      <c r="BU590" s="76"/>
      <c r="BV590" s="75"/>
      <c r="BW590" s="75"/>
    </row>
    <row r="591" spans="58:75" ht="15.75" customHeight="1">
      <c r="BF591" s="34"/>
      <c r="BO591" s="75"/>
      <c r="BP591" s="75"/>
      <c r="BQ591" s="75"/>
      <c r="BR591" s="75"/>
      <c r="BS591" s="75"/>
      <c r="BT591" s="75"/>
      <c r="BU591" s="76"/>
      <c r="BV591" s="75"/>
      <c r="BW591" s="75"/>
    </row>
    <row r="592" spans="58:75" ht="15.75" customHeight="1">
      <c r="BF592" s="34"/>
      <c r="BO592" s="75"/>
      <c r="BP592" s="75"/>
      <c r="BQ592" s="75"/>
      <c r="BR592" s="75"/>
      <c r="BS592" s="75"/>
      <c r="BT592" s="75"/>
      <c r="BU592" s="76"/>
      <c r="BV592" s="75"/>
      <c r="BW592" s="75"/>
    </row>
    <row r="593" spans="58:75" ht="15.75" customHeight="1">
      <c r="BF593" s="34"/>
      <c r="BO593" s="75"/>
      <c r="BP593" s="75"/>
      <c r="BQ593" s="75"/>
      <c r="BR593" s="75"/>
      <c r="BS593" s="75"/>
      <c r="BT593" s="75"/>
      <c r="BU593" s="76"/>
      <c r="BV593" s="75"/>
      <c r="BW593" s="75"/>
    </row>
    <row r="594" spans="58:75" ht="15.75" customHeight="1">
      <c r="BF594" s="34"/>
      <c r="BO594" s="75"/>
      <c r="BP594" s="75"/>
      <c r="BQ594" s="75"/>
      <c r="BR594" s="75"/>
      <c r="BS594" s="75"/>
      <c r="BT594" s="75"/>
      <c r="BU594" s="76"/>
      <c r="BV594" s="75"/>
      <c r="BW594" s="75"/>
    </row>
    <row r="595" spans="58:75" ht="15.75" customHeight="1">
      <c r="BF595" s="34"/>
      <c r="BO595" s="75"/>
      <c r="BP595" s="75"/>
      <c r="BQ595" s="75"/>
      <c r="BR595" s="75"/>
      <c r="BS595" s="75"/>
      <c r="BT595" s="75"/>
      <c r="BU595" s="76"/>
      <c r="BV595" s="75"/>
      <c r="BW595" s="75"/>
    </row>
    <row r="596" spans="58:75" ht="15.75" customHeight="1">
      <c r="BF596" s="34"/>
      <c r="BO596" s="75"/>
      <c r="BP596" s="75"/>
      <c r="BQ596" s="75"/>
      <c r="BR596" s="75"/>
      <c r="BS596" s="75"/>
      <c r="BT596" s="75"/>
      <c r="BU596" s="76"/>
      <c r="BV596" s="75"/>
      <c r="BW596" s="75"/>
    </row>
    <row r="597" spans="58:75" ht="15.75" customHeight="1">
      <c r="BF597" s="34"/>
      <c r="BO597" s="75"/>
      <c r="BP597" s="75"/>
      <c r="BQ597" s="75"/>
      <c r="BR597" s="75"/>
      <c r="BS597" s="75"/>
      <c r="BT597" s="75"/>
      <c r="BU597" s="76"/>
      <c r="BV597" s="75"/>
      <c r="BW597" s="75"/>
    </row>
    <row r="598" spans="58:75" ht="15.75" customHeight="1">
      <c r="BF598" s="34"/>
      <c r="BO598" s="75"/>
      <c r="BP598" s="75"/>
      <c r="BQ598" s="75"/>
      <c r="BR598" s="75"/>
      <c r="BS598" s="75"/>
      <c r="BT598" s="75"/>
      <c r="BU598" s="76"/>
      <c r="BV598" s="75"/>
      <c r="BW598" s="75"/>
    </row>
    <row r="599" spans="58:75" ht="15.75" customHeight="1">
      <c r="BF599" s="34"/>
      <c r="BO599" s="75"/>
      <c r="BP599" s="75"/>
      <c r="BQ599" s="75"/>
      <c r="BR599" s="75"/>
      <c r="BS599" s="75"/>
      <c r="BT599" s="75"/>
      <c r="BU599" s="76"/>
      <c r="BV599" s="75"/>
      <c r="BW599" s="75"/>
    </row>
    <row r="600" spans="58:75" ht="15.75" customHeight="1">
      <c r="BF600" s="34"/>
      <c r="BO600" s="75"/>
      <c r="BP600" s="75"/>
      <c r="BQ600" s="75"/>
      <c r="BR600" s="75"/>
      <c r="BS600" s="75"/>
      <c r="BT600" s="75"/>
      <c r="BU600" s="76"/>
      <c r="BV600" s="75"/>
      <c r="BW600" s="75"/>
    </row>
    <row r="601" spans="58:75" ht="15.75" customHeight="1">
      <c r="BF601" s="34"/>
      <c r="BO601" s="75"/>
      <c r="BP601" s="75"/>
      <c r="BQ601" s="75"/>
      <c r="BR601" s="75"/>
      <c r="BS601" s="75"/>
      <c r="BT601" s="75"/>
      <c r="BU601" s="76"/>
      <c r="BV601" s="75"/>
      <c r="BW601" s="75"/>
    </row>
    <row r="602" spans="58:75" ht="15.75" customHeight="1">
      <c r="BF602" s="34"/>
      <c r="BO602" s="75"/>
      <c r="BP602" s="75"/>
      <c r="BQ602" s="75"/>
      <c r="BR602" s="75"/>
      <c r="BS602" s="75"/>
      <c r="BT602" s="75"/>
      <c r="BU602" s="76"/>
      <c r="BV602" s="75"/>
      <c r="BW602" s="75"/>
    </row>
    <row r="603" spans="58:75" ht="15.75" customHeight="1">
      <c r="BF603" s="34"/>
      <c r="BO603" s="75"/>
      <c r="BP603" s="75"/>
      <c r="BQ603" s="75"/>
      <c r="BR603" s="75"/>
      <c r="BS603" s="75"/>
      <c r="BT603" s="75"/>
      <c r="BU603" s="76"/>
      <c r="BV603" s="75"/>
      <c r="BW603" s="75"/>
    </row>
    <row r="604" spans="58:75" ht="15.75" customHeight="1">
      <c r="BF604" s="34"/>
      <c r="BO604" s="75"/>
      <c r="BP604" s="75"/>
      <c r="BQ604" s="75"/>
      <c r="BR604" s="75"/>
      <c r="BS604" s="75"/>
      <c r="BT604" s="75"/>
      <c r="BU604" s="76"/>
      <c r="BV604" s="75"/>
      <c r="BW604" s="75"/>
    </row>
    <row r="605" spans="58:75" ht="15.75" customHeight="1">
      <c r="BF605" s="34"/>
      <c r="BO605" s="75"/>
      <c r="BP605" s="75"/>
      <c r="BQ605" s="75"/>
      <c r="BR605" s="75"/>
      <c r="BS605" s="75"/>
      <c r="BT605" s="75"/>
      <c r="BU605" s="76"/>
      <c r="BV605" s="75"/>
      <c r="BW605" s="75"/>
    </row>
    <row r="606" spans="58:75" ht="15.75" customHeight="1">
      <c r="BF606" s="34"/>
      <c r="BO606" s="75"/>
      <c r="BP606" s="75"/>
      <c r="BQ606" s="75"/>
      <c r="BR606" s="75"/>
      <c r="BS606" s="75"/>
      <c r="BT606" s="75"/>
      <c r="BU606" s="76"/>
      <c r="BV606" s="75"/>
      <c r="BW606" s="75"/>
    </row>
    <row r="607" spans="58:75" ht="15.75" customHeight="1">
      <c r="BF607" s="34"/>
      <c r="BO607" s="75"/>
      <c r="BP607" s="75"/>
      <c r="BQ607" s="75"/>
      <c r="BR607" s="75"/>
      <c r="BS607" s="75"/>
      <c r="BT607" s="75"/>
      <c r="BU607" s="76"/>
      <c r="BV607" s="75"/>
      <c r="BW607" s="75"/>
    </row>
    <row r="608" spans="58:75" ht="15.75" customHeight="1">
      <c r="BF608" s="34"/>
      <c r="BO608" s="75"/>
      <c r="BP608" s="75"/>
      <c r="BQ608" s="75"/>
      <c r="BR608" s="75"/>
      <c r="BS608" s="75"/>
      <c r="BT608" s="75"/>
      <c r="BU608" s="76"/>
      <c r="BV608" s="75"/>
      <c r="BW608" s="75"/>
    </row>
    <row r="609" spans="58:75" ht="15.75" customHeight="1">
      <c r="BF609" s="34"/>
      <c r="BO609" s="75"/>
      <c r="BP609" s="75"/>
      <c r="BQ609" s="75"/>
      <c r="BR609" s="75"/>
      <c r="BS609" s="75"/>
      <c r="BT609" s="75"/>
      <c r="BU609" s="76"/>
      <c r="BV609" s="75"/>
      <c r="BW609" s="75"/>
    </row>
    <row r="610" spans="58:75" ht="15.75" customHeight="1">
      <c r="BF610" s="34"/>
      <c r="BO610" s="75"/>
      <c r="BP610" s="75"/>
      <c r="BQ610" s="75"/>
      <c r="BR610" s="75"/>
      <c r="BS610" s="75"/>
      <c r="BT610" s="75"/>
      <c r="BU610" s="76"/>
      <c r="BV610" s="75"/>
      <c r="BW610" s="75"/>
    </row>
    <row r="611" spans="58:75" ht="15.75" customHeight="1">
      <c r="BF611" s="34"/>
      <c r="BO611" s="75"/>
      <c r="BP611" s="75"/>
      <c r="BQ611" s="75"/>
      <c r="BR611" s="75"/>
      <c r="BS611" s="75"/>
      <c r="BT611" s="75"/>
      <c r="BU611" s="76"/>
      <c r="BV611" s="75"/>
      <c r="BW611" s="75"/>
    </row>
    <row r="612" spans="58:75" ht="15.75" customHeight="1">
      <c r="BF612" s="34"/>
      <c r="BO612" s="75"/>
      <c r="BP612" s="75"/>
      <c r="BQ612" s="75"/>
      <c r="BR612" s="75"/>
      <c r="BS612" s="75"/>
      <c r="BT612" s="75"/>
      <c r="BU612" s="76"/>
      <c r="BV612" s="75"/>
      <c r="BW612" s="75"/>
    </row>
    <row r="613" spans="58:75" ht="15.75" customHeight="1">
      <c r="BF613" s="34"/>
      <c r="BO613" s="75"/>
      <c r="BP613" s="75"/>
      <c r="BQ613" s="75"/>
      <c r="BR613" s="75"/>
      <c r="BS613" s="75"/>
      <c r="BT613" s="75"/>
      <c r="BU613" s="76"/>
      <c r="BV613" s="75"/>
      <c r="BW613" s="75"/>
    </row>
    <row r="614" spans="58:75" ht="15.75" customHeight="1">
      <c r="BF614" s="34"/>
      <c r="BO614" s="75"/>
      <c r="BP614" s="75"/>
      <c r="BQ614" s="75"/>
      <c r="BR614" s="75"/>
      <c r="BS614" s="75"/>
      <c r="BT614" s="75"/>
      <c r="BU614" s="76"/>
      <c r="BV614" s="75"/>
      <c r="BW614" s="75"/>
    </row>
    <row r="615" spans="58:75" ht="15.75" customHeight="1">
      <c r="BF615" s="34"/>
      <c r="BO615" s="75"/>
      <c r="BP615" s="75"/>
      <c r="BQ615" s="75"/>
      <c r="BR615" s="75"/>
      <c r="BS615" s="75"/>
      <c r="BT615" s="75"/>
      <c r="BU615" s="76"/>
      <c r="BV615" s="75"/>
      <c r="BW615" s="75"/>
    </row>
    <row r="616" spans="58:75" ht="15.75" customHeight="1">
      <c r="BF616" s="34"/>
      <c r="BO616" s="75"/>
      <c r="BP616" s="75"/>
      <c r="BQ616" s="75"/>
      <c r="BR616" s="75"/>
      <c r="BS616" s="75"/>
      <c r="BT616" s="75"/>
      <c r="BU616" s="76"/>
      <c r="BV616" s="75"/>
      <c r="BW616" s="75"/>
    </row>
    <row r="617" spans="58:75" ht="15.75" customHeight="1">
      <c r="BF617" s="34"/>
      <c r="BO617" s="75"/>
      <c r="BP617" s="75"/>
      <c r="BQ617" s="75"/>
      <c r="BR617" s="75"/>
      <c r="BS617" s="75"/>
      <c r="BT617" s="75"/>
      <c r="BU617" s="76"/>
      <c r="BV617" s="75"/>
      <c r="BW617" s="75"/>
    </row>
    <row r="618" spans="58:75" ht="15.75" customHeight="1">
      <c r="BF618" s="34"/>
      <c r="BO618" s="75"/>
      <c r="BP618" s="75"/>
      <c r="BQ618" s="75"/>
      <c r="BR618" s="75"/>
      <c r="BS618" s="75"/>
      <c r="BT618" s="75"/>
      <c r="BU618" s="76"/>
      <c r="BV618" s="75"/>
      <c r="BW618" s="75"/>
    </row>
    <row r="619" spans="58:75" ht="15.75" customHeight="1">
      <c r="BF619" s="34"/>
      <c r="BO619" s="75"/>
      <c r="BP619" s="75"/>
      <c r="BQ619" s="75"/>
      <c r="BR619" s="75"/>
      <c r="BS619" s="75"/>
      <c r="BT619" s="75"/>
      <c r="BU619" s="76"/>
      <c r="BV619" s="75"/>
      <c r="BW619" s="75"/>
    </row>
    <row r="620" spans="58:75" ht="15.75" customHeight="1">
      <c r="BF620" s="34"/>
      <c r="BO620" s="75"/>
      <c r="BP620" s="75"/>
      <c r="BQ620" s="75"/>
      <c r="BR620" s="75"/>
      <c r="BS620" s="75"/>
      <c r="BT620" s="75"/>
      <c r="BU620" s="76"/>
      <c r="BV620" s="75"/>
      <c r="BW620" s="75"/>
    </row>
    <row r="621" spans="58:75" ht="15.75" customHeight="1">
      <c r="BF621" s="34"/>
      <c r="BO621" s="75"/>
      <c r="BP621" s="75"/>
      <c r="BQ621" s="75"/>
      <c r="BR621" s="75"/>
      <c r="BS621" s="75"/>
      <c r="BT621" s="75"/>
      <c r="BU621" s="76"/>
      <c r="BV621" s="75"/>
      <c r="BW621" s="75"/>
    </row>
    <row r="622" spans="58:75" ht="15.75" customHeight="1">
      <c r="BF622" s="34"/>
      <c r="BO622" s="75"/>
      <c r="BP622" s="75"/>
      <c r="BQ622" s="75"/>
      <c r="BR622" s="75"/>
      <c r="BS622" s="75"/>
      <c r="BT622" s="75"/>
      <c r="BU622" s="76"/>
      <c r="BV622" s="75"/>
      <c r="BW622" s="75"/>
    </row>
    <row r="623" spans="58:75" ht="15.75" customHeight="1">
      <c r="BF623" s="34"/>
      <c r="BO623" s="75"/>
      <c r="BP623" s="75"/>
      <c r="BQ623" s="75"/>
      <c r="BR623" s="75"/>
      <c r="BS623" s="75"/>
      <c r="BT623" s="75"/>
      <c r="BU623" s="76"/>
      <c r="BV623" s="75"/>
      <c r="BW623" s="75"/>
    </row>
    <row r="624" spans="58:75" ht="15.75" customHeight="1">
      <c r="BF624" s="34"/>
      <c r="BO624" s="75"/>
      <c r="BP624" s="75"/>
      <c r="BQ624" s="75"/>
      <c r="BR624" s="75"/>
      <c r="BS624" s="75"/>
      <c r="BT624" s="75"/>
      <c r="BU624" s="76"/>
      <c r="BV624" s="75"/>
      <c r="BW624" s="75"/>
    </row>
    <row r="625" spans="58:75" ht="15.75" customHeight="1">
      <c r="BF625" s="34"/>
      <c r="BO625" s="75"/>
      <c r="BP625" s="75"/>
      <c r="BQ625" s="75"/>
      <c r="BR625" s="75"/>
      <c r="BS625" s="75"/>
      <c r="BT625" s="75"/>
      <c r="BU625" s="76"/>
      <c r="BV625" s="75"/>
      <c r="BW625" s="75"/>
    </row>
    <row r="626" spans="58:75" ht="15.75" customHeight="1">
      <c r="BF626" s="34"/>
      <c r="BO626" s="75"/>
      <c r="BP626" s="75"/>
      <c r="BQ626" s="75"/>
      <c r="BR626" s="75"/>
      <c r="BS626" s="75"/>
      <c r="BT626" s="75"/>
      <c r="BU626" s="76"/>
      <c r="BV626" s="75"/>
      <c r="BW626" s="75"/>
    </row>
    <row r="627" spans="58:75" ht="15.75" customHeight="1">
      <c r="BF627" s="34"/>
      <c r="BO627" s="75"/>
      <c r="BP627" s="75"/>
      <c r="BQ627" s="75"/>
      <c r="BR627" s="75"/>
      <c r="BS627" s="75"/>
      <c r="BT627" s="75"/>
      <c r="BU627" s="76"/>
      <c r="BV627" s="75"/>
      <c r="BW627" s="75"/>
    </row>
    <row r="628" spans="58:75" ht="15.75" customHeight="1">
      <c r="BF628" s="34"/>
      <c r="BO628" s="75"/>
      <c r="BP628" s="75"/>
      <c r="BQ628" s="75"/>
      <c r="BR628" s="75"/>
      <c r="BS628" s="75"/>
      <c r="BT628" s="75"/>
      <c r="BU628" s="76"/>
      <c r="BV628" s="75"/>
      <c r="BW628" s="75"/>
    </row>
    <row r="629" spans="58:75" ht="15.75" customHeight="1">
      <c r="BF629" s="34"/>
      <c r="BO629" s="75"/>
      <c r="BP629" s="75"/>
      <c r="BQ629" s="75"/>
      <c r="BR629" s="75"/>
      <c r="BS629" s="75"/>
      <c r="BT629" s="75"/>
      <c r="BU629" s="76"/>
      <c r="BV629" s="75"/>
      <c r="BW629" s="75"/>
    </row>
    <row r="630" spans="58:75" ht="15.75" customHeight="1">
      <c r="BF630" s="34"/>
      <c r="BO630" s="75"/>
      <c r="BP630" s="75"/>
      <c r="BQ630" s="75"/>
      <c r="BR630" s="75"/>
      <c r="BS630" s="75"/>
      <c r="BT630" s="75"/>
      <c r="BU630" s="76"/>
      <c r="BV630" s="75"/>
      <c r="BW630" s="75"/>
    </row>
    <row r="631" spans="58:75" ht="15.75" customHeight="1">
      <c r="BF631" s="34"/>
      <c r="BO631" s="75"/>
      <c r="BP631" s="75"/>
      <c r="BQ631" s="75"/>
      <c r="BR631" s="75"/>
      <c r="BS631" s="75"/>
      <c r="BT631" s="75"/>
      <c r="BU631" s="76"/>
      <c r="BV631" s="75"/>
      <c r="BW631" s="75"/>
    </row>
    <row r="632" spans="58:75" ht="15.75" customHeight="1">
      <c r="BF632" s="34"/>
      <c r="BO632" s="75"/>
      <c r="BP632" s="75"/>
      <c r="BQ632" s="75"/>
      <c r="BR632" s="75"/>
      <c r="BS632" s="75"/>
      <c r="BT632" s="75"/>
      <c r="BU632" s="76"/>
      <c r="BV632" s="75"/>
      <c r="BW632" s="75"/>
    </row>
    <row r="633" spans="58:75" ht="15.75" customHeight="1">
      <c r="BF633" s="34"/>
      <c r="BO633" s="75"/>
      <c r="BP633" s="75"/>
      <c r="BQ633" s="75"/>
      <c r="BR633" s="75"/>
      <c r="BS633" s="75"/>
      <c r="BT633" s="75"/>
      <c r="BU633" s="76"/>
      <c r="BV633" s="75"/>
      <c r="BW633" s="75"/>
    </row>
    <row r="634" spans="58:75" ht="15.75" customHeight="1">
      <c r="BF634" s="34"/>
      <c r="BO634" s="75"/>
      <c r="BP634" s="75"/>
      <c r="BQ634" s="75"/>
      <c r="BR634" s="75"/>
      <c r="BS634" s="75"/>
      <c r="BT634" s="75"/>
      <c r="BU634" s="76"/>
      <c r="BV634" s="75"/>
      <c r="BW634" s="75"/>
    </row>
    <row r="635" spans="58:75" ht="15.75" customHeight="1">
      <c r="BF635" s="34"/>
      <c r="BO635" s="75"/>
      <c r="BP635" s="75"/>
      <c r="BQ635" s="75"/>
      <c r="BR635" s="75"/>
      <c r="BS635" s="75"/>
      <c r="BT635" s="75"/>
      <c r="BU635" s="76"/>
      <c r="BV635" s="75"/>
      <c r="BW635" s="75"/>
    </row>
    <row r="636" spans="58:75" ht="15.75" customHeight="1">
      <c r="BF636" s="34"/>
      <c r="BO636" s="75"/>
      <c r="BP636" s="75"/>
      <c r="BQ636" s="75"/>
      <c r="BR636" s="75"/>
      <c r="BS636" s="75"/>
      <c r="BT636" s="75"/>
      <c r="BU636" s="76"/>
      <c r="BV636" s="75"/>
      <c r="BW636" s="75"/>
    </row>
    <row r="637" spans="58:75" ht="15.75" customHeight="1">
      <c r="BF637" s="34"/>
      <c r="BO637" s="75"/>
      <c r="BP637" s="75"/>
      <c r="BQ637" s="75"/>
      <c r="BR637" s="75"/>
      <c r="BS637" s="75"/>
      <c r="BT637" s="75"/>
      <c r="BU637" s="76"/>
      <c r="BV637" s="75"/>
      <c r="BW637" s="75"/>
    </row>
    <row r="638" spans="58:75" ht="15.75" customHeight="1">
      <c r="BF638" s="34"/>
      <c r="BO638" s="75"/>
      <c r="BP638" s="75"/>
      <c r="BQ638" s="75"/>
      <c r="BR638" s="75"/>
      <c r="BS638" s="75"/>
      <c r="BT638" s="75"/>
      <c r="BU638" s="76"/>
      <c r="BV638" s="75"/>
      <c r="BW638" s="75"/>
    </row>
    <row r="639" spans="58:75" ht="15.75" customHeight="1">
      <c r="BF639" s="34"/>
      <c r="BO639" s="75"/>
      <c r="BP639" s="75"/>
      <c r="BQ639" s="75"/>
      <c r="BR639" s="75"/>
      <c r="BS639" s="75"/>
      <c r="BT639" s="75"/>
      <c r="BU639" s="76"/>
      <c r="BV639" s="75"/>
      <c r="BW639" s="75"/>
    </row>
    <row r="640" spans="58:75" ht="15.75" customHeight="1">
      <c r="BF640" s="34"/>
      <c r="BO640" s="75"/>
      <c r="BP640" s="75"/>
      <c r="BQ640" s="75"/>
      <c r="BR640" s="75"/>
      <c r="BS640" s="75"/>
      <c r="BT640" s="75"/>
      <c r="BU640" s="76"/>
      <c r="BV640" s="75"/>
      <c r="BW640" s="75"/>
    </row>
    <row r="641" spans="58:75" ht="15.75" customHeight="1">
      <c r="BF641" s="34"/>
      <c r="BO641" s="75"/>
      <c r="BP641" s="75"/>
      <c r="BQ641" s="75"/>
      <c r="BR641" s="75"/>
      <c r="BS641" s="75"/>
      <c r="BT641" s="75"/>
      <c r="BU641" s="76"/>
      <c r="BV641" s="75"/>
      <c r="BW641" s="75"/>
    </row>
    <row r="642" spans="58:75" ht="15.75" customHeight="1">
      <c r="BF642" s="34"/>
      <c r="BO642" s="75"/>
      <c r="BP642" s="75"/>
      <c r="BQ642" s="75"/>
      <c r="BR642" s="75"/>
      <c r="BS642" s="75"/>
      <c r="BT642" s="75"/>
      <c r="BU642" s="76"/>
      <c r="BV642" s="75"/>
      <c r="BW642" s="75"/>
    </row>
    <row r="643" spans="58:75" ht="15.75" customHeight="1">
      <c r="BF643" s="34"/>
      <c r="BO643" s="75"/>
      <c r="BP643" s="75"/>
      <c r="BQ643" s="75"/>
      <c r="BR643" s="75"/>
      <c r="BS643" s="75"/>
      <c r="BT643" s="75"/>
      <c r="BU643" s="76"/>
      <c r="BV643" s="75"/>
      <c r="BW643" s="75"/>
    </row>
    <row r="644" spans="58:75" ht="15.75" customHeight="1">
      <c r="BF644" s="34"/>
      <c r="BO644" s="75"/>
      <c r="BP644" s="75"/>
      <c r="BQ644" s="75"/>
      <c r="BR644" s="75"/>
      <c r="BS644" s="75"/>
      <c r="BT644" s="75"/>
      <c r="BU644" s="76"/>
      <c r="BV644" s="75"/>
      <c r="BW644" s="75"/>
    </row>
    <row r="645" spans="58:75" ht="15.75" customHeight="1">
      <c r="BF645" s="34"/>
      <c r="BO645" s="75"/>
      <c r="BP645" s="75"/>
      <c r="BQ645" s="75"/>
      <c r="BR645" s="75"/>
      <c r="BS645" s="75"/>
      <c r="BT645" s="75"/>
      <c r="BU645" s="76"/>
      <c r="BV645" s="75"/>
      <c r="BW645" s="75"/>
    </row>
    <row r="646" spans="58:75" ht="15.75" customHeight="1">
      <c r="BF646" s="34"/>
      <c r="BO646" s="75"/>
      <c r="BP646" s="75"/>
      <c r="BQ646" s="75"/>
      <c r="BR646" s="75"/>
      <c r="BS646" s="75"/>
      <c r="BT646" s="75"/>
      <c r="BU646" s="76"/>
      <c r="BV646" s="75"/>
      <c r="BW646" s="75"/>
    </row>
    <row r="647" spans="58:75" ht="15.75" customHeight="1">
      <c r="BF647" s="34"/>
      <c r="BO647" s="75"/>
      <c r="BP647" s="75"/>
      <c r="BQ647" s="75"/>
      <c r="BR647" s="75"/>
      <c r="BS647" s="75"/>
      <c r="BT647" s="75"/>
      <c r="BU647" s="76"/>
      <c r="BV647" s="75"/>
      <c r="BW647" s="75"/>
    </row>
    <row r="648" spans="58:75" ht="15.75" customHeight="1">
      <c r="BF648" s="34"/>
      <c r="BO648" s="75"/>
      <c r="BP648" s="75"/>
      <c r="BQ648" s="75"/>
      <c r="BR648" s="75"/>
      <c r="BS648" s="75"/>
      <c r="BT648" s="75"/>
      <c r="BU648" s="76"/>
      <c r="BV648" s="75"/>
      <c r="BW648" s="75"/>
    </row>
    <row r="649" spans="58:75" ht="15.75" customHeight="1">
      <c r="BF649" s="34"/>
      <c r="BO649" s="75"/>
      <c r="BP649" s="75"/>
      <c r="BQ649" s="75"/>
      <c r="BR649" s="75"/>
      <c r="BS649" s="75"/>
      <c r="BT649" s="75"/>
      <c r="BU649" s="76"/>
      <c r="BV649" s="75"/>
      <c r="BW649" s="75"/>
    </row>
    <row r="650" spans="58:75" ht="15.75" customHeight="1">
      <c r="BF650" s="34"/>
      <c r="BO650" s="75"/>
      <c r="BP650" s="75"/>
      <c r="BQ650" s="75"/>
      <c r="BR650" s="75"/>
      <c r="BS650" s="75"/>
      <c r="BT650" s="75"/>
      <c r="BU650" s="76"/>
      <c r="BV650" s="75"/>
      <c r="BW650" s="75"/>
    </row>
    <row r="651" spans="58:75" ht="15.75" customHeight="1">
      <c r="BF651" s="34"/>
      <c r="BO651" s="75"/>
      <c r="BP651" s="75"/>
      <c r="BQ651" s="75"/>
      <c r="BR651" s="75"/>
      <c r="BS651" s="75"/>
      <c r="BT651" s="75"/>
      <c r="BU651" s="76"/>
      <c r="BV651" s="75"/>
      <c r="BW651" s="75"/>
    </row>
    <row r="652" spans="58:75" ht="15.75" customHeight="1">
      <c r="BF652" s="34"/>
      <c r="BO652" s="75"/>
      <c r="BP652" s="75"/>
      <c r="BQ652" s="75"/>
      <c r="BR652" s="75"/>
      <c r="BS652" s="75"/>
      <c r="BT652" s="75"/>
      <c r="BU652" s="76"/>
      <c r="BV652" s="75"/>
      <c r="BW652" s="75"/>
    </row>
    <row r="653" spans="58:75" ht="15.75" customHeight="1">
      <c r="BF653" s="34"/>
      <c r="BO653" s="75"/>
      <c r="BP653" s="75"/>
      <c r="BQ653" s="75"/>
      <c r="BR653" s="75"/>
      <c r="BS653" s="75"/>
      <c r="BT653" s="75"/>
      <c r="BU653" s="76"/>
      <c r="BV653" s="75"/>
      <c r="BW653" s="75"/>
    </row>
    <row r="654" spans="58:75" ht="15.75" customHeight="1">
      <c r="BF654" s="34"/>
      <c r="BO654" s="75"/>
      <c r="BP654" s="75"/>
      <c r="BQ654" s="75"/>
      <c r="BR654" s="75"/>
      <c r="BS654" s="75"/>
      <c r="BT654" s="75"/>
      <c r="BU654" s="76"/>
      <c r="BV654" s="75"/>
      <c r="BW654" s="75"/>
    </row>
    <row r="655" spans="58:75" ht="15.75" customHeight="1">
      <c r="BF655" s="34"/>
      <c r="BO655" s="75"/>
      <c r="BP655" s="75"/>
      <c r="BQ655" s="75"/>
      <c r="BR655" s="75"/>
      <c r="BS655" s="75"/>
      <c r="BT655" s="75"/>
      <c r="BU655" s="76"/>
      <c r="BV655" s="75"/>
      <c r="BW655" s="75"/>
    </row>
    <row r="656" spans="58:75" ht="15.75" customHeight="1">
      <c r="BF656" s="34"/>
      <c r="BO656" s="75"/>
      <c r="BP656" s="75"/>
      <c r="BQ656" s="75"/>
      <c r="BR656" s="75"/>
      <c r="BS656" s="75"/>
      <c r="BT656" s="75"/>
      <c r="BU656" s="76"/>
      <c r="BV656" s="75"/>
      <c r="BW656" s="75"/>
    </row>
    <row r="657" spans="58:75" ht="15.75" customHeight="1">
      <c r="BF657" s="34"/>
      <c r="BO657" s="75"/>
      <c r="BP657" s="75"/>
      <c r="BQ657" s="75"/>
      <c r="BR657" s="75"/>
      <c r="BS657" s="75"/>
      <c r="BT657" s="75"/>
      <c r="BU657" s="76"/>
      <c r="BV657" s="75"/>
      <c r="BW657" s="75"/>
    </row>
    <row r="658" spans="58:75" ht="15.75" customHeight="1">
      <c r="BF658" s="34"/>
      <c r="BO658" s="75"/>
      <c r="BP658" s="75"/>
      <c r="BQ658" s="75"/>
      <c r="BR658" s="75"/>
      <c r="BS658" s="75"/>
      <c r="BT658" s="75"/>
      <c r="BU658" s="76"/>
      <c r="BV658" s="75"/>
      <c r="BW658" s="75"/>
    </row>
    <row r="659" spans="58:75" ht="15.75" customHeight="1">
      <c r="BF659" s="34"/>
      <c r="BO659" s="75"/>
      <c r="BP659" s="75"/>
      <c r="BQ659" s="75"/>
      <c r="BR659" s="75"/>
      <c r="BS659" s="75"/>
      <c r="BT659" s="75"/>
      <c r="BU659" s="76"/>
      <c r="BV659" s="75"/>
      <c r="BW659" s="75"/>
    </row>
    <row r="660" spans="58:75" ht="15.75" customHeight="1">
      <c r="BF660" s="34"/>
      <c r="BO660" s="75"/>
      <c r="BP660" s="75"/>
      <c r="BQ660" s="75"/>
      <c r="BR660" s="75"/>
      <c r="BS660" s="75"/>
      <c r="BT660" s="75"/>
      <c r="BU660" s="76"/>
      <c r="BV660" s="75"/>
      <c r="BW660" s="75"/>
    </row>
    <row r="661" spans="58:75" ht="15.75" customHeight="1">
      <c r="BF661" s="34"/>
      <c r="BO661" s="75"/>
      <c r="BP661" s="75"/>
      <c r="BQ661" s="75"/>
      <c r="BR661" s="75"/>
      <c r="BS661" s="75"/>
      <c r="BT661" s="75"/>
      <c r="BU661" s="76"/>
      <c r="BV661" s="75"/>
      <c r="BW661" s="75"/>
    </row>
    <row r="662" spans="58:75" ht="15.75" customHeight="1">
      <c r="BF662" s="34"/>
      <c r="BO662" s="75"/>
      <c r="BP662" s="75"/>
      <c r="BQ662" s="75"/>
      <c r="BR662" s="75"/>
      <c r="BS662" s="75"/>
      <c r="BT662" s="75"/>
      <c r="BU662" s="76"/>
      <c r="BV662" s="75"/>
      <c r="BW662" s="75"/>
    </row>
    <row r="663" spans="58:75" ht="15.75" customHeight="1">
      <c r="BF663" s="34"/>
      <c r="BO663" s="75"/>
      <c r="BP663" s="75"/>
      <c r="BQ663" s="75"/>
      <c r="BR663" s="75"/>
      <c r="BS663" s="75"/>
      <c r="BT663" s="75"/>
      <c r="BU663" s="76"/>
      <c r="BV663" s="75"/>
      <c r="BW663" s="75"/>
    </row>
    <row r="664" spans="58:75" ht="15.75" customHeight="1">
      <c r="BF664" s="34"/>
      <c r="BO664" s="75"/>
      <c r="BP664" s="75"/>
      <c r="BQ664" s="75"/>
      <c r="BR664" s="75"/>
      <c r="BS664" s="75"/>
      <c r="BT664" s="75"/>
      <c r="BU664" s="76"/>
      <c r="BV664" s="75"/>
      <c r="BW664" s="75"/>
    </row>
    <row r="665" spans="58:75" ht="15.75" customHeight="1">
      <c r="BF665" s="34"/>
      <c r="BO665" s="75"/>
      <c r="BP665" s="75"/>
      <c r="BQ665" s="75"/>
      <c r="BR665" s="75"/>
      <c r="BS665" s="75"/>
      <c r="BT665" s="75"/>
      <c r="BU665" s="76"/>
      <c r="BV665" s="75"/>
      <c r="BW665" s="75"/>
    </row>
    <row r="666" spans="58:75" ht="15.75" customHeight="1">
      <c r="BF666" s="34"/>
      <c r="BO666" s="75"/>
      <c r="BP666" s="75"/>
      <c r="BQ666" s="75"/>
      <c r="BR666" s="75"/>
      <c r="BS666" s="75"/>
      <c r="BT666" s="75"/>
      <c r="BU666" s="76"/>
      <c r="BV666" s="75"/>
      <c r="BW666" s="75"/>
    </row>
    <row r="667" spans="58:75" ht="15.75" customHeight="1">
      <c r="BF667" s="34"/>
      <c r="BO667" s="75"/>
      <c r="BP667" s="75"/>
      <c r="BQ667" s="75"/>
      <c r="BR667" s="75"/>
      <c r="BS667" s="75"/>
      <c r="BT667" s="75"/>
      <c r="BU667" s="76"/>
      <c r="BV667" s="75"/>
      <c r="BW667" s="75"/>
    </row>
    <row r="668" spans="58:75" ht="15.75" customHeight="1">
      <c r="BF668" s="34"/>
      <c r="BO668" s="75"/>
      <c r="BP668" s="75"/>
      <c r="BQ668" s="75"/>
      <c r="BR668" s="75"/>
      <c r="BS668" s="75"/>
      <c r="BT668" s="75"/>
      <c r="BU668" s="76"/>
      <c r="BV668" s="75"/>
      <c r="BW668" s="75"/>
    </row>
    <row r="669" spans="58:75" ht="15.75" customHeight="1">
      <c r="BF669" s="34"/>
      <c r="BO669" s="75"/>
      <c r="BP669" s="75"/>
      <c r="BQ669" s="75"/>
      <c r="BR669" s="75"/>
      <c r="BS669" s="75"/>
      <c r="BT669" s="75"/>
      <c r="BU669" s="76"/>
      <c r="BV669" s="75"/>
      <c r="BW669" s="75"/>
    </row>
    <row r="670" spans="58:75" ht="15.75" customHeight="1">
      <c r="BF670" s="34"/>
      <c r="BO670" s="75"/>
      <c r="BP670" s="75"/>
      <c r="BQ670" s="75"/>
      <c r="BR670" s="75"/>
      <c r="BS670" s="75"/>
      <c r="BT670" s="75"/>
      <c r="BU670" s="76"/>
      <c r="BV670" s="75"/>
      <c r="BW670" s="75"/>
    </row>
    <row r="671" spans="58:75" ht="15.75" customHeight="1">
      <c r="BF671" s="34"/>
      <c r="BO671" s="75"/>
      <c r="BP671" s="75"/>
      <c r="BQ671" s="75"/>
      <c r="BR671" s="75"/>
      <c r="BS671" s="75"/>
      <c r="BT671" s="75"/>
      <c r="BU671" s="76"/>
      <c r="BV671" s="75"/>
      <c r="BW671" s="75"/>
    </row>
    <row r="672" spans="58:75" ht="15.75" customHeight="1">
      <c r="BF672" s="34"/>
      <c r="BO672" s="75"/>
      <c r="BP672" s="75"/>
      <c r="BQ672" s="75"/>
      <c r="BR672" s="75"/>
      <c r="BS672" s="75"/>
      <c r="BT672" s="75"/>
      <c r="BU672" s="76"/>
      <c r="BV672" s="75"/>
      <c r="BW672" s="75"/>
    </row>
    <row r="673" spans="58:75" ht="15.75" customHeight="1">
      <c r="BF673" s="34"/>
      <c r="BO673" s="75"/>
      <c r="BP673" s="75"/>
      <c r="BQ673" s="75"/>
      <c r="BR673" s="75"/>
      <c r="BS673" s="75"/>
      <c r="BT673" s="75"/>
      <c r="BU673" s="76"/>
      <c r="BV673" s="75"/>
      <c r="BW673" s="75"/>
    </row>
    <row r="674" spans="58:75" ht="15.75" customHeight="1">
      <c r="BF674" s="34"/>
      <c r="BO674" s="75"/>
      <c r="BP674" s="75"/>
      <c r="BQ674" s="75"/>
      <c r="BR674" s="75"/>
      <c r="BS674" s="75"/>
      <c r="BT674" s="75"/>
      <c r="BU674" s="76"/>
      <c r="BV674" s="75"/>
      <c r="BW674" s="75"/>
    </row>
    <row r="675" spans="58:75" ht="15.75" customHeight="1">
      <c r="BF675" s="34"/>
      <c r="BO675" s="75"/>
      <c r="BP675" s="75"/>
      <c r="BQ675" s="75"/>
      <c r="BR675" s="75"/>
      <c r="BS675" s="75"/>
      <c r="BT675" s="75"/>
      <c r="BU675" s="76"/>
      <c r="BV675" s="75"/>
      <c r="BW675" s="75"/>
    </row>
    <row r="676" spans="58:75" ht="15.75" customHeight="1">
      <c r="BF676" s="34"/>
      <c r="BO676" s="75"/>
      <c r="BP676" s="75"/>
      <c r="BQ676" s="75"/>
      <c r="BR676" s="75"/>
      <c r="BS676" s="75"/>
      <c r="BT676" s="75"/>
      <c r="BU676" s="76"/>
      <c r="BV676" s="75"/>
      <c r="BW676" s="75"/>
    </row>
    <row r="677" spans="58:75" ht="15.75" customHeight="1">
      <c r="BF677" s="34"/>
      <c r="BO677" s="75"/>
      <c r="BP677" s="75"/>
      <c r="BQ677" s="75"/>
      <c r="BR677" s="75"/>
      <c r="BS677" s="75"/>
      <c r="BT677" s="75"/>
      <c r="BU677" s="76"/>
      <c r="BV677" s="75"/>
      <c r="BW677" s="75"/>
    </row>
    <row r="678" spans="58:75" ht="15.75" customHeight="1">
      <c r="BF678" s="34"/>
      <c r="BO678" s="75"/>
      <c r="BP678" s="75"/>
      <c r="BQ678" s="75"/>
      <c r="BR678" s="75"/>
      <c r="BS678" s="75"/>
      <c r="BT678" s="75"/>
      <c r="BU678" s="76"/>
      <c r="BV678" s="75"/>
      <c r="BW678" s="75"/>
    </row>
    <row r="679" spans="58:75" ht="15.75" customHeight="1">
      <c r="BF679" s="34"/>
      <c r="BO679" s="75"/>
      <c r="BP679" s="75"/>
      <c r="BQ679" s="75"/>
      <c r="BR679" s="75"/>
      <c r="BS679" s="75"/>
      <c r="BT679" s="75"/>
      <c r="BU679" s="76"/>
      <c r="BV679" s="75"/>
      <c r="BW679" s="75"/>
    </row>
    <row r="680" spans="58:75" ht="15.75" customHeight="1">
      <c r="BF680" s="34"/>
      <c r="BO680" s="75"/>
      <c r="BP680" s="75"/>
      <c r="BQ680" s="75"/>
      <c r="BR680" s="75"/>
      <c r="BS680" s="75"/>
      <c r="BT680" s="75"/>
      <c r="BU680" s="76"/>
      <c r="BV680" s="75"/>
      <c r="BW680" s="75"/>
    </row>
    <row r="681" spans="58:75" ht="15.75" customHeight="1">
      <c r="BF681" s="34"/>
      <c r="BO681" s="75"/>
      <c r="BP681" s="75"/>
      <c r="BQ681" s="75"/>
      <c r="BR681" s="75"/>
      <c r="BS681" s="75"/>
      <c r="BT681" s="75"/>
      <c r="BU681" s="76"/>
      <c r="BV681" s="75"/>
      <c r="BW681" s="75"/>
    </row>
    <row r="682" spans="58:75" ht="15.75" customHeight="1">
      <c r="BF682" s="34"/>
      <c r="BO682" s="75"/>
      <c r="BP682" s="75"/>
      <c r="BQ682" s="75"/>
      <c r="BR682" s="75"/>
      <c r="BS682" s="75"/>
      <c r="BT682" s="75"/>
      <c r="BU682" s="76"/>
      <c r="BV682" s="75"/>
      <c r="BW682" s="75"/>
    </row>
    <row r="683" spans="58:75" ht="15.75" customHeight="1">
      <c r="BF683" s="34"/>
      <c r="BO683" s="75"/>
      <c r="BP683" s="75"/>
      <c r="BQ683" s="75"/>
      <c r="BR683" s="75"/>
      <c r="BS683" s="75"/>
      <c r="BT683" s="75"/>
      <c r="BU683" s="76"/>
      <c r="BV683" s="75"/>
      <c r="BW683" s="75"/>
    </row>
    <row r="684" spans="58:75" ht="15.75" customHeight="1">
      <c r="BF684" s="34"/>
      <c r="BO684" s="75"/>
      <c r="BP684" s="75"/>
      <c r="BQ684" s="75"/>
      <c r="BR684" s="75"/>
      <c r="BS684" s="75"/>
      <c r="BT684" s="75"/>
      <c r="BU684" s="76"/>
      <c r="BV684" s="75"/>
      <c r="BW684" s="75"/>
    </row>
    <row r="685" spans="58:75" ht="15.75" customHeight="1">
      <c r="BF685" s="34"/>
      <c r="BO685" s="75"/>
      <c r="BP685" s="75"/>
      <c r="BQ685" s="75"/>
      <c r="BR685" s="75"/>
      <c r="BS685" s="75"/>
      <c r="BT685" s="75"/>
      <c r="BU685" s="76"/>
      <c r="BV685" s="75"/>
      <c r="BW685" s="75"/>
    </row>
    <row r="686" spans="58:75" ht="15.75" customHeight="1">
      <c r="BF686" s="34"/>
      <c r="BO686" s="75"/>
      <c r="BP686" s="75"/>
      <c r="BQ686" s="75"/>
      <c r="BR686" s="75"/>
      <c r="BS686" s="75"/>
      <c r="BT686" s="75"/>
      <c r="BU686" s="76"/>
      <c r="BV686" s="75"/>
      <c r="BW686" s="75"/>
    </row>
    <row r="687" spans="58:75" ht="15.75" customHeight="1">
      <c r="BF687" s="34"/>
      <c r="BO687" s="75"/>
      <c r="BP687" s="75"/>
      <c r="BQ687" s="75"/>
      <c r="BR687" s="75"/>
      <c r="BS687" s="75"/>
      <c r="BT687" s="75"/>
      <c r="BU687" s="76"/>
      <c r="BV687" s="75"/>
      <c r="BW687" s="75"/>
    </row>
    <row r="688" spans="58:75" ht="15.75" customHeight="1">
      <c r="BF688" s="34"/>
      <c r="BO688" s="75"/>
      <c r="BP688" s="75"/>
      <c r="BQ688" s="75"/>
      <c r="BR688" s="75"/>
      <c r="BS688" s="75"/>
      <c r="BT688" s="75"/>
      <c r="BU688" s="76"/>
      <c r="BV688" s="75"/>
      <c r="BW688" s="75"/>
    </row>
    <row r="689" spans="58:75" ht="15.75" customHeight="1">
      <c r="BF689" s="34"/>
      <c r="BO689" s="75"/>
      <c r="BP689" s="75"/>
      <c r="BQ689" s="75"/>
      <c r="BR689" s="75"/>
      <c r="BS689" s="75"/>
      <c r="BT689" s="75"/>
      <c r="BU689" s="76"/>
      <c r="BV689" s="75"/>
      <c r="BW689" s="75"/>
    </row>
    <row r="690" spans="58:75" ht="15.75" customHeight="1">
      <c r="BF690" s="34"/>
      <c r="BO690" s="75"/>
      <c r="BP690" s="75"/>
      <c r="BQ690" s="75"/>
      <c r="BR690" s="75"/>
      <c r="BS690" s="75"/>
      <c r="BT690" s="75"/>
      <c r="BU690" s="76"/>
      <c r="BV690" s="75"/>
      <c r="BW690" s="75"/>
    </row>
    <row r="691" spans="58:75" ht="15.75" customHeight="1">
      <c r="BF691" s="34"/>
      <c r="BO691" s="75"/>
      <c r="BP691" s="75"/>
      <c r="BQ691" s="75"/>
      <c r="BR691" s="75"/>
      <c r="BS691" s="75"/>
      <c r="BT691" s="75"/>
      <c r="BU691" s="76"/>
      <c r="BV691" s="75"/>
      <c r="BW691" s="75"/>
    </row>
    <row r="692" spans="58:75" ht="15.75" customHeight="1">
      <c r="BF692" s="34"/>
      <c r="BO692" s="75"/>
      <c r="BP692" s="75"/>
      <c r="BQ692" s="75"/>
      <c r="BR692" s="75"/>
      <c r="BS692" s="75"/>
      <c r="BT692" s="75"/>
      <c r="BU692" s="76"/>
      <c r="BV692" s="75"/>
      <c r="BW692" s="75"/>
    </row>
    <row r="693" spans="58:75" ht="15.75" customHeight="1">
      <c r="BF693" s="34"/>
      <c r="BO693" s="75"/>
      <c r="BP693" s="75"/>
      <c r="BQ693" s="75"/>
      <c r="BR693" s="75"/>
      <c r="BS693" s="75"/>
      <c r="BT693" s="75"/>
      <c r="BU693" s="76"/>
      <c r="BV693" s="75"/>
      <c r="BW693" s="75"/>
    </row>
    <row r="694" spans="58:75" ht="15.75" customHeight="1">
      <c r="BF694" s="34"/>
      <c r="BO694" s="75"/>
      <c r="BP694" s="75"/>
      <c r="BQ694" s="75"/>
      <c r="BR694" s="75"/>
      <c r="BS694" s="75"/>
      <c r="BT694" s="75"/>
      <c r="BU694" s="76"/>
      <c r="BV694" s="75"/>
      <c r="BW694" s="75"/>
    </row>
    <row r="695" spans="58:75" ht="15.75" customHeight="1">
      <c r="BF695" s="34"/>
      <c r="BO695" s="75"/>
      <c r="BP695" s="75"/>
      <c r="BQ695" s="75"/>
      <c r="BR695" s="75"/>
      <c r="BS695" s="75"/>
      <c r="BT695" s="75"/>
      <c r="BU695" s="76"/>
      <c r="BV695" s="75"/>
      <c r="BW695" s="75"/>
    </row>
    <row r="696" spans="58:75" ht="15.75" customHeight="1">
      <c r="BF696" s="34"/>
      <c r="BO696" s="75"/>
      <c r="BP696" s="75"/>
      <c r="BQ696" s="75"/>
      <c r="BR696" s="75"/>
      <c r="BS696" s="75"/>
      <c r="BT696" s="75"/>
      <c r="BU696" s="76"/>
      <c r="BV696" s="75"/>
      <c r="BW696" s="75"/>
    </row>
    <row r="697" spans="58:75" ht="15.75" customHeight="1">
      <c r="BF697" s="34"/>
      <c r="BO697" s="75"/>
      <c r="BP697" s="75"/>
      <c r="BQ697" s="75"/>
      <c r="BR697" s="75"/>
      <c r="BS697" s="75"/>
      <c r="BT697" s="75"/>
      <c r="BU697" s="76"/>
      <c r="BV697" s="75"/>
      <c r="BW697" s="75"/>
    </row>
    <row r="698" spans="58:75" ht="15.75" customHeight="1">
      <c r="BF698" s="34"/>
      <c r="BO698" s="75"/>
      <c r="BP698" s="75"/>
      <c r="BQ698" s="75"/>
      <c r="BR698" s="75"/>
      <c r="BS698" s="75"/>
      <c r="BT698" s="75"/>
      <c r="BU698" s="76"/>
      <c r="BV698" s="75"/>
      <c r="BW698" s="75"/>
    </row>
    <row r="699" spans="58:75" ht="15.75" customHeight="1">
      <c r="BF699" s="34"/>
      <c r="BO699" s="75"/>
      <c r="BP699" s="75"/>
      <c r="BQ699" s="75"/>
      <c r="BR699" s="75"/>
      <c r="BS699" s="75"/>
      <c r="BT699" s="75"/>
      <c r="BU699" s="76"/>
      <c r="BV699" s="75"/>
      <c r="BW699" s="75"/>
    </row>
    <row r="700" spans="58:75" ht="15.75" customHeight="1">
      <c r="BF700" s="34"/>
      <c r="BO700" s="75"/>
      <c r="BP700" s="75"/>
      <c r="BQ700" s="75"/>
      <c r="BR700" s="75"/>
      <c r="BS700" s="75"/>
      <c r="BT700" s="75"/>
      <c r="BU700" s="76"/>
      <c r="BV700" s="75"/>
      <c r="BW700" s="75"/>
    </row>
    <row r="701" spans="58:75" ht="15.75" customHeight="1">
      <c r="BF701" s="34"/>
      <c r="BO701" s="75"/>
      <c r="BP701" s="75"/>
      <c r="BQ701" s="75"/>
      <c r="BR701" s="75"/>
      <c r="BS701" s="75"/>
      <c r="BT701" s="75"/>
      <c r="BU701" s="76"/>
      <c r="BV701" s="75"/>
      <c r="BW701" s="75"/>
    </row>
    <row r="702" spans="58:75" ht="15.75" customHeight="1">
      <c r="BF702" s="34"/>
      <c r="BO702" s="75"/>
      <c r="BP702" s="75"/>
      <c r="BQ702" s="75"/>
      <c r="BR702" s="75"/>
      <c r="BS702" s="75"/>
      <c r="BT702" s="75"/>
      <c r="BU702" s="76"/>
      <c r="BV702" s="75"/>
      <c r="BW702" s="75"/>
    </row>
    <row r="703" spans="58:75" ht="15.75" customHeight="1">
      <c r="BF703" s="34"/>
      <c r="BO703" s="75"/>
      <c r="BP703" s="75"/>
      <c r="BQ703" s="75"/>
      <c r="BR703" s="75"/>
      <c r="BS703" s="75"/>
      <c r="BT703" s="75"/>
      <c r="BU703" s="76"/>
      <c r="BV703" s="75"/>
      <c r="BW703" s="75"/>
    </row>
    <row r="704" spans="58:75" ht="15.75" customHeight="1">
      <c r="BF704" s="34"/>
      <c r="BO704" s="75"/>
      <c r="BP704" s="75"/>
      <c r="BQ704" s="75"/>
      <c r="BR704" s="75"/>
      <c r="BS704" s="75"/>
      <c r="BT704" s="75"/>
      <c r="BU704" s="76"/>
      <c r="BV704" s="75"/>
      <c r="BW704" s="75"/>
    </row>
    <row r="705" spans="58:75" ht="15.75" customHeight="1">
      <c r="BF705" s="34"/>
      <c r="BO705" s="75"/>
      <c r="BP705" s="75"/>
      <c r="BQ705" s="75"/>
      <c r="BR705" s="75"/>
      <c r="BS705" s="75"/>
      <c r="BT705" s="75"/>
      <c r="BU705" s="76"/>
      <c r="BV705" s="75"/>
      <c r="BW705" s="75"/>
    </row>
    <row r="706" spans="58:75" ht="15.75" customHeight="1">
      <c r="BF706" s="34"/>
      <c r="BO706" s="75"/>
      <c r="BP706" s="75"/>
      <c r="BQ706" s="75"/>
      <c r="BR706" s="75"/>
      <c r="BS706" s="75"/>
      <c r="BT706" s="75"/>
      <c r="BU706" s="76"/>
      <c r="BV706" s="75"/>
      <c r="BW706" s="75"/>
    </row>
    <row r="707" spans="58:75" ht="15.75" customHeight="1">
      <c r="BF707" s="34"/>
      <c r="BO707" s="75"/>
      <c r="BP707" s="75"/>
      <c r="BQ707" s="75"/>
      <c r="BR707" s="75"/>
      <c r="BS707" s="75"/>
      <c r="BT707" s="75"/>
      <c r="BU707" s="76"/>
      <c r="BV707" s="75"/>
      <c r="BW707" s="75"/>
    </row>
    <row r="708" spans="58:75" ht="15.75" customHeight="1">
      <c r="BF708" s="34"/>
      <c r="BO708" s="75"/>
      <c r="BP708" s="75"/>
      <c r="BQ708" s="75"/>
      <c r="BR708" s="75"/>
      <c r="BS708" s="75"/>
      <c r="BT708" s="75"/>
      <c r="BU708" s="76"/>
      <c r="BV708" s="75"/>
      <c r="BW708" s="75"/>
    </row>
    <row r="709" spans="58:75" ht="15.75" customHeight="1">
      <c r="BF709" s="34"/>
      <c r="BO709" s="75"/>
      <c r="BP709" s="75"/>
      <c r="BQ709" s="75"/>
      <c r="BR709" s="75"/>
      <c r="BS709" s="75"/>
      <c r="BT709" s="75"/>
      <c r="BU709" s="76"/>
      <c r="BV709" s="75"/>
      <c r="BW709" s="75"/>
    </row>
    <row r="710" spans="58:75" ht="15.75" customHeight="1">
      <c r="BF710" s="34"/>
      <c r="BO710" s="75"/>
      <c r="BP710" s="75"/>
      <c r="BQ710" s="75"/>
      <c r="BR710" s="75"/>
      <c r="BS710" s="75"/>
      <c r="BT710" s="75"/>
      <c r="BU710" s="76"/>
      <c r="BV710" s="75"/>
      <c r="BW710" s="75"/>
    </row>
    <row r="711" spans="58:75" ht="15.75" customHeight="1">
      <c r="BF711" s="34"/>
      <c r="BO711" s="75"/>
      <c r="BP711" s="75"/>
      <c r="BQ711" s="75"/>
      <c r="BR711" s="75"/>
      <c r="BS711" s="75"/>
      <c r="BT711" s="75"/>
      <c r="BU711" s="76"/>
      <c r="BV711" s="75"/>
      <c r="BW711" s="75"/>
    </row>
    <row r="712" spans="58:75" ht="15.75" customHeight="1">
      <c r="BF712" s="34"/>
      <c r="BO712" s="75"/>
      <c r="BP712" s="75"/>
      <c r="BQ712" s="75"/>
      <c r="BR712" s="75"/>
      <c r="BS712" s="75"/>
      <c r="BT712" s="75"/>
      <c r="BU712" s="76"/>
      <c r="BV712" s="75"/>
      <c r="BW712" s="75"/>
    </row>
    <row r="713" spans="58:75" ht="15.75" customHeight="1">
      <c r="BF713" s="34"/>
      <c r="BO713" s="75"/>
      <c r="BP713" s="75"/>
      <c r="BQ713" s="75"/>
      <c r="BR713" s="75"/>
      <c r="BS713" s="75"/>
      <c r="BT713" s="75"/>
      <c r="BU713" s="76"/>
      <c r="BV713" s="75"/>
      <c r="BW713" s="75"/>
    </row>
    <row r="714" spans="58:75" ht="15.75" customHeight="1">
      <c r="BF714" s="34"/>
      <c r="BO714" s="75"/>
      <c r="BP714" s="75"/>
      <c r="BQ714" s="75"/>
      <c r="BR714" s="75"/>
      <c r="BS714" s="75"/>
      <c r="BT714" s="75"/>
      <c r="BU714" s="76"/>
      <c r="BV714" s="75"/>
      <c r="BW714" s="75"/>
    </row>
    <row r="715" spans="58:75" ht="15.75" customHeight="1">
      <c r="BF715" s="34"/>
      <c r="BO715" s="75"/>
      <c r="BP715" s="75"/>
      <c r="BQ715" s="75"/>
      <c r="BR715" s="75"/>
      <c r="BS715" s="75"/>
      <c r="BT715" s="75"/>
      <c r="BU715" s="76"/>
      <c r="BV715" s="75"/>
      <c r="BW715" s="75"/>
    </row>
    <row r="716" spans="58:75" ht="15.75" customHeight="1">
      <c r="BF716" s="34"/>
      <c r="BO716" s="75"/>
      <c r="BP716" s="75"/>
      <c r="BQ716" s="75"/>
      <c r="BR716" s="75"/>
      <c r="BS716" s="75"/>
      <c r="BT716" s="75"/>
      <c r="BU716" s="76"/>
      <c r="BV716" s="75"/>
      <c r="BW716" s="75"/>
    </row>
    <row r="717" spans="58:75" ht="15.75" customHeight="1">
      <c r="BF717" s="34"/>
      <c r="BO717" s="75"/>
      <c r="BP717" s="75"/>
      <c r="BQ717" s="75"/>
      <c r="BR717" s="75"/>
      <c r="BS717" s="75"/>
      <c r="BT717" s="75"/>
      <c r="BU717" s="76"/>
      <c r="BV717" s="75"/>
      <c r="BW717" s="75"/>
    </row>
    <row r="718" spans="58:75" ht="15.75" customHeight="1">
      <c r="BF718" s="34"/>
      <c r="BO718" s="75"/>
      <c r="BP718" s="75"/>
      <c r="BQ718" s="75"/>
      <c r="BR718" s="75"/>
      <c r="BS718" s="75"/>
      <c r="BT718" s="75"/>
      <c r="BU718" s="76"/>
      <c r="BV718" s="75"/>
      <c r="BW718" s="75"/>
    </row>
    <row r="719" spans="58:75" ht="15.75" customHeight="1">
      <c r="BF719" s="34"/>
      <c r="BO719" s="75"/>
      <c r="BP719" s="75"/>
      <c r="BQ719" s="75"/>
      <c r="BR719" s="75"/>
      <c r="BS719" s="75"/>
      <c r="BT719" s="75"/>
      <c r="BU719" s="76"/>
      <c r="BV719" s="75"/>
      <c r="BW719" s="75"/>
    </row>
    <row r="720" spans="58:75" ht="15.75" customHeight="1">
      <c r="BF720" s="34"/>
      <c r="BO720" s="75"/>
      <c r="BP720" s="75"/>
      <c r="BQ720" s="75"/>
      <c r="BR720" s="75"/>
      <c r="BS720" s="75"/>
      <c r="BT720" s="75"/>
      <c r="BU720" s="76"/>
      <c r="BV720" s="75"/>
      <c r="BW720" s="75"/>
    </row>
    <row r="721" spans="58:75" ht="15.75" customHeight="1">
      <c r="BF721" s="34"/>
      <c r="BO721" s="75"/>
      <c r="BP721" s="75"/>
      <c r="BQ721" s="75"/>
      <c r="BR721" s="75"/>
      <c r="BS721" s="75"/>
      <c r="BT721" s="75"/>
      <c r="BU721" s="76"/>
      <c r="BV721" s="75"/>
      <c r="BW721" s="75"/>
    </row>
    <row r="722" spans="58:75" ht="15.75" customHeight="1">
      <c r="BF722" s="34"/>
      <c r="BO722" s="75"/>
      <c r="BP722" s="75"/>
      <c r="BQ722" s="75"/>
      <c r="BR722" s="75"/>
      <c r="BS722" s="75"/>
      <c r="BT722" s="75"/>
      <c r="BU722" s="76"/>
      <c r="BV722" s="75"/>
      <c r="BW722" s="75"/>
    </row>
    <row r="723" spans="58:75" ht="15.75" customHeight="1">
      <c r="BF723" s="34"/>
      <c r="BO723" s="75"/>
      <c r="BP723" s="75"/>
      <c r="BQ723" s="75"/>
      <c r="BR723" s="75"/>
      <c r="BS723" s="75"/>
      <c r="BT723" s="75"/>
      <c r="BU723" s="76"/>
      <c r="BV723" s="75"/>
      <c r="BW723" s="75"/>
    </row>
    <row r="724" spans="58:75" ht="15.75" customHeight="1">
      <c r="BF724" s="34"/>
      <c r="BO724" s="75"/>
      <c r="BP724" s="75"/>
      <c r="BQ724" s="75"/>
      <c r="BR724" s="75"/>
      <c r="BS724" s="75"/>
      <c r="BT724" s="75"/>
      <c r="BU724" s="76"/>
      <c r="BV724" s="75"/>
      <c r="BW724" s="75"/>
    </row>
    <row r="725" spans="58:75" ht="15.75" customHeight="1">
      <c r="BF725" s="34"/>
      <c r="BO725" s="75"/>
      <c r="BP725" s="75"/>
      <c r="BQ725" s="75"/>
      <c r="BR725" s="75"/>
      <c r="BS725" s="75"/>
      <c r="BT725" s="75"/>
      <c r="BU725" s="76"/>
      <c r="BV725" s="75"/>
      <c r="BW725" s="75"/>
    </row>
    <row r="726" spans="58:75" ht="15.75" customHeight="1">
      <c r="BF726" s="34"/>
      <c r="BO726" s="75"/>
      <c r="BP726" s="75"/>
      <c r="BQ726" s="75"/>
      <c r="BR726" s="75"/>
      <c r="BS726" s="75"/>
      <c r="BT726" s="75"/>
      <c r="BU726" s="76"/>
      <c r="BV726" s="75"/>
      <c r="BW726" s="75"/>
    </row>
    <row r="727" spans="58:75" ht="15.75" customHeight="1">
      <c r="BF727" s="34"/>
      <c r="BO727" s="75"/>
      <c r="BP727" s="75"/>
      <c r="BQ727" s="75"/>
      <c r="BR727" s="75"/>
      <c r="BS727" s="75"/>
      <c r="BT727" s="75"/>
      <c r="BU727" s="76"/>
      <c r="BV727" s="75"/>
      <c r="BW727" s="75"/>
    </row>
    <row r="728" spans="58:75" ht="15.75" customHeight="1">
      <c r="BF728" s="34"/>
      <c r="BO728" s="75"/>
      <c r="BP728" s="75"/>
      <c r="BQ728" s="75"/>
      <c r="BR728" s="75"/>
      <c r="BS728" s="75"/>
      <c r="BT728" s="75"/>
      <c r="BU728" s="76"/>
      <c r="BV728" s="75"/>
      <c r="BW728" s="75"/>
    </row>
    <row r="729" spans="58:75" ht="15.75" customHeight="1">
      <c r="BF729" s="34"/>
      <c r="BO729" s="75"/>
      <c r="BP729" s="75"/>
      <c r="BQ729" s="75"/>
      <c r="BR729" s="75"/>
      <c r="BS729" s="75"/>
      <c r="BT729" s="75"/>
      <c r="BU729" s="76"/>
      <c r="BV729" s="75"/>
      <c r="BW729" s="75"/>
    </row>
    <row r="730" spans="58:75" ht="15.75" customHeight="1">
      <c r="BF730" s="34"/>
      <c r="BO730" s="75"/>
      <c r="BP730" s="75"/>
      <c r="BQ730" s="75"/>
      <c r="BR730" s="75"/>
      <c r="BS730" s="75"/>
      <c r="BT730" s="75"/>
      <c r="BU730" s="76"/>
      <c r="BV730" s="75"/>
      <c r="BW730" s="75"/>
    </row>
    <row r="731" spans="58:75" ht="15.75" customHeight="1">
      <c r="BF731" s="34"/>
      <c r="BO731" s="75"/>
      <c r="BP731" s="75"/>
      <c r="BQ731" s="75"/>
      <c r="BR731" s="75"/>
      <c r="BS731" s="75"/>
      <c r="BT731" s="75"/>
      <c r="BU731" s="76"/>
      <c r="BV731" s="75"/>
      <c r="BW731" s="75"/>
    </row>
    <row r="732" spans="58:75" ht="15.75" customHeight="1">
      <c r="BF732" s="34"/>
      <c r="BO732" s="75"/>
      <c r="BP732" s="75"/>
      <c r="BQ732" s="75"/>
      <c r="BR732" s="75"/>
      <c r="BS732" s="75"/>
      <c r="BT732" s="75"/>
      <c r="BU732" s="76"/>
      <c r="BV732" s="75"/>
      <c r="BW732" s="75"/>
    </row>
    <row r="733" spans="58:75" ht="15.75" customHeight="1">
      <c r="BF733" s="34"/>
      <c r="BO733" s="75"/>
      <c r="BP733" s="75"/>
      <c r="BQ733" s="75"/>
      <c r="BR733" s="75"/>
      <c r="BS733" s="75"/>
      <c r="BT733" s="75"/>
      <c r="BU733" s="76"/>
      <c r="BV733" s="75"/>
      <c r="BW733" s="75"/>
    </row>
    <row r="734" spans="58:75" ht="15.75" customHeight="1">
      <c r="BF734" s="34"/>
      <c r="BO734" s="75"/>
      <c r="BP734" s="75"/>
      <c r="BQ734" s="75"/>
      <c r="BR734" s="75"/>
      <c r="BS734" s="75"/>
      <c r="BT734" s="75"/>
      <c r="BU734" s="76"/>
      <c r="BV734" s="75"/>
      <c r="BW734" s="75"/>
    </row>
    <row r="735" spans="58:75" ht="15.75" customHeight="1">
      <c r="BF735" s="34"/>
      <c r="BO735" s="75"/>
      <c r="BP735" s="75"/>
      <c r="BQ735" s="75"/>
      <c r="BR735" s="75"/>
      <c r="BS735" s="75"/>
      <c r="BT735" s="75"/>
      <c r="BU735" s="76"/>
      <c r="BV735" s="75"/>
      <c r="BW735" s="75"/>
    </row>
    <row r="736" spans="58:75" ht="15.75" customHeight="1">
      <c r="BF736" s="34"/>
      <c r="BO736" s="75"/>
      <c r="BP736" s="75"/>
      <c r="BQ736" s="75"/>
      <c r="BR736" s="75"/>
      <c r="BS736" s="75"/>
      <c r="BT736" s="75"/>
      <c r="BU736" s="76"/>
      <c r="BV736" s="75"/>
      <c r="BW736" s="75"/>
    </row>
    <row r="737" spans="58:75" ht="15.75" customHeight="1">
      <c r="BF737" s="34"/>
      <c r="BO737" s="75"/>
      <c r="BP737" s="75"/>
      <c r="BQ737" s="75"/>
      <c r="BR737" s="75"/>
      <c r="BS737" s="75"/>
      <c r="BT737" s="75"/>
      <c r="BU737" s="76"/>
      <c r="BV737" s="75"/>
      <c r="BW737" s="75"/>
    </row>
    <row r="738" spans="58:75" ht="15.75" customHeight="1">
      <c r="BF738" s="34"/>
      <c r="BO738" s="75"/>
      <c r="BP738" s="75"/>
      <c r="BQ738" s="75"/>
      <c r="BR738" s="75"/>
      <c r="BS738" s="75"/>
      <c r="BT738" s="75"/>
      <c r="BU738" s="76"/>
      <c r="BV738" s="75"/>
      <c r="BW738" s="75"/>
    </row>
    <row r="739" spans="58:75" ht="15.75" customHeight="1">
      <c r="BF739" s="34"/>
      <c r="BO739" s="75"/>
      <c r="BP739" s="75"/>
      <c r="BQ739" s="75"/>
      <c r="BR739" s="75"/>
      <c r="BS739" s="75"/>
      <c r="BT739" s="75"/>
      <c r="BU739" s="76"/>
      <c r="BV739" s="75"/>
      <c r="BW739" s="75"/>
    </row>
    <row r="740" spans="58:75" ht="15.75" customHeight="1">
      <c r="BF740" s="34"/>
      <c r="BO740" s="75"/>
      <c r="BP740" s="75"/>
      <c r="BQ740" s="75"/>
      <c r="BR740" s="75"/>
      <c r="BS740" s="75"/>
      <c r="BT740" s="75"/>
      <c r="BU740" s="76"/>
      <c r="BV740" s="75"/>
      <c r="BW740" s="75"/>
    </row>
    <row r="741" spans="58:75" ht="15.75" customHeight="1">
      <c r="BF741" s="34"/>
      <c r="BO741" s="75"/>
      <c r="BP741" s="75"/>
      <c r="BQ741" s="75"/>
      <c r="BR741" s="75"/>
      <c r="BS741" s="75"/>
      <c r="BT741" s="75"/>
      <c r="BU741" s="76"/>
      <c r="BV741" s="75"/>
      <c r="BW741" s="75"/>
    </row>
    <row r="742" spans="58:75" ht="15.75" customHeight="1">
      <c r="BF742" s="34"/>
      <c r="BO742" s="75"/>
      <c r="BP742" s="75"/>
      <c r="BQ742" s="75"/>
      <c r="BR742" s="75"/>
      <c r="BS742" s="75"/>
      <c r="BT742" s="75"/>
      <c r="BU742" s="76"/>
      <c r="BV742" s="75"/>
      <c r="BW742" s="75"/>
    </row>
    <row r="743" spans="58:75" ht="15.75" customHeight="1">
      <c r="BF743" s="34"/>
      <c r="BO743" s="75"/>
      <c r="BP743" s="75"/>
      <c r="BQ743" s="75"/>
      <c r="BR743" s="75"/>
      <c r="BS743" s="75"/>
      <c r="BT743" s="75"/>
      <c r="BU743" s="76"/>
      <c r="BV743" s="75"/>
      <c r="BW743" s="75"/>
    </row>
    <row r="744" spans="58:75" ht="15.75" customHeight="1">
      <c r="BF744" s="34"/>
      <c r="BO744" s="75"/>
      <c r="BP744" s="75"/>
      <c r="BQ744" s="75"/>
      <c r="BR744" s="75"/>
      <c r="BS744" s="75"/>
      <c r="BT744" s="75"/>
      <c r="BU744" s="76"/>
      <c r="BV744" s="75"/>
      <c r="BW744" s="75"/>
    </row>
    <row r="745" spans="58:75" ht="15.75" customHeight="1">
      <c r="BF745" s="34"/>
      <c r="BO745" s="75"/>
      <c r="BP745" s="75"/>
      <c r="BQ745" s="75"/>
      <c r="BR745" s="75"/>
      <c r="BS745" s="75"/>
      <c r="BT745" s="75"/>
      <c r="BU745" s="76"/>
      <c r="BV745" s="75"/>
      <c r="BW745" s="75"/>
    </row>
    <row r="746" spans="58:75" ht="15.75" customHeight="1">
      <c r="BF746" s="34"/>
      <c r="BO746" s="75"/>
      <c r="BP746" s="75"/>
      <c r="BQ746" s="75"/>
      <c r="BR746" s="75"/>
      <c r="BS746" s="75"/>
      <c r="BT746" s="75"/>
      <c r="BU746" s="76"/>
      <c r="BV746" s="75"/>
      <c r="BW746" s="75"/>
    </row>
    <row r="747" spans="58:75" ht="15.75" customHeight="1">
      <c r="BF747" s="34"/>
      <c r="BO747" s="75"/>
      <c r="BP747" s="75"/>
      <c r="BQ747" s="75"/>
      <c r="BR747" s="75"/>
      <c r="BS747" s="75"/>
      <c r="BT747" s="75"/>
      <c r="BU747" s="76"/>
      <c r="BV747" s="75"/>
      <c r="BW747" s="75"/>
    </row>
    <row r="748" spans="58:75" ht="15.75" customHeight="1">
      <c r="BF748" s="34"/>
      <c r="BO748" s="75"/>
      <c r="BP748" s="75"/>
      <c r="BQ748" s="75"/>
      <c r="BR748" s="75"/>
      <c r="BS748" s="75"/>
      <c r="BT748" s="75"/>
      <c r="BU748" s="76"/>
      <c r="BV748" s="75"/>
      <c r="BW748" s="75"/>
    </row>
    <row r="749" spans="58:75" ht="15.75" customHeight="1">
      <c r="BF749" s="34"/>
      <c r="BO749" s="75"/>
      <c r="BP749" s="75"/>
      <c r="BQ749" s="75"/>
      <c r="BR749" s="75"/>
      <c r="BS749" s="75"/>
      <c r="BT749" s="75"/>
      <c r="BU749" s="76"/>
      <c r="BV749" s="75"/>
      <c r="BW749" s="75"/>
    </row>
    <row r="750" spans="58:75" ht="15.75" customHeight="1">
      <c r="BF750" s="34"/>
      <c r="BO750" s="75"/>
      <c r="BP750" s="75"/>
      <c r="BQ750" s="75"/>
      <c r="BR750" s="75"/>
      <c r="BS750" s="75"/>
      <c r="BT750" s="75"/>
      <c r="BU750" s="76"/>
      <c r="BV750" s="75"/>
      <c r="BW750" s="75"/>
    </row>
    <row r="751" spans="58:75" ht="15.75" customHeight="1">
      <c r="BF751" s="34"/>
      <c r="BO751" s="75"/>
      <c r="BP751" s="75"/>
      <c r="BQ751" s="75"/>
      <c r="BR751" s="75"/>
      <c r="BS751" s="75"/>
      <c r="BT751" s="75"/>
      <c r="BU751" s="76"/>
      <c r="BV751" s="75"/>
      <c r="BW751" s="75"/>
    </row>
    <row r="752" spans="58:75" ht="15.75" customHeight="1">
      <c r="BF752" s="34"/>
      <c r="BO752" s="75"/>
      <c r="BP752" s="75"/>
      <c r="BQ752" s="75"/>
      <c r="BR752" s="75"/>
      <c r="BS752" s="75"/>
      <c r="BT752" s="75"/>
      <c r="BU752" s="76"/>
      <c r="BV752" s="75"/>
      <c r="BW752" s="75"/>
    </row>
    <row r="753" spans="58:75" ht="15.75" customHeight="1">
      <c r="BF753" s="34"/>
      <c r="BO753" s="75"/>
      <c r="BP753" s="75"/>
      <c r="BQ753" s="75"/>
      <c r="BR753" s="75"/>
      <c r="BS753" s="75"/>
      <c r="BT753" s="75"/>
      <c r="BU753" s="76"/>
      <c r="BV753" s="75"/>
      <c r="BW753" s="75"/>
    </row>
    <row r="754" spans="58:75" ht="15.75" customHeight="1">
      <c r="BF754" s="34"/>
      <c r="BO754" s="75"/>
      <c r="BP754" s="75"/>
      <c r="BQ754" s="75"/>
      <c r="BR754" s="75"/>
      <c r="BS754" s="75"/>
      <c r="BT754" s="75"/>
      <c r="BU754" s="76"/>
      <c r="BV754" s="75"/>
      <c r="BW754" s="75"/>
    </row>
    <row r="755" spans="58:75" ht="15.75" customHeight="1">
      <c r="BF755" s="34"/>
      <c r="BO755" s="75"/>
      <c r="BP755" s="75"/>
      <c r="BQ755" s="75"/>
      <c r="BR755" s="75"/>
      <c r="BS755" s="75"/>
      <c r="BT755" s="75"/>
      <c r="BU755" s="76"/>
      <c r="BV755" s="75"/>
      <c r="BW755" s="75"/>
    </row>
    <row r="756" spans="58:75" ht="15.75" customHeight="1">
      <c r="BF756" s="34"/>
      <c r="BO756" s="75"/>
      <c r="BP756" s="75"/>
      <c r="BQ756" s="75"/>
      <c r="BR756" s="75"/>
      <c r="BS756" s="75"/>
      <c r="BT756" s="75"/>
      <c r="BU756" s="76"/>
      <c r="BV756" s="75"/>
      <c r="BW756" s="75"/>
    </row>
    <row r="757" spans="58:75" ht="15.75" customHeight="1">
      <c r="BF757" s="34"/>
      <c r="BO757" s="75"/>
      <c r="BP757" s="75"/>
      <c r="BQ757" s="75"/>
      <c r="BR757" s="75"/>
      <c r="BS757" s="75"/>
      <c r="BT757" s="75"/>
      <c r="BU757" s="76"/>
      <c r="BV757" s="75"/>
      <c r="BW757" s="75"/>
    </row>
    <row r="758" spans="58:75" ht="15.75" customHeight="1">
      <c r="BF758" s="34"/>
      <c r="BO758" s="75"/>
      <c r="BP758" s="75"/>
      <c r="BQ758" s="75"/>
      <c r="BR758" s="75"/>
      <c r="BS758" s="75"/>
      <c r="BT758" s="75"/>
      <c r="BU758" s="76"/>
      <c r="BV758" s="75"/>
      <c r="BW758" s="75"/>
    </row>
    <row r="759" spans="58:75" ht="15.75" customHeight="1">
      <c r="BF759" s="34"/>
      <c r="BO759" s="75"/>
      <c r="BP759" s="75"/>
      <c r="BQ759" s="75"/>
      <c r="BR759" s="75"/>
      <c r="BS759" s="75"/>
      <c r="BT759" s="75"/>
      <c r="BU759" s="76"/>
      <c r="BV759" s="75"/>
      <c r="BW759" s="75"/>
    </row>
    <row r="760" spans="58:75" ht="15.75" customHeight="1">
      <c r="BF760" s="34"/>
      <c r="BO760" s="75"/>
      <c r="BP760" s="75"/>
      <c r="BQ760" s="75"/>
      <c r="BR760" s="75"/>
      <c r="BS760" s="75"/>
      <c r="BT760" s="75"/>
      <c r="BU760" s="76"/>
      <c r="BV760" s="75"/>
      <c r="BW760" s="75"/>
    </row>
    <row r="761" spans="58:75" ht="15.75" customHeight="1">
      <c r="BF761" s="34"/>
      <c r="BO761" s="75"/>
      <c r="BP761" s="75"/>
      <c r="BQ761" s="75"/>
      <c r="BR761" s="75"/>
      <c r="BS761" s="75"/>
      <c r="BT761" s="75"/>
      <c r="BU761" s="76"/>
      <c r="BV761" s="75"/>
      <c r="BW761" s="75"/>
    </row>
    <row r="762" spans="58:75" ht="15.75" customHeight="1">
      <c r="BF762" s="34"/>
      <c r="BO762" s="75"/>
      <c r="BP762" s="75"/>
      <c r="BQ762" s="75"/>
      <c r="BR762" s="75"/>
      <c r="BS762" s="75"/>
      <c r="BT762" s="75"/>
      <c r="BU762" s="76"/>
      <c r="BV762" s="75"/>
      <c r="BW762" s="75"/>
    </row>
    <row r="763" spans="58:75" ht="15.75" customHeight="1">
      <c r="BF763" s="34"/>
      <c r="BO763" s="75"/>
      <c r="BP763" s="75"/>
      <c r="BQ763" s="75"/>
      <c r="BR763" s="75"/>
      <c r="BS763" s="75"/>
      <c r="BT763" s="75"/>
      <c r="BU763" s="76"/>
      <c r="BV763" s="75"/>
      <c r="BW763" s="75"/>
    </row>
    <row r="764" spans="58:75" ht="15.75" customHeight="1">
      <c r="BF764" s="34"/>
      <c r="BO764" s="75"/>
      <c r="BP764" s="75"/>
      <c r="BQ764" s="75"/>
      <c r="BR764" s="75"/>
      <c r="BS764" s="75"/>
      <c r="BT764" s="75"/>
      <c r="BU764" s="76"/>
      <c r="BV764" s="75"/>
      <c r="BW764" s="75"/>
    </row>
    <row r="765" spans="58:75" ht="15.75" customHeight="1">
      <c r="BF765" s="34"/>
      <c r="BO765" s="75"/>
      <c r="BP765" s="75"/>
      <c r="BQ765" s="75"/>
      <c r="BR765" s="75"/>
      <c r="BS765" s="75"/>
      <c r="BT765" s="75"/>
      <c r="BU765" s="76"/>
      <c r="BV765" s="75"/>
      <c r="BW765" s="75"/>
    </row>
    <row r="766" spans="58:75" ht="15.75" customHeight="1">
      <c r="BF766" s="34"/>
      <c r="BO766" s="75"/>
      <c r="BP766" s="75"/>
      <c r="BQ766" s="75"/>
      <c r="BR766" s="75"/>
      <c r="BS766" s="75"/>
      <c r="BT766" s="75"/>
      <c r="BU766" s="76"/>
      <c r="BV766" s="75"/>
      <c r="BW766" s="75"/>
    </row>
    <row r="767" spans="58:75" ht="15.75" customHeight="1">
      <c r="BF767" s="34"/>
      <c r="BO767" s="75"/>
      <c r="BP767" s="75"/>
      <c r="BQ767" s="75"/>
      <c r="BR767" s="75"/>
      <c r="BS767" s="75"/>
      <c r="BT767" s="75"/>
      <c r="BU767" s="76"/>
      <c r="BV767" s="75"/>
      <c r="BW767" s="75"/>
    </row>
    <row r="768" spans="58:75" ht="15.75" customHeight="1">
      <c r="BF768" s="34"/>
      <c r="BO768" s="75"/>
      <c r="BP768" s="75"/>
      <c r="BQ768" s="75"/>
      <c r="BR768" s="75"/>
      <c r="BS768" s="75"/>
      <c r="BT768" s="75"/>
      <c r="BU768" s="76"/>
      <c r="BV768" s="75"/>
      <c r="BW768" s="75"/>
    </row>
    <row r="769" spans="58:75" ht="15.75" customHeight="1">
      <c r="BF769" s="34"/>
      <c r="BO769" s="75"/>
      <c r="BP769" s="75"/>
      <c r="BQ769" s="75"/>
      <c r="BR769" s="75"/>
      <c r="BS769" s="75"/>
      <c r="BT769" s="75"/>
      <c r="BU769" s="76"/>
      <c r="BV769" s="75"/>
      <c r="BW769" s="75"/>
    </row>
    <row r="770" spans="58:75" ht="15.75" customHeight="1">
      <c r="BF770" s="34"/>
      <c r="BO770" s="75"/>
      <c r="BP770" s="75"/>
      <c r="BQ770" s="75"/>
      <c r="BR770" s="75"/>
      <c r="BS770" s="75"/>
      <c r="BT770" s="75"/>
      <c r="BU770" s="76"/>
      <c r="BV770" s="75"/>
      <c r="BW770" s="75"/>
    </row>
    <row r="771" spans="58:75" ht="15.75" customHeight="1">
      <c r="BF771" s="34"/>
      <c r="BO771" s="75"/>
      <c r="BP771" s="75"/>
      <c r="BQ771" s="75"/>
      <c r="BR771" s="75"/>
      <c r="BS771" s="75"/>
      <c r="BT771" s="75"/>
      <c r="BU771" s="76"/>
      <c r="BV771" s="75"/>
      <c r="BW771" s="75"/>
    </row>
    <row r="772" spans="58:75" ht="15.75" customHeight="1">
      <c r="BF772" s="34"/>
      <c r="BO772" s="75"/>
      <c r="BP772" s="75"/>
      <c r="BQ772" s="75"/>
      <c r="BR772" s="75"/>
      <c r="BS772" s="75"/>
      <c r="BT772" s="75"/>
      <c r="BU772" s="76"/>
      <c r="BV772" s="75"/>
      <c r="BW772" s="75"/>
    </row>
    <row r="773" spans="58:75" ht="15.75" customHeight="1">
      <c r="BF773" s="34"/>
      <c r="BO773" s="75"/>
      <c r="BP773" s="75"/>
      <c r="BQ773" s="75"/>
      <c r="BR773" s="75"/>
      <c r="BS773" s="75"/>
      <c r="BT773" s="75"/>
      <c r="BU773" s="76"/>
      <c r="BV773" s="75"/>
      <c r="BW773" s="75"/>
    </row>
    <row r="774" spans="58:75" ht="15.75" customHeight="1">
      <c r="BF774" s="34"/>
      <c r="BO774" s="75"/>
      <c r="BP774" s="75"/>
      <c r="BQ774" s="75"/>
      <c r="BR774" s="75"/>
      <c r="BS774" s="75"/>
      <c r="BT774" s="75"/>
      <c r="BU774" s="76"/>
      <c r="BV774" s="75"/>
      <c r="BW774" s="75"/>
    </row>
    <row r="775" spans="58:75" ht="15.75" customHeight="1">
      <c r="BF775" s="34"/>
      <c r="BO775" s="75"/>
      <c r="BP775" s="75"/>
      <c r="BQ775" s="75"/>
      <c r="BR775" s="75"/>
      <c r="BS775" s="75"/>
      <c r="BT775" s="75"/>
      <c r="BU775" s="76"/>
      <c r="BV775" s="75"/>
      <c r="BW775" s="75"/>
    </row>
    <row r="776" spans="58:75" ht="15.75" customHeight="1">
      <c r="BF776" s="34"/>
      <c r="BO776" s="75"/>
      <c r="BP776" s="75"/>
      <c r="BQ776" s="75"/>
      <c r="BR776" s="75"/>
      <c r="BS776" s="75"/>
      <c r="BT776" s="75"/>
      <c r="BU776" s="76"/>
      <c r="BV776" s="75"/>
      <c r="BW776" s="75"/>
    </row>
    <row r="777" spans="58:75" ht="15.75" customHeight="1">
      <c r="BF777" s="34"/>
      <c r="BO777" s="75"/>
      <c r="BP777" s="75"/>
      <c r="BQ777" s="75"/>
      <c r="BR777" s="75"/>
      <c r="BS777" s="75"/>
      <c r="BT777" s="75"/>
      <c r="BU777" s="76"/>
      <c r="BV777" s="75"/>
      <c r="BW777" s="75"/>
    </row>
    <row r="778" spans="58:75" ht="15.75" customHeight="1">
      <c r="BF778" s="34"/>
      <c r="BO778" s="75"/>
      <c r="BP778" s="75"/>
      <c r="BQ778" s="75"/>
      <c r="BR778" s="75"/>
      <c r="BS778" s="75"/>
      <c r="BT778" s="75"/>
      <c r="BU778" s="76"/>
      <c r="BV778" s="75"/>
      <c r="BW778" s="75"/>
    </row>
    <row r="779" spans="58:75" ht="15.75" customHeight="1">
      <c r="BF779" s="34"/>
      <c r="BO779" s="75"/>
      <c r="BP779" s="75"/>
      <c r="BQ779" s="75"/>
      <c r="BR779" s="75"/>
      <c r="BS779" s="75"/>
      <c r="BT779" s="75"/>
      <c r="BU779" s="76"/>
      <c r="BV779" s="75"/>
      <c r="BW779" s="75"/>
    </row>
    <row r="780" spans="58:75" ht="15.75" customHeight="1">
      <c r="BF780" s="34"/>
      <c r="BO780" s="75"/>
      <c r="BP780" s="75"/>
      <c r="BQ780" s="75"/>
      <c r="BR780" s="75"/>
      <c r="BS780" s="75"/>
      <c r="BT780" s="75"/>
      <c r="BU780" s="76"/>
      <c r="BV780" s="75"/>
      <c r="BW780" s="75"/>
    </row>
    <row r="781" spans="58:75" ht="15.75" customHeight="1">
      <c r="BF781" s="34"/>
      <c r="BO781" s="75"/>
      <c r="BP781" s="75"/>
      <c r="BQ781" s="75"/>
      <c r="BR781" s="75"/>
      <c r="BS781" s="75"/>
      <c r="BT781" s="75"/>
      <c r="BU781" s="76"/>
      <c r="BV781" s="75"/>
      <c r="BW781" s="75"/>
    </row>
    <row r="782" spans="58:75" ht="15.75" customHeight="1">
      <c r="BF782" s="34"/>
      <c r="BO782" s="75"/>
      <c r="BP782" s="75"/>
      <c r="BQ782" s="75"/>
      <c r="BR782" s="75"/>
      <c r="BS782" s="75"/>
      <c r="BT782" s="75"/>
      <c r="BU782" s="76"/>
      <c r="BV782" s="75"/>
      <c r="BW782" s="75"/>
    </row>
    <row r="783" spans="58:75" ht="15.75" customHeight="1">
      <c r="BF783" s="34"/>
      <c r="BO783" s="75"/>
      <c r="BP783" s="75"/>
      <c r="BQ783" s="75"/>
      <c r="BR783" s="75"/>
      <c r="BS783" s="75"/>
      <c r="BT783" s="75"/>
      <c r="BU783" s="76"/>
      <c r="BV783" s="75"/>
      <c r="BW783" s="75"/>
    </row>
    <row r="784" spans="58:75" ht="15.75" customHeight="1">
      <c r="BF784" s="34"/>
      <c r="BO784" s="75"/>
      <c r="BP784" s="75"/>
      <c r="BQ784" s="75"/>
      <c r="BR784" s="75"/>
      <c r="BS784" s="75"/>
      <c r="BT784" s="75"/>
      <c r="BU784" s="76"/>
      <c r="BV784" s="75"/>
      <c r="BW784" s="75"/>
    </row>
    <row r="785" spans="58:75" ht="15.75" customHeight="1">
      <c r="BF785" s="34"/>
      <c r="BO785" s="75"/>
      <c r="BP785" s="75"/>
      <c r="BQ785" s="75"/>
      <c r="BR785" s="75"/>
      <c r="BS785" s="75"/>
      <c r="BT785" s="75"/>
      <c r="BU785" s="76"/>
      <c r="BV785" s="75"/>
      <c r="BW785" s="75"/>
    </row>
    <row r="786" spans="58:75" ht="15.75" customHeight="1">
      <c r="BF786" s="34"/>
      <c r="BO786" s="75"/>
      <c r="BP786" s="75"/>
      <c r="BQ786" s="75"/>
      <c r="BR786" s="75"/>
      <c r="BS786" s="75"/>
      <c r="BT786" s="75"/>
      <c r="BU786" s="76"/>
      <c r="BV786" s="75"/>
      <c r="BW786" s="75"/>
    </row>
    <row r="787" spans="58:75" ht="15.75" customHeight="1">
      <c r="BF787" s="34"/>
      <c r="BO787" s="75"/>
      <c r="BP787" s="75"/>
      <c r="BQ787" s="75"/>
      <c r="BR787" s="75"/>
      <c r="BS787" s="75"/>
      <c r="BT787" s="75"/>
      <c r="BU787" s="76"/>
      <c r="BV787" s="75"/>
      <c r="BW787" s="75"/>
    </row>
    <row r="788" spans="58:75" ht="15.75" customHeight="1">
      <c r="BF788" s="34"/>
      <c r="BO788" s="75"/>
      <c r="BP788" s="75"/>
      <c r="BQ788" s="75"/>
      <c r="BR788" s="75"/>
      <c r="BS788" s="75"/>
      <c r="BT788" s="75"/>
      <c r="BU788" s="76"/>
      <c r="BV788" s="75"/>
      <c r="BW788" s="75"/>
    </row>
    <row r="789" spans="58:75" ht="15.75" customHeight="1">
      <c r="BF789" s="34"/>
      <c r="BO789" s="75"/>
      <c r="BP789" s="75"/>
      <c r="BQ789" s="75"/>
      <c r="BR789" s="75"/>
      <c r="BS789" s="75"/>
      <c r="BT789" s="75"/>
      <c r="BU789" s="76"/>
      <c r="BV789" s="75"/>
      <c r="BW789" s="75"/>
    </row>
    <row r="790" spans="58:75" ht="15.75" customHeight="1">
      <c r="BF790" s="34"/>
      <c r="BO790" s="75"/>
      <c r="BP790" s="75"/>
      <c r="BQ790" s="75"/>
      <c r="BR790" s="75"/>
      <c r="BS790" s="75"/>
      <c r="BT790" s="75"/>
      <c r="BU790" s="76"/>
      <c r="BV790" s="75"/>
      <c r="BW790" s="75"/>
    </row>
    <row r="791" spans="58:75" ht="15.75" customHeight="1">
      <c r="BF791" s="34"/>
      <c r="BO791" s="75"/>
      <c r="BP791" s="75"/>
      <c r="BQ791" s="75"/>
      <c r="BR791" s="75"/>
      <c r="BS791" s="75"/>
      <c r="BT791" s="75"/>
      <c r="BU791" s="76"/>
      <c r="BV791" s="75"/>
      <c r="BW791" s="75"/>
    </row>
    <row r="792" spans="58:75" ht="15.75" customHeight="1">
      <c r="BF792" s="34"/>
      <c r="BO792" s="75"/>
      <c r="BP792" s="75"/>
      <c r="BQ792" s="75"/>
      <c r="BR792" s="75"/>
      <c r="BS792" s="75"/>
      <c r="BT792" s="75"/>
      <c r="BU792" s="76"/>
      <c r="BV792" s="75"/>
      <c r="BW792" s="75"/>
    </row>
    <row r="793" spans="58:75" ht="15.75" customHeight="1">
      <c r="BF793" s="34"/>
      <c r="BO793" s="75"/>
      <c r="BP793" s="75"/>
      <c r="BQ793" s="75"/>
      <c r="BR793" s="75"/>
      <c r="BS793" s="75"/>
      <c r="BT793" s="75"/>
      <c r="BU793" s="76"/>
      <c r="BV793" s="75"/>
      <c r="BW793" s="75"/>
    </row>
    <row r="794" spans="58:75" ht="15.75" customHeight="1">
      <c r="BF794" s="34"/>
      <c r="BO794" s="75"/>
      <c r="BP794" s="75"/>
      <c r="BQ794" s="75"/>
      <c r="BR794" s="75"/>
      <c r="BS794" s="75"/>
      <c r="BT794" s="75"/>
      <c r="BU794" s="76"/>
      <c r="BV794" s="75"/>
      <c r="BW794" s="75"/>
    </row>
    <row r="795" spans="58:75" ht="15.75" customHeight="1">
      <c r="BF795" s="34"/>
      <c r="BO795" s="75"/>
      <c r="BP795" s="75"/>
      <c r="BQ795" s="75"/>
      <c r="BR795" s="75"/>
      <c r="BS795" s="75"/>
      <c r="BT795" s="75"/>
      <c r="BU795" s="76"/>
      <c r="BV795" s="75"/>
      <c r="BW795" s="75"/>
    </row>
    <row r="796" spans="58:75" ht="15.75" customHeight="1">
      <c r="BF796" s="34"/>
      <c r="BO796" s="75"/>
      <c r="BP796" s="75"/>
      <c r="BQ796" s="75"/>
      <c r="BR796" s="75"/>
      <c r="BS796" s="75"/>
      <c r="BT796" s="75"/>
      <c r="BU796" s="76"/>
      <c r="BV796" s="75"/>
      <c r="BW796" s="75"/>
    </row>
    <row r="797" spans="58:75" ht="15.75" customHeight="1">
      <c r="BF797" s="34"/>
      <c r="BO797" s="75"/>
      <c r="BP797" s="75"/>
      <c r="BQ797" s="75"/>
      <c r="BR797" s="75"/>
      <c r="BS797" s="75"/>
      <c r="BT797" s="75"/>
      <c r="BU797" s="76"/>
      <c r="BV797" s="75"/>
      <c r="BW797" s="75"/>
    </row>
    <row r="798" spans="58:75" ht="15.75" customHeight="1">
      <c r="BF798" s="34"/>
      <c r="BO798" s="75"/>
      <c r="BP798" s="75"/>
      <c r="BQ798" s="75"/>
      <c r="BR798" s="75"/>
      <c r="BS798" s="75"/>
      <c r="BT798" s="75"/>
      <c r="BU798" s="76"/>
      <c r="BV798" s="75"/>
      <c r="BW798" s="75"/>
    </row>
    <row r="799" spans="58:75" ht="15.75" customHeight="1">
      <c r="BF799" s="34"/>
      <c r="BO799" s="75"/>
      <c r="BP799" s="75"/>
      <c r="BQ799" s="75"/>
      <c r="BR799" s="75"/>
      <c r="BS799" s="75"/>
      <c r="BT799" s="75"/>
      <c r="BU799" s="76"/>
      <c r="BV799" s="75"/>
      <c r="BW799" s="75"/>
    </row>
    <row r="800" spans="58:75" ht="15.75" customHeight="1">
      <c r="BF800" s="34"/>
      <c r="BO800" s="75"/>
      <c r="BP800" s="75"/>
      <c r="BQ800" s="75"/>
      <c r="BR800" s="75"/>
      <c r="BS800" s="75"/>
      <c r="BT800" s="75"/>
      <c r="BU800" s="76"/>
      <c r="BV800" s="75"/>
      <c r="BW800" s="75"/>
    </row>
    <row r="801" spans="58:75" ht="15.75" customHeight="1">
      <c r="BF801" s="34"/>
      <c r="BO801" s="75"/>
      <c r="BP801" s="75"/>
      <c r="BQ801" s="75"/>
      <c r="BR801" s="75"/>
      <c r="BS801" s="75"/>
      <c r="BT801" s="75"/>
      <c r="BU801" s="76"/>
      <c r="BV801" s="75"/>
      <c r="BW801" s="75"/>
    </row>
    <row r="802" spans="58:75" ht="15.75" customHeight="1">
      <c r="BF802" s="34"/>
      <c r="BO802" s="75"/>
      <c r="BP802" s="75"/>
      <c r="BQ802" s="75"/>
      <c r="BR802" s="75"/>
      <c r="BS802" s="75"/>
      <c r="BT802" s="75"/>
      <c r="BU802" s="76"/>
      <c r="BV802" s="75"/>
      <c r="BW802" s="75"/>
    </row>
    <row r="803" spans="58:75" ht="15.75" customHeight="1">
      <c r="BF803" s="34"/>
      <c r="BO803" s="75"/>
      <c r="BP803" s="75"/>
      <c r="BQ803" s="75"/>
      <c r="BR803" s="75"/>
      <c r="BS803" s="75"/>
      <c r="BT803" s="75"/>
      <c r="BU803" s="76"/>
      <c r="BV803" s="75"/>
      <c r="BW803" s="75"/>
    </row>
    <row r="804" spans="58:75" ht="15.75" customHeight="1">
      <c r="BF804" s="34"/>
      <c r="BO804" s="75"/>
      <c r="BP804" s="75"/>
      <c r="BQ804" s="75"/>
      <c r="BR804" s="75"/>
      <c r="BS804" s="75"/>
      <c r="BT804" s="75"/>
      <c r="BU804" s="76"/>
      <c r="BV804" s="75"/>
      <c r="BW804" s="75"/>
    </row>
    <row r="805" spans="58:75" ht="15.75" customHeight="1">
      <c r="BF805" s="34"/>
      <c r="BO805" s="75"/>
      <c r="BP805" s="75"/>
      <c r="BQ805" s="75"/>
      <c r="BR805" s="75"/>
      <c r="BS805" s="75"/>
      <c r="BT805" s="75"/>
      <c r="BU805" s="76"/>
      <c r="BV805" s="75"/>
      <c r="BW805" s="75"/>
    </row>
    <row r="806" spans="58:75" ht="15.75" customHeight="1">
      <c r="BF806" s="34"/>
      <c r="BO806" s="75"/>
      <c r="BP806" s="75"/>
      <c r="BQ806" s="75"/>
      <c r="BR806" s="75"/>
      <c r="BS806" s="75"/>
      <c r="BT806" s="75"/>
      <c r="BU806" s="76"/>
      <c r="BV806" s="75"/>
      <c r="BW806" s="75"/>
    </row>
    <row r="807" spans="58:75" ht="15.75" customHeight="1">
      <c r="BF807" s="34"/>
      <c r="BO807" s="75"/>
      <c r="BP807" s="75"/>
      <c r="BQ807" s="75"/>
      <c r="BR807" s="75"/>
      <c r="BS807" s="75"/>
      <c r="BT807" s="75"/>
      <c r="BU807" s="76"/>
      <c r="BV807" s="75"/>
      <c r="BW807" s="75"/>
    </row>
    <row r="808" spans="58:75" ht="15.75" customHeight="1">
      <c r="BF808" s="34"/>
      <c r="BO808" s="75"/>
      <c r="BP808" s="75"/>
      <c r="BQ808" s="75"/>
      <c r="BR808" s="75"/>
      <c r="BS808" s="75"/>
      <c r="BT808" s="75"/>
      <c r="BU808" s="76"/>
      <c r="BV808" s="75"/>
      <c r="BW808" s="75"/>
    </row>
    <row r="809" spans="58:75" ht="15.75" customHeight="1">
      <c r="BF809" s="34"/>
      <c r="BO809" s="75"/>
      <c r="BP809" s="75"/>
      <c r="BQ809" s="75"/>
      <c r="BR809" s="75"/>
      <c r="BS809" s="75"/>
      <c r="BT809" s="75"/>
      <c r="BU809" s="76"/>
      <c r="BV809" s="75"/>
      <c r="BW809" s="75"/>
    </row>
    <row r="810" spans="58:75" ht="15.75" customHeight="1">
      <c r="BF810" s="34"/>
      <c r="BO810" s="75"/>
      <c r="BP810" s="75"/>
      <c r="BQ810" s="75"/>
      <c r="BR810" s="75"/>
      <c r="BS810" s="75"/>
      <c r="BT810" s="75"/>
      <c r="BU810" s="76"/>
      <c r="BV810" s="75"/>
      <c r="BW810" s="75"/>
    </row>
    <row r="811" spans="58:75" ht="15.75" customHeight="1">
      <c r="BF811" s="34"/>
      <c r="BO811" s="75"/>
      <c r="BP811" s="75"/>
      <c r="BQ811" s="75"/>
      <c r="BR811" s="75"/>
      <c r="BS811" s="75"/>
      <c r="BT811" s="75"/>
      <c r="BU811" s="76"/>
      <c r="BV811" s="75"/>
      <c r="BW811" s="75"/>
    </row>
    <row r="812" spans="58:75" ht="15.75" customHeight="1">
      <c r="BF812" s="34"/>
      <c r="BO812" s="75"/>
      <c r="BP812" s="75"/>
      <c r="BQ812" s="75"/>
      <c r="BR812" s="75"/>
      <c r="BS812" s="75"/>
      <c r="BT812" s="75"/>
      <c r="BU812" s="76"/>
      <c r="BV812" s="75"/>
      <c r="BW812" s="75"/>
    </row>
    <row r="813" spans="58:75" ht="15.75" customHeight="1">
      <c r="BF813" s="34"/>
      <c r="BO813" s="75"/>
      <c r="BP813" s="75"/>
      <c r="BQ813" s="75"/>
      <c r="BR813" s="75"/>
      <c r="BS813" s="75"/>
      <c r="BT813" s="75"/>
      <c r="BU813" s="76"/>
      <c r="BV813" s="75"/>
      <c r="BW813" s="75"/>
    </row>
    <row r="814" spans="58:75" ht="15.75" customHeight="1">
      <c r="BF814" s="34"/>
      <c r="BO814" s="75"/>
      <c r="BP814" s="75"/>
      <c r="BQ814" s="75"/>
      <c r="BR814" s="75"/>
      <c r="BS814" s="75"/>
      <c r="BT814" s="75"/>
      <c r="BU814" s="76"/>
      <c r="BV814" s="75"/>
      <c r="BW814" s="75"/>
    </row>
    <row r="815" spans="58:75" ht="15.75" customHeight="1">
      <c r="BF815" s="34"/>
      <c r="BO815" s="75"/>
      <c r="BP815" s="75"/>
      <c r="BQ815" s="75"/>
      <c r="BR815" s="75"/>
      <c r="BS815" s="75"/>
      <c r="BT815" s="75"/>
      <c r="BU815" s="76"/>
      <c r="BV815" s="75"/>
      <c r="BW815" s="75"/>
    </row>
    <row r="816" spans="58:75" ht="15.75" customHeight="1">
      <c r="BF816" s="34"/>
      <c r="BO816" s="75"/>
      <c r="BP816" s="75"/>
      <c r="BQ816" s="75"/>
      <c r="BR816" s="75"/>
      <c r="BS816" s="75"/>
      <c r="BT816" s="75"/>
      <c r="BU816" s="76"/>
      <c r="BV816" s="75"/>
      <c r="BW816" s="75"/>
    </row>
    <row r="817" spans="58:75" ht="15.75" customHeight="1">
      <c r="BF817" s="34"/>
      <c r="BO817" s="75"/>
      <c r="BP817" s="75"/>
      <c r="BQ817" s="75"/>
      <c r="BR817" s="75"/>
      <c r="BS817" s="75"/>
      <c r="BT817" s="75"/>
      <c r="BU817" s="76"/>
      <c r="BV817" s="75"/>
      <c r="BW817" s="75"/>
    </row>
    <row r="818" spans="58:75" ht="15.75" customHeight="1">
      <c r="BF818" s="34"/>
      <c r="BO818" s="75"/>
      <c r="BP818" s="75"/>
      <c r="BQ818" s="75"/>
      <c r="BR818" s="75"/>
      <c r="BS818" s="75"/>
      <c r="BT818" s="75"/>
      <c r="BU818" s="76"/>
      <c r="BV818" s="75"/>
      <c r="BW818" s="75"/>
    </row>
    <row r="819" spans="58:75" ht="15.75" customHeight="1">
      <c r="BF819" s="34"/>
      <c r="BO819" s="75"/>
      <c r="BP819" s="75"/>
      <c r="BQ819" s="75"/>
      <c r="BR819" s="75"/>
      <c r="BS819" s="75"/>
      <c r="BT819" s="75"/>
      <c r="BU819" s="76"/>
      <c r="BV819" s="75"/>
      <c r="BW819" s="75"/>
    </row>
    <row r="820" spans="58:75" ht="15.75" customHeight="1">
      <c r="BF820" s="34"/>
      <c r="BO820" s="75"/>
      <c r="BP820" s="75"/>
      <c r="BQ820" s="75"/>
      <c r="BR820" s="75"/>
      <c r="BS820" s="75"/>
      <c r="BT820" s="75"/>
      <c r="BU820" s="76"/>
      <c r="BV820" s="75"/>
      <c r="BW820" s="75"/>
    </row>
    <row r="821" spans="58:75" ht="15.75" customHeight="1">
      <c r="BF821" s="34"/>
      <c r="BO821" s="75"/>
      <c r="BP821" s="75"/>
      <c r="BQ821" s="75"/>
      <c r="BR821" s="75"/>
      <c r="BS821" s="75"/>
      <c r="BT821" s="75"/>
      <c r="BU821" s="76"/>
      <c r="BV821" s="75"/>
      <c r="BW821" s="75"/>
    </row>
    <row r="822" spans="58:75" ht="15.75" customHeight="1">
      <c r="BF822" s="34"/>
      <c r="BO822" s="75"/>
      <c r="BP822" s="75"/>
      <c r="BQ822" s="75"/>
      <c r="BR822" s="75"/>
      <c r="BS822" s="75"/>
      <c r="BT822" s="75"/>
      <c r="BU822" s="76"/>
      <c r="BV822" s="75"/>
      <c r="BW822" s="75"/>
    </row>
    <row r="823" spans="58:75" ht="15.75" customHeight="1">
      <c r="BF823" s="34"/>
      <c r="BO823" s="75"/>
      <c r="BP823" s="75"/>
      <c r="BQ823" s="75"/>
      <c r="BR823" s="75"/>
      <c r="BS823" s="75"/>
      <c r="BT823" s="75"/>
      <c r="BU823" s="76"/>
      <c r="BV823" s="75"/>
      <c r="BW823" s="75"/>
    </row>
    <row r="824" spans="58:75" ht="15.75" customHeight="1">
      <c r="BF824" s="34"/>
      <c r="BO824" s="75"/>
      <c r="BP824" s="75"/>
      <c r="BQ824" s="75"/>
      <c r="BR824" s="75"/>
      <c r="BS824" s="75"/>
      <c r="BT824" s="75"/>
      <c r="BU824" s="76"/>
      <c r="BV824" s="75"/>
      <c r="BW824" s="75"/>
    </row>
    <row r="825" spans="58:75" ht="15.75" customHeight="1">
      <c r="BF825" s="34"/>
      <c r="BO825" s="75"/>
      <c r="BP825" s="75"/>
      <c r="BQ825" s="75"/>
      <c r="BR825" s="75"/>
      <c r="BS825" s="75"/>
      <c r="BT825" s="75"/>
      <c r="BU825" s="76"/>
      <c r="BV825" s="75"/>
      <c r="BW825" s="75"/>
    </row>
    <row r="826" spans="58:75" ht="15.75" customHeight="1">
      <c r="BF826" s="34"/>
      <c r="BO826" s="75"/>
      <c r="BP826" s="75"/>
      <c r="BQ826" s="75"/>
      <c r="BR826" s="75"/>
      <c r="BS826" s="75"/>
      <c r="BT826" s="75"/>
      <c r="BU826" s="76"/>
      <c r="BV826" s="75"/>
      <c r="BW826" s="75"/>
    </row>
    <row r="827" spans="58:75" ht="15.75" customHeight="1">
      <c r="BF827" s="34"/>
      <c r="BO827" s="75"/>
      <c r="BP827" s="75"/>
      <c r="BQ827" s="75"/>
      <c r="BR827" s="75"/>
      <c r="BS827" s="75"/>
      <c r="BT827" s="75"/>
      <c r="BU827" s="76"/>
      <c r="BV827" s="75"/>
      <c r="BW827" s="75"/>
    </row>
    <row r="828" spans="58:75" ht="15.75" customHeight="1">
      <c r="BF828" s="34"/>
      <c r="BO828" s="75"/>
      <c r="BP828" s="75"/>
      <c r="BQ828" s="75"/>
      <c r="BR828" s="75"/>
      <c r="BS828" s="75"/>
      <c r="BT828" s="75"/>
      <c r="BU828" s="76"/>
      <c r="BV828" s="75"/>
      <c r="BW828" s="75"/>
    </row>
    <row r="829" spans="58:75" ht="15.75" customHeight="1">
      <c r="BF829" s="34"/>
      <c r="BO829" s="75"/>
      <c r="BP829" s="75"/>
      <c r="BQ829" s="75"/>
      <c r="BR829" s="75"/>
      <c r="BS829" s="75"/>
      <c r="BT829" s="75"/>
      <c r="BU829" s="76"/>
      <c r="BV829" s="75"/>
      <c r="BW829" s="75"/>
    </row>
    <row r="830" spans="58:75" ht="15.75" customHeight="1">
      <c r="BF830" s="34"/>
      <c r="BO830" s="75"/>
      <c r="BP830" s="75"/>
      <c r="BQ830" s="75"/>
      <c r="BR830" s="75"/>
      <c r="BS830" s="75"/>
      <c r="BT830" s="75"/>
      <c r="BU830" s="76"/>
      <c r="BV830" s="75"/>
      <c r="BW830" s="75"/>
    </row>
    <row r="831" spans="58:75" ht="15.75" customHeight="1">
      <c r="BF831" s="34"/>
      <c r="BO831" s="75"/>
      <c r="BP831" s="75"/>
      <c r="BQ831" s="75"/>
      <c r="BR831" s="75"/>
      <c r="BS831" s="75"/>
      <c r="BT831" s="75"/>
      <c r="BU831" s="76"/>
      <c r="BV831" s="75"/>
      <c r="BW831" s="75"/>
    </row>
    <row r="832" spans="58:75" ht="15.75" customHeight="1">
      <c r="BF832" s="34"/>
      <c r="BO832" s="75"/>
      <c r="BP832" s="75"/>
      <c r="BQ832" s="75"/>
      <c r="BR832" s="75"/>
      <c r="BS832" s="75"/>
      <c r="BT832" s="75"/>
      <c r="BU832" s="76"/>
      <c r="BV832" s="75"/>
      <c r="BW832" s="75"/>
    </row>
    <row r="833" spans="58:75" ht="15.75" customHeight="1">
      <c r="BF833" s="34"/>
      <c r="BO833" s="75"/>
      <c r="BP833" s="75"/>
      <c r="BQ833" s="75"/>
      <c r="BR833" s="75"/>
      <c r="BS833" s="75"/>
      <c r="BT833" s="75"/>
      <c r="BU833" s="76"/>
      <c r="BV833" s="75"/>
      <c r="BW833" s="75"/>
    </row>
    <row r="834" spans="58:75" ht="15.75" customHeight="1">
      <c r="BF834" s="34"/>
      <c r="BO834" s="75"/>
      <c r="BP834" s="75"/>
      <c r="BQ834" s="75"/>
      <c r="BR834" s="75"/>
      <c r="BS834" s="75"/>
      <c r="BT834" s="75"/>
      <c r="BU834" s="76"/>
      <c r="BV834" s="75"/>
      <c r="BW834" s="75"/>
    </row>
    <row r="835" spans="58:75" ht="15.75" customHeight="1">
      <c r="BF835" s="34"/>
      <c r="BO835" s="75"/>
      <c r="BP835" s="75"/>
      <c r="BQ835" s="75"/>
      <c r="BR835" s="75"/>
      <c r="BS835" s="75"/>
      <c r="BT835" s="75"/>
      <c r="BU835" s="76"/>
      <c r="BV835" s="75"/>
      <c r="BW835" s="75"/>
    </row>
    <row r="836" spans="58:75" ht="15.75" customHeight="1">
      <c r="BF836" s="34"/>
      <c r="BO836" s="75"/>
      <c r="BP836" s="75"/>
      <c r="BQ836" s="75"/>
      <c r="BR836" s="75"/>
      <c r="BS836" s="75"/>
      <c r="BT836" s="75"/>
      <c r="BU836" s="76"/>
      <c r="BV836" s="75"/>
      <c r="BW836" s="75"/>
    </row>
    <row r="837" spans="58:75" ht="15.75" customHeight="1">
      <c r="BF837" s="34"/>
      <c r="BO837" s="75"/>
      <c r="BP837" s="75"/>
      <c r="BQ837" s="75"/>
      <c r="BR837" s="75"/>
      <c r="BS837" s="75"/>
      <c r="BT837" s="75"/>
      <c r="BU837" s="76"/>
      <c r="BV837" s="75"/>
      <c r="BW837" s="75"/>
    </row>
    <row r="838" spans="58:75" ht="15.75" customHeight="1">
      <c r="BF838" s="34"/>
      <c r="BO838" s="75"/>
      <c r="BP838" s="75"/>
      <c r="BQ838" s="75"/>
      <c r="BR838" s="75"/>
      <c r="BS838" s="75"/>
      <c r="BT838" s="75"/>
      <c r="BU838" s="76"/>
      <c r="BV838" s="75"/>
      <c r="BW838" s="75"/>
    </row>
    <row r="839" spans="58:75" ht="15.75" customHeight="1">
      <c r="BF839" s="34"/>
      <c r="BO839" s="75"/>
      <c r="BP839" s="75"/>
      <c r="BQ839" s="75"/>
      <c r="BR839" s="75"/>
      <c r="BS839" s="75"/>
      <c r="BT839" s="75"/>
      <c r="BU839" s="76"/>
      <c r="BV839" s="75"/>
      <c r="BW839" s="75"/>
    </row>
    <row r="840" spans="58:75" ht="15.75" customHeight="1">
      <c r="BF840" s="34"/>
      <c r="BO840" s="75"/>
      <c r="BP840" s="75"/>
      <c r="BQ840" s="75"/>
      <c r="BR840" s="75"/>
      <c r="BS840" s="75"/>
      <c r="BT840" s="75"/>
      <c r="BU840" s="76"/>
      <c r="BV840" s="75"/>
      <c r="BW840" s="75"/>
    </row>
    <row r="841" spans="58:75" ht="15.75" customHeight="1">
      <c r="BF841" s="34"/>
      <c r="BO841" s="75"/>
      <c r="BP841" s="75"/>
      <c r="BQ841" s="75"/>
      <c r="BR841" s="75"/>
      <c r="BS841" s="75"/>
      <c r="BT841" s="75"/>
      <c r="BU841" s="76"/>
      <c r="BV841" s="75"/>
      <c r="BW841" s="75"/>
    </row>
    <row r="842" spans="58:75" ht="15.75" customHeight="1">
      <c r="BF842" s="34"/>
      <c r="BO842" s="75"/>
      <c r="BP842" s="75"/>
      <c r="BQ842" s="75"/>
      <c r="BR842" s="75"/>
      <c r="BS842" s="75"/>
      <c r="BT842" s="75"/>
      <c r="BU842" s="76"/>
      <c r="BV842" s="75"/>
      <c r="BW842" s="75"/>
    </row>
    <row r="843" spans="58:75" ht="15.75" customHeight="1">
      <c r="BF843" s="34"/>
      <c r="BO843" s="75"/>
      <c r="BP843" s="75"/>
      <c r="BQ843" s="75"/>
      <c r="BR843" s="75"/>
      <c r="BS843" s="75"/>
      <c r="BT843" s="75"/>
      <c r="BU843" s="76"/>
      <c r="BV843" s="75"/>
      <c r="BW843" s="75"/>
    </row>
    <row r="844" spans="58:75" ht="15.75" customHeight="1">
      <c r="BF844" s="34"/>
      <c r="BO844" s="75"/>
      <c r="BP844" s="75"/>
      <c r="BQ844" s="75"/>
      <c r="BR844" s="75"/>
      <c r="BS844" s="75"/>
      <c r="BT844" s="75"/>
      <c r="BU844" s="76"/>
      <c r="BV844" s="75"/>
      <c r="BW844" s="75"/>
    </row>
    <row r="845" spans="58:75" ht="15.75" customHeight="1">
      <c r="BF845" s="34"/>
      <c r="BO845" s="75"/>
      <c r="BP845" s="75"/>
      <c r="BQ845" s="75"/>
      <c r="BR845" s="75"/>
      <c r="BS845" s="75"/>
      <c r="BT845" s="75"/>
      <c r="BU845" s="76"/>
      <c r="BV845" s="75"/>
      <c r="BW845" s="75"/>
    </row>
    <row r="846" spans="58:75" ht="15.75" customHeight="1">
      <c r="BF846" s="34"/>
      <c r="BO846" s="75"/>
      <c r="BP846" s="75"/>
      <c r="BQ846" s="75"/>
      <c r="BR846" s="75"/>
      <c r="BS846" s="75"/>
      <c r="BT846" s="75"/>
      <c r="BU846" s="76"/>
      <c r="BV846" s="75"/>
      <c r="BW846" s="75"/>
    </row>
    <row r="847" spans="58:75" ht="15.75" customHeight="1">
      <c r="BF847" s="34"/>
      <c r="BO847" s="75"/>
      <c r="BP847" s="75"/>
      <c r="BQ847" s="75"/>
      <c r="BR847" s="75"/>
      <c r="BS847" s="75"/>
      <c r="BT847" s="75"/>
      <c r="BU847" s="76"/>
      <c r="BV847" s="75"/>
      <c r="BW847" s="75"/>
    </row>
    <row r="848" spans="58:75" ht="15.75" customHeight="1">
      <c r="BF848" s="34"/>
      <c r="BO848" s="75"/>
      <c r="BP848" s="75"/>
      <c r="BQ848" s="75"/>
      <c r="BR848" s="75"/>
      <c r="BS848" s="75"/>
      <c r="BT848" s="75"/>
      <c r="BU848" s="76"/>
      <c r="BV848" s="75"/>
      <c r="BW848" s="75"/>
    </row>
    <row r="849" spans="58:75" ht="15.75" customHeight="1">
      <c r="BF849" s="34"/>
      <c r="BO849" s="75"/>
      <c r="BP849" s="75"/>
      <c r="BQ849" s="75"/>
      <c r="BR849" s="75"/>
      <c r="BS849" s="75"/>
      <c r="BT849" s="75"/>
      <c r="BU849" s="76"/>
      <c r="BV849" s="75"/>
      <c r="BW849" s="75"/>
    </row>
    <row r="850" spans="58:75" ht="15.75" customHeight="1">
      <c r="BF850" s="34"/>
      <c r="BO850" s="75"/>
      <c r="BP850" s="75"/>
      <c r="BQ850" s="75"/>
      <c r="BR850" s="75"/>
      <c r="BS850" s="75"/>
      <c r="BT850" s="75"/>
      <c r="BU850" s="76"/>
      <c r="BV850" s="75"/>
      <c r="BW850" s="75"/>
    </row>
    <row r="851" spans="58:75" ht="15.75" customHeight="1">
      <c r="BF851" s="34"/>
      <c r="BO851" s="75"/>
      <c r="BP851" s="75"/>
      <c r="BQ851" s="75"/>
      <c r="BR851" s="75"/>
      <c r="BS851" s="75"/>
      <c r="BT851" s="75"/>
      <c r="BU851" s="76"/>
      <c r="BV851" s="75"/>
      <c r="BW851" s="75"/>
    </row>
    <row r="852" spans="58:75" ht="15.75" customHeight="1">
      <c r="BF852" s="34"/>
      <c r="BO852" s="75"/>
      <c r="BP852" s="75"/>
      <c r="BQ852" s="75"/>
      <c r="BR852" s="75"/>
      <c r="BS852" s="75"/>
      <c r="BT852" s="75"/>
      <c r="BU852" s="76"/>
      <c r="BV852" s="75"/>
      <c r="BW852" s="75"/>
    </row>
    <row r="853" spans="58:75" ht="15.75" customHeight="1">
      <c r="BF853" s="34"/>
      <c r="BO853" s="75"/>
      <c r="BP853" s="75"/>
      <c r="BQ853" s="75"/>
      <c r="BR853" s="75"/>
      <c r="BS853" s="75"/>
      <c r="BT853" s="75"/>
      <c r="BU853" s="76"/>
      <c r="BV853" s="75"/>
      <c r="BW853" s="75"/>
    </row>
    <row r="854" spans="58:75" ht="15.75" customHeight="1">
      <c r="BF854" s="34"/>
      <c r="BO854" s="75"/>
      <c r="BP854" s="75"/>
      <c r="BQ854" s="75"/>
      <c r="BR854" s="75"/>
      <c r="BS854" s="75"/>
      <c r="BT854" s="75"/>
      <c r="BU854" s="76"/>
      <c r="BV854" s="75"/>
      <c r="BW854" s="75"/>
    </row>
    <row r="855" spans="58:75" ht="15.75" customHeight="1">
      <c r="BF855" s="34"/>
      <c r="BO855" s="75"/>
      <c r="BP855" s="75"/>
      <c r="BQ855" s="75"/>
      <c r="BR855" s="75"/>
      <c r="BS855" s="75"/>
      <c r="BT855" s="75"/>
      <c r="BU855" s="76"/>
      <c r="BV855" s="75"/>
      <c r="BW855" s="75"/>
    </row>
    <row r="856" spans="58:75" ht="15.75" customHeight="1">
      <c r="BF856" s="34"/>
      <c r="BO856" s="75"/>
      <c r="BP856" s="75"/>
      <c r="BQ856" s="75"/>
      <c r="BR856" s="75"/>
      <c r="BS856" s="75"/>
      <c r="BT856" s="75"/>
      <c r="BU856" s="76"/>
      <c r="BV856" s="75"/>
      <c r="BW856" s="75"/>
    </row>
    <row r="857" spans="58:75" ht="15.75" customHeight="1">
      <c r="BF857" s="34"/>
      <c r="BO857" s="75"/>
      <c r="BP857" s="75"/>
      <c r="BQ857" s="75"/>
      <c r="BR857" s="75"/>
      <c r="BS857" s="75"/>
      <c r="BT857" s="75"/>
      <c r="BU857" s="76"/>
      <c r="BV857" s="75"/>
      <c r="BW857" s="75"/>
    </row>
    <row r="858" spans="58:75" ht="15.75" customHeight="1">
      <c r="BF858" s="34"/>
      <c r="BO858" s="75"/>
      <c r="BP858" s="75"/>
      <c r="BQ858" s="75"/>
      <c r="BR858" s="75"/>
      <c r="BS858" s="75"/>
      <c r="BT858" s="75"/>
      <c r="BU858" s="76"/>
      <c r="BV858" s="75"/>
      <c r="BW858" s="75"/>
    </row>
    <row r="859" spans="58:75" ht="15.75" customHeight="1">
      <c r="BF859" s="34"/>
      <c r="BO859" s="75"/>
      <c r="BP859" s="75"/>
      <c r="BQ859" s="75"/>
      <c r="BR859" s="75"/>
      <c r="BS859" s="75"/>
      <c r="BT859" s="75"/>
      <c r="BU859" s="76"/>
      <c r="BV859" s="75"/>
      <c r="BW859" s="75"/>
    </row>
    <row r="860" spans="58:75" ht="15.75" customHeight="1">
      <c r="BF860" s="34"/>
      <c r="BO860" s="75"/>
      <c r="BP860" s="75"/>
      <c r="BQ860" s="75"/>
      <c r="BR860" s="75"/>
      <c r="BS860" s="75"/>
      <c r="BT860" s="75"/>
      <c r="BU860" s="76"/>
      <c r="BV860" s="75"/>
      <c r="BW860" s="75"/>
    </row>
    <row r="861" spans="58:75" ht="15.75" customHeight="1">
      <c r="BF861" s="34"/>
      <c r="BO861" s="75"/>
      <c r="BP861" s="75"/>
      <c r="BQ861" s="75"/>
      <c r="BR861" s="75"/>
      <c r="BS861" s="75"/>
      <c r="BT861" s="75"/>
      <c r="BU861" s="76"/>
      <c r="BV861" s="75"/>
      <c r="BW861" s="75"/>
    </row>
    <row r="862" spans="58:75" ht="15.75" customHeight="1">
      <c r="BF862" s="34"/>
      <c r="BO862" s="75"/>
      <c r="BP862" s="75"/>
      <c r="BQ862" s="75"/>
      <c r="BR862" s="75"/>
      <c r="BS862" s="75"/>
      <c r="BT862" s="75"/>
      <c r="BU862" s="76"/>
      <c r="BV862" s="75"/>
      <c r="BW862" s="75"/>
    </row>
    <row r="863" spans="58:75" ht="15.75" customHeight="1">
      <c r="BF863" s="34"/>
      <c r="BO863" s="75"/>
      <c r="BP863" s="75"/>
      <c r="BQ863" s="75"/>
      <c r="BR863" s="75"/>
      <c r="BS863" s="75"/>
      <c r="BT863" s="75"/>
      <c r="BU863" s="76"/>
      <c r="BV863" s="75"/>
      <c r="BW863" s="75"/>
    </row>
    <row r="864" spans="58:75" ht="15.75" customHeight="1">
      <c r="BF864" s="34"/>
      <c r="BO864" s="75"/>
      <c r="BP864" s="75"/>
      <c r="BQ864" s="75"/>
      <c r="BR864" s="75"/>
      <c r="BS864" s="75"/>
      <c r="BT864" s="75"/>
      <c r="BU864" s="76"/>
      <c r="BV864" s="75"/>
      <c r="BW864" s="75"/>
    </row>
    <row r="865" spans="58:75" ht="15.75" customHeight="1">
      <c r="BF865" s="34"/>
      <c r="BO865" s="75"/>
      <c r="BP865" s="75"/>
      <c r="BQ865" s="75"/>
      <c r="BR865" s="75"/>
      <c r="BS865" s="75"/>
      <c r="BT865" s="75"/>
      <c r="BU865" s="76"/>
      <c r="BV865" s="75"/>
      <c r="BW865" s="75"/>
    </row>
    <row r="866" spans="58:75" ht="15.75" customHeight="1">
      <c r="BF866" s="34"/>
      <c r="BO866" s="75"/>
      <c r="BP866" s="75"/>
      <c r="BQ866" s="75"/>
      <c r="BR866" s="75"/>
      <c r="BS866" s="75"/>
      <c r="BT866" s="75"/>
      <c r="BU866" s="76"/>
      <c r="BV866" s="75"/>
      <c r="BW866" s="75"/>
    </row>
    <row r="867" spans="58:75" ht="15.75" customHeight="1">
      <c r="BF867" s="34"/>
      <c r="BO867" s="75"/>
      <c r="BP867" s="75"/>
      <c r="BQ867" s="75"/>
      <c r="BR867" s="75"/>
      <c r="BS867" s="75"/>
      <c r="BT867" s="75"/>
      <c r="BU867" s="76"/>
      <c r="BV867" s="75"/>
      <c r="BW867" s="75"/>
    </row>
    <row r="868" spans="58:75" ht="15.75" customHeight="1">
      <c r="BF868" s="34"/>
      <c r="BO868" s="75"/>
      <c r="BP868" s="75"/>
      <c r="BQ868" s="75"/>
      <c r="BR868" s="75"/>
      <c r="BS868" s="75"/>
      <c r="BT868" s="75"/>
      <c r="BU868" s="76"/>
      <c r="BV868" s="75"/>
      <c r="BW868" s="75"/>
    </row>
    <row r="869" spans="58:75" ht="15.75" customHeight="1">
      <c r="BF869" s="34"/>
      <c r="BO869" s="75"/>
      <c r="BP869" s="75"/>
      <c r="BQ869" s="75"/>
      <c r="BR869" s="75"/>
      <c r="BS869" s="75"/>
      <c r="BT869" s="75"/>
      <c r="BU869" s="76"/>
      <c r="BV869" s="75"/>
      <c r="BW869" s="75"/>
    </row>
    <row r="870" spans="58:75" ht="15.75" customHeight="1">
      <c r="BF870" s="34"/>
      <c r="BO870" s="75"/>
      <c r="BP870" s="75"/>
      <c r="BQ870" s="75"/>
      <c r="BR870" s="75"/>
      <c r="BS870" s="75"/>
      <c r="BT870" s="75"/>
      <c r="BU870" s="76"/>
      <c r="BV870" s="75"/>
      <c r="BW870" s="75"/>
    </row>
    <row r="871" spans="58:75" ht="15.75" customHeight="1">
      <c r="BF871" s="34"/>
      <c r="BO871" s="75"/>
      <c r="BP871" s="75"/>
      <c r="BQ871" s="75"/>
      <c r="BR871" s="75"/>
      <c r="BS871" s="75"/>
      <c r="BT871" s="75"/>
      <c r="BU871" s="76"/>
      <c r="BV871" s="75"/>
      <c r="BW871" s="75"/>
    </row>
    <row r="872" spans="58:75" ht="15.75" customHeight="1">
      <c r="BF872" s="34"/>
      <c r="BO872" s="75"/>
      <c r="BP872" s="75"/>
      <c r="BQ872" s="75"/>
      <c r="BR872" s="75"/>
      <c r="BS872" s="75"/>
      <c r="BT872" s="75"/>
      <c r="BU872" s="76"/>
      <c r="BV872" s="75"/>
      <c r="BW872" s="75"/>
    </row>
    <row r="873" spans="58:75" ht="15.75" customHeight="1">
      <c r="BF873" s="34"/>
      <c r="BO873" s="75"/>
      <c r="BP873" s="75"/>
      <c r="BQ873" s="75"/>
      <c r="BR873" s="75"/>
      <c r="BS873" s="75"/>
      <c r="BT873" s="75"/>
      <c r="BU873" s="76"/>
      <c r="BV873" s="75"/>
      <c r="BW873" s="75"/>
    </row>
    <row r="874" spans="58:75" ht="15.75" customHeight="1">
      <c r="BF874" s="34"/>
      <c r="BO874" s="75"/>
      <c r="BP874" s="75"/>
      <c r="BQ874" s="75"/>
      <c r="BR874" s="75"/>
      <c r="BS874" s="75"/>
      <c r="BT874" s="75"/>
      <c r="BU874" s="76"/>
      <c r="BV874" s="75"/>
      <c r="BW874" s="75"/>
    </row>
    <row r="875" spans="58:75" ht="15.75" customHeight="1">
      <c r="BF875" s="34"/>
      <c r="BO875" s="75"/>
      <c r="BP875" s="75"/>
      <c r="BQ875" s="75"/>
      <c r="BR875" s="75"/>
      <c r="BS875" s="75"/>
      <c r="BT875" s="75"/>
      <c r="BU875" s="76"/>
      <c r="BV875" s="75"/>
      <c r="BW875" s="75"/>
    </row>
    <row r="876" spans="58:75" ht="15.75" customHeight="1">
      <c r="BF876" s="34"/>
      <c r="BO876" s="75"/>
      <c r="BP876" s="75"/>
      <c r="BQ876" s="75"/>
      <c r="BR876" s="75"/>
      <c r="BS876" s="75"/>
      <c r="BT876" s="75"/>
      <c r="BU876" s="76"/>
      <c r="BV876" s="75"/>
      <c r="BW876" s="75"/>
    </row>
    <row r="877" spans="58:75" ht="15.75" customHeight="1">
      <c r="BF877" s="34"/>
      <c r="BO877" s="75"/>
      <c r="BP877" s="75"/>
      <c r="BQ877" s="75"/>
      <c r="BR877" s="75"/>
      <c r="BS877" s="75"/>
      <c r="BT877" s="75"/>
      <c r="BU877" s="76"/>
      <c r="BV877" s="75"/>
      <c r="BW877" s="75"/>
    </row>
    <row r="878" spans="58:75" ht="15.75" customHeight="1">
      <c r="BF878" s="34"/>
      <c r="BO878" s="75"/>
      <c r="BP878" s="75"/>
      <c r="BQ878" s="75"/>
      <c r="BR878" s="75"/>
      <c r="BS878" s="75"/>
      <c r="BT878" s="75"/>
      <c r="BU878" s="76"/>
      <c r="BV878" s="75"/>
      <c r="BW878" s="75"/>
    </row>
    <row r="879" spans="58:75" ht="15.75" customHeight="1">
      <c r="BF879" s="34"/>
      <c r="BO879" s="75"/>
      <c r="BP879" s="75"/>
      <c r="BQ879" s="75"/>
      <c r="BR879" s="75"/>
      <c r="BS879" s="75"/>
      <c r="BT879" s="75"/>
      <c r="BU879" s="76"/>
      <c r="BV879" s="75"/>
      <c r="BW879" s="75"/>
    </row>
    <row r="880" spans="58:75" ht="15.75" customHeight="1">
      <c r="BF880" s="34"/>
      <c r="BO880" s="75"/>
      <c r="BP880" s="75"/>
      <c r="BQ880" s="75"/>
      <c r="BR880" s="75"/>
      <c r="BS880" s="75"/>
      <c r="BT880" s="75"/>
      <c r="BU880" s="76"/>
      <c r="BV880" s="75"/>
      <c r="BW880" s="75"/>
    </row>
    <row r="881" spans="58:75" ht="15.75" customHeight="1">
      <c r="BF881" s="34"/>
      <c r="BO881" s="75"/>
      <c r="BP881" s="75"/>
      <c r="BQ881" s="75"/>
      <c r="BR881" s="75"/>
      <c r="BS881" s="75"/>
      <c r="BT881" s="75"/>
      <c r="BU881" s="76"/>
      <c r="BV881" s="75"/>
      <c r="BW881" s="75"/>
    </row>
    <row r="882" spans="58:75" ht="15.75" customHeight="1">
      <c r="BF882" s="34"/>
      <c r="BO882" s="75"/>
      <c r="BP882" s="75"/>
      <c r="BQ882" s="75"/>
      <c r="BR882" s="75"/>
      <c r="BS882" s="75"/>
      <c r="BT882" s="75"/>
      <c r="BU882" s="76"/>
      <c r="BV882" s="75"/>
      <c r="BW882" s="75"/>
    </row>
    <row r="883" spans="58:75" ht="15.75" customHeight="1">
      <c r="BF883" s="34"/>
      <c r="BO883" s="75"/>
      <c r="BP883" s="75"/>
      <c r="BQ883" s="75"/>
      <c r="BR883" s="75"/>
      <c r="BS883" s="75"/>
      <c r="BT883" s="75"/>
      <c r="BU883" s="76"/>
      <c r="BV883" s="75"/>
      <c r="BW883" s="75"/>
    </row>
    <row r="884" spans="58:75" ht="15.75" customHeight="1">
      <c r="BF884" s="34"/>
      <c r="BO884" s="75"/>
      <c r="BP884" s="75"/>
      <c r="BQ884" s="75"/>
      <c r="BR884" s="75"/>
      <c r="BS884" s="75"/>
      <c r="BT884" s="75"/>
      <c r="BU884" s="76"/>
      <c r="BV884" s="75"/>
      <c r="BW884" s="75"/>
    </row>
    <row r="885" spans="58:75" ht="15.75" customHeight="1">
      <c r="BF885" s="34"/>
      <c r="BO885" s="75"/>
      <c r="BP885" s="75"/>
      <c r="BQ885" s="75"/>
      <c r="BR885" s="75"/>
      <c r="BS885" s="75"/>
      <c r="BT885" s="75"/>
      <c r="BU885" s="76"/>
      <c r="BV885" s="75"/>
      <c r="BW885" s="75"/>
    </row>
    <row r="886" spans="58:75" ht="15.75" customHeight="1">
      <c r="BF886" s="34"/>
      <c r="BO886" s="75"/>
      <c r="BP886" s="75"/>
      <c r="BQ886" s="75"/>
      <c r="BR886" s="75"/>
      <c r="BS886" s="75"/>
      <c r="BT886" s="75"/>
      <c r="BU886" s="76"/>
      <c r="BV886" s="75"/>
      <c r="BW886" s="75"/>
    </row>
    <row r="887" spans="58:75" ht="15.75" customHeight="1">
      <c r="BF887" s="34"/>
      <c r="BO887" s="75"/>
      <c r="BP887" s="75"/>
      <c r="BQ887" s="75"/>
      <c r="BR887" s="75"/>
      <c r="BS887" s="75"/>
      <c r="BT887" s="75"/>
      <c r="BU887" s="76"/>
      <c r="BV887" s="75"/>
      <c r="BW887" s="75"/>
    </row>
    <row r="888" spans="58:75" ht="15.75" customHeight="1">
      <c r="BF888" s="34"/>
      <c r="BO888" s="75"/>
      <c r="BP888" s="75"/>
      <c r="BQ888" s="75"/>
      <c r="BR888" s="75"/>
      <c r="BS888" s="75"/>
      <c r="BT888" s="75"/>
      <c r="BU888" s="76"/>
      <c r="BV888" s="75"/>
      <c r="BW888" s="75"/>
    </row>
    <row r="889" spans="58:75" ht="15.75" customHeight="1">
      <c r="BF889" s="34"/>
      <c r="BO889" s="75"/>
      <c r="BP889" s="75"/>
      <c r="BQ889" s="75"/>
      <c r="BR889" s="75"/>
      <c r="BS889" s="75"/>
      <c r="BT889" s="75"/>
      <c r="BU889" s="76"/>
      <c r="BV889" s="75"/>
      <c r="BW889" s="75"/>
    </row>
    <row r="890" spans="58:75" ht="15.75" customHeight="1">
      <c r="BF890" s="34"/>
      <c r="BO890" s="75"/>
      <c r="BP890" s="75"/>
      <c r="BQ890" s="75"/>
      <c r="BR890" s="75"/>
      <c r="BS890" s="75"/>
      <c r="BT890" s="75"/>
      <c r="BU890" s="76"/>
      <c r="BV890" s="75"/>
      <c r="BW890" s="75"/>
    </row>
    <row r="891" spans="58:75" ht="15.75" customHeight="1">
      <c r="BF891" s="34"/>
      <c r="BO891" s="75"/>
      <c r="BP891" s="75"/>
      <c r="BQ891" s="75"/>
      <c r="BR891" s="75"/>
      <c r="BS891" s="75"/>
      <c r="BT891" s="75"/>
      <c r="BU891" s="76"/>
      <c r="BV891" s="75"/>
      <c r="BW891" s="75"/>
    </row>
    <row r="892" spans="58:75" ht="15.75" customHeight="1">
      <c r="BF892" s="34"/>
      <c r="BO892" s="75"/>
      <c r="BP892" s="75"/>
      <c r="BQ892" s="75"/>
      <c r="BR892" s="75"/>
      <c r="BS892" s="75"/>
      <c r="BT892" s="75"/>
      <c r="BU892" s="76"/>
      <c r="BV892" s="75"/>
      <c r="BW892" s="75"/>
    </row>
    <row r="893" spans="58:75" ht="15.75" customHeight="1">
      <c r="BF893" s="34"/>
      <c r="BO893" s="75"/>
      <c r="BP893" s="75"/>
      <c r="BQ893" s="75"/>
      <c r="BR893" s="75"/>
      <c r="BS893" s="75"/>
      <c r="BT893" s="75"/>
      <c r="BU893" s="76"/>
      <c r="BV893" s="75"/>
      <c r="BW893" s="75"/>
    </row>
    <row r="894" spans="58:75" ht="15.75" customHeight="1">
      <c r="BF894" s="34"/>
      <c r="BO894" s="75"/>
      <c r="BP894" s="75"/>
      <c r="BQ894" s="75"/>
      <c r="BR894" s="75"/>
      <c r="BS894" s="75"/>
      <c r="BT894" s="75"/>
      <c r="BU894" s="76"/>
      <c r="BV894" s="75"/>
      <c r="BW894" s="75"/>
    </row>
    <row r="895" spans="58:75" ht="15.75" customHeight="1">
      <c r="BF895" s="34"/>
      <c r="BO895" s="75"/>
      <c r="BP895" s="75"/>
      <c r="BQ895" s="75"/>
      <c r="BR895" s="75"/>
      <c r="BS895" s="75"/>
      <c r="BT895" s="75"/>
      <c r="BU895" s="76"/>
      <c r="BV895" s="75"/>
      <c r="BW895" s="75"/>
    </row>
    <row r="896" spans="58:75" ht="15.75" customHeight="1">
      <c r="BF896" s="34"/>
      <c r="BO896" s="75"/>
      <c r="BP896" s="75"/>
      <c r="BQ896" s="75"/>
      <c r="BR896" s="75"/>
      <c r="BS896" s="75"/>
      <c r="BT896" s="75"/>
      <c r="BU896" s="76"/>
      <c r="BV896" s="75"/>
      <c r="BW896" s="75"/>
    </row>
    <row r="897" spans="58:75" ht="15.75" customHeight="1">
      <c r="BF897" s="34"/>
      <c r="BO897" s="75"/>
      <c r="BP897" s="75"/>
      <c r="BQ897" s="75"/>
      <c r="BR897" s="75"/>
      <c r="BS897" s="75"/>
      <c r="BT897" s="75"/>
      <c r="BU897" s="76"/>
      <c r="BV897" s="75"/>
      <c r="BW897" s="75"/>
    </row>
    <row r="898" spans="58:75" ht="15.75" customHeight="1">
      <c r="BF898" s="34"/>
      <c r="BO898" s="75"/>
      <c r="BP898" s="75"/>
      <c r="BQ898" s="75"/>
      <c r="BR898" s="75"/>
      <c r="BS898" s="75"/>
      <c r="BT898" s="75"/>
      <c r="BU898" s="76"/>
      <c r="BV898" s="75"/>
      <c r="BW898" s="75"/>
    </row>
    <row r="899" spans="58:75" ht="15.75" customHeight="1">
      <c r="BF899" s="34"/>
      <c r="BO899" s="75"/>
      <c r="BP899" s="75"/>
      <c r="BQ899" s="75"/>
      <c r="BR899" s="75"/>
      <c r="BS899" s="75"/>
      <c r="BT899" s="75"/>
      <c r="BU899" s="76"/>
      <c r="BV899" s="75"/>
      <c r="BW899" s="75"/>
    </row>
    <row r="900" spans="58:75" ht="15.75" customHeight="1">
      <c r="BF900" s="34"/>
      <c r="BO900" s="75"/>
      <c r="BP900" s="75"/>
      <c r="BQ900" s="75"/>
      <c r="BR900" s="75"/>
      <c r="BS900" s="75"/>
      <c r="BT900" s="75"/>
      <c r="BU900" s="76"/>
      <c r="BV900" s="75"/>
      <c r="BW900" s="75"/>
    </row>
    <row r="901" spans="58:75" ht="15.75" customHeight="1">
      <c r="BF901" s="34"/>
      <c r="BO901" s="75"/>
      <c r="BP901" s="75"/>
      <c r="BQ901" s="75"/>
      <c r="BR901" s="75"/>
      <c r="BS901" s="75"/>
      <c r="BT901" s="75"/>
      <c r="BU901" s="76"/>
      <c r="BV901" s="75"/>
      <c r="BW901" s="75"/>
    </row>
    <row r="902" spans="58:75" ht="15.75" customHeight="1">
      <c r="BF902" s="34"/>
      <c r="BO902" s="75"/>
      <c r="BP902" s="75"/>
      <c r="BQ902" s="75"/>
      <c r="BR902" s="75"/>
      <c r="BS902" s="75"/>
      <c r="BT902" s="75"/>
      <c r="BU902" s="76"/>
      <c r="BV902" s="75"/>
      <c r="BW902" s="75"/>
    </row>
    <row r="903" spans="58:75" ht="15.75" customHeight="1">
      <c r="BF903" s="34"/>
      <c r="BO903" s="75"/>
      <c r="BP903" s="75"/>
      <c r="BQ903" s="75"/>
      <c r="BR903" s="75"/>
      <c r="BS903" s="75"/>
      <c r="BT903" s="75"/>
      <c r="BU903" s="76"/>
      <c r="BV903" s="75"/>
      <c r="BW903" s="75"/>
    </row>
    <row r="904" spans="58:75" ht="15.75" customHeight="1">
      <c r="BF904" s="34"/>
      <c r="BO904" s="75"/>
      <c r="BP904" s="75"/>
      <c r="BQ904" s="75"/>
      <c r="BR904" s="75"/>
      <c r="BS904" s="75"/>
      <c r="BT904" s="75"/>
      <c r="BU904" s="76"/>
      <c r="BV904" s="75"/>
      <c r="BW904" s="75"/>
    </row>
    <row r="905" spans="58:75" ht="15.75" customHeight="1">
      <c r="BF905" s="34"/>
      <c r="BO905" s="75"/>
      <c r="BP905" s="75"/>
      <c r="BQ905" s="75"/>
      <c r="BR905" s="75"/>
      <c r="BS905" s="75"/>
      <c r="BT905" s="75"/>
      <c r="BU905" s="76"/>
      <c r="BV905" s="75"/>
      <c r="BW905" s="75"/>
    </row>
    <row r="906" spans="58:75" ht="15.75" customHeight="1">
      <c r="BF906" s="34"/>
      <c r="BO906" s="75"/>
      <c r="BP906" s="75"/>
      <c r="BQ906" s="75"/>
      <c r="BR906" s="75"/>
      <c r="BS906" s="75"/>
      <c r="BT906" s="75"/>
      <c r="BU906" s="76"/>
      <c r="BV906" s="75"/>
      <c r="BW906" s="75"/>
    </row>
    <row r="907" spans="58:75" ht="15.75" customHeight="1">
      <c r="BF907" s="34"/>
      <c r="BO907" s="75"/>
      <c r="BP907" s="75"/>
      <c r="BQ907" s="75"/>
      <c r="BR907" s="75"/>
      <c r="BS907" s="75"/>
      <c r="BT907" s="75"/>
      <c r="BU907" s="76"/>
      <c r="BV907" s="75"/>
      <c r="BW907" s="75"/>
    </row>
    <row r="908" spans="58:75" ht="15.75" customHeight="1">
      <c r="BF908" s="34"/>
      <c r="BO908" s="75"/>
      <c r="BP908" s="75"/>
      <c r="BQ908" s="75"/>
      <c r="BR908" s="75"/>
      <c r="BS908" s="75"/>
      <c r="BT908" s="75"/>
      <c r="BU908" s="76"/>
      <c r="BV908" s="75"/>
      <c r="BW908" s="75"/>
    </row>
    <row r="909" spans="58:75" ht="15.75" customHeight="1">
      <c r="BF909" s="34"/>
      <c r="BO909" s="75"/>
      <c r="BP909" s="75"/>
      <c r="BQ909" s="75"/>
      <c r="BR909" s="75"/>
      <c r="BS909" s="75"/>
      <c r="BT909" s="75"/>
      <c r="BU909" s="76"/>
      <c r="BV909" s="75"/>
      <c r="BW909" s="75"/>
    </row>
    <row r="910" spans="58:75" ht="15.75" customHeight="1">
      <c r="BF910" s="34"/>
      <c r="BO910" s="75"/>
      <c r="BP910" s="75"/>
      <c r="BQ910" s="75"/>
      <c r="BR910" s="75"/>
      <c r="BS910" s="75"/>
      <c r="BT910" s="75"/>
      <c r="BU910" s="76"/>
      <c r="BV910" s="75"/>
      <c r="BW910" s="75"/>
    </row>
    <row r="911" spans="58:75" ht="15.75" customHeight="1">
      <c r="BF911" s="34"/>
      <c r="BO911" s="75"/>
      <c r="BP911" s="75"/>
      <c r="BQ911" s="75"/>
      <c r="BR911" s="75"/>
      <c r="BS911" s="75"/>
      <c r="BT911" s="75"/>
      <c r="BU911" s="76"/>
      <c r="BV911" s="75"/>
      <c r="BW911" s="75"/>
    </row>
    <row r="912" spans="58:75" ht="15.75" customHeight="1">
      <c r="BF912" s="34"/>
      <c r="BO912" s="75"/>
      <c r="BP912" s="75"/>
      <c r="BQ912" s="75"/>
      <c r="BR912" s="75"/>
      <c r="BS912" s="75"/>
      <c r="BT912" s="75"/>
      <c r="BU912" s="76"/>
      <c r="BV912" s="75"/>
      <c r="BW912" s="75"/>
    </row>
    <row r="913" spans="58:75" ht="15.75" customHeight="1">
      <c r="BF913" s="34"/>
      <c r="BO913" s="75"/>
      <c r="BP913" s="75"/>
      <c r="BQ913" s="75"/>
      <c r="BR913" s="75"/>
      <c r="BS913" s="75"/>
      <c r="BT913" s="75"/>
      <c r="BU913" s="76"/>
      <c r="BV913" s="75"/>
      <c r="BW913" s="75"/>
    </row>
    <row r="914" spans="58:75" ht="15.75" customHeight="1">
      <c r="BF914" s="34"/>
      <c r="BO914" s="75"/>
      <c r="BP914" s="75"/>
      <c r="BQ914" s="75"/>
      <c r="BR914" s="75"/>
      <c r="BS914" s="75"/>
      <c r="BT914" s="75"/>
      <c r="BU914" s="76"/>
      <c r="BV914" s="75"/>
      <c r="BW914" s="75"/>
    </row>
    <row r="915" spans="58:75" ht="15.75" customHeight="1">
      <c r="BF915" s="34"/>
      <c r="BO915" s="75"/>
      <c r="BP915" s="75"/>
      <c r="BQ915" s="75"/>
      <c r="BR915" s="75"/>
      <c r="BS915" s="75"/>
      <c r="BT915" s="75"/>
      <c r="BU915" s="76"/>
      <c r="BV915" s="75"/>
      <c r="BW915" s="75"/>
    </row>
    <row r="916" spans="58:75" ht="15.75" customHeight="1">
      <c r="BF916" s="34"/>
      <c r="BO916" s="75"/>
      <c r="BP916" s="75"/>
      <c r="BQ916" s="75"/>
      <c r="BR916" s="75"/>
      <c r="BS916" s="75"/>
      <c r="BT916" s="75"/>
      <c r="BU916" s="76"/>
      <c r="BV916" s="75"/>
      <c r="BW916" s="75"/>
    </row>
    <row r="917" spans="58:75" ht="15.75" customHeight="1">
      <c r="BF917" s="34"/>
      <c r="BO917" s="75"/>
      <c r="BP917" s="75"/>
      <c r="BQ917" s="75"/>
      <c r="BR917" s="75"/>
      <c r="BS917" s="75"/>
      <c r="BT917" s="75"/>
      <c r="BU917" s="76"/>
      <c r="BV917" s="75"/>
      <c r="BW917" s="75"/>
    </row>
    <row r="918" spans="58:75" ht="15.75" customHeight="1">
      <c r="BF918" s="34"/>
      <c r="BO918" s="75"/>
      <c r="BP918" s="75"/>
      <c r="BQ918" s="75"/>
      <c r="BR918" s="75"/>
      <c r="BS918" s="75"/>
      <c r="BT918" s="75"/>
      <c r="BU918" s="76"/>
      <c r="BV918" s="75"/>
      <c r="BW918" s="75"/>
    </row>
    <row r="919" spans="58:75" ht="15.75" customHeight="1">
      <c r="BF919" s="34"/>
      <c r="BO919" s="75"/>
      <c r="BP919" s="75"/>
      <c r="BQ919" s="75"/>
      <c r="BR919" s="75"/>
      <c r="BS919" s="75"/>
      <c r="BT919" s="75"/>
      <c r="BU919" s="76"/>
      <c r="BV919" s="75"/>
      <c r="BW919" s="75"/>
    </row>
    <row r="920" spans="58:75" ht="15.75" customHeight="1">
      <c r="BF920" s="34"/>
      <c r="BO920" s="75"/>
      <c r="BP920" s="75"/>
      <c r="BQ920" s="75"/>
      <c r="BR920" s="75"/>
      <c r="BS920" s="75"/>
      <c r="BT920" s="75"/>
      <c r="BU920" s="76"/>
      <c r="BV920" s="75"/>
      <c r="BW920" s="75"/>
    </row>
    <row r="921" spans="58:75" ht="15.75" customHeight="1">
      <c r="BF921" s="34"/>
      <c r="BO921" s="75"/>
      <c r="BP921" s="75"/>
      <c r="BQ921" s="75"/>
      <c r="BR921" s="75"/>
      <c r="BS921" s="75"/>
      <c r="BT921" s="75"/>
      <c r="BU921" s="76"/>
      <c r="BV921" s="75"/>
      <c r="BW921" s="75"/>
    </row>
    <row r="922" spans="58:75" ht="15.75" customHeight="1">
      <c r="BF922" s="34"/>
      <c r="BO922" s="75"/>
      <c r="BP922" s="75"/>
      <c r="BQ922" s="75"/>
      <c r="BR922" s="75"/>
      <c r="BS922" s="75"/>
      <c r="BT922" s="75"/>
      <c r="BU922" s="76"/>
      <c r="BV922" s="75"/>
      <c r="BW922" s="75"/>
    </row>
    <row r="923" spans="58:75" ht="15.75" customHeight="1">
      <c r="BF923" s="34"/>
      <c r="BO923" s="75"/>
      <c r="BP923" s="75"/>
      <c r="BQ923" s="75"/>
      <c r="BR923" s="75"/>
      <c r="BS923" s="75"/>
      <c r="BT923" s="75"/>
      <c r="BU923" s="76"/>
      <c r="BV923" s="75"/>
      <c r="BW923" s="75"/>
    </row>
    <row r="924" spans="58:75" ht="15.75" customHeight="1">
      <c r="BF924" s="34"/>
      <c r="BO924" s="75"/>
      <c r="BP924" s="75"/>
      <c r="BQ924" s="75"/>
      <c r="BR924" s="75"/>
      <c r="BS924" s="75"/>
      <c r="BT924" s="75"/>
      <c r="BU924" s="76"/>
      <c r="BV924" s="75"/>
      <c r="BW924" s="75"/>
    </row>
    <row r="925" spans="58:75" ht="15.75" customHeight="1">
      <c r="BF925" s="34"/>
      <c r="BO925" s="75"/>
      <c r="BP925" s="75"/>
      <c r="BQ925" s="75"/>
      <c r="BR925" s="75"/>
      <c r="BS925" s="75"/>
      <c r="BT925" s="75"/>
      <c r="BU925" s="76"/>
      <c r="BV925" s="75"/>
      <c r="BW925" s="75"/>
    </row>
    <row r="926" spans="58:75" ht="15.75" customHeight="1">
      <c r="BF926" s="34"/>
      <c r="BO926" s="75"/>
      <c r="BP926" s="75"/>
      <c r="BQ926" s="75"/>
      <c r="BR926" s="75"/>
      <c r="BS926" s="75"/>
      <c r="BT926" s="75"/>
      <c r="BU926" s="76"/>
      <c r="BV926" s="75"/>
      <c r="BW926" s="75"/>
    </row>
    <row r="927" spans="58:75" ht="15.75" customHeight="1">
      <c r="BF927" s="34"/>
      <c r="BO927" s="75"/>
      <c r="BP927" s="75"/>
      <c r="BQ927" s="75"/>
      <c r="BR927" s="75"/>
      <c r="BS927" s="75"/>
      <c r="BT927" s="75"/>
      <c r="BU927" s="76"/>
      <c r="BV927" s="75"/>
      <c r="BW927" s="75"/>
    </row>
    <row r="928" spans="58:75" ht="15.75" customHeight="1">
      <c r="BF928" s="34"/>
      <c r="BO928" s="75"/>
      <c r="BP928" s="75"/>
      <c r="BQ928" s="75"/>
      <c r="BR928" s="75"/>
      <c r="BS928" s="75"/>
      <c r="BT928" s="75"/>
      <c r="BU928" s="76"/>
      <c r="BV928" s="75"/>
      <c r="BW928" s="75"/>
    </row>
    <row r="929" spans="58:75" ht="15.75" customHeight="1">
      <c r="BF929" s="34"/>
      <c r="BO929" s="75"/>
      <c r="BP929" s="75"/>
      <c r="BQ929" s="75"/>
      <c r="BR929" s="75"/>
      <c r="BS929" s="75"/>
      <c r="BT929" s="75"/>
      <c r="BU929" s="76"/>
      <c r="BV929" s="75"/>
      <c r="BW929" s="75"/>
    </row>
    <row r="930" spans="58:75" ht="15.75" customHeight="1">
      <c r="BF930" s="34"/>
      <c r="BO930" s="75"/>
      <c r="BP930" s="75"/>
      <c r="BQ930" s="75"/>
      <c r="BR930" s="75"/>
      <c r="BS930" s="75"/>
      <c r="BT930" s="75"/>
      <c r="BU930" s="76"/>
      <c r="BV930" s="75"/>
      <c r="BW930" s="75"/>
    </row>
    <row r="931" spans="58:75" ht="15.75" customHeight="1">
      <c r="BF931" s="34"/>
      <c r="BO931" s="75"/>
      <c r="BP931" s="75"/>
      <c r="BQ931" s="75"/>
      <c r="BR931" s="75"/>
      <c r="BS931" s="75"/>
      <c r="BT931" s="75"/>
      <c r="BU931" s="76"/>
      <c r="BV931" s="75"/>
      <c r="BW931" s="75"/>
    </row>
    <row r="932" spans="58:75" ht="15.75" customHeight="1">
      <c r="BF932" s="34"/>
      <c r="BO932" s="75"/>
      <c r="BP932" s="75"/>
      <c r="BQ932" s="75"/>
      <c r="BR932" s="75"/>
      <c r="BS932" s="75"/>
      <c r="BT932" s="75"/>
      <c r="BU932" s="76"/>
      <c r="BV932" s="75"/>
      <c r="BW932" s="75"/>
    </row>
    <row r="933" spans="58:75" ht="15.75" customHeight="1">
      <c r="BF933" s="34"/>
      <c r="BO933" s="75"/>
      <c r="BP933" s="75"/>
      <c r="BQ933" s="75"/>
      <c r="BR933" s="75"/>
      <c r="BS933" s="75"/>
      <c r="BT933" s="75"/>
      <c r="BU933" s="76"/>
      <c r="BV933" s="75"/>
      <c r="BW933" s="75"/>
    </row>
    <row r="934" spans="58:75" ht="15.75" customHeight="1">
      <c r="BF934" s="34"/>
      <c r="BO934" s="75"/>
      <c r="BP934" s="75"/>
      <c r="BQ934" s="75"/>
      <c r="BR934" s="75"/>
      <c r="BS934" s="75"/>
      <c r="BT934" s="75"/>
      <c r="BU934" s="76"/>
      <c r="BV934" s="75"/>
      <c r="BW934" s="75"/>
    </row>
    <row r="935" spans="58:75" ht="15.75" customHeight="1">
      <c r="BF935" s="34"/>
      <c r="BO935" s="75"/>
      <c r="BP935" s="75"/>
      <c r="BQ935" s="75"/>
      <c r="BR935" s="75"/>
      <c r="BS935" s="75"/>
      <c r="BT935" s="75"/>
      <c r="BU935" s="76"/>
      <c r="BV935" s="75"/>
      <c r="BW935" s="75"/>
    </row>
    <row r="936" spans="58:75" ht="15.75" customHeight="1">
      <c r="BF936" s="34"/>
      <c r="BO936" s="75"/>
      <c r="BP936" s="75"/>
      <c r="BQ936" s="75"/>
      <c r="BR936" s="75"/>
      <c r="BS936" s="75"/>
      <c r="BT936" s="75"/>
      <c r="BU936" s="76"/>
      <c r="BV936" s="75"/>
      <c r="BW936" s="75"/>
    </row>
    <row r="937" spans="58:75" ht="15.75" customHeight="1">
      <c r="BF937" s="34"/>
      <c r="BO937" s="75"/>
      <c r="BP937" s="75"/>
      <c r="BQ937" s="75"/>
      <c r="BR937" s="75"/>
      <c r="BS937" s="75"/>
      <c r="BT937" s="75"/>
      <c r="BU937" s="76"/>
      <c r="BV937" s="75"/>
      <c r="BW937" s="75"/>
    </row>
    <row r="938" spans="58:75" ht="15.75" customHeight="1">
      <c r="BF938" s="34"/>
      <c r="BO938" s="75"/>
      <c r="BP938" s="75"/>
      <c r="BQ938" s="75"/>
      <c r="BR938" s="75"/>
      <c r="BS938" s="75"/>
      <c r="BT938" s="75"/>
      <c r="BU938" s="76"/>
      <c r="BV938" s="75"/>
      <c r="BW938" s="75"/>
    </row>
    <row r="939" spans="58:75" ht="15.75" customHeight="1">
      <c r="BF939" s="34"/>
      <c r="BO939" s="75"/>
      <c r="BP939" s="75"/>
      <c r="BQ939" s="75"/>
      <c r="BR939" s="75"/>
      <c r="BS939" s="75"/>
      <c r="BT939" s="75"/>
      <c r="BU939" s="76"/>
      <c r="BV939" s="75"/>
      <c r="BW939" s="75"/>
    </row>
    <row r="940" spans="58:75" ht="15.75" customHeight="1">
      <c r="BF940" s="34"/>
      <c r="BO940" s="75"/>
      <c r="BP940" s="75"/>
      <c r="BQ940" s="75"/>
      <c r="BR940" s="75"/>
      <c r="BS940" s="75"/>
      <c r="BT940" s="75"/>
      <c r="BU940" s="76"/>
      <c r="BV940" s="75"/>
      <c r="BW940" s="75"/>
    </row>
    <row r="941" spans="58:75" ht="15.75" customHeight="1">
      <c r="BF941" s="34"/>
      <c r="BO941" s="75"/>
      <c r="BP941" s="75"/>
      <c r="BQ941" s="75"/>
      <c r="BR941" s="75"/>
      <c r="BS941" s="75"/>
      <c r="BT941" s="75"/>
      <c r="BU941" s="76"/>
      <c r="BV941" s="75"/>
      <c r="BW941" s="75"/>
    </row>
    <row r="942" spans="58:75" ht="15.75" customHeight="1">
      <c r="BF942" s="34"/>
      <c r="BO942" s="75"/>
      <c r="BP942" s="75"/>
      <c r="BQ942" s="75"/>
      <c r="BR942" s="75"/>
      <c r="BS942" s="75"/>
      <c r="BT942" s="75"/>
      <c r="BU942" s="76"/>
      <c r="BV942" s="75"/>
      <c r="BW942" s="75"/>
    </row>
    <row r="943" spans="58:75" ht="15.75" customHeight="1">
      <c r="BF943" s="34"/>
      <c r="BO943" s="75"/>
      <c r="BP943" s="75"/>
      <c r="BQ943" s="75"/>
      <c r="BR943" s="75"/>
      <c r="BS943" s="75"/>
      <c r="BT943" s="75"/>
      <c r="BU943" s="76"/>
      <c r="BV943" s="75"/>
      <c r="BW943" s="75"/>
    </row>
    <row r="944" spans="58:75" ht="15.75" customHeight="1">
      <c r="BF944" s="34"/>
      <c r="BO944" s="75"/>
      <c r="BP944" s="75"/>
      <c r="BQ944" s="75"/>
      <c r="BR944" s="75"/>
      <c r="BS944" s="75"/>
      <c r="BT944" s="75"/>
      <c r="BU944" s="76"/>
      <c r="BV944" s="75"/>
      <c r="BW944" s="75"/>
    </row>
    <row r="945" spans="58:75" ht="15.75" customHeight="1">
      <c r="BF945" s="34"/>
      <c r="BO945" s="75"/>
      <c r="BP945" s="75"/>
      <c r="BQ945" s="75"/>
      <c r="BR945" s="75"/>
      <c r="BS945" s="75"/>
      <c r="BT945" s="75"/>
      <c r="BU945" s="76"/>
      <c r="BV945" s="75"/>
      <c r="BW945" s="75"/>
    </row>
    <row r="946" spans="58:75" ht="15.75" customHeight="1">
      <c r="BF946" s="34"/>
      <c r="BO946" s="75"/>
      <c r="BP946" s="75"/>
      <c r="BQ946" s="75"/>
      <c r="BR946" s="75"/>
      <c r="BS946" s="75"/>
      <c r="BT946" s="75"/>
      <c r="BU946" s="76"/>
      <c r="BV946" s="75"/>
      <c r="BW946" s="75"/>
    </row>
    <row r="947" spans="58:75" ht="15.75" customHeight="1">
      <c r="BF947" s="34"/>
      <c r="BO947" s="75"/>
      <c r="BP947" s="75"/>
      <c r="BQ947" s="75"/>
      <c r="BR947" s="75"/>
      <c r="BS947" s="75"/>
      <c r="BT947" s="75"/>
      <c r="BU947" s="76"/>
      <c r="BV947" s="75"/>
      <c r="BW947" s="75"/>
    </row>
    <row r="948" spans="58:75" ht="15.75" customHeight="1">
      <c r="BF948" s="34"/>
      <c r="BO948" s="75"/>
      <c r="BP948" s="75"/>
      <c r="BQ948" s="75"/>
      <c r="BR948" s="75"/>
      <c r="BS948" s="75"/>
      <c r="BT948" s="75"/>
      <c r="BU948" s="76"/>
      <c r="BV948" s="75"/>
      <c r="BW948" s="75"/>
    </row>
    <row r="949" spans="58:75" ht="15.75" customHeight="1">
      <c r="BF949" s="34"/>
      <c r="BO949" s="75"/>
      <c r="BP949" s="75"/>
      <c r="BQ949" s="75"/>
      <c r="BR949" s="75"/>
      <c r="BS949" s="75"/>
      <c r="BT949" s="75"/>
      <c r="BU949" s="76"/>
      <c r="BV949" s="75"/>
      <c r="BW949" s="75"/>
    </row>
    <row r="950" spans="58:75" ht="15.75" customHeight="1">
      <c r="BF950" s="34"/>
      <c r="BO950" s="75"/>
      <c r="BP950" s="75"/>
      <c r="BQ950" s="75"/>
      <c r="BR950" s="75"/>
      <c r="BS950" s="75"/>
      <c r="BT950" s="75"/>
      <c r="BU950" s="76"/>
      <c r="BV950" s="75"/>
      <c r="BW950" s="75"/>
    </row>
    <row r="951" spans="58:75" ht="15.75" customHeight="1">
      <c r="BF951" s="34"/>
      <c r="BO951" s="75"/>
      <c r="BP951" s="75"/>
      <c r="BQ951" s="75"/>
      <c r="BR951" s="75"/>
      <c r="BS951" s="75"/>
      <c r="BT951" s="75"/>
      <c r="BU951" s="76"/>
      <c r="BV951" s="75"/>
      <c r="BW951" s="75"/>
    </row>
    <row r="952" spans="58:75" ht="15.75" customHeight="1">
      <c r="BF952" s="34"/>
      <c r="BO952" s="75"/>
      <c r="BP952" s="75"/>
      <c r="BQ952" s="75"/>
      <c r="BR952" s="75"/>
      <c r="BS952" s="75"/>
      <c r="BT952" s="75"/>
      <c r="BU952" s="76"/>
      <c r="BV952" s="75"/>
      <c r="BW952" s="75"/>
    </row>
    <row r="953" spans="58:75" ht="15.75" customHeight="1">
      <c r="BF953" s="34"/>
      <c r="BO953" s="75"/>
      <c r="BP953" s="75"/>
      <c r="BQ953" s="75"/>
      <c r="BR953" s="75"/>
      <c r="BS953" s="75"/>
      <c r="BT953" s="75"/>
      <c r="BU953" s="76"/>
      <c r="BV953" s="75"/>
      <c r="BW953" s="75"/>
    </row>
    <row r="954" spans="58:75" ht="15.75" customHeight="1">
      <c r="BF954" s="34"/>
      <c r="BO954" s="75"/>
      <c r="BP954" s="75"/>
      <c r="BQ954" s="75"/>
      <c r="BR954" s="75"/>
      <c r="BS954" s="75"/>
      <c r="BT954" s="75"/>
      <c r="BU954" s="76"/>
      <c r="BV954" s="75"/>
      <c r="BW954" s="75"/>
    </row>
    <row r="955" spans="58:75" ht="15.75" customHeight="1">
      <c r="BF955" s="34"/>
      <c r="BO955" s="75"/>
      <c r="BP955" s="75"/>
      <c r="BQ955" s="75"/>
      <c r="BR955" s="75"/>
      <c r="BS955" s="75"/>
      <c r="BT955" s="75"/>
      <c r="BU955" s="76"/>
      <c r="BV955" s="75"/>
      <c r="BW955" s="75"/>
    </row>
    <row r="956" spans="58:75" ht="15.75" customHeight="1">
      <c r="BF956" s="34"/>
      <c r="BO956" s="75"/>
      <c r="BP956" s="75"/>
      <c r="BQ956" s="75"/>
      <c r="BR956" s="75"/>
      <c r="BS956" s="75"/>
      <c r="BT956" s="75"/>
      <c r="BU956" s="76"/>
      <c r="BV956" s="75"/>
      <c r="BW956" s="75"/>
    </row>
    <row r="957" spans="58:75" ht="15.75" customHeight="1">
      <c r="BF957" s="34"/>
      <c r="BO957" s="75"/>
      <c r="BP957" s="75"/>
      <c r="BQ957" s="75"/>
      <c r="BR957" s="75"/>
      <c r="BS957" s="75"/>
      <c r="BT957" s="75"/>
      <c r="BU957" s="76"/>
      <c r="BV957" s="75"/>
      <c r="BW957" s="75"/>
    </row>
    <row r="958" spans="58:75" ht="15.75" customHeight="1">
      <c r="BF958" s="34"/>
      <c r="BO958" s="75"/>
      <c r="BP958" s="75"/>
      <c r="BQ958" s="75"/>
      <c r="BR958" s="75"/>
      <c r="BS958" s="75"/>
      <c r="BT958" s="75"/>
      <c r="BU958" s="76"/>
      <c r="BV958" s="75"/>
      <c r="BW958" s="75"/>
    </row>
    <row r="959" spans="58:75" ht="15.75" customHeight="1">
      <c r="BF959" s="34"/>
      <c r="BO959" s="75"/>
      <c r="BP959" s="75"/>
      <c r="BQ959" s="75"/>
      <c r="BR959" s="75"/>
      <c r="BS959" s="75"/>
      <c r="BT959" s="75"/>
      <c r="BU959" s="76"/>
      <c r="BV959" s="75"/>
      <c r="BW959" s="75"/>
    </row>
    <row r="960" spans="58:75" ht="15.75" customHeight="1">
      <c r="BF960" s="34"/>
      <c r="BO960" s="75"/>
      <c r="BP960" s="75"/>
      <c r="BQ960" s="75"/>
      <c r="BR960" s="75"/>
      <c r="BS960" s="75"/>
      <c r="BT960" s="75"/>
      <c r="BU960" s="76"/>
      <c r="BV960" s="75"/>
      <c r="BW960" s="75"/>
    </row>
    <row r="961" spans="58:75" ht="15.75" customHeight="1">
      <c r="BF961" s="34"/>
      <c r="BO961" s="75"/>
      <c r="BP961" s="75"/>
      <c r="BQ961" s="75"/>
      <c r="BR961" s="75"/>
      <c r="BS961" s="75"/>
      <c r="BT961" s="75"/>
      <c r="BU961" s="76"/>
      <c r="BV961" s="75"/>
      <c r="BW961" s="75"/>
    </row>
    <row r="962" spans="58:75" ht="15.75" customHeight="1">
      <c r="BF962" s="34"/>
      <c r="BO962" s="75"/>
      <c r="BP962" s="75"/>
      <c r="BQ962" s="75"/>
      <c r="BR962" s="75"/>
      <c r="BS962" s="75"/>
      <c r="BT962" s="75"/>
      <c r="BU962" s="76"/>
      <c r="BV962" s="75"/>
      <c r="BW962" s="75"/>
    </row>
    <row r="963" spans="58:75" ht="15.75" customHeight="1">
      <c r="BF963" s="34"/>
      <c r="BO963" s="75"/>
      <c r="BP963" s="75"/>
      <c r="BQ963" s="75"/>
      <c r="BR963" s="75"/>
      <c r="BS963" s="75"/>
      <c r="BT963" s="75"/>
      <c r="BU963" s="76"/>
      <c r="BV963" s="75"/>
      <c r="BW963" s="75"/>
    </row>
    <row r="964" spans="58:75" ht="15.75" customHeight="1">
      <c r="BF964" s="34"/>
      <c r="BO964" s="75"/>
      <c r="BP964" s="75"/>
      <c r="BQ964" s="75"/>
      <c r="BR964" s="75"/>
      <c r="BS964" s="75"/>
      <c r="BT964" s="75"/>
      <c r="BU964" s="76"/>
      <c r="BV964" s="75"/>
      <c r="BW964" s="75"/>
    </row>
    <row r="965" spans="58:75" ht="15.75" customHeight="1">
      <c r="BF965" s="34"/>
      <c r="BO965" s="75"/>
      <c r="BP965" s="75"/>
      <c r="BQ965" s="75"/>
      <c r="BR965" s="75"/>
      <c r="BS965" s="75"/>
      <c r="BT965" s="75"/>
      <c r="BU965" s="76"/>
      <c r="BV965" s="75"/>
      <c r="BW965" s="75"/>
    </row>
    <row r="966" spans="58:75" ht="15.75" customHeight="1">
      <c r="BF966" s="34"/>
      <c r="BO966" s="75"/>
      <c r="BP966" s="75"/>
      <c r="BQ966" s="75"/>
      <c r="BR966" s="75"/>
      <c r="BS966" s="75"/>
      <c r="BT966" s="75"/>
      <c r="BU966" s="76"/>
      <c r="BV966" s="75"/>
      <c r="BW966" s="75"/>
    </row>
    <row r="967" spans="58:75" ht="15.75" customHeight="1">
      <c r="BF967" s="34"/>
      <c r="BO967" s="75"/>
      <c r="BP967" s="75"/>
      <c r="BQ967" s="75"/>
      <c r="BR967" s="75"/>
      <c r="BS967" s="75"/>
      <c r="BT967" s="75"/>
      <c r="BU967" s="76"/>
      <c r="BV967" s="75"/>
      <c r="BW967" s="75"/>
    </row>
    <row r="968" spans="58:75" ht="15.75" customHeight="1">
      <c r="BF968" s="34"/>
      <c r="BO968" s="75"/>
      <c r="BP968" s="75"/>
      <c r="BQ968" s="75"/>
      <c r="BR968" s="75"/>
      <c r="BS968" s="75"/>
      <c r="BT968" s="75"/>
      <c r="BU968" s="76"/>
      <c r="BV968" s="75"/>
      <c r="BW968" s="75"/>
    </row>
    <row r="969" spans="58:75" ht="15.75" customHeight="1">
      <c r="BF969" s="34"/>
      <c r="BO969" s="75"/>
      <c r="BP969" s="75"/>
      <c r="BQ969" s="75"/>
      <c r="BR969" s="75"/>
      <c r="BS969" s="75"/>
      <c r="BT969" s="75"/>
      <c r="BU969" s="76"/>
      <c r="BV969" s="75"/>
      <c r="BW969" s="75"/>
    </row>
    <row r="970" spans="58:75" ht="15.75" customHeight="1">
      <c r="BF970" s="34"/>
      <c r="BO970" s="75"/>
      <c r="BP970" s="75"/>
      <c r="BQ970" s="75"/>
      <c r="BR970" s="75"/>
      <c r="BS970" s="75"/>
      <c r="BT970" s="75"/>
      <c r="BU970" s="76"/>
      <c r="BV970" s="75"/>
      <c r="BW970" s="75"/>
    </row>
    <row r="971" spans="58:75" ht="15.75" customHeight="1">
      <c r="BF971" s="34"/>
      <c r="BO971" s="75"/>
      <c r="BP971" s="75"/>
      <c r="BQ971" s="75"/>
      <c r="BR971" s="75"/>
      <c r="BS971" s="75"/>
      <c r="BT971" s="75"/>
      <c r="BU971" s="76"/>
      <c r="BV971" s="75"/>
      <c r="BW971" s="75"/>
    </row>
    <row r="972" spans="58:75" ht="15.75" customHeight="1">
      <c r="BF972" s="34"/>
      <c r="BO972" s="75"/>
      <c r="BP972" s="75"/>
      <c r="BQ972" s="75"/>
      <c r="BR972" s="75"/>
      <c r="BS972" s="75"/>
      <c r="BT972" s="75"/>
      <c r="BU972" s="76"/>
      <c r="BV972" s="75"/>
      <c r="BW972" s="75"/>
    </row>
    <row r="973" spans="58:75" ht="15.75" customHeight="1">
      <c r="BF973" s="34"/>
      <c r="BO973" s="75"/>
      <c r="BP973" s="75"/>
      <c r="BQ973" s="75"/>
      <c r="BR973" s="75"/>
      <c r="BS973" s="75"/>
      <c r="BT973" s="75"/>
      <c r="BU973" s="76"/>
      <c r="BV973" s="75"/>
      <c r="BW973" s="75"/>
    </row>
    <row r="974" spans="58:75" ht="15.75" customHeight="1">
      <c r="BF974" s="34"/>
      <c r="BO974" s="75"/>
      <c r="BP974" s="75"/>
      <c r="BQ974" s="75"/>
      <c r="BR974" s="75"/>
      <c r="BS974" s="75"/>
      <c r="BT974" s="75"/>
      <c r="BU974" s="76"/>
      <c r="BV974" s="75"/>
      <c r="BW974" s="75"/>
    </row>
    <row r="975" spans="58:75" ht="15.75" customHeight="1">
      <c r="BF975" s="34"/>
      <c r="BO975" s="75"/>
      <c r="BP975" s="75"/>
      <c r="BQ975" s="75"/>
      <c r="BR975" s="75"/>
      <c r="BS975" s="75"/>
      <c r="BT975" s="75"/>
      <c r="BU975" s="76"/>
      <c r="BV975" s="75"/>
      <c r="BW975" s="75"/>
    </row>
    <row r="976" spans="58:75" ht="15.75" customHeight="1">
      <c r="BF976" s="34"/>
      <c r="BO976" s="75"/>
      <c r="BP976" s="75"/>
      <c r="BQ976" s="75"/>
      <c r="BR976" s="75"/>
      <c r="BS976" s="75"/>
      <c r="BT976" s="75"/>
      <c r="BU976" s="76"/>
      <c r="BV976" s="75"/>
      <c r="BW976" s="75"/>
    </row>
    <row r="977" spans="58:75" ht="15.75" customHeight="1">
      <c r="BF977" s="34"/>
      <c r="BO977" s="75"/>
      <c r="BP977" s="75"/>
      <c r="BQ977" s="75"/>
      <c r="BR977" s="75"/>
      <c r="BS977" s="75"/>
      <c r="BT977" s="75"/>
      <c r="BU977" s="76"/>
      <c r="BV977" s="75"/>
      <c r="BW977" s="75"/>
    </row>
    <row r="978" spans="58:75" ht="15.75" customHeight="1">
      <c r="BF978" s="34"/>
      <c r="BO978" s="75"/>
      <c r="BP978" s="75"/>
      <c r="BQ978" s="75"/>
      <c r="BR978" s="75"/>
      <c r="BS978" s="75"/>
      <c r="BT978" s="75"/>
      <c r="BU978" s="76"/>
      <c r="BV978" s="75"/>
      <c r="BW978" s="75"/>
    </row>
    <row r="979" spans="58:75" ht="15.75" customHeight="1">
      <c r="BF979" s="34"/>
      <c r="BO979" s="75"/>
      <c r="BP979" s="75"/>
      <c r="BQ979" s="75"/>
      <c r="BR979" s="75"/>
      <c r="BS979" s="75"/>
      <c r="BT979" s="75"/>
      <c r="BU979" s="76"/>
      <c r="BV979" s="75"/>
      <c r="BW979" s="75"/>
    </row>
    <row r="980" spans="58:75" ht="15.75" customHeight="1">
      <c r="BF980" s="34"/>
      <c r="BO980" s="75"/>
      <c r="BP980" s="75"/>
      <c r="BQ980" s="75"/>
      <c r="BR980" s="75"/>
      <c r="BS980" s="75"/>
      <c r="BT980" s="75"/>
      <c r="BU980" s="76"/>
      <c r="BV980" s="75"/>
      <c r="BW980" s="75"/>
    </row>
    <row r="981" spans="58:75" ht="15.75" customHeight="1">
      <c r="BF981" s="34"/>
      <c r="BO981" s="75"/>
      <c r="BP981" s="75"/>
      <c r="BQ981" s="75"/>
      <c r="BR981" s="75"/>
      <c r="BS981" s="75"/>
      <c r="BT981" s="75"/>
      <c r="BU981" s="76"/>
      <c r="BV981" s="75"/>
      <c r="BW981" s="75"/>
    </row>
    <row r="982" spans="58:75" ht="15.75" customHeight="1">
      <c r="BF982" s="34"/>
      <c r="BO982" s="75"/>
      <c r="BP982" s="75"/>
      <c r="BQ982" s="75"/>
      <c r="BR982" s="75"/>
      <c r="BS982" s="75"/>
      <c r="BT982" s="75"/>
      <c r="BU982" s="76"/>
      <c r="BV982" s="75"/>
      <c r="BW982" s="75"/>
    </row>
    <row r="983" spans="58:75" ht="15.75" customHeight="1">
      <c r="BF983" s="34"/>
      <c r="BO983" s="75"/>
      <c r="BP983" s="75"/>
      <c r="BQ983" s="75"/>
      <c r="BR983" s="75"/>
      <c r="BS983" s="75"/>
      <c r="BT983" s="75"/>
      <c r="BU983" s="76"/>
      <c r="BV983" s="75"/>
      <c r="BW983" s="75"/>
    </row>
    <row r="984" spans="58:75" ht="15.75" customHeight="1">
      <c r="BF984" s="34"/>
      <c r="BO984" s="75"/>
      <c r="BP984" s="75"/>
      <c r="BQ984" s="75"/>
      <c r="BR984" s="75"/>
      <c r="BS984" s="75"/>
      <c r="BT984" s="75"/>
      <c r="BU984" s="76"/>
      <c r="BV984" s="75"/>
      <c r="BW984" s="75"/>
    </row>
    <row r="985" spans="58:75" ht="15.75" customHeight="1">
      <c r="BF985" s="34"/>
      <c r="BO985" s="75"/>
      <c r="BP985" s="75"/>
      <c r="BQ985" s="75"/>
      <c r="BR985" s="75"/>
      <c r="BS985" s="75"/>
      <c r="BT985" s="75"/>
      <c r="BU985" s="76"/>
      <c r="BV985" s="75"/>
      <c r="BW985" s="75"/>
    </row>
    <row r="986" spans="58:75" ht="15.75" customHeight="1">
      <c r="BF986" s="34"/>
      <c r="BO986" s="75"/>
      <c r="BP986" s="75"/>
      <c r="BQ986" s="75"/>
      <c r="BR986" s="75"/>
      <c r="BS986" s="75"/>
      <c r="BT986" s="75"/>
      <c r="BU986" s="76"/>
      <c r="BV986" s="75"/>
      <c r="BW986" s="75"/>
    </row>
    <row r="987" spans="58:75" ht="15.75" customHeight="1">
      <c r="BF987" s="34"/>
      <c r="BO987" s="75"/>
      <c r="BP987" s="75"/>
      <c r="BQ987" s="75"/>
      <c r="BR987" s="75"/>
      <c r="BS987" s="75"/>
      <c r="BT987" s="75"/>
      <c r="BU987" s="76"/>
      <c r="BV987" s="75"/>
      <c r="BW987" s="75"/>
    </row>
    <row r="988" spans="58:75" ht="15.75" customHeight="1">
      <c r="BF988" s="34"/>
      <c r="BO988" s="75"/>
      <c r="BP988" s="75"/>
      <c r="BQ988" s="75"/>
      <c r="BR988" s="75"/>
      <c r="BS988" s="75"/>
      <c r="BT988" s="75"/>
      <c r="BU988" s="76"/>
      <c r="BV988" s="75"/>
      <c r="BW988" s="75"/>
    </row>
    <row r="989" spans="58:75" ht="15.75" customHeight="1">
      <c r="BF989" s="34"/>
      <c r="BO989" s="75"/>
      <c r="BP989" s="75"/>
      <c r="BQ989" s="75"/>
      <c r="BR989" s="75"/>
      <c r="BS989" s="75"/>
      <c r="BT989" s="75"/>
      <c r="BU989" s="76"/>
      <c r="BV989" s="75"/>
      <c r="BW989" s="75"/>
    </row>
    <row r="990" spans="58:75" ht="15.75" customHeight="1">
      <c r="BF990" s="34"/>
      <c r="BO990" s="75"/>
      <c r="BP990" s="75"/>
      <c r="BQ990" s="75"/>
      <c r="BR990" s="75"/>
      <c r="BS990" s="75"/>
      <c r="BT990" s="75"/>
      <c r="BU990" s="76"/>
      <c r="BV990" s="75"/>
      <c r="BW990" s="75"/>
    </row>
  </sheetData>
  <mergeCells count="28">
    <mergeCell ref="BM5:BM6"/>
    <mergeCell ref="BN5:BN6"/>
    <mergeCell ref="BH5:BH6"/>
    <mergeCell ref="BI5:BI6"/>
    <mergeCell ref="BJ5:BJ6"/>
    <mergeCell ref="BK5:BK6"/>
    <mergeCell ref="BL5:BL6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A1:BF3"/>
    <mergeCell ref="BH1:BW1"/>
    <mergeCell ref="BH2:BW2"/>
    <mergeCell ref="BH3:BO3"/>
    <mergeCell ref="BP3:BW3"/>
  </mergeCells>
  <conditionalFormatting sqref="BO7:BP76">
    <cfRule type="cellIs" dxfId="1" priority="1" operator="equal">
      <formula>0</formula>
    </cfRule>
  </conditionalFormatting>
  <conditionalFormatting sqref="BR7:BT70">
    <cfRule type="containsBlanks" dxfId="0" priority="2">
      <formula>LEN(TRIM(BR7))=0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S349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3.33203125" customWidth="1"/>
    <col min="4" max="14" width="4.6640625" customWidth="1"/>
    <col min="15" max="26" width="4.33203125" customWidth="1"/>
    <col min="27" max="40" width="4" customWidth="1"/>
    <col min="41" max="53" width="4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3.33203125" customWidth="1"/>
    <col min="63" max="63" width="7.44140625" customWidth="1"/>
    <col min="64" max="64" width="8.88671875" customWidth="1"/>
    <col min="65" max="65" width="8.33203125" customWidth="1"/>
    <col min="66" max="66" width="11.5546875" customWidth="1"/>
    <col min="67" max="67" width="9.6640625" customWidth="1"/>
    <col min="68" max="68" width="8.5546875" customWidth="1"/>
    <col min="69" max="69" width="12.88671875" customWidth="1"/>
    <col min="70" max="70" width="8.6640625" customWidth="1"/>
    <col min="71" max="71" width="9.88671875" customWidth="1"/>
  </cols>
  <sheetData>
    <row r="1" spans="1:71" ht="18.75" customHeight="1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134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9"/>
    </row>
    <row r="2" spans="1:71" ht="21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9"/>
    </row>
    <row r="3" spans="1:71" ht="22.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9"/>
      <c r="BO3" s="107" t="s">
        <v>98</v>
      </c>
      <c r="BP3" s="88"/>
      <c r="BQ3" s="88"/>
      <c r="BR3" s="88"/>
      <c r="BS3" s="89"/>
    </row>
    <row r="4" spans="1:71" ht="24.75" customHeight="1">
      <c r="A4" s="108" t="s">
        <v>135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136</v>
      </c>
      <c r="BI4" s="88"/>
      <c r="BJ4" s="88"/>
      <c r="BK4" s="88"/>
      <c r="BL4" s="88"/>
      <c r="BM4" s="88"/>
      <c r="BN4" s="89"/>
      <c r="BO4" s="107" t="s">
        <v>137</v>
      </c>
      <c r="BP4" s="88"/>
      <c r="BQ4" s="88"/>
      <c r="BR4" s="88"/>
      <c r="BS4" s="89"/>
    </row>
    <row r="5" spans="1:71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0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138</v>
      </c>
      <c r="BP5" s="112" t="s">
        <v>139</v>
      </c>
      <c r="BQ5" s="113" t="s">
        <v>140</v>
      </c>
      <c r="BR5" s="112" t="s">
        <v>120</v>
      </c>
      <c r="BS5" s="112" t="s">
        <v>141</v>
      </c>
    </row>
    <row r="6" spans="1:71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</row>
    <row r="7" spans="1:71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64">
        <v>21</v>
      </c>
      <c r="BC7" s="9"/>
      <c r="BD7" s="64">
        <f t="shared" ref="BD7:BD76" si="0">BB7+BC7</f>
        <v>21</v>
      </c>
      <c r="BE7" s="77">
        <v>43</v>
      </c>
      <c r="BF7" s="2">
        <f t="shared" ref="BF7:BF76" si="1">(BD7/BE7)*100</f>
        <v>48.837209302325576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2">
        <f t="shared" ref="BK7:BL7" si="2">BD7</f>
        <v>21</v>
      </c>
      <c r="BL7" s="2">
        <f t="shared" si="2"/>
        <v>43</v>
      </c>
      <c r="BM7" s="2">
        <f t="shared" ref="BM7:BM76" si="3">(BK7/BL7)*100</f>
        <v>48.837209302325576</v>
      </c>
      <c r="BN7" s="9" t="str">
        <f t="shared" ref="BN7:BN76" si="4">IF(BM7&gt;=95.5,"6",IF(BM7&gt;=90.5,"5", IF(BM7&gt;=85.5,"4",IF(BM7&gt;=80.5,"3",IF(BM7&gt;=75.5,"2","0")))))</f>
        <v>0</v>
      </c>
      <c r="BO7" s="9">
        <v>5</v>
      </c>
      <c r="BP7" s="9">
        <v>5</v>
      </c>
      <c r="BQ7" s="2">
        <f t="shared" ref="BQ7:BQ76" si="5">AVERAGE(D80:BA80)</f>
        <v>7.5</v>
      </c>
      <c r="BR7" s="9"/>
      <c r="BS7" s="2">
        <f t="shared" ref="BS7:BS76" si="6">BR7+BQ7+BP7+BO7+BN7</f>
        <v>17.5</v>
      </c>
    </row>
    <row r="8" spans="1:71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64">
        <v>36</v>
      </c>
      <c r="BC8" s="9"/>
      <c r="BD8" s="64">
        <f t="shared" si="0"/>
        <v>36</v>
      </c>
      <c r="BE8" s="77">
        <v>43</v>
      </c>
      <c r="BF8" s="2">
        <f t="shared" si="1"/>
        <v>83.720930232558146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2">
        <f t="shared" ref="BK8:BL8" si="7">BD8</f>
        <v>36</v>
      </c>
      <c r="BL8" s="2">
        <f t="shared" si="7"/>
        <v>43</v>
      </c>
      <c r="BM8" s="2">
        <f t="shared" si="3"/>
        <v>83.720930232558146</v>
      </c>
      <c r="BN8" s="9" t="str">
        <f t="shared" si="4"/>
        <v>3</v>
      </c>
      <c r="BO8" s="9">
        <v>6</v>
      </c>
      <c r="BP8" s="9">
        <v>5</v>
      </c>
      <c r="BQ8" s="2">
        <f t="shared" si="5"/>
        <v>7.833333333333333</v>
      </c>
      <c r="BR8" s="9"/>
      <c r="BS8" s="2">
        <f t="shared" si="6"/>
        <v>21.833333333333332</v>
      </c>
    </row>
    <row r="9" spans="1:71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64">
        <v>36</v>
      </c>
      <c r="BC9" s="9"/>
      <c r="BD9" s="64">
        <f t="shared" si="0"/>
        <v>36</v>
      </c>
      <c r="BE9" s="77">
        <v>43</v>
      </c>
      <c r="BF9" s="2">
        <f t="shared" si="1"/>
        <v>83.720930232558146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2">
        <f t="shared" ref="BK9:BL9" si="8">BD9</f>
        <v>36</v>
      </c>
      <c r="BL9" s="2">
        <f t="shared" si="8"/>
        <v>43</v>
      </c>
      <c r="BM9" s="2">
        <f t="shared" si="3"/>
        <v>83.720930232558146</v>
      </c>
      <c r="BN9" s="9" t="str">
        <f t="shared" si="4"/>
        <v>3</v>
      </c>
      <c r="BO9" s="9">
        <v>6</v>
      </c>
      <c r="BP9" s="9">
        <v>5</v>
      </c>
      <c r="BQ9" s="2">
        <f t="shared" si="5"/>
        <v>7.333333333333333</v>
      </c>
      <c r="BR9" s="9"/>
      <c r="BS9" s="2">
        <f t="shared" si="6"/>
        <v>21.333333333333332</v>
      </c>
    </row>
    <row r="10" spans="1:71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64">
        <v>22</v>
      </c>
      <c r="BC10" s="9"/>
      <c r="BD10" s="64">
        <f t="shared" si="0"/>
        <v>22</v>
      </c>
      <c r="BE10" s="77">
        <v>43</v>
      </c>
      <c r="BF10" s="2">
        <f t="shared" si="1"/>
        <v>51.162790697674424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2">
        <f t="shared" ref="BK10:BL10" si="9">BD10</f>
        <v>22</v>
      </c>
      <c r="BL10" s="2">
        <f t="shared" si="9"/>
        <v>43</v>
      </c>
      <c r="BM10" s="2">
        <f t="shared" si="3"/>
        <v>51.162790697674424</v>
      </c>
      <c r="BN10" s="9" t="str">
        <f t="shared" si="4"/>
        <v>0</v>
      </c>
      <c r="BO10" s="9">
        <v>7</v>
      </c>
      <c r="BP10" s="9">
        <v>6</v>
      </c>
      <c r="BQ10" s="2">
        <f t="shared" si="5"/>
        <v>7.666666666666667</v>
      </c>
      <c r="BR10" s="9"/>
      <c r="BS10" s="2">
        <f t="shared" si="6"/>
        <v>20.666666666666668</v>
      </c>
    </row>
    <row r="11" spans="1:71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64">
        <v>39</v>
      </c>
      <c r="BC11" s="9"/>
      <c r="BD11" s="64">
        <f t="shared" si="0"/>
        <v>39</v>
      </c>
      <c r="BE11" s="77">
        <v>43</v>
      </c>
      <c r="BF11" s="2">
        <f t="shared" si="1"/>
        <v>90.697674418604649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2">
        <f t="shared" ref="BK11:BL11" si="10">BD11</f>
        <v>39</v>
      </c>
      <c r="BL11" s="2">
        <f t="shared" si="10"/>
        <v>43</v>
      </c>
      <c r="BM11" s="2">
        <f t="shared" si="3"/>
        <v>90.697674418604649</v>
      </c>
      <c r="BN11" s="9" t="str">
        <f t="shared" si="4"/>
        <v>5</v>
      </c>
      <c r="BO11" s="9">
        <v>7</v>
      </c>
      <c r="BP11" s="9">
        <v>6</v>
      </c>
      <c r="BQ11" s="2">
        <f t="shared" si="5"/>
        <v>8.1666666666666661</v>
      </c>
      <c r="BR11" s="9"/>
      <c r="BS11" s="2">
        <f t="shared" si="6"/>
        <v>26.166666666666664</v>
      </c>
    </row>
    <row r="12" spans="1:71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64">
        <v>36</v>
      </c>
      <c r="BC12" s="9"/>
      <c r="BD12" s="64">
        <f t="shared" si="0"/>
        <v>36</v>
      </c>
      <c r="BE12" s="77">
        <v>43</v>
      </c>
      <c r="BF12" s="2">
        <f t="shared" si="1"/>
        <v>83.720930232558146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2">
        <f t="shared" ref="BK12:BL12" si="11">BD12</f>
        <v>36</v>
      </c>
      <c r="BL12" s="2">
        <f t="shared" si="11"/>
        <v>43</v>
      </c>
      <c r="BM12" s="2">
        <f t="shared" si="3"/>
        <v>83.720930232558146</v>
      </c>
      <c r="BN12" s="9" t="str">
        <f t="shared" si="4"/>
        <v>3</v>
      </c>
      <c r="BO12" s="9">
        <v>6</v>
      </c>
      <c r="BP12" s="9">
        <v>6</v>
      </c>
      <c r="BQ12" s="2">
        <f t="shared" si="5"/>
        <v>7.833333333333333</v>
      </c>
      <c r="BR12" s="9"/>
      <c r="BS12" s="2">
        <f t="shared" si="6"/>
        <v>22.833333333333332</v>
      </c>
    </row>
    <row r="13" spans="1:71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64">
        <v>32</v>
      </c>
      <c r="BC13" s="9"/>
      <c r="BD13" s="64">
        <f t="shared" si="0"/>
        <v>32</v>
      </c>
      <c r="BE13" s="77">
        <v>43</v>
      </c>
      <c r="BF13" s="2">
        <f t="shared" si="1"/>
        <v>74.418604651162795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2">
        <f t="shared" ref="BK13:BL13" si="12">BD13</f>
        <v>32</v>
      </c>
      <c r="BL13" s="2">
        <f t="shared" si="12"/>
        <v>43</v>
      </c>
      <c r="BM13" s="2">
        <f t="shared" si="3"/>
        <v>74.418604651162795</v>
      </c>
      <c r="BN13" s="9" t="str">
        <f t="shared" si="4"/>
        <v>0</v>
      </c>
      <c r="BO13" s="9">
        <v>6</v>
      </c>
      <c r="BP13" s="9">
        <v>5</v>
      </c>
      <c r="BQ13" s="2">
        <f t="shared" si="5"/>
        <v>7.833333333333333</v>
      </c>
      <c r="BR13" s="9"/>
      <c r="BS13" s="2">
        <f t="shared" si="6"/>
        <v>18.833333333333332</v>
      </c>
    </row>
    <row r="14" spans="1:71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64">
        <v>2</v>
      </c>
      <c r="BC14" s="9">
        <v>4</v>
      </c>
      <c r="BD14" s="64">
        <f t="shared" si="0"/>
        <v>6</v>
      </c>
      <c r="BE14" s="77">
        <v>43</v>
      </c>
      <c r="BF14" s="2">
        <f t="shared" si="1"/>
        <v>13.953488372093023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2">
        <f t="shared" ref="BK14:BL14" si="13">BD14</f>
        <v>6</v>
      </c>
      <c r="BL14" s="2">
        <f t="shared" si="13"/>
        <v>43</v>
      </c>
      <c r="BM14" s="2">
        <f t="shared" si="3"/>
        <v>13.953488372093023</v>
      </c>
      <c r="BN14" s="9" t="str">
        <f t="shared" si="4"/>
        <v>0</v>
      </c>
      <c r="BO14" s="9">
        <v>0</v>
      </c>
      <c r="BP14" s="9">
        <v>0</v>
      </c>
      <c r="BQ14" s="2">
        <f t="shared" si="5"/>
        <v>0</v>
      </c>
      <c r="BR14" s="9"/>
      <c r="BS14" s="2">
        <f t="shared" si="6"/>
        <v>0</v>
      </c>
    </row>
    <row r="15" spans="1:71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64">
        <v>26</v>
      </c>
      <c r="BC15" s="9"/>
      <c r="BD15" s="64">
        <f t="shared" si="0"/>
        <v>26</v>
      </c>
      <c r="BE15" s="77">
        <v>43</v>
      </c>
      <c r="BF15" s="2">
        <f t="shared" si="1"/>
        <v>60.465116279069761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2">
        <f t="shared" ref="BK15:BL15" si="14">BD15</f>
        <v>26</v>
      </c>
      <c r="BL15" s="2">
        <f t="shared" si="14"/>
        <v>43</v>
      </c>
      <c r="BM15" s="2">
        <f t="shared" si="3"/>
        <v>60.465116279069761</v>
      </c>
      <c r="BN15" s="9" t="str">
        <f t="shared" si="4"/>
        <v>0</v>
      </c>
      <c r="BO15" s="9">
        <v>6</v>
      </c>
      <c r="BP15" s="9">
        <v>5</v>
      </c>
      <c r="BQ15" s="2">
        <f t="shared" si="5"/>
        <v>8.1666666666666661</v>
      </c>
      <c r="BR15" s="9"/>
      <c r="BS15" s="2">
        <f t="shared" si="6"/>
        <v>19.166666666666664</v>
      </c>
    </row>
    <row r="16" spans="1:71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64">
        <v>38</v>
      </c>
      <c r="BC16" s="9"/>
      <c r="BD16" s="64">
        <f t="shared" si="0"/>
        <v>38</v>
      </c>
      <c r="BE16" s="77">
        <v>43</v>
      </c>
      <c r="BF16" s="2">
        <f t="shared" si="1"/>
        <v>88.372093023255815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2">
        <f t="shared" ref="BK16:BL16" si="15">BD16</f>
        <v>38</v>
      </c>
      <c r="BL16" s="2">
        <f t="shared" si="15"/>
        <v>43</v>
      </c>
      <c r="BM16" s="2">
        <f t="shared" si="3"/>
        <v>88.372093023255815</v>
      </c>
      <c r="BN16" s="9" t="str">
        <f t="shared" si="4"/>
        <v>4</v>
      </c>
      <c r="BO16" s="9">
        <v>6</v>
      </c>
      <c r="BP16" s="9">
        <v>5</v>
      </c>
      <c r="BQ16" s="2">
        <f t="shared" si="5"/>
        <v>8</v>
      </c>
      <c r="BR16" s="9"/>
      <c r="BS16" s="2">
        <f t="shared" si="6"/>
        <v>23</v>
      </c>
    </row>
    <row r="17" spans="1:71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64">
        <v>14</v>
      </c>
      <c r="BC17" s="9"/>
      <c r="BD17" s="64">
        <f t="shared" si="0"/>
        <v>14</v>
      </c>
      <c r="BE17" s="77">
        <v>43</v>
      </c>
      <c r="BF17" s="2">
        <f t="shared" si="1"/>
        <v>32.558139534883722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2">
        <f t="shared" ref="BK17:BL17" si="16">BD17</f>
        <v>14</v>
      </c>
      <c r="BL17" s="2">
        <f t="shared" si="16"/>
        <v>43</v>
      </c>
      <c r="BM17" s="2">
        <f t="shared" si="3"/>
        <v>32.558139534883722</v>
      </c>
      <c r="BN17" s="9" t="str">
        <f t="shared" si="4"/>
        <v>0</v>
      </c>
      <c r="BO17" s="9">
        <v>6</v>
      </c>
      <c r="BP17" s="9">
        <v>5</v>
      </c>
      <c r="BQ17" s="2">
        <f t="shared" si="5"/>
        <v>0</v>
      </c>
      <c r="BR17" s="9"/>
      <c r="BS17" s="2">
        <f t="shared" si="6"/>
        <v>11</v>
      </c>
    </row>
    <row r="18" spans="1:71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64">
        <v>32</v>
      </c>
      <c r="BC18" s="9"/>
      <c r="BD18" s="64">
        <f t="shared" si="0"/>
        <v>32</v>
      </c>
      <c r="BE18" s="77">
        <v>43</v>
      </c>
      <c r="BF18" s="2">
        <f t="shared" si="1"/>
        <v>74.418604651162795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2">
        <f t="shared" ref="BK18:BL18" si="17">BD18</f>
        <v>32</v>
      </c>
      <c r="BL18" s="2">
        <f t="shared" si="17"/>
        <v>43</v>
      </c>
      <c r="BM18" s="2">
        <f t="shared" si="3"/>
        <v>74.418604651162795</v>
      </c>
      <c r="BN18" s="9" t="str">
        <f t="shared" si="4"/>
        <v>0</v>
      </c>
      <c r="BO18" s="9">
        <v>6</v>
      </c>
      <c r="BP18" s="9">
        <v>5</v>
      </c>
      <c r="BQ18" s="2">
        <f t="shared" si="5"/>
        <v>8</v>
      </c>
      <c r="BR18" s="9"/>
      <c r="BS18" s="2">
        <f t="shared" si="6"/>
        <v>19</v>
      </c>
    </row>
    <row r="19" spans="1:71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64">
        <v>39</v>
      </c>
      <c r="BC19" s="9"/>
      <c r="BD19" s="64">
        <f t="shared" si="0"/>
        <v>39</v>
      </c>
      <c r="BE19" s="77">
        <v>43</v>
      </c>
      <c r="BF19" s="2">
        <f t="shared" si="1"/>
        <v>90.697674418604649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2">
        <f t="shared" ref="BK19:BL19" si="18">BD19</f>
        <v>39</v>
      </c>
      <c r="BL19" s="2">
        <f t="shared" si="18"/>
        <v>43</v>
      </c>
      <c r="BM19" s="2">
        <f t="shared" si="3"/>
        <v>90.697674418604649</v>
      </c>
      <c r="BN19" s="9" t="str">
        <f t="shared" si="4"/>
        <v>5</v>
      </c>
      <c r="BO19" s="9">
        <v>6</v>
      </c>
      <c r="BP19" s="9">
        <v>6</v>
      </c>
      <c r="BQ19" s="2">
        <f t="shared" si="5"/>
        <v>7.833333333333333</v>
      </c>
      <c r="BR19" s="9"/>
      <c r="BS19" s="2">
        <f t="shared" si="6"/>
        <v>24.833333333333332</v>
      </c>
    </row>
    <row r="20" spans="1:71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64">
        <v>19</v>
      </c>
      <c r="BC20" s="9"/>
      <c r="BD20" s="64">
        <f t="shared" si="0"/>
        <v>19</v>
      </c>
      <c r="BE20" s="77">
        <v>43</v>
      </c>
      <c r="BF20" s="2">
        <f t="shared" si="1"/>
        <v>44.186046511627907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2">
        <f t="shared" ref="BK20:BL20" si="19">BD20</f>
        <v>19</v>
      </c>
      <c r="BL20" s="2">
        <f t="shared" si="19"/>
        <v>43</v>
      </c>
      <c r="BM20" s="2">
        <f t="shared" si="3"/>
        <v>44.186046511627907</v>
      </c>
      <c r="BN20" s="9" t="str">
        <f t="shared" si="4"/>
        <v>0</v>
      </c>
      <c r="BO20" s="9">
        <v>5</v>
      </c>
      <c r="BP20" s="9">
        <v>5</v>
      </c>
      <c r="BQ20" s="2">
        <f t="shared" si="5"/>
        <v>7.333333333333333</v>
      </c>
      <c r="BR20" s="9"/>
      <c r="BS20" s="2">
        <f t="shared" si="6"/>
        <v>17.333333333333332</v>
      </c>
    </row>
    <row r="21" spans="1:71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64">
        <v>29</v>
      </c>
      <c r="BC21" s="9"/>
      <c r="BD21" s="64">
        <f t="shared" si="0"/>
        <v>29</v>
      </c>
      <c r="BE21" s="77">
        <v>43</v>
      </c>
      <c r="BF21" s="2">
        <f t="shared" si="1"/>
        <v>67.441860465116278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2">
        <f t="shared" ref="BK21:BL21" si="20">BD21</f>
        <v>29</v>
      </c>
      <c r="BL21" s="2">
        <f t="shared" si="20"/>
        <v>43</v>
      </c>
      <c r="BM21" s="2">
        <f t="shared" si="3"/>
        <v>67.441860465116278</v>
      </c>
      <c r="BN21" s="9" t="str">
        <f t="shared" si="4"/>
        <v>0</v>
      </c>
      <c r="BO21" s="9">
        <v>6</v>
      </c>
      <c r="BP21" s="9">
        <v>5</v>
      </c>
      <c r="BQ21" s="2">
        <f t="shared" si="5"/>
        <v>7.166666666666667</v>
      </c>
      <c r="BR21" s="9"/>
      <c r="BS21" s="2">
        <f t="shared" si="6"/>
        <v>18.166666666666668</v>
      </c>
    </row>
    <row r="22" spans="1:71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64">
        <v>30</v>
      </c>
      <c r="BC22" s="9"/>
      <c r="BD22" s="64">
        <f t="shared" si="0"/>
        <v>30</v>
      </c>
      <c r="BE22" s="77">
        <v>43</v>
      </c>
      <c r="BF22" s="2">
        <f t="shared" si="1"/>
        <v>69.767441860465112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2">
        <f t="shared" ref="BK22:BL22" si="21">BD22</f>
        <v>30</v>
      </c>
      <c r="BL22" s="2">
        <f t="shared" si="21"/>
        <v>43</v>
      </c>
      <c r="BM22" s="2">
        <f t="shared" si="3"/>
        <v>69.767441860465112</v>
      </c>
      <c r="BN22" s="9" t="str">
        <f t="shared" si="4"/>
        <v>0</v>
      </c>
      <c r="BO22" s="9">
        <v>7</v>
      </c>
      <c r="BP22" s="9">
        <v>6</v>
      </c>
      <c r="BQ22" s="2">
        <f t="shared" si="5"/>
        <v>7.833333333333333</v>
      </c>
      <c r="BR22" s="9"/>
      <c r="BS22" s="2">
        <f t="shared" si="6"/>
        <v>20.833333333333332</v>
      </c>
    </row>
    <row r="23" spans="1:71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64">
        <v>23</v>
      </c>
      <c r="BC23" s="9"/>
      <c r="BD23" s="64">
        <f t="shared" si="0"/>
        <v>23</v>
      </c>
      <c r="BE23" s="77">
        <v>43</v>
      </c>
      <c r="BF23" s="2">
        <f t="shared" si="1"/>
        <v>53.488372093023251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2">
        <f t="shared" ref="BK23:BL23" si="22">BD23</f>
        <v>23</v>
      </c>
      <c r="BL23" s="2">
        <f t="shared" si="22"/>
        <v>43</v>
      </c>
      <c r="BM23" s="2">
        <f t="shared" si="3"/>
        <v>53.488372093023251</v>
      </c>
      <c r="BN23" s="9" t="str">
        <f t="shared" si="4"/>
        <v>0</v>
      </c>
      <c r="BO23" s="9">
        <v>6</v>
      </c>
      <c r="BP23" s="9">
        <v>5</v>
      </c>
      <c r="BQ23" s="2">
        <f t="shared" si="5"/>
        <v>7.666666666666667</v>
      </c>
      <c r="BR23" s="9"/>
      <c r="BS23" s="2">
        <f t="shared" si="6"/>
        <v>18.666666666666668</v>
      </c>
    </row>
    <row r="24" spans="1:71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64">
        <v>37</v>
      </c>
      <c r="BC24" s="9"/>
      <c r="BD24" s="64">
        <f t="shared" si="0"/>
        <v>37</v>
      </c>
      <c r="BE24" s="77">
        <v>43</v>
      </c>
      <c r="BF24" s="2">
        <f t="shared" si="1"/>
        <v>86.04651162790698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2">
        <f t="shared" ref="BK24:BL24" si="23">BD24</f>
        <v>37</v>
      </c>
      <c r="BL24" s="2">
        <f t="shared" si="23"/>
        <v>43</v>
      </c>
      <c r="BM24" s="2">
        <f t="shared" si="3"/>
        <v>86.04651162790698</v>
      </c>
      <c r="BN24" s="9" t="str">
        <f t="shared" si="4"/>
        <v>4</v>
      </c>
      <c r="BO24" s="9">
        <v>6</v>
      </c>
      <c r="BP24" s="9">
        <v>5</v>
      </c>
      <c r="BQ24" s="2">
        <f t="shared" si="5"/>
        <v>8.1666666666666661</v>
      </c>
      <c r="BR24" s="9"/>
      <c r="BS24" s="2">
        <f t="shared" si="6"/>
        <v>23.166666666666664</v>
      </c>
    </row>
    <row r="25" spans="1:71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64">
        <v>38</v>
      </c>
      <c r="BC25" s="9"/>
      <c r="BD25" s="64">
        <f t="shared" si="0"/>
        <v>38</v>
      </c>
      <c r="BE25" s="77">
        <v>43</v>
      </c>
      <c r="BF25" s="2">
        <f t="shared" si="1"/>
        <v>88.372093023255815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2">
        <f t="shared" ref="BK25:BL25" si="24">BD25</f>
        <v>38</v>
      </c>
      <c r="BL25" s="2">
        <f t="shared" si="24"/>
        <v>43</v>
      </c>
      <c r="BM25" s="2">
        <f t="shared" si="3"/>
        <v>88.372093023255815</v>
      </c>
      <c r="BN25" s="9" t="str">
        <f t="shared" si="4"/>
        <v>4</v>
      </c>
      <c r="BO25" s="9">
        <v>5</v>
      </c>
      <c r="BP25" s="9">
        <v>5</v>
      </c>
      <c r="BQ25" s="2">
        <f t="shared" si="5"/>
        <v>7.5</v>
      </c>
      <c r="BR25" s="9"/>
      <c r="BS25" s="2">
        <f t="shared" si="6"/>
        <v>21.5</v>
      </c>
    </row>
    <row r="26" spans="1:71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64">
        <v>33</v>
      </c>
      <c r="BC26" s="9"/>
      <c r="BD26" s="64">
        <f t="shared" si="0"/>
        <v>33</v>
      </c>
      <c r="BE26" s="77">
        <v>43</v>
      </c>
      <c r="BF26" s="2">
        <f t="shared" si="1"/>
        <v>76.744186046511629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2">
        <f t="shared" ref="BK26:BL26" si="25">BD26</f>
        <v>33</v>
      </c>
      <c r="BL26" s="2">
        <f t="shared" si="25"/>
        <v>43</v>
      </c>
      <c r="BM26" s="2">
        <f t="shared" si="3"/>
        <v>76.744186046511629</v>
      </c>
      <c r="BN26" s="9" t="str">
        <f t="shared" si="4"/>
        <v>2</v>
      </c>
      <c r="BO26" s="9">
        <v>5</v>
      </c>
      <c r="BP26" s="9">
        <v>5</v>
      </c>
      <c r="BQ26" s="2">
        <f t="shared" si="5"/>
        <v>7.333333333333333</v>
      </c>
      <c r="BR26" s="9"/>
      <c r="BS26" s="2">
        <f t="shared" si="6"/>
        <v>19.333333333333332</v>
      </c>
    </row>
    <row r="27" spans="1:71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64">
        <v>0</v>
      </c>
      <c r="BC27" s="9"/>
      <c r="BD27" s="64">
        <f t="shared" si="0"/>
        <v>0</v>
      </c>
      <c r="BE27" s="77">
        <v>43</v>
      </c>
      <c r="BF27" s="2">
        <f t="shared" si="1"/>
        <v>0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2">
        <f t="shared" ref="BK27:BL27" si="26">BD27</f>
        <v>0</v>
      </c>
      <c r="BL27" s="2">
        <f t="shared" si="26"/>
        <v>43</v>
      </c>
      <c r="BM27" s="2">
        <f t="shared" si="3"/>
        <v>0</v>
      </c>
      <c r="BN27" s="9" t="str">
        <f t="shared" si="4"/>
        <v>0</v>
      </c>
      <c r="BO27" s="9">
        <v>0</v>
      </c>
      <c r="BP27" s="9">
        <v>0</v>
      </c>
      <c r="BQ27" s="2">
        <f t="shared" si="5"/>
        <v>0</v>
      </c>
      <c r="BR27" s="9"/>
      <c r="BS27" s="2">
        <f t="shared" si="6"/>
        <v>0</v>
      </c>
    </row>
    <row r="28" spans="1:71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64">
        <v>22</v>
      </c>
      <c r="BC28" s="9">
        <v>4</v>
      </c>
      <c r="BD28" s="64">
        <f t="shared" si="0"/>
        <v>26</v>
      </c>
      <c r="BE28" s="77">
        <v>43</v>
      </c>
      <c r="BF28" s="2">
        <f t="shared" si="1"/>
        <v>60.465116279069761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2">
        <f t="shared" ref="BK28:BL28" si="27">BD28</f>
        <v>26</v>
      </c>
      <c r="BL28" s="2">
        <f t="shared" si="27"/>
        <v>43</v>
      </c>
      <c r="BM28" s="2">
        <f t="shared" si="3"/>
        <v>60.465116279069761</v>
      </c>
      <c r="BN28" s="9" t="str">
        <f t="shared" si="4"/>
        <v>0</v>
      </c>
      <c r="BO28" s="9">
        <v>5</v>
      </c>
      <c r="BP28" s="9">
        <v>5</v>
      </c>
      <c r="BQ28" s="2">
        <f t="shared" si="5"/>
        <v>7.666666666666667</v>
      </c>
      <c r="BR28" s="9"/>
      <c r="BS28" s="2">
        <f t="shared" si="6"/>
        <v>17.666666666666668</v>
      </c>
    </row>
    <row r="29" spans="1:71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64">
        <v>32</v>
      </c>
      <c r="BC29" s="9"/>
      <c r="BD29" s="64">
        <f t="shared" si="0"/>
        <v>32</v>
      </c>
      <c r="BE29" s="77">
        <v>43</v>
      </c>
      <c r="BF29" s="2">
        <f t="shared" si="1"/>
        <v>74.418604651162795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2">
        <f t="shared" ref="BK29:BL29" si="28">BD29</f>
        <v>32</v>
      </c>
      <c r="BL29" s="2">
        <f t="shared" si="28"/>
        <v>43</v>
      </c>
      <c r="BM29" s="2">
        <f t="shared" si="3"/>
        <v>74.418604651162795</v>
      </c>
      <c r="BN29" s="9" t="str">
        <f t="shared" si="4"/>
        <v>0</v>
      </c>
      <c r="BO29" s="9">
        <v>6</v>
      </c>
      <c r="BP29" s="9">
        <v>6</v>
      </c>
      <c r="BQ29" s="2">
        <f t="shared" si="5"/>
        <v>8.3333333333333339</v>
      </c>
      <c r="BR29" s="9"/>
      <c r="BS29" s="2">
        <f t="shared" si="6"/>
        <v>20.333333333333336</v>
      </c>
    </row>
    <row r="30" spans="1:71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64">
        <v>29</v>
      </c>
      <c r="BC30" s="9"/>
      <c r="BD30" s="64">
        <f t="shared" si="0"/>
        <v>29</v>
      </c>
      <c r="BE30" s="77">
        <v>43</v>
      </c>
      <c r="BF30" s="2">
        <f t="shared" si="1"/>
        <v>67.441860465116278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2">
        <f t="shared" ref="BK30:BL30" si="29">BD30</f>
        <v>29</v>
      </c>
      <c r="BL30" s="2">
        <f t="shared" si="29"/>
        <v>43</v>
      </c>
      <c r="BM30" s="2">
        <f t="shared" si="3"/>
        <v>67.441860465116278</v>
      </c>
      <c r="BN30" s="9" t="str">
        <f t="shared" si="4"/>
        <v>0</v>
      </c>
      <c r="BO30" s="9">
        <v>6</v>
      </c>
      <c r="BP30" s="9">
        <v>6</v>
      </c>
      <c r="BQ30" s="2">
        <f t="shared" si="5"/>
        <v>8.1666666666666661</v>
      </c>
      <c r="BR30" s="9"/>
      <c r="BS30" s="2">
        <f t="shared" si="6"/>
        <v>20.166666666666664</v>
      </c>
    </row>
    <row r="31" spans="1:71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64">
        <v>26</v>
      </c>
      <c r="BC31" s="9"/>
      <c r="BD31" s="64">
        <f t="shared" si="0"/>
        <v>26</v>
      </c>
      <c r="BE31" s="77">
        <v>43</v>
      </c>
      <c r="BF31" s="2">
        <f t="shared" si="1"/>
        <v>60.465116279069761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2">
        <f t="shared" ref="BK31:BL31" si="30">BD31</f>
        <v>26</v>
      </c>
      <c r="BL31" s="2">
        <f t="shared" si="30"/>
        <v>43</v>
      </c>
      <c r="BM31" s="2">
        <f t="shared" si="3"/>
        <v>60.465116279069761</v>
      </c>
      <c r="BN31" s="9" t="str">
        <f t="shared" si="4"/>
        <v>0</v>
      </c>
      <c r="BO31" s="9">
        <v>5</v>
      </c>
      <c r="BP31" s="9">
        <v>5</v>
      </c>
      <c r="BQ31" s="2">
        <f t="shared" si="5"/>
        <v>7.666666666666667</v>
      </c>
      <c r="BR31" s="9"/>
      <c r="BS31" s="2">
        <f t="shared" si="6"/>
        <v>17.666666666666668</v>
      </c>
    </row>
    <row r="32" spans="1:71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64">
        <v>6</v>
      </c>
      <c r="BC32" s="9"/>
      <c r="BD32" s="64">
        <f t="shared" si="0"/>
        <v>6</v>
      </c>
      <c r="BE32" s="77">
        <v>43</v>
      </c>
      <c r="BF32" s="2">
        <f t="shared" si="1"/>
        <v>13.953488372093023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2">
        <f t="shared" ref="BK32:BL32" si="31">BD32</f>
        <v>6</v>
      </c>
      <c r="BL32" s="2">
        <f t="shared" si="31"/>
        <v>43</v>
      </c>
      <c r="BM32" s="2">
        <f t="shared" si="3"/>
        <v>13.953488372093023</v>
      </c>
      <c r="BN32" s="9" t="str">
        <f t="shared" si="4"/>
        <v>0</v>
      </c>
      <c r="BO32" s="9">
        <v>5</v>
      </c>
      <c r="BP32" s="9">
        <v>5</v>
      </c>
      <c r="BQ32" s="2">
        <f t="shared" si="5"/>
        <v>7.5</v>
      </c>
      <c r="BR32" s="9"/>
      <c r="BS32" s="2">
        <f t="shared" si="6"/>
        <v>17.5</v>
      </c>
    </row>
    <row r="33" spans="1:71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64">
        <v>33</v>
      </c>
      <c r="BC33" s="9"/>
      <c r="BD33" s="64">
        <f t="shared" si="0"/>
        <v>33</v>
      </c>
      <c r="BE33" s="77">
        <v>43</v>
      </c>
      <c r="BF33" s="2">
        <f t="shared" si="1"/>
        <v>76.744186046511629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2">
        <f t="shared" ref="BK33:BL33" si="32">BD33</f>
        <v>33</v>
      </c>
      <c r="BL33" s="2">
        <f t="shared" si="32"/>
        <v>43</v>
      </c>
      <c r="BM33" s="2">
        <f t="shared" si="3"/>
        <v>76.744186046511629</v>
      </c>
      <c r="BN33" s="9" t="str">
        <f t="shared" si="4"/>
        <v>2</v>
      </c>
      <c r="BO33" s="9">
        <v>6</v>
      </c>
      <c r="BP33" s="9">
        <v>5</v>
      </c>
      <c r="BQ33" s="2">
        <f t="shared" si="5"/>
        <v>8</v>
      </c>
      <c r="BR33" s="9"/>
      <c r="BS33" s="2">
        <f t="shared" si="6"/>
        <v>21</v>
      </c>
    </row>
    <row r="34" spans="1:71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64">
        <v>21</v>
      </c>
      <c r="BC34" s="9"/>
      <c r="BD34" s="64">
        <f t="shared" si="0"/>
        <v>21</v>
      </c>
      <c r="BE34" s="77">
        <v>43</v>
      </c>
      <c r="BF34" s="2">
        <f t="shared" si="1"/>
        <v>48.837209302325576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2">
        <f t="shared" ref="BK34:BL34" si="33">BD34</f>
        <v>21</v>
      </c>
      <c r="BL34" s="2">
        <f t="shared" si="33"/>
        <v>43</v>
      </c>
      <c r="BM34" s="2">
        <f t="shared" si="3"/>
        <v>48.837209302325576</v>
      </c>
      <c r="BN34" s="9" t="str">
        <f t="shared" si="4"/>
        <v>0</v>
      </c>
      <c r="BO34" s="9">
        <v>5</v>
      </c>
      <c r="BP34" s="9">
        <v>5</v>
      </c>
      <c r="BQ34" s="2">
        <f t="shared" si="5"/>
        <v>8</v>
      </c>
      <c r="BR34" s="9"/>
      <c r="BS34" s="2">
        <f t="shared" si="6"/>
        <v>18</v>
      </c>
    </row>
    <row r="35" spans="1:71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64">
        <v>16</v>
      </c>
      <c r="BC35" s="9"/>
      <c r="BD35" s="64">
        <f t="shared" si="0"/>
        <v>16</v>
      </c>
      <c r="BE35" s="77">
        <v>43</v>
      </c>
      <c r="BF35" s="2">
        <f t="shared" si="1"/>
        <v>37.209302325581397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2">
        <f t="shared" ref="BK35:BL35" si="34">BD35</f>
        <v>16</v>
      </c>
      <c r="BL35" s="2">
        <f t="shared" si="34"/>
        <v>43</v>
      </c>
      <c r="BM35" s="2">
        <f t="shared" si="3"/>
        <v>37.209302325581397</v>
      </c>
      <c r="BN35" s="9" t="str">
        <f t="shared" si="4"/>
        <v>0</v>
      </c>
      <c r="BO35" s="9">
        <v>5</v>
      </c>
      <c r="BP35" s="9">
        <v>5</v>
      </c>
      <c r="BQ35" s="2">
        <f t="shared" si="5"/>
        <v>7.5</v>
      </c>
      <c r="BR35" s="9"/>
      <c r="BS35" s="2">
        <f t="shared" si="6"/>
        <v>17.5</v>
      </c>
    </row>
    <row r="36" spans="1:71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64">
        <v>24</v>
      </c>
      <c r="BC36" s="9"/>
      <c r="BD36" s="64">
        <f t="shared" si="0"/>
        <v>24</v>
      </c>
      <c r="BE36" s="77">
        <v>43</v>
      </c>
      <c r="BF36" s="2">
        <f t="shared" si="1"/>
        <v>55.813953488372093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2">
        <f t="shared" ref="BK36:BL36" si="35">BD36</f>
        <v>24</v>
      </c>
      <c r="BL36" s="2">
        <f t="shared" si="35"/>
        <v>43</v>
      </c>
      <c r="BM36" s="2">
        <f t="shared" si="3"/>
        <v>55.813953488372093</v>
      </c>
      <c r="BN36" s="9" t="str">
        <f t="shared" si="4"/>
        <v>0</v>
      </c>
      <c r="BO36" s="9">
        <v>5</v>
      </c>
      <c r="BP36" s="9">
        <v>5</v>
      </c>
      <c r="BQ36" s="2">
        <f t="shared" si="5"/>
        <v>7.666666666666667</v>
      </c>
      <c r="BR36" s="9"/>
      <c r="BS36" s="2">
        <f t="shared" si="6"/>
        <v>17.666666666666668</v>
      </c>
    </row>
    <row r="37" spans="1:71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64">
        <v>13</v>
      </c>
      <c r="BC37" s="9"/>
      <c r="BD37" s="64">
        <f t="shared" si="0"/>
        <v>13</v>
      </c>
      <c r="BE37" s="77">
        <v>43</v>
      </c>
      <c r="BF37" s="2">
        <f t="shared" si="1"/>
        <v>30.232558139534881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2">
        <f t="shared" ref="BK37:BL37" si="36">BD37</f>
        <v>13</v>
      </c>
      <c r="BL37" s="2">
        <f t="shared" si="36"/>
        <v>43</v>
      </c>
      <c r="BM37" s="2">
        <f t="shared" si="3"/>
        <v>30.232558139534881</v>
      </c>
      <c r="BN37" s="9" t="str">
        <f t="shared" si="4"/>
        <v>0</v>
      </c>
      <c r="BO37" s="9">
        <v>6</v>
      </c>
      <c r="BP37" s="9">
        <v>4</v>
      </c>
      <c r="BQ37" s="2">
        <f t="shared" si="5"/>
        <v>7.666666666666667</v>
      </c>
      <c r="BR37" s="9"/>
      <c r="BS37" s="2">
        <f t="shared" si="6"/>
        <v>17.666666666666668</v>
      </c>
    </row>
    <row r="38" spans="1:71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64">
        <v>0</v>
      </c>
      <c r="BC38" s="9">
        <v>4</v>
      </c>
      <c r="BD38" s="64">
        <f t="shared" si="0"/>
        <v>4</v>
      </c>
      <c r="BE38" s="77">
        <v>43</v>
      </c>
      <c r="BF38" s="2">
        <f t="shared" si="1"/>
        <v>9.3023255813953494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2">
        <f t="shared" ref="BK38:BL38" si="37">BD38</f>
        <v>4</v>
      </c>
      <c r="BL38" s="2">
        <f t="shared" si="37"/>
        <v>43</v>
      </c>
      <c r="BM38" s="2">
        <f t="shared" si="3"/>
        <v>9.3023255813953494</v>
      </c>
      <c r="BN38" s="9" t="str">
        <f t="shared" si="4"/>
        <v>0</v>
      </c>
      <c r="BO38" s="9">
        <v>0</v>
      </c>
      <c r="BP38" s="9">
        <v>0</v>
      </c>
      <c r="BQ38" s="2">
        <f t="shared" si="5"/>
        <v>0</v>
      </c>
      <c r="BR38" s="9"/>
      <c r="BS38" s="2">
        <f t="shared" si="6"/>
        <v>0</v>
      </c>
    </row>
    <row r="39" spans="1:71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65">
        <v>31</v>
      </c>
      <c r="BC39" s="9"/>
      <c r="BD39" s="64">
        <f t="shared" si="0"/>
        <v>31</v>
      </c>
      <c r="BE39" s="77">
        <v>43</v>
      </c>
      <c r="BF39" s="2">
        <f t="shared" si="1"/>
        <v>72.093023255813947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2">
        <f t="shared" ref="BK39:BL39" si="38">BD39</f>
        <v>31</v>
      </c>
      <c r="BL39" s="2">
        <f t="shared" si="38"/>
        <v>43</v>
      </c>
      <c r="BM39" s="2">
        <f t="shared" si="3"/>
        <v>72.093023255813947</v>
      </c>
      <c r="BN39" s="9" t="str">
        <f t="shared" si="4"/>
        <v>0</v>
      </c>
      <c r="BO39" s="9">
        <v>6</v>
      </c>
      <c r="BP39" s="9">
        <v>5</v>
      </c>
      <c r="BQ39" s="2">
        <f t="shared" si="5"/>
        <v>8.1666666666666661</v>
      </c>
      <c r="BR39" s="9"/>
      <c r="BS39" s="2">
        <f t="shared" si="6"/>
        <v>19.166666666666664</v>
      </c>
    </row>
    <row r="40" spans="1:71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65">
        <f>AZ40+BA40</f>
        <v>0</v>
      </c>
      <c r="BC40" s="9"/>
      <c r="BD40" s="64">
        <f t="shared" si="0"/>
        <v>0</v>
      </c>
      <c r="BE40" s="77">
        <v>43</v>
      </c>
      <c r="BF40" s="2">
        <f t="shared" si="1"/>
        <v>0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2">
        <f t="shared" ref="BK40:BL40" si="39">BD40</f>
        <v>0</v>
      </c>
      <c r="BL40" s="2">
        <f t="shared" si="39"/>
        <v>43</v>
      </c>
      <c r="BM40" s="2">
        <f t="shared" si="3"/>
        <v>0</v>
      </c>
      <c r="BN40" s="9" t="str">
        <f t="shared" si="4"/>
        <v>0</v>
      </c>
      <c r="BO40" s="9">
        <v>0</v>
      </c>
      <c r="BP40" s="9">
        <v>0</v>
      </c>
      <c r="BQ40" s="2">
        <f t="shared" si="5"/>
        <v>0</v>
      </c>
      <c r="BR40" s="9"/>
      <c r="BS40" s="2">
        <f t="shared" si="6"/>
        <v>0</v>
      </c>
    </row>
    <row r="41" spans="1:71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64">
        <v>35</v>
      </c>
      <c r="BC41" s="9"/>
      <c r="BD41" s="64">
        <f t="shared" si="0"/>
        <v>35</v>
      </c>
      <c r="BE41" s="77">
        <v>43</v>
      </c>
      <c r="BF41" s="2">
        <f t="shared" si="1"/>
        <v>81.395348837209298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2">
        <f t="shared" ref="BK41:BL41" si="40">BD41</f>
        <v>35</v>
      </c>
      <c r="BL41" s="2">
        <f t="shared" si="40"/>
        <v>43</v>
      </c>
      <c r="BM41" s="2">
        <f t="shared" si="3"/>
        <v>81.395348837209298</v>
      </c>
      <c r="BN41" s="9" t="str">
        <f t="shared" si="4"/>
        <v>3</v>
      </c>
      <c r="BO41" s="9">
        <v>6</v>
      </c>
      <c r="BP41" s="9">
        <v>6</v>
      </c>
      <c r="BQ41" s="2">
        <f t="shared" si="5"/>
        <v>8.5</v>
      </c>
      <c r="BR41" s="9"/>
      <c r="BS41" s="2">
        <f t="shared" si="6"/>
        <v>23.5</v>
      </c>
    </row>
    <row r="42" spans="1:71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64">
        <v>37</v>
      </c>
      <c r="BC42" s="9"/>
      <c r="BD42" s="64">
        <f t="shared" si="0"/>
        <v>37</v>
      </c>
      <c r="BE42" s="77">
        <v>43</v>
      </c>
      <c r="BF42" s="2">
        <f t="shared" si="1"/>
        <v>86.04651162790698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2">
        <f t="shared" ref="BK42:BL42" si="41">BD42</f>
        <v>37</v>
      </c>
      <c r="BL42" s="2">
        <f t="shared" si="41"/>
        <v>43</v>
      </c>
      <c r="BM42" s="2">
        <f t="shared" si="3"/>
        <v>86.04651162790698</v>
      </c>
      <c r="BN42" s="9" t="str">
        <f t="shared" si="4"/>
        <v>4</v>
      </c>
      <c r="BO42" s="9">
        <v>6</v>
      </c>
      <c r="BP42" s="9">
        <v>5</v>
      </c>
      <c r="BQ42" s="2">
        <f t="shared" si="5"/>
        <v>8.1666666666666661</v>
      </c>
      <c r="BR42" s="9"/>
      <c r="BS42" s="2">
        <f t="shared" si="6"/>
        <v>23.166666666666664</v>
      </c>
    </row>
    <row r="43" spans="1:71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64">
        <v>27</v>
      </c>
      <c r="BC43" s="9"/>
      <c r="BD43" s="64">
        <f t="shared" si="0"/>
        <v>27</v>
      </c>
      <c r="BE43" s="77">
        <v>43</v>
      </c>
      <c r="BF43" s="2">
        <f t="shared" si="1"/>
        <v>62.790697674418603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2">
        <f t="shared" ref="BK43:BL43" si="42">BD43</f>
        <v>27</v>
      </c>
      <c r="BL43" s="2">
        <f t="shared" si="42"/>
        <v>43</v>
      </c>
      <c r="BM43" s="2">
        <f t="shared" si="3"/>
        <v>62.790697674418603</v>
      </c>
      <c r="BN43" s="9" t="str">
        <f t="shared" si="4"/>
        <v>0</v>
      </c>
      <c r="BO43" s="9">
        <v>6</v>
      </c>
      <c r="BP43" s="9">
        <v>6</v>
      </c>
      <c r="BQ43" s="2">
        <f t="shared" si="5"/>
        <v>8.3333333333333339</v>
      </c>
      <c r="BR43" s="9"/>
      <c r="BS43" s="2">
        <f t="shared" si="6"/>
        <v>20.333333333333336</v>
      </c>
    </row>
    <row r="44" spans="1:71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65">
        <v>37</v>
      </c>
      <c r="BC44" s="9"/>
      <c r="BD44" s="64">
        <f t="shared" si="0"/>
        <v>37</v>
      </c>
      <c r="BE44" s="77">
        <v>43</v>
      </c>
      <c r="BF44" s="2">
        <f t="shared" si="1"/>
        <v>86.04651162790698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2">
        <f t="shared" ref="BK44:BL44" si="43">BD44</f>
        <v>37</v>
      </c>
      <c r="BL44" s="2">
        <f t="shared" si="43"/>
        <v>43</v>
      </c>
      <c r="BM44" s="2">
        <f t="shared" si="3"/>
        <v>86.04651162790698</v>
      </c>
      <c r="BN44" s="9" t="str">
        <f t="shared" si="4"/>
        <v>4</v>
      </c>
      <c r="BO44" s="9">
        <v>6</v>
      </c>
      <c r="BP44" s="9">
        <v>5</v>
      </c>
      <c r="BQ44" s="2">
        <f t="shared" si="5"/>
        <v>7.833333333333333</v>
      </c>
      <c r="BR44" s="9"/>
      <c r="BS44" s="2">
        <f t="shared" si="6"/>
        <v>22.833333333333332</v>
      </c>
    </row>
    <row r="45" spans="1:71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65">
        <v>34</v>
      </c>
      <c r="BC45" s="9"/>
      <c r="BD45" s="64">
        <f t="shared" si="0"/>
        <v>34</v>
      </c>
      <c r="BE45" s="9">
        <v>43</v>
      </c>
      <c r="BF45" s="2">
        <f t="shared" si="1"/>
        <v>79.069767441860463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2">
        <f t="shared" ref="BK45:BL45" si="44">BD45</f>
        <v>34</v>
      </c>
      <c r="BL45" s="9">
        <f t="shared" si="44"/>
        <v>43</v>
      </c>
      <c r="BM45" s="2">
        <f t="shared" si="3"/>
        <v>79.069767441860463</v>
      </c>
      <c r="BN45" s="9" t="str">
        <f t="shared" si="4"/>
        <v>2</v>
      </c>
      <c r="BO45" s="9">
        <v>6</v>
      </c>
      <c r="BP45" s="9">
        <v>6</v>
      </c>
      <c r="BQ45" s="2">
        <f t="shared" si="5"/>
        <v>7.5</v>
      </c>
      <c r="BR45" s="9"/>
      <c r="BS45" s="2">
        <f t="shared" si="6"/>
        <v>21.5</v>
      </c>
    </row>
    <row r="46" spans="1:71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65">
        <v>36</v>
      </c>
      <c r="BC46" s="9"/>
      <c r="BD46" s="64">
        <f t="shared" si="0"/>
        <v>36</v>
      </c>
      <c r="BE46" s="9">
        <v>40</v>
      </c>
      <c r="BF46" s="2">
        <f t="shared" si="1"/>
        <v>90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2">
        <f t="shared" ref="BK46:BL46" si="45">BD46</f>
        <v>36</v>
      </c>
      <c r="BL46" s="9">
        <f t="shared" si="45"/>
        <v>40</v>
      </c>
      <c r="BM46" s="2">
        <f t="shared" si="3"/>
        <v>90</v>
      </c>
      <c r="BN46" s="9" t="str">
        <f t="shared" si="4"/>
        <v>4</v>
      </c>
      <c r="BO46" s="9">
        <v>6</v>
      </c>
      <c r="BP46" s="9">
        <v>6</v>
      </c>
      <c r="BQ46" s="2">
        <f t="shared" si="5"/>
        <v>8</v>
      </c>
      <c r="BR46" s="9"/>
      <c r="BS46" s="2">
        <f t="shared" si="6"/>
        <v>24</v>
      </c>
    </row>
    <row r="47" spans="1:71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65">
        <v>26</v>
      </c>
      <c r="BC47" s="9"/>
      <c r="BD47" s="64">
        <f t="shared" si="0"/>
        <v>26</v>
      </c>
      <c r="BE47" s="9">
        <v>40</v>
      </c>
      <c r="BF47" s="2">
        <f t="shared" si="1"/>
        <v>65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2">
        <f t="shared" ref="BK47:BL47" si="46">BD47</f>
        <v>26</v>
      </c>
      <c r="BL47" s="9">
        <f t="shared" si="46"/>
        <v>40</v>
      </c>
      <c r="BM47" s="2">
        <f t="shared" si="3"/>
        <v>65</v>
      </c>
      <c r="BN47" s="9" t="str">
        <f t="shared" si="4"/>
        <v>0</v>
      </c>
      <c r="BO47" s="9">
        <v>6</v>
      </c>
      <c r="BP47" s="9">
        <v>5</v>
      </c>
      <c r="BQ47" s="2">
        <f t="shared" si="5"/>
        <v>7.833333333333333</v>
      </c>
      <c r="BR47" s="9"/>
      <c r="BS47" s="2">
        <f t="shared" si="6"/>
        <v>18.833333333333332</v>
      </c>
    </row>
    <row r="48" spans="1:71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65">
        <v>26</v>
      </c>
      <c r="BC48" s="9"/>
      <c r="BD48" s="64">
        <f t="shared" si="0"/>
        <v>26</v>
      </c>
      <c r="BE48" s="9">
        <v>40</v>
      </c>
      <c r="BF48" s="2">
        <f t="shared" si="1"/>
        <v>65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2">
        <f t="shared" ref="BK48:BL48" si="47">BD48</f>
        <v>26</v>
      </c>
      <c r="BL48" s="9">
        <f t="shared" si="47"/>
        <v>40</v>
      </c>
      <c r="BM48" s="2">
        <f t="shared" si="3"/>
        <v>65</v>
      </c>
      <c r="BN48" s="9" t="str">
        <f t="shared" si="4"/>
        <v>0</v>
      </c>
      <c r="BO48" s="9">
        <v>5</v>
      </c>
      <c r="BP48" s="9">
        <v>5</v>
      </c>
      <c r="BQ48" s="2">
        <f t="shared" si="5"/>
        <v>8.1666666666666661</v>
      </c>
      <c r="BR48" s="9"/>
      <c r="BS48" s="2">
        <f t="shared" si="6"/>
        <v>18.166666666666664</v>
      </c>
    </row>
    <row r="49" spans="1:71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65">
        <v>28</v>
      </c>
      <c r="BC49" s="9"/>
      <c r="BD49" s="64">
        <f t="shared" si="0"/>
        <v>28</v>
      </c>
      <c r="BE49" s="9">
        <v>40</v>
      </c>
      <c r="BF49" s="2">
        <f t="shared" si="1"/>
        <v>70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2">
        <f t="shared" ref="BK49:BL49" si="48">BD49</f>
        <v>28</v>
      </c>
      <c r="BL49" s="9">
        <f t="shared" si="48"/>
        <v>40</v>
      </c>
      <c r="BM49" s="2">
        <f t="shared" si="3"/>
        <v>70</v>
      </c>
      <c r="BN49" s="9" t="str">
        <f t="shared" si="4"/>
        <v>0</v>
      </c>
      <c r="BO49" s="9">
        <v>6</v>
      </c>
      <c r="BP49" s="9">
        <v>5</v>
      </c>
      <c r="BQ49" s="2">
        <f t="shared" si="5"/>
        <v>7.5</v>
      </c>
      <c r="BR49" s="9"/>
      <c r="BS49" s="2">
        <f t="shared" si="6"/>
        <v>18.5</v>
      </c>
    </row>
    <row r="50" spans="1:71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65">
        <v>30</v>
      </c>
      <c r="BC50" s="9"/>
      <c r="BD50" s="64">
        <f t="shared" si="0"/>
        <v>30</v>
      </c>
      <c r="BE50" s="9">
        <v>40</v>
      </c>
      <c r="BF50" s="2">
        <f t="shared" si="1"/>
        <v>75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2">
        <f t="shared" ref="BK50:BL50" si="49">BD50</f>
        <v>30</v>
      </c>
      <c r="BL50" s="9">
        <f t="shared" si="49"/>
        <v>40</v>
      </c>
      <c r="BM50" s="2">
        <f t="shared" si="3"/>
        <v>75</v>
      </c>
      <c r="BN50" s="9" t="str">
        <f t="shared" si="4"/>
        <v>0</v>
      </c>
      <c r="BO50" s="9">
        <v>6</v>
      </c>
      <c r="BP50" s="9">
        <v>5</v>
      </c>
      <c r="BQ50" s="2">
        <f t="shared" si="5"/>
        <v>8</v>
      </c>
      <c r="BR50" s="9"/>
      <c r="BS50" s="2">
        <f t="shared" si="6"/>
        <v>19</v>
      </c>
    </row>
    <row r="51" spans="1:71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65">
        <v>18</v>
      </c>
      <c r="BC51" s="9"/>
      <c r="BD51" s="64">
        <f t="shared" si="0"/>
        <v>18</v>
      </c>
      <c r="BE51" s="9">
        <v>40</v>
      </c>
      <c r="BF51" s="2">
        <f t="shared" si="1"/>
        <v>45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2">
        <f t="shared" ref="BK51:BL51" si="50">BD51</f>
        <v>18</v>
      </c>
      <c r="BL51" s="9">
        <f t="shared" si="50"/>
        <v>40</v>
      </c>
      <c r="BM51" s="2">
        <f t="shared" si="3"/>
        <v>45</v>
      </c>
      <c r="BN51" s="9" t="str">
        <f t="shared" si="4"/>
        <v>0</v>
      </c>
      <c r="BO51" s="9">
        <v>6</v>
      </c>
      <c r="BP51" s="9">
        <v>5</v>
      </c>
      <c r="BQ51" s="2">
        <f t="shared" si="5"/>
        <v>7.333333333333333</v>
      </c>
      <c r="BR51" s="9"/>
      <c r="BS51" s="2">
        <f t="shared" si="6"/>
        <v>18.333333333333332</v>
      </c>
    </row>
    <row r="52" spans="1:71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65">
        <v>22</v>
      </c>
      <c r="BC52" s="9"/>
      <c r="BD52" s="64">
        <f t="shared" si="0"/>
        <v>22</v>
      </c>
      <c r="BE52" s="9">
        <v>40</v>
      </c>
      <c r="BF52" s="2">
        <f t="shared" si="1"/>
        <v>55.000000000000007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2">
        <f t="shared" ref="BK52:BL52" si="51">BD52</f>
        <v>22</v>
      </c>
      <c r="BL52" s="9">
        <f t="shared" si="51"/>
        <v>40</v>
      </c>
      <c r="BM52" s="2">
        <f t="shared" si="3"/>
        <v>55.000000000000007</v>
      </c>
      <c r="BN52" s="9" t="str">
        <f t="shared" si="4"/>
        <v>0</v>
      </c>
      <c r="BO52" s="9">
        <v>6</v>
      </c>
      <c r="BP52" s="9">
        <v>5</v>
      </c>
      <c r="BQ52" s="2">
        <f t="shared" si="5"/>
        <v>8</v>
      </c>
      <c r="BR52" s="9"/>
      <c r="BS52" s="2">
        <f t="shared" si="6"/>
        <v>19</v>
      </c>
    </row>
    <row r="53" spans="1:71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65">
        <v>20</v>
      </c>
      <c r="BC53" s="9"/>
      <c r="BD53" s="64">
        <f t="shared" si="0"/>
        <v>20</v>
      </c>
      <c r="BE53" s="9">
        <v>40</v>
      </c>
      <c r="BF53" s="2">
        <f t="shared" si="1"/>
        <v>50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2">
        <f t="shared" ref="BK53:BL53" si="52">BD53</f>
        <v>20</v>
      </c>
      <c r="BL53" s="9">
        <f t="shared" si="52"/>
        <v>40</v>
      </c>
      <c r="BM53" s="2">
        <f t="shared" si="3"/>
        <v>50</v>
      </c>
      <c r="BN53" s="9" t="str">
        <f t="shared" si="4"/>
        <v>0</v>
      </c>
      <c r="BO53" s="9">
        <v>6</v>
      </c>
      <c r="BP53" s="9">
        <v>5</v>
      </c>
      <c r="BQ53" s="2">
        <f t="shared" si="5"/>
        <v>7.666666666666667</v>
      </c>
      <c r="BR53" s="9"/>
      <c r="BS53" s="2">
        <f t="shared" si="6"/>
        <v>18.666666666666668</v>
      </c>
    </row>
    <row r="54" spans="1:71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65">
        <v>36</v>
      </c>
      <c r="BC54" s="9"/>
      <c r="BD54" s="64">
        <f t="shared" si="0"/>
        <v>36</v>
      </c>
      <c r="BE54" s="9">
        <v>40</v>
      </c>
      <c r="BF54" s="2">
        <f t="shared" si="1"/>
        <v>90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2">
        <f t="shared" ref="BK54:BL54" si="53">BD54</f>
        <v>36</v>
      </c>
      <c r="BL54" s="9">
        <f t="shared" si="53"/>
        <v>40</v>
      </c>
      <c r="BM54" s="2">
        <f t="shared" si="3"/>
        <v>90</v>
      </c>
      <c r="BN54" s="9" t="str">
        <f t="shared" si="4"/>
        <v>4</v>
      </c>
      <c r="BO54" s="9">
        <v>6</v>
      </c>
      <c r="BP54" s="9">
        <v>5</v>
      </c>
      <c r="BQ54" s="2">
        <f t="shared" si="5"/>
        <v>7.333333333333333</v>
      </c>
      <c r="BR54" s="9"/>
      <c r="BS54" s="2">
        <f t="shared" si="6"/>
        <v>22.333333333333332</v>
      </c>
    </row>
    <row r="55" spans="1:71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65">
        <v>26</v>
      </c>
      <c r="BC55" s="9"/>
      <c r="BD55" s="64">
        <f t="shared" si="0"/>
        <v>26</v>
      </c>
      <c r="BE55" s="9">
        <v>40</v>
      </c>
      <c r="BF55" s="2">
        <f t="shared" si="1"/>
        <v>65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2">
        <f t="shared" ref="BK55:BL55" si="54">BD55</f>
        <v>26</v>
      </c>
      <c r="BL55" s="9">
        <f t="shared" si="54"/>
        <v>40</v>
      </c>
      <c r="BM55" s="2">
        <f t="shared" si="3"/>
        <v>65</v>
      </c>
      <c r="BN55" s="9" t="str">
        <f t="shared" si="4"/>
        <v>0</v>
      </c>
      <c r="BO55" s="9">
        <v>6</v>
      </c>
      <c r="BP55" s="9">
        <v>6</v>
      </c>
      <c r="BQ55" s="2">
        <f t="shared" si="5"/>
        <v>8</v>
      </c>
      <c r="BR55" s="9"/>
      <c r="BS55" s="2">
        <f t="shared" si="6"/>
        <v>20</v>
      </c>
    </row>
    <row r="56" spans="1:71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65">
        <v>16</v>
      </c>
      <c r="BC56" s="9"/>
      <c r="BD56" s="64">
        <f t="shared" si="0"/>
        <v>16</v>
      </c>
      <c r="BE56" s="9">
        <v>40</v>
      </c>
      <c r="BF56" s="2">
        <f t="shared" si="1"/>
        <v>40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2">
        <f t="shared" ref="BK56:BL56" si="55">BD56</f>
        <v>16</v>
      </c>
      <c r="BL56" s="9">
        <f t="shared" si="55"/>
        <v>40</v>
      </c>
      <c r="BM56" s="2">
        <f t="shared" si="3"/>
        <v>40</v>
      </c>
      <c r="BN56" s="9" t="str">
        <f t="shared" si="4"/>
        <v>0</v>
      </c>
      <c r="BO56" s="9">
        <v>6</v>
      </c>
      <c r="BP56" s="9">
        <v>4</v>
      </c>
      <c r="BQ56" s="2">
        <f t="shared" si="5"/>
        <v>7.666666666666667</v>
      </c>
      <c r="BR56" s="9"/>
      <c r="BS56" s="2">
        <f t="shared" si="6"/>
        <v>17.666666666666668</v>
      </c>
    </row>
    <row r="57" spans="1:71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65">
        <v>10</v>
      </c>
      <c r="BC57" s="9"/>
      <c r="BD57" s="64">
        <f t="shared" si="0"/>
        <v>10</v>
      </c>
      <c r="BE57" s="9">
        <v>40</v>
      </c>
      <c r="BF57" s="2">
        <f t="shared" si="1"/>
        <v>25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2">
        <f t="shared" ref="BK57:BL57" si="56">BD57</f>
        <v>10</v>
      </c>
      <c r="BL57" s="9">
        <f t="shared" si="56"/>
        <v>40</v>
      </c>
      <c r="BM57" s="2">
        <f t="shared" si="3"/>
        <v>25</v>
      </c>
      <c r="BN57" s="9" t="str">
        <f t="shared" si="4"/>
        <v>0</v>
      </c>
      <c r="BO57" s="9">
        <v>4</v>
      </c>
      <c r="BP57" s="9">
        <v>4</v>
      </c>
      <c r="BQ57" s="2">
        <f t="shared" si="5"/>
        <v>7.666666666666667</v>
      </c>
      <c r="BR57" s="9"/>
      <c r="BS57" s="2">
        <f t="shared" si="6"/>
        <v>15.666666666666668</v>
      </c>
    </row>
    <row r="58" spans="1:71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65">
        <v>30</v>
      </c>
      <c r="BC58" s="9"/>
      <c r="BD58" s="64">
        <f t="shared" si="0"/>
        <v>30</v>
      </c>
      <c r="BE58" s="9">
        <v>40</v>
      </c>
      <c r="BF58" s="2">
        <f t="shared" si="1"/>
        <v>75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2">
        <f t="shared" ref="BK58:BL58" si="57">BD58</f>
        <v>30</v>
      </c>
      <c r="BL58" s="9">
        <f t="shared" si="57"/>
        <v>40</v>
      </c>
      <c r="BM58" s="2">
        <f t="shared" si="3"/>
        <v>75</v>
      </c>
      <c r="BN58" s="9" t="str">
        <f t="shared" si="4"/>
        <v>0</v>
      </c>
      <c r="BO58" s="9">
        <v>6</v>
      </c>
      <c r="BP58" s="9">
        <v>6</v>
      </c>
      <c r="BQ58" s="2">
        <f t="shared" si="5"/>
        <v>8.5</v>
      </c>
      <c r="BR58" s="9"/>
      <c r="BS58" s="2">
        <f t="shared" si="6"/>
        <v>20.5</v>
      </c>
    </row>
    <row r="59" spans="1:71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65">
        <v>22</v>
      </c>
      <c r="BC59" s="9"/>
      <c r="BD59" s="64">
        <f t="shared" si="0"/>
        <v>22</v>
      </c>
      <c r="BE59" s="9">
        <v>40</v>
      </c>
      <c r="BF59" s="2">
        <f t="shared" si="1"/>
        <v>55.000000000000007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2">
        <f t="shared" ref="BK59:BL59" si="58">BD59</f>
        <v>22</v>
      </c>
      <c r="BL59" s="9">
        <f t="shared" si="58"/>
        <v>40</v>
      </c>
      <c r="BM59" s="2">
        <f t="shared" si="3"/>
        <v>55.000000000000007</v>
      </c>
      <c r="BN59" s="9" t="str">
        <f t="shared" si="4"/>
        <v>0</v>
      </c>
      <c r="BO59" s="9">
        <v>5</v>
      </c>
      <c r="BP59" s="9">
        <v>5</v>
      </c>
      <c r="BQ59" s="2">
        <f t="shared" si="5"/>
        <v>8.3333333333333339</v>
      </c>
      <c r="BR59" s="9"/>
      <c r="BS59" s="2">
        <f t="shared" si="6"/>
        <v>18.333333333333336</v>
      </c>
    </row>
    <row r="60" spans="1:71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65">
        <v>40</v>
      </c>
      <c r="BC60" s="9"/>
      <c r="BD60" s="64">
        <f t="shared" si="0"/>
        <v>40</v>
      </c>
      <c r="BE60" s="9">
        <v>40</v>
      </c>
      <c r="BF60" s="2">
        <f t="shared" si="1"/>
        <v>100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2">
        <f t="shared" ref="BK60:BL60" si="59">BD60</f>
        <v>40</v>
      </c>
      <c r="BL60" s="9">
        <f t="shared" si="59"/>
        <v>40</v>
      </c>
      <c r="BM60" s="2">
        <f t="shared" si="3"/>
        <v>100</v>
      </c>
      <c r="BN60" s="9" t="str">
        <f t="shared" si="4"/>
        <v>6</v>
      </c>
      <c r="BO60" s="9">
        <v>6</v>
      </c>
      <c r="BP60" s="9">
        <v>5</v>
      </c>
      <c r="BQ60" s="2">
        <f t="shared" si="5"/>
        <v>8</v>
      </c>
      <c r="BR60" s="9"/>
      <c r="BS60" s="2">
        <f t="shared" si="6"/>
        <v>25</v>
      </c>
    </row>
    <row r="61" spans="1:71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65">
        <v>20</v>
      </c>
      <c r="BC61" s="9"/>
      <c r="BD61" s="64">
        <f t="shared" si="0"/>
        <v>20</v>
      </c>
      <c r="BE61" s="9">
        <v>40</v>
      </c>
      <c r="BF61" s="2">
        <f t="shared" si="1"/>
        <v>50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2">
        <f t="shared" ref="BK61:BL61" si="60">BD61</f>
        <v>20</v>
      </c>
      <c r="BL61" s="9">
        <f t="shared" si="60"/>
        <v>40</v>
      </c>
      <c r="BM61" s="2">
        <f t="shared" si="3"/>
        <v>50</v>
      </c>
      <c r="BN61" s="9" t="str">
        <f t="shared" si="4"/>
        <v>0</v>
      </c>
      <c r="BO61" s="9">
        <v>5</v>
      </c>
      <c r="BP61" s="9">
        <v>4</v>
      </c>
      <c r="BQ61" s="2">
        <f t="shared" si="5"/>
        <v>7.833333333333333</v>
      </c>
      <c r="BR61" s="9"/>
      <c r="BS61" s="2">
        <f t="shared" si="6"/>
        <v>16.833333333333332</v>
      </c>
    </row>
    <row r="62" spans="1:71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65">
        <v>34</v>
      </c>
      <c r="BC62" s="9">
        <v>2</v>
      </c>
      <c r="BD62" s="64">
        <f t="shared" si="0"/>
        <v>36</v>
      </c>
      <c r="BE62" s="9">
        <v>40</v>
      </c>
      <c r="BF62" s="2">
        <f t="shared" si="1"/>
        <v>90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2">
        <f t="shared" ref="BK62:BL62" si="61">BD62</f>
        <v>36</v>
      </c>
      <c r="BL62" s="9">
        <f t="shared" si="61"/>
        <v>40</v>
      </c>
      <c r="BM62" s="2">
        <f t="shared" si="3"/>
        <v>90</v>
      </c>
      <c r="BN62" s="9" t="str">
        <f t="shared" si="4"/>
        <v>4</v>
      </c>
      <c r="BO62" s="9">
        <v>6</v>
      </c>
      <c r="BP62" s="9">
        <v>5</v>
      </c>
      <c r="BQ62" s="2">
        <f t="shared" si="5"/>
        <v>8.1666666666666661</v>
      </c>
      <c r="BR62" s="9"/>
      <c r="BS62" s="2">
        <f t="shared" si="6"/>
        <v>23.166666666666664</v>
      </c>
    </row>
    <row r="63" spans="1:71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65">
        <v>18</v>
      </c>
      <c r="BC63" s="9"/>
      <c r="BD63" s="64">
        <f t="shared" si="0"/>
        <v>18</v>
      </c>
      <c r="BE63" s="9">
        <v>40</v>
      </c>
      <c r="BF63" s="2">
        <f t="shared" si="1"/>
        <v>45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2">
        <f t="shared" ref="BK63:BL63" si="62">BD63</f>
        <v>18</v>
      </c>
      <c r="BL63" s="9">
        <f t="shared" si="62"/>
        <v>40</v>
      </c>
      <c r="BM63" s="2">
        <f t="shared" si="3"/>
        <v>45</v>
      </c>
      <c r="BN63" s="9" t="str">
        <f t="shared" si="4"/>
        <v>0</v>
      </c>
      <c r="BO63" s="9">
        <v>4</v>
      </c>
      <c r="BP63" s="9">
        <v>5</v>
      </c>
      <c r="BQ63" s="2">
        <f t="shared" si="5"/>
        <v>7.666666666666667</v>
      </c>
      <c r="BR63" s="9"/>
      <c r="BS63" s="2">
        <f t="shared" si="6"/>
        <v>16.666666666666668</v>
      </c>
    </row>
    <row r="64" spans="1:71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65">
        <v>30</v>
      </c>
      <c r="BC64" s="9"/>
      <c r="BD64" s="64">
        <f t="shared" si="0"/>
        <v>30</v>
      </c>
      <c r="BE64" s="9">
        <v>40</v>
      </c>
      <c r="BF64" s="2">
        <f t="shared" si="1"/>
        <v>75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2">
        <f t="shared" ref="BK64:BL64" si="63">BD64</f>
        <v>30</v>
      </c>
      <c r="BL64" s="9">
        <f t="shared" si="63"/>
        <v>40</v>
      </c>
      <c r="BM64" s="2">
        <f t="shared" si="3"/>
        <v>75</v>
      </c>
      <c r="BN64" s="9" t="str">
        <f t="shared" si="4"/>
        <v>0</v>
      </c>
      <c r="BO64" s="9">
        <v>6</v>
      </c>
      <c r="BP64" s="9">
        <v>6</v>
      </c>
      <c r="BQ64" s="2">
        <f t="shared" si="5"/>
        <v>8</v>
      </c>
      <c r="BR64" s="9"/>
      <c r="BS64" s="2">
        <f t="shared" si="6"/>
        <v>20</v>
      </c>
    </row>
    <row r="65" spans="1:71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v>36</v>
      </c>
      <c r="BC65" s="9"/>
      <c r="BD65" s="64">
        <f t="shared" si="0"/>
        <v>36</v>
      </c>
      <c r="BE65" s="9">
        <v>40</v>
      </c>
      <c r="BF65" s="2">
        <f t="shared" si="1"/>
        <v>90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2">
        <f t="shared" ref="BK65:BL65" si="64">BD65</f>
        <v>36</v>
      </c>
      <c r="BL65" s="9">
        <f t="shared" si="64"/>
        <v>40</v>
      </c>
      <c r="BM65" s="2">
        <f t="shared" si="3"/>
        <v>90</v>
      </c>
      <c r="BN65" s="9" t="str">
        <f t="shared" si="4"/>
        <v>4</v>
      </c>
      <c r="BO65" s="9">
        <v>7</v>
      </c>
      <c r="BP65" s="9">
        <v>6</v>
      </c>
      <c r="BQ65" s="2">
        <f t="shared" si="5"/>
        <v>8.1666666666666661</v>
      </c>
      <c r="BR65" s="9"/>
      <c r="BS65" s="2">
        <f t="shared" si="6"/>
        <v>25.166666666666664</v>
      </c>
    </row>
    <row r="66" spans="1:71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v>40</v>
      </c>
      <c r="BC66" s="9"/>
      <c r="BD66" s="64">
        <f t="shared" si="0"/>
        <v>40</v>
      </c>
      <c r="BE66" s="9">
        <v>40</v>
      </c>
      <c r="BF66" s="2">
        <f t="shared" si="1"/>
        <v>100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2">
        <f t="shared" ref="BK66:BL66" si="65">BD66</f>
        <v>40</v>
      </c>
      <c r="BL66" s="9">
        <f t="shared" si="65"/>
        <v>40</v>
      </c>
      <c r="BM66" s="2">
        <f t="shared" si="3"/>
        <v>100</v>
      </c>
      <c r="BN66" s="9" t="str">
        <f t="shared" si="4"/>
        <v>6</v>
      </c>
      <c r="BO66" s="9">
        <v>6</v>
      </c>
      <c r="BP66" s="9">
        <v>6</v>
      </c>
      <c r="BQ66" s="2">
        <f t="shared" si="5"/>
        <v>8</v>
      </c>
      <c r="BR66" s="9"/>
      <c r="BS66" s="2">
        <f t="shared" si="6"/>
        <v>26</v>
      </c>
    </row>
    <row r="67" spans="1:71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v>30</v>
      </c>
      <c r="BC67" s="9"/>
      <c r="BD67" s="64">
        <f t="shared" si="0"/>
        <v>30</v>
      </c>
      <c r="BE67" s="9">
        <v>40</v>
      </c>
      <c r="BF67" s="2">
        <f t="shared" si="1"/>
        <v>75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2">
        <f t="shared" ref="BK67:BL67" si="66">BD67</f>
        <v>30</v>
      </c>
      <c r="BL67" s="9">
        <f t="shared" si="66"/>
        <v>40</v>
      </c>
      <c r="BM67" s="2">
        <f t="shared" si="3"/>
        <v>75</v>
      </c>
      <c r="BN67" s="9" t="str">
        <f t="shared" si="4"/>
        <v>0</v>
      </c>
      <c r="BO67" s="9">
        <v>6</v>
      </c>
      <c r="BP67" s="9">
        <v>5</v>
      </c>
      <c r="BQ67" s="2">
        <f t="shared" si="5"/>
        <v>8.1666666666666661</v>
      </c>
      <c r="BR67" s="9"/>
      <c r="BS67" s="2">
        <f t="shared" si="6"/>
        <v>19.166666666666664</v>
      </c>
    </row>
    <row r="68" spans="1:71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v>14</v>
      </c>
      <c r="BC68" s="9"/>
      <c r="BD68" s="64">
        <f t="shared" si="0"/>
        <v>14</v>
      </c>
      <c r="BE68" s="9">
        <v>40</v>
      </c>
      <c r="BF68" s="2">
        <f t="shared" si="1"/>
        <v>35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2">
        <f t="shared" ref="BK68:BL68" si="67">BD68</f>
        <v>14</v>
      </c>
      <c r="BL68" s="9">
        <f t="shared" si="67"/>
        <v>40</v>
      </c>
      <c r="BM68" s="2">
        <f t="shared" si="3"/>
        <v>35</v>
      </c>
      <c r="BN68" s="9" t="str">
        <f t="shared" si="4"/>
        <v>0</v>
      </c>
      <c r="BO68" s="9">
        <v>4</v>
      </c>
      <c r="BP68" s="9">
        <v>4</v>
      </c>
      <c r="BQ68" s="2">
        <f t="shared" si="5"/>
        <v>8</v>
      </c>
      <c r="BR68" s="9"/>
      <c r="BS68" s="2">
        <f t="shared" si="6"/>
        <v>16</v>
      </c>
    </row>
    <row r="69" spans="1:71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v>30</v>
      </c>
      <c r="BC69" s="9"/>
      <c r="BD69" s="64">
        <f t="shared" si="0"/>
        <v>30</v>
      </c>
      <c r="BE69" s="9">
        <v>40</v>
      </c>
      <c r="BF69" s="2">
        <f t="shared" si="1"/>
        <v>75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2">
        <f t="shared" ref="BK69:BL69" si="68">BD69</f>
        <v>30</v>
      </c>
      <c r="BL69" s="9">
        <f t="shared" si="68"/>
        <v>40</v>
      </c>
      <c r="BM69" s="2">
        <f t="shared" si="3"/>
        <v>75</v>
      </c>
      <c r="BN69" s="9" t="str">
        <f t="shared" si="4"/>
        <v>0</v>
      </c>
      <c r="BO69" s="9">
        <v>6</v>
      </c>
      <c r="BP69" s="9">
        <v>5</v>
      </c>
      <c r="BQ69" s="2">
        <f t="shared" si="5"/>
        <v>7.833333333333333</v>
      </c>
      <c r="BR69" s="9"/>
      <c r="BS69" s="2">
        <f t="shared" si="6"/>
        <v>18.833333333333332</v>
      </c>
    </row>
    <row r="70" spans="1:71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v>2</v>
      </c>
      <c r="BC70" s="9"/>
      <c r="BD70" s="64">
        <f t="shared" si="0"/>
        <v>2</v>
      </c>
      <c r="BE70" s="9">
        <v>40</v>
      </c>
      <c r="BF70" s="2">
        <f t="shared" si="1"/>
        <v>5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2">
        <f t="shared" ref="BK70:BL70" si="69">BD70</f>
        <v>2</v>
      </c>
      <c r="BL70" s="9">
        <f t="shared" si="69"/>
        <v>40</v>
      </c>
      <c r="BM70" s="2">
        <f t="shared" si="3"/>
        <v>5</v>
      </c>
      <c r="BN70" s="9" t="str">
        <f t="shared" si="4"/>
        <v>0</v>
      </c>
      <c r="BO70" s="9">
        <v>4</v>
      </c>
      <c r="BP70" s="9">
        <v>4</v>
      </c>
      <c r="BQ70" s="2">
        <f t="shared" si="5"/>
        <v>0</v>
      </c>
      <c r="BR70" s="9"/>
      <c r="BS70" s="2">
        <f t="shared" si="6"/>
        <v>8</v>
      </c>
    </row>
    <row r="71" spans="1:71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v>36</v>
      </c>
      <c r="BC71" s="9"/>
      <c r="BD71" s="64">
        <f t="shared" si="0"/>
        <v>36</v>
      </c>
      <c r="BE71" s="9">
        <v>40</v>
      </c>
      <c r="BF71" s="2">
        <f t="shared" si="1"/>
        <v>90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3">
        <f t="shared" ref="BK71:BL71" si="70">BD71</f>
        <v>36</v>
      </c>
      <c r="BL71" s="11">
        <f t="shared" si="70"/>
        <v>40</v>
      </c>
      <c r="BM71" s="13">
        <f t="shared" si="3"/>
        <v>90</v>
      </c>
      <c r="BN71" s="11" t="str">
        <f t="shared" si="4"/>
        <v>4</v>
      </c>
      <c r="BO71" s="11">
        <v>6</v>
      </c>
      <c r="BP71" s="11">
        <v>6</v>
      </c>
      <c r="BQ71" s="13">
        <f t="shared" si="5"/>
        <v>7.833333333333333</v>
      </c>
      <c r="BR71" s="11">
        <v>3</v>
      </c>
      <c r="BS71" s="13">
        <f t="shared" si="6"/>
        <v>26.833333333333332</v>
      </c>
    </row>
    <row r="72" spans="1:71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v>18</v>
      </c>
      <c r="BC72" s="9">
        <v>10</v>
      </c>
      <c r="BD72" s="64">
        <f t="shared" si="0"/>
        <v>28</v>
      </c>
      <c r="BE72" s="9">
        <v>40</v>
      </c>
      <c r="BF72" s="2">
        <f t="shared" si="1"/>
        <v>70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1">
        <v>32</v>
      </c>
      <c r="BL72" s="11">
        <f>BE72</f>
        <v>40</v>
      </c>
      <c r="BM72" s="13">
        <f t="shared" si="3"/>
        <v>80</v>
      </c>
      <c r="BN72" s="11" t="str">
        <f t="shared" si="4"/>
        <v>2</v>
      </c>
      <c r="BO72" s="11">
        <v>7</v>
      </c>
      <c r="BP72" s="11">
        <v>6</v>
      </c>
      <c r="BQ72" s="13">
        <f t="shared" si="5"/>
        <v>8.5</v>
      </c>
      <c r="BR72" s="11">
        <v>3</v>
      </c>
      <c r="BS72" s="13">
        <f t="shared" si="6"/>
        <v>26.5</v>
      </c>
    </row>
    <row r="73" spans="1:71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v>10</v>
      </c>
      <c r="BC73" s="9"/>
      <c r="BD73" s="64">
        <f t="shared" si="0"/>
        <v>10</v>
      </c>
      <c r="BE73" s="9">
        <v>40</v>
      </c>
      <c r="BF73" s="2">
        <f t="shared" si="1"/>
        <v>25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3">
        <f t="shared" ref="BK73:BL73" si="71">BD73</f>
        <v>10</v>
      </c>
      <c r="BL73" s="11">
        <f t="shared" si="71"/>
        <v>40</v>
      </c>
      <c r="BM73" s="13">
        <f t="shared" si="3"/>
        <v>25</v>
      </c>
      <c r="BN73" s="11" t="str">
        <f t="shared" si="4"/>
        <v>0</v>
      </c>
      <c r="BO73" s="11">
        <v>5</v>
      </c>
      <c r="BP73" s="11">
        <v>4</v>
      </c>
      <c r="BQ73" s="13">
        <f t="shared" si="5"/>
        <v>7.333333333333333</v>
      </c>
      <c r="BR73" s="11">
        <v>3</v>
      </c>
      <c r="BS73" s="13">
        <f t="shared" si="6"/>
        <v>19.333333333333332</v>
      </c>
    </row>
    <row r="74" spans="1:71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v>30</v>
      </c>
      <c r="BC74" s="9"/>
      <c r="BD74" s="64">
        <f t="shared" si="0"/>
        <v>30</v>
      </c>
      <c r="BE74" s="9">
        <v>40</v>
      </c>
      <c r="BF74" s="2">
        <f t="shared" si="1"/>
        <v>75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3">
        <f t="shared" ref="BK74:BL74" si="72">BD74</f>
        <v>30</v>
      </c>
      <c r="BL74" s="11">
        <f t="shared" si="72"/>
        <v>40</v>
      </c>
      <c r="BM74" s="13">
        <f t="shared" si="3"/>
        <v>75</v>
      </c>
      <c r="BN74" s="11" t="str">
        <f t="shared" si="4"/>
        <v>0</v>
      </c>
      <c r="BO74" s="11">
        <v>5</v>
      </c>
      <c r="BP74" s="11">
        <v>4</v>
      </c>
      <c r="BQ74" s="13">
        <f t="shared" si="5"/>
        <v>7.333333333333333</v>
      </c>
      <c r="BR74" s="11">
        <v>3</v>
      </c>
      <c r="BS74" s="13">
        <f t="shared" si="6"/>
        <v>19.333333333333332</v>
      </c>
    </row>
    <row r="75" spans="1:71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v>14</v>
      </c>
      <c r="BC75" s="9"/>
      <c r="BD75" s="64">
        <f t="shared" si="0"/>
        <v>14</v>
      </c>
      <c r="BE75" s="9">
        <v>40</v>
      </c>
      <c r="BF75" s="2">
        <f t="shared" si="1"/>
        <v>35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3">
        <f t="shared" ref="BK75:BL75" si="73">BD75</f>
        <v>14</v>
      </c>
      <c r="BL75" s="11">
        <f t="shared" si="73"/>
        <v>40</v>
      </c>
      <c r="BM75" s="13">
        <f t="shared" si="3"/>
        <v>35</v>
      </c>
      <c r="BN75" s="11" t="str">
        <f t="shared" si="4"/>
        <v>0</v>
      </c>
      <c r="BO75" s="11">
        <v>5</v>
      </c>
      <c r="BP75" s="11">
        <v>4</v>
      </c>
      <c r="BQ75" s="13">
        <f t="shared" si="5"/>
        <v>6.833333333333333</v>
      </c>
      <c r="BR75" s="11">
        <v>3</v>
      </c>
      <c r="BS75" s="13">
        <f t="shared" si="6"/>
        <v>18.833333333333332</v>
      </c>
    </row>
    <row r="76" spans="1:71" ht="19.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>
        <v>20</v>
      </c>
      <c r="BC76" s="9"/>
      <c r="BD76" s="64">
        <f t="shared" si="0"/>
        <v>20</v>
      </c>
      <c r="BE76" s="9">
        <v>40</v>
      </c>
      <c r="BF76" s="2">
        <f t="shared" si="1"/>
        <v>50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13">
        <f t="shared" ref="BK76:BL76" si="74">BD76</f>
        <v>20</v>
      </c>
      <c r="BL76" s="11">
        <f t="shared" si="74"/>
        <v>40</v>
      </c>
      <c r="BM76" s="13">
        <f t="shared" si="3"/>
        <v>50</v>
      </c>
      <c r="BN76" s="11" t="str">
        <f t="shared" si="4"/>
        <v>0</v>
      </c>
      <c r="BO76" s="11">
        <v>5</v>
      </c>
      <c r="BP76" s="11">
        <v>4</v>
      </c>
      <c r="BQ76" s="13">
        <f t="shared" si="5"/>
        <v>6</v>
      </c>
      <c r="BR76" s="11">
        <v>3</v>
      </c>
      <c r="BS76" s="13">
        <f t="shared" si="6"/>
        <v>18</v>
      </c>
    </row>
    <row r="77" spans="1:71" ht="14.25" customHeight="1">
      <c r="A77" s="19"/>
      <c r="B77" s="20"/>
      <c r="C77" s="3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19"/>
      <c r="BI77" s="20"/>
      <c r="BJ77" s="20"/>
      <c r="BK77" s="19"/>
      <c r="BL77" s="19"/>
      <c r="BM77" s="19"/>
      <c r="BN77" s="19"/>
      <c r="BO77" s="19"/>
      <c r="BP77" s="19"/>
      <c r="BQ77" s="33"/>
      <c r="BR77" s="19"/>
      <c r="BS77" s="19"/>
    </row>
    <row r="78" spans="1:71" ht="25.5" customHeight="1">
      <c r="A78" s="119" t="s">
        <v>142</v>
      </c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9"/>
      <c r="BB78" s="20"/>
      <c r="BC78" s="20"/>
      <c r="BD78" s="20"/>
      <c r="BE78" s="20"/>
      <c r="BF78" s="20"/>
      <c r="BG78" s="20"/>
      <c r="BH78" s="19"/>
      <c r="BI78" s="20"/>
      <c r="BJ78" s="20"/>
      <c r="BK78" s="19"/>
      <c r="BL78" s="19"/>
      <c r="BM78" s="19"/>
      <c r="BN78" s="19"/>
      <c r="BO78" s="19"/>
      <c r="BP78" s="19"/>
      <c r="BQ78" s="33"/>
      <c r="BR78" s="19"/>
      <c r="BS78" s="19"/>
    </row>
    <row r="79" spans="1:71" ht="14.25" customHeight="1">
      <c r="A79" s="9" t="s">
        <v>1</v>
      </c>
      <c r="B79" s="9" t="s">
        <v>2</v>
      </c>
      <c r="C79" s="23" t="s">
        <v>3</v>
      </c>
      <c r="D79" s="9">
        <v>1</v>
      </c>
      <c r="E79" s="9">
        <v>2</v>
      </c>
      <c r="F79" s="9">
        <v>3</v>
      </c>
      <c r="G79" s="9">
        <v>4</v>
      </c>
      <c r="H79" s="9">
        <v>5</v>
      </c>
      <c r="I79" s="9">
        <v>6</v>
      </c>
      <c r="J79" s="9">
        <v>7</v>
      </c>
      <c r="K79" s="9">
        <v>8</v>
      </c>
      <c r="L79" s="9">
        <v>9</v>
      </c>
      <c r="M79" s="9">
        <v>10</v>
      </c>
      <c r="N79" s="9">
        <v>11</v>
      </c>
      <c r="O79" s="9">
        <v>12</v>
      </c>
      <c r="P79" s="9">
        <v>13</v>
      </c>
      <c r="Q79" s="9">
        <v>14</v>
      </c>
      <c r="R79" s="9">
        <v>15</v>
      </c>
      <c r="S79" s="9">
        <v>16</v>
      </c>
      <c r="T79" s="9">
        <v>17</v>
      </c>
      <c r="U79" s="9">
        <v>18</v>
      </c>
      <c r="V79" s="9">
        <v>19</v>
      </c>
      <c r="W79" s="9">
        <v>20</v>
      </c>
      <c r="X79" s="9">
        <v>21</v>
      </c>
      <c r="Y79" s="9">
        <v>22</v>
      </c>
      <c r="Z79" s="9">
        <v>23</v>
      </c>
      <c r="AA79" s="9">
        <v>24</v>
      </c>
      <c r="AB79" s="9">
        <v>25</v>
      </c>
      <c r="AC79" s="9">
        <v>26</v>
      </c>
      <c r="AD79" s="9">
        <v>27</v>
      </c>
      <c r="AE79" s="9">
        <v>28</v>
      </c>
      <c r="AF79" s="9">
        <v>29</v>
      </c>
      <c r="AG79" s="9">
        <v>30</v>
      </c>
      <c r="AH79" s="9">
        <v>31</v>
      </c>
      <c r="AI79" s="9">
        <v>32</v>
      </c>
      <c r="AJ79" s="9">
        <v>33</v>
      </c>
      <c r="AK79" s="9">
        <v>34</v>
      </c>
      <c r="AL79" s="9">
        <v>35</v>
      </c>
      <c r="AM79" s="9">
        <v>36</v>
      </c>
      <c r="AN79" s="9">
        <v>37</v>
      </c>
      <c r="AO79" s="9">
        <v>38</v>
      </c>
      <c r="AP79" s="9">
        <v>39</v>
      </c>
      <c r="AQ79" s="9">
        <v>40</v>
      </c>
      <c r="AR79" s="9">
        <v>41</v>
      </c>
      <c r="AS79" s="9">
        <v>42</v>
      </c>
      <c r="AT79" s="9">
        <v>43</v>
      </c>
      <c r="AU79" s="9">
        <v>44</v>
      </c>
      <c r="AV79" s="9">
        <v>45</v>
      </c>
      <c r="AW79" s="9">
        <v>46</v>
      </c>
      <c r="AX79" s="9">
        <v>47</v>
      </c>
      <c r="AY79" s="9">
        <v>48</v>
      </c>
      <c r="AZ79" s="9">
        <v>49</v>
      </c>
      <c r="BA79" s="9">
        <v>50</v>
      </c>
      <c r="BB79" s="20"/>
      <c r="BC79" s="20"/>
      <c r="BD79" s="20"/>
      <c r="BE79" s="20"/>
      <c r="BF79" s="20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33"/>
      <c r="BR79" s="19"/>
      <c r="BS79" s="19"/>
    </row>
    <row r="80" spans="1:71" ht="14.25" customHeight="1">
      <c r="A80" s="9">
        <v>1</v>
      </c>
      <c r="B80" s="78">
        <f>OVERALL!B4</f>
        <v>2301249</v>
      </c>
      <c r="C80" s="79" t="str">
        <f>OVERALL!C4</f>
        <v>Rahul Sharma</v>
      </c>
      <c r="D80" s="80">
        <v>8</v>
      </c>
      <c r="E80" s="80">
        <v>8</v>
      </c>
      <c r="F80" s="80">
        <v>7</v>
      </c>
      <c r="G80" s="80">
        <v>7</v>
      </c>
      <c r="H80" s="80">
        <v>7</v>
      </c>
      <c r="I80" s="80">
        <v>8</v>
      </c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20"/>
      <c r="BC80" s="20"/>
      <c r="BD80" s="20"/>
      <c r="BE80" s="20"/>
      <c r="BF80" s="20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33"/>
      <c r="BR80" s="19"/>
      <c r="BS80" s="19"/>
    </row>
    <row r="81" spans="1:71" ht="14.25" customHeight="1">
      <c r="A81" s="9">
        <v>2</v>
      </c>
      <c r="B81" s="78">
        <f>OVERALL!B5</f>
        <v>2301251</v>
      </c>
      <c r="C81" s="79" t="str">
        <f>OVERALL!C5</f>
        <v>Raj Kumar</v>
      </c>
      <c r="D81" s="80">
        <v>8</v>
      </c>
      <c r="E81" s="80">
        <v>8</v>
      </c>
      <c r="F81" s="80">
        <v>8</v>
      </c>
      <c r="G81" s="80">
        <v>8</v>
      </c>
      <c r="H81" s="80">
        <v>8</v>
      </c>
      <c r="I81" s="80">
        <v>7</v>
      </c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20"/>
      <c r="BC81" s="20"/>
      <c r="BD81" s="20"/>
      <c r="BE81" s="20"/>
      <c r="BF81" s="20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33"/>
      <c r="BR81" s="19"/>
      <c r="BS81" s="19"/>
    </row>
    <row r="82" spans="1:71" ht="14.25" customHeight="1">
      <c r="A82" s="9">
        <v>3</v>
      </c>
      <c r="B82" s="78">
        <f>OVERALL!B6</f>
        <v>2301252</v>
      </c>
      <c r="C82" s="79" t="str">
        <f>OVERALL!C6</f>
        <v>Rajan Sharma</v>
      </c>
      <c r="D82" s="80">
        <v>7</v>
      </c>
      <c r="E82" s="80">
        <v>7</v>
      </c>
      <c r="F82" s="80">
        <v>8</v>
      </c>
      <c r="G82" s="80">
        <v>8</v>
      </c>
      <c r="H82" s="80">
        <v>7</v>
      </c>
      <c r="I82" s="80">
        <v>7</v>
      </c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20"/>
      <c r="BC82" s="20"/>
      <c r="BD82" s="20"/>
      <c r="BE82" s="20"/>
      <c r="BF82" s="20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33"/>
      <c r="BR82" s="19"/>
      <c r="BS82" s="19"/>
    </row>
    <row r="83" spans="1:71" ht="14.25" customHeight="1">
      <c r="A83" s="9">
        <v>4</v>
      </c>
      <c r="B83" s="78">
        <f>OVERALL!B7</f>
        <v>2301253</v>
      </c>
      <c r="C83" s="79" t="str">
        <f>OVERALL!C7</f>
        <v>Rajwinder Kaur</v>
      </c>
      <c r="D83" s="80">
        <v>7</v>
      </c>
      <c r="E83" s="80">
        <v>8</v>
      </c>
      <c r="F83" s="80">
        <v>8</v>
      </c>
      <c r="G83" s="80">
        <v>8</v>
      </c>
      <c r="H83" s="80">
        <v>8</v>
      </c>
      <c r="I83" s="80">
        <v>7</v>
      </c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20"/>
      <c r="BC83" s="20"/>
      <c r="BD83" s="20"/>
      <c r="BE83" s="20"/>
      <c r="BF83" s="20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33"/>
      <c r="BR83" s="19"/>
      <c r="BS83" s="19"/>
    </row>
    <row r="84" spans="1:71" ht="14.25" customHeight="1">
      <c r="A84" s="9">
        <v>5</v>
      </c>
      <c r="B84" s="78">
        <f>OVERALL!B8</f>
        <v>2301255</v>
      </c>
      <c r="C84" s="79" t="str">
        <f>OVERALL!C8</f>
        <v>Ravi Bhushan Kumar</v>
      </c>
      <c r="D84" s="80">
        <v>8</v>
      </c>
      <c r="E84" s="80">
        <v>7</v>
      </c>
      <c r="F84" s="80">
        <v>9</v>
      </c>
      <c r="G84" s="80">
        <v>9</v>
      </c>
      <c r="H84" s="80">
        <v>8</v>
      </c>
      <c r="I84" s="80">
        <v>8</v>
      </c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20"/>
      <c r="BC84" s="20"/>
      <c r="BD84" s="20"/>
      <c r="BE84" s="20"/>
      <c r="BF84" s="20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33"/>
      <c r="BR84" s="19"/>
      <c r="BS84" s="19"/>
    </row>
    <row r="85" spans="1:71" ht="14.25" customHeight="1">
      <c r="A85" s="9">
        <v>6</v>
      </c>
      <c r="B85" s="78">
        <f>OVERALL!B9</f>
        <v>2301256</v>
      </c>
      <c r="C85" s="79" t="str">
        <f>OVERALL!C9</f>
        <v>Reshma</v>
      </c>
      <c r="D85" s="80">
        <v>7</v>
      </c>
      <c r="E85" s="80">
        <v>8</v>
      </c>
      <c r="F85" s="80">
        <v>8</v>
      </c>
      <c r="G85" s="80">
        <v>9</v>
      </c>
      <c r="H85" s="80">
        <v>8</v>
      </c>
      <c r="I85" s="80">
        <v>7</v>
      </c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20"/>
      <c r="BC85" s="20"/>
      <c r="BD85" s="20"/>
      <c r="BE85" s="20"/>
      <c r="BF85" s="20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33"/>
      <c r="BR85" s="19"/>
      <c r="BS85" s="19"/>
    </row>
    <row r="86" spans="1:71" ht="14.25" customHeight="1">
      <c r="A86" s="9">
        <v>7</v>
      </c>
      <c r="B86" s="78">
        <f>OVERALL!B10</f>
        <v>2301257</v>
      </c>
      <c r="C86" s="79" t="str">
        <f>OVERALL!C10</f>
        <v>Ritesh Kumar Choudhary</v>
      </c>
      <c r="D86" s="80">
        <v>8</v>
      </c>
      <c r="E86" s="80">
        <v>8</v>
      </c>
      <c r="F86" s="80">
        <v>7</v>
      </c>
      <c r="G86" s="80">
        <v>9</v>
      </c>
      <c r="H86" s="80">
        <v>7</v>
      </c>
      <c r="I86" s="80">
        <v>8</v>
      </c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20"/>
      <c r="BC86" s="20"/>
      <c r="BD86" s="20"/>
      <c r="BE86" s="20"/>
      <c r="BF86" s="20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33"/>
      <c r="BR86" s="19"/>
      <c r="BS86" s="19"/>
    </row>
    <row r="87" spans="1:71" ht="14.25" customHeight="1">
      <c r="A87" s="9">
        <v>8</v>
      </c>
      <c r="B87" s="78">
        <f>OVERALL!B11</f>
        <v>2301258</v>
      </c>
      <c r="C87" s="79" t="str">
        <f>OVERALL!C11</f>
        <v>Ritesh Thakur</v>
      </c>
      <c r="D87" s="80">
        <v>0</v>
      </c>
      <c r="E87" s="80">
        <v>0</v>
      </c>
      <c r="F87" s="80">
        <v>0</v>
      </c>
      <c r="G87" s="80">
        <v>0</v>
      </c>
      <c r="H87" s="80">
        <v>0</v>
      </c>
      <c r="I87" s="80">
        <v>0</v>
      </c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20"/>
      <c r="BC87" s="20"/>
      <c r="BD87" s="20"/>
      <c r="BE87" s="20"/>
      <c r="BF87" s="20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33"/>
      <c r="BR87" s="19"/>
      <c r="BS87" s="19"/>
    </row>
    <row r="88" spans="1:71" ht="14.25" customHeight="1">
      <c r="A88" s="9">
        <v>9</v>
      </c>
      <c r="B88" s="78">
        <f>OVERALL!B12</f>
        <v>2301259</v>
      </c>
      <c r="C88" s="79" t="str">
        <f>OVERALL!C12</f>
        <v>Riya Thakur</v>
      </c>
      <c r="D88" s="80">
        <v>8</v>
      </c>
      <c r="E88" s="80">
        <v>8</v>
      </c>
      <c r="F88" s="80">
        <v>8</v>
      </c>
      <c r="G88" s="80">
        <v>9</v>
      </c>
      <c r="H88" s="80">
        <v>8</v>
      </c>
      <c r="I88" s="80">
        <v>8</v>
      </c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20"/>
      <c r="BC88" s="20"/>
      <c r="BD88" s="20"/>
      <c r="BE88" s="20"/>
      <c r="BF88" s="20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33"/>
      <c r="BR88" s="19"/>
      <c r="BS88" s="19"/>
    </row>
    <row r="89" spans="1:71" ht="14.25" customHeight="1">
      <c r="A89" s="9">
        <v>10</v>
      </c>
      <c r="B89" s="78">
        <f>OVERALL!B13</f>
        <v>2301260</v>
      </c>
      <c r="C89" s="79" t="str">
        <f>OVERALL!C13</f>
        <v>Rounit Dhiman</v>
      </c>
      <c r="D89" s="80">
        <v>7</v>
      </c>
      <c r="E89" s="80">
        <v>8</v>
      </c>
      <c r="F89" s="80">
        <v>9</v>
      </c>
      <c r="G89" s="80">
        <v>8</v>
      </c>
      <c r="H89" s="80">
        <v>8</v>
      </c>
      <c r="I89" s="80">
        <v>8</v>
      </c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20"/>
      <c r="BC89" s="20"/>
      <c r="BD89" s="20"/>
      <c r="BE89" s="20"/>
      <c r="BF89" s="20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33"/>
      <c r="BR89" s="19"/>
      <c r="BS89" s="19"/>
    </row>
    <row r="90" spans="1:71" ht="14.25" customHeight="1">
      <c r="A90" s="9">
        <v>11</v>
      </c>
      <c r="B90" s="78">
        <f>OVERALL!B14</f>
        <v>2301261</v>
      </c>
      <c r="C90" s="79" t="str">
        <f>OVERALL!C14</f>
        <v>Rubby Kumari</v>
      </c>
      <c r="D90" s="80">
        <v>0</v>
      </c>
      <c r="E90" s="80">
        <v>0</v>
      </c>
      <c r="F90" s="80">
        <v>0</v>
      </c>
      <c r="G90" s="80">
        <v>0</v>
      </c>
      <c r="H90" s="80">
        <v>0</v>
      </c>
      <c r="I90" s="80">
        <v>0</v>
      </c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20"/>
      <c r="BC90" s="20"/>
      <c r="BD90" s="20"/>
      <c r="BE90" s="20"/>
      <c r="BF90" s="20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33"/>
      <c r="BR90" s="19"/>
      <c r="BS90" s="19"/>
    </row>
    <row r="91" spans="1:71" ht="14.25" customHeight="1">
      <c r="A91" s="9">
        <v>12</v>
      </c>
      <c r="B91" s="78">
        <f>OVERALL!B15</f>
        <v>2301262</v>
      </c>
      <c r="C91" s="79" t="str">
        <f>OVERALL!C15</f>
        <v>Sakshi Devi</v>
      </c>
      <c r="D91" s="80">
        <v>8</v>
      </c>
      <c r="E91" s="80">
        <v>8</v>
      </c>
      <c r="F91" s="80">
        <v>7</v>
      </c>
      <c r="G91" s="80">
        <v>9</v>
      </c>
      <c r="H91" s="80">
        <v>8</v>
      </c>
      <c r="I91" s="80">
        <v>8</v>
      </c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20"/>
      <c r="BC91" s="20"/>
      <c r="BD91" s="20"/>
      <c r="BE91" s="20"/>
      <c r="BF91" s="20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33"/>
      <c r="BR91" s="19"/>
      <c r="BS91" s="19"/>
    </row>
    <row r="92" spans="1:71" ht="14.25" customHeight="1">
      <c r="A92" s="9">
        <v>13</v>
      </c>
      <c r="B92" s="78">
        <f>OVERALL!B16</f>
        <v>2301263</v>
      </c>
      <c r="C92" s="79" t="str">
        <f>OVERALL!C16</f>
        <v>Sanchi Sharma</v>
      </c>
      <c r="D92" s="80">
        <v>7</v>
      </c>
      <c r="E92" s="80">
        <v>8</v>
      </c>
      <c r="F92" s="80">
        <v>9</v>
      </c>
      <c r="G92" s="80">
        <v>8</v>
      </c>
      <c r="H92" s="80">
        <v>8</v>
      </c>
      <c r="I92" s="80">
        <v>7</v>
      </c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20"/>
      <c r="BC92" s="20"/>
      <c r="BD92" s="20"/>
      <c r="BE92" s="20"/>
      <c r="BF92" s="20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33"/>
      <c r="BR92" s="19"/>
      <c r="BS92" s="19"/>
    </row>
    <row r="93" spans="1:71" ht="14.25" customHeight="1">
      <c r="A93" s="9">
        <v>14</v>
      </c>
      <c r="B93" s="78">
        <f>OVERALL!B17</f>
        <v>2301264</v>
      </c>
      <c r="C93" s="79" t="str">
        <f>OVERALL!C17</f>
        <v>Sarbjit Singh</v>
      </c>
      <c r="D93" s="80">
        <v>7</v>
      </c>
      <c r="E93" s="80">
        <v>8</v>
      </c>
      <c r="F93" s="80">
        <v>8</v>
      </c>
      <c r="G93" s="80">
        <v>6</v>
      </c>
      <c r="H93" s="80">
        <v>7</v>
      </c>
      <c r="I93" s="80">
        <v>8</v>
      </c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20"/>
      <c r="BC93" s="20"/>
      <c r="BD93" s="20"/>
      <c r="BE93" s="20"/>
      <c r="BF93" s="20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33"/>
      <c r="BR93" s="19"/>
      <c r="BS93" s="19"/>
    </row>
    <row r="94" spans="1:71" ht="14.25" customHeight="1">
      <c r="A94" s="9">
        <v>15</v>
      </c>
      <c r="B94" s="78">
        <f>OVERALL!B18</f>
        <v>2301265</v>
      </c>
      <c r="C94" s="79" t="str">
        <f>OVERALL!C18</f>
        <v>Sarif Mayangmayum</v>
      </c>
      <c r="D94" s="80">
        <v>6</v>
      </c>
      <c r="E94" s="80">
        <v>8</v>
      </c>
      <c r="F94" s="80">
        <v>7</v>
      </c>
      <c r="G94" s="80">
        <v>8</v>
      </c>
      <c r="H94" s="80">
        <v>8</v>
      </c>
      <c r="I94" s="80">
        <v>6</v>
      </c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20"/>
      <c r="BC94" s="20"/>
      <c r="BD94" s="20"/>
      <c r="BE94" s="20"/>
      <c r="BF94" s="20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33"/>
      <c r="BR94" s="19"/>
      <c r="BS94" s="19"/>
    </row>
    <row r="95" spans="1:71" ht="14.25" customHeight="1">
      <c r="A95" s="9">
        <v>16</v>
      </c>
      <c r="B95" s="78">
        <f>OVERALL!B19</f>
        <v>2301267</v>
      </c>
      <c r="C95" s="79" t="str">
        <f>OVERALL!C19</f>
        <v>Shivam Kumar Chaubey</v>
      </c>
      <c r="D95" s="80">
        <v>8</v>
      </c>
      <c r="E95" s="80">
        <v>8</v>
      </c>
      <c r="F95" s="80">
        <v>8</v>
      </c>
      <c r="G95" s="80">
        <v>7</v>
      </c>
      <c r="H95" s="80">
        <v>8</v>
      </c>
      <c r="I95" s="80">
        <v>8</v>
      </c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20"/>
      <c r="BC95" s="20"/>
      <c r="BD95" s="20"/>
      <c r="BE95" s="20"/>
      <c r="BF95" s="20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33"/>
      <c r="BR95" s="19"/>
      <c r="BS95" s="19"/>
    </row>
    <row r="96" spans="1:71" ht="14.25" customHeight="1">
      <c r="A96" s="9">
        <v>17</v>
      </c>
      <c r="B96" s="78">
        <f>OVERALL!B20</f>
        <v>2301268</v>
      </c>
      <c r="C96" s="79" t="str">
        <f>OVERALL!C20</f>
        <v>Simba Godfrey</v>
      </c>
      <c r="D96" s="80">
        <v>7</v>
      </c>
      <c r="E96" s="80">
        <v>8</v>
      </c>
      <c r="F96" s="80">
        <v>8</v>
      </c>
      <c r="G96" s="80">
        <v>8</v>
      </c>
      <c r="H96" s="80">
        <v>8</v>
      </c>
      <c r="I96" s="80">
        <v>7</v>
      </c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20"/>
      <c r="BC96" s="20"/>
      <c r="BD96" s="20"/>
      <c r="BE96" s="20"/>
      <c r="BF96" s="20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33"/>
      <c r="BR96" s="19"/>
      <c r="BS96" s="19"/>
    </row>
    <row r="97" spans="1:71" ht="14.25" customHeight="1">
      <c r="A97" s="9">
        <v>18</v>
      </c>
      <c r="B97" s="78">
        <f>OVERALL!B21</f>
        <v>2301269</v>
      </c>
      <c r="C97" s="79" t="str">
        <f>OVERALL!C21</f>
        <v>Simran Kaur</v>
      </c>
      <c r="D97" s="80">
        <v>8</v>
      </c>
      <c r="E97" s="80">
        <v>7</v>
      </c>
      <c r="F97" s="80">
        <v>8</v>
      </c>
      <c r="G97" s="80">
        <v>9</v>
      </c>
      <c r="H97" s="80">
        <v>9</v>
      </c>
      <c r="I97" s="80">
        <v>8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20"/>
      <c r="BC97" s="20"/>
      <c r="BD97" s="20"/>
      <c r="BE97" s="20"/>
      <c r="BF97" s="20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33"/>
      <c r="BR97" s="19"/>
      <c r="BS97" s="19"/>
    </row>
    <row r="98" spans="1:71" ht="14.25" customHeight="1">
      <c r="A98" s="9">
        <v>19</v>
      </c>
      <c r="B98" s="78">
        <f>OVERALL!B22</f>
        <v>2301270</v>
      </c>
      <c r="C98" s="79" t="str">
        <f>OVERALL!C22</f>
        <v>Simranjit Singh</v>
      </c>
      <c r="D98" s="80">
        <v>7</v>
      </c>
      <c r="E98" s="80">
        <v>8</v>
      </c>
      <c r="F98" s="80">
        <v>7</v>
      </c>
      <c r="G98" s="80">
        <v>8</v>
      </c>
      <c r="H98" s="80">
        <v>8</v>
      </c>
      <c r="I98" s="80">
        <v>7</v>
      </c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20"/>
      <c r="BC98" s="20"/>
      <c r="BD98" s="20"/>
      <c r="BE98" s="20"/>
      <c r="BF98" s="20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33"/>
      <c r="BR98" s="19"/>
      <c r="BS98" s="19"/>
    </row>
    <row r="99" spans="1:71" ht="14.25" customHeight="1">
      <c r="A99" s="9">
        <v>20</v>
      </c>
      <c r="B99" s="78">
        <f>OVERALL!B23</f>
        <v>2301271</v>
      </c>
      <c r="C99" s="79" t="str">
        <f>OVERALL!C23</f>
        <v>Sudip Sunar</v>
      </c>
      <c r="D99" s="80">
        <v>7</v>
      </c>
      <c r="E99" s="80">
        <v>8</v>
      </c>
      <c r="F99" s="80">
        <v>8</v>
      </c>
      <c r="G99" s="80">
        <v>7</v>
      </c>
      <c r="H99" s="80">
        <v>7</v>
      </c>
      <c r="I99" s="80">
        <v>7</v>
      </c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20"/>
      <c r="BC99" s="20"/>
      <c r="BD99" s="20"/>
      <c r="BE99" s="20"/>
      <c r="BF99" s="20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33"/>
      <c r="BR99" s="19"/>
      <c r="BS99" s="19"/>
    </row>
    <row r="100" spans="1:71" ht="14.25" customHeight="1">
      <c r="A100" s="9">
        <v>21</v>
      </c>
      <c r="B100" s="78">
        <f>OVERALL!B24</f>
        <v>2301272</v>
      </c>
      <c r="C100" s="79" t="str">
        <f>OVERALL!C24</f>
        <v>Sujal Sharma</v>
      </c>
      <c r="D100" s="80">
        <v>0</v>
      </c>
      <c r="E100" s="80">
        <v>0</v>
      </c>
      <c r="F100" s="80">
        <v>0</v>
      </c>
      <c r="G100" s="80">
        <v>0</v>
      </c>
      <c r="H100" s="80">
        <v>0</v>
      </c>
      <c r="I100" s="80">
        <v>0</v>
      </c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20"/>
      <c r="BC100" s="20"/>
      <c r="BD100" s="20"/>
      <c r="BE100" s="20"/>
      <c r="BF100" s="20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33"/>
      <c r="BR100" s="19"/>
      <c r="BS100" s="19"/>
    </row>
    <row r="101" spans="1:71" ht="14.25" customHeight="1">
      <c r="A101" s="9">
        <v>22</v>
      </c>
      <c r="B101" s="78">
        <f>OVERALL!B25</f>
        <v>2301273</v>
      </c>
      <c r="C101" s="79" t="str">
        <f>OVERALL!C25</f>
        <v>Sukhraj Singh</v>
      </c>
      <c r="D101" s="80">
        <v>8</v>
      </c>
      <c r="E101" s="80">
        <v>7</v>
      </c>
      <c r="F101" s="80">
        <v>8</v>
      </c>
      <c r="G101" s="80">
        <v>8</v>
      </c>
      <c r="H101" s="80">
        <v>8</v>
      </c>
      <c r="I101" s="80">
        <v>7</v>
      </c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20"/>
      <c r="BC101" s="20"/>
      <c r="BD101" s="20"/>
      <c r="BE101" s="20"/>
      <c r="BF101" s="20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33"/>
      <c r="BR101" s="19"/>
      <c r="BS101" s="19"/>
    </row>
    <row r="102" spans="1:71" ht="14.25" customHeight="1">
      <c r="A102" s="9">
        <v>23</v>
      </c>
      <c r="B102" s="78">
        <f>OVERALL!B26</f>
        <v>2301274</v>
      </c>
      <c r="C102" s="79" t="str">
        <f>OVERALL!C26</f>
        <v>Sukhreet Kaur</v>
      </c>
      <c r="D102" s="80">
        <v>8</v>
      </c>
      <c r="E102" s="80">
        <v>8</v>
      </c>
      <c r="F102" s="80">
        <v>7</v>
      </c>
      <c r="G102" s="80">
        <v>9</v>
      </c>
      <c r="H102" s="80">
        <v>9</v>
      </c>
      <c r="I102" s="80">
        <v>9</v>
      </c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20"/>
      <c r="BC102" s="20"/>
      <c r="BD102" s="20"/>
      <c r="BE102" s="20"/>
      <c r="BF102" s="20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33"/>
      <c r="BR102" s="19"/>
      <c r="BS102" s="19"/>
    </row>
    <row r="103" spans="1:71" ht="14.25" customHeight="1">
      <c r="A103" s="9">
        <v>24</v>
      </c>
      <c r="B103" s="78">
        <f>OVERALL!B27</f>
        <v>2301275</v>
      </c>
      <c r="C103" s="79" t="str">
        <f>OVERALL!C27</f>
        <v>Suman Krishna</v>
      </c>
      <c r="D103" s="80">
        <v>8</v>
      </c>
      <c r="E103" s="80">
        <v>8</v>
      </c>
      <c r="F103" s="80">
        <v>8</v>
      </c>
      <c r="G103" s="80">
        <v>8</v>
      </c>
      <c r="H103" s="80">
        <v>9</v>
      </c>
      <c r="I103" s="80">
        <v>8</v>
      </c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20"/>
      <c r="BC103" s="20"/>
      <c r="BD103" s="20"/>
      <c r="BE103" s="20"/>
      <c r="BF103" s="20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33"/>
      <c r="BR103" s="19"/>
      <c r="BS103" s="19"/>
    </row>
    <row r="104" spans="1:71" ht="14.25" customHeight="1">
      <c r="A104" s="9">
        <v>25</v>
      </c>
      <c r="B104" s="78">
        <f>OVERALL!B28</f>
        <v>2301277</v>
      </c>
      <c r="C104" s="79" t="str">
        <f>OVERALL!C28</f>
        <v>Tamana</v>
      </c>
      <c r="D104" s="80">
        <v>8</v>
      </c>
      <c r="E104" s="80">
        <v>8</v>
      </c>
      <c r="F104" s="80">
        <v>7</v>
      </c>
      <c r="G104" s="80">
        <v>8</v>
      </c>
      <c r="H104" s="80">
        <v>8</v>
      </c>
      <c r="I104" s="80">
        <v>7</v>
      </c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20"/>
      <c r="BC104" s="20"/>
      <c r="BD104" s="20"/>
      <c r="BE104" s="20"/>
      <c r="BF104" s="20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33"/>
      <c r="BR104" s="19"/>
      <c r="BS104" s="19"/>
    </row>
    <row r="105" spans="1:71" ht="14.25" customHeight="1">
      <c r="A105" s="9">
        <v>26</v>
      </c>
      <c r="B105" s="78">
        <f>OVERALL!B29</f>
        <v>2301278</v>
      </c>
      <c r="C105" s="79" t="str">
        <f>OVERALL!C29</f>
        <v>Tamana Farooq Khanday</v>
      </c>
      <c r="D105" s="80">
        <v>8</v>
      </c>
      <c r="E105" s="80">
        <v>8</v>
      </c>
      <c r="F105" s="80">
        <v>8</v>
      </c>
      <c r="G105" s="80">
        <v>7</v>
      </c>
      <c r="H105" s="80">
        <v>7</v>
      </c>
      <c r="I105" s="80">
        <v>7</v>
      </c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20"/>
      <c r="BC105" s="20"/>
      <c r="BD105" s="20"/>
      <c r="BE105" s="20"/>
      <c r="BF105" s="20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33"/>
      <c r="BR105" s="19"/>
      <c r="BS105" s="19"/>
    </row>
    <row r="106" spans="1:71" ht="14.25" customHeight="1">
      <c r="A106" s="9">
        <v>27</v>
      </c>
      <c r="B106" s="78">
        <f>OVERALL!B30</f>
        <v>2301279</v>
      </c>
      <c r="C106" s="79" t="str">
        <f>OVERALL!C30</f>
        <v>Tania</v>
      </c>
      <c r="D106" s="80">
        <v>8</v>
      </c>
      <c r="E106" s="80">
        <v>8</v>
      </c>
      <c r="F106" s="80">
        <v>7</v>
      </c>
      <c r="G106" s="80">
        <v>8</v>
      </c>
      <c r="H106" s="80">
        <v>8</v>
      </c>
      <c r="I106" s="80">
        <v>9</v>
      </c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20"/>
      <c r="BC106" s="20"/>
      <c r="BD106" s="20"/>
      <c r="BE106" s="20"/>
      <c r="BF106" s="20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33"/>
      <c r="BR106" s="19"/>
      <c r="BS106" s="19"/>
    </row>
    <row r="107" spans="1:71" ht="14.25" customHeight="1">
      <c r="A107" s="9">
        <v>28</v>
      </c>
      <c r="B107" s="78">
        <f>OVERALL!B31</f>
        <v>2301280</v>
      </c>
      <c r="C107" s="79" t="str">
        <f>OVERALL!C31</f>
        <v>Taniya</v>
      </c>
      <c r="D107" s="80">
        <v>8</v>
      </c>
      <c r="E107" s="80">
        <v>8</v>
      </c>
      <c r="F107" s="80">
        <v>8</v>
      </c>
      <c r="G107" s="80">
        <v>7</v>
      </c>
      <c r="H107" s="80">
        <v>8</v>
      </c>
      <c r="I107" s="80">
        <v>9</v>
      </c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20"/>
      <c r="BC107" s="20"/>
      <c r="BD107" s="20"/>
      <c r="BE107" s="20"/>
      <c r="BF107" s="20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33"/>
      <c r="BR107" s="19"/>
      <c r="BS107" s="19"/>
    </row>
    <row r="108" spans="1:71" ht="14.25" customHeight="1">
      <c r="A108" s="9">
        <v>29</v>
      </c>
      <c r="B108" s="78">
        <f>OVERALL!B32</f>
        <v>2301281</v>
      </c>
      <c r="C108" s="79" t="str">
        <f>OVERALL!C32</f>
        <v>Taziko Trakha</v>
      </c>
      <c r="D108" s="80">
        <v>7</v>
      </c>
      <c r="E108" s="80">
        <v>8</v>
      </c>
      <c r="F108" s="80">
        <v>7</v>
      </c>
      <c r="G108" s="80">
        <v>8</v>
      </c>
      <c r="H108" s="80">
        <v>8</v>
      </c>
      <c r="I108" s="80">
        <v>7</v>
      </c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20"/>
      <c r="BC108" s="20"/>
      <c r="BD108" s="20"/>
      <c r="BE108" s="20"/>
      <c r="BF108" s="20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33"/>
      <c r="BR108" s="19"/>
      <c r="BS108" s="19"/>
    </row>
    <row r="109" spans="1:71" ht="14.25" customHeight="1">
      <c r="A109" s="9">
        <v>30</v>
      </c>
      <c r="B109" s="78">
        <f>OVERALL!B33</f>
        <v>2301283</v>
      </c>
      <c r="C109" s="79" t="str">
        <f>OVERALL!C33</f>
        <v>Vaibhav Shahi</v>
      </c>
      <c r="D109" s="80">
        <v>8</v>
      </c>
      <c r="E109" s="80">
        <v>8</v>
      </c>
      <c r="F109" s="80">
        <v>8</v>
      </c>
      <c r="G109" s="80">
        <v>7</v>
      </c>
      <c r="H109" s="80">
        <v>7</v>
      </c>
      <c r="I109" s="80">
        <v>8</v>
      </c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20"/>
      <c r="BC109" s="20"/>
      <c r="BD109" s="20"/>
      <c r="BE109" s="20"/>
      <c r="BF109" s="20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33"/>
      <c r="BR109" s="19"/>
      <c r="BS109" s="19"/>
    </row>
    <row r="110" spans="1:71" ht="14.25" customHeight="1">
      <c r="A110" s="9">
        <v>31</v>
      </c>
      <c r="B110" s="78">
        <f>OVERALL!B34</f>
        <v>2301285</v>
      </c>
      <c r="C110" s="79" t="str">
        <f>OVERALL!C34</f>
        <v>Vansh Sharma</v>
      </c>
      <c r="D110" s="80">
        <v>8</v>
      </c>
      <c r="E110" s="80">
        <v>8</v>
      </c>
      <c r="F110" s="80">
        <v>7</v>
      </c>
      <c r="G110" s="80">
        <v>8</v>
      </c>
      <c r="H110" s="80">
        <v>8</v>
      </c>
      <c r="I110" s="80">
        <v>7</v>
      </c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20"/>
      <c r="BC110" s="20"/>
      <c r="BD110" s="20"/>
      <c r="BE110" s="20"/>
      <c r="BF110" s="20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33"/>
      <c r="BR110" s="19"/>
      <c r="BS110" s="19"/>
    </row>
    <row r="111" spans="1:71" ht="14.25" customHeight="1">
      <c r="A111" s="9">
        <v>32</v>
      </c>
      <c r="B111" s="78">
        <f>OVERALL!B35</f>
        <v>2301286</v>
      </c>
      <c r="C111" s="79" t="str">
        <f>OVERALL!C35</f>
        <v>Vikramjit Singh</v>
      </c>
      <c r="D111" s="80">
        <v>0</v>
      </c>
      <c r="E111" s="80">
        <v>0</v>
      </c>
      <c r="F111" s="80">
        <v>0</v>
      </c>
      <c r="G111" s="80">
        <v>0</v>
      </c>
      <c r="H111" s="80">
        <v>0</v>
      </c>
      <c r="I111" s="80">
        <v>0</v>
      </c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20"/>
      <c r="BC111" s="20"/>
      <c r="BD111" s="20"/>
      <c r="BE111" s="20"/>
      <c r="BF111" s="20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33"/>
      <c r="BR111" s="19"/>
      <c r="BS111" s="19"/>
    </row>
    <row r="112" spans="1:71" ht="14.25" customHeight="1">
      <c r="A112" s="9">
        <v>33</v>
      </c>
      <c r="B112" s="78">
        <f>OVERALL!B36</f>
        <v>2339508</v>
      </c>
      <c r="C112" s="79" t="str">
        <f>OVERALL!C36</f>
        <v>TANISHA</v>
      </c>
      <c r="D112" s="80">
        <v>8</v>
      </c>
      <c r="E112" s="80">
        <v>8</v>
      </c>
      <c r="F112" s="80">
        <v>8</v>
      </c>
      <c r="G112" s="80">
        <v>8</v>
      </c>
      <c r="H112" s="80">
        <v>9</v>
      </c>
      <c r="I112" s="80">
        <v>8</v>
      </c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20"/>
      <c r="BC112" s="20"/>
      <c r="BD112" s="20"/>
      <c r="BE112" s="20"/>
      <c r="BF112" s="20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33"/>
      <c r="BR112" s="19"/>
      <c r="BS112" s="19"/>
    </row>
    <row r="113" spans="1:71" ht="14.25" customHeight="1">
      <c r="A113" s="9">
        <v>34</v>
      </c>
      <c r="B113" s="78">
        <f>OVERALL!B37</f>
        <v>2339509</v>
      </c>
      <c r="C113" s="79" t="str">
        <f>OVERALL!C37</f>
        <v>TOHIED AHMED</v>
      </c>
      <c r="D113" s="80">
        <v>0</v>
      </c>
      <c r="E113" s="80">
        <v>0</v>
      </c>
      <c r="F113" s="80">
        <v>0</v>
      </c>
      <c r="G113" s="80">
        <v>0</v>
      </c>
      <c r="H113" s="80">
        <v>0</v>
      </c>
      <c r="I113" s="80">
        <v>0</v>
      </c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20"/>
      <c r="BC113" s="20"/>
      <c r="BD113" s="20"/>
      <c r="BE113" s="20"/>
      <c r="BF113" s="20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33"/>
      <c r="BR113" s="19"/>
      <c r="BS113" s="19"/>
    </row>
    <row r="114" spans="1:71" ht="14.25" customHeight="1">
      <c r="A114" s="9">
        <v>35</v>
      </c>
      <c r="B114" s="78" t="str">
        <f>OVERALL!B38</f>
        <v>Leet</v>
      </c>
      <c r="C114" s="79" t="str">
        <f>OVERALL!C38</f>
        <v>Gagan</v>
      </c>
      <c r="D114" s="80">
        <v>8</v>
      </c>
      <c r="E114" s="80">
        <v>8</v>
      </c>
      <c r="F114" s="80">
        <v>9</v>
      </c>
      <c r="G114" s="80">
        <v>9</v>
      </c>
      <c r="H114" s="80">
        <v>8</v>
      </c>
      <c r="I114" s="80">
        <v>9</v>
      </c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20"/>
      <c r="BC114" s="20"/>
      <c r="BD114" s="20"/>
      <c r="BE114" s="20"/>
      <c r="BF114" s="20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33"/>
      <c r="BR114" s="19"/>
      <c r="BS114" s="19"/>
    </row>
    <row r="115" spans="1:71" ht="14.25" customHeight="1">
      <c r="A115" s="9">
        <v>36</v>
      </c>
      <c r="B115" s="78" t="str">
        <f>OVERALL!B39</f>
        <v>Leet</v>
      </c>
      <c r="C115" s="79" t="str">
        <f>OVERALL!C39</f>
        <v>Manisha</v>
      </c>
      <c r="D115" s="80">
        <v>8</v>
      </c>
      <c r="E115" s="80">
        <v>8</v>
      </c>
      <c r="F115" s="80">
        <v>7</v>
      </c>
      <c r="G115" s="80">
        <v>8</v>
      </c>
      <c r="H115" s="80">
        <v>9</v>
      </c>
      <c r="I115" s="80">
        <v>9</v>
      </c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20"/>
      <c r="BC115" s="20"/>
      <c r="BD115" s="20"/>
      <c r="BE115" s="20"/>
      <c r="BF115" s="20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33"/>
      <c r="BR115" s="19"/>
      <c r="BS115" s="19"/>
    </row>
    <row r="116" spans="1:71" ht="14.25" customHeight="1">
      <c r="A116" s="9">
        <v>37</v>
      </c>
      <c r="B116" s="78" t="str">
        <f>OVERALL!B40</f>
        <v>Leet</v>
      </c>
      <c r="C116" s="79" t="str">
        <f>OVERALL!C40</f>
        <v>Richa</v>
      </c>
      <c r="D116" s="80">
        <v>8</v>
      </c>
      <c r="E116" s="80">
        <v>8</v>
      </c>
      <c r="F116" s="80">
        <v>8</v>
      </c>
      <c r="G116" s="80">
        <v>9</v>
      </c>
      <c r="H116" s="80">
        <v>8</v>
      </c>
      <c r="I116" s="80">
        <v>9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20"/>
      <c r="BC116" s="20"/>
      <c r="BD116" s="20"/>
      <c r="BE116" s="20"/>
      <c r="BF116" s="20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33"/>
      <c r="BR116" s="19"/>
      <c r="BS116" s="19"/>
    </row>
    <row r="117" spans="1:71" ht="14.25" customHeight="1">
      <c r="A117" s="9">
        <v>38</v>
      </c>
      <c r="B117" s="78" t="str">
        <f>OVERALL!B41</f>
        <v>Leet</v>
      </c>
      <c r="C117" s="79" t="str">
        <f>OVERALL!C41</f>
        <v>Prakriti</v>
      </c>
      <c r="D117" s="80">
        <v>8</v>
      </c>
      <c r="E117" s="80">
        <v>8</v>
      </c>
      <c r="F117" s="80">
        <v>7</v>
      </c>
      <c r="G117" s="80">
        <v>7</v>
      </c>
      <c r="H117" s="80">
        <v>8</v>
      </c>
      <c r="I117" s="80">
        <v>9</v>
      </c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20"/>
      <c r="BC117" s="20"/>
      <c r="BD117" s="20"/>
      <c r="BE117" s="20"/>
      <c r="BF117" s="20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33"/>
      <c r="BR117" s="19"/>
      <c r="BS117" s="19"/>
    </row>
    <row r="118" spans="1:71" ht="14.25" customHeight="1">
      <c r="A118" s="9">
        <v>39</v>
      </c>
      <c r="B118" s="78" t="str">
        <f>OVERALL!B42</f>
        <v>leet</v>
      </c>
      <c r="C118" s="79" t="str">
        <f>OVERALL!C42</f>
        <v>Shubham</v>
      </c>
      <c r="D118" s="80">
        <v>7</v>
      </c>
      <c r="E118" s="80">
        <v>8</v>
      </c>
      <c r="F118" s="80">
        <v>8</v>
      </c>
      <c r="G118" s="80">
        <v>7</v>
      </c>
      <c r="H118" s="80">
        <v>8</v>
      </c>
      <c r="I118" s="80">
        <v>7</v>
      </c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20"/>
      <c r="BC118" s="20"/>
      <c r="BD118" s="20"/>
      <c r="BE118" s="20"/>
      <c r="BF118" s="20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33"/>
      <c r="BR118" s="19"/>
      <c r="BS118" s="19"/>
    </row>
    <row r="119" spans="1:71" ht="14.25" customHeight="1">
      <c r="A119" s="9">
        <v>40</v>
      </c>
      <c r="B119" s="78">
        <f>OVERALL!B43</f>
        <v>2301381</v>
      </c>
      <c r="C119" s="79" t="str">
        <f>OVERALL!C43</f>
        <v>ADITYA</v>
      </c>
      <c r="D119" s="80">
        <v>7</v>
      </c>
      <c r="E119" s="80">
        <v>8</v>
      </c>
      <c r="F119" s="80">
        <v>9</v>
      </c>
      <c r="G119" s="80">
        <v>8</v>
      </c>
      <c r="H119" s="80">
        <v>8</v>
      </c>
      <c r="I119" s="80">
        <v>8</v>
      </c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20"/>
      <c r="BC119" s="20"/>
      <c r="BD119" s="20"/>
      <c r="BE119" s="20"/>
      <c r="BF119" s="20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33"/>
      <c r="BR119" s="19"/>
      <c r="BS119" s="19"/>
    </row>
    <row r="120" spans="1:71" ht="14.25" customHeight="1">
      <c r="A120" s="9">
        <v>41</v>
      </c>
      <c r="B120" s="78">
        <f>OVERALL!B44</f>
        <v>2301382</v>
      </c>
      <c r="C120" s="79" t="str">
        <f>OVERALL!C44</f>
        <v>ANMOL</v>
      </c>
      <c r="D120" s="80">
        <v>8</v>
      </c>
      <c r="E120" s="80">
        <v>9</v>
      </c>
      <c r="F120" s="80">
        <v>8</v>
      </c>
      <c r="G120" s="80">
        <v>7</v>
      </c>
      <c r="H120" s="80">
        <v>7</v>
      </c>
      <c r="I120" s="80">
        <v>8</v>
      </c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20"/>
      <c r="BC120" s="20"/>
      <c r="BD120" s="20"/>
      <c r="BE120" s="20"/>
      <c r="BF120" s="20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33"/>
      <c r="BR120" s="19"/>
      <c r="BS120" s="19"/>
    </row>
    <row r="121" spans="1:71" ht="14.25" customHeight="1">
      <c r="A121" s="9">
        <v>42</v>
      </c>
      <c r="B121" s="78">
        <f>OVERALL!B45</f>
        <v>2301383</v>
      </c>
      <c r="C121" s="79" t="str">
        <f>OVERALL!C45</f>
        <v>AURSH SHARMA</v>
      </c>
      <c r="D121" s="80">
        <v>7</v>
      </c>
      <c r="E121" s="80">
        <v>8</v>
      </c>
      <c r="F121" s="80">
        <v>8</v>
      </c>
      <c r="G121" s="80">
        <v>8</v>
      </c>
      <c r="H121" s="80">
        <v>9</v>
      </c>
      <c r="I121" s="80">
        <v>9</v>
      </c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20"/>
      <c r="BC121" s="20"/>
      <c r="BD121" s="20"/>
      <c r="BE121" s="20"/>
      <c r="BF121" s="20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33"/>
      <c r="BR121" s="19"/>
      <c r="BS121" s="19"/>
    </row>
    <row r="122" spans="1:71" ht="14.25" customHeight="1">
      <c r="A122" s="9">
        <v>43</v>
      </c>
      <c r="B122" s="78">
        <f>OVERALL!B46</f>
        <v>2301384</v>
      </c>
      <c r="C122" s="79" t="str">
        <f>OVERALL!C46</f>
        <v>AVNEET SINGH</v>
      </c>
      <c r="D122" s="80">
        <v>7</v>
      </c>
      <c r="E122" s="80">
        <v>7</v>
      </c>
      <c r="F122" s="80">
        <v>7</v>
      </c>
      <c r="G122" s="80">
        <v>8</v>
      </c>
      <c r="H122" s="80">
        <v>8</v>
      </c>
      <c r="I122" s="80">
        <v>8</v>
      </c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20"/>
      <c r="BC122" s="20"/>
      <c r="BD122" s="20"/>
      <c r="BE122" s="20"/>
      <c r="BF122" s="20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33"/>
      <c r="BR122" s="19"/>
      <c r="BS122" s="19"/>
    </row>
    <row r="123" spans="1:71" ht="14.25" customHeight="1">
      <c r="A123" s="9">
        <v>44</v>
      </c>
      <c r="B123" s="78">
        <f>OVERALL!B47</f>
        <v>2301385</v>
      </c>
      <c r="C123" s="79" t="str">
        <f>OVERALL!C47</f>
        <v>BOBBY</v>
      </c>
      <c r="D123" s="80">
        <v>8</v>
      </c>
      <c r="E123" s="80">
        <v>7</v>
      </c>
      <c r="F123" s="80">
        <v>8</v>
      </c>
      <c r="G123" s="80">
        <v>8</v>
      </c>
      <c r="H123" s="80">
        <v>8</v>
      </c>
      <c r="I123" s="80">
        <v>9</v>
      </c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20"/>
      <c r="BC123" s="20"/>
      <c r="BD123" s="20"/>
      <c r="BE123" s="20"/>
      <c r="BF123" s="20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33"/>
      <c r="BR123" s="19"/>
      <c r="BS123" s="19"/>
    </row>
    <row r="124" spans="1:71" ht="14.25" customHeight="1">
      <c r="A124" s="9">
        <v>45</v>
      </c>
      <c r="B124" s="78">
        <f>OVERALL!B48</f>
        <v>2301386</v>
      </c>
      <c r="C124" s="79" t="str">
        <f>OVERALL!C48</f>
        <v>CHARANJIT SINGH</v>
      </c>
      <c r="D124" s="80">
        <v>8</v>
      </c>
      <c r="E124" s="80">
        <v>6</v>
      </c>
      <c r="F124" s="80">
        <v>8</v>
      </c>
      <c r="G124" s="80">
        <v>7</v>
      </c>
      <c r="H124" s="80">
        <v>8</v>
      </c>
      <c r="I124" s="80">
        <v>7</v>
      </c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20"/>
      <c r="BC124" s="20"/>
      <c r="BD124" s="20"/>
      <c r="BE124" s="20"/>
      <c r="BF124" s="20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33"/>
      <c r="BR124" s="19"/>
      <c r="BS124" s="19"/>
    </row>
    <row r="125" spans="1:71" ht="14.25" customHeight="1">
      <c r="A125" s="9">
        <v>46</v>
      </c>
      <c r="B125" s="78">
        <f>OVERALL!B49</f>
        <v>2301387</v>
      </c>
      <c r="C125" s="79" t="str">
        <f>OVERALL!C49</f>
        <v>INDERBIR SINGH</v>
      </c>
      <c r="D125" s="80">
        <v>8</v>
      </c>
      <c r="E125" s="80">
        <v>8</v>
      </c>
      <c r="F125" s="80">
        <v>9</v>
      </c>
      <c r="G125" s="80">
        <v>8</v>
      </c>
      <c r="H125" s="80">
        <v>7</v>
      </c>
      <c r="I125" s="80">
        <v>8</v>
      </c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20"/>
      <c r="BC125" s="20"/>
      <c r="BD125" s="20"/>
      <c r="BE125" s="20"/>
      <c r="BF125" s="20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33"/>
      <c r="BR125" s="19"/>
      <c r="BS125" s="19"/>
    </row>
    <row r="126" spans="1:71" ht="14.25" customHeight="1">
      <c r="A126" s="9">
        <v>47</v>
      </c>
      <c r="B126" s="78">
        <f>OVERALL!B50</f>
        <v>2301389</v>
      </c>
      <c r="C126" s="79" t="str">
        <f>OVERALL!C50</f>
        <v>JASMEEN</v>
      </c>
      <c r="D126" s="80">
        <v>7</v>
      </c>
      <c r="E126" s="80">
        <v>8</v>
      </c>
      <c r="F126" s="80">
        <v>8</v>
      </c>
      <c r="G126" s="80">
        <v>8</v>
      </c>
      <c r="H126" s="80">
        <v>8</v>
      </c>
      <c r="I126" s="80">
        <v>7</v>
      </c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20"/>
      <c r="BC126" s="20"/>
      <c r="BD126" s="20"/>
      <c r="BE126" s="20"/>
      <c r="BF126" s="20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33"/>
      <c r="BR126" s="19"/>
      <c r="BS126" s="19"/>
    </row>
    <row r="127" spans="1:71" ht="14.25" customHeight="1">
      <c r="A127" s="9">
        <v>48</v>
      </c>
      <c r="B127" s="78">
        <f>OVERALL!B51</f>
        <v>2301390</v>
      </c>
      <c r="C127" s="79" t="str">
        <f>OVERALL!C51</f>
        <v>KUNDAN</v>
      </c>
      <c r="D127" s="80">
        <v>7</v>
      </c>
      <c r="E127" s="80">
        <v>7</v>
      </c>
      <c r="F127" s="80">
        <v>7</v>
      </c>
      <c r="G127" s="80">
        <v>8</v>
      </c>
      <c r="H127" s="80">
        <v>7</v>
      </c>
      <c r="I127" s="80">
        <v>8</v>
      </c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20"/>
      <c r="BC127" s="20"/>
      <c r="BD127" s="20"/>
      <c r="BE127" s="20"/>
      <c r="BF127" s="20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33"/>
      <c r="BR127" s="19"/>
      <c r="BS127" s="19"/>
    </row>
    <row r="128" spans="1:71" ht="14.25" customHeight="1">
      <c r="A128" s="9">
        <v>49</v>
      </c>
      <c r="B128" s="78">
        <f>OVERALL!B52</f>
        <v>2301391</v>
      </c>
      <c r="C128" s="79" t="str">
        <f>OVERALL!C52</f>
        <v>MANVEER SINGH</v>
      </c>
      <c r="D128" s="80">
        <v>8</v>
      </c>
      <c r="E128" s="80">
        <v>8</v>
      </c>
      <c r="F128" s="80">
        <v>8</v>
      </c>
      <c r="G128" s="80">
        <v>8</v>
      </c>
      <c r="H128" s="80">
        <v>7</v>
      </c>
      <c r="I128" s="80">
        <v>9</v>
      </c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20"/>
      <c r="BC128" s="20"/>
      <c r="BD128" s="20"/>
      <c r="BE128" s="20"/>
      <c r="BF128" s="20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33"/>
      <c r="BR128" s="19"/>
      <c r="BS128" s="19"/>
    </row>
    <row r="129" spans="1:71" ht="14.25" customHeight="1">
      <c r="A129" s="9">
        <v>50</v>
      </c>
      <c r="B129" s="78">
        <f>OVERALL!B53</f>
        <v>2301392</v>
      </c>
      <c r="C129" s="79" t="str">
        <f>OVERALL!C53</f>
        <v>MOHIT KUMAR</v>
      </c>
      <c r="D129" s="80">
        <v>7</v>
      </c>
      <c r="E129" s="80">
        <v>8</v>
      </c>
      <c r="F129" s="80">
        <v>8</v>
      </c>
      <c r="G129" s="80">
        <v>7</v>
      </c>
      <c r="H129" s="80">
        <v>8</v>
      </c>
      <c r="I129" s="80">
        <v>8</v>
      </c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20"/>
      <c r="BC129" s="20"/>
      <c r="BD129" s="20"/>
      <c r="BE129" s="20"/>
      <c r="BF129" s="20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33"/>
      <c r="BR129" s="19"/>
      <c r="BS129" s="19"/>
    </row>
    <row r="130" spans="1:71" ht="14.25" customHeight="1">
      <c r="A130" s="9">
        <v>51</v>
      </c>
      <c r="B130" s="78">
        <f>OVERALL!B54</f>
        <v>2301393</v>
      </c>
      <c r="C130" s="79" t="str">
        <f>OVERALL!C54</f>
        <v>NAVNEET</v>
      </c>
      <c r="D130" s="80">
        <v>8</v>
      </c>
      <c r="E130" s="80">
        <v>7</v>
      </c>
      <c r="F130" s="80">
        <v>8</v>
      </c>
      <c r="G130" s="80">
        <v>8</v>
      </c>
      <c r="H130" s="80">
        <v>7</v>
      </c>
      <c r="I130" s="80">
        <v>8</v>
      </c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20"/>
      <c r="BC130" s="20"/>
      <c r="BD130" s="20"/>
      <c r="BE130" s="20"/>
      <c r="BF130" s="20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33"/>
      <c r="BR130" s="19"/>
      <c r="BS130" s="19"/>
    </row>
    <row r="131" spans="1:71" ht="14.25" customHeight="1">
      <c r="A131" s="9">
        <v>52</v>
      </c>
      <c r="B131" s="78">
        <f>OVERALL!B55</f>
        <v>2301394</v>
      </c>
      <c r="C131" s="79" t="str">
        <f>OVERALL!C55</f>
        <v>NITIN VERMA</v>
      </c>
      <c r="D131" s="80">
        <v>9</v>
      </c>
      <c r="E131" s="80">
        <v>9</v>
      </c>
      <c r="F131" s="80">
        <v>8</v>
      </c>
      <c r="G131" s="80">
        <v>8</v>
      </c>
      <c r="H131" s="80">
        <v>9</v>
      </c>
      <c r="I131" s="80">
        <v>8</v>
      </c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20"/>
      <c r="BC131" s="20"/>
      <c r="BD131" s="20"/>
      <c r="BE131" s="20"/>
      <c r="BF131" s="20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33"/>
      <c r="BR131" s="19"/>
      <c r="BS131" s="19"/>
    </row>
    <row r="132" spans="1:71" ht="14.25" customHeight="1">
      <c r="A132" s="9">
        <v>53</v>
      </c>
      <c r="B132" s="78">
        <f>OVERALL!B56</f>
        <v>2301395</v>
      </c>
      <c r="C132" s="79" t="str">
        <f>OVERALL!C56</f>
        <v>POOJA</v>
      </c>
      <c r="D132" s="80">
        <v>8</v>
      </c>
      <c r="E132" s="80">
        <v>8</v>
      </c>
      <c r="F132" s="80">
        <v>9</v>
      </c>
      <c r="G132" s="80">
        <v>9</v>
      </c>
      <c r="H132" s="80">
        <v>8</v>
      </c>
      <c r="I132" s="80">
        <v>8</v>
      </c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20"/>
      <c r="BC132" s="20"/>
      <c r="BD132" s="20"/>
      <c r="BE132" s="20"/>
      <c r="BF132" s="20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33"/>
      <c r="BR132" s="19"/>
      <c r="BS132" s="19"/>
    </row>
    <row r="133" spans="1:71" ht="14.25" customHeight="1">
      <c r="A133" s="9">
        <v>54</v>
      </c>
      <c r="B133" s="78">
        <f>OVERALL!B57</f>
        <v>2301396</v>
      </c>
      <c r="C133" s="79" t="str">
        <f>OVERALL!C57</f>
        <v>PRIYA</v>
      </c>
      <c r="D133" s="80">
        <v>7</v>
      </c>
      <c r="E133" s="80">
        <v>8</v>
      </c>
      <c r="F133" s="80">
        <v>8</v>
      </c>
      <c r="G133" s="80">
        <v>8</v>
      </c>
      <c r="H133" s="80">
        <v>8</v>
      </c>
      <c r="I133" s="80">
        <v>9</v>
      </c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20"/>
      <c r="BC133" s="20"/>
      <c r="BD133" s="20"/>
      <c r="BE133" s="20"/>
      <c r="BF133" s="20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33"/>
      <c r="BR133" s="19"/>
      <c r="BS133" s="19"/>
    </row>
    <row r="134" spans="1:71" ht="14.25" customHeight="1">
      <c r="A134" s="9">
        <v>55</v>
      </c>
      <c r="B134" s="78">
        <f>OVERALL!B58</f>
        <v>2301397</v>
      </c>
      <c r="C134" s="79" t="str">
        <f>OVERALL!C58</f>
        <v>SAHIL</v>
      </c>
      <c r="D134" s="80">
        <v>7</v>
      </c>
      <c r="E134" s="80">
        <v>7</v>
      </c>
      <c r="F134" s="80">
        <v>8</v>
      </c>
      <c r="G134" s="80">
        <v>8</v>
      </c>
      <c r="H134" s="80">
        <v>8</v>
      </c>
      <c r="I134" s="80">
        <v>9</v>
      </c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20"/>
      <c r="BC134" s="20"/>
      <c r="BD134" s="20"/>
      <c r="BE134" s="20"/>
      <c r="BF134" s="20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33"/>
      <c r="BR134" s="19"/>
      <c r="BS134" s="19"/>
    </row>
    <row r="135" spans="1:71" ht="14.25" customHeight="1">
      <c r="A135" s="9">
        <v>56</v>
      </c>
      <c r="B135" s="78">
        <f>OVERALL!B59</f>
        <v>2301398</v>
      </c>
      <c r="C135" s="79" t="str">
        <f>OVERALL!C59</f>
        <v>SANJANA</v>
      </c>
      <c r="D135" s="80">
        <v>8</v>
      </c>
      <c r="E135" s="80">
        <v>8</v>
      </c>
      <c r="F135" s="80">
        <v>8</v>
      </c>
      <c r="G135" s="80">
        <v>7</v>
      </c>
      <c r="H135" s="80">
        <v>9</v>
      </c>
      <c r="I135" s="80">
        <v>9</v>
      </c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20"/>
      <c r="BC135" s="20"/>
      <c r="BD135" s="20"/>
      <c r="BE135" s="20"/>
      <c r="BF135" s="20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33"/>
      <c r="BR135" s="19"/>
      <c r="BS135" s="19"/>
    </row>
    <row r="136" spans="1:71" ht="14.25" customHeight="1">
      <c r="A136" s="9">
        <v>57</v>
      </c>
      <c r="B136" s="78">
        <f>OVERALL!B60</f>
        <v>2301399</v>
      </c>
      <c r="C136" s="79" t="str">
        <f>OVERALL!C60</f>
        <v>SANJAY</v>
      </c>
      <c r="D136" s="80">
        <v>8</v>
      </c>
      <c r="E136" s="80">
        <v>7</v>
      </c>
      <c r="F136" s="80">
        <v>7</v>
      </c>
      <c r="G136" s="80">
        <v>7</v>
      </c>
      <c r="H136" s="80">
        <v>9</v>
      </c>
      <c r="I136" s="80">
        <v>8</v>
      </c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20"/>
      <c r="BC136" s="20"/>
      <c r="BD136" s="20"/>
      <c r="BE136" s="20"/>
      <c r="BF136" s="20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33"/>
      <c r="BR136" s="19"/>
      <c r="BS136" s="19"/>
    </row>
    <row r="137" spans="1:71" ht="14.25" customHeight="1">
      <c r="A137" s="9">
        <v>58</v>
      </c>
      <c r="B137" s="78">
        <f>OVERALL!B61</f>
        <v>2301401</v>
      </c>
      <c r="C137" s="79" t="str">
        <f>OVERALL!C61</f>
        <v>SMILE JASSAL</v>
      </c>
      <c r="D137" s="80">
        <v>7</v>
      </c>
      <c r="E137" s="80">
        <v>9</v>
      </c>
      <c r="F137" s="80">
        <v>9</v>
      </c>
      <c r="G137" s="80">
        <v>8</v>
      </c>
      <c r="H137" s="80">
        <v>8</v>
      </c>
      <c r="I137" s="80">
        <v>7</v>
      </c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20"/>
      <c r="BC137" s="20"/>
      <c r="BD137" s="20"/>
      <c r="BE137" s="20"/>
      <c r="BF137" s="20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33"/>
      <c r="BR137" s="19"/>
      <c r="BS137" s="19"/>
    </row>
    <row r="138" spans="1:71" ht="14.25" customHeight="1">
      <c r="A138" s="9">
        <v>59</v>
      </c>
      <c r="B138" s="78">
        <f>OVERALL!B62</f>
        <v>2301402</v>
      </c>
      <c r="C138" s="79" t="str">
        <f>OVERALL!C62</f>
        <v>SUMIT BHARAJ</v>
      </c>
      <c r="D138" s="80">
        <v>7</v>
      </c>
      <c r="E138" s="80">
        <v>8</v>
      </c>
      <c r="F138" s="80">
        <v>9</v>
      </c>
      <c r="G138" s="80">
        <v>9</v>
      </c>
      <c r="H138" s="80">
        <v>9</v>
      </c>
      <c r="I138" s="80">
        <v>7</v>
      </c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20"/>
      <c r="BC138" s="20"/>
      <c r="BD138" s="20"/>
      <c r="BE138" s="20"/>
      <c r="BF138" s="20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33"/>
      <c r="BR138" s="19"/>
      <c r="BS138" s="19"/>
    </row>
    <row r="139" spans="1:71" ht="14.25" customHeight="1">
      <c r="A139" s="9">
        <v>60</v>
      </c>
      <c r="B139" s="78">
        <f>OVERALL!B63</f>
        <v>2301403</v>
      </c>
      <c r="C139" s="79" t="str">
        <f>OVERALL!C63</f>
        <v>SUNAKSHI</v>
      </c>
      <c r="D139" s="80">
        <v>9</v>
      </c>
      <c r="E139" s="80">
        <v>9</v>
      </c>
      <c r="F139" s="80">
        <v>8</v>
      </c>
      <c r="G139" s="80">
        <v>8</v>
      </c>
      <c r="H139" s="80">
        <v>7</v>
      </c>
      <c r="I139" s="80">
        <v>7</v>
      </c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20"/>
      <c r="BC139" s="20"/>
      <c r="BD139" s="20"/>
      <c r="BE139" s="20"/>
      <c r="BF139" s="20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33"/>
      <c r="BR139" s="19"/>
      <c r="BS139" s="19"/>
    </row>
    <row r="140" spans="1:71" ht="14.25" customHeight="1">
      <c r="A140" s="9">
        <v>61</v>
      </c>
      <c r="B140" s="78">
        <f>OVERALL!B64</f>
        <v>2301404</v>
      </c>
      <c r="C140" s="79" t="str">
        <f>OVERALL!C64</f>
        <v>VANSH</v>
      </c>
      <c r="D140" s="80">
        <v>8</v>
      </c>
      <c r="E140" s="80">
        <v>8</v>
      </c>
      <c r="F140" s="80">
        <v>7</v>
      </c>
      <c r="G140" s="80">
        <v>9</v>
      </c>
      <c r="H140" s="80">
        <v>9</v>
      </c>
      <c r="I140" s="80">
        <v>8</v>
      </c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20"/>
      <c r="BC140" s="20"/>
      <c r="BD140" s="20"/>
      <c r="BE140" s="20"/>
      <c r="BF140" s="20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33"/>
      <c r="BR140" s="19"/>
      <c r="BS140" s="19"/>
    </row>
    <row r="141" spans="1:71" ht="14.25" customHeight="1">
      <c r="A141" s="9">
        <v>62</v>
      </c>
      <c r="B141" s="78">
        <f>OVERALL!B65</f>
        <v>2301405</v>
      </c>
      <c r="C141" s="79" t="str">
        <f>OVERALL!C65</f>
        <v>VARINDER BHATOY</v>
      </c>
      <c r="D141" s="80">
        <v>7</v>
      </c>
      <c r="E141" s="80">
        <v>8</v>
      </c>
      <c r="F141" s="80">
        <v>9</v>
      </c>
      <c r="G141" s="80">
        <v>8</v>
      </c>
      <c r="H141" s="80">
        <v>9</v>
      </c>
      <c r="I141" s="80">
        <v>7</v>
      </c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20"/>
      <c r="BC141" s="20"/>
      <c r="BD141" s="20"/>
      <c r="BE141" s="20"/>
      <c r="BF141" s="20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33"/>
      <c r="BR141" s="19"/>
      <c r="BS141" s="19"/>
    </row>
    <row r="142" spans="1:71" ht="14.25" customHeight="1">
      <c r="A142" s="9">
        <v>63</v>
      </c>
      <c r="B142" s="78">
        <f>OVERALL!B66</f>
        <v>2301407</v>
      </c>
      <c r="C142" s="79" t="str">
        <f>OVERALL!C66</f>
        <v>YASHODHA</v>
      </c>
      <c r="D142" s="80">
        <v>7</v>
      </c>
      <c r="E142" s="80">
        <v>7</v>
      </c>
      <c r="F142" s="80">
        <v>7</v>
      </c>
      <c r="G142" s="80">
        <v>8</v>
      </c>
      <c r="H142" s="80">
        <v>9</v>
      </c>
      <c r="I142" s="80">
        <v>9</v>
      </c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20"/>
      <c r="BC142" s="20"/>
      <c r="BD142" s="20"/>
      <c r="BE142" s="20"/>
      <c r="BF142" s="20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33"/>
      <c r="BR142" s="19"/>
      <c r="BS142" s="19"/>
    </row>
    <row r="143" spans="1:71" ht="14.25" customHeight="1">
      <c r="A143" s="9">
        <v>64</v>
      </c>
      <c r="B143" s="78">
        <f>OVERALL!B67</f>
        <v>2301408</v>
      </c>
      <c r="C143" s="79" t="str">
        <f>OVERALL!C67</f>
        <v>YOGESH SINGH</v>
      </c>
      <c r="D143" s="80">
        <v>0</v>
      </c>
      <c r="E143" s="80">
        <v>0</v>
      </c>
      <c r="F143" s="80">
        <v>0</v>
      </c>
      <c r="G143" s="80">
        <v>0</v>
      </c>
      <c r="H143" s="80">
        <v>0</v>
      </c>
      <c r="I143" s="80">
        <v>0</v>
      </c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20"/>
      <c r="BC143" s="20"/>
      <c r="BD143" s="20"/>
      <c r="BE143" s="20"/>
      <c r="BF143" s="20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33"/>
      <c r="BR143" s="19"/>
      <c r="BS143" s="19"/>
    </row>
    <row r="144" spans="1:71" ht="14.25" customHeight="1">
      <c r="A144" s="9">
        <v>65</v>
      </c>
      <c r="B144" s="78">
        <f>OVERALL!B68</f>
        <v>2322658</v>
      </c>
      <c r="C144" s="79" t="str">
        <f>OVERALL!C68</f>
        <v>BHAWANI THAKUR</v>
      </c>
      <c r="D144" s="80">
        <v>7</v>
      </c>
      <c r="E144" s="80">
        <v>8</v>
      </c>
      <c r="F144" s="80">
        <v>7</v>
      </c>
      <c r="G144" s="80">
        <v>9</v>
      </c>
      <c r="H144" s="80">
        <v>8</v>
      </c>
      <c r="I144" s="80">
        <v>8</v>
      </c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20"/>
      <c r="BC144" s="20"/>
      <c r="BD144" s="20"/>
      <c r="BE144" s="20"/>
      <c r="BF144" s="20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33"/>
      <c r="BR144" s="19"/>
      <c r="BS144" s="19"/>
    </row>
    <row r="145" spans="1:71" ht="14.25" customHeight="1">
      <c r="A145" s="9">
        <v>66</v>
      </c>
      <c r="B145" s="78">
        <f>OVERALL!B69</f>
        <v>2322659</v>
      </c>
      <c r="C145" s="79" t="str">
        <f>OVERALL!C69</f>
        <v>HARGUN KAUR</v>
      </c>
      <c r="D145" s="80">
        <v>9</v>
      </c>
      <c r="E145" s="80">
        <v>8</v>
      </c>
      <c r="F145" s="80">
        <v>9</v>
      </c>
      <c r="G145" s="80">
        <v>9</v>
      </c>
      <c r="H145" s="80">
        <v>8</v>
      </c>
      <c r="I145" s="80">
        <v>8</v>
      </c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20"/>
      <c r="BC145" s="20"/>
      <c r="BD145" s="20"/>
      <c r="BE145" s="20"/>
      <c r="BF145" s="20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33"/>
      <c r="BR145" s="19"/>
      <c r="BS145" s="19"/>
    </row>
    <row r="146" spans="1:71" ht="14.25" customHeight="1">
      <c r="A146" s="9">
        <v>67</v>
      </c>
      <c r="B146" s="78">
        <f>OVERALL!B70</f>
        <v>2322665</v>
      </c>
      <c r="C146" s="79" t="str">
        <f>OVERALL!C70</f>
        <v>PAWAN KUMAR</v>
      </c>
      <c r="D146" s="80">
        <v>7</v>
      </c>
      <c r="E146" s="80">
        <v>7</v>
      </c>
      <c r="F146" s="80">
        <v>8</v>
      </c>
      <c r="G146" s="80">
        <v>7</v>
      </c>
      <c r="H146" s="80">
        <v>8</v>
      </c>
      <c r="I146" s="80">
        <v>7</v>
      </c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20"/>
      <c r="BC146" s="20"/>
      <c r="BD146" s="20"/>
      <c r="BE146" s="20"/>
      <c r="BF146" s="20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33"/>
      <c r="BR146" s="19"/>
      <c r="BS146" s="19"/>
    </row>
    <row r="147" spans="1:71" ht="14.25" customHeight="1">
      <c r="A147" s="9">
        <v>68</v>
      </c>
      <c r="B147" s="78">
        <f>OVERALL!B71</f>
        <v>2322666</v>
      </c>
      <c r="C147" s="79" t="str">
        <f>OVERALL!C71</f>
        <v>PRINCE ABHISHEK</v>
      </c>
      <c r="D147" s="80">
        <v>7</v>
      </c>
      <c r="E147" s="80">
        <v>8</v>
      </c>
      <c r="F147" s="80">
        <v>7</v>
      </c>
      <c r="G147" s="80">
        <v>7</v>
      </c>
      <c r="H147" s="80">
        <v>7</v>
      </c>
      <c r="I147" s="80">
        <v>8</v>
      </c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20"/>
      <c r="BC147" s="20"/>
      <c r="BD147" s="20"/>
      <c r="BE147" s="20"/>
      <c r="BF147" s="20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33"/>
      <c r="BR147" s="19"/>
      <c r="BS147" s="19"/>
    </row>
    <row r="148" spans="1:71" ht="14.25" customHeight="1">
      <c r="A148" s="9">
        <v>69</v>
      </c>
      <c r="B148" s="78">
        <f>OVERALL!B72</f>
        <v>2322670</v>
      </c>
      <c r="C148" s="79" t="str">
        <f>OVERALL!C72</f>
        <v>SUMIT MAHEY</v>
      </c>
      <c r="D148" s="80">
        <v>8</v>
      </c>
      <c r="E148" s="80">
        <v>0</v>
      </c>
      <c r="F148" s="80">
        <v>8</v>
      </c>
      <c r="G148" s="80">
        <v>8</v>
      </c>
      <c r="H148" s="80">
        <v>9</v>
      </c>
      <c r="I148" s="80">
        <v>8</v>
      </c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20"/>
      <c r="BC148" s="20"/>
      <c r="BD148" s="20"/>
      <c r="BE148" s="20"/>
      <c r="BF148" s="20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33"/>
      <c r="BR148" s="19"/>
      <c r="BS148" s="19"/>
    </row>
    <row r="149" spans="1:71" ht="14.25" customHeight="1">
      <c r="A149" s="9">
        <v>70</v>
      </c>
      <c r="B149" s="78">
        <f>OVERALL!B73</f>
        <v>2322673</v>
      </c>
      <c r="C149" s="79" t="str">
        <f>OVERALL!C73</f>
        <v>USMAN ALI</v>
      </c>
      <c r="D149" s="80">
        <v>7</v>
      </c>
      <c r="E149" s="80">
        <v>7</v>
      </c>
      <c r="F149" s="80">
        <v>8</v>
      </c>
      <c r="G149" s="80">
        <v>0</v>
      </c>
      <c r="H149" s="80">
        <v>7</v>
      </c>
      <c r="I149" s="80">
        <v>7</v>
      </c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20"/>
      <c r="BC149" s="20"/>
      <c r="BD149" s="20"/>
      <c r="BE149" s="20"/>
      <c r="BF149" s="20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33"/>
      <c r="BR149" s="19"/>
      <c r="BS149" s="19"/>
    </row>
    <row r="150" spans="1:71" ht="14.25" customHeight="1">
      <c r="A150" s="19"/>
      <c r="B150" s="20"/>
      <c r="C150" s="3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33"/>
      <c r="BR150" s="19"/>
      <c r="BS150" s="19"/>
    </row>
    <row r="151" spans="1:71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33"/>
      <c r="BR151" s="19"/>
      <c r="BS151" s="19"/>
    </row>
    <row r="152" spans="1:71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33"/>
      <c r="BR152" s="19"/>
      <c r="BS152" s="19"/>
    </row>
    <row r="153" spans="1:71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33"/>
      <c r="BR153" s="19"/>
      <c r="BS153" s="19"/>
    </row>
    <row r="154" spans="1:71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33"/>
      <c r="BR154" s="19"/>
      <c r="BS154" s="19"/>
    </row>
    <row r="155" spans="1:71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33"/>
      <c r="BR155" s="19"/>
      <c r="BS155" s="19"/>
    </row>
    <row r="156" spans="1:71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33"/>
      <c r="BR156" s="19"/>
      <c r="BS156" s="19"/>
    </row>
    <row r="157" spans="1:71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33"/>
      <c r="BR157" s="19"/>
      <c r="BS157" s="19"/>
    </row>
    <row r="158" spans="1:71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33"/>
      <c r="BR158" s="19"/>
      <c r="BS158" s="19"/>
    </row>
    <row r="159" spans="1:71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33"/>
      <c r="BR159" s="19"/>
      <c r="BS159" s="19"/>
    </row>
    <row r="160" spans="1:71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33"/>
      <c r="BR160" s="19"/>
      <c r="BS160" s="19"/>
    </row>
    <row r="161" spans="1:71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33"/>
      <c r="BR161" s="19"/>
      <c r="BS161" s="19"/>
    </row>
    <row r="162" spans="1:71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33"/>
      <c r="BR162" s="19"/>
      <c r="BS162" s="19"/>
    </row>
    <row r="163" spans="1:71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33"/>
      <c r="BR163" s="19"/>
      <c r="BS163" s="19"/>
    </row>
    <row r="164" spans="1:71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33"/>
      <c r="BR164" s="19"/>
      <c r="BS164" s="19"/>
    </row>
    <row r="165" spans="1:71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33"/>
      <c r="BR165" s="19"/>
      <c r="BS165" s="19"/>
    </row>
    <row r="166" spans="1:71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33"/>
      <c r="BR166" s="19"/>
      <c r="BS166" s="19"/>
    </row>
    <row r="167" spans="1:71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33"/>
      <c r="BR167" s="19"/>
      <c r="BS167" s="19"/>
    </row>
    <row r="168" spans="1:71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33"/>
      <c r="BR168" s="19"/>
      <c r="BS168" s="19"/>
    </row>
    <row r="169" spans="1:71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33"/>
      <c r="BR169" s="19"/>
      <c r="BS169" s="19"/>
    </row>
    <row r="170" spans="1:71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33"/>
      <c r="BR170" s="19"/>
      <c r="BS170" s="19"/>
    </row>
    <row r="171" spans="1:71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33"/>
      <c r="BR171" s="19"/>
      <c r="BS171" s="19"/>
    </row>
    <row r="172" spans="1:71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33"/>
      <c r="BR172" s="19"/>
      <c r="BS172" s="19"/>
    </row>
    <row r="173" spans="1:71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33"/>
      <c r="BR173" s="19"/>
      <c r="BS173" s="19"/>
    </row>
    <row r="174" spans="1:71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33"/>
      <c r="BR174" s="19"/>
      <c r="BS174" s="19"/>
    </row>
    <row r="175" spans="1:71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33"/>
      <c r="BR175" s="19"/>
      <c r="BS175" s="19"/>
    </row>
    <row r="176" spans="1:71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33"/>
      <c r="BR176" s="19"/>
      <c r="BS176" s="19"/>
    </row>
    <row r="177" spans="1:71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33"/>
      <c r="BR177" s="19"/>
      <c r="BS177" s="19"/>
    </row>
    <row r="178" spans="1:71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33"/>
      <c r="BR178" s="19"/>
      <c r="BS178" s="19"/>
    </row>
    <row r="179" spans="1:71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33"/>
      <c r="BR179" s="19"/>
      <c r="BS179" s="19"/>
    </row>
    <row r="180" spans="1:71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33"/>
      <c r="BR180" s="19"/>
      <c r="BS180" s="19"/>
    </row>
    <row r="181" spans="1:71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33"/>
      <c r="BR181" s="19"/>
      <c r="BS181" s="19"/>
    </row>
    <row r="182" spans="1:71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33"/>
      <c r="BR182" s="19"/>
      <c r="BS182" s="19"/>
    </row>
    <row r="183" spans="1:71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33"/>
      <c r="BR183" s="19"/>
      <c r="BS183" s="19"/>
    </row>
    <row r="184" spans="1:71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33"/>
      <c r="BR184" s="19"/>
      <c r="BS184" s="19"/>
    </row>
    <row r="185" spans="1:71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33"/>
      <c r="BR185" s="19"/>
      <c r="BS185" s="19"/>
    </row>
    <row r="186" spans="1:71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33"/>
      <c r="BR186" s="19"/>
      <c r="BS186" s="19"/>
    </row>
    <row r="187" spans="1:71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33"/>
      <c r="BR187" s="19"/>
      <c r="BS187" s="19"/>
    </row>
    <row r="188" spans="1:71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33"/>
      <c r="BR188" s="19"/>
      <c r="BS188" s="19"/>
    </row>
    <row r="189" spans="1:71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33"/>
      <c r="BR189" s="19"/>
      <c r="BS189" s="19"/>
    </row>
    <row r="190" spans="1:71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33"/>
      <c r="BR190" s="19"/>
      <c r="BS190" s="19"/>
    </row>
    <row r="191" spans="1:71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33"/>
      <c r="BR191" s="19"/>
      <c r="BS191" s="19"/>
    </row>
    <row r="192" spans="1:71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33"/>
      <c r="BR192" s="19"/>
      <c r="BS192" s="19"/>
    </row>
    <row r="193" spans="1:71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33"/>
      <c r="BR193" s="19"/>
      <c r="BS193" s="19"/>
    </row>
    <row r="194" spans="1:71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33"/>
      <c r="BR194" s="19"/>
      <c r="BS194" s="19"/>
    </row>
    <row r="195" spans="1:71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33"/>
      <c r="BR195" s="19"/>
      <c r="BS195" s="19"/>
    </row>
    <row r="196" spans="1:71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33"/>
      <c r="BR196" s="19"/>
      <c r="BS196" s="19"/>
    </row>
    <row r="197" spans="1:71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33"/>
      <c r="BR197" s="19"/>
      <c r="BS197" s="19"/>
    </row>
    <row r="198" spans="1:71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33"/>
      <c r="BR198" s="19"/>
      <c r="BS198" s="19"/>
    </row>
    <row r="199" spans="1:71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33"/>
      <c r="BR199" s="19"/>
      <c r="BS199" s="19"/>
    </row>
    <row r="200" spans="1:71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33"/>
      <c r="BR200" s="19"/>
      <c r="BS200" s="19"/>
    </row>
    <row r="201" spans="1:71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33"/>
      <c r="BR201" s="19"/>
      <c r="BS201" s="19"/>
    </row>
    <row r="202" spans="1:71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33"/>
      <c r="BR202" s="19"/>
      <c r="BS202" s="19"/>
    </row>
    <row r="203" spans="1:71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33"/>
      <c r="BR203" s="19"/>
      <c r="BS203" s="19"/>
    </row>
    <row r="204" spans="1:71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33"/>
      <c r="BR204" s="19"/>
      <c r="BS204" s="19"/>
    </row>
    <row r="205" spans="1:71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33"/>
      <c r="BR205" s="19"/>
      <c r="BS205" s="19"/>
    </row>
    <row r="206" spans="1:71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33"/>
      <c r="BR206" s="19"/>
      <c r="BS206" s="19"/>
    </row>
    <row r="207" spans="1:71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33"/>
      <c r="BR207" s="19"/>
      <c r="BS207" s="19"/>
    </row>
    <row r="208" spans="1:71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33"/>
      <c r="BR208" s="19"/>
      <c r="BS208" s="19"/>
    </row>
    <row r="209" spans="1:71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33"/>
      <c r="BR209" s="19"/>
      <c r="BS209" s="19"/>
    </row>
    <row r="210" spans="1:71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33"/>
      <c r="BR210" s="19"/>
      <c r="BS210" s="19"/>
    </row>
    <row r="211" spans="1:71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33"/>
      <c r="BR211" s="19"/>
      <c r="BS211" s="19"/>
    </row>
    <row r="212" spans="1:71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33"/>
      <c r="BR212" s="19"/>
      <c r="BS212" s="19"/>
    </row>
    <row r="213" spans="1:71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33"/>
      <c r="BR213" s="19"/>
      <c r="BS213" s="19"/>
    </row>
    <row r="214" spans="1:71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33"/>
      <c r="BR214" s="19"/>
      <c r="BS214" s="19"/>
    </row>
    <row r="215" spans="1:71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33"/>
      <c r="BR215" s="19"/>
      <c r="BS215" s="19"/>
    </row>
    <row r="216" spans="1:71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33"/>
      <c r="BR216" s="19"/>
      <c r="BS216" s="19"/>
    </row>
    <row r="217" spans="1:71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33"/>
      <c r="BR217" s="19"/>
      <c r="BS217" s="19"/>
    </row>
    <row r="218" spans="1:71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33"/>
      <c r="BR218" s="19"/>
      <c r="BS218" s="19"/>
    </row>
    <row r="219" spans="1:71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33"/>
      <c r="BR219" s="19"/>
      <c r="BS219" s="19"/>
    </row>
    <row r="220" spans="1:71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33"/>
      <c r="BR220" s="19"/>
      <c r="BS220" s="19"/>
    </row>
    <row r="221" spans="1:71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33"/>
      <c r="BR221" s="19"/>
      <c r="BS221" s="19"/>
    </row>
    <row r="222" spans="1:71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33"/>
      <c r="BR222" s="19"/>
      <c r="BS222" s="19"/>
    </row>
    <row r="223" spans="1:71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33"/>
      <c r="BR223" s="19"/>
      <c r="BS223" s="19"/>
    </row>
    <row r="224" spans="1:71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33"/>
      <c r="BR224" s="19"/>
      <c r="BS224" s="19"/>
    </row>
    <row r="225" spans="1:71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33"/>
      <c r="BR225" s="19"/>
      <c r="BS225" s="19"/>
    </row>
    <row r="226" spans="1:71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33"/>
      <c r="BR226" s="19"/>
      <c r="BS226" s="19"/>
    </row>
    <row r="227" spans="1:71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33"/>
      <c r="BR227" s="19"/>
      <c r="BS227" s="19"/>
    </row>
    <row r="228" spans="1:71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33"/>
      <c r="BR228" s="19"/>
      <c r="BS228" s="19"/>
    </row>
    <row r="229" spans="1:71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33"/>
      <c r="BR229" s="19"/>
      <c r="BS229" s="19"/>
    </row>
    <row r="230" spans="1:71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33"/>
      <c r="BR230" s="19"/>
      <c r="BS230" s="19"/>
    </row>
    <row r="231" spans="1:71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33"/>
      <c r="BR231" s="19"/>
      <c r="BS231" s="19"/>
    </row>
    <row r="232" spans="1:71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33"/>
      <c r="BR232" s="19"/>
      <c r="BS232" s="19"/>
    </row>
    <row r="233" spans="1:71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33"/>
      <c r="BR233" s="19"/>
      <c r="BS233" s="19"/>
    </row>
    <row r="234" spans="1:71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33"/>
      <c r="BR234" s="19"/>
      <c r="BS234" s="19"/>
    </row>
    <row r="235" spans="1:71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33"/>
      <c r="BR235" s="19"/>
      <c r="BS235" s="19"/>
    </row>
    <row r="236" spans="1:71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33"/>
      <c r="BR236" s="19"/>
      <c r="BS236" s="19"/>
    </row>
    <row r="237" spans="1:71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33"/>
      <c r="BR237" s="19"/>
      <c r="BS237" s="19"/>
    </row>
    <row r="238" spans="1:71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33"/>
      <c r="BR238" s="19"/>
      <c r="BS238" s="19"/>
    </row>
    <row r="239" spans="1:71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33"/>
      <c r="BR239" s="19"/>
      <c r="BS239" s="19"/>
    </row>
    <row r="240" spans="1:71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33"/>
      <c r="BR240" s="19"/>
      <c r="BS240" s="19"/>
    </row>
    <row r="241" spans="1:71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33"/>
      <c r="BR241" s="19"/>
      <c r="BS241" s="19"/>
    </row>
    <row r="242" spans="1:71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33"/>
      <c r="BR242" s="19"/>
      <c r="BS242" s="19"/>
    </row>
    <row r="243" spans="1:71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33"/>
      <c r="BR243" s="19"/>
      <c r="BS243" s="19"/>
    </row>
    <row r="244" spans="1:71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33"/>
      <c r="BR244" s="19"/>
      <c r="BS244" s="19"/>
    </row>
    <row r="245" spans="1:71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33"/>
      <c r="BR245" s="19"/>
      <c r="BS245" s="19"/>
    </row>
    <row r="246" spans="1:71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33"/>
      <c r="BR246" s="19"/>
      <c r="BS246" s="19"/>
    </row>
    <row r="247" spans="1:71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33"/>
      <c r="BR247" s="19"/>
      <c r="BS247" s="19"/>
    </row>
    <row r="248" spans="1:71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33"/>
      <c r="BR248" s="19"/>
      <c r="BS248" s="19"/>
    </row>
    <row r="249" spans="1:71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33"/>
      <c r="BR249" s="19"/>
      <c r="BS249" s="19"/>
    </row>
    <row r="250" spans="1:71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33"/>
      <c r="BR250" s="19"/>
      <c r="BS250" s="19"/>
    </row>
    <row r="251" spans="1:71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33"/>
      <c r="BR251" s="19"/>
      <c r="BS251" s="19"/>
    </row>
    <row r="252" spans="1:71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33"/>
      <c r="BR252" s="19"/>
      <c r="BS252" s="19"/>
    </row>
    <row r="253" spans="1:71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33"/>
      <c r="BR253" s="19"/>
      <c r="BS253" s="19"/>
    </row>
    <row r="254" spans="1:71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33"/>
      <c r="BR254" s="19"/>
      <c r="BS254" s="19"/>
    </row>
    <row r="255" spans="1:71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33"/>
      <c r="BR255" s="19"/>
      <c r="BS255" s="19"/>
    </row>
    <row r="256" spans="1:71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33"/>
      <c r="BR256" s="19"/>
      <c r="BS256" s="19"/>
    </row>
    <row r="257" spans="1:71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33"/>
      <c r="BR257" s="19"/>
      <c r="BS257" s="19"/>
    </row>
    <row r="258" spans="1:71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33"/>
      <c r="BR258" s="19"/>
      <c r="BS258" s="19"/>
    </row>
    <row r="259" spans="1:71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33"/>
      <c r="BR259" s="19"/>
      <c r="BS259" s="19"/>
    </row>
    <row r="260" spans="1:71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33"/>
      <c r="BR260" s="19"/>
      <c r="BS260" s="19"/>
    </row>
    <row r="261" spans="1:71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33"/>
      <c r="BR261" s="19"/>
      <c r="BS261" s="19"/>
    </row>
    <row r="262" spans="1:71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33"/>
      <c r="BR262" s="19"/>
      <c r="BS262" s="19"/>
    </row>
    <row r="263" spans="1:71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33"/>
      <c r="BR263" s="19"/>
      <c r="BS263" s="19"/>
    </row>
    <row r="264" spans="1:71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33"/>
      <c r="BR264" s="19"/>
      <c r="BS264" s="19"/>
    </row>
    <row r="265" spans="1:71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33"/>
      <c r="BR265" s="19"/>
      <c r="BS265" s="19"/>
    </row>
    <row r="266" spans="1:71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33"/>
      <c r="BR266" s="19"/>
      <c r="BS266" s="19"/>
    </row>
    <row r="267" spans="1:71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33"/>
      <c r="BR267" s="19"/>
      <c r="BS267" s="19"/>
    </row>
    <row r="268" spans="1:71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33"/>
      <c r="BR268" s="19"/>
      <c r="BS268" s="19"/>
    </row>
    <row r="269" spans="1:71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33"/>
      <c r="BR269" s="19"/>
      <c r="BS269" s="19"/>
    </row>
    <row r="270" spans="1:71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33"/>
      <c r="BR270" s="19"/>
      <c r="BS270" s="19"/>
    </row>
    <row r="271" spans="1:71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33"/>
      <c r="BR271" s="19"/>
      <c r="BS271" s="19"/>
    </row>
    <row r="272" spans="1:71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33"/>
      <c r="BR272" s="19"/>
      <c r="BS272" s="19"/>
    </row>
    <row r="273" spans="1:71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33"/>
      <c r="BR273" s="19"/>
      <c r="BS273" s="19"/>
    </row>
    <row r="274" spans="1:71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33"/>
      <c r="BR274" s="19"/>
      <c r="BS274" s="19"/>
    </row>
    <row r="275" spans="1:71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33"/>
      <c r="BR275" s="19"/>
      <c r="BS275" s="19"/>
    </row>
    <row r="276" spans="1:71" ht="14.25" customHeight="1">
      <c r="A276" s="19"/>
      <c r="B276" s="20"/>
      <c r="C276" s="3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19"/>
      <c r="BI276" s="20"/>
      <c r="BJ276" s="20"/>
      <c r="BK276" s="19"/>
      <c r="BL276" s="19"/>
      <c r="BM276" s="19"/>
      <c r="BN276" s="19"/>
      <c r="BO276" s="19"/>
      <c r="BP276" s="19"/>
      <c r="BQ276" s="33"/>
      <c r="BR276" s="19"/>
      <c r="BS276" s="19"/>
    </row>
    <row r="277" spans="1:71" ht="14.25" customHeight="1">
      <c r="A277" s="19"/>
      <c r="B277" s="20"/>
      <c r="C277" s="3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19"/>
      <c r="BI277" s="20"/>
      <c r="BJ277" s="20"/>
      <c r="BK277" s="19"/>
      <c r="BL277" s="19"/>
      <c r="BM277" s="19"/>
      <c r="BN277" s="19"/>
      <c r="BO277" s="19"/>
      <c r="BP277" s="19"/>
      <c r="BQ277" s="33"/>
      <c r="BR277" s="19"/>
      <c r="BS277" s="19"/>
    </row>
    <row r="278" spans="1:71" ht="14.25" customHeight="1">
      <c r="A278" s="19"/>
      <c r="B278" s="20"/>
      <c r="C278" s="3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19"/>
      <c r="BI278" s="20"/>
      <c r="BJ278" s="20"/>
      <c r="BK278" s="19"/>
      <c r="BL278" s="19"/>
      <c r="BM278" s="19"/>
      <c r="BN278" s="19"/>
      <c r="BO278" s="19"/>
      <c r="BP278" s="19"/>
      <c r="BQ278" s="33"/>
      <c r="BR278" s="19"/>
      <c r="BS278" s="19"/>
    </row>
    <row r="279" spans="1:71" ht="14.25" customHeight="1">
      <c r="A279" s="19"/>
      <c r="B279" s="20"/>
      <c r="C279" s="3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19"/>
      <c r="BI279" s="20"/>
      <c r="BJ279" s="20"/>
      <c r="BK279" s="19"/>
      <c r="BL279" s="19"/>
      <c r="BM279" s="19"/>
      <c r="BN279" s="19"/>
      <c r="BO279" s="19"/>
      <c r="BP279" s="19"/>
      <c r="BQ279" s="33"/>
      <c r="BR279" s="19"/>
      <c r="BS279" s="19"/>
    </row>
    <row r="280" spans="1:71" ht="14.25" customHeight="1">
      <c r="A280" s="19"/>
      <c r="B280" s="20"/>
      <c r="C280" s="3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19"/>
      <c r="BI280" s="20"/>
      <c r="BJ280" s="20"/>
      <c r="BK280" s="19"/>
      <c r="BL280" s="19"/>
      <c r="BM280" s="19"/>
      <c r="BN280" s="19"/>
      <c r="BO280" s="19"/>
      <c r="BP280" s="19"/>
      <c r="BQ280" s="33"/>
      <c r="BR280" s="19"/>
      <c r="BS280" s="19"/>
    </row>
    <row r="281" spans="1:71" ht="14.25" customHeight="1">
      <c r="A281" s="19"/>
      <c r="B281" s="20"/>
      <c r="C281" s="3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19"/>
      <c r="BI281" s="20"/>
      <c r="BJ281" s="20"/>
      <c r="BK281" s="19"/>
      <c r="BL281" s="19"/>
      <c r="BM281" s="19"/>
      <c r="BN281" s="19"/>
      <c r="BO281" s="19"/>
      <c r="BP281" s="19"/>
      <c r="BQ281" s="33"/>
      <c r="BR281" s="19"/>
      <c r="BS281" s="19"/>
    </row>
    <row r="282" spans="1:71" ht="14.25" customHeight="1">
      <c r="A282" s="19"/>
      <c r="B282" s="20"/>
      <c r="C282" s="3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19"/>
      <c r="BI282" s="20"/>
      <c r="BJ282" s="20"/>
      <c r="BK282" s="19"/>
      <c r="BL282" s="19"/>
      <c r="BM282" s="19"/>
      <c r="BN282" s="19"/>
      <c r="BO282" s="19"/>
      <c r="BP282" s="19"/>
      <c r="BQ282" s="33"/>
      <c r="BR282" s="19"/>
      <c r="BS282" s="19"/>
    </row>
    <row r="283" spans="1:71" ht="14.25" customHeight="1">
      <c r="A283" s="19"/>
      <c r="B283" s="20"/>
      <c r="C283" s="3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19"/>
      <c r="BI283" s="20"/>
      <c r="BJ283" s="20"/>
      <c r="BK283" s="19"/>
      <c r="BL283" s="19"/>
      <c r="BM283" s="19"/>
      <c r="BN283" s="19"/>
      <c r="BO283" s="19"/>
      <c r="BP283" s="19"/>
      <c r="BQ283" s="33"/>
      <c r="BR283" s="19"/>
      <c r="BS283" s="19"/>
    </row>
    <row r="284" spans="1:71" ht="14.25" customHeight="1">
      <c r="A284" s="19"/>
      <c r="B284" s="20"/>
      <c r="C284" s="3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19"/>
      <c r="BI284" s="20"/>
      <c r="BJ284" s="20"/>
      <c r="BK284" s="19"/>
      <c r="BL284" s="19"/>
      <c r="BM284" s="19"/>
      <c r="BN284" s="19"/>
      <c r="BO284" s="19"/>
      <c r="BP284" s="19"/>
      <c r="BQ284" s="33"/>
      <c r="BR284" s="19"/>
      <c r="BS284" s="19"/>
    </row>
    <row r="285" spans="1:71" ht="14.25" customHeight="1">
      <c r="A285" s="19"/>
      <c r="B285" s="20"/>
      <c r="C285" s="3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19"/>
      <c r="BI285" s="20"/>
      <c r="BJ285" s="20"/>
      <c r="BK285" s="19"/>
      <c r="BL285" s="19"/>
      <c r="BM285" s="19"/>
      <c r="BN285" s="19"/>
      <c r="BO285" s="19"/>
      <c r="BP285" s="19"/>
      <c r="BQ285" s="33"/>
      <c r="BR285" s="19"/>
      <c r="BS285" s="19"/>
    </row>
    <row r="286" spans="1:71" ht="14.25" customHeight="1">
      <c r="A286" s="19"/>
      <c r="B286" s="20"/>
      <c r="C286" s="3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19"/>
      <c r="BI286" s="20"/>
      <c r="BJ286" s="20"/>
      <c r="BK286" s="19"/>
      <c r="BL286" s="19"/>
      <c r="BM286" s="19"/>
      <c r="BN286" s="19"/>
      <c r="BO286" s="19"/>
      <c r="BP286" s="19"/>
      <c r="BQ286" s="33"/>
      <c r="BR286" s="19"/>
      <c r="BS286" s="19"/>
    </row>
    <row r="287" spans="1:71" ht="14.25" customHeight="1">
      <c r="A287" s="19"/>
      <c r="B287" s="20"/>
      <c r="C287" s="3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19"/>
      <c r="BI287" s="20"/>
      <c r="BJ287" s="20"/>
      <c r="BK287" s="19"/>
      <c r="BL287" s="19"/>
      <c r="BM287" s="19"/>
      <c r="BN287" s="19"/>
      <c r="BO287" s="19"/>
      <c r="BP287" s="19"/>
      <c r="BQ287" s="33"/>
      <c r="BR287" s="19"/>
      <c r="BS287" s="19"/>
    </row>
    <row r="288" spans="1:71" ht="14.25" customHeight="1">
      <c r="A288" s="19"/>
      <c r="B288" s="20"/>
      <c r="C288" s="3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19"/>
      <c r="BI288" s="20"/>
      <c r="BJ288" s="20"/>
      <c r="BK288" s="19"/>
      <c r="BL288" s="19"/>
      <c r="BM288" s="19"/>
      <c r="BN288" s="19"/>
      <c r="BO288" s="19"/>
      <c r="BP288" s="19"/>
      <c r="BQ288" s="33"/>
      <c r="BR288" s="19"/>
      <c r="BS288" s="19"/>
    </row>
    <row r="289" spans="1:71" ht="14.25" customHeight="1">
      <c r="A289" s="19"/>
      <c r="B289" s="20"/>
      <c r="C289" s="3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19"/>
      <c r="BI289" s="20"/>
      <c r="BJ289" s="20"/>
      <c r="BK289" s="19"/>
      <c r="BL289" s="19"/>
      <c r="BM289" s="19"/>
      <c r="BN289" s="19"/>
      <c r="BO289" s="19"/>
      <c r="BP289" s="19"/>
      <c r="BQ289" s="33"/>
      <c r="BR289" s="19"/>
      <c r="BS289" s="19"/>
    </row>
    <row r="290" spans="1:71" ht="14.25" customHeight="1">
      <c r="A290" s="19"/>
      <c r="B290" s="20"/>
      <c r="C290" s="3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19"/>
      <c r="BI290" s="20"/>
      <c r="BJ290" s="20"/>
      <c r="BK290" s="19"/>
      <c r="BL290" s="19"/>
      <c r="BM290" s="19"/>
      <c r="BN290" s="19"/>
      <c r="BO290" s="19"/>
      <c r="BP290" s="19"/>
      <c r="BQ290" s="33"/>
      <c r="BR290" s="19"/>
      <c r="BS290" s="19"/>
    </row>
    <row r="291" spans="1:71" ht="14.25" customHeight="1">
      <c r="A291" s="19"/>
      <c r="B291" s="20"/>
      <c r="C291" s="3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19"/>
      <c r="BI291" s="20"/>
      <c r="BJ291" s="20"/>
      <c r="BK291" s="19"/>
      <c r="BL291" s="19"/>
      <c r="BM291" s="19"/>
      <c r="BN291" s="19"/>
      <c r="BO291" s="19"/>
      <c r="BP291" s="19"/>
      <c r="BQ291" s="33"/>
      <c r="BR291" s="19"/>
      <c r="BS291" s="19"/>
    </row>
    <row r="292" spans="1:71" ht="14.25" customHeight="1">
      <c r="A292" s="19"/>
      <c r="B292" s="20"/>
      <c r="C292" s="3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19"/>
      <c r="BI292" s="20"/>
      <c r="BJ292" s="20"/>
      <c r="BK292" s="19"/>
      <c r="BL292" s="19"/>
      <c r="BM292" s="19"/>
      <c r="BN292" s="19"/>
      <c r="BO292" s="19"/>
      <c r="BP292" s="19"/>
      <c r="BQ292" s="33"/>
      <c r="BR292" s="19"/>
      <c r="BS292" s="19"/>
    </row>
    <row r="293" spans="1:71" ht="14.25" customHeight="1">
      <c r="A293" s="19"/>
      <c r="B293" s="20"/>
      <c r="C293" s="3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19"/>
      <c r="BI293" s="20"/>
      <c r="BJ293" s="20"/>
      <c r="BK293" s="19"/>
      <c r="BL293" s="19"/>
      <c r="BM293" s="19"/>
      <c r="BN293" s="19"/>
      <c r="BO293" s="19"/>
      <c r="BP293" s="19"/>
      <c r="BQ293" s="33"/>
      <c r="BR293" s="19"/>
      <c r="BS293" s="19"/>
    </row>
    <row r="294" spans="1:71" ht="14.25" customHeight="1">
      <c r="A294" s="19"/>
      <c r="B294" s="20"/>
      <c r="C294" s="3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19"/>
      <c r="BI294" s="20"/>
      <c r="BJ294" s="20"/>
      <c r="BK294" s="19"/>
      <c r="BL294" s="19"/>
      <c r="BM294" s="19"/>
      <c r="BN294" s="19"/>
      <c r="BO294" s="19"/>
      <c r="BP294" s="19"/>
      <c r="BQ294" s="33"/>
      <c r="BR294" s="19"/>
      <c r="BS294" s="19"/>
    </row>
    <row r="295" spans="1:71" ht="14.25" customHeight="1">
      <c r="A295" s="19"/>
      <c r="B295" s="20"/>
      <c r="C295" s="3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19"/>
      <c r="BI295" s="20"/>
      <c r="BJ295" s="20"/>
      <c r="BK295" s="19"/>
      <c r="BL295" s="19"/>
      <c r="BM295" s="19"/>
      <c r="BN295" s="19"/>
      <c r="BO295" s="19"/>
      <c r="BP295" s="19"/>
      <c r="BQ295" s="33"/>
      <c r="BR295" s="19"/>
      <c r="BS295" s="19"/>
    </row>
    <row r="296" spans="1:71" ht="14.25" customHeight="1">
      <c r="A296" s="19"/>
      <c r="B296" s="20"/>
      <c r="C296" s="3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19"/>
      <c r="BI296" s="20"/>
      <c r="BJ296" s="20"/>
      <c r="BK296" s="19"/>
      <c r="BL296" s="19"/>
      <c r="BM296" s="19"/>
      <c r="BN296" s="19"/>
      <c r="BO296" s="19"/>
      <c r="BP296" s="19"/>
      <c r="BQ296" s="33"/>
      <c r="BR296" s="19"/>
      <c r="BS296" s="19"/>
    </row>
    <row r="297" spans="1:71" ht="14.25" customHeight="1">
      <c r="A297" s="19"/>
      <c r="B297" s="20"/>
      <c r="C297" s="3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19"/>
      <c r="BI297" s="20"/>
      <c r="BJ297" s="20"/>
      <c r="BK297" s="19"/>
      <c r="BL297" s="19"/>
      <c r="BM297" s="19"/>
      <c r="BN297" s="19"/>
      <c r="BO297" s="19"/>
      <c r="BP297" s="19"/>
      <c r="BQ297" s="33"/>
      <c r="BR297" s="19"/>
      <c r="BS297" s="19"/>
    </row>
    <row r="298" spans="1:71" ht="14.25" customHeight="1">
      <c r="A298" s="19"/>
      <c r="B298" s="20"/>
      <c r="C298" s="3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19"/>
      <c r="BI298" s="20"/>
      <c r="BJ298" s="20"/>
      <c r="BK298" s="19"/>
      <c r="BL298" s="19"/>
      <c r="BM298" s="19"/>
      <c r="BN298" s="19"/>
      <c r="BO298" s="19"/>
      <c r="BP298" s="19"/>
      <c r="BQ298" s="33"/>
      <c r="BR298" s="19"/>
      <c r="BS298" s="19"/>
    </row>
    <row r="299" spans="1:71" ht="14.25" customHeight="1">
      <c r="A299" s="19"/>
      <c r="B299" s="20"/>
      <c r="C299" s="3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19"/>
      <c r="BI299" s="20"/>
      <c r="BJ299" s="20"/>
      <c r="BK299" s="19"/>
      <c r="BL299" s="19"/>
      <c r="BM299" s="19"/>
      <c r="BN299" s="19"/>
      <c r="BO299" s="19"/>
      <c r="BP299" s="19"/>
      <c r="BQ299" s="33"/>
      <c r="BR299" s="19"/>
      <c r="BS299" s="19"/>
    </row>
    <row r="300" spans="1:71" ht="14.25" customHeight="1">
      <c r="A300" s="19"/>
      <c r="B300" s="20"/>
      <c r="C300" s="3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19"/>
      <c r="BI300" s="20"/>
      <c r="BJ300" s="20"/>
      <c r="BK300" s="19"/>
      <c r="BL300" s="19"/>
      <c r="BM300" s="19"/>
      <c r="BN300" s="19"/>
      <c r="BO300" s="19"/>
      <c r="BP300" s="19"/>
      <c r="BQ300" s="33"/>
      <c r="BR300" s="19"/>
      <c r="BS300" s="19"/>
    </row>
    <row r="301" spans="1:71" ht="14.25" customHeight="1">
      <c r="A301" s="19"/>
      <c r="B301" s="20"/>
      <c r="C301" s="3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19"/>
      <c r="BI301" s="20"/>
      <c r="BJ301" s="20"/>
      <c r="BK301" s="19"/>
      <c r="BL301" s="19"/>
      <c r="BM301" s="19"/>
      <c r="BN301" s="19"/>
      <c r="BO301" s="19"/>
      <c r="BP301" s="19"/>
      <c r="BQ301" s="33"/>
      <c r="BR301" s="19"/>
      <c r="BS301" s="19"/>
    </row>
    <row r="302" spans="1:71" ht="14.25" customHeight="1">
      <c r="A302" s="19"/>
      <c r="B302" s="20"/>
      <c r="C302" s="3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19"/>
      <c r="BI302" s="20"/>
      <c r="BJ302" s="20"/>
      <c r="BK302" s="19"/>
      <c r="BL302" s="19"/>
      <c r="BM302" s="19"/>
      <c r="BN302" s="19"/>
      <c r="BO302" s="19"/>
      <c r="BP302" s="19"/>
      <c r="BQ302" s="33"/>
      <c r="BR302" s="19"/>
      <c r="BS302" s="19"/>
    </row>
    <row r="303" spans="1:71" ht="14.25" customHeight="1">
      <c r="A303" s="19"/>
      <c r="B303" s="20"/>
      <c r="C303" s="3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19"/>
      <c r="BI303" s="20"/>
      <c r="BJ303" s="20"/>
      <c r="BK303" s="19"/>
      <c r="BL303" s="19"/>
      <c r="BM303" s="19"/>
      <c r="BN303" s="19"/>
      <c r="BO303" s="19"/>
      <c r="BP303" s="19"/>
      <c r="BQ303" s="33"/>
      <c r="BR303" s="19"/>
      <c r="BS303" s="19"/>
    </row>
    <row r="304" spans="1:71" ht="14.25" customHeight="1">
      <c r="A304" s="19"/>
      <c r="B304" s="20"/>
      <c r="C304" s="3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19"/>
      <c r="BI304" s="20"/>
      <c r="BJ304" s="20"/>
      <c r="BK304" s="19"/>
      <c r="BL304" s="19"/>
      <c r="BM304" s="19"/>
      <c r="BN304" s="19"/>
      <c r="BO304" s="19"/>
      <c r="BP304" s="19"/>
      <c r="BQ304" s="33"/>
      <c r="BR304" s="19"/>
      <c r="BS304" s="19"/>
    </row>
    <row r="305" spans="1:71" ht="14.25" customHeight="1">
      <c r="A305" s="19"/>
      <c r="B305" s="20"/>
      <c r="C305" s="3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19"/>
      <c r="BI305" s="20"/>
      <c r="BJ305" s="20"/>
      <c r="BK305" s="19"/>
      <c r="BL305" s="19"/>
      <c r="BM305" s="19"/>
      <c r="BN305" s="19"/>
      <c r="BO305" s="19"/>
      <c r="BP305" s="19"/>
      <c r="BQ305" s="33"/>
      <c r="BR305" s="19"/>
      <c r="BS305" s="19"/>
    </row>
    <row r="306" spans="1:71" ht="14.25" customHeight="1">
      <c r="A306" s="19"/>
      <c r="B306" s="20"/>
      <c r="C306" s="3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19"/>
      <c r="BI306" s="20"/>
      <c r="BJ306" s="20"/>
      <c r="BK306" s="19"/>
      <c r="BL306" s="19"/>
      <c r="BM306" s="19"/>
      <c r="BN306" s="19"/>
      <c r="BO306" s="19"/>
      <c r="BP306" s="19"/>
      <c r="BQ306" s="33"/>
      <c r="BR306" s="19"/>
      <c r="BS306" s="19"/>
    </row>
    <row r="307" spans="1:71" ht="14.25" customHeight="1">
      <c r="A307" s="19"/>
      <c r="B307" s="20"/>
      <c r="C307" s="3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19"/>
      <c r="BI307" s="20"/>
      <c r="BJ307" s="20"/>
      <c r="BK307" s="19"/>
      <c r="BL307" s="19"/>
      <c r="BM307" s="19"/>
      <c r="BN307" s="19"/>
      <c r="BO307" s="19"/>
      <c r="BP307" s="19"/>
      <c r="BQ307" s="33"/>
      <c r="BR307" s="19"/>
      <c r="BS307" s="19"/>
    </row>
    <row r="308" spans="1:71" ht="14.25" customHeight="1">
      <c r="A308" s="19"/>
      <c r="B308" s="20"/>
      <c r="C308" s="3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19"/>
      <c r="BI308" s="20"/>
      <c r="BJ308" s="20"/>
      <c r="BK308" s="19"/>
      <c r="BL308" s="19"/>
      <c r="BM308" s="19"/>
      <c r="BN308" s="19"/>
      <c r="BO308" s="19"/>
      <c r="BP308" s="19"/>
      <c r="BQ308" s="33"/>
      <c r="BR308" s="19"/>
      <c r="BS308" s="19"/>
    </row>
    <row r="309" spans="1:71" ht="14.25" customHeight="1">
      <c r="A309" s="19"/>
      <c r="B309" s="20"/>
      <c r="C309" s="3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19"/>
      <c r="BI309" s="20"/>
      <c r="BJ309" s="20"/>
      <c r="BK309" s="19"/>
      <c r="BL309" s="19"/>
      <c r="BM309" s="19"/>
      <c r="BN309" s="19"/>
      <c r="BO309" s="19"/>
      <c r="BP309" s="19"/>
      <c r="BQ309" s="33"/>
      <c r="BR309" s="19"/>
      <c r="BS309" s="19"/>
    </row>
    <row r="310" spans="1:71" ht="14.25" customHeight="1">
      <c r="A310" s="19"/>
      <c r="B310" s="20"/>
      <c r="C310" s="3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19"/>
      <c r="BI310" s="20"/>
      <c r="BJ310" s="20"/>
      <c r="BK310" s="19"/>
      <c r="BL310" s="19"/>
      <c r="BM310" s="19"/>
      <c r="BN310" s="19"/>
      <c r="BO310" s="19"/>
      <c r="BP310" s="19"/>
      <c r="BQ310" s="33"/>
      <c r="BR310" s="19"/>
      <c r="BS310" s="19"/>
    </row>
    <row r="311" spans="1:71" ht="14.25" customHeight="1">
      <c r="A311" s="19"/>
      <c r="B311" s="20"/>
      <c r="C311" s="3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19"/>
      <c r="BI311" s="20"/>
      <c r="BJ311" s="20"/>
      <c r="BK311" s="19"/>
      <c r="BL311" s="19"/>
      <c r="BM311" s="19"/>
      <c r="BN311" s="19"/>
      <c r="BO311" s="19"/>
      <c r="BP311" s="19"/>
      <c r="BQ311" s="33"/>
      <c r="BR311" s="19"/>
      <c r="BS311" s="19"/>
    </row>
    <row r="312" spans="1:71" ht="14.25" customHeight="1">
      <c r="A312" s="19"/>
      <c r="B312" s="20"/>
      <c r="C312" s="3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19"/>
      <c r="BI312" s="20"/>
      <c r="BJ312" s="20"/>
      <c r="BK312" s="19"/>
      <c r="BL312" s="19"/>
      <c r="BM312" s="19"/>
      <c r="BN312" s="19"/>
      <c r="BO312" s="19"/>
      <c r="BP312" s="19"/>
      <c r="BQ312" s="33"/>
      <c r="BR312" s="19"/>
      <c r="BS312" s="19"/>
    </row>
    <row r="313" spans="1:71" ht="14.25" customHeight="1">
      <c r="A313" s="19"/>
      <c r="B313" s="20"/>
      <c r="C313" s="3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19"/>
      <c r="BI313" s="20"/>
      <c r="BJ313" s="20"/>
      <c r="BK313" s="19"/>
      <c r="BL313" s="19"/>
      <c r="BM313" s="19"/>
      <c r="BN313" s="19"/>
      <c r="BO313" s="19"/>
      <c r="BP313" s="19"/>
      <c r="BQ313" s="33"/>
      <c r="BR313" s="19"/>
      <c r="BS313" s="19"/>
    </row>
    <row r="314" spans="1:71" ht="14.25" customHeight="1">
      <c r="A314" s="19"/>
      <c r="B314" s="20"/>
      <c r="C314" s="3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19"/>
      <c r="BI314" s="20"/>
      <c r="BJ314" s="20"/>
      <c r="BK314" s="19"/>
      <c r="BL314" s="19"/>
      <c r="BM314" s="19"/>
      <c r="BN314" s="19"/>
      <c r="BO314" s="19"/>
      <c r="BP314" s="19"/>
      <c r="BQ314" s="33"/>
      <c r="BR314" s="19"/>
      <c r="BS314" s="19"/>
    </row>
    <row r="315" spans="1:71" ht="14.25" customHeight="1">
      <c r="A315" s="19"/>
      <c r="B315" s="20"/>
      <c r="C315" s="3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19"/>
      <c r="BI315" s="20"/>
      <c r="BJ315" s="20"/>
      <c r="BK315" s="19"/>
      <c r="BL315" s="19"/>
      <c r="BM315" s="19"/>
      <c r="BN315" s="19"/>
      <c r="BO315" s="19"/>
      <c r="BP315" s="19"/>
      <c r="BQ315" s="33"/>
      <c r="BR315" s="19"/>
      <c r="BS315" s="19"/>
    </row>
    <row r="316" spans="1:71" ht="14.25" customHeight="1">
      <c r="A316" s="19"/>
      <c r="B316" s="20"/>
      <c r="C316" s="3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19"/>
      <c r="BI316" s="20"/>
      <c r="BJ316" s="20"/>
      <c r="BK316" s="19"/>
      <c r="BL316" s="19"/>
      <c r="BM316" s="19"/>
      <c r="BN316" s="19"/>
      <c r="BO316" s="19"/>
      <c r="BP316" s="19"/>
      <c r="BQ316" s="33"/>
      <c r="BR316" s="19"/>
      <c r="BS316" s="19"/>
    </row>
    <row r="317" spans="1:71" ht="14.25" customHeight="1">
      <c r="A317" s="19"/>
      <c r="B317" s="20"/>
      <c r="C317" s="3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19"/>
      <c r="BI317" s="20"/>
      <c r="BJ317" s="20"/>
      <c r="BK317" s="19"/>
      <c r="BL317" s="19"/>
      <c r="BM317" s="19"/>
      <c r="BN317" s="19"/>
      <c r="BO317" s="19"/>
      <c r="BP317" s="19"/>
      <c r="BQ317" s="33"/>
      <c r="BR317" s="19"/>
      <c r="BS317" s="19"/>
    </row>
    <row r="318" spans="1:71" ht="14.25" customHeight="1">
      <c r="A318" s="19"/>
      <c r="B318" s="20"/>
      <c r="C318" s="3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19"/>
      <c r="BI318" s="20"/>
      <c r="BJ318" s="20"/>
      <c r="BK318" s="19"/>
      <c r="BL318" s="19"/>
      <c r="BM318" s="19"/>
      <c r="BN318" s="19"/>
      <c r="BO318" s="19"/>
      <c r="BP318" s="19"/>
      <c r="BQ318" s="33"/>
      <c r="BR318" s="19"/>
      <c r="BS318" s="19"/>
    </row>
    <row r="319" spans="1:71" ht="14.25" customHeight="1">
      <c r="A319" s="19"/>
      <c r="B319" s="20"/>
      <c r="C319" s="3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19"/>
      <c r="BI319" s="20"/>
      <c r="BJ319" s="20"/>
      <c r="BK319" s="19"/>
      <c r="BL319" s="19"/>
      <c r="BM319" s="19"/>
      <c r="BN319" s="19"/>
      <c r="BO319" s="19"/>
      <c r="BP319" s="19"/>
      <c r="BQ319" s="33"/>
      <c r="BR319" s="19"/>
      <c r="BS319" s="19"/>
    </row>
    <row r="320" spans="1:71" ht="14.25" customHeight="1">
      <c r="A320" s="19"/>
      <c r="B320" s="20"/>
      <c r="C320" s="3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19"/>
      <c r="BI320" s="20"/>
      <c r="BJ320" s="20"/>
      <c r="BK320" s="19"/>
      <c r="BL320" s="19"/>
      <c r="BM320" s="19"/>
      <c r="BN320" s="19"/>
      <c r="BO320" s="19"/>
      <c r="BP320" s="19"/>
      <c r="BQ320" s="33"/>
      <c r="BR320" s="19"/>
      <c r="BS320" s="19"/>
    </row>
    <row r="321" spans="1:71" ht="14.25" customHeight="1">
      <c r="A321" s="19"/>
      <c r="B321" s="20"/>
      <c r="C321" s="3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19"/>
      <c r="BI321" s="20"/>
      <c r="BJ321" s="20"/>
      <c r="BK321" s="19"/>
      <c r="BL321" s="19"/>
      <c r="BM321" s="19"/>
      <c r="BN321" s="19"/>
      <c r="BO321" s="19"/>
      <c r="BP321" s="19"/>
      <c r="BQ321" s="33"/>
      <c r="BR321" s="19"/>
      <c r="BS321" s="19"/>
    </row>
    <row r="322" spans="1:71" ht="14.25" customHeight="1">
      <c r="A322" s="19"/>
      <c r="B322" s="20"/>
      <c r="C322" s="3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19"/>
      <c r="BI322" s="20"/>
      <c r="BJ322" s="20"/>
      <c r="BK322" s="19"/>
      <c r="BL322" s="19"/>
      <c r="BM322" s="19"/>
      <c r="BN322" s="19"/>
      <c r="BO322" s="19"/>
      <c r="BP322" s="19"/>
      <c r="BQ322" s="33"/>
      <c r="BR322" s="19"/>
      <c r="BS322" s="19"/>
    </row>
    <row r="323" spans="1:71" ht="14.25" customHeight="1">
      <c r="A323" s="19"/>
      <c r="B323" s="20"/>
      <c r="C323" s="3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19"/>
      <c r="BI323" s="20"/>
      <c r="BJ323" s="20"/>
      <c r="BK323" s="19"/>
      <c r="BL323" s="19"/>
      <c r="BM323" s="19"/>
      <c r="BN323" s="19"/>
      <c r="BO323" s="19"/>
      <c r="BP323" s="19"/>
      <c r="BQ323" s="33"/>
      <c r="BR323" s="19"/>
      <c r="BS323" s="19"/>
    </row>
    <row r="324" spans="1:71" ht="14.25" customHeight="1">
      <c r="A324" s="19"/>
      <c r="B324" s="20"/>
      <c r="C324" s="3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19"/>
      <c r="BI324" s="20"/>
      <c r="BJ324" s="20"/>
      <c r="BK324" s="19"/>
      <c r="BL324" s="19"/>
      <c r="BM324" s="19"/>
      <c r="BN324" s="19"/>
      <c r="BO324" s="19"/>
      <c r="BP324" s="19"/>
      <c r="BQ324" s="33"/>
      <c r="BR324" s="19"/>
      <c r="BS324" s="19"/>
    </row>
    <row r="325" spans="1:71" ht="14.25" customHeight="1">
      <c r="A325" s="19"/>
      <c r="B325" s="20"/>
      <c r="C325" s="3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19"/>
      <c r="BI325" s="20"/>
      <c r="BJ325" s="20"/>
      <c r="BK325" s="19"/>
      <c r="BL325" s="19"/>
      <c r="BM325" s="19"/>
      <c r="BN325" s="19"/>
      <c r="BO325" s="19"/>
      <c r="BP325" s="19"/>
      <c r="BQ325" s="33"/>
      <c r="BR325" s="19"/>
      <c r="BS325" s="19"/>
    </row>
    <row r="326" spans="1:71" ht="14.25" customHeight="1">
      <c r="A326" s="19"/>
      <c r="B326" s="20"/>
      <c r="C326" s="3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19"/>
      <c r="BI326" s="20"/>
      <c r="BJ326" s="20"/>
      <c r="BK326" s="19"/>
      <c r="BL326" s="19"/>
      <c r="BM326" s="19"/>
      <c r="BN326" s="19"/>
      <c r="BO326" s="19"/>
      <c r="BP326" s="19"/>
      <c r="BQ326" s="33"/>
      <c r="BR326" s="19"/>
      <c r="BS326" s="19"/>
    </row>
    <row r="327" spans="1:71" ht="14.25" customHeight="1">
      <c r="A327" s="19"/>
      <c r="B327" s="20"/>
      <c r="C327" s="3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19"/>
      <c r="BI327" s="20"/>
      <c r="BJ327" s="20"/>
      <c r="BK327" s="19"/>
      <c r="BL327" s="19"/>
      <c r="BM327" s="19"/>
      <c r="BN327" s="19"/>
      <c r="BO327" s="19"/>
      <c r="BP327" s="19"/>
      <c r="BQ327" s="33"/>
      <c r="BR327" s="19"/>
      <c r="BS327" s="19"/>
    </row>
    <row r="328" spans="1:71" ht="14.25" customHeight="1">
      <c r="A328" s="19"/>
      <c r="B328" s="20"/>
      <c r="C328" s="3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19"/>
      <c r="BI328" s="20"/>
      <c r="BJ328" s="20"/>
      <c r="BK328" s="19"/>
      <c r="BL328" s="19"/>
      <c r="BM328" s="19"/>
      <c r="BN328" s="19"/>
      <c r="BO328" s="19"/>
      <c r="BP328" s="19"/>
      <c r="BQ328" s="33"/>
      <c r="BR328" s="19"/>
      <c r="BS328" s="19"/>
    </row>
    <row r="329" spans="1:71" ht="14.25" customHeight="1">
      <c r="A329" s="19"/>
      <c r="B329" s="20"/>
      <c r="C329" s="3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19"/>
      <c r="BI329" s="20"/>
      <c r="BJ329" s="20"/>
      <c r="BK329" s="19"/>
      <c r="BL329" s="19"/>
      <c r="BM329" s="19"/>
      <c r="BN329" s="19"/>
      <c r="BO329" s="19"/>
      <c r="BP329" s="19"/>
      <c r="BQ329" s="33"/>
      <c r="BR329" s="19"/>
      <c r="BS329" s="19"/>
    </row>
    <row r="330" spans="1:71" ht="14.25" customHeight="1">
      <c r="A330" s="19"/>
      <c r="B330" s="20"/>
      <c r="C330" s="3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19"/>
      <c r="BI330" s="20"/>
      <c r="BJ330" s="20"/>
      <c r="BK330" s="19"/>
      <c r="BL330" s="19"/>
      <c r="BM330" s="19"/>
      <c r="BN330" s="19"/>
      <c r="BO330" s="19"/>
      <c r="BP330" s="19"/>
      <c r="BQ330" s="33"/>
      <c r="BR330" s="19"/>
      <c r="BS330" s="19"/>
    </row>
    <row r="331" spans="1:71" ht="14.25" customHeight="1">
      <c r="A331" s="19"/>
      <c r="B331" s="20"/>
      <c r="C331" s="3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19"/>
      <c r="BI331" s="20"/>
      <c r="BJ331" s="20"/>
      <c r="BK331" s="19"/>
      <c r="BL331" s="19"/>
      <c r="BM331" s="19"/>
      <c r="BN331" s="19"/>
      <c r="BO331" s="19"/>
      <c r="BP331" s="19"/>
      <c r="BQ331" s="33"/>
      <c r="BR331" s="19"/>
      <c r="BS331" s="19"/>
    </row>
    <row r="332" spans="1:71" ht="14.25" customHeight="1">
      <c r="A332" s="19"/>
      <c r="B332" s="20"/>
      <c r="C332" s="3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19"/>
      <c r="BI332" s="20"/>
      <c r="BJ332" s="20"/>
      <c r="BK332" s="19"/>
      <c r="BL332" s="19"/>
      <c r="BM332" s="19"/>
      <c r="BN332" s="19"/>
      <c r="BO332" s="19"/>
      <c r="BP332" s="19"/>
      <c r="BQ332" s="33"/>
      <c r="BR332" s="19"/>
      <c r="BS332" s="19"/>
    </row>
    <row r="333" spans="1:71" ht="14.25" customHeight="1">
      <c r="A333" s="19"/>
      <c r="B333" s="20"/>
      <c r="C333" s="3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19"/>
      <c r="BI333" s="20"/>
      <c r="BJ333" s="20"/>
      <c r="BK333" s="19"/>
      <c r="BL333" s="19"/>
      <c r="BM333" s="19"/>
      <c r="BN333" s="19"/>
      <c r="BO333" s="19"/>
      <c r="BP333" s="19"/>
      <c r="BQ333" s="33"/>
      <c r="BR333" s="19"/>
      <c r="BS333" s="19"/>
    </row>
    <row r="334" spans="1:71" ht="14.25" customHeight="1">
      <c r="A334" s="19"/>
      <c r="B334" s="20"/>
      <c r="C334" s="3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19"/>
      <c r="BI334" s="20"/>
      <c r="BJ334" s="20"/>
      <c r="BK334" s="19"/>
      <c r="BL334" s="19"/>
      <c r="BM334" s="19"/>
      <c r="BN334" s="19"/>
      <c r="BO334" s="19"/>
      <c r="BP334" s="19"/>
      <c r="BQ334" s="33"/>
      <c r="BR334" s="19"/>
      <c r="BS334" s="19"/>
    </row>
    <row r="335" spans="1:71" ht="14.25" customHeight="1">
      <c r="A335" s="19"/>
      <c r="B335" s="20"/>
      <c r="C335" s="3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19"/>
      <c r="BI335" s="20"/>
      <c r="BJ335" s="20"/>
      <c r="BK335" s="19"/>
      <c r="BL335" s="19"/>
      <c r="BM335" s="19"/>
      <c r="BN335" s="19"/>
      <c r="BO335" s="19"/>
      <c r="BP335" s="19"/>
      <c r="BQ335" s="33"/>
      <c r="BR335" s="19"/>
      <c r="BS335" s="19"/>
    </row>
    <row r="336" spans="1:71" ht="14.25" customHeight="1">
      <c r="A336" s="19"/>
      <c r="B336" s="20"/>
      <c r="C336" s="3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19"/>
      <c r="BI336" s="20"/>
      <c r="BJ336" s="20"/>
      <c r="BK336" s="19"/>
      <c r="BL336" s="19"/>
      <c r="BM336" s="19"/>
      <c r="BN336" s="19"/>
      <c r="BO336" s="19"/>
      <c r="BP336" s="19"/>
      <c r="BQ336" s="33"/>
      <c r="BR336" s="19"/>
      <c r="BS336" s="19"/>
    </row>
    <row r="337" spans="1:71" ht="14.25" customHeight="1">
      <c r="A337" s="19"/>
      <c r="B337" s="20"/>
      <c r="C337" s="3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19"/>
      <c r="BI337" s="20"/>
      <c r="BJ337" s="20"/>
      <c r="BK337" s="19"/>
      <c r="BL337" s="19"/>
      <c r="BM337" s="19"/>
      <c r="BN337" s="19"/>
      <c r="BO337" s="19"/>
      <c r="BP337" s="19"/>
      <c r="BQ337" s="33"/>
      <c r="BR337" s="19"/>
      <c r="BS337" s="19"/>
    </row>
    <row r="338" spans="1:71" ht="14.25" customHeight="1">
      <c r="A338" s="19"/>
      <c r="B338" s="20"/>
      <c r="C338" s="3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19"/>
      <c r="BI338" s="20"/>
      <c r="BJ338" s="20"/>
      <c r="BK338" s="19"/>
      <c r="BL338" s="19"/>
      <c r="BM338" s="19"/>
      <c r="BN338" s="19"/>
      <c r="BO338" s="19"/>
      <c r="BP338" s="19"/>
      <c r="BQ338" s="33"/>
      <c r="BR338" s="19"/>
      <c r="BS338" s="19"/>
    </row>
    <row r="339" spans="1:71" ht="14.25" customHeight="1">
      <c r="A339" s="19"/>
      <c r="B339" s="20"/>
      <c r="C339" s="3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19"/>
      <c r="BI339" s="20"/>
      <c r="BJ339" s="20"/>
      <c r="BK339" s="19"/>
      <c r="BL339" s="19"/>
      <c r="BM339" s="19"/>
      <c r="BN339" s="19"/>
      <c r="BO339" s="19"/>
      <c r="BP339" s="19"/>
      <c r="BQ339" s="33"/>
      <c r="BR339" s="19"/>
      <c r="BS339" s="19"/>
    </row>
    <row r="340" spans="1:71" ht="14.25" customHeight="1">
      <c r="A340" s="19"/>
      <c r="B340" s="20"/>
      <c r="C340" s="3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19"/>
      <c r="BI340" s="20"/>
      <c r="BJ340" s="20"/>
      <c r="BK340" s="19"/>
      <c r="BL340" s="19"/>
      <c r="BM340" s="19"/>
      <c r="BN340" s="19"/>
      <c r="BO340" s="19"/>
      <c r="BP340" s="19"/>
      <c r="BQ340" s="33"/>
      <c r="BR340" s="19"/>
      <c r="BS340" s="19"/>
    </row>
    <row r="341" spans="1:71" ht="14.25" customHeight="1">
      <c r="A341" s="19"/>
      <c r="B341" s="20"/>
      <c r="C341" s="3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19"/>
      <c r="BI341" s="20"/>
      <c r="BJ341" s="20"/>
      <c r="BK341" s="19"/>
      <c r="BL341" s="19"/>
      <c r="BM341" s="19"/>
      <c r="BN341" s="19"/>
      <c r="BO341" s="19"/>
      <c r="BP341" s="19"/>
      <c r="BQ341" s="33"/>
      <c r="BR341" s="19"/>
      <c r="BS341" s="19"/>
    </row>
    <row r="342" spans="1:71" ht="14.25" customHeight="1">
      <c r="A342" s="19"/>
      <c r="B342" s="20"/>
      <c r="C342" s="3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19"/>
      <c r="BI342" s="20"/>
      <c r="BJ342" s="20"/>
      <c r="BK342" s="19"/>
      <c r="BL342" s="19"/>
      <c r="BM342" s="19"/>
      <c r="BN342" s="19"/>
      <c r="BO342" s="19"/>
      <c r="BP342" s="19"/>
      <c r="BQ342" s="33"/>
      <c r="BR342" s="19"/>
      <c r="BS342" s="19"/>
    </row>
    <row r="343" spans="1:71" ht="14.25" customHeight="1">
      <c r="A343" s="19"/>
      <c r="B343" s="20"/>
      <c r="C343" s="3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19"/>
      <c r="BI343" s="20"/>
      <c r="BJ343" s="20"/>
      <c r="BK343" s="19"/>
      <c r="BL343" s="19"/>
      <c r="BM343" s="19"/>
      <c r="BN343" s="19"/>
      <c r="BO343" s="19"/>
      <c r="BP343" s="19"/>
      <c r="BQ343" s="33"/>
      <c r="BR343" s="19"/>
      <c r="BS343" s="19"/>
    </row>
    <row r="344" spans="1:71" ht="14.25" customHeight="1">
      <c r="A344" s="19"/>
      <c r="B344" s="20"/>
      <c r="C344" s="3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19"/>
      <c r="BI344" s="20"/>
      <c r="BJ344" s="20"/>
      <c r="BK344" s="19"/>
      <c r="BL344" s="19"/>
      <c r="BM344" s="19"/>
      <c r="BN344" s="19"/>
      <c r="BO344" s="19"/>
      <c r="BP344" s="19"/>
      <c r="BQ344" s="33"/>
      <c r="BR344" s="19"/>
      <c r="BS344" s="19"/>
    </row>
    <row r="345" spans="1:71" ht="14.25" customHeight="1">
      <c r="A345" s="19"/>
      <c r="B345" s="20"/>
      <c r="C345" s="3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19"/>
      <c r="BI345" s="20"/>
      <c r="BJ345" s="20"/>
      <c r="BK345" s="19"/>
      <c r="BL345" s="19"/>
      <c r="BM345" s="19"/>
      <c r="BN345" s="19"/>
      <c r="BO345" s="19"/>
      <c r="BP345" s="19"/>
      <c r="BQ345" s="33"/>
      <c r="BR345" s="19"/>
      <c r="BS345" s="19"/>
    </row>
    <row r="346" spans="1:71" ht="14.25" customHeight="1">
      <c r="A346" s="19"/>
      <c r="B346" s="20"/>
      <c r="C346" s="3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19"/>
      <c r="BI346" s="20"/>
      <c r="BJ346" s="20"/>
      <c r="BK346" s="19"/>
      <c r="BL346" s="19"/>
      <c r="BM346" s="19"/>
      <c r="BN346" s="19"/>
      <c r="BO346" s="19"/>
      <c r="BP346" s="19"/>
      <c r="BQ346" s="33"/>
      <c r="BR346" s="19"/>
      <c r="BS346" s="19"/>
    </row>
    <row r="347" spans="1:71" ht="14.25" customHeight="1">
      <c r="A347" s="19"/>
      <c r="B347" s="20"/>
      <c r="C347" s="3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19"/>
      <c r="BI347" s="20"/>
      <c r="BJ347" s="20"/>
      <c r="BK347" s="19"/>
      <c r="BL347" s="19"/>
      <c r="BM347" s="19"/>
      <c r="BN347" s="19"/>
      <c r="BO347" s="19"/>
      <c r="BP347" s="19"/>
      <c r="BQ347" s="33"/>
      <c r="BR347" s="19"/>
      <c r="BS347" s="19"/>
    </row>
    <row r="348" spans="1:71" ht="14.25" customHeight="1">
      <c r="A348" s="19"/>
      <c r="B348" s="20"/>
      <c r="C348" s="3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19"/>
      <c r="BI348" s="20"/>
      <c r="BJ348" s="20"/>
      <c r="BK348" s="19"/>
      <c r="BL348" s="19"/>
      <c r="BM348" s="19"/>
      <c r="BN348" s="19"/>
      <c r="BO348" s="19"/>
      <c r="BP348" s="19"/>
      <c r="BQ348" s="33"/>
      <c r="BR348" s="19"/>
      <c r="BS348" s="19"/>
    </row>
    <row r="349" spans="1:71" ht="14.25" customHeight="1">
      <c r="A349" s="19"/>
      <c r="B349" s="20"/>
      <c r="C349" s="3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19"/>
      <c r="BI349" s="20"/>
      <c r="BJ349" s="20"/>
      <c r="BK349" s="19"/>
      <c r="BL349" s="19"/>
      <c r="BM349" s="19"/>
      <c r="BN349" s="19"/>
      <c r="BO349" s="19"/>
      <c r="BP349" s="19"/>
      <c r="BQ349" s="33"/>
      <c r="BR349" s="19"/>
      <c r="BS349" s="19"/>
    </row>
  </sheetData>
  <mergeCells count="27">
    <mergeCell ref="A78:BA78"/>
    <mergeCell ref="BO5:BO6"/>
    <mergeCell ref="BP5:BP6"/>
    <mergeCell ref="BQ5:BQ6"/>
    <mergeCell ref="BR5:BR6"/>
    <mergeCell ref="BH5:BH6"/>
    <mergeCell ref="BI5:BI6"/>
    <mergeCell ref="BJ5:BJ6"/>
    <mergeCell ref="BK5:BK6"/>
    <mergeCell ref="BL5:BL6"/>
    <mergeCell ref="BM5:BM6"/>
    <mergeCell ref="BN5:BN6"/>
    <mergeCell ref="BH4:BN4"/>
    <mergeCell ref="BO4:BS4"/>
    <mergeCell ref="A4:BF4"/>
    <mergeCell ref="A5:C5"/>
    <mergeCell ref="BB5:BB6"/>
    <mergeCell ref="BC5:BC6"/>
    <mergeCell ref="BD5:BD6"/>
    <mergeCell ref="BE5:BE6"/>
    <mergeCell ref="BF5:BF6"/>
    <mergeCell ref="BS5:BS6"/>
    <mergeCell ref="A1:BF3"/>
    <mergeCell ref="BH1:BS1"/>
    <mergeCell ref="BH2:BS2"/>
    <mergeCell ref="BH3:BN3"/>
    <mergeCell ref="BO3:BS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S350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4.5546875" customWidth="1"/>
    <col min="4" max="7" width="4.6640625" hidden="1" customWidth="1"/>
    <col min="8" max="14" width="4.6640625" customWidth="1"/>
    <col min="15" max="26" width="4.33203125" customWidth="1"/>
    <col min="27" max="40" width="4" customWidth="1"/>
    <col min="41" max="53" width="4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4.5546875" customWidth="1"/>
    <col min="63" max="63" width="7.44140625" customWidth="1"/>
    <col min="64" max="64" width="8.88671875" customWidth="1"/>
    <col min="65" max="65" width="8.33203125" customWidth="1"/>
    <col min="66" max="66" width="11.5546875" customWidth="1"/>
    <col min="67" max="67" width="9.6640625" customWidth="1"/>
    <col min="68" max="68" width="8.5546875" customWidth="1"/>
    <col min="69" max="69" width="12.88671875" customWidth="1"/>
    <col min="70" max="70" width="8.6640625" customWidth="1"/>
    <col min="71" max="71" width="9.88671875" customWidth="1"/>
  </cols>
  <sheetData>
    <row r="1" spans="1:71" ht="14.25" customHeight="1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134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9"/>
    </row>
    <row r="2" spans="1:71" ht="14.2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9"/>
    </row>
    <row r="3" spans="1:71" ht="22.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9"/>
      <c r="BO3" s="107" t="s">
        <v>98</v>
      </c>
      <c r="BP3" s="88"/>
      <c r="BQ3" s="88"/>
      <c r="BR3" s="88"/>
      <c r="BS3" s="89"/>
    </row>
    <row r="4" spans="1:71" ht="22.5" customHeight="1">
      <c r="A4" s="108" t="s">
        <v>125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143</v>
      </c>
      <c r="BI4" s="88"/>
      <c r="BJ4" s="88"/>
      <c r="BK4" s="88"/>
      <c r="BL4" s="88"/>
      <c r="BM4" s="88"/>
      <c r="BN4" s="89"/>
      <c r="BO4" s="107" t="s">
        <v>144</v>
      </c>
      <c r="BP4" s="88"/>
      <c r="BQ4" s="88"/>
      <c r="BR4" s="88"/>
      <c r="BS4" s="89"/>
    </row>
    <row r="5" spans="1:71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0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138</v>
      </c>
      <c r="BP5" s="112" t="s">
        <v>139</v>
      </c>
      <c r="BQ5" s="112" t="s">
        <v>140</v>
      </c>
      <c r="BR5" s="112" t="s">
        <v>120</v>
      </c>
      <c r="BS5" s="112" t="s">
        <v>141</v>
      </c>
    </row>
    <row r="6" spans="1:71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</row>
    <row r="7" spans="1:71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2"/>
      <c r="AU7" s="2"/>
      <c r="AV7" s="9"/>
      <c r="AW7" s="9"/>
      <c r="AX7" s="9"/>
      <c r="AY7" s="9"/>
      <c r="AZ7" s="9"/>
      <c r="BA7" s="9"/>
      <c r="BB7" s="2">
        <v>10</v>
      </c>
      <c r="BC7" s="9"/>
      <c r="BD7" s="2">
        <f t="shared" ref="BD7:BD76" si="0">BB7+BC7</f>
        <v>10</v>
      </c>
      <c r="BE7" s="9">
        <v>22</v>
      </c>
      <c r="BF7" s="2">
        <f t="shared" ref="BF7:BF76" si="1">(BD7/BE7)*100</f>
        <v>45.454545454545453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2">
        <f t="shared" ref="BK7:BL7" si="2">BD7</f>
        <v>10</v>
      </c>
      <c r="BL7" s="9">
        <f t="shared" si="2"/>
        <v>22</v>
      </c>
      <c r="BM7" s="2">
        <f t="shared" ref="BM7:BM76" si="3">(BK7/BL7)*100</f>
        <v>45.454545454545453</v>
      </c>
      <c r="BN7" s="9" t="str">
        <f t="shared" ref="BN7:BN76" si="4">IF(BM7&gt;=95.5,"6",IF(BM7&gt;=90.5,"5", IF(BM7&gt;=85.5,"4",IF(BM7&gt;=80.5,"3",IF(BM7&gt;=75.5,"2","0")))))</f>
        <v>0</v>
      </c>
      <c r="BO7" s="9">
        <v>4</v>
      </c>
      <c r="BP7" s="2">
        <v>5</v>
      </c>
      <c r="BQ7" s="2">
        <f t="shared" ref="BQ7:BQ76" si="5">AVERAGE(D81:BA81)</f>
        <v>7.3125</v>
      </c>
      <c r="BR7" s="9"/>
      <c r="BS7" s="2">
        <f t="shared" ref="BS7:BS76" si="6">BR7+BQ7+BP7+BO7+BN7</f>
        <v>16.3125</v>
      </c>
    </row>
    <row r="8" spans="1:71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2"/>
      <c r="AU8" s="2"/>
      <c r="AV8" s="9"/>
      <c r="AW8" s="9"/>
      <c r="AX8" s="9"/>
      <c r="AY8" s="9"/>
      <c r="AZ8" s="9"/>
      <c r="BA8" s="9"/>
      <c r="BB8" s="2">
        <v>6</v>
      </c>
      <c r="BC8" s="9"/>
      <c r="BD8" s="2">
        <f t="shared" si="0"/>
        <v>6</v>
      </c>
      <c r="BE8" s="9">
        <v>22</v>
      </c>
      <c r="BF8" s="2">
        <f t="shared" si="1"/>
        <v>27.27272727272727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2">
        <f t="shared" ref="BK8:BL8" si="7">BD8</f>
        <v>6</v>
      </c>
      <c r="BL8" s="9">
        <f t="shared" si="7"/>
        <v>22</v>
      </c>
      <c r="BM8" s="2">
        <f t="shared" si="3"/>
        <v>27.27272727272727</v>
      </c>
      <c r="BN8" s="9" t="str">
        <f t="shared" si="4"/>
        <v>0</v>
      </c>
      <c r="BO8" s="9">
        <v>4</v>
      </c>
      <c r="BP8" s="2">
        <v>4</v>
      </c>
      <c r="BQ8" s="2">
        <f t="shared" si="5"/>
        <v>7.625</v>
      </c>
      <c r="BR8" s="9"/>
      <c r="BS8" s="2">
        <f t="shared" si="6"/>
        <v>15.625</v>
      </c>
    </row>
    <row r="9" spans="1:71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2"/>
      <c r="AU9" s="2"/>
      <c r="AV9" s="9"/>
      <c r="AW9" s="9"/>
      <c r="AX9" s="9"/>
      <c r="AY9" s="9"/>
      <c r="AZ9" s="9"/>
      <c r="BA9" s="9"/>
      <c r="BB9" s="2">
        <v>18</v>
      </c>
      <c r="BC9" s="9"/>
      <c r="BD9" s="2">
        <f t="shared" si="0"/>
        <v>18</v>
      </c>
      <c r="BE9" s="9">
        <v>22</v>
      </c>
      <c r="BF9" s="2">
        <f t="shared" si="1"/>
        <v>81.818181818181827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2">
        <f t="shared" ref="BK9:BL9" si="8">BD9</f>
        <v>18</v>
      </c>
      <c r="BL9" s="9">
        <f t="shared" si="8"/>
        <v>22</v>
      </c>
      <c r="BM9" s="2">
        <f t="shared" si="3"/>
        <v>81.818181818181827</v>
      </c>
      <c r="BN9" s="9" t="str">
        <f t="shared" si="4"/>
        <v>3</v>
      </c>
      <c r="BO9" s="9">
        <v>4</v>
      </c>
      <c r="BP9" s="2">
        <v>4</v>
      </c>
      <c r="BQ9" s="2">
        <f t="shared" si="5"/>
        <v>7.75</v>
      </c>
      <c r="BR9" s="9"/>
      <c r="BS9" s="2">
        <f t="shared" si="6"/>
        <v>18.75</v>
      </c>
    </row>
    <row r="10" spans="1:71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2"/>
      <c r="AU10" s="2"/>
      <c r="AV10" s="9"/>
      <c r="AW10" s="9"/>
      <c r="AX10" s="9"/>
      <c r="AY10" s="9"/>
      <c r="AZ10" s="9"/>
      <c r="BA10" s="9"/>
      <c r="BB10" s="2">
        <v>17</v>
      </c>
      <c r="BC10" s="9"/>
      <c r="BD10" s="2">
        <f t="shared" si="0"/>
        <v>17</v>
      </c>
      <c r="BE10" s="9">
        <v>22</v>
      </c>
      <c r="BF10" s="2">
        <f t="shared" si="1"/>
        <v>77.272727272727266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2">
        <f t="shared" ref="BK10:BL10" si="9">BD10</f>
        <v>17</v>
      </c>
      <c r="BL10" s="9">
        <f t="shared" si="9"/>
        <v>22</v>
      </c>
      <c r="BM10" s="2">
        <f t="shared" si="3"/>
        <v>77.272727272727266</v>
      </c>
      <c r="BN10" s="9" t="str">
        <f t="shared" si="4"/>
        <v>2</v>
      </c>
      <c r="BO10" s="9">
        <v>6</v>
      </c>
      <c r="BP10" s="2">
        <v>6.270833333333333</v>
      </c>
      <c r="BQ10" s="2">
        <f t="shared" si="5"/>
        <v>8.5625</v>
      </c>
      <c r="BR10" s="9"/>
      <c r="BS10" s="2">
        <f t="shared" si="6"/>
        <v>22.833333333333332</v>
      </c>
    </row>
    <row r="11" spans="1:71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2"/>
      <c r="AU11" s="2"/>
      <c r="AV11" s="9"/>
      <c r="AW11" s="9"/>
      <c r="AX11" s="9"/>
      <c r="AY11" s="9"/>
      <c r="AZ11" s="9"/>
      <c r="BA11" s="9"/>
      <c r="BB11" s="2">
        <v>20</v>
      </c>
      <c r="BC11" s="9"/>
      <c r="BD11" s="2">
        <f t="shared" si="0"/>
        <v>20</v>
      </c>
      <c r="BE11" s="9">
        <v>22</v>
      </c>
      <c r="BF11" s="2">
        <f t="shared" si="1"/>
        <v>90.909090909090907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2">
        <f t="shared" ref="BK11:BL11" si="10">BD11</f>
        <v>20</v>
      </c>
      <c r="BL11" s="9">
        <f t="shared" si="10"/>
        <v>22</v>
      </c>
      <c r="BM11" s="2">
        <f t="shared" si="3"/>
        <v>90.909090909090907</v>
      </c>
      <c r="BN11" s="9" t="str">
        <f t="shared" si="4"/>
        <v>5</v>
      </c>
      <c r="BO11" s="9">
        <v>6</v>
      </c>
      <c r="BP11" s="2">
        <v>6.270833333333333</v>
      </c>
      <c r="BQ11" s="2">
        <f t="shared" si="5"/>
        <v>9.75</v>
      </c>
      <c r="BR11" s="9"/>
      <c r="BS11" s="2">
        <f t="shared" si="6"/>
        <v>27.020833333333332</v>
      </c>
    </row>
    <row r="12" spans="1:71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2"/>
      <c r="AU12" s="2"/>
      <c r="AV12" s="9"/>
      <c r="AW12" s="9"/>
      <c r="AX12" s="9"/>
      <c r="AY12" s="9"/>
      <c r="AZ12" s="9"/>
      <c r="BA12" s="9"/>
      <c r="BB12" s="2">
        <v>22</v>
      </c>
      <c r="BC12" s="9"/>
      <c r="BD12" s="2">
        <f t="shared" si="0"/>
        <v>22</v>
      </c>
      <c r="BE12" s="9">
        <v>22</v>
      </c>
      <c r="BF12" s="2">
        <f t="shared" si="1"/>
        <v>100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2">
        <f t="shared" ref="BK12:BL12" si="11">BD12</f>
        <v>22</v>
      </c>
      <c r="BL12" s="9">
        <f t="shared" si="11"/>
        <v>22</v>
      </c>
      <c r="BM12" s="2">
        <f t="shared" si="3"/>
        <v>100</v>
      </c>
      <c r="BN12" s="9" t="str">
        <f t="shared" si="4"/>
        <v>6</v>
      </c>
      <c r="BO12" s="9">
        <v>6</v>
      </c>
      <c r="BP12" s="2">
        <v>5.104166666666667</v>
      </c>
      <c r="BQ12" s="2">
        <f t="shared" si="5"/>
        <v>9.75</v>
      </c>
      <c r="BR12" s="9"/>
      <c r="BS12" s="2">
        <f t="shared" si="6"/>
        <v>26.854166666666668</v>
      </c>
    </row>
    <row r="13" spans="1:71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v>10</v>
      </c>
      <c r="BC13" s="9"/>
      <c r="BD13" s="2">
        <f t="shared" si="0"/>
        <v>10</v>
      </c>
      <c r="BE13" s="9">
        <v>22</v>
      </c>
      <c r="BF13" s="2">
        <f t="shared" si="1"/>
        <v>45.454545454545453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2">
        <f t="shared" ref="BK13:BL13" si="12">BD13</f>
        <v>10</v>
      </c>
      <c r="BL13" s="9">
        <f t="shared" si="12"/>
        <v>22</v>
      </c>
      <c r="BM13" s="2">
        <f t="shared" si="3"/>
        <v>45.454545454545453</v>
      </c>
      <c r="BN13" s="9" t="str">
        <f t="shared" si="4"/>
        <v>0</v>
      </c>
      <c r="BO13" s="9">
        <v>4</v>
      </c>
      <c r="BP13" s="2">
        <v>2.7708333333333335</v>
      </c>
      <c r="BQ13" s="2">
        <f t="shared" si="5"/>
        <v>7.25</v>
      </c>
      <c r="BR13" s="9"/>
      <c r="BS13" s="2">
        <f t="shared" si="6"/>
        <v>14.020833333333334</v>
      </c>
    </row>
    <row r="14" spans="1:71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v>0</v>
      </c>
      <c r="BC14" s="9">
        <v>4</v>
      </c>
      <c r="BD14" s="2">
        <f t="shared" si="0"/>
        <v>4</v>
      </c>
      <c r="BE14" s="9">
        <v>22</v>
      </c>
      <c r="BF14" s="2">
        <f t="shared" si="1"/>
        <v>18.181818181818183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2">
        <f t="shared" ref="BK14:BL14" si="13">BD14</f>
        <v>4</v>
      </c>
      <c r="BL14" s="9">
        <f t="shared" si="13"/>
        <v>22</v>
      </c>
      <c r="BM14" s="2">
        <f t="shared" si="3"/>
        <v>18.181818181818183</v>
      </c>
      <c r="BN14" s="9" t="str">
        <f t="shared" si="4"/>
        <v>0</v>
      </c>
      <c r="BO14" s="9">
        <v>0</v>
      </c>
      <c r="BP14" s="2">
        <v>0</v>
      </c>
      <c r="BQ14" s="2">
        <f t="shared" si="5"/>
        <v>0</v>
      </c>
      <c r="BR14" s="9"/>
      <c r="BS14" s="2">
        <f t="shared" si="6"/>
        <v>0</v>
      </c>
    </row>
    <row r="15" spans="1:71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v>20</v>
      </c>
      <c r="BC15" s="9"/>
      <c r="BD15" s="2">
        <f t="shared" si="0"/>
        <v>20</v>
      </c>
      <c r="BE15" s="9">
        <v>22</v>
      </c>
      <c r="BF15" s="2">
        <f t="shared" si="1"/>
        <v>90.909090909090907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2">
        <f t="shared" ref="BK15:BL15" si="14">BD15</f>
        <v>20</v>
      </c>
      <c r="BL15" s="9">
        <f t="shared" si="14"/>
        <v>22</v>
      </c>
      <c r="BM15" s="2">
        <f t="shared" si="3"/>
        <v>90.909090909090907</v>
      </c>
      <c r="BN15" s="9" t="str">
        <f t="shared" si="4"/>
        <v>5</v>
      </c>
      <c r="BO15" s="9">
        <v>6</v>
      </c>
      <c r="BP15" s="2">
        <v>5.6875</v>
      </c>
      <c r="BQ15" s="2">
        <f t="shared" si="5"/>
        <v>10</v>
      </c>
      <c r="BR15" s="9"/>
      <c r="BS15" s="2">
        <f t="shared" si="6"/>
        <v>26.6875</v>
      </c>
    </row>
    <row r="16" spans="1:71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v>20</v>
      </c>
      <c r="BC16" s="9"/>
      <c r="BD16" s="2">
        <f t="shared" si="0"/>
        <v>20</v>
      </c>
      <c r="BE16" s="9">
        <v>22</v>
      </c>
      <c r="BF16" s="2">
        <f t="shared" si="1"/>
        <v>90.909090909090907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2">
        <f t="shared" ref="BK16:BL16" si="15">BD16</f>
        <v>20</v>
      </c>
      <c r="BL16" s="9">
        <f t="shared" si="15"/>
        <v>22</v>
      </c>
      <c r="BM16" s="2">
        <f t="shared" si="3"/>
        <v>90.909090909090907</v>
      </c>
      <c r="BN16" s="9" t="str">
        <f t="shared" si="4"/>
        <v>5</v>
      </c>
      <c r="BO16" s="9">
        <v>5</v>
      </c>
      <c r="BP16" s="2">
        <v>4</v>
      </c>
      <c r="BQ16" s="2">
        <f t="shared" si="5"/>
        <v>9.125</v>
      </c>
      <c r="BR16" s="9"/>
      <c r="BS16" s="2">
        <f t="shared" si="6"/>
        <v>23.125</v>
      </c>
    </row>
    <row r="17" spans="1:71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v>8</v>
      </c>
      <c r="BC17" s="9"/>
      <c r="BD17" s="2">
        <f t="shared" si="0"/>
        <v>8</v>
      </c>
      <c r="BE17" s="9">
        <v>22</v>
      </c>
      <c r="BF17" s="2">
        <f t="shared" si="1"/>
        <v>36.363636363636367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2">
        <f t="shared" ref="BK17:BL17" si="16">BD17</f>
        <v>8</v>
      </c>
      <c r="BL17" s="9">
        <f t="shared" si="16"/>
        <v>22</v>
      </c>
      <c r="BM17" s="2">
        <f t="shared" si="3"/>
        <v>36.363636363636367</v>
      </c>
      <c r="BN17" s="9" t="str">
        <f t="shared" si="4"/>
        <v>0</v>
      </c>
      <c r="BO17" s="9">
        <v>4</v>
      </c>
      <c r="BP17" s="2">
        <v>3.5</v>
      </c>
      <c r="BQ17" s="2">
        <f t="shared" si="5"/>
        <v>8</v>
      </c>
      <c r="BR17" s="9"/>
      <c r="BS17" s="2">
        <f t="shared" si="6"/>
        <v>15.5</v>
      </c>
    </row>
    <row r="18" spans="1:71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v>20</v>
      </c>
      <c r="BC18" s="9"/>
      <c r="BD18" s="2">
        <f t="shared" si="0"/>
        <v>20</v>
      </c>
      <c r="BE18" s="9">
        <v>22</v>
      </c>
      <c r="BF18" s="2">
        <f t="shared" si="1"/>
        <v>90.909090909090907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2">
        <f t="shared" ref="BK18:BL18" si="17">BD18</f>
        <v>20</v>
      </c>
      <c r="BL18" s="9">
        <f t="shared" si="17"/>
        <v>22</v>
      </c>
      <c r="BM18" s="2">
        <f t="shared" si="3"/>
        <v>90.909090909090907</v>
      </c>
      <c r="BN18" s="9" t="str">
        <f t="shared" si="4"/>
        <v>5</v>
      </c>
      <c r="BO18" s="9">
        <v>4</v>
      </c>
      <c r="BP18" s="2">
        <v>4</v>
      </c>
      <c r="BQ18" s="2">
        <f t="shared" si="5"/>
        <v>8.1875</v>
      </c>
      <c r="BR18" s="9"/>
      <c r="BS18" s="2">
        <f t="shared" si="6"/>
        <v>21.1875</v>
      </c>
    </row>
    <row r="19" spans="1:71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v>22</v>
      </c>
      <c r="BC19" s="9"/>
      <c r="BD19" s="2">
        <f t="shared" si="0"/>
        <v>22</v>
      </c>
      <c r="BE19" s="9">
        <v>22</v>
      </c>
      <c r="BF19" s="2">
        <f t="shared" si="1"/>
        <v>100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2">
        <f t="shared" ref="BK19:BL19" si="18">BD19</f>
        <v>22</v>
      </c>
      <c r="BL19" s="9">
        <f t="shared" si="18"/>
        <v>22</v>
      </c>
      <c r="BM19" s="2">
        <f t="shared" si="3"/>
        <v>100</v>
      </c>
      <c r="BN19" s="9" t="str">
        <f t="shared" si="4"/>
        <v>6</v>
      </c>
      <c r="BO19" s="9">
        <v>6</v>
      </c>
      <c r="BP19" s="2">
        <v>5</v>
      </c>
      <c r="BQ19" s="2">
        <f t="shared" si="5"/>
        <v>10</v>
      </c>
      <c r="BR19" s="9"/>
      <c r="BS19" s="2">
        <f t="shared" si="6"/>
        <v>27</v>
      </c>
    </row>
    <row r="20" spans="1:71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12</v>
      </c>
      <c r="BC20" s="9"/>
      <c r="BD20" s="2">
        <f t="shared" si="0"/>
        <v>12</v>
      </c>
      <c r="BE20" s="9">
        <v>22</v>
      </c>
      <c r="BF20" s="2">
        <f t="shared" si="1"/>
        <v>54.54545454545454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2">
        <f t="shared" ref="BK20:BL20" si="19">BD20</f>
        <v>12</v>
      </c>
      <c r="BL20" s="9">
        <f t="shared" si="19"/>
        <v>22</v>
      </c>
      <c r="BM20" s="2">
        <f t="shared" si="3"/>
        <v>54.54545454545454</v>
      </c>
      <c r="BN20" s="9" t="str">
        <f t="shared" si="4"/>
        <v>0</v>
      </c>
      <c r="BO20" s="9">
        <v>3</v>
      </c>
      <c r="BP20" s="2">
        <v>3</v>
      </c>
      <c r="BQ20" s="2">
        <f t="shared" si="5"/>
        <v>6.0625</v>
      </c>
      <c r="BR20" s="9"/>
      <c r="BS20" s="2">
        <f t="shared" si="6"/>
        <v>12.0625</v>
      </c>
    </row>
    <row r="21" spans="1:71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v>16</v>
      </c>
      <c r="BC21" s="9"/>
      <c r="BD21" s="2">
        <f t="shared" si="0"/>
        <v>16</v>
      </c>
      <c r="BE21" s="9">
        <v>22</v>
      </c>
      <c r="BF21" s="2">
        <f t="shared" si="1"/>
        <v>72.727272727272734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2">
        <f t="shared" ref="BK21:BL21" si="20">BD21</f>
        <v>16</v>
      </c>
      <c r="BL21" s="9">
        <f t="shared" si="20"/>
        <v>22</v>
      </c>
      <c r="BM21" s="2">
        <f t="shared" si="3"/>
        <v>72.727272727272734</v>
      </c>
      <c r="BN21" s="9" t="str">
        <f t="shared" si="4"/>
        <v>0</v>
      </c>
      <c r="BO21" s="9">
        <v>4</v>
      </c>
      <c r="BP21" s="2">
        <v>5.25</v>
      </c>
      <c r="BQ21" s="2">
        <f t="shared" si="5"/>
        <v>8.125</v>
      </c>
      <c r="BR21" s="9"/>
      <c r="BS21" s="2">
        <f t="shared" si="6"/>
        <v>17.375</v>
      </c>
    </row>
    <row r="22" spans="1:71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v>18</v>
      </c>
      <c r="BC22" s="9"/>
      <c r="BD22" s="2">
        <f t="shared" si="0"/>
        <v>18</v>
      </c>
      <c r="BE22" s="9">
        <v>22</v>
      </c>
      <c r="BF22" s="2">
        <f t="shared" si="1"/>
        <v>81.818181818181827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2">
        <f t="shared" ref="BK22:BL22" si="21">BD22</f>
        <v>18</v>
      </c>
      <c r="BL22" s="9">
        <f t="shared" si="21"/>
        <v>22</v>
      </c>
      <c r="BM22" s="2">
        <f t="shared" si="3"/>
        <v>81.818181818181827</v>
      </c>
      <c r="BN22" s="9" t="str">
        <f t="shared" si="4"/>
        <v>3</v>
      </c>
      <c r="BO22" s="9">
        <v>6</v>
      </c>
      <c r="BP22" s="2">
        <v>6</v>
      </c>
      <c r="BQ22" s="2">
        <f t="shared" si="5"/>
        <v>9.8125</v>
      </c>
      <c r="BR22" s="9"/>
      <c r="BS22" s="2">
        <f t="shared" si="6"/>
        <v>24.8125</v>
      </c>
    </row>
    <row r="23" spans="1:71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2"/>
      <c r="AU23" s="2"/>
      <c r="AV23" s="9"/>
      <c r="AW23" s="9"/>
      <c r="AX23" s="9"/>
      <c r="AY23" s="9"/>
      <c r="AZ23" s="9"/>
      <c r="BA23" s="9"/>
      <c r="BB23" s="2">
        <v>14</v>
      </c>
      <c r="BC23" s="9"/>
      <c r="BD23" s="2">
        <f t="shared" si="0"/>
        <v>14</v>
      </c>
      <c r="BE23" s="9">
        <v>22</v>
      </c>
      <c r="BF23" s="2">
        <f t="shared" si="1"/>
        <v>63.636363636363633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2">
        <f t="shared" ref="BK23:BL23" si="22">BD23</f>
        <v>14</v>
      </c>
      <c r="BL23" s="9">
        <f t="shared" si="22"/>
        <v>22</v>
      </c>
      <c r="BM23" s="2">
        <f t="shared" si="3"/>
        <v>63.636363636363633</v>
      </c>
      <c r="BN23" s="9" t="str">
        <f t="shared" si="4"/>
        <v>0</v>
      </c>
      <c r="BO23" s="9">
        <v>6</v>
      </c>
      <c r="BP23" s="2">
        <v>6</v>
      </c>
      <c r="BQ23" s="2">
        <f t="shared" si="5"/>
        <v>9.4375</v>
      </c>
      <c r="BR23" s="9"/>
      <c r="BS23" s="2">
        <f t="shared" si="6"/>
        <v>21.4375</v>
      </c>
    </row>
    <row r="24" spans="1:71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2"/>
      <c r="AU24" s="2"/>
      <c r="AV24" s="9"/>
      <c r="AW24" s="9"/>
      <c r="AX24" s="9"/>
      <c r="AY24" s="9"/>
      <c r="AZ24" s="9"/>
      <c r="BA24" s="9"/>
      <c r="BB24" s="2">
        <v>22</v>
      </c>
      <c r="BC24" s="9"/>
      <c r="BD24" s="2">
        <f t="shared" si="0"/>
        <v>22</v>
      </c>
      <c r="BE24" s="9">
        <v>22</v>
      </c>
      <c r="BF24" s="2">
        <f t="shared" si="1"/>
        <v>100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2">
        <f t="shared" ref="BK24:BL24" si="23">BD24</f>
        <v>22</v>
      </c>
      <c r="BL24" s="9">
        <f t="shared" si="23"/>
        <v>22</v>
      </c>
      <c r="BM24" s="2">
        <f t="shared" si="3"/>
        <v>100</v>
      </c>
      <c r="BN24" s="9" t="str">
        <f t="shared" si="4"/>
        <v>6</v>
      </c>
      <c r="BO24" s="9">
        <v>6</v>
      </c>
      <c r="BP24" s="2">
        <v>4.958333333333333</v>
      </c>
      <c r="BQ24" s="2">
        <f t="shared" si="5"/>
        <v>9.8125</v>
      </c>
      <c r="BR24" s="9"/>
      <c r="BS24" s="2">
        <f t="shared" si="6"/>
        <v>26.770833333333332</v>
      </c>
    </row>
    <row r="25" spans="1:71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2"/>
      <c r="AU25" s="2"/>
      <c r="AV25" s="9"/>
      <c r="AW25" s="9"/>
      <c r="AX25" s="9"/>
      <c r="AY25" s="9"/>
      <c r="AZ25" s="9"/>
      <c r="BA25" s="9"/>
      <c r="BB25" s="2">
        <v>14</v>
      </c>
      <c r="BC25" s="9"/>
      <c r="BD25" s="2">
        <f t="shared" si="0"/>
        <v>14</v>
      </c>
      <c r="BE25" s="9">
        <v>22</v>
      </c>
      <c r="BF25" s="2">
        <f t="shared" si="1"/>
        <v>63.636363636363633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2">
        <f t="shared" ref="BK25:BL25" si="24">BD25</f>
        <v>14</v>
      </c>
      <c r="BL25" s="9">
        <f t="shared" si="24"/>
        <v>22</v>
      </c>
      <c r="BM25" s="2">
        <f t="shared" si="3"/>
        <v>63.636363636363633</v>
      </c>
      <c r="BN25" s="9" t="str">
        <f t="shared" si="4"/>
        <v>0</v>
      </c>
      <c r="BO25" s="9">
        <v>6</v>
      </c>
      <c r="BP25" s="2">
        <v>4.083333333333333</v>
      </c>
      <c r="BQ25" s="2">
        <f t="shared" si="5"/>
        <v>8.25</v>
      </c>
      <c r="BR25" s="9"/>
      <c r="BS25" s="2">
        <f t="shared" si="6"/>
        <v>18.333333333333332</v>
      </c>
    </row>
    <row r="26" spans="1:71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2"/>
      <c r="AU26" s="2"/>
      <c r="AV26" s="9"/>
      <c r="AW26" s="9"/>
      <c r="AX26" s="9"/>
      <c r="AY26" s="9"/>
      <c r="AZ26" s="9"/>
      <c r="BA26" s="9"/>
      <c r="BB26" s="2">
        <v>12</v>
      </c>
      <c r="BC26" s="9"/>
      <c r="BD26" s="2">
        <f t="shared" si="0"/>
        <v>12</v>
      </c>
      <c r="BE26" s="9">
        <v>22</v>
      </c>
      <c r="BF26" s="2">
        <f t="shared" si="1"/>
        <v>54.54545454545454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2">
        <f t="shared" ref="BK26:BL26" si="25">BD26</f>
        <v>12</v>
      </c>
      <c r="BL26" s="9">
        <f t="shared" si="25"/>
        <v>22</v>
      </c>
      <c r="BM26" s="2">
        <f t="shared" si="3"/>
        <v>54.54545454545454</v>
      </c>
      <c r="BN26" s="9" t="str">
        <f t="shared" si="4"/>
        <v>0</v>
      </c>
      <c r="BO26" s="9">
        <v>4</v>
      </c>
      <c r="BP26" s="2">
        <v>5.104166666666667</v>
      </c>
      <c r="BQ26" s="2">
        <f t="shared" si="5"/>
        <v>8.25</v>
      </c>
      <c r="BR26" s="9"/>
      <c r="BS26" s="2">
        <f t="shared" si="6"/>
        <v>17.354166666666668</v>
      </c>
    </row>
    <row r="27" spans="1:71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2"/>
      <c r="AU27" s="2"/>
      <c r="AV27" s="9"/>
      <c r="AW27" s="9"/>
      <c r="AX27" s="9"/>
      <c r="AY27" s="9"/>
      <c r="AZ27" s="9"/>
      <c r="BA27" s="9"/>
      <c r="BB27" s="2">
        <v>0</v>
      </c>
      <c r="BC27" s="9"/>
      <c r="BD27" s="2">
        <f t="shared" si="0"/>
        <v>0</v>
      </c>
      <c r="BE27" s="9">
        <v>22</v>
      </c>
      <c r="BF27" s="2">
        <f t="shared" si="1"/>
        <v>0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2">
        <f t="shared" ref="BK27:BL27" si="26">BD27</f>
        <v>0</v>
      </c>
      <c r="BL27" s="9">
        <f t="shared" si="26"/>
        <v>22</v>
      </c>
      <c r="BM27" s="2">
        <f t="shared" si="3"/>
        <v>0</v>
      </c>
      <c r="BN27" s="9" t="str">
        <f t="shared" si="4"/>
        <v>0</v>
      </c>
      <c r="BO27" s="9">
        <v>0</v>
      </c>
      <c r="BP27" s="2">
        <v>0</v>
      </c>
      <c r="BQ27" s="2">
        <f t="shared" si="5"/>
        <v>0</v>
      </c>
      <c r="BR27" s="9"/>
      <c r="BS27" s="2">
        <f t="shared" si="6"/>
        <v>0</v>
      </c>
    </row>
    <row r="28" spans="1:71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2"/>
      <c r="AU28" s="2"/>
      <c r="AV28" s="9"/>
      <c r="AW28" s="9"/>
      <c r="AX28" s="9"/>
      <c r="AY28" s="9"/>
      <c r="AZ28" s="9"/>
      <c r="BA28" s="9"/>
      <c r="BB28" s="2">
        <v>9</v>
      </c>
      <c r="BC28" s="9">
        <v>4</v>
      </c>
      <c r="BD28" s="2">
        <f t="shared" si="0"/>
        <v>13</v>
      </c>
      <c r="BE28" s="9">
        <v>22</v>
      </c>
      <c r="BF28" s="2">
        <f t="shared" si="1"/>
        <v>59.090909090909093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2">
        <f t="shared" ref="BK28:BL28" si="27">BD28</f>
        <v>13</v>
      </c>
      <c r="BL28" s="9">
        <f t="shared" si="27"/>
        <v>22</v>
      </c>
      <c r="BM28" s="2">
        <f t="shared" si="3"/>
        <v>59.090909090909093</v>
      </c>
      <c r="BN28" s="9" t="str">
        <f t="shared" si="4"/>
        <v>0</v>
      </c>
      <c r="BO28" s="9">
        <v>5</v>
      </c>
      <c r="BP28" s="2">
        <v>4</v>
      </c>
      <c r="BQ28" s="2">
        <f t="shared" si="5"/>
        <v>9</v>
      </c>
      <c r="BR28" s="9"/>
      <c r="BS28" s="2">
        <f t="shared" si="6"/>
        <v>18</v>
      </c>
    </row>
    <row r="29" spans="1:71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2"/>
      <c r="AU29" s="2"/>
      <c r="AV29" s="9"/>
      <c r="AW29" s="9"/>
      <c r="AX29" s="9"/>
      <c r="AY29" s="9"/>
      <c r="AZ29" s="9"/>
      <c r="BA29" s="9"/>
      <c r="BB29" s="2">
        <v>14</v>
      </c>
      <c r="BC29" s="9"/>
      <c r="BD29" s="2">
        <f t="shared" si="0"/>
        <v>14</v>
      </c>
      <c r="BE29" s="9">
        <v>22</v>
      </c>
      <c r="BF29" s="2">
        <f t="shared" si="1"/>
        <v>63.636363636363633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2">
        <f t="shared" ref="BK29:BL29" si="28">BD29</f>
        <v>14</v>
      </c>
      <c r="BL29" s="9">
        <f t="shared" si="28"/>
        <v>22</v>
      </c>
      <c r="BM29" s="2">
        <f t="shared" si="3"/>
        <v>63.636363636363633</v>
      </c>
      <c r="BN29" s="9" t="str">
        <f t="shared" si="4"/>
        <v>0</v>
      </c>
      <c r="BO29" s="9">
        <v>7</v>
      </c>
      <c r="BP29" s="2">
        <v>5.395833333333333</v>
      </c>
      <c r="BQ29" s="2">
        <f t="shared" si="5"/>
        <v>9.75</v>
      </c>
      <c r="BR29" s="9"/>
      <c r="BS29" s="2">
        <f t="shared" si="6"/>
        <v>22.145833333333332</v>
      </c>
    </row>
    <row r="30" spans="1:71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2"/>
      <c r="AU30" s="2"/>
      <c r="AV30" s="9"/>
      <c r="AW30" s="9"/>
      <c r="AX30" s="9"/>
      <c r="AY30" s="9"/>
      <c r="AZ30" s="9"/>
      <c r="BA30" s="9"/>
      <c r="BB30" s="2">
        <v>12</v>
      </c>
      <c r="BC30" s="9"/>
      <c r="BD30" s="2">
        <f t="shared" si="0"/>
        <v>12</v>
      </c>
      <c r="BE30" s="9">
        <v>22</v>
      </c>
      <c r="BF30" s="2">
        <f t="shared" si="1"/>
        <v>54.54545454545454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2">
        <f t="shared" ref="BK30:BL30" si="29">BD30</f>
        <v>12</v>
      </c>
      <c r="BL30" s="9">
        <f t="shared" si="29"/>
        <v>22</v>
      </c>
      <c r="BM30" s="2">
        <f t="shared" si="3"/>
        <v>54.54545454545454</v>
      </c>
      <c r="BN30" s="9" t="str">
        <f t="shared" si="4"/>
        <v>0</v>
      </c>
      <c r="BO30" s="9">
        <v>7</v>
      </c>
      <c r="BP30" s="2">
        <v>4.666666666666667</v>
      </c>
      <c r="BQ30" s="2">
        <f t="shared" si="5"/>
        <v>9.875</v>
      </c>
      <c r="BR30" s="9"/>
      <c r="BS30" s="2">
        <f t="shared" si="6"/>
        <v>21.541666666666668</v>
      </c>
    </row>
    <row r="31" spans="1:71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2"/>
      <c r="AU31" s="2"/>
      <c r="AV31" s="9"/>
      <c r="AW31" s="9"/>
      <c r="AX31" s="9"/>
      <c r="AY31" s="9"/>
      <c r="AZ31" s="9"/>
      <c r="BA31" s="9"/>
      <c r="BB31" s="2">
        <v>10</v>
      </c>
      <c r="BC31" s="9"/>
      <c r="BD31" s="2">
        <f t="shared" si="0"/>
        <v>10</v>
      </c>
      <c r="BE31" s="9">
        <v>22</v>
      </c>
      <c r="BF31" s="2">
        <f t="shared" si="1"/>
        <v>45.454545454545453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2">
        <f t="shared" ref="BK31:BL31" si="30">BD31</f>
        <v>10</v>
      </c>
      <c r="BL31" s="9">
        <f t="shared" si="30"/>
        <v>22</v>
      </c>
      <c r="BM31" s="2">
        <f t="shared" si="3"/>
        <v>45.454545454545453</v>
      </c>
      <c r="BN31" s="9" t="str">
        <f t="shared" si="4"/>
        <v>0</v>
      </c>
      <c r="BO31" s="9">
        <v>7</v>
      </c>
      <c r="BP31" s="2">
        <v>5.104166666666667</v>
      </c>
      <c r="BQ31" s="2">
        <f t="shared" si="5"/>
        <v>9.75</v>
      </c>
      <c r="BR31" s="9"/>
      <c r="BS31" s="2">
        <f t="shared" si="6"/>
        <v>21.854166666666668</v>
      </c>
    </row>
    <row r="32" spans="1:71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2"/>
      <c r="AU32" s="2"/>
      <c r="AV32" s="9"/>
      <c r="AW32" s="9"/>
      <c r="AX32" s="9"/>
      <c r="AY32" s="9"/>
      <c r="AZ32" s="9"/>
      <c r="BA32" s="9"/>
      <c r="BB32" s="2">
        <v>4</v>
      </c>
      <c r="BC32" s="9"/>
      <c r="BD32" s="2">
        <f t="shared" si="0"/>
        <v>4</v>
      </c>
      <c r="BE32" s="9">
        <v>22</v>
      </c>
      <c r="BF32" s="2">
        <f t="shared" si="1"/>
        <v>18.181818181818183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2">
        <f t="shared" ref="BK32:BL32" si="31">BD32</f>
        <v>4</v>
      </c>
      <c r="BL32" s="9">
        <f t="shared" si="31"/>
        <v>22</v>
      </c>
      <c r="BM32" s="2">
        <f t="shared" si="3"/>
        <v>18.181818181818183</v>
      </c>
      <c r="BN32" s="9" t="str">
        <f t="shared" si="4"/>
        <v>0</v>
      </c>
      <c r="BO32" s="9">
        <v>4</v>
      </c>
      <c r="BP32" s="2">
        <v>4</v>
      </c>
      <c r="BQ32" s="2">
        <f t="shared" si="5"/>
        <v>8.25</v>
      </c>
      <c r="BR32" s="9"/>
      <c r="BS32" s="2">
        <f t="shared" si="6"/>
        <v>16.25</v>
      </c>
    </row>
    <row r="33" spans="1:71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2"/>
      <c r="AU33" s="2"/>
      <c r="AV33" s="9"/>
      <c r="AW33" s="9"/>
      <c r="AX33" s="9"/>
      <c r="AY33" s="9"/>
      <c r="AZ33" s="9"/>
      <c r="BA33" s="9"/>
      <c r="BB33" s="2">
        <v>22</v>
      </c>
      <c r="BC33" s="9"/>
      <c r="BD33" s="2">
        <f t="shared" si="0"/>
        <v>22</v>
      </c>
      <c r="BE33" s="9">
        <v>22</v>
      </c>
      <c r="BF33" s="2">
        <f t="shared" si="1"/>
        <v>100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2">
        <f t="shared" ref="BK33:BL33" si="32">BD33</f>
        <v>22</v>
      </c>
      <c r="BL33" s="9">
        <f t="shared" si="32"/>
        <v>22</v>
      </c>
      <c r="BM33" s="2">
        <f t="shared" si="3"/>
        <v>100</v>
      </c>
      <c r="BN33" s="9" t="str">
        <f t="shared" si="4"/>
        <v>6</v>
      </c>
      <c r="BO33" s="9">
        <v>6</v>
      </c>
      <c r="BP33" s="2">
        <v>4.958333333333333</v>
      </c>
      <c r="BQ33" s="2">
        <f t="shared" si="5"/>
        <v>9.5625</v>
      </c>
      <c r="BR33" s="9"/>
      <c r="BS33" s="2">
        <f t="shared" si="6"/>
        <v>26.520833333333332</v>
      </c>
    </row>
    <row r="34" spans="1:71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v>8</v>
      </c>
      <c r="BC34" s="9"/>
      <c r="BD34" s="2">
        <f t="shared" si="0"/>
        <v>8</v>
      </c>
      <c r="BE34" s="9">
        <v>22</v>
      </c>
      <c r="BF34" s="2">
        <f t="shared" si="1"/>
        <v>36.363636363636367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2">
        <f t="shared" ref="BK34:BL34" si="33">BD34</f>
        <v>8</v>
      </c>
      <c r="BL34" s="9">
        <f t="shared" si="33"/>
        <v>22</v>
      </c>
      <c r="BM34" s="2">
        <f t="shared" si="3"/>
        <v>36.363636363636367</v>
      </c>
      <c r="BN34" s="9" t="str">
        <f t="shared" si="4"/>
        <v>0</v>
      </c>
      <c r="BO34" s="9">
        <v>6</v>
      </c>
      <c r="BP34" s="2">
        <v>4.083333333333333</v>
      </c>
      <c r="BQ34" s="2">
        <f t="shared" si="5"/>
        <v>8.9375</v>
      </c>
      <c r="BR34" s="9"/>
      <c r="BS34" s="2">
        <f t="shared" si="6"/>
        <v>19.020833333333332</v>
      </c>
    </row>
    <row r="35" spans="1:71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v>8</v>
      </c>
      <c r="BC35" s="9"/>
      <c r="BD35" s="2">
        <f t="shared" si="0"/>
        <v>8</v>
      </c>
      <c r="BE35" s="9">
        <v>22</v>
      </c>
      <c r="BF35" s="2">
        <f t="shared" si="1"/>
        <v>36.363636363636367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2">
        <f t="shared" ref="BK35:BL35" si="34">BD35</f>
        <v>8</v>
      </c>
      <c r="BL35" s="9">
        <f t="shared" si="34"/>
        <v>22</v>
      </c>
      <c r="BM35" s="2">
        <f t="shared" si="3"/>
        <v>36.363636363636367</v>
      </c>
      <c r="BN35" s="9" t="str">
        <f t="shared" si="4"/>
        <v>0</v>
      </c>
      <c r="BO35" s="9">
        <v>5</v>
      </c>
      <c r="BP35" s="2">
        <v>4.083333333333333</v>
      </c>
      <c r="BQ35" s="2">
        <f t="shared" si="5"/>
        <v>9.125</v>
      </c>
      <c r="BR35" s="9"/>
      <c r="BS35" s="2">
        <f t="shared" si="6"/>
        <v>18.208333333333332</v>
      </c>
    </row>
    <row r="36" spans="1:71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v>6</v>
      </c>
      <c r="BC36" s="9"/>
      <c r="BD36" s="2">
        <f t="shared" si="0"/>
        <v>6</v>
      </c>
      <c r="BE36" s="9">
        <v>22</v>
      </c>
      <c r="BF36" s="2">
        <f t="shared" si="1"/>
        <v>27.27272727272727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2">
        <f t="shared" ref="BK36:BL36" si="35">BD36</f>
        <v>6</v>
      </c>
      <c r="BL36" s="9">
        <f t="shared" si="35"/>
        <v>22</v>
      </c>
      <c r="BM36" s="2">
        <f t="shared" si="3"/>
        <v>27.27272727272727</v>
      </c>
      <c r="BN36" s="9" t="str">
        <f t="shared" si="4"/>
        <v>0</v>
      </c>
      <c r="BO36" s="9">
        <v>4</v>
      </c>
      <c r="BP36" s="2">
        <v>4</v>
      </c>
      <c r="BQ36" s="2">
        <f t="shared" si="5"/>
        <v>8.6875</v>
      </c>
      <c r="BR36" s="9"/>
      <c r="BS36" s="2">
        <f t="shared" si="6"/>
        <v>16.6875</v>
      </c>
    </row>
    <row r="37" spans="1:71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v>12</v>
      </c>
      <c r="BC37" s="9"/>
      <c r="BD37" s="2">
        <f t="shared" si="0"/>
        <v>12</v>
      </c>
      <c r="BE37" s="9">
        <v>22</v>
      </c>
      <c r="BF37" s="2">
        <f t="shared" si="1"/>
        <v>54.54545454545454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2">
        <f t="shared" ref="BK37:BL37" si="36">BD37</f>
        <v>12</v>
      </c>
      <c r="BL37" s="9">
        <f t="shared" si="36"/>
        <v>22</v>
      </c>
      <c r="BM37" s="2">
        <f t="shared" si="3"/>
        <v>54.54545454545454</v>
      </c>
      <c r="BN37" s="9" t="str">
        <f t="shared" si="4"/>
        <v>0</v>
      </c>
      <c r="BO37" s="9">
        <v>3</v>
      </c>
      <c r="BP37" s="2">
        <v>3</v>
      </c>
      <c r="BQ37" s="2">
        <f t="shared" si="5"/>
        <v>6.375</v>
      </c>
      <c r="BR37" s="9"/>
      <c r="BS37" s="2">
        <f t="shared" si="6"/>
        <v>12.375</v>
      </c>
    </row>
    <row r="38" spans="1:71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v>0</v>
      </c>
      <c r="BC38" s="9"/>
      <c r="BD38" s="2">
        <f t="shared" si="0"/>
        <v>0</v>
      </c>
      <c r="BE38" s="9">
        <v>22</v>
      </c>
      <c r="BF38" s="2">
        <f t="shared" si="1"/>
        <v>0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2">
        <f t="shared" ref="BK38:BL38" si="37">BD38</f>
        <v>0</v>
      </c>
      <c r="BL38" s="9">
        <f t="shared" si="37"/>
        <v>22</v>
      </c>
      <c r="BM38" s="2">
        <f t="shared" si="3"/>
        <v>0</v>
      </c>
      <c r="BN38" s="9" t="str">
        <f t="shared" si="4"/>
        <v>0</v>
      </c>
      <c r="BO38" s="9">
        <v>0</v>
      </c>
      <c r="BP38" s="2">
        <v>0.29166666666666669</v>
      </c>
      <c r="BQ38" s="2">
        <f t="shared" si="5"/>
        <v>0</v>
      </c>
      <c r="BR38" s="9"/>
      <c r="BS38" s="2">
        <f t="shared" si="6"/>
        <v>0.29166666666666669</v>
      </c>
    </row>
    <row r="39" spans="1:71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2"/>
      <c r="AU39" s="2"/>
      <c r="AV39" s="9"/>
      <c r="AW39" s="9"/>
      <c r="AX39" s="9"/>
      <c r="AY39" s="9"/>
      <c r="AZ39" s="9"/>
      <c r="BA39" s="9"/>
      <c r="BB39" s="2">
        <v>16</v>
      </c>
      <c r="BC39" s="9"/>
      <c r="BD39" s="2">
        <f t="shared" si="0"/>
        <v>16</v>
      </c>
      <c r="BE39" s="9">
        <v>22</v>
      </c>
      <c r="BF39" s="2">
        <f t="shared" si="1"/>
        <v>72.727272727272734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2">
        <f t="shared" ref="BK39:BL39" si="38">BD39</f>
        <v>16</v>
      </c>
      <c r="BL39" s="9">
        <f t="shared" si="38"/>
        <v>22</v>
      </c>
      <c r="BM39" s="2">
        <f t="shared" si="3"/>
        <v>72.727272727272734</v>
      </c>
      <c r="BN39" s="9" t="str">
        <f t="shared" si="4"/>
        <v>0</v>
      </c>
      <c r="BO39" s="9">
        <v>6</v>
      </c>
      <c r="BP39" s="2">
        <v>5.104166666666667</v>
      </c>
      <c r="BQ39" s="2">
        <f t="shared" si="5"/>
        <v>9.0625</v>
      </c>
      <c r="BR39" s="9"/>
      <c r="BS39" s="2">
        <f t="shared" si="6"/>
        <v>20.166666666666668</v>
      </c>
    </row>
    <row r="40" spans="1:71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v>0</v>
      </c>
      <c r="BC40" s="9"/>
      <c r="BD40" s="2">
        <f t="shared" si="0"/>
        <v>0</v>
      </c>
      <c r="BE40" s="9">
        <v>22</v>
      </c>
      <c r="BF40" s="2">
        <f t="shared" si="1"/>
        <v>0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2">
        <f t="shared" ref="BK40:BL40" si="39">BD40</f>
        <v>0</v>
      </c>
      <c r="BL40" s="9">
        <f t="shared" si="39"/>
        <v>22</v>
      </c>
      <c r="BM40" s="2">
        <f t="shared" si="3"/>
        <v>0</v>
      </c>
      <c r="BN40" s="9" t="str">
        <f t="shared" si="4"/>
        <v>0</v>
      </c>
      <c r="BO40" s="9">
        <v>0</v>
      </c>
      <c r="BP40" s="2">
        <v>0</v>
      </c>
      <c r="BQ40" s="2">
        <f t="shared" si="5"/>
        <v>0</v>
      </c>
      <c r="BR40" s="9"/>
      <c r="BS40" s="2">
        <f t="shared" si="6"/>
        <v>0</v>
      </c>
    </row>
    <row r="41" spans="1:71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2"/>
      <c r="AU41" s="2"/>
      <c r="AV41" s="9"/>
      <c r="AW41" s="9"/>
      <c r="AX41" s="9"/>
      <c r="AY41" s="9"/>
      <c r="AZ41" s="9"/>
      <c r="BA41" s="9"/>
      <c r="BB41" s="2">
        <v>22</v>
      </c>
      <c r="BC41" s="9"/>
      <c r="BD41" s="2">
        <f t="shared" si="0"/>
        <v>22</v>
      </c>
      <c r="BE41" s="9">
        <v>22</v>
      </c>
      <c r="BF41" s="2">
        <f t="shared" si="1"/>
        <v>100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2">
        <f t="shared" ref="BK41:BL41" si="40">BD41</f>
        <v>22</v>
      </c>
      <c r="BL41" s="9">
        <f t="shared" si="40"/>
        <v>22</v>
      </c>
      <c r="BM41" s="2">
        <f t="shared" si="3"/>
        <v>100</v>
      </c>
      <c r="BN41" s="9" t="str">
        <f t="shared" si="4"/>
        <v>6</v>
      </c>
      <c r="BO41" s="9">
        <v>6</v>
      </c>
      <c r="BP41" s="2">
        <v>5.104166666666667</v>
      </c>
      <c r="BQ41" s="2">
        <f t="shared" si="5"/>
        <v>9.125</v>
      </c>
      <c r="BR41" s="9"/>
      <c r="BS41" s="2">
        <f t="shared" si="6"/>
        <v>26.229166666666668</v>
      </c>
    </row>
    <row r="42" spans="1:71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2"/>
      <c r="AU42" s="2"/>
      <c r="AV42" s="9"/>
      <c r="AW42" s="9"/>
      <c r="AX42" s="9"/>
      <c r="AY42" s="9"/>
      <c r="AZ42" s="9"/>
      <c r="BA42" s="9"/>
      <c r="BB42" s="2">
        <v>22</v>
      </c>
      <c r="BC42" s="9"/>
      <c r="BD42" s="2">
        <f t="shared" si="0"/>
        <v>22</v>
      </c>
      <c r="BE42" s="9">
        <v>22</v>
      </c>
      <c r="BF42" s="2">
        <f t="shared" si="1"/>
        <v>100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2">
        <f t="shared" ref="BK42:BL42" si="41">BD42</f>
        <v>22</v>
      </c>
      <c r="BL42" s="9">
        <f t="shared" si="41"/>
        <v>22</v>
      </c>
      <c r="BM42" s="2">
        <f t="shared" si="3"/>
        <v>100</v>
      </c>
      <c r="BN42" s="9" t="str">
        <f t="shared" si="4"/>
        <v>6</v>
      </c>
      <c r="BO42" s="9">
        <v>6</v>
      </c>
      <c r="BP42" s="2">
        <v>5</v>
      </c>
      <c r="BQ42" s="2">
        <f t="shared" si="5"/>
        <v>10</v>
      </c>
      <c r="BR42" s="9"/>
      <c r="BS42" s="2">
        <f t="shared" si="6"/>
        <v>27</v>
      </c>
    </row>
    <row r="43" spans="1:71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"/>
      <c r="AU43" s="2"/>
      <c r="AV43" s="9"/>
      <c r="AW43" s="9"/>
      <c r="AX43" s="9"/>
      <c r="AY43" s="9"/>
      <c r="AZ43" s="9"/>
      <c r="BA43" s="9"/>
      <c r="BB43" s="2">
        <v>22</v>
      </c>
      <c r="BC43" s="9"/>
      <c r="BD43" s="2">
        <f t="shared" si="0"/>
        <v>22</v>
      </c>
      <c r="BE43" s="9">
        <v>22</v>
      </c>
      <c r="BF43" s="2">
        <f t="shared" si="1"/>
        <v>100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2">
        <f t="shared" ref="BK43:BL43" si="42">BD43</f>
        <v>22</v>
      </c>
      <c r="BL43" s="9">
        <f t="shared" si="42"/>
        <v>22</v>
      </c>
      <c r="BM43" s="2">
        <f t="shared" si="3"/>
        <v>100</v>
      </c>
      <c r="BN43" s="9" t="str">
        <f t="shared" si="4"/>
        <v>6</v>
      </c>
      <c r="BO43" s="9">
        <v>6</v>
      </c>
      <c r="BP43" s="2">
        <v>5</v>
      </c>
      <c r="BQ43" s="2">
        <f t="shared" si="5"/>
        <v>9.875</v>
      </c>
      <c r="BR43" s="9"/>
      <c r="BS43" s="2">
        <f t="shared" si="6"/>
        <v>26.875</v>
      </c>
    </row>
    <row r="44" spans="1:71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v>18</v>
      </c>
      <c r="BC44" s="9"/>
      <c r="BD44" s="2">
        <f t="shared" si="0"/>
        <v>18</v>
      </c>
      <c r="BE44" s="9">
        <v>22</v>
      </c>
      <c r="BF44" s="2">
        <f t="shared" si="1"/>
        <v>81.818181818181827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2">
        <f t="shared" ref="BK44:BL44" si="43">BD44</f>
        <v>18</v>
      </c>
      <c r="BL44" s="9">
        <f t="shared" si="43"/>
        <v>22</v>
      </c>
      <c r="BM44" s="2">
        <f t="shared" si="3"/>
        <v>81.818181818181827</v>
      </c>
      <c r="BN44" s="9" t="str">
        <f t="shared" si="4"/>
        <v>3</v>
      </c>
      <c r="BO44" s="9">
        <v>7</v>
      </c>
      <c r="BP44" s="2">
        <v>5.833333333333333</v>
      </c>
      <c r="BQ44" s="2">
        <f t="shared" si="5"/>
        <v>10</v>
      </c>
      <c r="BR44" s="9"/>
      <c r="BS44" s="2">
        <f t="shared" si="6"/>
        <v>25.833333333333332</v>
      </c>
    </row>
    <row r="45" spans="1:71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v>16</v>
      </c>
      <c r="BC45" s="9"/>
      <c r="BD45" s="2">
        <f t="shared" si="0"/>
        <v>16</v>
      </c>
      <c r="BE45" s="9">
        <v>22</v>
      </c>
      <c r="BF45" s="2">
        <f t="shared" si="1"/>
        <v>72.727272727272734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2">
        <f t="shared" ref="BK45:BL45" si="44">BD45</f>
        <v>16</v>
      </c>
      <c r="BL45" s="9">
        <f t="shared" si="44"/>
        <v>22</v>
      </c>
      <c r="BM45" s="2">
        <f t="shared" si="3"/>
        <v>72.727272727272734</v>
      </c>
      <c r="BN45" s="9" t="str">
        <f t="shared" si="4"/>
        <v>0</v>
      </c>
      <c r="BO45" s="9">
        <v>6</v>
      </c>
      <c r="BP45" s="2">
        <v>4</v>
      </c>
      <c r="BQ45" s="2">
        <f t="shared" si="5"/>
        <v>9.5</v>
      </c>
      <c r="BR45" s="9"/>
      <c r="BS45" s="2">
        <f t="shared" si="6"/>
        <v>19.5</v>
      </c>
    </row>
    <row r="46" spans="1:71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v>28</v>
      </c>
      <c r="BC46" s="9"/>
      <c r="BD46" s="2">
        <f t="shared" si="0"/>
        <v>28</v>
      </c>
      <c r="BE46" s="9">
        <v>28</v>
      </c>
      <c r="BF46" s="2">
        <f t="shared" si="1"/>
        <v>100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2">
        <f t="shared" ref="BK46:BL46" si="45">BD46</f>
        <v>28</v>
      </c>
      <c r="BL46" s="9">
        <f t="shared" si="45"/>
        <v>28</v>
      </c>
      <c r="BM46" s="2">
        <f t="shared" si="3"/>
        <v>100</v>
      </c>
      <c r="BN46" s="9" t="str">
        <f t="shared" si="4"/>
        <v>6</v>
      </c>
      <c r="BO46" s="9">
        <v>6</v>
      </c>
      <c r="BP46" s="2">
        <v>4.666666666666667</v>
      </c>
      <c r="BQ46" s="2">
        <f t="shared" si="5"/>
        <v>9.1666666666666661</v>
      </c>
      <c r="BR46" s="9"/>
      <c r="BS46" s="2">
        <f t="shared" si="6"/>
        <v>25.833333333333332</v>
      </c>
    </row>
    <row r="47" spans="1:71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v>18</v>
      </c>
      <c r="BC47" s="9"/>
      <c r="BD47" s="2">
        <f t="shared" si="0"/>
        <v>18</v>
      </c>
      <c r="BE47" s="9">
        <v>28</v>
      </c>
      <c r="BF47" s="2">
        <f t="shared" si="1"/>
        <v>64.285714285714292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2">
        <f t="shared" ref="BK47:BL47" si="46">BD47</f>
        <v>18</v>
      </c>
      <c r="BL47" s="9">
        <f t="shared" si="46"/>
        <v>28</v>
      </c>
      <c r="BM47" s="2">
        <f t="shared" si="3"/>
        <v>64.285714285714292</v>
      </c>
      <c r="BN47" s="9" t="str">
        <f t="shared" si="4"/>
        <v>0</v>
      </c>
      <c r="BO47" s="9">
        <v>6</v>
      </c>
      <c r="BP47" s="2">
        <v>4.8125</v>
      </c>
      <c r="BQ47" s="2">
        <f t="shared" si="5"/>
        <v>9.1666666666666661</v>
      </c>
      <c r="BR47" s="9"/>
      <c r="BS47" s="2">
        <f t="shared" si="6"/>
        <v>19.979166666666664</v>
      </c>
    </row>
    <row r="48" spans="1:71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v>18</v>
      </c>
      <c r="BC48" s="9"/>
      <c r="BD48" s="2">
        <f t="shared" si="0"/>
        <v>18</v>
      </c>
      <c r="BE48" s="9">
        <v>28</v>
      </c>
      <c r="BF48" s="2">
        <f t="shared" si="1"/>
        <v>64.285714285714292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2">
        <f t="shared" ref="BK48:BL48" si="47">BD48</f>
        <v>18</v>
      </c>
      <c r="BL48" s="9">
        <f t="shared" si="47"/>
        <v>28</v>
      </c>
      <c r="BM48" s="2">
        <f t="shared" si="3"/>
        <v>64.285714285714292</v>
      </c>
      <c r="BN48" s="9" t="str">
        <f t="shared" si="4"/>
        <v>0</v>
      </c>
      <c r="BO48" s="9">
        <v>6</v>
      </c>
      <c r="BP48" s="2">
        <v>5.979166666666667</v>
      </c>
      <c r="BQ48" s="2">
        <f t="shared" si="5"/>
        <v>8.9166666666666661</v>
      </c>
      <c r="BR48" s="9"/>
      <c r="BS48" s="2">
        <f t="shared" si="6"/>
        <v>20.895833333333332</v>
      </c>
    </row>
    <row r="49" spans="1:71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v>16</v>
      </c>
      <c r="BC49" s="9"/>
      <c r="BD49" s="2">
        <f t="shared" si="0"/>
        <v>16</v>
      </c>
      <c r="BE49" s="9">
        <v>28</v>
      </c>
      <c r="BF49" s="2">
        <f t="shared" si="1"/>
        <v>57.142857142857139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2">
        <f t="shared" ref="BK49:BL49" si="48">BD49</f>
        <v>16</v>
      </c>
      <c r="BL49" s="9">
        <f t="shared" si="48"/>
        <v>28</v>
      </c>
      <c r="BM49" s="2">
        <f t="shared" si="3"/>
        <v>57.142857142857139</v>
      </c>
      <c r="BN49" s="9" t="str">
        <f t="shared" si="4"/>
        <v>0</v>
      </c>
      <c r="BO49" s="9">
        <v>5</v>
      </c>
      <c r="BP49" s="2">
        <v>4.375</v>
      </c>
      <c r="BQ49" s="2">
        <f t="shared" si="5"/>
        <v>8.1666666666666661</v>
      </c>
      <c r="BR49" s="9"/>
      <c r="BS49" s="2">
        <f t="shared" si="6"/>
        <v>17.541666666666664</v>
      </c>
    </row>
    <row r="50" spans="1:71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v>24</v>
      </c>
      <c r="BC50" s="9"/>
      <c r="BD50" s="2">
        <f t="shared" si="0"/>
        <v>24</v>
      </c>
      <c r="BE50" s="9">
        <v>28</v>
      </c>
      <c r="BF50" s="2">
        <f t="shared" si="1"/>
        <v>85.714285714285708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2">
        <f t="shared" ref="BK50:BL50" si="49">BD50</f>
        <v>24</v>
      </c>
      <c r="BL50" s="9">
        <f t="shared" si="49"/>
        <v>28</v>
      </c>
      <c r="BM50" s="2">
        <f t="shared" si="3"/>
        <v>85.714285714285708</v>
      </c>
      <c r="BN50" s="9" t="str">
        <f t="shared" si="4"/>
        <v>4</v>
      </c>
      <c r="BO50" s="9">
        <v>5</v>
      </c>
      <c r="BP50" s="2">
        <v>4</v>
      </c>
      <c r="BQ50" s="2">
        <f t="shared" si="5"/>
        <v>8.3333333333333339</v>
      </c>
      <c r="BR50" s="9"/>
      <c r="BS50" s="2">
        <f t="shared" si="6"/>
        <v>21.333333333333336</v>
      </c>
    </row>
    <row r="51" spans="1:71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v>12</v>
      </c>
      <c r="BC51" s="9"/>
      <c r="BD51" s="2">
        <f t="shared" si="0"/>
        <v>12</v>
      </c>
      <c r="BE51" s="9">
        <v>28</v>
      </c>
      <c r="BF51" s="2">
        <f t="shared" si="1"/>
        <v>42.857142857142854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2">
        <f t="shared" ref="BK51:BL51" si="50">BD51</f>
        <v>12</v>
      </c>
      <c r="BL51" s="9">
        <f t="shared" si="50"/>
        <v>28</v>
      </c>
      <c r="BM51" s="2">
        <f t="shared" si="3"/>
        <v>42.857142857142854</v>
      </c>
      <c r="BN51" s="9" t="str">
        <f t="shared" si="4"/>
        <v>0</v>
      </c>
      <c r="BO51" s="9">
        <v>5</v>
      </c>
      <c r="BP51" s="2">
        <v>4</v>
      </c>
      <c r="BQ51" s="2">
        <f t="shared" si="5"/>
        <v>8.8333333333333339</v>
      </c>
      <c r="BR51" s="9"/>
      <c r="BS51" s="2">
        <f t="shared" si="6"/>
        <v>17.833333333333336</v>
      </c>
    </row>
    <row r="52" spans="1:71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v>16</v>
      </c>
      <c r="BC52" s="9"/>
      <c r="BD52" s="2">
        <f t="shared" si="0"/>
        <v>16</v>
      </c>
      <c r="BE52" s="9">
        <v>28</v>
      </c>
      <c r="BF52" s="2">
        <f t="shared" si="1"/>
        <v>57.142857142857139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2">
        <f t="shared" ref="BK52:BL52" si="51">BD52</f>
        <v>16</v>
      </c>
      <c r="BL52" s="9">
        <f t="shared" si="51"/>
        <v>28</v>
      </c>
      <c r="BM52" s="2">
        <f t="shared" si="3"/>
        <v>57.142857142857139</v>
      </c>
      <c r="BN52" s="9" t="str">
        <f t="shared" si="4"/>
        <v>0</v>
      </c>
      <c r="BO52" s="9">
        <v>5</v>
      </c>
      <c r="BP52" s="2">
        <v>3.7916666666666665</v>
      </c>
      <c r="BQ52" s="2">
        <f t="shared" si="5"/>
        <v>8.0833333333333339</v>
      </c>
      <c r="BR52" s="9"/>
      <c r="BS52" s="2">
        <f t="shared" si="6"/>
        <v>16.875</v>
      </c>
    </row>
    <row r="53" spans="1:71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v>20</v>
      </c>
      <c r="BC53" s="9"/>
      <c r="BD53" s="2">
        <f t="shared" si="0"/>
        <v>20</v>
      </c>
      <c r="BE53" s="9">
        <v>28</v>
      </c>
      <c r="BF53" s="2">
        <f t="shared" si="1"/>
        <v>71.428571428571431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2">
        <f t="shared" ref="BK53:BL53" si="52">BD53</f>
        <v>20</v>
      </c>
      <c r="BL53" s="9">
        <f t="shared" si="52"/>
        <v>28</v>
      </c>
      <c r="BM53" s="2">
        <f t="shared" si="3"/>
        <v>71.428571428571431</v>
      </c>
      <c r="BN53" s="9" t="str">
        <f t="shared" si="4"/>
        <v>0</v>
      </c>
      <c r="BO53" s="9">
        <v>6</v>
      </c>
      <c r="BP53" s="2">
        <v>4.8125</v>
      </c>
      <c r="BQ53" s="2">
        <f t="shared" si="5"/>
        <v>9</v>
      </c>
      <c r="BR53" s="9"/>
      <c r="BS53" s="2">
        <f t="shared" si="6"/>
        <v>19.8125</v>
      </c>
    </row>
    <row r="54" spans="1:71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v>20</v>
      </c>
      <c r="BC54" s="9"/>
      <c r="BD54" s="2">
        <f t="shared" si="0"/>
        <v>20</v>
      </c>
      <c r="BE54" s="9">
        <v>28</v>
      </c>
      <c r="BF54" s="2">
        <f t="shared" si="1"/>
        <v>71.428571428571431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2">
        <f t="shared" ref="BK54:BL54" si="53">BD54</f>
        <v>20</v>
      </c>
      <c r="BL54" s="9">
        <f t="shared" si="53"/>
        <v>28</v>
      </c>
      <c r="BM54" s="2">
        <f t="shared" si="3"/>
        <v>71.428571428571431</v>
      </c>
      <c r="BN54" s="9" t="str">
        <f t="shared" si="4"/>
        <v>0</v>
      </c>
      <c r="BO54" s="9">
        <v>7</v>
      </c>
      <c r="BP54" s="2">
        <v>5</v>
      </c>
      <c r="BQ54" s="2">
        <f t="shared" si="5"/>
        <v>9.1666666666666661</v>
      </c>
      <c r="BR54" s="9"/>
      <c r="BS54" s="2">
        <f t="shared" si="6"/>
        <v>21.166666666666664</v>
      </c>
    </row>
    <row r="55" spans="1:71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v>26</v>
      </c>
      <c r="BC55" s="9"/>
      <c r="BD55" s="2">
        <f t="shared" si="0"/>
        <v>26</v>
      </c>
      <c r="BE55" s="9">
        <v>28</v>
      </c>
      <c r="BF55" s="2">
        <f t="shared" si="1"/>
        <v>92.857142857142861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2">
        <f t="shared" ref="BK55:BL55" si="54">BD55</f>
        <v>26</v>
      </c>
      <c r="BL55" s="9">
        <f t="shared" si="54"/>
        <v>28</v>
      </c>
      <c r="BM55" s="2">
        <f t="shared" si="3"/>
        <v>92.857142857142861</v>
      </c>
      <c r="BN55" s="9" t="str">
        <f t="shared" si="4"/>
        <v>5</v>
      </c>
      <c r="BO55" s="9">
        <v>6</v>
      </c>
      <c r="BP55" s="2">
        <v>4.958333333333333</v>
      </c>
      <c r="BQ55" s="2">
        <f t="shared" si="5"/>
        <v>9</v>
      </c>
      <c r="BR55" s="9"/>
      <c r="BS55" s="2">
        <f t="shared" si="6"/>
        <v>24.958333333333332</v>
      </c>
    </row>
    <row r="56" spans="1:71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v>12</v>
      </c>
      <c r="BC56" s="9"/>
      <c r="BD56" s="2">
        <f t="shared" si="0"/>
        <v>12</v>
      </c>
      <c r="BE56" s="9">
        <v>28</v>
      </c>
      <c r="BF56" s="2">
        <f t="shared" si="1"/>
        <v>42.857142857142854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2">
        <f t="shared" ref="BK56:BL56" si="55">BD56</f>
        <v>12</v>
      </c>
      <c r="BL56" s="9">
        <f t="shared" si="55"/>
        <v>28</v>
      </c>
      <c r="BM56" s="2">
        <f t="shared" si="3"/>
        <v>42.857142857142854</v>
      </c>
      <c r="BN56" s="9" t="str">
        <f t="shared" si="4"/>
        <v>0</v>
      </c>
      <c r="BO56" s="9">
        <v>5</v>
      </c>
      <c r="BP56" s="2">
        <v>3.7916666666666665</v>
      </c>
      <c r="BQ56" s="2">
        <f t="shared" si="5"/>
        <v>8</v>
      </c>
      <c r="BR56" s="9"/>
      <c r="BS56" s="2">
        <f t="shared" si="6"/>
        <v>16.791666666666664</v>
      </c>
    </row>
    <row r="57" spans="1:71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v>10</v>
      </c>
      <c r="BC57" s="9"/>
      <c r="BD57" s="2">
        <f t="shared" si="0"/>
        <v>10</v>
      </c>
      <c r="BE57" s="9">
        <v>28</v>
      </c>
      <c r="BF57" s="2">
        <f t="shared" si="1"/>
        <v>35.714285714285715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2">
        <f t="shared" ref="BK57:BL57" si="56">BD57</f>
        <v>10</v>
      </c>
      <c r="BL57" s="9">
        <f t="shared" si="56"/>
        <v>28</v>
      </c>
      <c r="BM57" s="2">
        <f t="shared" si="3"/>
        <v>35.714285714285715</v>
      </c>
      <c r="BN57" s="9" t="str">
        <f t="shared" si="4"/>
        <v>0</v>
      </c>
      <c r="BO57" s="9">
        <v>4</v>
      </c>
      <c r="BP57" s="2">
        <v>4</v>
      </c>
      <c r="BQ57" s="2">
        <f t="shared" si="5"/>
        <v>8</v>
      </c>
      <c r="BR57" s="9"/>
      <c r="BS57" s="2">
        <f t="shared" si="6"/>
        <v>16</v>
      </c>
    </row>
    <row r="58" spans="1:71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v>22</v>
      </c>
      <c r="BC58" s="9"/>
      <c r="BD58" s="2">
        <f t="shared" si="0"/>
        <v>22</v>
      </c>
      <c r="BE58" s="9">
        <v>28</v>
      </c>
      <c r="BF58" s="2">
        <f t="shared" si="1"/>
        <v>78.571428571428569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2">
        <f t="shared" ref="BK58:BL58" si="57">BD58</f>
        <v>22</v>
      </c>
      <c r="BL58" s="9">
        <f t="shared" si="57"/>
        <v>28</v>
      </c>
      <c r="BM58" s="2">
        <f t="shared" si="3"/>
        <v>78.571428571428569</v>
      </c>
      <c r="BN58" s="9" t="str">
        <f t="shared" si="4"/>
        <v>2</v>
      </c>
      <c r="BO58" s="9">
        <v>5</v>
      </c>
      <c r="BP58" s="2">
        <v>5.979166666666667</v>
      </c>
      <c r="BQ58" s="2">
        <f t="shared" si="5"/>
        <v>9.1666666666666661</v>
      </c>
      <c r="BR58" s="9"/>
      <c r="BS58" s="2">
        <f t="shared" si="6"/>
        <v>22.145833333333332</v>
      </c>
    </row>
    <row r="59" spans="1:71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v>18</v>
      </c>
      <c r="BC59" s="9"/>
      <c r="BD59" s="2">
        <f t="shared" si="0"/>
        <v>18</v>
      </c>
      <c r="BE59" s="9">
        <v>28</v>
      </c>
      <c r="BF59" s="2">
        <f t="shared" si="1"/>
        <v>64.285714285714292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2">
        <f t="shared" ref="BK59:BL59" si="58">BD59</f>
        <v>18</v>
      </c>
      <c r="BL59" s="9">
        <f t="shared" si="58"/>
        <v>28</v>
      </c>
      <c r="BM59" s="2">
        <f t="shared" si="3"/>
        <v>64.285714285714292</v>
      </c>
      <c r="BN59" s="9" t="str">
        <f t="shared" si="4"/>
        <v>0</v>
      </c>
      <c r="BO59" s="9">
        <v>6</v>
      </c>
      <c r="BP59" s="2">
        <v>4.666666666666667</v>
      </c>
      <c r="BQ59" s="2">
        <f t="shared" si="5"/>
        <v>9</v>
      </c>
      <c r="BR59" s="9"/>
      <c r="BS59" s="2">
        <f t="shared" si="6"/>
        <v>19.666666666666668</v>
      </c>
    </row>
    <row r="60" spans="1:71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v>24</v>
      </c>
      <c r="BC60" s="9"/>
      <c r="BD60" s="2">
        <f t="shared" si="0"/>
        <v>24</v>
      </c>
      <c r="BE60" s="9">
        <v>28</v>
      </c>
      <c r="BF60" s="2">
        <f t="shared" si="1"/>
        <v>85.714285714285708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2">
        <f t="shared" ref="BK60:BL60" si="59">BD60</f>
        <v>24</v>
      </c>
      <c r="BL60" s="9">
        <f t="shared" si="59"/>
        <v>28</v>
      </c>
      <c r="BM60" s="2">
        <f t="shared" si="3"/>
        <v>85.714285714285708</v>
      </c>
      <c r="BN60" s="9" t="str">
        <f t="shared" si="4"/>
        <v>4</v>
      </c>
      <c r="BO60" s="9">
        <v>6</v>
      </c>
      <c r="BP60" s="2">
        <v>5.979166666666667</v>
      </c>
      <c r="BQ60" s="2">
        <f t="shared" si="5"/>
        <v>9.8333333333333339</v>
      </c>
      <c r="BR60" s="9"/>
      <c r="BS60" s="2">
        <f t="shared" si="6"/>
        <v>25.8125</v>
      </c>
    </row>
    <row r="61" spans="1:71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v>26</v>
      </c>
      <c r="BC61" s="9"/>
      <c r="BD61" s="2">
        <f t="shared" si="0"/>
        <v>26</v>
      </c>
      <c r="BE61" s="9">
        <v>28</v>
      </c>
      <c r="BF61" s="2">
        <f t="shared" si="1"/>
        <v>92.857142857142861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2">
        <f t="shared" ref="BK61:BL61" si="60">BD61</f>
        <v>26</v>
      </c>
      <c r="BL61" s="9">
        <f t="shared" si="60"/>
        <v>28</v>
      </c>
      <c r="BM61" s="2">
        <f t="shared" si="3"/>
        <v>92.857142857142861</v>
      </c>
      <c r="BN61" s="9" t="str">
        <f t="shared" si="4"/>
        <v>5</v>
      </c>
      <c r="BO61" s="9">
        <v>5</v>
      </c>
      <c r="BP61" s="2">
        <v>3.7916666666666665</v>
      </c>
      <c r="BQ61" s="2">
        <f t="shared" si="5"/>
        <v>8.1666666666666661</v>
      </c>
      <c r="BR61" s="9"/>
      <c r="BS61" s="2">
        <f t="shared" si="6"/>
        <v>21.958333333333332</v>
      </c>
    </row>
    <row r="62" spans="1:71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v>18</v>
      </c>
      <c r="BC62" s="9"/>
      <c r="BD62" s="2">
        <f t="shared" si="0"/>
        <v>18</v>
      </c>
      <c r="BE62" s="9">
        <v>28</v>
      </c>
      <c r="BF62" s="2">
        <f t="shared" si="1"/>
        <v>64.285714285714292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2">
        <f t="shared" ref="BK62:BL62" si="61">BD62</f>
        <v>18</v>
      </c>
      <c r="BL62" s="9">
        <f t="shared" si="61"/>
        <v>28</v>
      </c>
      <c r="BM62" s="2">
        <f t="shared" si="3"/>
        <v>64.285714285714292</v>
      </c>
      <c r="BN62" s="9" t="str">
        <f t="shared" si="4"/>
        <v>0</v>
      </c>
      <c r="BO62" s="9">
        <v>7</v>
      </c>
      <c r="BP62" s="2">
        <v>4.8125</v>
      </c>
      <c r="BQ62" s="2">
        <f t="shared" si="5"/>
        <v>9.8333333333333339</v>
      </c>
      <c r="BR62" s="9"/>
      <c r="BS62" s="2">
        <f t="shared" si="6"/>
        <v>21.645833333333336</v>
      </c>
    </row>
    <row r="63" spans="1:71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v>6</v>
      </c>
      <c r="BC63" s="9"/>
      <c r="BD63" s="2">
        <f t="shared" si="0"/>
        <v>6</v>
      </c>
      <c r="BE63" s="9">
        <v>28</v>
      </c>
      <c r="BF63" s="2">
        <f t="shared" si="1"/>
        <v>21.428571428571427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2">
        <f t="shared" ref="BK63:BL63" si="62">BD63</f>
        <v>6</v>
      </c>
      <c r="BL63" s="9">
        <f t="shared" si="62"/>
        <v>28</v>
      </c>
      <c r="BM63" s="2">
        <f t="shared" si="3"/>
        <v>21.428571428571427</v>
      </c>
      <c r="BN63" s="9" t="str">
        <f t="shared" si="4"/>
        <v>0</v>
      </c>
      <c r="BO63" s="9">
        <v>3</v>
      </c>
      <c r="BP63" s="2">
        <v>5</v>
      </c>
      <c r="BQ63" s="2">
        <f t="shared" si="5"/>
        <v>8.3333333333333339</v>
      </c>
      <c r="BR63" s="9"/>
      <c r="BS63" s="2">
        <f t="shared" si="6"/>
        <v>16.333333333333336</v>
      </c>
    </row>
    <row r="64" spans="1:71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v>24</v>
      </c>
      <c r="BC64" s="9"/>
      <c r="BD64" s="2">
        <f t="shared" si="0"/>
        <v>24</v>
      </c>
      <c r="BE64" s="9">
        <v>28</v>
      </c>
      <c r="BF64" s="2">
        <f t="shared" si="1"/>
        <v>85.714285714285708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2">
        <f t="shared" ref="BK64:BL64" si="63">BD64</f>
        <v>24</v>
      </c>
      <c r="BL64" s="9">
        <f t="shared" si="63"/>
        <v>28</v>
      </c>
      <c r="BM64" s="2">
        <f t="shared" si="3"/>
        <v>85.714285714285708</v>
      </c>
      <c r="BN64" s="9" t="str">
        <f t="shared" si="4"/>
        <v>4</v>
      </c>
      <c r="BO64" s="9">
        <v>7</v>
      </c>
      <c r="BP64" s="2">
        <v>6</v>
      </c>
      <c r="BQ64" s="2">
        <f t="shared" si="5"/>
        <v>9.1666666666666661</v>
      </c>
      <c r="BR64" s="9"/>
      <c r="BS64" s="2">
        <f t="shared" si="6"/>
        <v>26.166666666666664</v>
      </c>
    </row>
    <row r="65" spans="1:71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v>16</v>
      </c>
      <c r="BC65" s="9"/>
      <c r="BD65" s="2">
        <f t="shared" si="0"/>
        <v>16</v>
      </c>
      <c r="BE65" s="9">
        <v>28</v>
      </c>
      <c r="BF65" s="2">
        <f t="shared" si="1"/>
        <v>57.142857142857139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2">
        <f t="shared" ref="BK65:BL65" si="64">BD65</f>
        <v>16</v>
      </c>
      <c r="BL65" s="9">
        <f t="shared" si="64"/>
        <v>28</v>
      </c>
      <c r="BM65" s="2">
        <f t="shared" si="3"/>
        <v>57.142857142857139</v>
      </c>
      <c r="BN65" s="9" t="str">
        <f t="shared" si="4"/>
        <v>0</v>
      </c>
      <c r="BO65" s="9">
        <v>7</v>
      </c>
      <c r="BP65" s="2">
        <v>6</v>
      </c>
      <c r="BQ65" s="2">
        <f t="shared" si="5"/>
        <v>8.9166666666666661</v>
      </c>
      <c r="BR65" s="9"/>
      <c r="BS65" s="2">
        <f t="shared" si="6"/>
        <v>21.916666666666664</v>
      </c>
    </row>
    <row r="66" spans="1:71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v>26</v>
      </c>
      <c r="BC66" s="9"/>
      <c r="BD66" s="2">
        <f t="shared" si="0"/>
        <v>26</v>
      </c>
      <c r="BE66" s="9">
        <v>28</v>
      </c>
      <c r="BF66" s="2">
        <f t="shared" si="1"/>
        <v>92.857142857142861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2">
        <f t="shared" ref="BK66:BL66" si="65">BD66</f>
        <v>26</v>
      </c>
      <c r="BL66" s="9">
        <f t="shared" si="65"/>
        <v>28</v>
      </c>
      <c r="BM66" s="2">
        <f t="shared" si="3"/>
        <v>92.857142857142861</v>
      </c>
      <c r="BN66" s="9" t="str">
        <f t="shared" si="4"/>
        <v>5</v>
      </c>
      <c r="BO66" s="9">
        <v>6</v>
      </c>
      <c r="BP66" s="2">
        <v>5.6875</v>
      </c>
      <c r="BQ66" s="2">
        <f t="shared" si="5"/>
        <v>9.9166666666666661</v>
      </c>
      <c r="BR66" s="9"/>
      <c r="BS66" s="2">
        <f t="shared" si="6"/>
        <v>26.604166666666664</v>
      </c>
    </row>
    <row r="67" spans="1:71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v>12</v>
      </c>
      <c r="BC67" s="9"/>
      <c r="BD67" s="2">
        <f t="shared" si="0"/>
        <v>12</v>
      </c>
      <c r="BE67" s="9">
        <v>28</v>
      </c>
      <c r="BF67" s="2">
        <f t="shared" si="1"/>
        <v>42.857142857142854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2">
        <f t="shared" ref="BK67:BL67" si="66">BD67</f>
        <v>12</v>
      </c>
      <c r="BL67" s="9">
        <f t="shared" si="66"/>
        <v>28</v>
      </c>
      <c r="BM67" s="2">
        <f t="shared" si="3"/>
        <v>42.857142857142854</v>
      </c>
      <c r="BN67" s="9" t="str">
        <f t="shared" si="4"/>
        <v>0</v>
      </c>
      <c r="BO67" s="9">
        <v>7</v>
      </c>
      <c r="BP67" s="2">
        <v>6</v>
      </c>
      <c r="BQ67" s="2">
        <f t="shared" si="5"/>
        <v>8.8333333333333339</v>
      </c>
      <c r="BR67" s="9"/>
      <c r="BS67" s="2">
        <f t="shared" si="6"/>
        <v>21.833333333333336</v>
      </c>
    </row>
    <row r="68" spans="1:71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v>14</v>
      </c>
      <c r="BC68" s="9"/>
      <c r="BD68" s="2">
        <f t="shared" si="0"/>
        <v>14</v>
      </c>
      <c r="BE68" s="9">
        <v>28</v>
      </c>
      <c r="BF68" s="2">
        <f t="shared" si="1"/>
        <v>50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2">
        <f t="shared" ref="BK68:BL68" si="67">BD68</f>
        <v>14</v>
      </c>
      <c r="BL68" s="9">
        <f t="shared" si="67"/>
        <v>28</v>
      </c>
      <c r="BM68" s="2">
        <f t="shared" si="3"/>
        <v>50</v>
      </c>
      <c r="BN68" s="9" t="str">
        <f t="shared" si="4"/>
        <v>0</v>
      </c>
      <c r="BO68" s="9">
        <v>5</v>
      </c>
      <c r="BP68" s="2">
        <v>4</v>
      </c>
      <c r="BQ68" s="2">
        <f t="shared" si="5"/>
        <v>8</v>
      </c>
      <c r="BR68" s="9"/>
      <c r="BS68" s="2">
        <f t="shared" si="6"/>
        <v>17</v>
      </c>
    </row>
    <row r="69" spans="1:71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v>22</v>
      </c>
      <c r="BC69" s="9"/>
      <c r="BD69" s="2">
        <f t="shared" si="0"/>
        <v>22</v>
      </c>
      <c r="BE69" s="9">
        <v>28</v>
      </c>
      <c r="BF69" s="2">
        <f t="shared" si="1"/>
        <v>78.571428571428569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2">
        <f t="shared" ref="BK69:BL69" si="68">BD69</f>
        <v>22</v>
      </c>
      <c r="BL69" s="9">
        <f t="shared" si="68"/>
        <v>28</v>
      </c>
      <c r="BM69" s="2">
        <f t="shared" si="3"/>
        <v>78.571428571428569</v>
      </c>
      <c r="BN69" s="9" t="str">
        <f t="shared" si="4"/>
        <v>2</v>
      </c>
      <c r="BO69" s="9">
        <v>5</v>
      </c>
      <c r="BP69" s="2">
        <v>4</v>
      </c>
      <c r="BQ69" s="2">
        <f t="shared" si="5"/>
        <v>8.5</v>
      </c>
      <c r="BR69" s="9"/>
      <c r="BS69" s="2">
        <f t="shared" si="6"/>
        <v>19.5</v>
      </c>
    </row>
    <row r="70" spans="1:71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v>0</v>
      </c>
      <c r="BC70" s="9"/>
      <c r="BD70" s="2">
        <f t="shared" si="0"/>
        <v>0</v>
      </c>
      <c r="BE70" s="9">
        <v>28</v>
      </c>
      <c r="BF70" s="2">
        <f t="shared" si="1"/>
        <v>0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2">
        <f t="shared" ref="BK70:BL70" si="69">BD70</f>
        <v>0</v>
      </c>
      <c r="BL70" s="9">
        <f t="shared" si="69"/>
        <v>28</v>
      </c>
      <c r="BM70" s="2">
        <f t="shared" si="3"/>
        <v>0</v>
      </c>
      <c r="BN70" s="9" t="str">
        <f t="shared" si="4"/>
        <v>0</v>
      </c>
      <c r="BO70" s="9">
        <v>4</v>
      </c>
      <c r="BP70" s="2">
        <v>3</v>
      </c>
      <c r="BQ70" s="2">
        <f t="shared" si="5"/>
        <v>8</v>
      </c>
      <c r="BR70" s="9"/>
      <c r="BS70" s="2">
        <f t="shared" si="6"/>
        <v>15</v>
      </c>
    </row>
    <row r="71" spans="1:71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v>26</v>
      </c>
      <c r="BC71" s="9"/>
      <c r="BD71" s="2">
        <f t="shared" si="0"/>
        <v>26</v>
      </c>
      <c r="BE71" s="9">
        <v>28</v>
      </c>
      <c r="BF71" s="2">
        <f t="shared" si="1"/>
        <v>92.857142857142861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3">
        <f t="shared" ref="BK71:BL71" si="70">BD71</f>
        <v>26</v>
      </c>
      <c r="BL71" s="11">
        <f t="shared" si="70"/>
        <v>28</v>
      </c>
      <c r="BM71" s="13">
        <f t="shared" si="3"/>
        <v>92.857142857142861</v>
      </c>
      <c r="BN71" s="11" t="str">
        <f t="shared" si="4"/>
        <v>5</v>
      </c>
      <c r="BO71" s="11">
        <v>7</v>
      </c>
      <c r="BP71" s="13">
        <v>5.395833333333333</v>
      </c>
      <c r="BQ71" s="13">
        <f t="shared" si="5"/>
        <v>9.1666666666666661</v>
      </c>
      <c r="BR71" s="11"/>
      <c r="BS71" s="13">
        <f t="shared" si="6"/>
        <v>26.5625</v>
      </c>
    </row>
    <row r="72" spans="1:71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v>16</v>
      </c>
      <c r="BC72" s="9">
        <v>8</v>
      </c>
      <c r="BD72" s="2">
        <f t="shared" si="0"/>
        <v>24</v>
      </c>
      <c r="BE72" s="9">
        <v>28</v>
      </c>
      <c r="BF72" s="2">
        <f t="shared" si="1"/>
        <v>85.714285714285708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3">
        <f t="shared" ref="BK72:BL72" si="71">BD72</f>
        <v>24</v>
      </c>
      <c r="BL72" s="11">
        <f t="shared" si="71"/>
        <v>28</v>
      </c>
      <c r="BM72" s="13">
        <f t="shared" si="3"/>
        <v>85.714285714285708</v>
      </c>
      <c r="BN72" s="11" t="str">
        <f t="shared" si="4"/>
        <v>4</v>
      </c>
      <c r="BO72" s="11">
        <v>7</v>
      </c>
      <c r="BP72" s="13">
        <v>6.416666666666667</v>
      </c>
      <c r="BQ72" s="13">
        <f t="shared" si="5"/>
        <v>9.6666666666666661</v>
      </c>
      <c r="BR72" s="11"/>
      <c r="BS72" s="13">
        <f t="shared" si="6"/>
        <v>27.083333333333332</v>
      </c>
    </row>
    <row r="73" spans="1:71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v>12</v>
      </c>
      <c r="BC73" s="9">
        <v>2</v>
      </c>
      <c r="BD73" s="2">
        <f t="shared" si="0"/>
        <v>14</v>
      </c>
      <c r="BE73" s="9">
        <v>28</v>
      </c>
      <c r="BF73" s="2">
        <f t="shared" si="1"/>
        <v>50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3">
        <f t="shared" ref="BK73:BL73" si="72">BD73</f>
        <v>14</v>
      </c>
      <c r="BL73" s="11">
        <f t="shared" si="72"/>
        <v>28</v>
      </c>
      <c r="BM73" s="13">
        <f t="shared" si="3"/>
        <v>50</v>
      </c>
      <c r="BN73" s="11" t="str">
        <f t="shared" si="4"/>
        <v>0</v>
      </c>
      <c r="BO73" s="11">
        <v>5</v>
      </c>
      <c r="BP73" s="13">
        <v>3</v>
      </c>
      <c r="BQ73" s="13">
        <f t="shared" si="5"/>
        <v>8.0833333333333339</v>
      </c>
      <c r="BR73" s="11"/>
      <c r="BS73" s="13">
        <f t="shared" si="6"/>
        <v>16.083333333333336</v>
      </c>
    </row>
    <row r="74" spans="1:71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v>22</v>
      </c>
      <c r="BC74" s="9"/>
      <c r="BD74" s="2">
        <f t="shared" si="0"/>
        <v>22</v>
      </c>
      <c r="BE74" s="9">
        <v>28</v>
      </c>
      <c r="BF74" s="2">
        <f t="shared" si="1"/>
        <v>78.571428571428569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3">
        <f t="shared" ref="BK74:BL74" si="73">BD74</f>
        <v>22</v>
      </c>
      <c r="BL74" s="11">
        <f t="shared" si="73"/>
        <v>28</v>
      </c>
      <c r="BM74" s="13">
        <f t="shared" si="3"/>
        <v>78.571428571428569</v>
      </c>
      <c r="BN74" s="11" t="str">
        <f t="shared" si="4"/>
        <v>2</v>
      </c>
      <c r="BO74" s="11">
        <v>6</v>
      </c>
      <c r="BP74" s="13">
        <v>5.979166666666667</v>
      </c>
      <c r="BQ74" s="13">
        <f t="shared" si="5"/>
        <v>9.1666666666666661</v>
      </c>
      <c r="BR74" s="11"/>
      <c r="BS74" s="13">
        <f t="shared" si="6"/>
        <v>23.145833333333332</v>
      </c>
    </row>
    <row r="75" spans="1:71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81"/>
      <c r="AU75" s="81"/>
      <c r="AV75" s="9"/>
      <c r="AW75" s="9"/>
      <c r="AX75" s="9"/>
      <c r="AY75" s="9"/>
      <c r="AZ75" s="9"/>
      <c r="BA75" s="9"/>
      <c r="BB75" s="81">
        <v>6</v>
      </c>
      <c r="BC75" s="9"/>
      <c r="BD75" s="2">
        <f t="shared" si="0"/>
        <v>6</v>
      </c>
      <c r="BE75" s="9">
        <v>28</v>
      </c>
      <c r="BF75" s="2">
        <f t="shared" si="1"/>
        <v>21.428571428571427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3">
        <f t="shared" ref="BK75:BL75" si="74">BD75</f>
        <v>6</v>
      </c>
      <c r="BL75" s="11">
        <f t="shared" si="74"/>
        <v>28</v>
      </c>
      <c r="BM75" s="13">
        <f t="shared" si="3"/>
        <v>21.428571428571427</v>
      </c>
      <c r="BN75" s="11" t="str">
        <f t="shared" si="4"/>
        <v>0</v>
      </c>
      <c r="BO75" s="11">
        <v>4</v>
      </c>
      <c r="BP75" s="13">
        <v>3.5</v>
      </c>
      <c r="BQ75" s="13">
        <f t="shared" si="5"/>
        <v>7.25</v>
      </c>
      <c r="BR75" s="11"/>
      <c r="BS75" s="13">
        <f t="shared" si="6"/>
        <v>14.75</v>
      </c>
    </row>
    <row r="76" spans="1:71" ht="19.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81"/>
      <c r="AU76" s="81"/>
      <c r="AV76" s="9"/>
      <c r="AW76" s="9"/>
      <c r="AX76" s="9"/>
      <c r="AY76" s="9"/>
      <c r="AZ76" s="9"/>
      <c r="BA76" s="9"/>
      <c r="BB76" s="81">
        <v>20</v>
      </c>
      <c r="BC76" s="9"/>
      <c r="BD76" s="2">
        <f t="shared" si="0"/>
        <v>20</v>
      </c>
      <c r="BE76" s="81">
        <v>28</v>
      </c>
      <c r="BF76" s="2">
        <f t="shared" si="1"/>
        <v>71.428571428571431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13">
        <f t="shared" ref="BK76:BL76" si="75">BD76</f>
        <v>20</v>
      </c>
      <c r="BL76" s="11">
        <f t="shared" si="75"/>
        <v>28</v>
      </c>
      <c r="BM76" s="13">
        <f t="shared" si="3"/>
        <v>71.428571428571431</v>
      </c>
      <c r="BN76" s="11" t="str">
        <f t="shared" si="4"/>
        <v>0</v>
      </c>
      <c r="BO76" s="11">
        <v>5</v>
      </c>
      <c r="BP76" s="13">
        <v>3.6458333333333335</v>
      </c>
      <c r="BQ76" s="13">
        <f t="shared" si="5"/>
        <v>8</v>
      </c>
      <c r="BR76" s="11"/>
      <c r="BS76" s="13">
        <f t="shared" si="6"/>
        <v>16.645833333333336</v>
      </c>
    </row>
    <row r="77" spans="1:71" ht="14.25" customHeight="1">
      <c r="A77" s="4"/>
      <c r="B77" s="4"/>
      <c r="C77" s="82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4"/>
      <c r="BC77" s="4"/>
      <c r="BD77" s="4"/>
      <c r="BE77" s="4"/>
      <c r="BF77" s="83"/>
      <c r="BG77" s="20"/>
      <c r="BH77" s="4"/>
      <c r="BI77" s="84"/>
      <c r="BJ77" s="84"/>
      <c r="BK77" s="4"/>
      <c r="BL77" s="4"/>
      <c r="BM77" s="83"/>
      <c r="BN77" s="4"/>
      <c r="BO77" s="4"/>
      <c r="BP77" s="4"/>
      <c r="BQ77" s="4"/>
      <c r="BR77" s="4"/>
      <c r="BS77" s="83"/>
    </row>
    <row r="78" spans="1:71" ht="14.25" customHeight="1">
      <c r="A78" s="4"/>
      <c r="B78" s="4"/>
      <c r="C78" s="82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4"/>
      <c r="BC78" s="4"/>
      <c r="BD78" s="4"/>
      <c r="BE78" s="4"/>
      <c r="BF78" s="83"/>
      <c r="BG78" s="20"/>
      <c r="BH78" s="4"/>
      <c r="BI78" s="84"/>
      <c r="BJ78" s="84"/>
      <c r="BK78" s="4"/>
      <c r="BL78" s="4"/>
      <c r="BM78" s="83"/>
      <c r="BN78" s="4"/>
      <c r="BO78" s="4"/>
      <c r="BP78" s="4"/>
      <c r="BQ78" s="4"/>
      <c r="BR78" s="4"/>
      <c r="BS78" s="83"/>
    </row>
    <row r="79" spans="1:71" ht="33.75" customHeight="1">
      <c r="A79" s="119" t="s">
        <v>142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9"/>
      <c r="BB79" s="20"/>
      <c r="BC79" s="20"/>
      <c r="BD79" s="20"/>
      <c r="BE79" s="20"/>
      <c r="BF79" s="20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19"/>
      <c r="BR79" s="19"/>
      <c r="BS79" s="19"/>
    </row>
    <row r="80" spans="1:71" ht="30.75" customHeight="1">
      <c r="A80" s="85" t="s">
        <v>1</v>
      </c>
      <c r="B80" s="85" t="s">
        <v>2</v>
      </c>
      <c r="C80" s="86" t="s">
        <v>3</v>
      </c>
      <c r="D80" s="85">
        <v>1</v>
      </c>
      <c r="E80" s="85">
        <v>2</v>
      </c>
      <c r="F80" s="85">
        <v>3</v>
      </c>
      <c r="G80" s="85">
        <v>4</v>
      </c>
      <c r="H80" s="85">
        <v>5</v>
      </c>
      <c r="I80" s="85">
        <v>6</v>
      </c>
      <c r="J80" s="85">
        <v>7</v>
      </c>
      <c r="K80" s="85">
        <v>8</v>
      </c>
      <c r="L80" s="85">
        <v>9</v>
      </c>
      <c r="M80" s="85">
        <v>10</v>
      </c>
      <c r="N80" s="85">
        <v>11</v>
      </c>
      <c r="O80" s="85">
        <v>12</v>
      </c>
      <c r="P80" s="85">
        <v>13</v>
      </c>
      <c r="Q80" s="85">
        <v>14</v>
      </c>
      <c r="R80" s="85">
        <v>15</v>
      </c>
      <c r="S80" s="85">
        <v>16</v>
      </c>
      <c r="T80" s="85">
        <v>17</v>
      </c>
      <c r="U80" s="85">
        <v>18</v>
      </c>
      <c r="V80" s="85">
        <v>19</v>
      </c>
      <c r="W80" s="85">
        <v>20</v>
      </c>
      <c r="X80" s="85">
        <v>21</v>
      </c>
      <c r="Y80" s="85">
        <v>22</v>
      </c>
      <c r="Z80" s="85">
        <v>23</v>
      </c>
      <c r="AA80" s="85">
        <v>24</v>
      </c>
      <c r="AB80" s="85">
        <v>25</v>
      </c>
      <c r="AC80" s="85">
        <v>26</v>
      </c>
      <c r="AD80" s="85">
        <v>27</v>
      </c>
      <c r="AE80" s="85">
        <v>28</v>
      </c>
      <c r="AF80" s="85">
        <v>29</v>
      </c>
      <c r="AG80" s="85">
        <v>30</v>
      </c>
      <c r="AH80" s="85">
        <v>31</v>
      </c>
      <c r="AI80" s="85">
        <v>32</v>
      </c>
      <c r="AJ80" s="85">
        <v>33</v>
      </c>
      <c r="AK80" s="85">
        <v>34</v>
      </c>
      <c r="AL80" s="85">
        <v>35</v>
      </c>
      <c r="AM80" s="85">
        <v>36</v>
      </c>
      <c r="AN80" s="85">
        <v>37</v>
      </c>
      <c r="AO80" s="85">
        <v>38</v>
      </c>
      <c r="AP80" s="85">
        <v>39</v>
      </c>
      <c r="AQ80" s="85">
        <v>40</v>
      </c>
      <c r="AR80" s="85">
        <v>41</v>
      </c>
      <c r="AS80" s="85">
        <v>42</v>
      </c>
      <c r="AT80" s="85">
        <v>43</v>
      </c>
      <c r="AU80" s="85">
        <v>44</v>
      </c>
      <c r="AV80" s="85">
        <v>45</v>
      </c>
      <c r="AW80" s="85">
        <v>46</v>
      </c>
      <c r="AX80" s="85">
        <v>47</v>
      </c>
      <c r="AY80" s="85">
        <v>48</v>
      </c>
      <c r="AZ80" s="85">
        <v>49</v>
      </c>
      <c r="BA80" s="85">
        <v>50</v>
      </c>
      <c r="BB80" s="20"/>
      <c r="BC80" s="20"/>
      <c r="BD80" s="20"/>
      <c r="BE80" s="20"/>
      <c r="BF80" s="20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19"/>
      <c r="BR80" s="19"/>
      <c r="BS80" s="19"/>
    </row>
    <row r="81" spans="1:71" ht="14.25" customHeight="1">
      <c r="A81" s="9">
        <v>1</v>
      </c>
      <c r="B81" s="78">
        <f>OVERALL!B4</f>
        <v>2301249</v>
      </c>
      <c r="C81" s="79" t="str">
        <f>OVERALL!C4</f>
        <v>Rahul Sharma</v>
      </c>
      <c r="D81" s="80">
        <v>8</v>
      </c>
      <c r="E81" s="80">
        <v>9</v>
      </c>
      <c r="F81" s="80">
        <v>8</v>
      </c>
      <c r="G81" s="80">
        <v>8</v>
      </c>
      <c r="H81" s="80">
        <v>7</v>
      </c>
      <c r="I81" s="80">
        <v>7</v>
      </c>
      <c r="J81" s="80">
        <v>7</v>
      </c>
      <c r="K81" s="80">
        <v>7</v>
      </c>
      <c r="L81" s="80">
        <v>7</v>
      </c>
      <c r="M81" s="80">
        <v>7</v>
      </c>
      <c r="N81" s="80">
        <v>7</v>
      </c>
      <c r="O81" s="80">
        <v>7</v>
      </c>
      <c r="P81" s="80">
        <v>7</v>
      </c>
      <c r="Q81" s="80">
        <v>7</v>
      </c>
      <c r="R81" s="80">
        <v>7</v>
      </c>
      <c r="S81" s="80">
        <v>7</v>
      </c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20"/>
      <c r="BC81" s="20"/>
      <c r="BD81" s="20"/>
      <c r="BE81" s="20"/>
      <c r="BF81" s="20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19"/>
      <c r="BR81" s="19"/>
      <c r="BS81" s="19"/>
    </row>
    <row r="82" spans="1:71" ht="14.25" customHeight="1">
      <c r="A82" s="9">
        <v>2</v>
      </c>
      <c r="B82" s="78">
        <f>OVERALL!B5</f>
        <v>2301251</v>
      </c>
      <c r="C82" s="79" t="str">
        <f>OVERALL!C5</f>
        <v>Raj Kumar</v>
      </c>
      <c r="D82" s="80">
        <v>8</v>
      </c>
      <c r="E82" s="80">
        <v>8</v>
      </c>
      <c r="F82" s="80">
        <v>9</v>
      </c>
      <c r="G82" s="80">
        <v>9</v>
      </c>
      <c r="H82" s="80">
        <v>9</v>
      </c>
      <c r="I82" s="80">
        <v>9</v>
      </c>
      <c r="J82" s="80">
        <v>7</v>
      </c>
      <c r="K82" s="80">
        <v>7</v>
      </c>
      <c r="L82" s="80">
        <v>7</v>
      </c>
      <c r="M82" s="80">
        <v>7</v>
      </c>
      <c r="N82" s="80">
        <v>7</v>
      </c>
      <c r="O82" s="80">
        <v>7</v>
      </c>
      <c r="P82" s="80">
        <v>7</v>
      </c>
      <c r="Q82" s="80">
        <v>7</v>
      </c>
      <c r="R82" s="80">
        <v>7</v>
      </c>
      <c r="S82" s="80">
        <v>7</v>
      </c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20"/>
      <c r="BC82" s="20"/>
      <c r="BD82" s="20"/>
      <c r="BE82" s="20"/>
      <c r="BF82" s="20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19"/>
      <c r="BR82" s="19"/>
      <c r="BS82" s="19"/>
    </row>
    <row r="83" spans="1:71" ht="14.25" customHeight="1">
      <c r="A83" s="9">
        <v>3</v>
      </c>
      <c r="B83" s="78">
        <f>OVERALL!B6</f>
        <v>2301252</v>
      </c>
      <c r="C83" s="79" t="str">
        <f>OVERALL!C6</f>
        <v>Rajan Sharma</v>
      </c>
      <c r="D83" s="80">
        <v>8</v>
      </c>
      <c r="E83" s="80">
        <v>8</v>
      </c>
      <c r="F83" s="80">
        <v>9</v>
      </c>
      <c r="G83" s="80">
        <v>9</v>
      </c>
      <c r="H83" s="80">
        <v>9</v>
      </c>
      <c r="I83" s="80">
        <v>9</v>
      </c>
      <c r="J83" s="80">
        <v>8</v>
      </c>
      <c r="K83" s="80">
        <v>8</v>
      </c>
      <c r="L83" s="80">
        <v>7</v>
      </c>
      <c r="M83" s="80">
        <v>7</v>
      </c>
      <c r="N83" s="80">
        <v>7</v>
      </c>
      <c r="O83" s="80">
        <v>7</v>
      </c>
      <c r="P83" s="80">
        <v>7</v>
      </c>
      <c r="Q83" s="80">
        <v>7</v>
      </c>
      <c r="R83" s="80">
        <v>7</v>
      </c>
      <c r="S83" s="80">
        <v>7</v>
      </c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20"/>
      <c r="BC83" s="20"/>
      <c r="BD83" s="20"/>
      <c r="BE83" s="20"/>
      <c r="BF83" s="20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19"/>
      <c r="BR83" s="19"/>
      <c r="BS83" s="19"/>
    </row>
    <row r="84" spans="1:71" ht="14.25" customHeight="1">
      <c r="A84" s="9">
        <v>4</v>
      </c>
      <c r="B84" s="78">
        <f>OVERALL!B7</f>
        <v>2301253</v>
      </c>
      <c r="C84" s="79" t="str">
        <f>OVERALL!C7</f>
        <v>Rajwinder Kaur</v>
      </c>
      <c r="D84" s="80">
        <v>10</v>
      </c>
      <c r="E84" s="80">
        <v>10</v>
      </c>
      <c r="F84" s="80">
        <v>9</v>
      </c>
      <c r="G84" s="80">
        <v>9</v>
      </c>
      <c r="H84" s="80">
        <v>10</v>
      </c>
      <c r="I84" s="80">
        <v>9</v>
      </c>
      <c r="J84" s="80">
        <v>8</v>
      </c>
      <c r="K84" s="80">
        <v>8</v>
      </c>
      <c r="L84" s="80">
        <v>8</v>
      </c>
      <c r="M84" s="80">
        <v>8</v>
      </c>
      <c r="N84" s="80">
        <v>8</v>
      </c>
      <c r="O84" s="80">
        <v>8</v>
      </c>
      <c r="P84" s="80">
        <v>8</v>
      </c>
      <c r="Q84" s="80">
        <v>8</v>
      </c>
      <c r="R84" s="80">
        <v>8</v>
      </c>
      <c r="S84" s="80">
        <v>8</v>
      </c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20"/>
      <c r="BC84" s="20"/>
      <c r="BD84" s="20"/>
      <c r="BE84" s="20"/>
      <c r="BF84" s="20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19"/>
      <c r="BR84" s="19"/>
      <c r="BS84" s="19"/>
    </row>
    <row r="85" spans="1:71" ht="14.25" customHeight="1">
      <c r="A85" s="9">
        <v>5</v>
      </c>
      <c r="B85" s="78">
        <f>OVERALL!B8</f>
        <v>2301255</v>
      </c>
      <c r="C85" s="79" t="str">
        <f>OVERALL!C8</f>
        <v>Ravi Bhushan Kumar</v>
      </c>
      <c r="D85" s="80">
        <v>10</v>
      </c>
      <c r="E85" s="80">
        <v>10</v>
      </c>
      <c r="F85" s="80">
        <v>10</v>
      </c>
      <c r="G85" s="80">
        <v>9</v>
      </c>
      <c r="H85" s="80">
        <v>10</v>
      </c>
      <c r="I85" s="80">
        <v>9</v>
      </c>
      <c r="J85" s="80">
        <v>9</v>
      </c>
      <c r="K85" s="80">
        <v>9</v>
      </c>
      <c r="L85" s="80">
        <v>10</v>
      </c>
      <c r="M85" s="80">
        <v>10</v>
      </c>
      <c r="N85" s="80">
        <v>10</v>
      </c>
      <c r="O85" s="80">
        <v>10</v>
      </c>
      <c r="P85" s="80">
        <v>10</v>
      </c>
      <c r="Q85" s="80">
        <v>10</v>
      </c>
      <c r="R85" s="80">
        <v>10</v>
      </c>
      <c r="S85" s="80">
        <v>10</v>
      </c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20"/>
      <c r="BC85" s="20"/>
      <c r="BD85" s="20"/>
      <c r="BE85" s="20"/>
      <c r="BF85" s="20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19"/>
      <c r="BR85" s="19"/>
      <c r="BS85" s="19"/>
    </row>
    <row r="86" spans="1:71" ht="14.25" customHeight="1">
      <c r="A86" s="9">
        <v>6</v>
      </c>
      <c r="B86" s="78">
        <f>OVERALL!B9</f>
        <v>2301256</v>
      </c>
      <c r="C86" s="79" t="str">
        <f>OVERALL!C9</f>
        <v>Reshma</v>
      </c>
      <c r="D86" s="80">
        <v>10</v>
      </c>
      <c r="E86" s="80">
        <v>10</v>
      </c>
      <c r="F86" s="80">
        <v>9</v>
      </c>
      <c r="G86" s="80">
        <v>9</v>
      </c>
      <c r="H86" s="80">
        <v>9</v>
      </c>
      <c r="I86" s="80">
        <v>9</v>
      </c>
      <c r="J86" s="80">
        <v>10</v>
      </c>
      <c r="K86" s="80">
        <v>10</v>
      </c>
      <c r="L86" s="80">
        <v>10</v>
      </c>
      <c r="M86" s="80">
        <v>10</v>
      </c>
      <c r="N86" s="80">
        <v>10</v>
      </c>
      <c r="O86" s="80">
        <v>10</v>
      </c>
      <c r="P86" s="80">
        <v>10</v>
      </c>
      <c r="Q86" s="80">
        <v>10</v>
      </c>
      <c r="R86" s="80">
        <v>10</v>
      </c>
      <c r="S86" s="80">
        <v>10</v>
      </c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20"/>
      <c r="BC86" s="20"/>
      <c r="BD86" s="20"/>
      <c r="BE86" s="20"/>
      <c r="BF86" s="20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19"/>
      <c r="BR86" s="19"/>
      <c r="BS86" s="19"/>
    </row>
    <row r="87" spans="1:71" ht="14.25" customHeight="1">
      <c r="A87" s="9">
        <v>7</v>
      </c>
      <c r="B87" s="78">
        <f>OVERALL!B10</f>
        <v>2301257</v>
      </c>
      <c r="C87" s="79" t="str">
        <f>OVERALL!C10</f>
        <v>Ritesh Kumar Choudhary</v>
      </c>
      <c r="D87" s="80">
        <v>8</v>
      </c>
      <c r="E87" s="80">
        <v>8</v>
      </c>
      <c r="F87" s="80">
        <v>8</v>
      </c>
      <c r="G87" s="80">
        <v>8</v>
      </c>
      <c r="H87" s="80">
        <v>7</v>
      </c>
      <c r="I87" s="80">
        <v>7</v>
      </c>
      <c r="J87" s="80">
        <v>7</v>
      </c>
      <c r="K87" s="80">
        <v>7</v>
      </c>
      <c r="L87" s="80">
        <v>7</v>
      </c>
      <c r="M87" s="80">
        <v>7</v>
      </c>
      <c r="N87" s="80">
        <v>7</v>
      </c>
      <c r="O87" s="80">
        <v>7</v>
      </c>
      <c r="P87" s="80">
        <v>7</v>
      </c>
      <c r="Q87" s="80">
        <v>7</v>
      </c>
      <c r="R87" s="80">
        <v>7</v>
      </c>
      <c r="S87" s="80">
        <v>7</v>
      </c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20"/>
      <c r="BC87" s="20"/>
      <c r="BD87" s="20"/>
      <c r="BE87" s="20"/>
      <c r="BF87" s="20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19"/>
      <c r="BR87" s="19"/>
      <c r="BS87" s="19"/>
    </row>
    <row r="88" spans="1:71" ht="14.25" customHeight="1">
      <c r="A88" s="9">
        <v>8</v>
      </c>
      <c r="B88" s="78">
        <f>OVERALL!B11</f>
        <v>2301258</v>
      </c>
      <c r="C88" s="79" t="str">
        <f>OVERALL!C11</f>
        <v>Ritesh Thakur</v>
      </c>
      <c r="D88" s="80">
        <v>0</v>
      </c>
      <c r="E88" s="80">
        <v>0</v>
      </c>
      <c r="F88" s="80">
        <v>0</v>
      </c>
      <c r="G88" s="80">
        <v>0</v>
      </c>
      <c r="H88" s="80">
        <v>0</v>
      </c>
      <c r="I88" s="80">
        <v>0</v>
      </c>
      <c r="J88" s="80">
        <v>0</v>
      </c>
      <c r="K88" s="80">
        <v>0</v>
      </c>
      <c r="L88" s="80">
        <v>0</v>
      </c>
      <c r="M88" s="80">
        <v>0</v>
      </c>
      <c r="N88" s="80">
        <v>0</v>
      </c>
      <c r="O88" s="80">
        <v>0</v>
      </c>
      <c r="P88" s="80">
        <v>0</v>
      </c>
      <c r="Q88" s="80">
        <v>0</v>
      </c>
      <c r="R88" s="80">
        <v>0</v>
      </c>
      <c r="S88" s="80">
        <v>0</v>
      </c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20"/>
      <c r="BC88" s="20"/>
      <c r="BD88" s="20"/>
      <c r="BE88" s="20"/>
      <c r="BF88" s="20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19"/>
      <c r="BR88" s="19"/>
      <c r="BS88" s="19"/>
    </row>
    <row r="89" spans="1:71" ht="14.25" customHeight="1">
      <c r="A89" s="9">
        <v>9</v>
      </c>
      <c r="B89" s="78">
        <f>OVERALL!B12</f>
        <v>2301259</v>
      </c>
      <c r="C89" s="79" t="str">
        <f>OVERALL!C12</f>
        <v>Riya Thakur</v>
      </c>
      <c r="D89" s="80">
        <v>10</v>
      </c>
      <c r="E89" s="80">
        <v>10</v>
      </c>
      <c r="F89" s="80">
        <v>10</v>
      </c>
      <c r="G89" s="80">
        <v>10</v>
      </c>
      <c r="H89" s="80">
        <v>10</v>
      </c>
      <c r="I89" s="80">
        <v>10</v>
      </c>
      <c r="J89" s="80">
        <v>10</v>
      </c>
      <c r="K89" s="80">
        <v>10</v>
      </c>
      <c r="L89" s="80">
        <v>10</v>
      </c>
      <c r="M89" s="80">
        <v>10</v>
      </c>
      <c r="N89" s="80">
        <v>10</v>
      </c>
      <c r="O89" s="80">
        <v>10</v>
      </c>
      <c r="P89" s="80">
        <v>10</v>
      </c>
      <c r="Q89" s="80">
        <v>10</v>
      </c>
      <c r="R89" s="80">
        <v>10</v>
      </c>
      <c r="S89" s="80">
        <v>10</v>
      </c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20"/>
      <c r="BC89" s="20"/>
      <c r="BD89" s="20"/>
      <c r="BE89" s="20"/>
      <c r="BF89" s="20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19"/>
      <c r="BR89" s="19"/>
      <c r="BS89" s="19"/>
    </row>
    <row r="90" spans="1:71" ht="14.25" customHeight="1">
      <c r="A90" s="9">
        <v>10</v>
      </c>
      <c r="B90" s="78">
        <f>OVERALL!B13</f>
        <v>2301260</v>
      </c>
      <c r="C90" s="79" t="str">
        <f>OVERALL!C13</f>
        <v>Rounit Dhiman</v>
      </c>
      <c r="D90" s="80">
        <v>10</v>
      </c>
      <c r="E90" s="80">
        <v>10</v>
      </c>
      <c r="F90" s="80">
        <v>9</v>
      </c>
      <c r="G90" s="80">
        <v>9</v>
      </c>
      <c r="H90" s="80">
        <v>9</v>
      </c>
      <c r="I90" s="80">
        <v>9</v>
      </c>
      <c r="J90" s="80">
        <v>9</v>
      </c>
      <c r="K90" s="80">
        <v>9</v>
      </c>
      <c r="L90" s="80">
        <v>9</v>
      </c>
      <c r="M90" s="80">
        <v>9</v>
      </c>
      <c r="N90" s="80">
        <v>9</v>
      </c>
      <c r="O90" s="80">
        <v>9</v>
      </c>
      <c r="P90" s="80">
        <v>9</v>
      </c>
      <c r="Q90" s="80">
        <v>9</v>
      </c>
      <c r="R90" s="80">
        <v>9</v>
      </c>
      <c r="S90" s="80">
        <v>9</v>
      </c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20"/>
      <c r="BC90" s="20"/>
      <c r="BD90" s="20"/>
      <c r="BE90" s="20"/>
      <c r="BF90" s="20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19"/>
      <c r="BR90" s="19"/>
      <c r="BS90" s="19"/>
    </row>
    <row r="91" spans="1:71" ht="14.25" customHeight="1">
      <c r="A91" s="9">
        <v>11</v>
      </c>
      <c r="B91" s="78">
        <f>OVERALL!B14</f>
        <v>2301261</v>
      </c>
      <c r="C91" s="79" t="str">
        <f>OVERALL!C14</f>
        <v>Rubby Kumari</v>
      </c>
      <c r="D91" s="80">
        <v>8</v>
      </c>
      <c r="E91" s="80">
        <v>8</v>
      </c>
      <c r="F91" s="80">
        <v>8</v>
      </c>
      <c r="G91" s="80">
        <v>8</v>
      </c>
      <c r="H91" s="80">
        <v>8</v>
      </c>
      <c r="I91" s="80">
        <v>8</v>
      </c>
      <c r="J91" s="80">
        <v>8</v>
      </c>
      <c r="K91" s="80">
        <v>8</v>
      </c>
      <c r="L91" s="80">
        <v>8</v>
      </c>
      <c r="M91" s="80">
        <v>8</v>
      </c>
      <c r="N91" s="80">
        <v>8</v>
      </c>
      <c r="O91" s="80">
        <v>8</v>
      </c>
      <c r="P91" s="80">
        <v>8</v>
      </c>
      <c r="Q91" s="80">
        <v>8</v>
      </c>
      <c r="R91" s="80">
        <v>8</v>
      </c>
      <c r="S91" s="80">
        <v>8</v>
      </c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20"/>
      <c r="BC91" s="20"/>
      <c r="BD91" s="20"/>
      <c r="BE91" s="20"/>
      <c r="BF91" s="20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19"/>
      <c r="BR91" s="19"/>
      <c r="BS91" s="19"/>
    </row>
    <row r="92" spans="1:71" ht="14.25" customHeight="1">
      <c r="A92" s="9">
        <v>12</v>
      </c>
      <c r="B92" s="78">
        <f>OVERALL!B15</f>
        <v>2301262</v>
      </c>
      <c r="C92" s="79" t="str">
        <f>OVERALL!C15</f>
        <v>Sakshi Devi</v>
      </c>
      <c r="D92" s="80">
        <v>10</v>
      </c>
      <c r="E92" s="80">
        <v>9</v>
      </c>
      <c r="F92" s="80">
        <v>8</v>
      </c>
      <c r="G92" s="80">
        <v>8</v>
      </c>
      <c r="H92" s="80">
        <v>8</v>
      </c>
      <c r="I92" s="80">
        <v>8</v>
      </c>
      <c r="J92" s="80">
        <v>8</v>
      </c>
      <c r="K92" s="80">
        <v>8</v>
      </c>
      <c r="L92" s="80">
        <v>8</v>
      </c>
      <c r="M92" s="80">
        <v>8</v>
      </c>
      <c r="N92" s="80">
        <v>8</v>
      </c>
      <c r="O92" s="80">
        <v>8</v>
      </c>
      <c r="P92" s="80">
        <v>8</v>
      </c>
      <c r="Q92" s="80">
        <v>8</v>
      </c>
      <c r="R92" s="80">
        <v>8</v>
      </c>
      <c r="S92" s="80">
        <v>8</v>
      </c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20"/>
      <c r="BC92" s="20"/>
      <c r="BD92" s="20"/>
      <c r="BE92" s="20"/>
      <c r="BF92" s="20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19"/>
      <c r="BR92" s="19"/>
      <c r="BS92" s="19"/>
    </row>
    <row r="93" spans="1:71" ht="14.25" customHeight="1">
      <c r="A93" s="9">
        <v>13</v>
      </c>
      <c r="B93" s="78">
        <f>OVERALL!B16</f>
        <v>2301263</v>
      </c>
      <c r="C93" s="79" t="str">
        <f>OVERALL!C16</f>
        <v>Sanchi Sharma</v>
      </c>
      <c r="D93" s="80">
        <v>10</v>
      </c>
      <c r="E93" s="80">
        <v>10</v>
      </c>
      <c r="F93" s="80">
        <v>10</v>
      </c>
      <c r="G93" s="80">
        <v>10</v>
      </c>
      <c r="H93" s="80">
        <v>10</v>
      </c>
      <c r="I93" s="80">
        <v>10</v>
      </c>
      <c r="J93" s="80">
        <v>10</v>
      </c>
      <c r="K93" s="80">
        <v>10</v>
      </c>
      <c r="L93" s="80">
        <v>10</v>
      </c>
      <c r="M93" s="80">
        <v>10</v>
      </c>
      <c r="N93" s="80">
        <v>10</v>
      </c>
      <c r="O93" s="80">
        <v>10</v>
      </c>
      <c r="P93" s="80">
        <v>10</v>
      </c>
      <c r="Q93" s="80">
        <v>10</v>
      </c>
      <c r="R93" s="80">
        <v>10</v>
      </c>
      <c r="S93" s="80">
        <v>10</v>
      </c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20"/>
      <c r="BC93" s="20"/>
      <c r="BD93" s="20"/>
      <c r="BE93" s="20"/>
      <c r="BF93" s="20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19"/>
      <c r="BR93" s="19"/>
      <c r="BS93" s="19"/>
    </row>
    <row r="94" spans="1:71" ht="14.25" customHeight="1">
      <c r="A94" s="9">
        <v>14</v>
      </c>
      <c r="B94" s="78">
        <f>OVERALL!B17</f>
        <v>2301264</v>
      </c>
      <c r="C94" s="79" t="str">
        <f>OVERALL!C17</f>
        <v>Sarbjit Singh</v>
      </c>
      <c r="D94" s="80">
        <v>8</v>
      </c>
      <c r="E94" s="80">
        <v>8</v>
      </c>
      <c r="F94" s="80">
        <v>8</v>
      </c>
      <c r="G94" s="80">
        <v>8</v>
      </c>
      <c r="H94" s="80">
        <v>8</v>
      </c>
      <c r="I94" s="80">
        <v>7</v>
      </c>
      <c r="J94" s="80">
        <v>5</v>
      </c>
      <c r="K94" s="80">
        <v>5</v>
      </c>
      <c r="L94" s="80">
        <v>5</v>
      </c>
      <c r="M94" s="80">
        <v>5</v>
      </c>
      <c r="N94" s="80">
        <v>5</v>
      </c>
      <c r="O94" s="80">
        <v>5</v>
      </c>
      <c r="P94" s="80">
        <v>5</v>
      </c>
      <c r="Q94" s="80">
        <v>5</v>
      </c>
      <c r="R94" s="80">
        <v>5</v>
      </c>
      <c r="S94" s="80">
        <v>5</v>
      </c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20"/>
      <c r="BC94" s="20"/>
      <c r="BD94" s="20"/>
      <c r="BE94" s="20"/>
      <c r="BF94" s="20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19"/>
      <c r="BR94" s="19"/>
      <c r="BS94" s="19"/>
    </row>
    <row r="95" spans="1:71" ht="14.25" customHeight="1">
      <c r="A95" s="9">
        <v>15</v>
      </c>
      <c r="B95" s="78">
        <f>OVERALL!B18</f>
        <v>2301265</v>
      </c>
      <c r="C95" s="79" t="str">
        <f>OVERALL!C18</f>
        <v>Sarif Mayangmayum</v>
      </c>
      <c r="D95" s="80">
        <v>9</v>
      </c>
      <c r="E95" s="80">
        <v>9</v>
      </c>
      <c r="F95" s="80">
        <v>8</v>
      </c>
      <c r="G95" s="80">
        <v>8</v>
      </c>
      <c r="H95" s="80">
        <v>8</v>
      </c>
      <c r="I95" s="80">
        <v>8</v>
      </c>
      <c r="J95" s="80">
        <v>8</v>
      </c>
      <c r="K95" s="80">
        <v>8</v>
      </c>
      <c r="L95" s="80">
        <v>8</v>
      </c>
      <c r="M95" s="80">
        <v>8</v>
      </c>
      <c r="N95" s="80">
        <v>8</v>
      </c>
      <c r="O95" s="80">
        <v>8</v>
      </c>
      <c r="P95" s="80">
        <v>8</v>
      </c>
      <c r="Q95" s="80">
        <v>8</v>
      </c>
      <c r="R95" s="80">
        <v>8</v>
      </c>
      <c r="S95" s="80">
        <v>8</v>
      </c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20"/>
      <c r="BC95" s="20"/>
      <c r="BD95" s="20"/>
      <c r="BE95" s="20"/>
      <c r="BF95" s="20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19"/>
      <c r="BR95" s="19"/>
      <c r="BS95" s="19"/>
    </row>
    <row r="96" spans="1:71" ht="14.25" customHeight="1">
      <c r="A96" s="9">
        <v>16</v>
      </c>
      <c r="B96" s="78">
        <f>OVERALL!B19</f>
        <v>2301267</v>
      </c>
      <c r="C96" s="79" t="str">
        <f>OVERALL!C19</f>
        <v>Shivam Kumar Chaubey</v>
      </c>
      <c r="D96" s="80">
        <v>10</v>
      </c>
      <c r="E96" s="80">
        <v>10</v>
      </c>
      <c r="F96" s="80">
        <v>9</v>
      </c>
      <c r="G96" s="80">
        <v>10</v>
      </c>
      <c r="H96" s="80">
        <v>10</v>
      </c>
      <c r="I96" s="80">
        <v>9</v>
      </c>
      <c r="J96" s="80">
        <v>10</v>
      </c>
      <c r="K96" s="80">
        <v>9</v>
      </c>
      <c r="L96" s="80">
        <v>10</v>
      </c>
      <c r="M96" s="80">
        <v>10</v>
      </c>
      <c r="N96" s="80">
        <v>10</v>
      </c>
      <c r="O96" s="80">
        <v>10</v>
      </c>
      <c r="P96" s="80">
        <v>10</v>
      </c>
      <c r="Q96" s="80">
        <v>10</v>
      </c>
      <c r="R96" s="80">
        <v>10</v>
      </c>
      <c r="S96" s="80">
        <v>10</v>
      </c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20"/>
      <c r="BC96" s="20"/>
      <c r="BD96" s="20"/>
      <c r="BE96" s="20"/>
      <c r="BF96" s="20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19"/>
      <c r="BR96" s="19"/>
      <c r="BS96" s="19"/>
    </row>
    <row r="97" spans="1:71" ht="14.25" customHeight="1">
      <c r="A97" s="9">
        <v>17</v>
      </c>
      <c r="B97" s="78">
        <f>OVERALL!B20</f>
        <v>2301268</v>
      </c>
      <c r="C97" s="79" t="str">
        <f>OVERALL!C20</f>
        <v>Simba Godfrey</v>
      </c>
      <c r="D97" s="80">
        <v>10</v>
      </c>
      <c r="E97" s="80">
        <v>10</v>
      </c>
      <c r="F97" s="80">
        <v>9</v>
      </c>
      <c r="G97" s="80">
        <v>9</v>
      </c>
      <c r="H97" s="80">
        <v>10</v>
      </c>
      <c r="I97" s="80">
        <v>10</v>
      </c>
      <c r="J97" s="80">
        <v>10</v>
      </c>
      <c r="K97" s="80">
        <v>10</v>
      </c>
      <c r="L97" s="80">
        <v>9</v>
      </c>
      <c r="M97" s="80">
        <v>9</v>
      </c>
      <c r="N97" s="80">
        <v>9</v>
      </c>
      <c r="O97" s="80">
        <v>10</v>
      </c>
      <c r="P97" s="80">
        <v>9</v>
      </c>
      <c r="Q97" s="80">
        <v>9</v>
      </c>
      <c r="R97" s="80">
        <v>9</v>
      </c>
      <c r="S97" s="80">
        <v>9</v>
      </c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20"/>
      <c r="BC97" s="20"/>
      <c r="BD97" s="20"/>
      <c r="BE97" s="20"/>
      <c r="BF97" s="20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19"/>
      <c r="BR97" s="19"/>
      <c r="BS97" s="19"/>
    </row>
    <row r="98" spans="1:71" ht="14.25" customHeight="1">
      <c r="A98" s="9">
        <v>18</v>
      </c>
      <c r="B98" s="78">
        <f>OVERALL!B21</f>
        <v>2301269</v>
      </c>
      <c r="C98" s="79" t="str">
        <f>OVERALL!C21</f>
        <v>Simran Kaur</v>
      </c>
      <c r="D98" s="80">
        <v>10</v>
      </c>
      <c r="E98" s="80">
        <v>9</v>
      </c>
      <c r="F98" s="80">
        <v>10</v>
      </c>
      <c r="G98" s="80">
        <v>10</v>
      </c>
      <c r="H98" s="80">
        <v>9</v>
      </c>
      <c r="I98" s="80">
        <v>9</v>
      </c>
      <c r="J98" s="80">
        <v>10</v>
      </c>
      <c r="K98" s="80">
        <v>10</v>
      </c>
      <c r="L98" s="80">
        <v>10</v>
      </c>
      <c r="M98" s="80">
        <v>10</v>
      </c>
      <c r="N98" s="80">
        <v>10</v>
      </c>
      <c r="O98" s="80">
        <v>10</v>
      </c>
      <c r="P98" s="80">
        <v>10</v>
      </c>
      <c r="Q98" s="80">
        <v>10</v>
      </c>
      <c r="R98" s="80">
        <v>10</v>
      </c>
      <c r="S98" s="80">
        <v>10</v>
      </c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20"/>
      <c r="BC98" s="20"/>
      <c r="BD98" s="20"/>
      <c r="BE98" s="20"/>
      <c r="BF98" s="20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19"/>
      <c r="BR98" s="19"/>
      <c r="BS98" s="19"/>
    </row>
    <row r="99" spans="1:71" ht="14.25" customHeight="1">
      <c r="A99" s="9">
        <v>19</v>
      </c>
      <c r="B99" s="78">
        <f>OVERALL!B22</f>
        <v>2301270</v>
      </c>
      <c r="C99" s="79" t="str">
        <f>OVERALL!C22</f>
        <v>Simranjit Singh</v>
      </c>
      <c r="D99" s="80">
        <v>10</v>
      </c>
      <c r="E99" s="80">
        <v>10</v>
      </c>
      <c r="F99" s="80">
        <v>8</v>
      </c>
      <c r="G99" s="80">
        <v>8</v>
      </c>
      <c r="H99" s="80">
        <v>8</v>
      </c>
      <c r="I99" s="80">
        <v>8</v>
      </c>
      <c r="J99" s="80">
        <v>8</v>
      </c>
      <c r="K99" s="80">
        <v>8</v>
      </c>
      <c r="L99" s="80">
        <v>8</v>
      </c>
      <c r="M99" s="80">
        <v>8</v>
      </c>
      <c r="N99" s="80">
        <v>8</v>
      </c>
      <c r="O99" s="80">
        <v>8</v>
      </c>
      <c r="P99" s="80">
        <v>8</v>
      </c>
      <c r="Q99" s="80">
        <v>8</v>
      </c>
      <c r="R99" s="80">
        <v>8</v>
      </c>
      <c r="S99" s="80">
        <v>8</v>
      </c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20"/>
      <c r="BC99" s="20"/>
      <c r="BD99" s="20"/>
      <c r="BE99" s="20"/>
      <c r="BF99" s="20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19"/>
      <c r="BR99" s="19"/>
      <c r="BS99" s="19"/>
    </row>
    <row r="100" spans="1:71" ht="14.25" customHeight="1">
      <c r="A100" s="9">
        <v>20</v>
      </c>
      <c r="B100" s="78">
        <f>OVERALL!B23</f>
        <v>2301271</v>
      </c>
      <c r="C100" s="79" t="str">
        <f>OVERALL!C23</f>
        <v>Sudip Sunar</v>
      </c>
      <c r="D100" s="80">
        <v>10</v>
      </c>
      <c r="E100" s="80">
        <v>10</v>
      </c>
      <c r="F100" s="80">
        <v>8</v>
      </c>
      <c r="G100" s="80">
        <v>8</v>
      </c>
      <c r="H100" s="80">
        <v>8</v>
      </c>
      <c r="I100" s="80">
        <v>8</v>
      </c>
      <c r="J100" s="80">
        <v>8</v>
      </c>
      <c r="K100" s="80">
        <v>8</v>
      </c>
      <c r="L100" s="80">
        <v>8</v>
      </c>
      <c r="M100" s="80">
        <v>8</v>
      </c>
      <c r="N100" s="80">
        <v>8</v>
      </c>
      <c r="O100" s="80">
        <v>8</v>
      </c>
      <c r="P100" s="80">
        <v>8</v>
      </c>
      <c r="Q100" s="80">
        <v>8</v>
      </c>
      <c r="R100" s="80">
        <v>8</v>
      </c>
      <c r="S100" s="80">
        <v>8</v>
      </c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20"/>
      <c r="BC100" s="20"/>
      <c r="BD100" s="20"/>
      <c r="BE100" s="20"/>
      <c r="BF100" s="20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19"/>
      <c r="BR100" s="19"/>
      <c r="BS100" s="19"/>
    </row>
    <row r="101" spans="1:71" ht="14.25" customHeight="1">
      <c r="A101" s="9">
        <v>21</v>
      </c>
      <c r="B101" s="78">
        <f>OVERALL!B24</f>
        <v>2301272</v>
      </c>
      <c r="C101" s="79" t="str">
        <f>OVERALL!C24</f>
        <v>Sujal Sharma</v>
      </c>
      <c r="D101" s="80">
        <v>0</v>
      </c>
      <c r="E101" s="80">
        <v>0</v>
      </c>
      <c r="F101" s="80">
        <v>0</v>
      </c>
      <c r="G101" s="80">
        <v>0</v>
      </c>
      <c r="H101" s="80">
        <v>0</v>
      </c>
      <c r="I101" s="80">
        <v>0</v>
      </c>
      <c r="J101" s="80">
        <v>0</v>
      </c>
      <c r="K101" s="80">
        <v>0</v>
      </c>
      <c r="L101" s="80">
        <v>0</v>
      </c>
      <c r="M101" s="80">
        <v>0</v>
      </c>
      <c r="N101" s="80">
        <v>0</v>
      </c>
      <c r="O101" s="80">
        <v>0</v>
      </c>
      <c r="P101" s="80">
        <v>0</v>
      </c>
      <c r="Q101" s="80">
        <v>0</v>
      </c>
      <c r="R101" s="80">
        <v>0</v>
      </c>
      <c r="S101" s="80">
        <v>0</v>
      </c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20"/>
      <c r="BC101" s="20"/>
      <c r="BD101" s="20"/>
      <c r="BE101" s="20"/>
      <c r="BF101" s="20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19"/>
      <c r="BR101" s="19"/>
      <c r="BS101" s="19"/>
    </row>
    <row r="102" spans="1:71" ht="14.25" customHeight="1">
      <c r="A102" s="9">
        <v>22</v>
      </c>
      <c r="B102" s="78">
        <f>OVERALL!B25</f>
        <v>2301273</v>
      </c>
      <c r="C102" s="79" t="str">
        <f>OVERALL!C25</f>
        <v>Sukhraj Singh</v>
      </c>
      <c r="D102" s="80">
        <v>9</v>
      </c>
      <c r="E102" s="80">
        <v>9</v>
      </c>
      <c r="F102" s="80">
        <v>9</v>
      </c>
      <c r="G102" s="80">
        <v>9</v>
      </c>
      <c r="H102" s="80">
        <v>9</v>
      </c>
      <c r="I102" s="80">
        <v>9</v>
      </c>
      <c r="J102" s="80">
        <v>9</v>
      </c>
      <c r="K102" s="80">
        <v>9</v>
      </c>
      <c r="L102" s="80">
        <v>9</v>
      </c>
      <c r="M102" s="80">
        <v>9</v>
      </c>
      <c r="N102" s="80">
        <v>9</v>
      </c>
      <c r="O102" s="80">
        <v>9</v>
      </c>
      <c r="P102" s="80">
        <v>9</v>
      </c>
      <c r="Q102" s="80">
        <v>9</v>
      </c>
      <c r="R102" s="80">
        <v>9</v>
      </c>
      <c r="S102" s="80">
        <v>9</v>
      </c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20"/>
      <c r="BC102" s="20"/>
      <c r="BD102" s="20"/>
      <c r="BE102" s="20"/>
      <c r="BF102" s="20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19"/>
      <c r="BR102" s="19"/>
      <c r="BS102" s="19"/>
    </row>
    <row r="103" spans="1:71" ht="14.25" customHeight="1">
      <c r="A103" s="9">
        <v>23</v>
      </c>
      <c r="B103" s="78">
        <f>OVERALL!B26</f>
        <v>2301274</v>
      </c>
      <c r="C103" s="79" t="str">
        <f>OVERALL!C26</f>
        <v>Sukhreet Kaur</v>
      </c>
      <c r="D103" s="80">
        <v>10</v>
      </c>
      <c r="E103" s="80">
        <v>10</v>
      </c>
      <c r="F103" s="80">
        <v>10</v>
      </c>
      <c r="G103" s="80">
        <v>10</v>
      </c>
      <c r="H103" s="80">
        <v>9</v>
      </c>
      <c r="I103" s="80">
        <v>9</v>
      </c>
      <c r="J103" s="80">
        <v>9</v>
      </c>
      <c r="K103" s="80">
        <v>9</v>
      </c>
      <c r="L103" s="80">
        <v>10</v>
      </c>
      <c r="M103" s="80">
        <v>10</v>
      </c>
      <c r="N103" s="80">
        <v>10</v>
      </c>
      <c r="O103" s="80">
        <v>10</v>
      </c>
      <c r="P103" s="80">
        <v>10</v>
      </c>
      <c r="Q103" s="80">
        <v>10</v>
      </c>
      <c r="R103" s="80">
        <v>10</v>
      </c>
      <c r="S103" s="80">
        <v>10</v>
      </c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20"/>
      <c r="BC103" s="20"/>
      <c r="BD103" s="20"/>
      <c r="BE103" s="20"/>
      <c r="BF103" s="20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19"/>
      <c r="BR103" s="19"/>
      <c r="BS103" s="19"/>
    </row>
    <row r="104" spans="1:71" ht="14.25" customHeight="1">
      <c r="A104" s="9">
        <v>24</v>
      </c>
      <c r="B104" s="78">
        <f>OVERALL!B27</f>
        <v>2301275</v>
      </c>
      <c r="C104" s="79" t="str">
        <f>OVERALL!C27</f>
        <v>Suman Krishna</v>
      </c>
      <c r="D104" s="80">
        <v>10</v>
      </c>
      <c r="E104" s="80">
        <v>10</v>
      </c>
      <c r="F104" s="80">
        <v>9</v>
      </c>
      <c r="G104" s="80">
        <v>9</v>
      </c>
      <c r="H104" s="80">
        <v>10</v>
      </c>
      <c r="I104" s="80">
        <v>10</v>
      </c>
      <c r="J104" s="80">
        <v>10</v>
      </c>
      <c r="K104" s="80">
        <v>10</v>
      </c>
      <c r="L104" s="80">
        <v>10</v>
      </c>
      <c r="M104" s="80">
        <v>10</v>
      </c>
      <c r="N104" s="80">
        <v>10</v>
      </c>
      <c r="O104" s="80">
        <v>10</v>
      </c>
      <c r="P104" s="80">
        <v>10</v>
      </c>
      <c r="Q104" s="80">
        <v>10</v>
      </c>
      <c r="R104" s="80">
        <v>10</v>
      </c>
      <c r="S104" s="80">
        <v>10</v>
      </c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20"/>
      <c r="BC104" s="20"/>
      <c r="BD104" s="20"/>
      <c r="BE104" s="20"/>
      <c r="BF104" s="20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19"/>
      <c r="BR104" s="19"/>
      <c r="BS104" s="19"/>
    </row>
    <row r="105" spans="1:71" ht="14.25" customHeight="1">
      <c r="A105" s="9">
        <v>25</v>
      </c>
      <c r="B105" s="78">
        <f>OVERALL!B28</f>
        <v>2301277</v>
      </c>
      <c r="C105" s="79" t="str">
        <f>OVERALL!C28</f>
        <v>Tamana</v>
      </c>
      <c r="D105" s="80">
        <v>9</v>
      </c>
      <c r="E105" s="80">
        <v>9</v>
      </c>
      <c r="F105" s="80">
        <v>9</v>
      </c>
      <c r="G105" s="80">
        <v>9</v>
      </c>
      <c r="H105" s="80">
        <v>10</v>
      </c>
      <c r="I105" s="80">
        <v>10</v>
      </c>
      <c r="J105" s="80">
        <v>10</v>
      </c>
      <c r="K105" s="80">
        <v>10</v>
      </c>
      <c r="L105" s="80">
        <v>10</v>
      </c>
      <c r="M105" s="80">
        <v>10</v>
      </c>
      <c r="N105" s="80">
        <v>10</v>
      </c>
      <c r="O105" s="80">
        <v>10</v>
      </c>
      <c r="P105" s="80">
        <v>10</v>
      </c>
      <c r="Q105" s="80">
        <v>10</v>
      </c>
      <c r="R105" s="80">
        <v>10</v>
      </c>
      <c r="S105" s="80">
        <v>10</v>
      </c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20"/>
      <c r="BC105" s="20"/>
      <c r="BD105" s="20"/>
      <c r="BE105" s="20"/>
      <c r="BF105" s="20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19"/>
      <c r="BR105" s="19"/>
      <c r="BS105" s="19"/>
    </row>
    <row r="106" spans="1:71" ht="14.25" customHeight="1">
      <c r="A106" s="9">
        <v>26</v>
      </c>
      <c r="B106" s="78">
        <f>OVERALL!B29</f>
        <v>2301278</v>
      </c>
      <c r="C106" s="79" t="str">
        <f>OVERALL!C29</f>
        <v>Tamana Farooq Khanday</v>
      </c>
      <c r="D106" s="80">
        <v>9</v>
      </c>
      <c r="E106" s="80">
        <v>9</v>
      </c>
      <c r="F106" s="80">
        <v>9</v>
      </c>
      <c r="G106" s="80">
        <v>9</v>
      </c>
      <c r="H106" s="80">
        <v>8</v>
      </c>
      <c r="I106" s="80">
        <v>8</v>
      </c>
      <c r="J106" s="80">
        <v>8</v>
      </c>
      <c r="K106" s="80">
        <v>8</v>
      </c>
      <c r="L106" s="80">
        <v>8</v>
      </c>
      <c r="M106" s="80">
        <v>8</v>
      </c>
      <c r="N106" s="80">
        <v>8</v>
      </c>
      <c r="O106" s="80">
        <v>8</v>
      </c>
      <c r="P106" s="80">
        <v>8</v>
      </c>
      <c r="Q106" s="80">
        <v>8</v>
      </c>
      <c r="R106" s="80">
        <v>8</v>
      </c>
      <c r="S106" s="80">
        <v>8</v>
      </c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20"/>
      <c r="BC106" s="20"/>
      <c r="BD106" s="20"/>
      <c r="BE106" s="20"/>
      <c r="BF106" s="20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19"/>
      <c r="BR106" s="19"/>
      <c r="BS106" s="19"/>
    </row>
    <row r="107" spans="1:71" ht="14.25" customHeight="1">
      <c r="A107" s="9">
        <v>27</v>
      </c>
      <c r="B107" s="78">
        <f>OVERALL!B30</f>
        <v>2301279</v>
      </c>
      <c r="C107" s="79" t="str">
        <f>OVERALL!C30</f>
        <v>Tania</v>
      </c>
      <c r="D107" s="80">
        <v>10</v>
      </c>
      <c r="E107" s="80">
        <v>10</v>
      </c>
      <c r="F107" s="80">
        <v>8</v>
      </c>
      <c r="G107" s="80">
        <v>8</v>
      </c>
      <c r="H107" s="80">
        <v>9</v>
      </c>
      <c r="I107" s="80">
        <v>9</v>
      </c>
      <c r="J107" s="80">
        <v>9</v>
      </c>
      <c r="K107" s="80">
        <v>10</v>
      </c>
      <c r="L107" s="80">
        <v>10</v>
      </c>
      <c r="M107" s="80">
        <v>10</v>
      </c>
      <c r="N107" s="80">
        <v>10</v>
      </c>
      <c r="O107" s="80">
        <v>10</v>
      </c>
      <c r="P107" s="80">
        <v>10</v>
      </c>
      <c r="Q107" s="80">
        <v>10</v>
      </c>
      <c r="R107" s="80">
        <v>10</v>
      </c>
      <c r="S107" s="80">
        <v>10</v>
      </c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20"/>
      <c r="BC107" s="20"/>
      <c r="BD107" s="20"/>
      <c r="BE107" s="20"/>
      <c r="BF107" s="20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19"/>
      <c r="BR107" s="19"/>
      <c r="BS107" s="19"/>
    </row>
    <row r="108" spans="1:71" ht="14.25" customHeight="1">
      <c r="A108" s="9">
        <v>28</v>
      </c>
      <c r="B108" s="78">
        <f>OVERALL!B31</f>
        <v>2301280</v>
      </c>
      <c r="C108" s="79" t="str">
        <f>OVERALL!C31</f>
        <v>Taniya</v>
      </c>
      <c r="D108" s="80">
        <v>8</v>
      </c>
      <c r="E108" s="80">
        <v>9</v>
      </c>
      <c r="F108" s="80">
        <v>9</v>
      </c>
      <c r="G108" s="80">
        <v>9</v>
      </c>
      <c r="H108" s="80">
        <v>9</v>
      </c>
      <c r="I108" s="80">
        <v>9</v>
      </c>
      <c r="J108" s="80">
        <v>9</v>
      </c>
      <c r="K108" s="80">
        <v>9</v>
      </c>
      <c r="L108" s="80">
        <v>9</v>
      </c>
      <c r="M108" s="80">
        <v>9</v>
      </c>
      <c r="N108" s="80">
        <v>9</v>
      </c>
      <c r="O108" s="80">
        <v>9</v>
      </c>
      <c r="P108" s="80">
        <v>9</v>
      </c>
      <c r="Q108" s="80">
        <v>9</v>
      </c>
      <c r="R108" s="80">
        <v>9</v>
      </c>
      <c r="S108" s="80">
        <v>9</v>
      </c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20"/>
      <c r="BC108" s="20"/>
      <c r="BD108" s="20"/>
      <c r="BE108" s="20"/>
      <c r="BF108" s="20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19"/>
      <c r="BR108" s="19"/>
      <c r="BS108" s="19"/>
    </row>
    <row r="109" spans="1:71" ht="14.25" customHeight="1">
      <c r="A109" s="9">
        <v>29</v>
      </c>
      <c r="B109" s="78">
        <f>OVERALL!B32</f>
        <v>2301281</v>
      </c>
      <c r="C109" s="79" t="str">
        <f>OVERALL!C32</f>
        <v>Taziko Trakha</v>
      </c>
      <c r="D109" s="80">
        <v>10</v>
      </c>
      <c r="E109" s="80">
        <v>10</v>
      </c>
      <c r="F109" s="80">
        <v>9</v>
      </c>
      <c r="G109" s="80">
        <v>9</v>
      </c>
      <c r="H109" s="80">
        <v>9</v>
      </c>
      <c r="I109" s="80">
        <v>9</v>
      </c>
      <c r="J109" s="80">
        <v>9</v>
      </c>
      <c r="K109" s="80">
        <v>9</v>
      </c>
      <c r="L109" s="80">
        <v>9</v>
      </c>
      <c r="M109" s="80">
        <v>9</v>
      </c>
      <c r="N109" s="80">
        <v>9</v>
      </c>
      <c r="O109" s="80">
        <v>9</v>
      </c>
      <c r="P109" s="80">
        <v>9</v>
      </c>
      <c r="Q109" s="80">
        <v>9</v>
      </c>
      <c r="R109" s="80">
        <v>9</v>
      </c>
      <c r="S109" s="80">
        <v>9</v>
      </c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20"/>
      <c r="BC109" s="20"/>
      <c r="BD109" s="20"/>
      <c r="BE109" s="20"/>
      <c r="BF109" s="20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19"/>
      <c r="BR109" s="19"/>
      <c r="BS109" s="19"/>
    </row>
    <row r="110" spans="1:71" ht="14.25" customHeight="1">
      <c r="A110" s="9">
        <v>30</v>
      </c>
      <c r="B110" s="78">
        <f>OVERALL!B33</f>
        <v>2301283</v>
      </c>
      <c r="C110" s="79" t="str">
        <f>OVERALL!C33</f>
        <v>Vaibhav Shahi</v>
      </c>
      <c r="D110" s="80">
        <v>8</v>
      </c>
      <c r="E110" s="80">
        <v>8</v>
      </c>
      <c r="F110" s="80">
        <v>8</v>
      </c>
      <c r="G110" s="80">
        <v>8</v>
      </c>
      <c r="H110" s="80">
        <v>8</v>
      </c>
      <c r="I110" s="80">
        <v>9</v>
      </c>
      <c r="J110" s="80">
        <v>9</v>
      </c>
      <c r="K110" s="80">
        <v>9</v>
      </c>
      <c r="L110" s="80">
        <v>9</v>
      </c>
      <c r="M110" s="80">
        <v>9</v>
      </c>
      <c r="N110" s="80">
        <v>9</v>
      </c>
      <c r="O110" s="80">
        <v>9</v>
      </c>
      <c r="P110" s="80">
        <v>9</v>
      </c>
      <c r="Q110" s="80">
        <v>9</v>
      </c>
      <c r="R110" s="80">
        <v>9</v>
      </c>
      <c r="S110" s="80">
        <v>9</v>
      </c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20"/>
      <c r="BC110" s="20"/>
      <c r="BD110" s="20"/>
      <c r="BE110" s="20"/>
      <c r="BF110" s="20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19"/>
      <c r="BR110" s="19"/>
      <c r="BS110" s="19"/>
    </row>
    <row r="111" spans="1:71" ht="14.25" customHeight="1">
      <c r="A111" s="9">
        <v>31</v>
      </c>
      <c r="B111" s="78">
        <f>OVERALL!B34</f>
        <v>2301285</v>
      </c>
      <c r="C111" s="79" t="str">
        <f>OVERALL!C34</f>
        <v>Vansh Sharma</v>
      </c>
      <c r="D111" s="80">
        <v>9</v>
      </c>
      <c r="E111" s="80">
        <v>9</v>
      </c>
      <c r="F111" s="80">
        <v>6</v>
      </c>
      <c r="G111" s="80">
        <v>6</v>
      </c>
      <c r="H111" s="80">
        <v>6</v>
      </c>
      <c r="I111" s="80">
        <v>6</v>
      </c>
      <c r="J111" s="80">
        <v>6</v>
      </c>
      <c r="K111" s="80">
        <v>6</v>
      </c>
      <c r="L111" s="80">
        <v>6</v>
      </c>
      <c r="M111" s="80">
        <v>6</v>
      </c>
      <c r="N111" s="80">
        <v>6</v>
      </c>
      <c r="O111" s="80">
        <v>6</v>
      </c>
      <c r="P111" s="80">
        <v>6</v>
      </c>
      <c r="Q111" s="80">
        <v>6</v>
      </c>
      <c r="R111" s="80">
        <v>6</v>
      </c>
      <c r="S111" s="80">
        <v>6</v>
      </c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20"/>
      <c r="BC111" s="20"/>
      <c r="BD111" s="20"/>
      <c r="BE111" s="20"/>
      <c r="BF111" s="20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19"/>
      <c r="BR111" s="19"/>
      <c r="BS111" s="19"/>
    </row>
    <row r="112" spans="1:71" ht="14.25" customHeight="1">
      <c r="A112" s="9">
        <v>32</v>
      </c>
      <c r="B112" s="78">
        <f>OVERALL!B35</f>
        <v>2301286</v>
      </c>
      <c r="C112" s="79" t="str">
        <f>OVERALL!C35</f>
        <v>Vikramjit Singh</v>
      </c>
      <c r="D112" s="80">
        <v>0</v>
      </c>
      <c r="E112" s="80">
        <v>0</v>
      </c>
      <c r="F112" s="80">
        <v>0</v>
      </c>
      <c r="G112" s="80">
        <v>0</v>
      </c>
      <c r="H112" s="80">
        <v>0</v>
      </c>
      <c r="I112" s="80">
        <v>0</v>
      </c>
      <c r="J112" s="80">
        <v>0</v>
      </c>
      <c r="K112" s="80">
        <v>0</v>
      </c>
      <c r="L112" s="80">
        <v>0</v>
      </c>
      <c r="M112" s="80">
        <v>0</v>
      </c>
      <c r="N112" s="80">
        <v>0</v>
      </c>
      <c r="O112" s="80">
        <v>0</v>
      </c>
      <c r="P112" s="80">
        <v>0</v>
      </c>
      <c r="Q112" s="80">
        <v>0</v>
      </c>
      <c r="R112" s="80">
        <v>0</v>
      </c>
      <c r="S112" s="80">
        <v>0</v>
      </c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20"/>
      <c r="BC112" s="20"/>
      <c r="BD112" s="20"/>
      <c r="BE112" s="20"/>
      <c r="BF112" s="20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19"/>
      <c r="BR112" s="19"/>
      <c r="BS112" s="19"/>
    </row>
    <row r="113" spans="1:71" ht="14.25" customHeight="1">
      <c r="A113" s="9">
        <v>33</v>
      </c>
      <c r="B113" s="78">
        <f>OVERALL!B36</f>
        <v>2339508</v>
      </c>
      <c r="C113" s="79" t="str">
        <f>OVERALL!C36</f>
        <v>TANISHA</v>
      </c>
      <c r="D113" s="80">
        <v>10</v>
      </c>
      <c r="E113" s="80">
        <v>9</v>
      </c>
      <c r="F113" s="80">
        <v>9</v>
      </c>
      <c r="G113" s="80">
        <v>9</v>
      </c>
      <c r="H113" s="80">
        <v>9</v>
      </c>
      <c r="I113" s="80">
        <v>9</v>
      </c>
      <c r="J113" s="80">
        <v>9</v>
      </c>
      <c r="K113" s="80">
        <v>9</v>
      </c>
      <c r="L113" s="80">
        <v>9</v>
      </c>
      <c r="M113" s="80">
        <v>9</v>
      </c>
      <c r="N113" s="80">
        <v>9</v>
      </c>
      <c r="O113" s="80">
        <v>9</v>
      </c>
      <c r="P113" s="80">
        <v>9</v>
      </c>
      <c r="Q113" s="80">
        <v>9</v>
      </c>
      <c r="R113" s="80">
        <v>9</v>
      </c>
      <c r="S113" s="80">
        <v>9</v>
      </c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20"/>
      <c r="BC113" s="20"/>
      <c r="BD113" s="20"/>
      <c r="BE113" s="20"/>
      <c r="BF113" s="20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19"/>
      <c r="BR113" s="19"/>
      <c r="BS113" s="19"/>
    </row>
    <row r="114" spans="1:71" ht="14.25" customHeight="1">
      <c r="A114" s="9">
        <v>34</v>
      </c>
      <c r="B114" s="78">
        <f>OVERALL!B37</f>
        <v>2339509</v>
      </c>
      <c r="C114" s="79" t="str">
        <f>OVERALL!C37</f>
        <v>TOHIED AHMED</v>
      </c>
      <c r="D114" s="80">
        <v>0</v>
      </c>
      <c r="E114" s="80">
        <v>0</v>
      </c>
      <c r="F114" s="80">
        <v>0</v>
      </c>
      <c r="G114" s="80">
        <v>0</v>
      </c>
      <c r="H114" s="80">
        <v>0</v>
      </c>
      <c r="I114" s="80">
        <v>0</v>
      </c>
      <c r="J114" s="80">
        <v>0</v>
      </c>
      <c r="K114" s="80">
        <v>0</v>
      </c>
      <c r="L114" s="80">
        <v>0</v>
      </c>
      <c r="M114" s="80">
        <v>0</v>
      </c>
      <c r="N114" s="80">
        <v>0</v>
      </c>
      <c r="O114" s="80">
        <v>0</v>
      </c>
      <c r="P114" s="80">
        <v>0</v>
      </c>
      <c r="Q114" s="80">
        <v>0</v>
      </c>
      <c r="R114" s="80">
        <v>0</v>
      </c>
      <c r="S114" s="80">
        <v>0</v>
      </c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20"/>
      <c r="BC114" s="20"/>
      <c r="BD114" s="20"/>
      <c r="BE114" s="20"/>
      <c r="BF114" s="20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19"/>
      <c r="BR114" s="19"/>
      <c r="BS114" s="19"/>
    </row>
    <row r="115" spans="1:71" ht="14.25" customHeight="1">
      <c r="A115" s="9">
        <v>35</v>
      </c>
      <c r="B115" s="78" t="str">
        <f>OVERALL!B38</f>
        <v>Leet</v>
      </c>
      <c r="C115" s="79" t="str">
        <f>OVERALL!C38</f>
        <v>Gagan</v>
      </c>
      <c r="D115" s="80">
        <v>10</v>
      </c>
      <c r="E115" s="80">
        <v>10</v>
      </c>
      <c r="F115" s="80">
        <v>9</v>
      </c>
      <c r="G115" s="80">
        <v>9</v>
      </c>
      <c r="H115" s="80">
        <v>9</v>
      </c>
      <c r="I115" s="80">
        <v>9</v>
      </c>
      <c r="J115" s="80">
        <v>9</v>
      </c>
      <c r="K115" s="80">
        <v>9</v>
      </c>
      <c r="L115" s="80">
        <v>9</v>
      </c>
      <c r="M115" s="80">
        <v>9</v>
      </c>
      <c r="N115" s="80">
        <v>9</v>
      </c>
      <c r="O115" s="80">
        <v>9</v>
      </c>
      <c r="P115" s="80">
        <v>9</v>
      </c>
      <c r="Q115" s="80">
        <v>9</v>
      </c>
      <c r="R115" s="80">
        <v>9</v>
      </c>
      <c r="S115" s="80">
        <v>9</v>
      </c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20"/>
      <c r="BC115" s="20"/>
      <c r="BD115" s="20"/>
      <c r="BE115" s="20"/>
      <c r="BF115" s="20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19"/>
      <c r="BR115" s="19"/>
      <c r="BS115" s="19"/>
    </row>
    <row r="116" spans="1:71" ht="14.25" customHeight="1">
      <c r="A116" s="9">
        <v>36</v>
      </c>
      <c r="B116" s="78" t="str">
        <f>OVERALL!B39</f>
        <v>Leet</v>
      </c>
      <c r="C116" s="79" t="str">
        <f>OVERALL!C39</f>
        <v>Manisha</v>
      </c>
      <c r="D116" s="80">
        <v>10</v>
      </c>
      <c r="E116" s="80">
        <v>10</v>
      </c>
      <c r="F116" s="80">
        <v>10</v>
      </c>
      <c r="G116" s="80">
        <v>10</v>
      </c>
      <c r="H116" s="80">
        <v>10</v>
      </c>
      <c r="I116" s="80">
        <v>10</v>
      </c>
      <c r="J116" s="80">
        <v>10</v>
      </c>
      <c r="K116" s="80">
        <v>10</v>
      </c>
      <c r="L116" s="80">
        <v>10</v>
      </c>
      <c r="M116" s="80">
        <v>10</v>
      </c>
      <c r="N116" s="80">
        <v>10</v>
      </c>
      <c r="O116" s="80">
        <v>10</v>
      </c>
      <c r="P116" s="80">
        <v>10</v>
      </c>
      <c r="Q116" s="80">
        <v>10</v>
      </c>
      <c r="R116" s="80">
        <v>10</v>
      </c>
      <c r="S116" s="80">
        <v>10</v>
      </c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20"/>
      <c r="BC116" s="20"/>
      <c r="BD116" s="20"/>
      <c r="BE116" s="20"/>
      <c r="BF116" s="20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19"/>
      <c r="BR116" s="19"/>
      <c r="BS116" s="19"/>
    </row>
    <row r="117" spans="1:71" ht="14.25" customHeight="1">
      <c r="A117" s="9">
        <v>37</v>
      </c>
      <c r="B117" s="78" t="str">
        <f>OVERALL!B40</f>
        <v>Leet</v>
      </c>
      <c r="C117" s="79" t="str">
        <f>OVERALL!C40</f>
        <v>Richa</v>
      </c>
      <c r="D117" s="80">
        <v>10</v>
      </c>
      <c r="E117" s="80">
        <v>10</v>
      </c>
      <c r="F117" s="80">
        <v>9</v>
      </c>
      <c r="G117" s="80">
        <v>10</v>
      </c>
      <c r="H117" s="80">
        <v>9</v>
      </c>
      <c r="I117" s="80">
        <v>10</v>
      </c>
      <c r="J117" s="80">
        <v>10</v>
      </c>
      <c r="K117" s="80">
        <v>10</v>
      </c>
      <c r="L117" s="80">
        <v>10</v>
      </c>
      <c r="M117" s="80">
        <v>10</v>
      </c>
      <c r="N117" s="80">
        <v>10</v>
      </c>
      <c r="O117" s="80">
        <v>10</v>
      </c>
      <c r="P117" s="80">
        <v>10</v>
      </c>
      <c r="Q117" s="80">
        <v>10</v>
      </c>
      <c r="R117" s="80">
        <v>10</v>
      </c>
      <c r="S117" s="80">
        <v>10</v>
      </c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20"/>
      <c r="BC117" s="20"/>
      <c r="BD117" s="20"/>
      <c r="BE117" s="20"/>
      <c r="BF117" s="20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19"/>
      <c r="BR117" s="19"/>
      <c r="BS117" s="19"/>
    </row>
    <row r="118" spans="1:71" ht="14.25" customHeight="1">
      <c r="A118" s="9">
        <v>38</v>
      </c>
      <c r="B118" s="78" t="str">
        <f>OVERALL!B41</f>
        <v>Leet</v>
      </c>
      <c r="C118" s="79" t="str">
        <f>OVERALL!C41</f>
        <v>Prakriti</v>
      </c>
      <c r="D118" s="80">
        <v>10</v>
      </c>
      <c r="E118" s="80">
        <v>10</v>
      </c>
      <c r="F118" s="80">
        <v>10</v>
      </c>
      <c r="G118" s="80">
        <v>10</v>
      </c>
      <c r="H118" s="80">
        <v>10</v>
      </c>
      <c r="I118" s="80">
        <v>10</v>
      </c>
      <c r="J118" s="80">
        <v>10</v>
      </c>
      <c r="K118" s="80">
        <v>10</v>
      </c>
      <c r="L118" s="80">
        <v>10</v>
      </c>
      <c r="M118" s="80">
        <v>10</v>
      </c>
      <c r="N118" s="80">
        <v>10</v>
      </c>
      <c r="O118" s="80">
        <v>10</v>
      </c>
      <c r="P118" s="80">
        <v>10</v>
      </c>
      <c r="Q118" s="80">
        <v>10</v>
      </c>
      <c r="R118" s="80">
        <v>10</v>
      </c>
      <c r="S118" s="80">
        <v>10</v>
      </c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20"/>
      <c r="BC118" s="20"/>
      <c r="BD118" s="20"/>
      <c r="BE118" s="20"/>
      <c r="BF118" s="20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19"/>
      <c r="BR118" s="19"/>
      <c r="BS118" s="19"/>
    </row>
    <row r="119" spans="1:71" ht="14.25" customHeight="1">
      <c r="A119" s="9">
        <v>39</v>
      </c>
      <c r="B119" s="78" t="str">
        <f>OVERALL!B42</f>
        <v>leet</v>
      </c>
      <c r="C119" s="79" t="str">
        <f>OVERALL!C42</f>
        <v>Shubham</v>
      </c>
      <c r="D119" s="80">
        <v>10</v>
      </c>
      <c r="E119" s="80">
        <v>10</v>
      </c>
      <c r="F119" s="80">
        <v>10</v>
      </c>
      <c r="G119" s="80">
        <v>10</v>
      </c>
      <c r="H119" s="80">
        <v>10</v>
      </c>
      <c r="I119" s="80">
        <v>9</v>
      </c>
      <c r="J119" s="80">
        <v>10</v>
      </c>
      <c r="K119" s="80">
        <v>10</v>
      </c>
      <c r="L119" s="80">
        <v>10</v>
      </c>
      <c r="M119" s="80">
        <v>9</v>
      </c>
      <c r="N119" s="80">
        <v>9</v>
      </c>
      <c r="O119" s="80">
        <v>9</v>
      </c>
      <c r="P119" s="80">
        <v>9</v>
      </c>
      <c r="Q119" s="80">
        <v>9</v>
      </c>
      <c r="R119" s="80">
        <v>9</v>
      </c>
      <c r="S119" s="80">
        <v>9</v>
      </c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20"/>
      <c r="BC119" s="20"/>
      <c r="BD119" s="20"/>
      <c r="BE119" s="20"/>
      <c r="BF119" s="20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19"/>
      <c r="BR119" s="19"/>
      <c r="BS119" s="19"/>
    </row>
    <row r="120" spans="1:71" ht="14.25" customHeight="1">
      <c r="A120" s="9">
        <v>40</v>
      </c>
      <c r="B120" s="78">
        <f>OVERALL!B43</f>
        <v>2301381</v>
      </c>
      <c r="C120" s="79" t="str">
        <f>OVERALL!C43</f>
        <v>ADITYA</v>
      </c>
      <c r="D120" s="80"/>
      <c r="E120" s="80"/>
      <c r="F120" s="80"/>
      <c r="G120" s="80"/>
      <c r="H120" s="80">
        <v>10</v>
      </c>
      <c r="I120" s="80">
        <v>10</v>
      </c>
      <c r="J120" s="80">
        <v>9</v>
      </c>
      <c r="K120" s="80">
        <v>9</v>
      </c>
      <c r="L120" s="80">
        <v>9</v>
      </c>
      <c r="M120" s="80">
        <v>9</v>
      </c>
      <c r="N120" s="80">
        <v>9</v>
      </c>
      <c r="O120" s="80">
        <v>9</v>
      </c>
      <c r="P120" s="80">
        <v>9</v>
      </c>
      <c r="Q120" s="80">
        <v>9</v>
      </c>
      <c r="R120" s="80">
        <v>9</v>
      </c>
      <c r="S120" s="80">
        <v>9</v>
      </c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20"/>
      <c r="BC120" s="20"/>
      <c r="BD120" s="20"/>
      <c r="BE120" s="20"/>
      <c r="BF120" s="20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19"/>
      <c r="BR120" s="19"/>
      <c r="BS120" s="19"/>
    </row>
    <row r="121" spans="1:71" ht="14.25" customHeight="1">
      <c r="A121" s="9">
        <v>41</v>
      </c>
      <c r="B121" s="78">
        <f>OVERALL!B44</f>
        <v>2301382</v>
      </c>
      <c r="C121" s="79" t="str">
        <f>OVERALL!C44</f>
        <v>ANMOL</v>
      </c>
      <c r="D121" s="80"/>
      <c r="E121" s="80"/>
      <c r="F121" s="80"/>
      <c r="G121" s="80"/>
      <c r="H121" s="80">
        <v>8</v>
      </c>
      <c r="I121" s="80">
        <v>8</v>
      </c>
      <c r="J121" s="80">
        <v>10</v>
      </c>
      <c r="K121" s="80">
        <v>10</v>
      </c>
      <c r="L121" s="80">
        <v>10</v>
      </c>
      <c r="M121" s="80">
        <v>10</v>
      </c>
      <c r="N121" s="80">
        <v>9</v>
      </c>
      <c r="O121" s="80">
        <v>9</v>
      </c>
      <c r="P121" s="80">
        <v>9</v>
      </c>
      <c r="Q121" s="80">
        <v>9</v>
      </c>
      <c r="R121" s="80">
        <v>9</v>
      </c>
      <c r="S121" s="80">
        <v>9</v>
      </c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20"/>
      <c r="BC121" s="20"/>
      <c r="BD121" s="20"/>
      <c r="BE121" s="20"/>
      <c r="BF121" s="20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19"/>
      <c r="BR121" s="19"/>
      <c r="BS121" s="19"/>
    </row>
    <row r="122" spans="1:71" ht="14.25" customHeight="1">
      <c r="A122" s="9">
        <v>42</v>
      </c>
      <c r="B122" s="78">
        <f>OVERALL!B45</f>
        <v>2301383</v>
      </c>
      <c r="C122" s="79" t="str">
        <f>OVERALL!C45</f>
        <v>AURSH SHARMA</v>
      </c>
      <c r="D122" s="80"/>
      <c r="E122" s="80"/>
      <c r="F122" s="80"/>
      <c r="G122" s="80"/>
      <c r="H122" s="80">
        <v>8</v>
      </c>
      <c r="I122" s="80">
        <v>9</v>
      </c>
      <c r="J122" s="80">
        <v>9</v>
      </c>
      <c r="K122" s="80">
        <v>9</v>
      </c>
      <c r="L122" s="80">
        <v>9</v>
      </c>
      <c r="M122" s="80">
        <v>9</v>
      </c>
      <c r="N122" s="80">
        <v>9</v>
      </c>
      <c r="O122" s="80">
        <v>9</v>
      </c>
      <c r="P122" s="80">
        <v>9</v>
      </c>
      <c r="Q122" s="80">
        <v>9</v>
      </c>
      <c r="R122" s="80">
        <v>9</v>
      </c>
      <c r="S122" s="80">
        <v>9</v>
      </c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20"/>
      <c r="BC122" s="20"/>
      <c r="BD122" s="20"/>
      <c r="BE122" s="20"/>
      <c r="BF122" s="20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19"/>
      <c r="BR122" s="19"/>
      <c r="BS122" s="19"/>
    </row>
    <row r="123" spans="1:71" ht="14.25" customHeight="1">
      <c r="A123" s="9">
        <v>43</v>
      </c>
      <c r="B123" s="78">
        <f>OVERALL!B46</f>
        <v>2301384</v>
      </c>
      <c r="C123" s="79" t="str">
        <f>OVERALL!C46</f>
        <v>AVNEET SINGH</v>
      </c>
      <c r="D123" s="80"/>
      <c r="E123" s="80"/>
      <c r="F123" s="80"/>
      <c r="G123" s="80"/>
      <c r="H123" s="80">
        <v>8</v>
      </c>
      <c r="I123" s="80">
        <v>8</v>
      </c>
      <c r="J123" s="80">
        <v>9</v>
      </c>
      <c r="K123" s="80">
        <v>9</v>
      </c>
      <c r="L123" s="80">
        <v>8</v>
      </c>
      <c r="M123" s="80">
        <v>8</v>
      </c>
      <c r="N123" s="80">
        <v>8</v>
      </c>
      <c r="O123" s="80">
        <v>8</v>
      </c>
      <c r="P123" s="80">
        <v>8</v>
      </c>
      <c r="Q123" s="80">
        <v>8</v>
      </c>
      <c r="R123" s="80">
        <v>8</v>
      </c>
      <c r="S123" s="80">
        <v>8</v>
      </c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20"/>
      <c r="BC123" s="20"/>
      <c r="BD123" s="20"/>
      <c r="BE123" s="20"/>
      <c r="BF123" s="20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19"/>
      <c r="BR123" s="19"/>
      <c r="BS123" s="19"/>
    </row>
    <row r="124" spans="1:71" ht="14.25" customHeight="1">
      <c r="A124" s="9">
        <v>44</v>
      </c>
      <c r="B124" s="78">
        <f>OVERALL!B47</f>
        <v>2301385</v>
      </c>
      <c r="C124" s="79" t="str">
        <f>OVERALL!C47</f>
        <v>BOBBY</v>
      </c>
      <c r="D124" s="80"/>
      <c r="E124" s="80"/>
      <c r="F124" s="80"/>
      <c r="G124" s="80"/>
      <c r="H124" s="80">
        <v>10</v>
      </c>
      <c r="I124" s="80">
        <v>10</v>
      </c>
      <c r="J124" s="80">
        <v>8</v>
      </c>
      <c r="K124" s="80">
        <v>8</v>
      </c>
      <c r="L124" s="80">
        <v>8</v>
      </c>
      <c r="M124" s="80">
        <v>8</v>
      </c>
      <c r="N124" s="80">
        <v>8</v>
      </c>
      <c r="O124" s="80">
        <v>8</v>
      </c>
      <c r="P124" s="80">
        <v>8</v>
      </c>
      <c r="Q124" s="80">
        <v>8</v>
      </c>
      <c r="R124" s="80">
        <v>8</v>
      </c>
      <c r="S124" s="80">
        <v>8</v>
      </c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20"/>
      <c r="BC124" s="20"/>
      <c r="BD124" s="20"/>
      <c r="BE124" s="20"/>
      <c r="BF124" s="20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19"/>
      <c r="BR124" s="19"/>
      <c r="BS124" s="19"/>
    </row>
    <row r="125" spans="1:71" ht="14.25" customHeight="1">
      <c r="A125" s="9">
        <v>45</v>
      </c>
      <c r="B125" s="78">
        <f>OVERALL!B48</f>
        <v>2301386</v>
      </c>
      <c r="C125" s="79" t="str">
        <f>OVERALL!C48</f>
        <v>CHARANJIT SINGH</v>
      </c>
      <c r="D125" s="80"/>
      <c r="E125" s="80"/>
      <c r="F125" s="80"/>
      <c r="G125" s="80"/>
      <c r="H125" s="80">
        <v>8</v>
      </c>
      <c r="I125" s="80">
        <v>8</v>
      </c>
      <c r="J125" s="80">
        <v>9</v>
      </c>
      <c r="K125" s="80">
        <v>9</v>
      </c>
      <c r="L125" s="80">
        <v>9</v>
      </c>
      <c r="M125" s="80">
        <v>9</v>
      </c>
      <c r="N125" s="80">
        <v>9</v>
      </c>
      <c r="O125" s="80">
        <v>9</v>
      </c>
      <c r="P125" s="80">
        <v>9</v>
      </c>
      <c r="Q125" s="80">
        <v>9</v>
      </c>
      <c r="R125" s="80">
        <v>9</v>
      </c>
      <c r="S125" s="80">
        <v>9</v>
      </c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20"/>
      <c r="BC125" s="20"/>
      <c r="BD125" s="20"/>
      <c r="BE125" s="20"/>
      <c r="BF125" s="20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19"/>
      <c r="BR125" s="19"/>
      <c r="BS125" s="19"/>
    </row>
    <row r="126" spans="1:71" ht="14.25" customHeight="1">
      <c r="A126" s="9">
        <v>46</v>
      </c>
      <c r="B126" s="78">
        <f>OVERALL!B49</f>
        <v>2301387</v>
      </c>
      <c r="C126" s="79" t="str">
        <f>OVERALL!C49</f>
        <v>INDERBIR SINGH</v>
      </c>
      <c r="D126" s="80"/>
      <c r="E126" s="80"/>
      <c r="F126" s="80"/>
      <c r="G126" s="80"/>
      <c r="H126" s="80">
        <v>8</v>
      </c>
      <c r="I126" s="80">
        <v>9</v>
      </c>
      <c r="J126" s="80">
        <v>8</v>
      </c>
      <c r="K126" s="80">
        <v>8</v>
      </c>
      <c r="L126" s="80">
        <v>8</v>
      </c>
      <c r="M126" s="80">
        <v>8</v>
      </c>
      <c r="N126" s="80">
        <v>8</v>
      </c>
      <c r="O126" s="80">
        <v>8</v>
      </c>
      <c r="P126" s="80">
        <v>8</v>
      </c>
      <c r="Q126" s="80">
        <v>8</v>
      </c>
      <c r="R126" s="80">
        <v>8</v>
      </c>
      <c r="S126" s="80">
        <v>8</v>
      </c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20"/>
      <c r="BC126" s="20"/>
      <c r="BD126" s="20"/>
      <c r="BE126" s="20"/>
      <c r="BF126" s="20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19"/>
      <c r="BR126" s="19"/>
      <c r="BS126" s="19"/>
    </row>
    <row r="127" spans="1:71" ht="14.25" customHeight="1">
      <c r="A127" s="9">
        <v>47</v>
      </c>
      <c r="B127" s="78">
        <f>OVERALL!B50</f>
        <v>2301389</v>
      </c>
      <c r="C127" s="79" t="str">
        <f>OVERALL!C50</f>
        <v>JASMEEN</v>
      </c>
      <c r="D127" s="80"/>
      <c r="E127" s="80"/>
      <c r="F127" s="80"/>
      <c r="G127" s="80"/>
      <c r="H127" s="80">
        <v>9</v>
      </c>
      <c r="I127" s="80">
        <v>9</v>
      </c>
      <c r="J127" s="80">
        <v>9</v>
      </c>
      <c r="K127" s="80">
        <v>9</v>
      </c>
      <c r="L127" s="80">
        <v>9</v>
      </c>
      <c r="M127" s="80">
        <v>9</v>
      </c>
      <c r="N127" s="80">
        <v>9</v>
      </c>
      <c r="O127" s="80">
        <v>9</v>
      </c>
      <c r="P127" s="80">
        <v>9</v>
      </c>
      <c r="Q127" s="80">
        <v>9</v>
      </c>
      <c r="R127" s="80">
        <v>9</v>
      </c>
      <c r="S127" s="80">
        <v>9</v>
      </c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20"/>
      <c r="BC127" s="20"/>
      <c r="BD127" s="20"/>
      <c r="BE127" s="20"/>
      <c r="BF127" s="20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19"/>
      <c r="BR127" s="19"/>
      <c r="BS127" s="19"/>
    </row>
    <row r="128" spans="1:71" ht="14.25" customHeight="1">
      <c r="A128" s="9">
        <v>48</v>
      </c>
      <c r="B128" s="78">
        <f>OVERALL!B51</f>
        <v>2301390</v>
      </c>
      <c r="C128" s="79" t="str">
        <f>OVERALL!C51</f>
        <v>KUNDAN</v>
      </c>
      <c r="D128" s="80"/>
      <c r="E128" s="80"/>
      <c r="F128" s="80"/>
      <c r="G128" s="80"/>
      <c r="H128" s="80">
        <v>10</v>
      </c>
      <c r="I128" s="80">
        <v>10</v>
      </c>
      <c r="J128" s="80">
        <v>9</v>
      </c>
      <c r="K128" s="80">
        <v>9</v>
      </c>
      <c r="L128" s="80">
        <v>9</v>
      </c>
      <c r="M128" s="80">
        <v>9</v>
      </c>
      <c r="N128" s="80">
        <v>9</v>
      </c>
      <c r="O128" s="80">
        <v>9</v>
      </c>
      <c r="P128" s="80">
        <v>9</v>
      </c>
      <c r="Q128" s="80">
        <v>9</v>
      </c>
      <c r="R128" s="80">
        <v>9</v>
      </c>
      <c r="S128" s="80">
        <v>9</v>
      </c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20"/>
      <c r="BC128" s="20"/>
      <c r="BD128" s="20"/>
      <c r="BE128" s="20"/>
      <c r="BF128" s="20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19"/>
      <c r="BR128" s="19"/>
      <c r="BS128" s="19"/>
    </row>
    <row r="129" spans="1:71" ht="14.25" customHeight="1">
      <c r="A129" s="9">
        <v>49</v>
      </c>
      <c r="B129" s="78">
        <f>OVERALL!B52</f>
        <v>2301391</v>
      </c>
      <c r="C129" s="79" t="str">
        <f>OVERALL!C52</f>
        <v>MANVEER SINGH</v>
      </c>
      <c r="D129" s="80"/>
      <c r="E129" s="80"/>
      <c r="F129" s="80"/>
      <c r="G129" s="80"/>
      <c r="H129" s="80">
        <v>10</v>
      </c>
      <c r="I129" s="80">
        <v>10</v>
      </c>
      <c r="J129" s="80">
        <v>9</v>
      </c>
      <c r="K129" s="80">
        <v>8</v>
      </c>
      <c r="L129" s="80">
        <v>8</v>
      </c>
      <c r="M129" s="80">
        <v>9</v>
      </c>
      <c r="N129" s="80">
        <v>9</v>
      </c>
      <c r="O129" s="80">
        <v>9</v>
      </c>
      <c r="P129" s="80">
        <v>9</v>
      </c>
      <c r="Q129" s="80">
        <v>9</v>
      </c>
      <c r="R129" s="80">
        <v>9</v>
      </c>
      <c r="S129" s="80">
        <v>9</v>
      </c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20"/>
      <c r="BC129" s="20"/>
      <c r="BD129" s="20"/>
      <c r="BE129" s="20"/>
      <c r="BF129" s="20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19"/>
      <c r="BR129" s="19"/>
      <c r="BS129" s="19"/>
    </row>
    <row r="130" spans="1:71" ht="14.25" customHeight="1">
      <c r="A130" s="9">
        <v>50</v>
      </c>
      <c r="B130" s="78">
        <f>OVERALL!B53</f>
        <v>2301392</v>
      </c>
      <c r="C130" s="79" t="str">
        <f>OVERALL!C53</f>
        <v>MOHIT KUMAR</v>
      </c>
      <c r="D130" s="80"/>
      <c r="E130" s="80"/>
      <c r="F130" s="80"/>
      <c r="G130" s="80"/>
      <c r="H130" s="80">
        <v>8</v>
      </c>
      <c r="I130" s="80">
        <v>8</v>
      </c>
      <c r="J130" s="80">
        <v>8</v>
      </c>
      <c r="K130" s="80">
        <v>8</v>
      </c>
      <c r="L130" s="80">
        <v>8</v>
      </c>
      <c r="M130" s="80">
        <v>8</v>
      </c>
      <c r="N130" s="80">
        <v>8</v>
      </c>
      <c r="O130" s="80">
        <v>8</v>
      </c>
      <c r="P130" s="80">
        <v>8</v>
      </c>
      <c r="Q130" s="80">
        <v>8</v>
      </c>
      <c r="R130" s="80">
        <v>8</v>
      </c>
      <c r="S130" s="80">
        <v>8</v>
      </c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20"/>
      <c r="BC130" s="20"/>
      <c r="BD130" s="20"/>
      <c r="BE130" s="20"/>
      <c r="BF130" s="20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19"/>
      <c r="BR130" s="19"/>
      <c r="BS130" s="19"/>
    </row>
    <row r="131" spans="1:71" ht="14.25" customHeight="1">
      <c r="A131" s="9">
        <v>51</v>
      </c>
      <c r="B131" s="78">
        <f>OVERALL!B54</f>
        <v>2301393</v>
      </c>
      <c r="C131" s="79" t="str">
        <f>OVERALL!C54</f>
        <v>NAVNEET</v>
      </c>
      <c r="D131" s="80"/>
      <c r="E131" s="80"/>
      <c r="F131" s="80"/>
      <c r="G131" s="80"/>
      <c r="H131" s="80">
        <v>8</v>
      </c>
      <c r="I131" s="80">
        <v>8</v>
      </c>
      <c r="J131" s="80">
        <v>8</v>
      </c>
      <c r="K131" s="80">
        <v>8</v>
      </c>
      <c r="L131" s="80">
        <v>8</v>
      </c>
      <c r="M131" s="80">
        <v>8</v>
      </c>
      <c r="N131" s="80">
        <v>8</v>
      </c>
      <c r="O131" s="80">
        <v>8</v>
      </c>
      <c r="P131" s="80">
        <v>8</v>
      </c>
      <c r="Q131" s="80">
        <v>8</v>
      </c>
      <c r="R131" s="80">
        <v>8</v>
      </c>
      <c r="S131" s="80">
        <v>8</v>
      </c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20"/>
      <c r="BC131" s="20"/>
      <c r="BD131" s="20"/>
      <c r="BE131" s="20"/>
      <c r="BF131" s="20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19"/>
      <c r="BR131" s="19"/>
      <c r="BS131" s="19"/>
    </row>
    <row r="132" spans="1:71" ht="14.25" customHeight="1">
      <c r="A132" s="9">
        <v>52</v>
      </c>
      <c r="B132" s="78">
        <f>OVERALL!B55</f>
        <v>2301394</v>
      </c>
      <c r="C132" s="79" t="str">
        <f>OVERALL!C55</f>
        <v>NITIN VERMA</v>
      </c>
      <c r="D132" s="80"/>
      <c r="E132" s="80"/>
      <c r="F132" s="80"/>
      <c r="G132" s="80"/>
      <c r="H132" s="80">
        <v>10</v>
      </c>
      <c r="I132" s="80">
        <v>10</v>
      </c>
      <c r="J132" s="80">
        <v>9</v>
      </c>
      <c r="K132" s="80">
        <v>9</v>
      </c>
      <c r="L132" s="80">
        <v>9</v>
      </c>
      <c r="M132" s="80">
        <v>9</v>
      </c>
      <c r="N132" s="80">
        <v>9</v>
      </c>
      <c r="O132" s="80">
        <v>9</v>
      </c>
      <c r="P132" s="80">
        <v>9</v>
      </c>
      <c r="Q132" s="80">
        <v>9</v>
      </c>
      <c r="R132" s="80">
        <v>9</v>
      </c>
      <c r="S132" s="80">
        <v>9</v>
      </c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20"/>
      <c r="BC132" s="20"/>
      <c r="BD132" s="20"/>
      <c r="BE132" s="20"/>
      <c r="BF132" s="20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19"/>
      <c r="BR132" s="19"/>
      <c r="BS132" s="19"/>
    </row>
    <row r="133" spans="1:71" ht="14.25" customHeight="1">
      <c r="A133" s="9">
        <v>53</v>
      </c>
      <c r="B133" s="78">
        <f>OVERALL!B56</f>
        <v>2301395</v>
      </c>
      <c r="C133" s="79" t="str">
        <f>OVERALL!C56</f>
        <v>POOJA</v>
      </c>
      <c r="D133" s="80"/>
      <c r="E133" s="80"/>
      <c r="F133" s="80"/>
      <c r="G133" s="80"/>
      <c r="H133" s="80">
        <v>9</v>
      </c>
      <c r="I133" s="80">
        <v>9</v>
      </c>
      <c r="J133" s="80">
        <v>9</v>
      </c>
      <c r="K133" s="80">
        <v>9</v>
      </c>
      <c r="L133" s="80">
        <v>9</v>
      </c>
      <c r="M133" s="80">
        <v>9</v>
      </c>
      <c r="N133" s="80">
        <v>9</v>
      </c>
      <c r="O133" s="80">
        <v>9</v>
      </c>
      <c r="P133" s="80">
        <v>9</v>
      </c>
      <c r="Q133" s="80">
        <v>9</v>
      </c>
      <c r="R133" s="80">
        <v>9</v>
      </c>
      <c r="S133" s="80">
        <v>9</v>
      </c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20"/>
      <c r="BC133" s="20"/>
      <c r="BD133" s="20"/>
      <c r="BE133" s="20"/>
      <c r="BF133" s="20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19"/>
      <c r="BR133" s="19"/>
      <c r="BS133" s="19"/>
    </row>
    <row r="134" spans="1:71" ht="14.25" customHeight="1">
      <c r="A134" s="9">
        <v>54</v>
      </c>
      <c r="B134" s="78">
        <f>OVERALL!B57</f>
        <v>2301396</v>
      </c>
      <c r="C134" s="79" t="str">
        <f>OVERALL!C57</f>
        <v>PRIYA</v>
      </c>
      <c r="D134" s="80"/>
      <c r="E134" s="80"/>
      <c r="F134" s="80"/>
      <c r="G134" s="80"/>
      <c r="H134" s="80">
        <v>10</v>
      </c>
      <c r="I134" s="80">
        <v>10</v>
      </c>
      <c r="J134" s="80">
        <v>9</v>
      </c>
      <c r="K134" s="80">
        <v>9</v>
      </c>
      <c r="L134" s="80">
        <v>10</v>
      </c>
      <c r="M134" s="80">
        <v>10</v>
      </c>
      <c r="N134" s="80">
        <v>10</v>
      </c>
      <c r="O134" s="80">
        <v>10</v>
      </c>
      <c r="P134" s="80">
        <v>10</v>
      </c>
      <c r="Q134" s="80">
        <v>10</v>
      </c>
      <c r="R134" s="80">
        <v>10</v>
      </c>
      <c r="S134" s="80">
        <v>10</v>
      </c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20"/>
      <c r="BC134" s="20"/>
      <c r="BD134" s="20"/>
      <c r="BE134" s="20"/>
      <c r="BF134" s="20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19"/>
      <c r="BR134" s="19"/>
      <c r="BS134" s="19"/>
    </row>
    <row r="135" spans="1:71" ht="14.25" customHeight="1">
      <c r="A135" s="9">
        <v>55</v>
      </c>
      <c r="B135" s="78">
        <f>OVERALL!B58</f>
        <v>2301397</v>
      </c>
      <c r="C135" s="79" t="str">
        <f>OVERALL!C58</f>
        <v>SAHIL</v>
      </c>
      <c r="D135" s="80"/>
      <c r="E135" s="80"/>
      <c r="F135" s="80"/>
      <c r="G135" s="80"/>
      <c r="H135" s="80">
        <v>9</v>
      </c>
      <c r="I135" s="80">
        <v>9</v>
      </c>
      <c r="J135" s="80">
        <v>8</v>
      </c>
      <c r="K135" s="80">
        <v>8</v>
      </c>
      <c r="L135" s="80">
        <v>8</v>
      </c>
      <c r="M135" s="80">
        <v>8</v>
      </c>
      <c r="N135" s="80">
        <v>8</v>
      </c>
      <c r="O135" s="80">
        <v>8</v>
      </c>
      <c r="P135" s="80">
        <v>8</v>
      </c>
      <c r="Q135" s="80">
        <v>8</v>
      </c>
      <c r="R135" s="80">
        <v>8</v>
      </c>
      <c r="S135" s="80">
        <v>8</v>
      </c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20"/>
      <c r="BC135" s="20"/>
      <c r="BD135" s="20"/>
      <c r="BE135" s="20"/>
      <c r="BF135" s="20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19"/>
      <c r="BR135" s="19"/>
      <c r="BS135" s="19"/>
    </row>
    <row r="136" spans="1:71" ht="14.25" customHeight="1">
      <c r="A136" s="9">
        <v>56</v>
      </c>
      <c r="B136" s="78">
        <f>OVERALL!B59</f>
        <v>2301398</v>
      </c>
      <c r="C136" s="79" t="str">
        <f>OVERALL!C59</f>
        <v>SANJANA</v>
      </c>
      <c r="D136" s="80"/>
      <c r="E136" s="80"/>
      <c r="F136" s="80"/>
      <c r="G136" s="80"/>
      <c r="H136" s="80">
        <v>10</v>
      </c>
      <c r="I136" s="80">
        <v>10</v>
      </c>
      <c r="J136" s="80">
        <v>9</v>
      </c>
      <c r="K136" s="80">
        <v>9</v>
      </c>
      <c r="L136" s="80">
        <v>10</v>
      </c>
      <c r="M136" s="80">
        <v>10</v>
      </c>
      <c r="N136" s="80">
        <v>10</v>
      </c>
      <c r="O136" s="80">
        <v>10</v>
      </c>
      <c r="P136" s="80">
        <v>10</v>
      </c>
      <c r="Q136" s="80">
        <v>10</v>
      </c>
      <c r="R136" s="80">
        <v>10</v>
      </c>
      <c r="S136" s="80">
        <v>10</v>
      </c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20"/>
      <c r="BC136" s="20"/>
      <c r="BD136" s="20"/>
      <c r="BE136" s="20"/>
      <c r="BF136" s="20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19"/>
      <c r="BR136" s="19"/>
      <c r="BS136" s="19"/>
    </row>
    <row r="137" spans="1:71" ht="14.25" customHeight="1">
      <c r="A137" s="9">
        <v>57</v>
      </c>
      <c r="B137" s="78">
        <f>OVERALL!B60</f>
        <v>2301399</v>
      </c>
      <c r="C137" s="79" t="str">
        <f>OVERALL!C60</f>
        <v>SANJAY</v>
      </c>
      <c r="D137" s="80"/>
      <c r="E137" s="80"/>
      <c r="F137" s="80"/>
      <c r="G137" s="80"/>
      <c r="H137" s="80">
        <v>10</v>
      </c>
      <c r="I137" s="80">
        <v>10</v>
      </c>
      <c r="J137" s="80">
        <v>8</v>
      </c>
      <c r="K137" s="80">
        <v>8</v>
      </c>
      <c r="L137" s="80">
        <v>8</v>
      </c>
      <c r="M137" s="80">
        <v>8</v>
      </c>
      <c r="N137" s="80">
        <v>8</v>
      </c>
      <c r="O137" s="80">
        <v>8</v>
      </c>
      <c r="P137" s="80">
        <v>8</v>
      </c>
      <c r="Q137" s="80">
        <v>8</v>
      </c>
      <c r="R137" s="80">
        <v>8</v>
      </c>
      <c r="S137" s="80">
        <v>8</v>
      </c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20"/>
      <c r="BC137" s="20"/>
      <c r="BD137" s="20"/>
      <c r="BE137" s="20"/>
      <c r="BF137" s="20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19"/>
      <c r="BR137" s="19"/>
      <c r="BS137" s="19"/>
    </row>
    <row r="138" spans="1:71" ht="14.25" customHeight="1">
      <c r="A138" s="9">
        <v>58</v>
      </c>
      <c r="B138" s="78">
        <f>OVERALL!B61</f>
        <v>2301401</v>
      </c>
      <c r="C138" s="79" t="str">
        <f>OVERALL!C61</f>
        <v>SMILE JASSAL</v>
      </c>
      <c r="D138" s="80"/>
      <c r="E138" s="80"/>
      <c r="F138" s="80"/>
      <c r="G138" s="80"/>
      <c r="H138" s="80">
        <v>10</v>
      </c>
      <c r="I138" s="80">
        <v>10</v>
      </c>
      <c r="J138" s="80">
        <v>9</v>
      </c>
      <c r="K138" s="80">
        <v>9</v>
      </c>
      <c r="L138" s="80">
        <v>9</v>
      </c>
      <c r="M138" s="80">
        <v>9</v>
      </c>
      <c r="N138" s="80">
        <v>9</v>
      </c>
      <c r="O138" s="80">
        <v>9</v>
      </c>
      <c r="P138" s="80">
        <v>9</v>
      </c>
      <c r="Q138" s="80">
        <v>9</v>
      </c>
      <c r="R138" s="80">
        <v>9</v>
      </c>
      <c r="S138" s="80">
        <v>9</v>
      </c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20"/>
      <c r="BC138" s="20"/>
      <c r="BD138" s="20"/>
      <c r="BE138" s="20"/>
      <c r="BF138" s="20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19"/>
      <c r="BR138" s="19"/>
      <c r="BS138" s="19"/>
    </row>
    <row r="139" spans="1:71" ht="14.25" customHeight="1">
      <c r="A139" s="9">
        <v>59</v>
      </c>
      <c r="B139" s="78">
        <f>OVERALL!B62</f>
        <v>2301402</v>
      </c>
      <c r="C139" s="79" t="str">
        <f>OVERALL!C62</f>
        <v>SUMIT BHARAJ</v>
      </c>
      <c r="D139" s="80"/>
      <c r="E139" s="80"/>
      <c r="F139" s="80"/>
      <c r="G139" s="80"/>
      <c r="H139" s="80">
        <v>9</v>
      </c>
      <c r="I139" s="80">
        <v>9</v>
      </c>
      <c r="J139" s="80">
        <v>9</v>
      </c>
      <c r="K139" s="80">
        <v>9</v>
      </c>
      <c r="L139" s="80">
        <v>9</v>
      </c>
      <c r="M139" s="80">
        <v>8</v>
      </c>
      <c r="N139" s="80">
        <v>9</v>
      </c>
      <c r="O139" s="80">
        <v>9</v>
      </c>
      <c r="P139" s="80">
        <v>9</v>
      </c>
      <c r="Q139" s="80">
        <v>9</v>
      </c>
      <c r="R139" s="80">
        <v>9</v>
      </c>
      <c r="S139" s="80">
        <v>9</v>
      </c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20"/>
      <c r="BC139" s="20"/>
      <c r="BD139" s="20"/>
      <c r="BE139" s="20"/>
      <c r="BF139" s="20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19"/>
      <c r="BR139" s="19"/>
      <c r="BS139" s="19"/>
    </row>
    <row r="140" spans="1:71" ht="14.25" customHeight="1">
      <c r="A140" s="9">
        <v>60</v>
      </c>
      <c r="B140" s="78">
        <f>OVERALL!B63</f>
        <v>2301403</v>
      </c>
      <c r="C140" s="79" t="str">
        <f>OVERALL!C63</f>
        <v>SUNAKSHI</v>
      </c>
      <c r="D140" s="80"/>
      <c r="E140" s="80"/>
      <c r="F140" s="80"/>
      <c r="G140" s="80"/>
      <c r="H140" s="80">
        <v>10</v>
      </c>
      <c r="I140" s="80">
        <v>10</v>
      </c>
      <c r="J140" s="80">
        <v>9</v>
      </c>
      <c r="K140" s="80">
        <v>10</v>
      </c>
      <c r="L140" s="80">
        <v>10</v>
      </c>
      <c r="M140" s="80">
        <v>10</v>
      </c>
      <c r="N140" s="80">
        <v>10</v>
      </c>
      <c r="O140" s="80">
        <v>10</v>
      </c>
      <c r="P140" s="80">
        <v>10</v>
      </c>
      <c r="Q140" s="80">
        <v>10</v>
      </c>
      <c r="R140" s="80">
        <v>10</v>
      </c>
      <c r="S140" s="80">
        <v>10</v>
      </c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20"/>
      <c r="BC140" s="20"/>
      <c r="BD140" s="20"/>
      <c r="BE140" s="20"/>
      <c r="BF140" s="20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19"/>
      <c r="BR140" s="19"/>
      <c r="BS140" s="19"/>
    </row>
    <row r="141" spans="1:71" ht="14.25" customHeight="1">
      <c r="A141" s="9">
        <v>61</v>
      </c>
      <c r="B141" s="78">
        <f>OVERALL!B64</f>
        <v>2301404</v>
      </c>
      <c r="C141" s="79" t="str">
        <f>OVERALL!C64</f>
        <v>VANSH</v>
      </c>
      <c r="D141" s="80"/>
      <c r="E141" s="80"/>
      <c r="F141" s="80"/>
      <c r="G141" s="80"/>
      <c r="H141" s="80">
        <v>8</v>
      </c>
      <c r="I141" s="80">
        <v>8</v>
      </c>
      <c r="J141" s="80">
        <v>9</v>
      </c>
      <c r="K141" s="80">
        <v>9</v>
      </c>
      <c r="L141" s="80">
        <v>9</v>
      </c>
      <c r="M141" s="80">
        <v>9</v>
      </c>
      <c r="N141" s="80">
        <v>9</v>
      </c>
      <c r="O141" s="80">
        <v>9</v>
      </c>
      <c r="P141" s="80">
        <v>9</v>
      </c>
      <c r="Q141" s="80">
        <v>9</v>
      </c>
      <c r="R141" s="80">
        <v>9</v>
      </c>
      <c r="S141" s="80">
        <v>9</v>
      </c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20"/>
      <c r="BC141" s="20"/>
      <c r="BD141" s="20"/>
      <c r="BE141" s="20"/>
      <c r="BF141" s="20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19"/>
      <c r="BR141" s="19"/>
      <c r="BS141" s="19"/>
    </row>
    <row r="142" spans="1:71" ht="14.25" customHeight="1">
      <c r="A142" s="9">
        <v>62</v>
      </c>
      <c r="B142" s="78">
        <f>OVERALL!B65</f>
        <v>2301405</v>
      </c>
      <c r="C142" s="79" t="str">
        <f>OVERALL!C65</f>
        <v>VARINDER BHATOY</v>
      </c>
      <c r="D142" s="80"/>
      <c r="E142" s="80"/>
      <c r="F142" s="80"/>
      <c r="G142" s="80"/>
      <c r="H142" s="80">
        <v>8</v>
      </c>
      <c r="I142" s="80">
        <v>8</v>
      </c>
      <c r="J142" s="80">
        <v>8</v>
      </c>
      <c r="K142" s="80">
        <v>8</v>
      </c>
      <c r="L142" s="80">
        <v>8</v>
      </c>
      <c r="M142" s="80">
        <v>8</v>
      </c>
      <c r="N142" s="80">
        <v>8</v>
      </c>
      <c r="O142" s="80">
        <v>8</v>
      </c>
      <c r="P142" s="80">
        <v>8</v>
      </c>
      <c r="Q142" s="80">
        <v>8</v>
      </c>
      <c r="R142" s="80">
        <v>8</v>
      </c>
      <c r="S142" s="80">
        <v>8</v>
      </c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20"/>
      <c r="BC142" s="20"/>
      <c r="BD142" s="20"/>
      <c r="BE142" s="20"/>
      <c r="BF142" s="20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19"/>
      <c r="BR142" s="19"/>
      <c r="BS142" s="19"/>
    </row>
    <row r="143" spans="1:71" ht="14.25" customHeight="1">
      <c r="A143" s="9">
        <v>63</v>
      </c>
      <c r="B143" s="78">
        <f>OVERALL!B66</f>
        <v>2301407</v>
      </c>
      <c r="C143" s="79" t="str">
        <f>OVERALL!C66</f>
        <v>YASHODHA</v>
      </c>
      <c r="D143" s="80"/>
      <c r="E143" s="80"/>
      <c r="F143" s="80"/>
      <c r="G143" s="80"/>
      <c r="H143" s="80">
        <v>9</v>
      </c>
      <c r="I143" s="80">
        <v>9</v>
      </c>
      <c r="J143" s="80">
        <v>9</v>
      </c>
      <c r="K143" s="80">
        <v>9</v>
      </c>
      <c r="L143" s="80">
        <v>9</v>
      </c>
      <c r="M143" s="80">
        <v>9</v>
      </c>
      <c r="N143" s="80">
        <v>8</v>
      </c>
      <c r="O143" s="80">
        <v>8</v>
      </c>
      <c r="P143" s="80">
        <v>8</v>
      </c>
      <c r="Q143" s="80">
        <v>8</v>
      </c>
      <c r="R143" s="80">
        <v>8</v>
      </c>
      <c r="S143" s="80">
        <v>8</v>
      </c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20"/>
      <c r="BC143" s="20"/>
      <c r="BD143" s="20"/>
      <c r="BE143" s="20"/>
      <c r="BF143" s="20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19"/>
      <c r="BR143" s="19"/>
      <c r="BS143" s="19"/>
    </row>
    <row r="144" spans="1:71" ht="14.25" customHeight="1">
      <c r="A144" s="9">
        <v>64</v>
      </c>
      <c r="B144" s="78">
        <f>OVERALL!B67</f>
        <v>2301408</v>
      </c>
      <c r="C144" s="79" t="str">
        <f>OVERALL!C67</f>
        <v>YOGESH SINGH</v>
      </c>
      <c r="D144" s="80"/>
      <c r="E144" s="80"/>
      <c r="F144" s="80"/>
      <c r="G144" s="80"/>
      <c r="H144" s="80">
        <v>8</v>
      </c>
      <c r="I144" s="80">
        <v>8</v>
      </c>
      <c r="J144" s="80">
        <v>8</v>
      </c>
      <c r="K144" s="80">
        <v>8</v>
      </c>
      <c r="L144" s="80">
        <v>8</v>
      </c>
      <c r="M144" s="80">
        <v>8</v>
      </c>
      <c r="N144" s="80">
        <v>8</v>
      </c>
      <c r="O144" s="80">
        <v>8</v>
      </c>
      <c r="P144" s="80">
        <v>8</v>
      </c>
      <c r="Q144" s="80">
        <v>8</v>
      </c>
      <c r="R144" s="80">
        <v>8</v>
      </c>
      <c r="S144" s="80">
        <v>8</v>
      </c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20"/>
      <c r="BC144" s="20"/>
      <c r="BD144" s="20"/>
      <c r="BE144" s="20"/>
      <c r="BF144" s="20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19"/>
      <c r="BR144" s="19"/>
      <c r="BS144" s="19"/>
    </row>
    <row r="145" spans="1:71" ht="14.25" customHeight="1">
      <c r="A145" s="9">
        <v>65</v>
      </c>
      <c r="B145" s="78">
        <f>OVERALL!B68</f>
        <v>2322658</v>
      </c>
      <c r="C145" s="79" t="str">
        <f>OVERALL!C68</f>
        <v>BHAWANI THAKUR</v>
      </c>
      <c r="D145" s="80"/>
      <c r="E145" s="80"/>
      <c r="F145" s="80"/>
      <c r="G145" s="80"/>
      <c r="H145" s="80">
        <v>10</v>
      </c>
      <c r="I145" s="80">
        <v>10</v>
      </c>
      <c r="J145" s="80">
        <v>9</v>
      </c>
      <c r="K145" s="80">
        <v>9</v>
      </c>
      <c r="L145" s="80">
        <v>9</v>
      </c>
      <c r="M145" s="80">
        <v>9</v>
      </c>
      <c r="N145" s="80">
        <v>9</v>
      </c>
      <c r="O145" s="80">
        <v>9</v>
      </c>
      <c r="P145" s="80">
        <v>9</v>
      </c>
      <c r="Q145" s="80">
        <v>9</v>
      </c>
      <c r="R145" s="80">
        <v>9</v>
      </c>
      <c r="S145" s="80">
        <v>9</v>
      </c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20"/>
      <c r="BC145" s="20"/>
      <c r="BD145" s="20"/>
      <c r="BE145" s="20"/>
      <c r="BF145" s="20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19"/>
      <c r="BR145" s="19"/>
      <c r="BS145" s="19"/>
    </row>
    <row r="146" spans="1:71" ht="14.25" customHeight="1">
      <c r="A146" s="9">
        <v>66</v>
      </c>
      <c r="B146" s="78">
        <f>OVERALL!B69</f>
        <v>2322659</v>
      </c>
      <c r="C146" s="79" t="str">
        <f>OVERALL!C69</f>
        <v>HARGUN KAUR</v>
      </c>
      <c r="D146" s="80"/>
      <c r="E146" s="80"/>
      <c r="F146" s="80"/>
      <c r="G146" s="80"/>
      <c r="H146" s="80">
        <v>10</v>
      </c>
      <c r="I146" s="80">
        <v>10</v>
      </c>
      <c r="J146" s="80">
        <v>9</v>
      </c>
      <c r="K146" s="80">
        <v>9</v>
      </c>
      <c r="L146" s="80">
        <v>9</v>
      </c>
      <c r="M146" s="80">
        <v>9</v>
      </c>
      <c r="N146" s="80">
        <v>10</v>
      </c>
      <c r="O146" s="80">
        <v>10</v>
      </c>
      <c r="P146" s="80">
        <v>10</v>
      </c>
      <c r="Q146" s="80">
        <v>10</v>
      </c>
      <c r="R146" s="80">
        <v>10</v>
      </c>
      <c r="S146" s="80">
        <v>10</v>
      </c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20"/>
      <c r="BC146" s="20"/>
      <c r="BD146" s="20"/>
      <c r="BE146" s="20"/>
      <c r="BF146" s="20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19"/>
      <c r="BR146" s="19"/>
      <c r="BS146" s="19"/>
    </row>
    <row r="147" spans="1:71" ht="14.25" customHeight="1">
      <c r="A147" s="9">
        <v>67</v>
      </c>
      <c r="B147" s="78">
        <f>OVERALL!B70</f>
        <v>2322665</v>
      </c>
      <c r="C147" s="79" t="str">
        <f>OVERALL!C70</f>
        <v>PAWAN KUMAR</v>
      </c>
      <c r="D147" s="80"/>
      <c r="E147" s="80"/>
      <c r="F147" s="80"/>
      <c r="G147" s="80"/>
      <c r="H147" s="80">
        <v>8</v>
      </c>
      <c r="I147" s="80">
        <v>9</v>
      </c>
      <c r="J147" s="80">
        <v>8</v>
      </c>
      <c r="K147" s="80">
        <v>8</v>
      </c>
      <c r="L147" s="80">
        <v>8</v>
      </c>
      <c r="M147" s="80">
        <v>8</v>
      </c>
      <c r="N147" s="80">
        <v>8</v>
      </c>
      <c r="O147" s="80">
        <v>8</v>
      </c>
      <c r="P147" s="80">
        <v>8</v>
      </c>
      <c r="Q147" s="80">
        <v>8</v>
      </c>
      <c r="R147" s="80">
        <v>8</v>
      </c>
      <c r="S147" s="80">
        <v>8</v>
      </c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20"/>
      <c r="BC147" s="20"/>
      <c r="BD147" s="20"/>
      <c r="BE147" s="20"/>
      <c r="BF147" s="20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19"/>
      <c r="BR147" s="19"/>
      <c r="BS147" s="19"/>
    </row>
    <row r="148" spans="1:71" ht="14.25" customHeight="1">
      <c r="A148" s="9">
        <v>68</v>
      </c>
      <c r="B148" s="78">
        <f>OVERALL!B71</f>
        <v>2322666</v>
      </c>
      <c r="C148" s="79" t="str">
        <f>OVERALL!C71</f>
        <v>PRINCE ABHISHEK</v>
      </c>
      <c r="D148" s="80"/>
      <c r="E148" s="80"/>
      <c r="F148" s="80"/>
      <c r="G148" s="80"/>
      <c r="H148" s="80">
        <v>10</v>
      </c>
      <c r="I148" s="80">
        <v>10</v>
      </c>
      <c r="J148" s="80">
        <v>9</v>
      </c>
      <c r="K148" s="80">
        <v>9</v>
      </c>
      <c r="L148" s="80">
        <v>9</v>
      </c>
      <c r="M148" s="80">
        <v>9</v>
      </c>
      <c r="N148" s="80">
        <v>9</v>
      </c>
      <c r="O148" s="80">
        <v>9</v>
      </c>
      <c r="P148" s="80">
        <v>9</v>
      </c>
      <c r="Q148" s="80">
        <v>9</v>
      </c>
      <c r="R148" s="80">
        <v>9</v>
      </c>
      <c r="S148" s="80">
        <v>9</v>
      </c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20"/>
      <c r="BC148" s="20"/>
      <c r="BD148" s="20"/>
      <c r="BE148" s="20"/>
      <c r="BF148" s="20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19"/>
      <c r="BR148" s="19"/>
      <c r="BS148" s="19"/>
    </row>
    <row r="149" spans="1:71" ht="14.25" customHeight="1">
      <c r="A149" s="9">
        <v>69</v>
      </c>
      <c r="B149" s="78">
        <f>OVERALL!B72</f>
        <v>2322670</v>
      </c>
      <c r="C149" s="79" t="str">
        <f>OVERALL!C72</f>
        <v>SUMIT MAHEY</v>
      </c>
      <c r="D149" s="80"/>
      <c r="E149" s="80"/>
      <c r="F149" s="80"/>
      <c r="G149" s="80"/>
      <c r="H149" s="80">
        <v>8</v>
      </c>
      <c r="I149" s="80">
        <v>9</v>
      </c>
      <c r="J149" s="80">
        <v>7</v>
      </c>
      <c r="K149" s="80">
        <v>7</v>
      </c>
      <c r="L149" s="80">
        <v>7</v>
      </c>
      <c r="M149" s="80">
        <v>7</v>
      </c>
      <c r="N149" s="80">
        <v>7</v>
      </c>
      <c r="O149" s="80">
        <v>7</v>
      </c>
      <c r="P149" s="80">
        <v>7</v>
      </c>
      <c r="Q149" s="80">
        <v>7</v>
      </c>
      <c r="R149" s="80">
        <v>7</v>
      </c>
      <c r="S149" s="80">
        <v>7</v>
      </c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20"/>
      <c r="BC149" s="20"/>
      <c r="BD149" s="20"/>
      <c r="BE149" s="20"/>
      <c r="BF149" s="20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19"/>
      <c r="BR149" s="19"/>
      <c r="BS149" s="19"/>
    </row>
    <row r="150" spans="1:71" ht="14.25" customHeight="1">
      <c r="A150" s="9">
        <v>70</v>
      </c>
      <c r="B150" s="78">
        <f>OVERALL!B73</f>
        <v>2322673</v>
      </c>
      <c r="C150" s="79" t="str">
        <f>OVERALL!C73</f>
        <v>USMAN ALI</v>
      </c>
      <c r="D150" s="80"/>
      <c r="E150" s="80"/>
      <c r="F150" s="80"/>
      <c r="G150" s="80"/>
      <c r="H150" s="80">
        <v>8</v>
      </c>
      <c r="I150" s="80">
        <v>8</v>
      </c>
      <c r="J150" s="80">
        <v>8</v>
      </c>
      <c r="K150" s="80">
        <v>8</v>
      </c>
      <c r="L150" s="80">
        <v>8</v>
      </c>
      <c r="M150" s="80">
        <v>8</v>
      </c>
      <c r="N150" s="80">
        <v>8</v>
      </c>
      <c r="O150" s="80">
        <v>8</v>
      </c>
      <c r="P150" s="80">
        <v>8</v>
      </c>
      <c r="Q150" s="80">
        <v>8</v>
      </c>
      <c r="R150" s="80">
        <v>8</v>
      </c>
      <c r="S150" s="80">
        <v>8</v>
      </c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20"/>
      <c r="BC150" s="20"/>
      <c r="BD150" s="20"/>
      <c r="BE150" s="20"/>
      <c r="BF150" s="20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19"/>
      <c r="BR150" s="19"/>
      <c r="BS150" s="19"/>
    </row>
    <row r="151" spans="1:71" ht="14.25" customHeight="1">
      <c r="A151" s="19"/>
      <c r="B151" s="20"/>
      <c r="C151" s="3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19"/>
      <c r="BR151" s="19"/>
      <c r="BS151" s="19"/>
    </row>
    <row r="152" spans="1:71" ht="14.25" customHeight="1">
      <c r="A152" s="19"/>
      <c r="B152" s="20"/>
      <c r="C152" s="3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19"/>
      <c r="BR152" s="19"/>
      <c r="BS152" s="19"/>
    </row>
    <row r="153" spans="1:71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19"/>
      <c r="BR153" s="19"/>
      <c r="BS153" s="19"/>
    </row>
    <row r="154" spans="1:71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19"/>
      <c r="BR154" s="19"/>
      <c r="BS154" s="19"/>
    </row>
    <row r="155" spans="1:71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19"/>
      <c r="BR155" s="19"/>
      <c r="BS155" s="19"/>
    </row>
    <row r="156" spans="1:71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19"/>
      <c r="BR156" s="19"/>
      <c r="BS156" s="19"/>
    </row>
    <row r="157" spans="1:71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19"/>
      <c r="BR157" s="19"/>
      <c r="BS157" s="19"/>
    </row>
    <row r="158" spans="1:71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19"/>
      <c r="BR158" s="19"/>
      <c r="BS158" s="19"/>
    </row>
    <row r="159" spans="1:71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19"/>
      <c r="BR159" s="19"/>
      <c r="BS159" s="19"/>
    </row>
    <row r="160" spans="1:71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19"/>
      <c r="BR160" s="19"/>
      <c r="BS160" s="19"/>
    </row>
    <row r="161" spans="1:71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19"/>
      <c r="BR161" s="19"/>
      <c r="BS161" s="19"/>
    </row>
    <row r="162" spans="1:71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19"/>
      <c r="BR162" s="19"/>
      <c r="BS162" s="19"/>
    </row>
    <row r="163" spans="1:71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19"/>
      <c r="BR163" s="19"/>
      <c r="BS163" s="19"/>
    </row>
    <row r="164" spans="1:71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19"/>
      <c r="BR164" s="19"/>
      <c r="BS164" s="19"/>
    </row>
    <row r="165" spans="1:71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19"/>
      <c r="BR165" s="19"/>
      <c r="BS165" s="19"/>
    </row>
    <row r="166" spans="1:71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19"/>
      <c r="BR166" s="19"/>
      <c r="BS166" s="19"/>
    </row>
    <row r="167" spans="1:71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19"/>
      <c r="BR167" s="19"/>
      <c r="BS167" s="19"/>
    </row>
    <row r="168" spans="1:71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19"/>
      <c r="BR168" s="19"/>
      <c r="BS168" s="19"/>
    </row>
    <row r="169" spans="1:71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19"/>
      <c r="BR169" s="19"/>
      <c r="BS169" s="19"/>
    </row>
    <row r="170" spans="1:71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19"/>
      <c r="BR170" s="19"/>
      <c r="BS170" s="19"/>
    </row>
    <row r="171" spans="1:71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19"/>
      <c r="BR171" s="19"/>
      <c r="BS171" s="19"/>
    </row>
    <row r="172" spans="1:71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19"/>
      <c r="BR172" s="19"/>
      <c r="BS172" s="19"/>
    </row>
    <row r="173" spans="1:71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19"/>
      <c r="BR173" s="19"/>
      <c r="BS173" s="19"/>
    </row>
    <row r="174" spans="1:71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19"/>
      <c r="BR174" s="19"/>
      <c r="BS174" s="19"/>
    </row>
    <row r="175" spans="1:71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19"/>
      <c r="BR175" s="19"/>
      <c r="BS175" s="19"/>
    </row>
    <row r="176" spans="1:71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19"/>
      <c r="BR176" s="19"/>
      <c r="BS176" s="19"/>
    </row>
    <row r="177" spans="1:71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19"/>
      <c r="BR177" s="19"/>
      <c r="BS177" s="19"/>
    </row>
    <row r="178" spans="1:71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19"/>
      <c r="BR178" s="19"/>
      <c r="BS178" s="19"/>
    </row>
    <row r="179" spans="1:71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19"/>
      <c r="BR179" s="19"/>
      <c r="BS179" s="19"/>
    </row>
    <row r="180" spans="1:71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19"/>
      <c r="BR180" s="19"/>
      <c r="BS180" s="19"/>
    </row>
    <row r="181" spans="1:71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19"/>
      <c r="BR181" s="19"/>
      <c r="BS181" s="19"/>
    </row>
    <row r="182" spans="1:71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19"/>
      <c r="BR182" s="19"/>
      <c r="BS182" s="19"/>
    </row>
    <row r="183" spans="1:71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19"/>
      <c r="BR183" s="19"/>
      <c r="BS183" s="19"/>
    </row>
    <row r="184" spans="1:71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19"/>
      <c r="BR184" s="19"/>
      <c r="BS184" s="19"/>
    </row>
    <row r="185" spans="1:71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19"/>
      <c r="BR185" s="19"/>
      <c r="BS185" s="19"/>
    </row>
    <row r="186" spans="1:71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19"/>
      <c r="BR186" s="19"/>
      <c r="BS186" s="19"/>
    </row>
    <row r="187" spans="1:71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19"/>
      <c r="BR187" s="19"/>
      <c r="BS187" s="19"/>
    </row>
    <row r="188" spans="1:71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19"/>
      <c r="BR188" s="19"/>
      <c r="BS188" s="19"/>
    </row>
    <row r="189" spans="1:71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19"/>
      <c r="BR189" s="19"/>
      <c r="BS189" s="19"/>
    </row>
    <row r="190" spans="1:71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19"/>
      <c r="BR190" s="19"/>
      <c r="BS190" s="19"/>
    </row>
    <row r="191" spans="1:71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19"/>
      <c r="BR191" s="19"/>
      <c r="BS191" s="19"/>
    </row>
    <row r="192" spans="1:71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19"/>
      <c r="BR192" s="19"/>
      <c r="BS192" s="19"/>
    </row>
    <row r="193" spans="1:71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19"/>
      <c r="BR193" s="19"/>
      <c r="BS193" s="19"/>
    </row>
    <row r="194" spans="1:71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19"/>
      <c r="BR194" s="19"/>
      <c r="BS194" s="19"/>
    </row>
    <row r="195" spans="1:71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19"/>
      <c r="BR195" s="19"/>
      <c r="BS195" s="19"/>
    </row>
    <row r="196" spans="1:71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19"/>
      <c r="BR196" s="19"/>
      <c r="BS196" s="19"/>
    </row>
    <row r="197" spans="1:71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19"/>
      <c r="BR197" s="19"/>
      <c r="BS197" s="19"/>
    </row>
    <row r="198" spans="1:71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19"/>
      <c r="BR198" s="19"/>
      <c r="BS198" s="19"/>
    </row>
    <row r="199" spans="1:71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19"/>
      <c r="BR199" s="19"/>
      <c r="BS199" s="19"/>
    </row>
    <row r="200" spans="1:71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19"/>
      <c r="BR200" s="19"/>
      <c r="BS200" s="19"/>
    </row>
    <row r="201" spans="1:71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19"/>
      <c r="BR201" s="19"/>
      <c r="BS201" s="19"/>
    </row>
    <row r="202" spans="1:71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19"/>
      <c r="BR202" s="19"/>
      <c r="BS202" s="19"/>
    </row>
    <row r="203" spans="1:71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19"/>
      <c r="BR203" s="19"/>
      <c r="BS203" s="19"/>
    </row>
    <row r="204" spans="1:71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19"/>
      <c r="BR204" s="19"/>
      <c r="BS204" s="19"/>
    </row>
    <row r="205" spans="1:71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19"/>
      <c r="BR205" s="19"/>
      <c r="BS205" s="19"/>
    </row>
    <row r="206" spans="1:71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19"/>
      <c r="BR206" s="19"/>
      <c r="BS206" s="19"/>
    </row>
    <row r="207" spans="1:71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19"/>
      <c r="BR207" s="19"/>
      <c r="BS207" s="19"/>
    </row>
    <row r="208" spans="1:71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19"/>
      <c r="BR208" s="19"/>
      <c r="BS208" s="19"/>
    </row>
    <row r="209" spans="1:71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19"/>
      <c r="BR209" s="19"/>
      <c r="BS209" s="19"/>
    </row>
    <row r="210" spans="1:71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19"/>
      <c r="BR210" s="19"/>
      <c r="BS210" s="19"/>
    </row>
    <row r="211" spans="1:71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19"/>
      <c r="BR211" s="19"/>
      <c r="BS211" s="19"/>
    </row>
    <row r="212" spans="1:71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19"/>
      <c r="BR212" s="19"/>
      <c r="BS212" s="19"/>
    </row>
    <row r="213" spans="1:71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19"/>
      <c r="BR213" s="19"/>
      <c r="BS213" s="19"/>
    </row>
    <row r="214" spans="1:71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19"/>
      <c r="BR214" s="19"/>
      <c r="BS214" s="19"/>
    </row>
    <row r="215" spans="1:71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19"/>
      <c r="BR215" s="19"/>
      <c r="BS215" s="19"/>
    </row>
    <row r="216" spans="1:71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19"/>
      <c r="BR216" s="19"/>
      <c r="BS216" s="19"/>
    </row>
    <row r="217" spans="1:71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19"/>
      <c r="BR217" s="19"/>
      <c r="BS217" s="19"/>
    </row>
    <row r="218" spans="1:71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19"/>
      <c r="BR218" s="19"/>
      <c r="BS218" s="19"/>
    </row>
    <row r="219" spans="1:71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19"/>
      <c r="BR219" s="19"/>
      <c r="BS219" s="19"/>
    </row>
    <row r="220" spans="1:71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19"/>
      <c r="BR220" s="19"/>
      <c r="BS220" s="19"/>
    </row>
    <row r="221" spans="1:71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19"/>
      <c r="BR221" s="19"/>
      <c r="BS221" s="19"/>
    </row>
    <row r="222" spans="1:71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19"/>
      <c r="BR222" s="19"/>
      <c r="BS222" s="19"/>
    </row>
    <row r="223" spans="1:71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19"/>
      <c r="BR223" s="19"/>
      <c r="BS223" s="19"/>
    </row>
    <row r="224" spans="1:71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19"/>
      <c r="BR224" s="19"/>
      <c r="BS224" s="19"/>
    </row>
    <row r="225" spans="1:71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19"/>
      <c r="BR225" s="19"/>
      <c r="BS225" s="19"/>
    </row>
    <row r="226" spans="1:71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19"/>
      <c r="BR226" s="19"/>
      <c r="BS226" s="19"/>
    </row>
    <row r="227" spans="1:71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19"/>
      <c r="BR227" s="19"/>
      <c r="BS227" s="19"/>
    </row>
    <row r="228" spans="1:71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19"/>
      <c r="BR228" s="19"/>
      <c r="BS228" s="19"/>
    </row>
    <row r="229" spans="1:71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19"/>
      <c r="BR229" s="19"/>
      <c r="BS229" s="19"/>
    </row>
    <row r="230" spans="1:71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19"/>
      <c r="BR230" s="19"/>
      <c r="BS230" s="19"/>
    </row>
    <row r="231" spans="1:71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19"/>
      <c r="BR231" s="19"/>
      <c r="BS231" s="19"/>
    </row>
    <row r="232" spans="1:71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19"/>
      <c r="BR232" s="19"/>
      <c r="BS232" s="19"/>
    </row>
    <row r="233" spans="1:71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19"/>
      <c r="BR233" s="19"/>
      <c r="BS233" s="19"/>
    </row>
    <row r="234" spans="1:71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19"/>
      <c r="BR234" s="19"/>
      <c r="BS234" s="19"/>
    </row>
    <row r="235" spans="1:71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19"/>
      <c r="BR235" s="19"/>
      <c r="BS235" s="19"/>
    </row>
    <row r="236" spans="1:71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19"/>
      <c r="BR236" s="19"/>
      <c r="BS236" s="19"/>
    </row>
    <row r="237" spans="1:71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19"/>
      <c r="BR237" s="19"/>
      <c r="BS237" s="19"/>
    </row>
    <row r="238" spans="1:71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19"/>
      <c r="BR238" s="19"/>
      <c r="BS238" s="19"/>
    </row>
    <row r="239" spans="1:71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19"/>
      <c r="BR239" s="19"/>
      <c r="BS239" s="19"/>
    </row>
    <row r="240" spans="1:71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19"/>
      <c r="BR240" s="19"/>
      <c r="BS240" s="19"/>
    </row>
    <row r="241" spans="1:71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19"/>
      <c r="BR241" s="19"/>
      <c r="BS241" s="19"/>
    </row>
    <row r="242" spans="1:71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19"/>
      <c r="BR242" s="19"/>
      <c r="BS242" s="19"/>
    </row>
    <row r="243" spans="1:71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19"/>
      <c r="BR243" s="19"/>
      <c r="BS243" s="19"/>
    </row>
    <row r="244" spans="1:71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19"/>
      <c r="BR244" s="19"/>
      <c r="BS244" s="19"/>
    </row>
    <row r="245" spans="1:71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19"/>
      <c r="BR245" s="19"/>
      <c r="BS245" s="19"/>
    </row>
    <row r="246" spans="1:71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19"/>
      <c r="BR246" s="19"/>
      <c r="BS246" s="19"/>
    </row>
    <row r="247" spans="1:71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19"/>
      <c r="BR247" s="19"/>
      <c r="BS247" s="19"/>
    </row>
    <row r="248" spans="1:71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19"/>
      <c r="BR248" s="19"/>
      <c r="BS248" s="19"/>
    </row>
    <row r="249" spans="1:71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19"/>
      <c r="BR249" s="19"/>
      <c r="BS249" s="19"/>
    </row>
    <row r="250" spans="1:71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19"/>
      <c r="BR250" s="19"/>
      <c r="BS250" s="19"/>
    </row>
    <row r="251" spans="1:71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19"/>
      <c r="BR251" s="19"/>
      <c r="BS251" s="19"/>
    </row>
    <row r="252" spans="1:71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19"/>
      <c r="BR252" s="19"/>
      <c r="BS252" s="19"/>
    </row>
    <row r="253" spans="1:71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19"/>
      <c r="BR253" s="19"/>
      <c r="BS253" s="19"/>
    </row>
    <row r="254" spans="1:71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19"/>
      <c r="BR254" s="19"/>
      <c r="BS254" s="19"/>
    </row>
    <row r="255" spans="1:71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19"/>
      <c r="BR255" s="19"/>
      <c r="BS255" s="19"/>
    </row>
    <row r="256" spans="1:71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19"/>
      <c r="BR256" s="19"/>
      <c r="BS256" s="19"/>
    </row>
    <row r="257" spans="1:71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19"/>
      <c r="BR257" s="19"/>
      <c r="BS257" s="19"/>
    </row>
    <row r="258" spans="1:71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19"/>
      <c r="BR258" s="19"/>
      <c r="BS258" s="19"/>
    </row>
    <row r="259" spans="1:71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19"/>
      <c r="BR259" s="19"/>
      <c r="BS259" s="19"/>
    </row>
    <row r="260" spans="1:71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19"/>
      <c r="BR260" s="19"/>
      <c r="BS260" s="19"/>
    </row>
    <row r="261" spans="1:71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19"/>
      <c r="BR261" s="19"/>
      <c r="BS261" s="19"/>
    </row>
    <row r="262" spans="1:71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19"/>
      <c r="BR262" s="19"/>
      <c r="BS262" s="19"/>
    </row>
    <row r="263" spans="1:71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19"/>
      <c r="BR263" s="19"/>
      <c r="BS263" s="19"/>
    </row>
    <row r="264" spans="1:71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19"/>
      <c r="BR264" s="19"/>
      <c r="BS264" s="19"/>
    </row>
    <row r="265" spans="1:71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19"/>
      <c r="BR265" s="19"/>
      <c r="BS265" s="19"/>
    </row>
    <row r="266" spans="1:71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19"/>
      <c r="BR266" s="19"/>
      <c r="BS266" s="19"/>
    </row>
    <row r="267" spans="1:71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19"/>
      <c r="BR267" s="19"/>
      <c r="BS267" s="19"/>
    </row>
    <row r="268" spans="1:71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19"/>
      <c r="BR268" s="19"/>
      <c r="BS268" s="19"/>
    </row>
    <row r="269" spans="1:71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19"/>
      <c r="BR269" s="19"/>
      <c r="BS269" s="19"/>
    </row>
    <row r="270" spans="1:71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19"/>
      <c r="BR270" s="19"/>
      <c r="BS270" s="19"/>
    </row>
    <row r="271" spans="1:71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19"/>
      <c r="BR271" s="19"/>
      <c r="BS271" s="19"/>
    </row>
    <row r="272" spans="1:71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19"/>
      <c r="BR272" s="19"/>
      <c r="BS272" s="19"/>
    </row>
    <row r="273" spans="1:71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19"/>
      <c r="BR273" s="19"/>
      <c r="BS273" s="19"/>
    </row>
    <row r="274" spans="1:71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19"/>
      <c r="BR274" s="19"/>
      <c r="BS274" s="19"/>
    </row>
    <row r="275" spans="1:71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19"/>
      <c r="BR275" s="19"/>
      <c r="BS275" s="19"/>
    </row>
    <row r="276" spans="1:71" ht="14.25" customHeight="1">
      <c r="A276" s="19"/>
      <c r="B276" s="20"/>
      <c r="C276" s="3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19"/>
      <c r="BI276" s="20"/>
      <c r="BJ276" s="20"/>
      <c r="BK276" s="19"/>
      <c r="BL276" s="19"/>
      <c r="BM276" s="19"/>
      <c r="BN276" s="19"/>
      <c r="BO276" s="19"/>
      <c r="BP276" s="19"/>
      <c r="BQ276" s="19"/>
      <c r="BR276" s="19"/>
      <c r="BS276" s="19"/>
    </row>
    <row r="277" spans="1:71" ht="14.25" customHeight="1">
      <c r="A277" s="19"/>
      <c r="B277" s="20"/>
      <c r="C277" s="3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19"/>
      <c r="BI277" s="20"/>
      <c r="BJ277" s="20"/>
      <c r="BK277" s="19"/>
      <c r="BL277" s="19"/>
      <c r="BM277" s="19"/>
      <c r="BN277" s="19"/>
      <c r="BO277" s="19"/>
      <c r="BP277" s="19"/>
      <c r="BQ277" s="19"/>
      <c r="BR277" s="19"/>
      <c r="BS277" s="19"/>
    </row>
    <row r="278" spans="1:71" ht="14.25" customHeight="1">
      <c r="A278" s="19"/>
      <c r="B278" s="20"/>
      <c r="C278" s="3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19"/>
      <c r="BI278" s="20"/>
      <c r="BJ278" s="20"/>
      <c r="BK278" s="19"/>
      <c r="BL278" s="19"/>
      <c r="BM278" s="19"/>
      <c r="BN278" s="19"/>
      <c r="BO278" s="19"/>
      <c r="BP278" s="19"/>
      <c r="BQ278" s="19"/>
      <c r="BR278" s="19"/>
      <c r="BS278" s="19"/>
    </row>
    <row r="279" spans="1:71" ht="14.25" customHeight="1">
      <c r="A279" s="19"/>
      <c r="B279" s="20"/>
      <c r="C279" s="3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19"/>
      <c r="BI279" s="20"/>
      <c r="BJ279" s="20"/>
      <c r="BK279" s="19"/>
      <c r="BL279" s="19"/>
      <c r="BM279" s="19"/>
      <c r="BN279" s="19"/>
      <c r="BO279" s="19"/>
      <c r="BP279" s="19"/>
      <c r="BQ279" s="19"/>
      <c r="BR279" s="19"/>
      <c r="BS279" s="19"/>
    </row>
    <row r="280" spans="1:71" ht="14.25" customHeight="1">
      <c r="A280" s="19"/>
      <c r="B280" s="20"/>
      <c r="C280" s="3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19"/>
      <c r="BI280" s="20"/>
      <c r="BJ280" s="20"/>
      <c r="BK280" s="19"/>
      <c r="BL280" s="19"/>
      <c r="BM280" s="19"/>
      <c r="BN280" s="19"/>
      <c r="BO280" s="19"/>
      <c r="BP280" s="19"/>
      <c r="BQ280" s="19"/>
      <c r="BR280" s="19"/>
      <c r="BS280" s="19"/>
    </row>
    <row r="281" spans="1:71" ht="14.25" customHeight="1">
      <c r="A281" s="19"/>
      <c r="B281" s="20"/>
      <c r="C281" s="3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19"/>
      <c r="BI281" s="20"/>
      <c r="BJ281" s="20"/>
      <c r="BK281" s="19"/>
      <c r="BL281" s="19"/>
      <c r="BM281" s="19"/>
      <c r="BN281" s="19"/>
      <c r="BO281" s="19"/>
      <c r="BP281" s="19"/>
      <c r="BQ281" s="19"/>
      <c r="BR281" s="19"/>
      <c r="BS281" s="19"/>
    </row>
    <row r="282" spans="1:71" ht="14.25" customHeight="1">
      <c r="A282" s="19"/>
      <c r="B282" s="20"/>
      <c r="C282" s="3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19"/>
      <c r="BI282" s="20"/>
      <c r="BJ282" s="20"/>
      <c r="BK282" s="19"/>
      <c r="BL282" s="19"/>
      <c r="BM282" s="19"/>
      <c r="BN282" s="19"/>
      <c r="BO282" s="19"/>
      <c r="BP282" s="19"/>
      <c r="BQ282" s="19"/>
      <c r="BR282" s="19"/>
      <c r="BS282" s="19"/>
    </row>
    <row r="283" spans="1:71" ht="14.25" customHeight="1">
      <c r="A283" s="19"/>
      <c r="B283" s="20"/>
      <c r="C283" s="3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19"/>
      <c r="BI283" s="20"/>
      <c r="BJ283" s="20"/>
      <c r="BK283" s="19"/>
      <c r="BL283" s="19"/>
      <c r="BM283" s="19"/>
      <c r="BN283" s="19"/>
      <c r="BO283" s="19"/>
      <c r="BP283" s="19"/>
      <c r="BQ283" s="19"/>
      <c r="BR283" s="19"/>
      <c r="BS283" s="19"/>
    </row>
    <row r="284" spans="1:71" ht="14.25" customHeight="1">
      <c r="A284" s="19"/>
      <c r="B284" s="20"/>
      <c r="C284" s="3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19"/>
      <c r="BI284" s="20"/>
      <c r="BJ284" s="20"/>
      <c r="BK284" s="19"/>
      <c r="BL284" s="19"/>
      <c r="BM284" s="19"/>
      <c r="BN284" s="19"/>
      <c r="BO284" s="19"/>
      <c r="BP284" s="19"/>
      <c r="BQ284" s="19"/>
      <c r="BR284" s="19"/>
      <c r="BS284" s="19"/>
    </row>
    <row r="285" spans="1:71" ht="14.25" customHeight="1">
      <c r="A285" s="19"/>
      <c r="B285" s="20"/>
      <c r="C285" s="3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19"/>
      <c r="BI285" s="20"/>
      <c r="BJ285" s="20"/>
      <c r="BK285" s="19"/>
      <c r="BL285" s="19"/>
      <c r="BM285" s="19"/>
      <c r="BN285" s="19"/>
      <c r="BO285" s="19"/>
      <c r="BP285" s="19"/>
      <c r="BQ285" s="19"/>
      <c r="BR285" s="19"/>
      <c r="BS285" s="19"/>
    </row>
    <row r="286" spans="1:71" ht="14.25" customHeight="1">
      <c r="A286" s="19"/>
      <c r="B286" s="20"/>
      <c r="C286" s="3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19"/>
      <c r="BI286" s="20"/>
      <c r="BJ286" s="20"/>
      <c r="BK286" s="19"/>
      <c r="BL286" s="19"/>
      <c r="BM286" s="19"/>
      <c r="BN286" s="19"/>
      <c r="BO286" s="19"/>
      <c r="BP286" s="19"/>
      <c r="BQ286" s="19"/>
      <c r="BR286" s="19"/>
      <c r="BS286" s="19"/>
    </row>
    <row r="287" spans="1:71" ht="14.25" customHeight="1">
      <c r="A287" s="19"/>
      <c r="B287" s="20"/>
      <c r="C287" s="3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19"/>
      <c r="BI287" s="20"/>
      <c r="BJ287" s="20"/>
      <c r="BK287" s="19"/>
      <c r="BL287" s="19"/>
      <c r="BM287" s="19"/>
      <c r="BN287" s="19"/>
      <c r="BO287" s="19"/>
      <c r="BP287" s="19"/>
      <c r="BQ287" s="19"/>
      <c r="BR287" s="19"/>
      <c r="BS287" s="19"/>
    </row>
    <row r="288" spans="1:71" ht="14.25" customHeight="1">
      <c r="A288" s="19"/>
      <c r="B288" s="20"/>
      <c r="C288" s="3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19"/>
      <c r="BI288" s="20"/>
      <c r="BJ288" s="20"/>
      <c r="BK288" s="19"/>
      <c r="BL288" s="19"/>
      <c r="BM288" s="19"/>
      <c r="BN288" s="19"/>
      <c r="BO288" s="19"/>
      <c r="BP288" s="19"/>
      <c r="BQ288" s="19"/>
      <c r="BR288" s="19"/>
      <c r="BS288" s="19"/>
    </row>
    <row r="289" spans="1:71" ht="14.25" customHeight="1">
      <c r="A289" s="19"/>
      <c r="B289" s="20"/>
      <c r="C289" s="3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19"/>
      <c r="BI289" s="20"/>
      <c r="BJ289" s="20"/>
      <c r="BK289" s="19"/>
      <c r="BL289" s="19"/>
      <c r="BM289" s="19"/>
      <c r="BN289" s="19"/>
      <c r="BO289" s="19"/>
      <c r="BP289" s="19"/>
      <c r="BQ289" s="19"/>
      <c r="BR289" s="19"/>
      <c r="BS289" s="19"/>
    </row>
    <row r="290" spans="1:71" ht="14.25" customHeight="1">
      <c r="A290" s="19"/>
      <c r="B290" s="20"/>
      <c r="C290" s="3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19"/>
      <c r="BI290" s="20"/>
      <c r="BJ290" s="20"/>
      <c r="BK290" s="19"/>
      <c r="BL290" s="19"/>
      <c r="BM290" s="19"/>
      <c r="BN290" s="19"/>
      <c r="BO290" s="19"/>
      <c r="BP290" s="19"/>
      <c r="BQ290" s="19"/>
      <c r="BR290" s="19"/>
      <c r="BS290" s="19"/>
    </row>
    <row r="291" spans="1:71" ht="14.25" customHeight="1">
      <c r="A291" s="19"/>
      <c r="B291" s="20"/>
      <c r="C291" s="3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19"/>
      <c r="BI291" s="20"/>
      <c r="BJ291" s="20"/>
      <c r="BK291" s="19"/>
      <c r="BL291" s="19"/>
      <c r="BM291" s="19"/>
      <c r="BN291" s="19"/>
      <c r="BO291" s="19"/>
      <c r="BP291" s="19"/>
      <c r="BQ291" s="19"/>
      <c r="BR291" s="19"/>
      <c r="BS291" s="19"/>
    </row>
    <row r="292" spans="1:71" ht="14.25" customHeight="1">
      <c r="A292" s="19"/>
      <c r="B292" s="20"/>
      <c r="C292" s="3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19"/>
      <c r="BI292" s="20"/>
      <c r="BJ292" s="20"/>
      <c r="BK292" s="19"/>
      <c r="BL292" s="19"/>
      <c r="BM292" s="19"/>
      <c r="BN292" s="19"/>
      <c r="BO292" s="19"/>
      <c r="BP292" s="19"/>
      <c r="BQ292" s="19"/>
      <c r="BR292" s="19"/>
      <c r="BS292" s="19"/>
    </row>
    <row r="293" spans="1:71" ht="14.25" customHeight="1">
      <c r="A293" s="19"/>
      <c r="B293" s="20"/>
      <c r="C293" s="3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19"/>
      <c r="BI293" s="20"/>
      <c r="BJ293" s="20"/>
      <c r="BK293" s="19"/>
      <c r="BL293" s="19"/>
      <c r="BM293" s="19"/>
      <c r="BN293" s="19"/>
      <c r="BO293" s="19"/>
      <c r="BP293" s="19"/>
      <c r="BQ293" s="19"/>
      <c r="BR293" s="19"/>
      <c r="BS293" s="19"/>
    </row>
    <row r="294" spans="1:71" ht="14.25" customHeight="1">
      <c r="A294" s="19"/>
      <c r="B294" s="20"/>
      <c r="C294" s="3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19"/>
      <c r="BI294" s="20"/>
      <c r="BJ294" s="20"/>
      <c r="BK294" s="19"/>
      <c r="BL294" s="19"/>
      <c r="BM294" s="19"/>
      <c r="BN294" s="19"/>
      <c r="BO294" s="19"/>
      <c r="BP294" s="19"/>
      <c r="BQ294" s="19"/>
      <c r="BR294" s="19"/>
      <c r="BS294" s="19"/>
    </row>
    <row r="295" spans="1:71" ht="14.25" customHeight="1">
      <c r="A295" s="19"/>
      <c r="B295" s="20"/>
      <c r="C295" s="3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19"/>
      <c r="BI295" s="20"/>
      <c r="BJ295" s="20"/>
      <c r="BK295" s="19"/>
      <c r="BL295" s="19"/>
      <c r="BM295" s="19"/>
      <c r="BN295" s="19"/>
      <c r="BO295" s="19"/>
      <c r="BP295" s="19"/>
      <c r="BQ295" s="19"/>
      <c r="BR295" s="19"/>
      <c r="BS295" s="19"/>
    </row>
    <row r="296" spans="1:71" ht="14.25" customHeight="1">
      <c r="A296" s="19"/>
      <c r="B296" s="20"/>
      <c r="C296" s="3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19"/>
      <c r="BI296" s="20"/>
      <c r="BJ296" s="20"/>
      <c r="BK296" s="19"/>
      <c r="BL296" s="19"/>
      <c r="BM296" s="19"/>
      <c r="BN296" s="19"/>
      <c r="BO296" s="19"/>
      <c r="BP296" s="19"/>
      <c r="BQ296" s="19"/>
      <c r="BR296" s="19"/>
      <c r="BS296" s="19"/>
    </row>
    <row r="297" spans="1:71" ht="14.25" customHeight="1">
      <c r="A297" s="19"/>
      <c r="B297" s="20"/>
      <c r="C297" s="3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19"/>
      <c r="BI297" s="20"/>
      <c r="BJ297" s="20"/>
      <c r="BK297" s="19"/>
      <c r="BL297" s="19"/>
      <c r="BM297" s="19"/>
      <c r="BN297" s="19"/>
      <c r="BO297" s="19"/>
      <c r="BP297" s="19"/>
      <c r="BQ297" s="19"/>
      <c r="BR297" s="19"/>
      <c r="BS297" s="19"/>
    </row>
    <row r="298" spans="1:71" ht="14.25" customHeight="1">
      <c r="A298" s="19"/>
      <c r="B298" s="20"/>
      <c r="C298" s="3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19"/>
      <c r="BI298" s="20"/>
      <c r="BJ298" s="20"/>
      <c r="BK298" s="19"/>
      <c r="BL298" s="19"/>
      <c r="BM298" s="19"/>
      <c r="BN298" s="19"/>
      <c r="BO298" s="19"/>
      <c r="BP298" s="19"/>
      <c r="BQ298" s="19"/>
      <c r="BR298" s="19"/>
      <c r="BS298" s="19"/>
    </row>
    <row r="299" spans="1:71" ht="14.25" customHeight="1">
      <c r="A299" s="19"/>
      <c r="B299" s="20"/>
      <c r="C299" s="3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19"/>
      <c r="BI299" s="20"/>
      <c r="BJ299" s="20"/>
      <c r="BK299" s="19"/>
      <c r="BL299" s="19"/>
      <c r="BM299" s="19"/>
      <c r="BN299" s="19"/>
      <c r="BO299" s="19"/>
      <c r="BP299" s="19"/>
      <c r="BQ299" s="19"/>
      <c r="BR299" s="19"/>
      <c r="BS299" s="19"/>
    </row>
    <row r="300" spans="1:71" ht="14.25" customHeight="1">
      <c r="A300" s="19"/>
      <c r="B300" s="20"/>
      <c r="C300" s="3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19"/>
      <c r="BI300" s="20"/>
      <c r="BJ300" s="20"/>
      <c r="BK300" s="19"/>
      <c r="BL300" s="19"/>
      <c r="BM300" s="19"/>
      <c r="BN300" s="19"/>
      <c r="BO300" s="19"/>
      <c r="BP300" s="19"/>
      <c r="BQ300" s="19"/>
      <c r="BR300" s="19"/>
      <c r="BS300" s="19"/>
    </row>
    <row r="301" spans="1:71" ht="14.25" customHeight="1">
      <c r="A301" s="19"/>
      <c r="B301" s="20"/>
      <c r="C301" s="3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19"/>
      <c r="BI301" s="20"/>
      <c r="BJ301" s="20"/>
      <c r="BK301" s="19"/>
      <c r="BL301" s="19"/>
      <c r="BM301" s="19"/>
      <c r="BN301" s="19"/>
      <c r="BO301" s="19"/>
      <c r="BP301" s="19"/>
      <c r="BQ301" s="19"/>
      <c r="BR301" s="19"/>
      <c r="BS301" s="19"/>
    </row>
    <row r="302" spans="1:71" ht="14.25" customHeight="1">
      <c r="A302" s="19"/>
      <c r="B302" s="20"/>
      <c r="C302" s="3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19"/>
      <c r="BI302" s="20"/>
      <c r="BJ302" s="20"/>
      <c r="BK302" s="19"/>
      <c r="BL302" s="19"/>
      <c r="BM302" s="19"/>
      <c r="BN302" s="19"/>
      <c r="BO302" s="19"/>
      <c r="BP302" s="19"/>
      <c r="BQ302" s="19"/>
      <c r="BR302" s="19"/>
      <c r="BS302" s="19"/>
    </row>
    <row r="303" spans="1:71" ht="14.25" customHeight="1">
      <c r="A303" s="19"/>
      <c r="B303" s="20"/>
      <c r="C303" s="3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19"/>
      <c r="BI303" s="20"/>
      <c r="BJ303" s="20"/>
      <c r="BK303" s="19"/>
      <c r="BL303" s="19"/>
      <c r="BM303" s="19"/>
      <c r="BN303" s="19"/>
      <c r="BO303" s="19"/>
      <c r="BP303" s="19"/>
      <c r="BQ303" s="19"/>
      <c r="BR303" s="19"/>
      <c r="BS303" s="19"/>
    </row>
    <row r="304" spans="1:71" ht="14.25" customHeight="1">
      <c r="A304" s="19"/>
      <c r="B304" s="20"/>
      <c r="C304" s="3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19"/>
      <c r="BI304" s="20"/>
      <c r="BJ304" s="20"/>
      <c r="BK304" s="19"/>
      <c r="BL304" s="19"/>
      <c r="BM304" s="19"/>
      <c r="BN304" s="19"/>
      <c r="BO304" s="19"/>
      <c r="BP304" s="19"/>
      <c r="BQ304" s="19"/>
      <c r="BR304" s="19"/>
      <c r="BS304" s="19"/>
    </row>
    <row r="305" spans="1:71" ht="14.25" customHeight="1">
      <c r="A305" s="19"/>
      <c r="B305" s="20"/>
      <c r="C305" s="3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19"/>
      <c r="BI305" s="20"/>
      <c r="BJ305" s="20"/>
      <c r="BK305" s="19"/>
      <c r="BL305" s="19"/>
      <c r="BM305" s="19"/>
      <c r="BN305" s="19"/>
      <c r="BO305" s="19"/>
      <c r="BP305" s="19"/>
      <c r="BQ305" s="19"/>
      <c r="BR305" s="19"/>
      <c r="BS305" s="19"/>
    </row>
    <row r="306" spans="1:71" ht="14.25" customHeight="1">
      <c r="A306" s="19"/>
      <c r="B306" s="20"/>
      <c r="C306" s="3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19"/>
      <c r="BI306" s="20"/>
      <c r="BJ306" s="20"/>
      <c r="BK306" s="19"/>
      <c r="BL306" s="19"/>
      <c r="BM306" s="19"/>
      <c r="BN306" s="19"/>
      <c r="BO306" s="19"/>
      <c r="BP306" s="19"/>
      <c r="BQ306" s="19"/>
      <c r="BR306" s="19"/>
      <c r="BS306" s="19"/>
    </row>
    <row r="307" spans="1:71" ht="14.25" customHeight="1">
      <c r="A307" s="19"/>
      <c r="B307" s="20"/>
      <c r="C307" s="3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19"/>
      <c r="BI307" s="20"/>
      <c r="BJ307" s="20"/>
      <c r="BK307" s="19"/>
      <c r="BL307" s="19"/>
      <c r="BM307" s="19"/>
      <c r="BN307" s="19"/>
      <c r="BO307" s="19"/>
      <c r="BP307" s="19"/>
      <c r="BQ307" s="19"/>
      <c r="BR307" s="19"/>
      <c r="BS307" s="19"/>
    </row>
    <row r="308" spans="1:71" ht="14.25" customHeight="1">
      <c r="A308" s="19"/>
      <c r="B308" s="20"/>
      <c r="C308" s="3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19"/>
      <c r="BI308" s="20"/>
      <c r="BJ308" s="20"/>
      <c r="BK308" s="19"/>
      <c r="BL308" s="19"/>
      <c r="BM308" s="19"/>
      <c r="BN308" s="19"/>
      <c r="BO308" s="19"/>
      <c r="BP308" s="19"/>
      <c r="BQ308" s="19"/>
      <c r="BR308" s="19"/>
      <c r="BS308" s="19"/>
    </row>
    <row r="309" spans="1:71" ht="14.25" customHeight="1">
      <c r="A309" s="19"/>
      <c r="B309" s="20"/>
      <c r="C309" s="3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19"/>
      <c r="BI309" s="20"/>
      <c r="BJ309" s="20"/>
      <c r="BK309" s="19"/>
      <c r="BL309" s="19"/>
      <c r="BM309" s="19"/>
      <c r="BN309" s="19"/>
      <c r="BO309" s="19"/>
      <c r="BP309" s="19"/>
      <c r="BQ309" s="19"/>
      <c r="BR309" s="19"/>
      <c r="BS309" s="19"/>
    </row>
    <row r="310" spans="1:71" ht="14.25" customHeight="1">
      <c r="A310" s="19"/>
      <c r="B310" s="20"/>
      <c r="C310" s="3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19"/>
      <c r="BI310" s="20"/>
      <c r="BJ310" s="20"/>
      <c r="BK310" s="19"/>
      <c r="BL310" s="19"/>
      <c r="BM310" s="19"/>
      <c r="BN310" s="19"/>
      <c r="BO310" s="19"/>
      <c r="BP310" s="19"/>
      <c r="BQ310" s="19"/>
      <c r="BR310" s="19"/>
      <c r="BS310" s="19"/>
    </row>
    <row r="311" spans="1:71" ht="14.25" customHeight="1">
      <c r="A311" s="19"/>
      <c r="B311" s="20"/>
      <c r="C311" s="3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19"/>
      <c r="BI311" s="20"/>
      <c r="BJ311" s="20"/>
      <c r="BK311" s="19"/>
      <c r="BL311" s="19"/>
      <c r="BM311" s="19"/>
      <c r="BN311" s="19"/>
      <c r="BO311" s="19"/>
      <c r="BP311" s="19"/>
      <c r="BQ311" s="19"/>
      <c r="BR311" s="19"/>
      <c r="BS311" s="19"/>
    </row>
    <row r="312" spans="1:71" ht="14.25" customHeight="1">
      <c r="A312" s="19"/>
      <c r="B312" s="20"/>
      <c r="C312" s="3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19"/>
      <c r="BI312" s="20"/>
      <c r="BJ312" s="20"/>
      <c r="BK312" s="19"/>
      <c r="BL312" s="19"/>
      <c r="BM312" s="19"/>
      <c r="BN312" s="19"/>
      <c r="BO312" s="19"/>
      <c r="BP312" s="19"/>
      <c r="BQ312" s="19"/>
      <c r="BR312" s="19"/>
      <c r="BS312" s="19"/>
    </row>
    <row r="313" spans="1:71" ht="14.25" customHeight="1">
      <c r="A313" s="19"/>
      <c r="B313" s="20"/>
      <c r="C313" s="3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19"/>
      <c r="BI313" s="20"/>
      <c r="BJ313" s="20"/>
      <c r="BK313" s="19"/>
      <c r="BL313" s="19"/>
      <c r="BM313" s="19"/>
      <c r="BN313" s="19"/>
      <c r="BO313" s="19"/>
      <c r="BP313" s="19"/>
      <c r="BQ313" s="19"/>
      <c r="BR313" s="19"/>
      <c r="BS313" s="19"/>
    </row>
    <row r="314" spans="1:71" ht="14.25" customHeight="1">
      <c r="A314" s="19"/>
      <c r="B314" s="20"/>
      <c r="C314" s="3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19"/>
      <c r="BI314" s="20"/>
      <c r="BJ314" s="20"/>
      <c r="BK314" s="19"/>
      <c r="BL314" s="19"/>
      <c r="BM314" s="19"/>
      <c r="BN314" s="19"/>
      <c r="BO314" s="19"/>
      <c r="BP314" s="19"/>
      <c r="BQ314" s="19"/>
      <c r="BR314" s="19"/>
      <c r="BS314" s="19"/>
    </row>
    <row r="315" spans="1:71" ht="14.25" customHeight="1">
      <c r="A315" s="19"/>
      <c r="B315" s="20"/>
      <c r="C315" s="3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19"/>
      <c r="BI315" s="20"/>
      <c r="BJ315" s="20"/>
      <c r="BK315" s="19"/>
      <c r="BL315" s="19"/>
      <c r="BM315" s="19"/>
      <c r="BN315" s="19"/>
      <c r="BO315" s="19"/>
      <c r="BP315" s="19"/>
      <c r="BQ315" s="19"/>
      <c r="BR315" s="19"/>
      <c r="BS315" s="19"/>
    </row>
    <row r="316" spans="1:71" ht="14.25" customHeight="1">
      <c r="A316" s="19"/>
      <c r="B316" s="20"/>
      <c r="C316" s="3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19"/>
      <c r="BI316" s="20"/>
      <c r="BJ316" s="20"/>
      <c r="BK316" s="19"/>
      <c r="BL316" s="19"/>
      <c r="BM316" s="19"/>
      <c r="BN316" s="19"/>
      <c r="BO316" s="19"/>
      <c r="BP316" s="19"/>
      <c r="BQ316" s="19"/>
      <c r="BR316" s="19"/>
      <c r="BS316" s="19"/>
    </row>
    <row r="317" spans="1:71" ht="14.25" customHeight="1">
      <c r="A317" s="19"/>
      <c r="B317" s="20"/>
      <c r="C317" s="3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19"/>
      <c r="BI317" s="20"/>
      <c r="BJ317" s="20"/>
      <c r="BK317" s="19"/>
      <c r="BL317" s="19"/>
      <c r="BM317" s="19"/>
      <c r="BN317" s="19"/>
      <c r="BO317" s="19"/>
      <c r="BP317" s="19"/>
      <c r="BQ317" s="19"/>
      <c r="BR317" s="19"/>
      <c r="BS317" s="19"/>
    </row>
    <row r="318" spans="1:71" ht="14.25" customHeight="1">
      <c r="A318" s="19"/>
      <c r="B318" s="20"/>
      <c r="C318" s="3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19"/>
      <c r="BI318" s="20"/>
      <c r="BJ318" s="20"/>
      <c r="BK318" s="19"/>
      <c r="BL318" s="19"/>
      <c r="BM318" s="19"/>
      <c r="BN318" s="19"/>
      <c r="BO318" s="19"/>
      <c r="BP318" s="19"/>
      <c r="BQ318" s="19"/>
      <c r="BR318" s="19"/>
      <c r="BS318" s="19"/>
    </row>
    <row r="319" spans="1:71" ht="14.25" customHeight="1">
      <c r="A319" s="19"/>
      <c r="B319" s="20"/>
      <c r="C319" s="3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19"/>
      <c r="BI319" s="20"/>
      <c r="BJ319" s="20"/>
      <c r="BK319" s="19"/>
      <c r="BL319" s="19"/>
      <c r="BM319" s="19"/>
      <c r="BN319" s="19"/>
      <c r="BO319" s="19"/>
      <c r="BP319" s="19"/>
      <c r="BQ319" s="19"/>
      <c r="BR319" s="19"/>
      <c r="BS319" s="19"/>
    </row>
    <row r="320" spans="1:71" ht="14.25" customHeight="1">
      <c r="A320" s="19"/>
      <c r="B320" s="20"/>
      <c r="C320" s="3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19"/>
      <c r="BI320" s="20"/>
      <c r="BJ320" s="20"/>
      <c r="BK320" s="19"/>
      <c r="BL320" s="19"/>
      <c r="BM320" s="19"/>
      <c r="BN320" s="19"/>
      <c r="BO320" s="19"/>
      <c r="BP320" s="19"/>
      <c r="BQ320" s="19"/>
      <c r="BR320" s="19"/>
      <c r="BS320" s="19"/>
    </row>
    <row r="321" spans="1:71" ht="14.25" customHeight="1">
      <c r="A321" s="19"/>
      <c r="B321" s="20"/>
      <c r="C321" s="3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19"/>
      <c r="BI321" s="20"/>
      <c r="BJ321" s="20"/>
      <c r="BK321" s="19"/>
      <c r="BL321" s="19"/>
      <c r="BM321" s="19"/>
      <c r="BN321" s="19"/>
      <c r="BO321" s="19"/>
      <c r="BP321" s="19"/>
      <c r="BQ321" s="19"/>
      <c r="BR321" s="19"/>
      <c r="BS321" s="19"/>
    </row>
    <row r="322" spans="1:71" ht="14.25" customHeight="1">
      <c r="A322" s="19"/>
      <c r="B322" s="20"/>
      <c r="C322" s="3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19"/>
      <c r="BI322" s="20"/>
      <c r="BJ322" s="20"/>
      <c r="BK322" s="19"/>
      <c r="BL322" s="19"/>
      <c r="BM322" s="19"/>
      <c r="BN322" s="19"/>
      <c r="BO322" s="19"/>
      <c r="BP322" s="19"/>
      <c r="BQ322" s="19"/>
      <c r="BR322" s="19"/>
      <c r="BS322" s="19"/>
    </row>
    <row r="323" spans="1:71" ht="14.25" customHeight="1">
      <c r="A323" s="19"/>
      <c r="B323" s="20"/>
      <c r="C323" s="3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19"/>
      <c r="BI323" s="20"/>
      <c r="BJ323" s="20"/>
      <c r="BK323" s="19"/>
      <c r="BL323" s="19"/>
      <c r="BM323" s="19"/>
      <c r="BN323" s="19"/>
      <c r="BO323" s="19"/>
      <c r="BP323" s="19"/>
      <c r="BQ323" s="19"/>
      <c r="BR323" s="19"/>
      <c r="BS323" s="19"/>
    </row>
    <row r="324" spans="1:71" ht="14.25" customHeight="1">
      <c r="A324" s="19"/>
      <c r="B324" s="20"/>
      <c r="C324" s="3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19"/>
      <c r="BI324" s="20"/>
      <c r="BJ324" s="20"/>
      <c r="BK324" s="19"/>
      <c r="BL324" s="19"/>
      <c r="BM324" s="19"/>
      <c r="BN324" s="19"/>
      <c r="BO324" s="19"/>
      <c r="BP324" s="19"/>
      <c r="BQ324" s="19"/>
      <c r="BR324" s="19"/>
      <c r="BS324" s="19"/>
    </row>
    <row r="325" spans="1:71" ht="14.25" customHeight="1">
      <c r="A325" s="19"/>
      <c r="B325" s="20"/>
      <c r="C325" s="3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19"/>
      <c r="BI325" s="20"/>
      <c r="BJ325" s="20"/>
      <c r="BK325" s="19"/>
      <c r="BL325" s="19"/>
      <c r="BM325" s="19"/>
      <c r="BN325" s="19"/>
      <c r="BO325" s="19"/>
      <c r="BP325" s="19"/>
      <c r="BQ325" s="19"/>
      <c r="BR325" s="19"/>
      <c r="BS325" s="19"/>
    </row>
    <row r="326" spans="1:71" ht="14.25" customHeight="1">
      <c r="A326" s="19"/>
      <c r="B326" s="20"/>
      <c r="C326" s="3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19"/>
      <c r="BI326" s="20"/>
      <c r="BJ326" s="20"/>
      <c r="BK326" s="19"/>
      <c r="BL326" s="19"/>
      <c r="BM326" s="19"/>
      <c r="BN326" s="19"/>
      <c r="BO326" s="19"/>
      <c r="BP326" s="19"/>
      <c r="BQ326" s="19"/>
      <c r="BR326" s="19"/>
      <c r="BS326" s="19"/>
    </row>
    <row r="327" spans="1:71" ht="14.25" customHeight="1">
      <c r="A327" s="19"/>
      <c r="B327" s="20"/>
      <c r="C327" s="3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19"/>
      <c r="BI327" s="20"/>
      <c r="BJ327" s="20"/>
      <c r="BK327" s="19"/>
      <c r="BL327" s="19"/>
      <c r="BM327" s="19"/>
      <c r="BN327" s="19"/>
      <c r="BO327" s="19"/>
      <c r="BP327" s="19"/>
      <c r="BQ327" s="19"/>
      <c r="BR327" s="19"/>
      <c r="BS327" s="19"/>
    </row>
    <row r="328" spans="1:71" ht="14.25" customHeight="1">
      <c r="A328" s="19"/>
      <c r="B328" s="20"/>
      <c r="C328" s="3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19"/>
      <c r="BI328" s="20"/>
      <c r="BJ328" s="20"/>
      <c r="BK328" s="19"/>
      <c r="BL328" s="19"/>
      <c r="BM328" s="19"/>
      <c r="BN328" s="19"/>
      <c r="BO328" s="19"/>
      <c r="BP328" s="19"/>
      <c r="BQ328" s="19"/>
      <c r="BR328" s="19"/>
      <c r="BS328" s="19"/>
    </row>
    <row r="329" spans="1:71" ht="14.25" customHeight="1">
      <c r="A329" s="19"/>
      <c r="B329" s="20"/>
      <c r="C329" s="3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19"/>
      <c r="BI329" s="20"/>
      <c r="BJ329" s="20"/>
      <c r="BK329" s="19"/>
      <c r="BL329" s="19"/>
      <c r="BM329" s="19"/>
      <c r="BN329" s="19"/>
      <c r="BO329" s="19"/>
      <c r="BP329" s="19"/>
      <c r="BQ329" s="19"/>
      <c r="BR329" s="19"/>
      <c r="BS329" s="19"/>
    </row>
    <row r="330" spans="1:71" ht="14.25" customHeight="1">
      <c r="A330" s="19"/>
      <c r="B330" s="20"/>
      <c r="C330" s="3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19"/>
      <c r="BI330" s="20"/>
      <c r="BJ330" s="20"/>
      <c r="BK330" s="19"/>
      <c r="BL330" s="19"/>
      <c r="BM330" s="19"/>
      <c r="BN330" s="19"/>
      <c r="BO330" s="19"/>
      <c r="BP330" s="19"/>
      <c r="BQ330" s="19"/>
      <c r="BR330" s="19"/>
      <c r="BS330" s="19"/>
    </row>
    <row r="331" spans="1:71" ht="14.25" customHeight="1">
      <c r="A331" s="19"/>
      <c r="B331" s="20"/>
      <c r="C331" s="3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19"/>
      <c r="BI331" s="20"/>
      <c r="BJ331" s="20"/>
      <c r="BK331" s="19"/>
      <c r="BL331" s="19"/>
      <c r="BM331" s="19"/>
      <c r="BN331" s="19"/>
      <c r="BO331" s="19"/>
      <c r="BP331" s="19"/>
      <c r="BQ331" s="19"/>
      <c r="BR331" s="19"/>
      <c r="BS331" s="19"/>
    </row>
    <row r="332" spans="1:71" ht="14.25" customHeight="1">
      <c r="A332" s="19"/>
      <c r="B332" s="20"/>
      <c r="C332" s="3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19"/>
      <c r="BI332" s="20"/>
      <c r="BJ332" s="20"/>
      <c r="BK332" s="19"/>
      <c r="BL332" s="19"/>
      <c r="BM332" s="19"/>
      <c r="BN332" s="19"/>
      <c r="BO332" s="19"/>
      <c r="BP332" s="19"/>
      <c r="BQ332" s="19"/>
      <c r="BR332" s="19"/>
      <c r="BS332" s="19"/>
    </row>
    <row r="333" spans="1:71" ht="14.25" customHeight="1">
      <c r="A333" s="19"/>
      <c r="B333" s="20"/>
      <c r="C333" s="3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19"/>
      <c r="BI333" s="20"/>
      <c r="BJ333" s="20"/>
      <c r="BK333" s="19"/>
      <c r="BL333" s="19"/>
      <c r="BM333" s="19"/>
      <c r="BN333" s="19"/>
      <c r="BO333" s="19"/>
      <c r="BP333" s="19"/>
      <c r="BQ333" s="19"/>
      <c r="BR333" s="19"/>
      <c r="BS333" s="19"/>
    </row>
    <row r="334" spans="1:71" ht="14.25" customHeight="1">
      <c r="A334" s="19"/>
      <c r="B334" s="20"/>
      <c r="C334" s="3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19"/>
      <c r="BI334" s="20"/>
      <c r="BJ334" s="20"/>
      <c r="BK334" s="19"/>
      <c r="BL334" s="19"/>
      <c r="BM334" s="19"/>
      <c r="BN334" s="19"/>
      <c r="BO334" s="19"/>
      <c r="BP334" s="19"/>
      <c r="BQ334" s="19"/>
      <c r="BR334" s="19"/>
      <c r="BS334" s="19"/>
    </row>
    <row r="335" spans="1:71" ht="14.25" customHeight="1">
      <c r="A335" s="19"/>
      <c r="B335" s="20"/>
      <c r="C335" s="3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19"/>
      <c r="BI335" s="20"/>
      <c r="BJ335" s="20"/>
      <c r="BK335" s="19"/>
      <c r="BL335" s="19"/>
      <c r="BM335" s="19"/>
      <c r="BN335" s="19"/>
      <c r="BO335" s="19"/>
      <c r="BP335" s="19"/>
      <c r="BQ335" s="19"/>
      <c r="BR335" s="19"/>
      <c r="BS335" s="19"/>
    </row>
    <row r="336" spans="1:71" ht="14.25" customHeight="1">
      <c r="A336" s="19"/>
      <c r="B336" s="20"/>
      <c r="C336" s="3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19"/>
      <c r="BI336" s="20"/>
      <c r="BJ336" s="20"/>
      <c r="BK336" s="19"/>
      <c r="BL336" s="19"/>
      <c r="BM336" s="19"/>
      <c r="BN336" s="19"/>
      <c r="BO336" s="19"/>
      <c r="BP336" s="19"/>
      <c r="BQ336" s="19"/>
      <c r="BR336" s="19"/>
      <c r="BS336" s="19"/>
    </row>
    <row r="337" spans="1:71" ht="14.25" customHeight="1">
      <c r="A337" s="19"/>
      <c r="B337" s="20"/>
      <c r="C337" s="3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19"/>
      <c r="BI337" s="20"/>
      <c r="BJ337" s="20"/>
      <c r="BK337" s="19"/>
      <c r="BL337" s="19"/>
      <c r="BM337" s="19"/>
      <c r="BN337" s="19"/>
      <c r="BO337" s="19"/>
      <c r="BP337" s="19"/>
      <c r="BQ337" s="19"/>
      <c r="BR337" s="19"/>
      <c r="BS337" s="19"/>
    </row>
    <row r="338" spans="1:71" ht="14.25" customHeight="1">
      <c r="A338" s="19"/>
      <c r="B338" s="20"/>
      <c r="C338" s="3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19"/>
      <c r="BI338" s="20"/>
      <c r="BJ338" s="20"/>
      <c r="BK338" s="19"/>
      <c r="BL338" s="19"/>
      <c r="BM338" s="19"/>
      <c r="BN338" s="19"/>
      <c r="BO338" s="19"/>
      <c r="BP338" s="19"/>
      <c r="BQ338" s="19"/>
      <c r="BR338" s="19"/>
      <c r="BS338" s="19"/>
    </row>
    <row r="339" spans="1:71" ht="14.25" customHeight="1">
      <c r="A339" s="19"/>
      <c r="B339" s="20"/>
      <c r="C339" s="3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19"/>
      <c r="BI339" s="20"/>
      <c r="BJ339" s="20"/>
      <c r="BK339" s="19"/>
      <c r="BL339" s="19"/>
      <c r="BM339" s="19"/>
      <c r="BN339" s="19"/>
      <c r="BO339" s="19"/>
      <c r="BP339" s="19"/>
      <c r="BQ339" s="19"/>
      <c r="BR339" s="19"/>
      <c r="BS339" s="19"/>
    </row>
    <row r="340" spans="1:71" ht="14.25" customHeight="1">
      <c r="A340" s="19"/>
      <c r="B340" s="20"/>
      <c r="C340" s="3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19"/>
      <c r="BI340" s="20"/>
      <c r="BJ340" s="20"/>
      <c r="BK340" s="19"/>
      <c r="BL340" s="19"/>
      <c r="BM340" s="19"/>
      <c r="BN340" s="19"/>
      <c r="BO340" s="19"/>
      <c r="BP340" s="19"/>
      <c r="BQ340" s="19"/>
      <c r="BR340" s="19"/>
      <c r="BS340" s="19"/>
    </row>
    <row r="341" spans="1:71" ht="14.25" customHeight="1">
      <c r="A341" s="19"/>
      <c r="B341" s="20"/>
      <c r="C341" s="3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19"/>
      <c r="BI341" s="20"/>
      <c r="BJ341" s="20"/>
      <c r="BK341" s="19"/>
      <c r="BL341" s="19"/>
      <c r="BM341" s="19"/>
      <c r="BN341" s="19"/>
      <c r="BO341" s="19"/>
      <c r="BP341" s="19"/>
      <c r="BQ341" s="19"/>
      <c r="BR341" s="19"/>
      <c r="BS341" s="19"/>
    </row>
    <row r="342" spans="1:71" ht="14.25" customHeight="1">
      <c r="A342" s="19"/>
      <c r="B342" s="20"/>
      <c r="C342" s="3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19"/>
      <c r="BI342" s="20"/>
      <c r="BJ342" s="20"/>
      <c r="BK342" s="19"/>
      <c r="BL342" s="19"/>
      <c r="BM342" s="19"/>
      <c r="BN342" s="19"/>
      <c r="BO342" s="19"/>
      <c r="BP342" s="19"/>
      <c r="BQ342" s="19"/>
      <c r="BR342" s="19"/>
      <c r="BS342" s="19"/>
    </row>
    <row r="343" spans="1:71" ht="14.25" customHeight="1">
      <c r="A343" s="19"/>
      <c r="B343" s="20"/>
      <c r="C343" s="3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19"/>
      <c r="BI343" s="20"/>
      <c r="BJ343" s="20"/>
      <c r="BK343" s="19"/>
      <c r="BL343" s="19"/>
      <c r="BM343" s="19"/>
      <c r="BN343" s="19"/>
      <c r="BO343" s="19"/>
      <c r="BP343" s="19"/>
      <c r="BQ343" s="19"/>
      <c r="BR343" s="19"/>
      <c r="BS343" s="19"/>
    </row>
    <row r="344" spans="1:71" ht="14.25" customHeight="1">
      <c r="A344" s="19"/>
      <c r="B344" s="20"/>
      <c r="C344" s="3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19"/>
      <c r="BI344" s="20"/>
      <c r="BJ344" s="20"/>
      <c r="BK344" s="19"/>
      <c r="BL344" s="19"/>
      <c r="BM344" s="19"/>
      <c r="BN344" s="19"/>
      <c r="BO344" s="19"/>
      <c r="BP344" s="19"/>
      <c r="BQ344" s="19"/>
      <c r="BR344" s="19"/>
      <c r="BS344" s="19"/>
    </row>
    <row r="345" spans="1:71" ht="14.25" customHeight="1">
      <c r="A345" s="19"/>
      <c r="B345" s="20"/>
      <c r="C345" s="3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19"/>
      <c r="BI345" s="20"/>
      <c r="BJ345" s="20"/>
      <c r="BK345" s="19"/>
      <c r="BL345" s="19"/>
      <c r="BM345" s="19"/>
      <c r="BN345" s="19"/>
      <c r="BO345" s="19"/>
      <c r="BP345" s="19"/>
      <c r="BQ345" s="19"/>
      <c r="BR345" s="19"/>
      <c r="BS345" s="19"/>
    </row>
    <row r="346" spans="1:71" ht="14.25" customHeight="1">
      <c r="A346" s="19"/>
      <c r="B346" s="20"/>
      <c r="C346" s="3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19"/>
      <c r="BI346" s="20"/>
      <c r="BJ346" s="20"/>
      <c r="BK346" s="19"/>
      <c r="BL346" s="19"/>
      <c r="BM346" s="19"/>
      <c r="BN346" s="19"/>
      <c r="BO346" s="19"/>
      <c r="BP346" s="19"/>
      <c r="BQ346" s="19"/>
      <c r="BR346" s="19"/>
      <c r="BS346" s="19"/>
    </row>
    <row r="347" spans="1:71" ht="14.25" customHeight="1">
      <c r="A347" s="19"/>
      <c r="B347" s="20"/>
      <c r="C347" s="3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19"/>
      <c r="BI347" s="20"/>
      <c r="BJ347" s="20"/>
      <c r="BK347" s="19"/>
      <c r="BL347" s="19"/>
      <c r="BM347" s="19"/>
      <c r="BN347" s="19"/>
      <c r="BO347" s="19"/>
      <c r="BP347" s="19"/>
      <c r="BQ347" s="19"/>
      <c r="BR347" s="19"/>
      <c r="BS347" s="19"/>
    </row>
    <row r="348" spans="1:71" ht="14.25" customHeight="1">
      <c r="A348" s="19"/>
      <c r="B348" s="20"/>
      <c r="C348" s="3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19"/>
      <c r="BI348" s="20"/>
      <c r="BJ348" s="20"/>
      <c r="BK348" s="19"/>
      <c r="BL348" s="19"/>
      <c r="BM348" s="19"/>
      <c r="BN348" s="19"/>
      <c r="BO348" s="19"/>
      <c r="BP348" s="19"/>
      <c r="BQ348" s="19"/>
      <c r="BR348" s="19"/>
      <c r="BS348" s="19"/>
    </row>
    <row r="349" spans="1:71" ht="14.25" customHeight="1">
      <c r="A349" s="19"/>
      <c r="B349" s="20"/>
      <c r="C349" s="3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19"/>
      <c r="BI349" s="20"/>
      <c r="BJ349" s="20"/>
      <c r="BK349" s="19"/>
      <c r="BL349" s="19"/>
      <c r="BM349" s="19"/>
      <c r="BN349" s="19"/>
      <c r="BO349" s="19"/>
      <c r="BP349" s="19"/>
      <c r="BQ349" s="19"/>
      <c r="BR349" s="19"/>
      <c r="BS349" s="19"/>
    </row>
    <row r="350" spans="1:71" ht="14.25" customHeight="1">
      <c r="A350" s="19"/>
      <c r="B350" s="20"/>
      <c r="C350" s="3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19"/>
      <c r="BI350" s="20"/>
      <c r="BJ350" s="20"/>
      <c r="BK350" s="19"/>
      <c r="BL350" s="19"/>
      <c r="BM350" s="19"/>
      <c r="BN350" s="19"/>
      <c r="BO350" s="19"/>
      <c r="BP350" s="19"/>
      <c r="BQ350" s="19"/>
      <c r="BR350" s="19"/>
      <c r="BS350" s="19"/>
    </row>
  </sheetData>
  <mergeCells count="27">
    <mergeCell ref="A79:BA79"/>
    <mergeCell ref="BO5:BO6"/>
    <mergeCell ref="BP5:BP6"/>
    <mergeCell ref="BQ5:BQ6"/>
    <mergeCell ref="BR5:BR6"/>
    <mergeCell ref="BH5:BH6"/>
    <mergeCell ref="BI5:BI6"/>
    <mergeCell ref="BJ5:BJ6"/>
    <mergeCell ref="BK5:BK6"/>
    <mergeCell ref="BL5:BL6"/>
    <mergeCell ref="BM5:BM6"/>
    <mergeCell ref="BN5:BN6"/>
    <mergeCell ref="BH4:BN4"/>
    <mergeCell ref="BO4:BS4"/>
    <mergeCell ref="A4:BF4"/>
    <mergeCell ref="A5:C5"/>
    <mergeCell ref="BB5:BB6"/>
    <mergeCell ref="BC5:BC6"/>
    <mergeCell ref="BD5:BD6"/>
    <mergeCell ref="BE5:BE6"/>
    <mergeCell ref="BF5:BF6"/>
    <mergeCell ref="BS5:BS6"/>
    <mergeCell ref="A1:BF3"/>
    <mergeCell ref="BH1:BS1"/>
    <mergeCell ref="BH2:BS2"/>
    <mergeCell ref="BH3:BN3"/>
    <mergeCell ref="BO3:BS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S350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9.6640625" customWidth="1"/>
    <col min="2" max="2" width="9" customWidth="1"/>
    <col min="3" max="3" width="24.44140625" customWidth="1"/>
    <col min="4" max="6" width="4.6640625" customWidth="1"/>
    <col min="7" max="14" width="4.6640625" hidden="1" customWidth="1"/>
    <col min="15" max="26" width="4.33203125" hidden="1" customWidth="1"/>
    <col min="27" max="40" width="4" hidden="1" customWidth="1"/>
    <col min="41" max="45" width="4.44140625" hidden="1" customWidth="1"/>
    <col min="46" max="53" width="4.44140625" customWidth="1"/>
    <col min="54" max="54" width="10.44140625" customWidth="1"/>
    <col min="55" max="55" width="13.109375" customWidth="1"/>
    <col min="56" max="58" width="11.6640625" customWidth="1"/>
    <col min="59" max="59" width="8.88671875" customWidth="1"/>
    <col min="60" max="60" width="6" customWidth="1"/>
    <col min="61" max="61" width="8.6640625" customWidth="1"/>
    <col min="62" max="62" width="23.33203125" customWidth="1"/>
    <col min="63" max="63" width="7.44140625" customWidth="1"/>
    <col min="64" max="64" width="8.88671875" customWidth="1"/>
    <col min="65" max="65" width="8.33203125" customWidth="1"/>
    <col min="66" max="66" width="11.5546875" customWidth="1"/>
    <col min="67" max="67" width="9.6640625" customWidth="1"/>
    <col min="68" max="68" width="8.5546875" customWidth="1"/>
    <col min="69" max="69" width="12.88671875" customWidth="1"/>
    <col min="70" max="70" width="8.6640625" customWidth="1"/>
    <col min="71" max="71" width="9.88671875" customWidth="1"/>
  </cols>
  <sheetData>
    <row r="1" spans="1:71" ht="24.75" customHeight="1">
      <c r="A1" s="96" t="str">
        <f>OVERALL!A1</f>
        <v>ATTENDANCE RECORD JAN-JUNE 2025 (B.Tech CSE 4B)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8"/>
      <c r="BG1" s="20"/>
      <c r="BH1" s="105" t="s">
        <v>134</v>
      </c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9"/>
    </row>
    <row r="2" spans="1:71" ht="21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1"/>
      <c r="BG2" s="20"/>
      <c r="BH2" s="106" t="s">
        <v>96</v>
      </c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9"/>
    </row>
    <row r="3" spans="1:71" ht="22.5" customHeight="1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4"/>
      <c r="BG3" s="20"/>
      <c r="BH3" s="107" t="s">
        <v>97</v>
      </c>
      <c r="BI3" s="88"/>
      <c r="BJ3" s="88"/>
      <c r="BK3" s="88"/>
      <c r="BL3" s="88"/>
      <c r="BM3" s="88"/>
      <c r="BN3" s="89"/>
      <c r="BO3" s="107" t="s">
        <v>98</v>
      </c>
      <c r="BP3" s="88"/>
      <c r="BQ3" s="88"/>
      <c r="BR3" s="88"/>
      <c r="BS3" s="89"/>
    </row>
    <row r="4" spans="1:71" ht="23.25" customHeight="1">
      <c r="A4" s="108" t="s">
        <v>99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9"/>
      <c r="BG4" s="20"/>
      <c r="BH4" s="107" t="s">
        <v>145</v>
      </c>
      <c r="BI4" s="88"/>
      <c r="BJ4" s="88"/>
      <c r="BK4" s="88"/>
      <c r="BL4" s="88"/>
      <c r="BM4" s="88"/>
      <c r="BN4" s="89"/>
      <c r="BO4" s="107" t="s">
        <v>146</v>
      </c>
      <c r="BP4" s="88"/>
      <c r="BQ4" s="88"/>
      <c r="BR4" s="88"/>
      <c r="BS4" s="89"/>
    </row>
    <row r="5" spans="1:71" ht="64.5" customHeight="1">
      <c r="A5" s="109" t="s">
        <v>102</v>
      </c>
      <c r="B5" s="88"/>
      <c r="C5" s="8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110" t="s">
        <v>103</v>
      </c>
      <c r="BC5" s="110" t="s">
        <v>104</v>
      </c>
      <c r="BD5" s="110" t="s">
        <v>105</v>
      </c>
      <c r="BE5" s="110" t="s">
        <v>106</v>
      </c>
      <c r="BF5" s="110" t="s">
        <v>107</v>
      </c>
      <c r="BG5" s="20"/>
      <c r="BH5" s="112" t="s">
        <v>1</v>
      </c>
      <c r="BI5" s="112" t="s">
        <v>2</v>
      </c>
      <c r="BJ5" s="112" t="s">
        <v>3</v>
      </c>
      <c r="BK5" s="112" t="s">
        <v>108</v>
      </c>
      <c r="BL5" s="112" t="s">
        <v>109</v>
      </c>
      <c r="BM5" s="112" t="s">
        <v>16</v>
      </c>
      <c r="BN5" s="112" t="s">
        <v>110</v>
      </c>
      <c r="BO5" s="112" t="s">
        <v>138</v>
      </c>
      <c r="BP5" s="112" t="s">
        <v>139</v>
      </c>
      <c r="BQ5" s="113" t="s">
        <v>140</v>
      </c>
      <c r="BR5" s="112" t="s">
        <v>120</v>
      </c>
      <c r="BS5" s="112" t="s">
        <v>141</v>
      </c>
    </row>
    <row r="6" spans="1:71" ht="19.5" customHeight="1">
      <c r="A6" s="9" t="s">
        <v>1</v>
      </c>
      <c r="B6" s="9" t="s">
        <v>2</v>
      </c>
      <c r="C6" s="23" t="s">
        <v>3</v>
      </c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  <c r="P6" s="9">
        <v>13</v>
      </c>
      <c r="Q6" s="9">
        <v>14</v>
      </c>
      <c r="R6" s="9">
        <v>15</v>
      </c>
      <c r="S6" s="9">
        <v>16</v>
      </c>
      <c r="T6" s="9">
        <v>17</v>
      </c>
      <c r="U6" s="9">
        <v>18</v>
      </c>
      <c r="V6" s="9">
        <v>19</v>
      </c>
      <c r="W6" s="9">
        <v>20</v>
      </c>
      <c r="X6" s="9">
        <v>21</v>
      </c>
      <c r="Y6" s="9">
        <v>22</v>
      </c>
      <c r="Z6" s="9">
        <v>23</v>
      </c>
      <c r="AA6" s="9">
        <v>24</v>
      </c>
      <c r="AB6" s="9">
        <v>25</v>
      </c>
      <c r="AC6" s="9">
        <v>26</v>
      </c>
      <c r="AD6" s="9">
        <v>27</v>
      </c>
      <c r="AE6" s="9">
        <v>28</v>
      </c>
      <c r="AF6" s="9">
        <v>29</v>
      </c>
      <c r="AG6" s="9">
        <v>30</v>
      </c>
      <c r="AH6" s="9">
        <v>31</v>
      </c>
      <c r="AI6" s="9">
        <v>32</v>
      </c>
      <c r="AJ6" s="9">
        <v>33</v>
      </c>
      <c r="AK6" s="9">
        <v>34</v>
      </c>
      <c r="AL6" s="9">
        <v>35</v>
      </c>
      <c r="AM6" s="9">
        <v>36</v>
      </c>
      <c r="AN6" s="9">
        <v>37</v>
      </c>
      <c r="AO6" s="9">
        <v>38</v>
      </c>
      <c r="AP6" s="9">
        <v>39</v>
      </c>
      <c r="AQ6" s="9">
        <v>40</v>
      </c>
      <c r="AR6" s="9">
        <v>41</v>
      </c>
      <c r="AS6" s="9">
        <v>42</v>
      </c>
      <c r="AT6" s="9">
        <v>43</v>
      </c>
      <c r="AU6" s="9">
        <v>44</v>
      </c>
      <c r="AV6" s="9">
        <v>45</v>
      </c>
      <c r="AW6" s="9">
        <v>46</v>
      </c>
      <c r="AX6" s="9">
        <v>47</v>
      </c>
      <c r="AY6" s="9">
        <v>48</v>
      </c>
      <c r="AZ6" s="9">
        <v>49</v>
      </c>
      <c r="BA6" s="9">
        <v>50</v>
      </c>
      <c r="BB6" s="92"/>
      <c r="BC6" s="92"/>
      <c r="BD6" s="92"/>
      <c r="BE6" s="92"/>
      <c r="BF6" s="92"/>
      <c r="BG6" s="20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</row>
    <row r="7" spans="1:71" ht="19.5" customHeight="1">
      <c r="A7" s="9">
        <v>1</v>
      </c>
      <c r="B7" s="2">
        <f>OVERALL!B4</f>
        <v>2301249</v>
      </c>
      <c r="C7" s="3" t="str">
        <f>OVERALL!C4</f>
        <v>Rahul Sharma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v>34</v>
      </c>
      <c r="BC7" s="9"/>
      <c r="BD7" s="9">
        <f t="shared" ref="BD7:BD76" si="0">BB7+BC7</f>
        <v>34</v>
      </c>
      <c r="BE7" s="9">
        <v>44</v>
      </c>
      <c r="BF7" s="2">
        <f t="shared" ref="BF7:BF76" si="1">(BD7/BE7)*100</f>
        <v>77.272727272727266</v>
      </c>
      <c r="BG7" s="20"/>
      <c r="BH7" s="9">
        <v>1</v>
      </c>
      <c r="BI7" s="26">
        <f>OVERALL!B4</f>
        <v>2301249</v>
      </c>
      <c r="BJ7" s="26" t="str">
        <f>OVERALL!C4</f>
        <v>Rahul Sharma</v>
      </c>
      <c r="BK7" s="9">
        <f t="shared" ref="BK7:BL7" si="2">BD7</f>
        <v>34</v>
      </c>
      <c r="BL7" s="9">
        <f t="shared" si="2"/>
        <v>44</v>
      </c>
      <c r="BM7" s="2">
        <f t="shared" ref="BM7:BM76" si="3">(BK7/BL7)*100</f>
        <v>77.272727272727266</v>
      </c>
      <c r="BN7" s="9" t="str">
        <f t="shared" ref="BN7:BN76" si="4">IF(BM7&gt;=95.5,"6",IF(BM7&gt;=90.5,"5", IF(BM7&gt;=85.5,"4",IF(BM7&gt;=80.5,"3",IF(BM7&gt;=75.5,"2","0")))))</f>
        <v>2</v>
      </c>
      <c r="BO7" s="9">
        <v>6</v>
      </c>
      <c r="BP7" s="9">
        <v>5</v>
      </c>
      <c r="BQ7" s="2">
        <f t="shared" ref="BQ7:BQ76" si="5">AVERAGE(D81:BA81)</f>
        <v>7.2</v>
      </c>
      <c r="BR7" s="9"/>
      <c r="BS7" s="2">
        <f t="shared" ref="BS7:BS76" si="6">BR7+BQ7+BP7+BO7+BN7</f>
        <v>20.2</v>
      </c>
    </row>
    <row r="8" spans="1:71" ht="19.5" customHeight="1">
      <c r="A8" s="9">
        <v>2</v>
      </c>
      <c r="B8" s="2">
        <f>OVERALL!B5</f>
        <v>2301251</v>
      </c>
      <c r="C8" s="3" t="str">
        <f>OVERALL!C5</f>
        <v>Raj Kumar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>
        <v>34</v>
      </c>
      <c r="BC8" s="9"/>
      <c r="BD8" s="9">
        <f t="shared" si="0"/>
        <v>34</v>
      </c>
      <c r="BE8" s="9">
        <v>44</v>
      </c>
      <c r="BF8" s="2">
        <f t="shared" si="1"/>
        <v>77.272727272727266</v>
      </c>
      <c r="BG8" s="20"/>
      <c r="BH8" s="9">
        <v>2</v>
      </c>
      <c r="BI8" s="26">
        <f>OVERALL!B5</f>
        <v>2301251</v>
      </c>
      <c r="BJ8" s="26" t="str">
        <f>OVERALL!C5</f>
        <v>Raj Kumar</v>
      </c>
      <c r="BK8" s="9">
        <f t="shared" ref="BK8:BL8" si="7">BD8</f>
        <v>34</v>
      </c>
      <c r="BL8" s="9">
        <f t="shared" si="7"/>
        <v>44</v>
      </c>
      <c r="BM8" s="2">
        <f t="shared" si="3"/>
        <v>77.272727272727266</v>
      </c>
      <c r="BN8" s="9" t="str">
        <f t="shared" si="4"/>
        <v>2</v>
      </c>
      <c r="BO8" s="9">
        <v>6</v>
      </c>
      <c r="BP8" s="9">
        <v>5</v>
      </c>
      <c r="BQ8" s="2">
        <f t="shared" si="5"/>
        <v>7.3</v>
      </c>
      <c r="BR8" s="9"/>
      <c r="BS8" s="2">
        <f t="shared" si="6"/>
        <v>20.3</v>
      </c>
    </row>
    <row r="9" spans="1:71" ht="19.5" customHeight="1">
      <c r="A9" s="9">
        <v>3</v>
      </c>
      <c r="B9" s="2">
        <f>OVERALL!B6</f>
        <v>2301252</v>
      </c>
      <c r="C9" s="3" t="str">
        <f>OVERALL!C6</f>
        <v>Rajan Sharma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>
        <v>30</v>
      </c>
      <c r="BC9" s="9"/>
      <c r="BD9" s="9">
        <f t="shared" si="0"/>
        <v>30</v>
      </c>
      <c r="BE9" s="9">
        <v>44</v>
      </c>
      <c r="BF9" s="2">
        <f t="shared" si="1"/>
        <v>68.181818181818173</v>
      </c>
      <c r="BG9" s="20"/>
      <c r="BH9" s="9">
        <v>3</v>
      </c>
      <c r="BI9" s="26">
        <f>OVERALL!B6</f>
        <v>2301252</v>
      </c>
      <c r="BJ9" s="26" t="str">
        <f>OVERALL!C6</f>
        <v>Rajan Sharma</v>
      </c>
      <c r="BK9" s="9">
        <f t="shared" ref="BK9:BL9" si="8">BD9</f>
        <v>30</v>
      </c>
      <c r="BL9" s="9">
        <f t="shared" si="8"/>
        <v>44</v>
      </c>
      <c r="BM9" s="2">
        <f t="shared" si="3"/>
        <v>68.181818181818173</v>
      </c>
      <c r="BN9" s="9" t="str">
        <f t="shared" si="4"/>
        <v>0</v>
      </c>
      <c r="BO9" s="9">
        <v>6</v>
      </c>
      <c r="BP9" s="9">
        <v>5</v>
      </c>
      <c r="BQ9" s="2">
        <f t="shared" si="5"/>
        <v>7.2</v>
      </c>
      <c r="BR9" s="9"/>
      <c r="BS9" s="2">
        <f t="shared" si="6"/>
        <v>18.2</v>
      </c>
    </row>
    <row r="10" spans="1:71" ht="19.5" customHeight="1">
      <c r="A10" s="9">
        <v>4</v>
      </c>
      <c r="B10" s="2">
        <f>OVERALL!B7</f>
        <v>2301253</v>
      </c>
      <c r="C10" s="3" t="str">
        <f>OVERALL!C7</f>
        <v>Rajwinder Kaur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>
        <v>38</v>
      </c>
      <c r="BC10" s="9">
        <v>1</v>
      </c>
      <c r="BD10" s="9">
        <f t="shared" si="0"/>
        <v>39</v>
      </c>
      <c r="BE10" s="9">
        <v>44</v>
      </c>
      <c r="BF10" s="2">
        <f t="shared" si="1"/>
        <v>88.63636363636364</v>
      </c>
      <c r="BG10" s="20"/>
      <c r="BH10" s="9">
        <v>4</v>
      </c>
      <c r="BI10" s="26">
        <f>OVERALL!B7</f>
        <v>2301253</v>
      </c>
      <c r="BJ10" s="26" t="str">
        <f>OVERALL!C7</f>
        <v>Rajwinder Kaur</v>
      </c>
      <c r="BK10" s="9">
        <f t="shared" ref="BK10:BL10" si="9">BD10</f>
        <v>39</v>
      </c>
      <c r="BL10" s="9">
        <f t="shared" si="9"/>
        <v>44</v>
      </c>
      <c r="BM10" s="2">
        <f t="shared" si="3"/>
        <v>88.63636363636364</v>
      </c>
      <c r="BN10" s="9" t="str">
        <f t="shared" si="4"/>
        <v>4</v>
      </c>
      <c r="BO10" s="9">
        <v>6</v>
      </c>
      <c r="BP10" s="9">
        <v>7</v>
      </c>
      <c r="BQ10" s="2">
        <f t="shared" si="5"/>
        <v>7.5</v>
      </c>
      <c r="BR10" s="9"/>
      <c r="BS10" s="2">
        <f t="shared" si="6"/>
        <v>24.5</v>
      </c>
    </row>
    <row r="11" spans="1:71" ht="19.5" customHeight="1">
      <c r="A11" s="9">
        <v>5</v>
      </c>
      <c r="B11" s="2">
        <f>OVERALL!B8</f>
        <v>2301255</v>
      </c>
      <c r="C11" s="3" t="str">
        <f>OVERALL!C8</f>
        <v>Ravi Bhushan Kumar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>
        <v>38</v>
      </c>
      <c r="BC11" s="9"/>
      <c r="BD11" s="9">
        <f t="shared" si="0"/>
        <v>38</v>
      </c>
      <c r="BE11" s="9">
        <v>44</v>
      </c>
      <c r="BF11" s="2">
        <f t="shared" si="1"/>
        <v>86.36363636363636</v>
      </c>
      <c r="BG11" s="20"/>
      <c r="BH11" s="9">
        <v>5</v>
      </c>
      <c r="BI11" s="26">
        <f>OVERALL!B8</f>
        <v>2301255</v>
      </c>
      <c r="BJ11" s="26" t="str">
        <f>OVERALL!C8</f>
        <v>Ravi Bhushan Kumar</v>
      </c>
      <c r="BK11" s="9">
        <f t="shared" ref="BK11:BL11" si="10">BD11</f>
        <v>38</v>
      </c>
      <c r="BL11" s="9">
        <f t="shared" si="10"/>
        <v>44</v>
      </c>
      <c r="BM11" s="2">
        <f t="shared" si="3"/>
        <v>86.36363636363636</v>
      </c>
      <c r="BN11" s="9" t="str">
        <f t="shared" si="4"/>
        <v>4</v>
      </c>
      <c r="BO11" s="9">
        <v>7</v>
      </c>
      <c r="BP11" s="9">
        <v>7</v>
      </c>
      <c r="BQ11" s="2">
        <f t="shared" si="5"/>
        <v>8.6999999999999993</v>
      </c>
      <c r="BR11" s="9"/>
      <c r="BS11" s="2">
        <f t="shared" si="6"/>
        <v>26.7</v>
      </c>
    </row>
    <row r="12" spans="1:71" ht="19.5" customHeight="1">
      <c r="A12" s="9">
        <v>6</v>
      </c>
      <c r="B12" s="2">
        <f>OVERALL!B9</f>
        <v>2301256</v>
      </c>
      <c r="C12" s="3" t="str">
        <f>OVERALL!C9</f>
        <v>Reshma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>
        <v>34</v>
      </c>
      <c r="BC12" s="9"/>
      <c r="BD12" s="9">
        <f t="shared" si="0"/>
        <v>34</v>
      </c>
      <c r="BE12" s="9">
        <v>44</v>
      </c>
      <c r="BF12" s="2">
        <f t="shared" si="1"/>
        <v>77.272727272727266</v>
      </c>
      <c r="BG12" s="20"/>
      <c r="BH12" s="9">
        <v>6</v>
      </c>
      <c r="BI12" s="26">
        <f>OVERALL!B9</f>
        <v>2301256</v>
      </c>
      <c r="BJ12" s="26" t="str">
        <f>OVERALL!C9</f>
        <v>Reshma</v>
      </c>
      <c r="BK12" s="9">
        <f t="shared" ref="BK12:BL12" si="11">BD12</f>
        <v>34</v>
      </c>
      <c r="BL12" s="9">
        <f t="shared" si="11"/>
        <v>44</v>
      </c>
      <c r="BM12" s="2">
        <f t="shared" si="3"/>
        <v>77.272727272727266</v>
      </c>
      <c r="BN12" s="9" t="str">
        <f t="shared" si="4"/>
        <v>2</v>
      </c>
      <c r="BO12" s="9">
        <v>6</v>
      </c>
      <c r="BP12" s="9">
        <v>5</v>
      </c>
      <c r="BQ12" s="2">
        <f t="shared" si="5"/>
        <v>7.9</v>
      </c>
      <c r="BR12" s="9"/>
      <c r="BS12" s="2">
        <f t="shared" si="6"/>
        <v>20.9</v>
      </c>
    </row>
    <row r="13" spans="1:71" ht="19.5" customHeight="1">
      <c r="A13" s="9">
        <v>7</v>
      </c>
      <c r="B13" s="2">
        <f>OVERALL!B10</f>
        <v>2301257</v>
      </c>
      <c r="C13" s="3" t="str">
        <f>OVERALL!C10</f>
        <v>Ritesh Kumar Choudhary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v>28</v>
      </c>
      <c r="BC13" s="9"/>
      <c r="BD13" s="9">
        <f t="shared" si="0"/>
        <v>28</v>
      </c>
      <c r="BE13" s="9">
        <v>44</v>
      </c>
      <c r="BF13" s="2">
        <f t="shared" si="1"/>
        <v>63.636363636363633</v>
      </c>
      <c r="BG13" s="20"/>
      <c r="BH13" s="9">
        <v>7</v>
      </c>
      <c r="BI13" s="26">
        <f>OVERALL!B10</f>
        <v>2301257</v>
      </c>
      <c r="BJ13" s="26" t="str">
        <f>OVERALL!C10</f>
        <v>Ritesh Kumar Choudhary</v>
      </c>
      <c r="BK13" s="9">
        <f t="shared" ref="BK13:BL13" si="12">BD13</f>
        <v>28</v>
      </c>
      <c r="BL13" s="9">
        <f t="shared" si="12"/>
        <v>44</v>
      </c>
      <c r="BM13" s="2">
        <f t="shared" si="3"/>
        <v>63.636363636363633</v>
      </c>
      <c r="BN13" s="9" t="str">
        <f t="shared" si="4"/>
        <v>0</v>
      </c>
      <c r="BO13" s="9">
        <v>5</v>
      </c>
      <c r="BP13" s="9">
        <v>5</v>
      </c>
      <c r="BQ13" s="2">
        <f t="shared" si="5"/>
        <v>6.3</v>
      </c>
      <c r="BR13" s="9"/>
      <c r="BS13" s="2">
        <f t="shared" si="6"/>
        <v>16.3</v>
      </c>
    </row>
    <row r="14" spans="1:71" ht="19.5" customHeight="1">
      <c r="A14" s="9">
        <v>8</v>
      </c>
      <c r="B14" s="2">
        <f>OVERALL!B11</f>
        <v>2301258</v>
      </c>
      <c r="C14" s="3" t="str">
        <f>OVERALL!C11</f>
        <v>Ritesh Thakur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>
        <v>10</v>
      </c>
      <c r="BC14" s="9">
        <v>2</v>
      </c>
      <c r="BD14" s="9">
        <f t="shared" si="0"/>
        <v>12</v>
      </c>
      <c r="BE14" s="9">
        <v>44</v>
      </c>
      <c r="BF14" s="2">
        <f t="shared" si="1"/>
        <v>27.27272727272727</v>
      </c>
      <c r="BG14" s="20"/>
      <c r="BH14" s="9">
        <v>8</v>
      </c>
      <c r="BI14" s="26">
        <f>OVERALL!B11</f>
        <v>2301258</v>
      </c>
      <c r="BJ14" s="26" t="str">
        <f>OVERALL!C11</f>
        <v>Ritesh Thakur</v>
      </c>
      <c r="BK14" s="9">
        <f t="shared" ref="BK14:BL14" si="13">BD14</f>
        <v>12</v>
      </c>
      <c r="BL14" s="9">
        <f t="shared" si="13"/>
        <v>44</v>
      </c>
      <c r="BM14" s="2">
        <f t="shared" si="3"/>
        <v>27.27272727272727</v>
      </c>
      <c r="BN14" s="9" t="str">
        <f t="shared" si="4"/>
        <v>0</v>
      </c>
      <c r="BO14" s="9">
        <v>0</v>
      </c>
      <c r="BP14" s="9">
        <v>0</v>
      </c>
      <c r="BQ14" s="2">
        <f t="shared" si="5"/>
        <v>3.4</v>
      </c>
      <c r="BR14" s="9"/>
      <c r="BS14" s="2">
        <f t="shared" si="6"/>
        <v>3.4</v>
      </c>
    </row>
    <row r="15" spans="1:71" ht="19.5" customHeight="1">
      <c r="A15" s="9">
        <v>9</v>
      </c>
      <c r="B15" s="2">
        <f>OVERALL!B12</f>
        <v>2301259</v>
      </c>
      <c r="C15" s="3" t="str">
        <f>OVERALL!C12</f>
        <v>Riya Thakur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>
        <v>34</v>
      </c>
      <c r="BC15" s="9"/>
      <c r="BD15" s="9">
        <f t="shared" si="0"/>
        <v>34</v>
      </c>
      <c r="BE15" s="9">
        <v>44</v>
      </c>
      <c r="BF15" s="2">
        <f t="shared" si="1"/>
        <v>77.272727272727266</v>
      </c>
      <c r="BG15" s="20"/>
      <c r="BH15" s="9">
        <v>9</v>
      </c>
      <c r="BI15" s="26">
        <f>OVERALL!B12</f>
        <v>2301259</v>
      </c>
      <c r="BJ15" s="26" t="str">
        <f>OVERALL!C12</f>
        <v>Riya Thakur</v>
      </c>
      <c r="BK15" s="9">
        <f t="shared" ref="BK15:BL15" si="14">BD15</f>
        <v>34</v>
      </c>
      <c r="BL15" s="9">
        <f t="shared" si="14"/>
        <v>44</v>
      </c>
      <c r="BM15" s="2">
        <f t="shared" si="3"/>
        <v>77.272727272727266</v>
      </c>
      <c r="BN15" s="9" t="str">
        <f t="shared" si="4"/>
        <v>2</v>
      </c>
      <c r="BO15" s="9">
        <v>7</v>
      </c>
      <c r="BP15" s="9">
        <v>6</v>
      </c>
      <c r="BQ15" s="2">
        <f t="shared" si="5"/>
        <v>7.1</v>
      </c>
      <c r="BR15" s="9"/>
      <c r="BS15" s="2">
        <f t="shared" si="6"/>
        <v>22.1</v>
      </c>
    </row>
    <row r="16" spans="1:71" ht="19.5" customHeight="1">
      <c r="A16" s="9">
        <v>10</v>
      </c>
      <c r="B16" s="2">
        <f>OVERALL!B13</f>
        <v>2301260</v>
      </c>
      <c r="C16" s="3" t="str">
        <f>OVERALL!C13</f>
        <v>Rounit Dhiman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>
        <v>36</v>
      </c>
      <c r="BC16" s="9"/>
      <c r="BD16" s="9">
        <f t="shared" si="0"/>
        <v>36</v>
      </c>
      <c r="BE16" s="9">
        <v>44</v>
      </c>
      <c r="BF16" s="2">
        <f t="shared" si="1"/>
        <v>81.818181818181827</v>
      </c>
      <c r="BG16" s="20"/>
      <c r="BH16" s="9">
        <v>10</v>
      </c>
      <c r="BI16" s="26">
        <f>OVERALL!B13</f>
        <v>2301260</v>
      </c>
      <c r="BJ16" s="26" t="str">
        <f>OVERALL!C13</f>
        <v>Rounit Dhiman</v>
      </c>
      <c r="BK16" s="9">
        <f t="shared" ref="BK16:BL16" si="15">BD16</f>
        <v>36</v>
      </c>
      <c r="BL16" s="9">
        <f t="shared" si="15"/>
        <v>44</v>
      </c>
      <c r="BM16" s="2">
        <f t="shared" si="3"/>
        <v>81.818181818181827</v>
      </c>
      <c r="BN16" s="9" t="str">
        <f t="shared" si="4"/>
        <v>3</v>
      </c>
      <c r="BO16" s="9">
        <v>5</v>
      </c>
      <c r="BP16" s="9">
        <v>5</v>
      </c>
      <c r="BQ16" s="2">
        <f t="shared" si="5"/>
        <v>7.5</v>
      </c>
      <c r="BR16" s="9"/>
      <c r="BS16" s="2">
        <f t="shared" si="6"/>
        <v>20.5</v>
      </c>
    </row>
    <row r="17" spans="1:71" ht="19.5" customHeight="1">
      <c r="A17" s="9">
        <v>11</v>
      </c>
      <c r="B17" s="2">
        <f>OVERALL!B14</f>
        <v>2301261</v>
      </c>
      <c r="C17" s="3" t="str">
        <f>OVERALL!C14</f>
        <v>Rubby Kumari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>
        <v>26</v>
      </c>
      <c r="BC17" s="9"/>
      <c r="BD17" s="9">
        <f t="shared" si="0"/>
        <v>26</v>
      </c>
      <c r="BE17" s="9">
        <v>44</v>
      </c>
      <c r="BF17" s="2">
        <f t="shared" si="1"/>
        <v>59.090909090909093</v>
      </c>
      <c r="BG17" s="20"/>
      <c r="BH17" s="9">
        <v>11</v>
      </c>
      <c r="BI17" s="26">
        <f>OVERALL!B14</f>
        <v>2301261</v>
      </c>
      <c r="BJ17" s="26" t="str">
        <f>OVERALL!C14</f>
        <v>Rubby Kumari</v>
      </c>
      <c r="BK17" s="9">
        <f t="shared" ref="BK17:BL17" si="16">BD17</f>
        <v>26</v>
      </c>
      <c r="BL17" s="9">
        <f t="shared" si="16"/>
        <v>44</v>
      </c>
      <c r="BM17" s="2">
        <f t="shared" si="3"/>
        <v>59.090909090909093</v>
      </c>
      <c r="BN17" s="9" t="str">
        <f t="shared" si="4"/>
        <v>0</v>
      </c>
      <c r="BO17" s="9">
        <v>4</v>
      </c>
      <c r="BP17" s="9">
        <v>5</v>
      </c>
      <c r="BQ17" s="2">
        <f t="shared" si="5"/>
        <v>6.4</v>
      </c>
      <c r="BR17" s="9"/>
      <c r="BS17" s="2">
        <f t="shared" si="6"/>
        <v>15.4</v>
      </c>
    </row>
    <row r="18" spans="1:71" ht="19.5" customHeight="1">
      <c r="A18" s="9">
        <v>12</v>
      </c>
      <c r="B18" s="2">
        <f>OVERALL!B15</f>
        <v>2301262</v>
      </c>
      <c r="C18" s="3" t="str">
        <f>OVERALL!C15</f>
        <v>Sakshi Devi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>
        <v>32</v>
      </c>
      <c r="BC18" s="9"/>
      <c r="BD18" s="9">
        <f t="shared" si="0"/>
        <v>32</v>
      </c>
      <c r="BE18" s="9">
        <v>44</v>
      </c>
      <c r="BF18" s="2">
        <f t="shared" si="1"/>
        <v>72.727272727272734</v>
      </c>
      <c r="BG18" s="20"/>
      <c r="BH18" s="9">
        <v>12</v>
      </c>
      <c r="BI18" s="26">
        <f>OVERALL!B15</f>
        <v>2301262</v>
      </c>
      <c r="BJ18" s="26" t="str">
        <f>OVERALL!C15</f>
        <v>Sakshi Devi</v>
      </c>
      <c r="BK18" s="9">
        <f t="shared" ref="BK18:BL18" si="17">BD18</f>
        <v>32</v>
      </c>
      <c r="BL18" s="9">
        <f t="shared" si="17"/>
        <v>44</v>
      </c>
      <c r="BM18" s="2">
        <f t="shared" si="3"/>
        <v>72.727272727272734</v>
      </c>
      <c r="BN18" s="9" t="str">
        <f t="shared" si="4"/>
        <v>0</v>
      </c>
      <c r="BO18" s="9">
        <v>6</v>
      </c>
      <c r="BP18" s="9">
        <v>7</v>
      </c>
      <c r="BQ18" s="2">
        <f t="shared" si="5"/>
        <v>7.8</v>
      </c>
      <c r="BR18" s="9"/>
      <c r="BS18" s="2">
        <f t="shared" si="6"/>
        <v>20.8</v>
      </c>
    </row>
    <row r="19" spans="1:71" ht="19.5" customHeight="1">
      <c r="A19" s="9">
        <v>13</v>
      </c>
      <c r="B19" s="2">
        <f>OVERALL!B16</f>
        <v>2301263</v>
      </c>
      <c r="C19" s="3" t="str">
        <f>OVERALL!C16</f>
        <v>Sanchi Sharma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v>44</v>
      </c>
      <c r="BC19" s="9"/>
      <c r="BD19" s="9">
        <f t="shared" si="0"/>
        <v>44</v>
      </c>
      <c r="BE19" s="9">
        <v>44</v>
      </c>
      <c r="BF19" s="2">
        <f t="shared" si="1"/>
        <v>100</v>
      </c>
      <c r="BG19" s="20"/>
      <c r="BH19" s="9">
        <v>13</v>
      </c>
      <c r="BI19" s="26">
        <f>OVERALL!B16</f>
        <v>2301263</v>
      </c>
      <c r="BJ19" s="26" t="str">
        <f>OVERALL!C16</f>
        <v>Sanchi Sharma</v>
      </c>
      <c r="BK19" s="9">
        <f t="shared" ref="BK19:BL19" si="18">BD19</f>
        <v>44</v>
      </c>
      <c r="BL19" s="9">
        <f t="shared" si="18"/>
        <v>44</v>
      </c>
      <c r="BM19" s="2">
        <f t="shared" si="3"/>
        <v>100</v>
      </c>
      <c r="BN19" s="9" t="str">
        <f t="shared" si="4"/>
        <v>6</v>
      </c>
      <c r="BO19" s="9">
        <v>6</v>
      </c>
      <c r="BP19" s="9">
        <v>7</v>
      </c>
      <c r="BQ19" s="2">
        <f t="shared" si="5"/>
        <v>7.9</v>
      </c>
      <c r="BR19" s="9"/>
      <c r="BS19" s="2">
        <f t="shared" si="6"/>
        <v>26.9</v>
      </c>
    </row>
    <row r="20" spans="1:71" ht="19.5" customHeight="1">
      <c r="A20" s="9">
        <v>14</v>
      </c>
      <c r="B20" s="2">
        <f>OVERALL!B17</f>
        <v>2301264</v>
      </c>
      <c r="C20" s="3" t="str">
        <f>OVERALL!C17</f>
        <v>Sarbjit Singh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22</v>
      </c>
      <c r="BC20" s="9"/>
      <c r="BD20" s="9">
        <f t="shared" si="0"/>
        <v>22</v>
      </c>
      <c r="BE20" s="9">
        <v>44</v>
      </c>
      <c r="BF20" s="2">
        <f t="shared" si="1"/>
        <v>50</v>
      </c>
      <c r="BG20" s="20"/>
      <c r="BH20" s="9">
        <v>14</v>
      </c>
      <c r="BI20" s="26">
        <f>OVERALL!B17</f>
        <v>2301264</v>
      </c>
      <c r="BJ20" s="26" t="str">
        <f>OVERALL!C17</f>
        <v>Sarbjit Singh</v>
      </c>
      <c r="BK20" s="9">
        <f t="shared" ref="BK20:BL20" si="19">BD20</f>
        <v>22</v>
      </c>
      <c r="BL20" s="9">
        <f t="shared" si="19"/>
        <v>44</v>
      </c>
      <c r="BM20" s="2">
        <f t="shared" si="3"/>
        <v>50</v>
      </c>
      <c r="BN20" s="9" t="str">
        <f t="shared" si="4"/>
        <v>0</v>
      </c>
      <c r="BO20" s="9">
        <v>4</v>
      </c>
      <c r="BP20" s="9">
        <v>5</v>
      </c>
      <c r="BQ20" s="2">
        <f t="shared" si="5"/>
        <v>6.2</v>
      </c>
      <c r="BR20" s="9"/>
      <c r="BS20" s="2">
        <f t="shared" si="6"/>
        <v>15.2</v>
      </c>
    </row>
    <row r="21" spans="1:71" ht="19.5" customHeight="1">
      <c r="A21" s="9">
        <v>15</v>
      </c>
      <c r="B21" s="2">
        <f>OVERALL!B18</f>
        <v>2301265</v>
      </c>
      <c r="C21" s="3" t="str">
        <f>OVERALL!C18</f>
        <v>Sarif Mayangmayum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>
        <v>40</v>
      </c>
      <c r="BC21" s="9"/>
      <c r="BD21" s="9">
        <f t="shared" si="0"/>
        <v>40</v>
      </c>
      <c r="BE21" s="9">
        <v>44</v>
      </c>
      <c r="BF21" s="2">
        <f t="shared" si="1"/>
        <v>90.909090909090907</v>
      </c>
      <c r="BG21" s="20"/>
      <c r="BH21" s="9">
        <v>15</v>
      </c>
      <c r="BI21" s="26">
        <f>OVERALL!B18</f>
        <v>2301265</v>
      </c>
      <c r="BJ21" s="26" t="str">
        <f>OVERALL!C18</f>
        <v>Sarif Mayangmayum</v>
      </c>
      <c r="BK21" s="9">
        <f t="shared" ref="BK21:BL21" si="20">BD21</f>
        <v>40</v>
      </c>
      <c r="BL21" s="9">
        <f t="shared" si="20"/>
        <v>44</v>
      </c>
      <c r="BM21" s="2">
        <f t="shared" si="3"/>
        <v>90.909090909090907</v>
      </c>
      <c r="BN21" s="9" t="str">
        <f t="shared" si="4"/>
        <v>5</v>
      </c>
      <c r="BO21" s="9">
        <v>7</v>
      </c>
      <c r="BP21" s="9">
        <v>7</v>
      </c>
      <c r="BQ21" s="2">
        <f t="shared" si="5"/>
        <v>7.4</v>
      </c>
      <c r="BR21" s="9"/>
      <c r="BS21" s="2">
        <f t="shared" si="6"/>
        <v>26.4</v>
      </c>
    </row>
    <row r="22" spans="1:71" ht="19.5" customHeight="1">
      <c r="A22" s="9">
        <v>16</v>
      </c>
      <c r="B22" s="2">
        <f>OVERALL!B19</f>
        <v>2301267</v>
      </c>
      <c r="C22" s="3" t="str">
        <f>OVERALL!C19</f>
        <v>Shivam Kumar Chaubey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>
        <v>30</v>
      </c>
      <c r="BC22" s="9"/>
      <c r="BD22" s="9">
        <f t="shared" si="0"/>
        <v>30</v>
      </c>
      <c r="BE22" s="9">
        <v>44</v>
      </c>
      <c r="BF22" s="2">
        <f t="shared" si="1"/>
        <v>68.181818181818173</v>
      </c>
      <c r="BG22" s="20"/>
      <c r="BH22" s="9">
        <v>16</v>
      </c>
      <c r="BI22" s="26">
        <f>OVERALL!B19</f>
        <v>2301267</v>
      </c>
      <c r="BJ22" s="26" t="str">
        <f>OVERALL!C19</f>
        <v>Shivam Kumar Chaubey</v>
      </c>
      <c r="BK22" s="9">
        <f t="shared" ref="BK22:BL22" si="21">BD22</f>
        <v>30</v>
      </c>
      <c r="BL22" s="9">
        <f t="shared" si="21"/>
        <v>44</v>
      </c>
      <c r="BM22" s="2">
        <f t="shared" si="3"/>
        <v>68.181818181818173</v>
      </c>
      <c r="BN22" s="9" t="str">
        <f t="shared" si="4"/>
        <v>0</v>
      </c>
      <c r="BO22" s="9">
        <v>7</v>
      </c>
      <c r="BP22" s="9">
        <v>6</v>
      </c>
      <c r="BQ22" s="2">
        <f t="shared" si="5"/>
        <v>7.8</v>
      </c>
      <c r="BR22" s="9"/>
      <c r="BS22" s="2">
        <f t="shared" si="6"/>
        <v>20.8</v>
      </c>
    </row>
    <row r="23" spans="1:71" ht="19.5" customHeight="1">
      <c r="A23" s="9">
        <v>17</v>
      </c>
      <c r="B23" s="2">
        <f>OVERALL!B20</f>
        <v>2301268</v>
      </c>
      <c r="C23" s="3" t="str">
        <f>OVERALL!C20</f>
        <v>Simba Godfrey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>
        <v>26</v>
      </c>
      <c r="BC23" s="9"/>
      <c r="BD23" s="9">
        <f t="shared" si="0"/>
        <v>26</v>
      </c>
      <c r="BE23" s="9">
        <v>44</v>
      </c>
      <c r="BF23" s="2">
        <f t="shared" si="1"/>
        <v>59.090909090909093</v>
      </c>
      <c r="BG23" s="20"/>
      <c r="BH23" s="9">
        <v>17</v>
      </c>
      <c r="BI23" s="26">
        <f>OVERALL!B20</f>
        <v>2301268</v>
      </c>
      <c r="BJ23" s="26" t="str">
        <f>OVERALL!C20</f>
        <v>Simba Godfrey</v>
      </c>
      <c r="BK23" s="9">
        <f t="shared" ref="BK23:BL23" si="22">BD23</f>
        <v>26</v>
      </c>
      <c r="BL23" s="9">
        <f t="shared" si="22"/>
        <v>44</v>
      </c>
      <c r="BM23" s="2">
        <f t="shared" si="3"/>
        <v>59.090909090909093</v>
      </c>
      <c r="BN23" s="9" t="str">
        <f t="shared" si="4"/>
        <v>0</v>
      </c>
      <c r="BO23" s="9">
        <v>6</v>
      </c>
      <c r="BP23" s="9">
        <v>6</v>
      </c>
      <c r="BQ23" s="2">
        <f t="shared" si="5"/>
        <v>8</v>
      </c>
      <c r="BR23" s="9"/>
      <c r="BS23" s="2">
        <f t="shared" si="6"/>
        <v>20</v>
      </c>
    </row>
    <row r="24" spans="1:71" ht="19.5" customHeight="1">
      <c r="A24" s="9">
        <v>18</v>
      </c>
      <c r="B24" s="2">
        <f>OVERALL!B21</f>
        <v>2301269</v>
      </c>
      <c r="C24" s="3" t="str">
        <f>OVERALL!C21</f>
        <v>Simran Kaur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>
        <v>38</v>
      </c>
      <c r="BC24" s="9"/>
      <c r="BD24" s="9">
        <f t="shared" si="0"/>
        <v>38</v>
      </c>
      <c r="BE24" s="9">
        <v>44</v>
      </c>
      <c r="BF24" s="2">
        <f t="shared" si="1"/>
        <v>86.36363636363636</v>
      </c>
      <c r="BG24" s="20"/>
      <c r="BH24" s="9">
        <v>18</v>
      </c>
      <c r="BI24" s="26">
        <f>OVERALL!B21</f>
        <v>2301269</v>
      </c>
      <c r="BJ24" s="26" t="str">
        <f>OVERALL!C21</f>
        <v>Simran Kaur</v>
      </c>
      <c r="BK24" s="9">
        <f t="shared" ref="BK24:BL24" si="23">BD24</f>
        <v>38</v>
      </c>
      <c r="BL24" s="9">
        <f t="shared" si="23"/>
        <v>44</v>
      </c>
      <c r="BM24" s="2">
        <f t="shared" si="3"/>
        <v>86.36363636363636</v>
      </c>
      <c r="BN24" s="9" t="str">
        <f t="shared" si="4"/>
        <v>4</v>
      </c>
      <c r="BO24" s="9">
        <v>7</v>
      </c>
      <c r="BP24" s="9">
        <v>7</v>
      </c>
      <c r="BQ24" s="2">
        <f t="shared" si="5"/>
        <v>7.4</v>
      </c>
      <c r="BR24" s="9"/>
      <c r="BS24" s="2">
        <f t="shared" si="6"/>
        <v>25.4</v>
      </c>
    </row>
    <row r="25" spans="1:71" ht="19.5" customHeight="1">
      <c r="A25" s="9">
        <v>19</v>
      </c>
      <c r="B25" s="2">
        <f>OVERALL!B22</f>
        <v>2301270</v>
      </c>
      <c r="C25" s="3" t="str">
        <f>OVERALL!C22</f>
        <v>Simranjit Singh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32</v>
      </c>
      <c r="BC25" s="9"/>
      <c r="BD25" s="9">
        <f t="shared" si="0"/>
        <v>32</v>
      </c>
      <c r="BE25" s="9">
        <v>44</v>
      </c>
      <c r="BF25" s="2">
        <f t="shared" si="1"/>
        <v>72.727272727272734</v>
      </c>
      <c r="BG25" s="20"/>
      <c r="BH25" s="9">
        <v>19</v>
      </c>
      <c r="BI25" s="26">
        <f>OVERALL!B22</f>
        <v>2301270</v>
      </c>
      <c r="BJ25" s="26" t="str">
        <f>OVERALL!C22</f>
        <v>Simranjit Singh</v>
      </c>
      <c r="BK25" s="9">
        <f t="shared" ref="BK25:BL25" si="24">BD25</f>
        <v>32</v>
      </c>
      <c r="BL25" s="9">
        <f t="shared" si="24"/>
        <v>44</v>
      </c>
      <c r="BM25" s="2">
        <f t="shared" si="3"/>
        <v>72.727272727272734</v>
      </c>
      <c r="BN25" s="9" t="str">
        <f t="shared" si="4"/>
        <v>0</v>
      </c>
      <c r="BO25" s="9">
        <v>6</v>
      </c>
      <c r="BP25" s="9">
        <v>6</v>
      </c>
      <c r="BQ25" s="2">
        <f t="shared" si="5"/>
        <v>7.2</v>
      </c>
      <c r="BR25" s="9"/>
      <c r="BS25" s="2">
        <f t="shared" si="6"/>
        <v>19.2</v>
      </c>
    </row>
    <row r="26" spans="1:71" ht="19.5" customHeight="1">
      <c r="A26" s="9">
        <v>20</v>
      </c>
      <c r="B26" s="2">
        <f>OVERALL!B23</f>
        <v>2301271</v>
      </c>
      <c r="C26" s="3" t="str">
        <f>OVERALL!C23</f>
        <v>Sudip Sunar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>
        <v>24</v>
      </c>
      <c r="BC26" s="9"/>
      <c r="BD26" s="9">
        <f t="shared" si="0"/>
        <v>24</v>
      </c>
      <c r="BE26" s="9">
        <v>44</v>
      </c>
      <c r="BF26" s="2">
        <f t="shared" si="1"/>
        <v>54.54545454545454</v>
      </c>
      <c r="BG26" s="20"/>
      <c r="BH26" s="9">
        <v>20</v>
      </c>
      <c r="BI26" s="26">
        <f>OVERALL!B23</f>
        <v>2301271</v>
      </c>
      <c r="BJ26" s="26" t="str">
        <f>OVERALL!C23</f>
        <v>Sudip Sunar</v>
      </c>
      <c r="BK26" s="9">
        <f t="shared" ref="BK26:BL26" si="25">BD26</f>
        <v>24</v>
      </c>
      <c r="BL26" s="9">
        <f t="shared" si="25"/>
        <v>44</v>
      </c>
      <c r="BM26" s="2">
        <f t="shared" si="3"/>
        <v>54.54545454545454</v>
      </c>
      <c r="BN26" s="9" t="str">
        <f t="shared" si="4"/>
        <v>0</v>
      </c>
      <c r="BO26" s="9">
        <v>6</v>
      </c>
      <c r="BP26" s="9">
        <v>6</v>
      </c>
      <c r="BQ26" s="2">
        <f t="shared" si="5"/>
        <v>7.3</v>
      </c>
      <c r="BR26" s="9"/>
      <c r="BS26" s="2">
        <f t="shared" si="6"/>
        <v>19.3</v>
      </c>
    </row>
    <row r="27" spans="1:71" ht="19.5" customHeight="1">
      <c r="A27" s="9">
        <v>21</v>
      </c>
      <c r="B27" s="2">
        <f>OVERALL!B24</f>
        <v>2301272</v>
      </c>
      <c r="C27" s="3" t="str">
        <f>OVERALL!C24</f>
        <v>Sujal Sharma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>
        <v>4</v>
      </c>
      <c r="BC27" s="9"/>
      <c r="BD27" s="9">
        <f t="shared" si="0"/>
        <v>4</v>
      </c>
      <c r="BE27" s="9">
        <v>44</v>
      </c>
      <c r="BF27" s="2">
        <f t="shared" si="1"/>
        <v>9.0909090909090917</v>
      </c>
      <c r="BG27" s="20"/>
      <c r="BH27" s="9">
        <v>21</v>
      </c>
      <c r="BI27" s="26">
        <f>OVERALL!B24</f>
        <v>2301272</v>
      </c>
      <c r="BJ27" s="26" t="str">
        <f>OVERALL!C24</f>
        <v>Sujal Sharma</v>
      </c>
      <c r="BK27" s="9">
        <f t="shared" ref="BK27:BL27" si="26">BD27</f>
        <v>4</v>
      </c>
      <c r="BL27" s="9">
        <f t="shared" si="26"/>
        <v>44</v>
      </c>
      <c r="BM27" s="2">
        <f t="shared" si="3"/>
        <v>9.0909090909090917</v>
      </c>
      <c r="BN27" s="9" t="str">
        <f t="shared" si="4"/>
        <v>0</v>
      </c>
      <c r="BO27" s="9">
        <v>0</v>
      </c>
      <c r="BP27" s="9">
        <v>0</v>
      </c>
      <c r="BQ27" s="2">
        <f t="shared" si="5"/>
        <v>2.5</v>
      </c>
      <c r="BR27" s="9"/>
      <c r="BS27" s="2">
        <f t="shared" si="6"/>
        <v>2.5</v>
      </c>
    </row>
    <row r="28" spans="1:71" ht="19.5" customHeight="1">
      <c r="A28" s="9">
        <v>22</v>
      </c>
      <c r="B28" s="2">
        <f>OVERALL!B25</f>
        <v>2301273</v>
      </c>
      <c r="C28" s="3" t="str">
        <f>OVERALL!C25</f>
        <v>Sukhraj Singh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28</v>
      </c>
      <c r="BC28" s="9">
        <v>1</v>
      </c>
      <c r="BD28" s="9">
        <f t="shared" si="0"/>
        <v>29</v>
      </c>
      <c r="BE28" s="9">
        <v>44</v>
      </c>
      <c r="BF28" s="2">
        <f t="shared" si="1"/>
        <v>65.909090909090907</v>
      </c>
      <c r="BG28" s="20"/>
      <c r="BH28" s="9">
        <v>22</v>
      </c>
      <c r="BI28" s="26">
        <f>OVERALL!B25</f>
        <v>2301273</v>
      </c>
      <c r="BJ28" s="26" t="str">
        <f>OVERALL!C25</f>
        <v>Sukhraj Singh</v>
      </c>
      <c r="BK28" s="9">
        <f t="shared" ref="BK28:BL28" si="27">BD28</f>
        <v>29</v>
      </c>
      <c r="BL28" s="9">
        <f t="shared" si="27"/>
        <v>44</v>
      </c>
      <c r="BM28" s="2">
        <f t="shared" si="3"/>
        <v>65.909090909090907</v>
      </c>
      <c r="BN28" s="9" t="str">
        <f t="shared" si="4"/>
        <v>0</v>
      </c>
      <c r="BO28" s="9">
        <v>5</v>
      </c>
      <c r="BP28" s="9">
        <v>5</v>
      </c>
      <c r="BQ28" s="2">
        <f t="shared" si="5"/>
        <v>7.5</v>
      </c>
      <c r="BR28" s="9"/>
      <c r="BS28" s="2">
        <f t="shared" si="6"/>
        <v>17.5</v>
      </c>
    </row>
    <row r="29" spans="1:71" ht="19.5" customHeight="1">
      <c r="A29" s="9">
        <v>23</v>
      </c>
      <c r="B29" s="2">
        <f>OVERALL!B26</f>
        <v>2301274</v>
      </c>
      <c r="C29" s="3" t="str">
        <f>OVERALL!C26</f>
        <v>Sukhreet Kaur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>
        <v>40</v>
      </c>
      <c r="BC29" s="9">
        <v>1</v>
      </c>
      <c r="BD29" s="9">
        <f t="shared" si="0"/>
        <v>41</v>
      </c>
      <c r="BE29" s="9">
        <v>44</v>
      </c>
      <c r="BF29" s="2">
        <f t="shared" si="1"/>
        <v>93.181818181818173</v>
      </c>
      <c r="BG29" s="20"/>
      <c r="BH29" s="9">
        <v>23</v>
      </c>
      <c r="BI29" s="26">
        <f>OVERALL!B26</f>
        <v>2301274</v>
      </c>
      <c r="BJ29" s="26" t="str">
        <f>OVERALL!C26</f>
        <v>Sukhreet Kaur</v>
      </c>
      <c r="BK29" s="9">
        <f t="shared" ref="BK29:BL29" si="28">BD29</f>
        <v>41</v>
      </c>
      <c r="BL29" s="9">
        <f t="shared" si="28"/>
        <v>44</v>
      </c>
      <c r="BM29" s="2">
        <f t="shared" si="3"/>
        <v>93.181818181818173</v>
      </c>
      <c r="BN29" s="9" t="str">
        <f t="shared" si="4"/>
        <v>5</v>
      </c>
      <c r="BO29" s="9">
        <v>6</v>
      </c>
      <c r="BP29" s="9">
        <v>5</v>
      </c>
      <c r="BQ29" s="2">
        <f t="shared" si="5"/>
        <v>8.6999999999999993</v>
      </c>
      <c r="BR29" s="9"/>
      <c r="BS29" s="2">
        <f t="shared" si="6"/>
        <v>24.7</v>
      </c>
    </row>
    <row r="30" spans="1:71" ht="19.5" customHeight="1">
      <c r="A30" s="9">
        <v>24</v>
      </c>
      <c r="B30" s="2">
        <f>OVERALL!B27</f>
        <v>2301275</v>
      </c>
      <c r="C30" s="3" t="str">
        <f>OVERALL!C27</f>
        <v>Suman Krishna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>
        <v>30</v>
      </c>
      <c r="BC30" s="9"/>
      <c r="BD30" s="9">
        <f t="shared" si="0"/>
        <v>30</v>
      </c>
      <c r="BE30" s="9">
        <v>44</v>
      </c>
      <c r="BF30" s="2">
        <f t="shared" si="1"/>
        <v>68.181818181818173</v>
      </c>
      <c r="BG30" s="20"/>
      <c r="BH30" s="9">
        <v>24</v>
      </c>
      <c r="BI30" s="26">
        <f>OVERALL!B27</f>
        <v>2301275</v>
      </c>
      <c r="BJ30" s="26" t="str">
        <f>OVERALL!C27</f>
        <v>Suman Krishna</v>
      </c>
      <c r="BK30" s="9">
        <f t="shared" ref="BK30:BL30" si="29">BD30</f>
        <v>30</v>
      </c>
      <c r="BL30" s="9">
        <f t="shared" si="29"/>
        <v>44</v>
      </c>
      <c r="BM30" s="2">
        <f t="shared" si="3"/>
        <v>68.181818181818173</v>
      </c>
      <c r="BN30" s="9" t="str">
        <f t="shared" si="4"/>
        <v>0</v>
      </c>
      <c r="BO30" s="9">
        <v>7</v>
      </c>
      <c r="BP30" s="9">
        <v>7</v>
      </c>
      <c r="BQ30" s="2">
        <f t="shared" si="5"/>
        <v>7.9</v>
      </c>
      <c r="BR30" s="9"/>
      <c r="BS30" s="2">
        <f t="shared" si="6"/>
        <v>21.9</v>
      </c>
    </row>
    <row r="31" spans="1:71" ht="19.5" customHeight="1">
      <c r="A31" s="9">
        <v>25</v>
      </c>
      <c r="B31" s="2">
        <f>OVERALL!B28</f>
        <v>2301277</v>
      </c>
      <c r="C31" s="3" t="str">
        <f>OVERALL!C28</f>
        <v>Tamana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>
        <v>32</v>
      </c>
      <c r="BC31" s="9"/>
      <c r="BD31" s="9">
        <f t="shared" si="0"/>
        <v>32</v>
      </c>
      <c r="BE31" s="9">
        <v>44</v>
      </c>
      <c r="BF31" s="2">
        <f t="shared" si="1"/>
        <v>72.727272727272734</v>
      </c>
      <c r="BG31" s="20"/>
      <c r="BH31" s="9">
        <v>25</v>
      </c>
      <c r="BI31" s="26">
        <f>OVERALL!B28</f>
        <v>2301277</v>
      </c>
      <c r="BJ31" s="26" t="str">
        <f>OVERALL!C28</f>
        <v>Tamana</v>
      </c>
      <c r="BK31" s="9">
        <f t="shared" ref="BK31:BL31" si="30">BD31</f>
        <v>32</v>
      </c>
      <c r="BL31" s="9">
        <f t="shared" si="30"/>
        <v>44</v>
      </c>
      <c r="BM31" s="2">
        <f t="shared" si="3"/>
        <v>72.727272727272734</v>
      </c>
      <c r="BN31" s="9" t="str">
        <f t="shared" si="4"/>
        <v>0</v>
      </c>
      <c r="BO31" s="9">
        <v>6</v>
      </c>
      <c r="BP31" s="9">
        <v>5</v>
      </c>
      <c r="BQ31" s="2">
        <f t="shared" si="5"/>
        <v>6.3</v>
      </c>
      <c r="BR31" s="9"/>
      <c r="BS31" s="2">
        <f t="shared" si="6"/>
        <v>17.3</v>
      </c>
    </row>
    <row r="32" spans="1:71" ht="19.5" customHeight="1">
      <c r="A32" s="9">
        <v>26</v>
      </c>
      <c r="B32" s="2">
        <f>OVERALL!B29</f>
        <v>2301278</v>
      </c>
      <c r="C32" s="3" t="str">
        <f>OVERALL!C29</f>
        <v>Tamana Farooq Khanday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>
        <v>16</v>
      </c>
      <c r="BC32" s="9"/>
      <c r="BD32" s="9">
        <f t="shared" si="0"/>
        <v>16</v>
      </c>
      <c r="BE32" s="9">
        <v>44</v>
      </c>
      <c r="BF32" s="2">
        <f t="shared" si="1"/>
        <v>36.363636363636367</v>
      </c>
      <c r="BG32" s="20"/>
      <c r="BH32" s="9">
        <v>26</v>
      </c>
      <c r="BI32" s="26">
        <f>OVERALL!B29</f>
        <v>2301278</v>
      </c>
      <c r="BJ32" s="26" t="str">
        <f>OVERALL!C29</f>
        <v>Tamana Farooq Khanday</v>
      </c>
      <c r="BK32" s="9">
        <f t="shared" ref="BK32:BL32" si="31">BD32</f>
        <v>16</v>
      </c>
      <c r="BL32" s="9">
        <f t="shared" si="31"/>
        <v>44</v>
      </c>
      <c r="BM32" s="2">
        <f t="shared" si="3"/>
        <v>36.363636363636367</v>
      </c>
      <c r="BN32" s="9" t="str">
        <f t="shared" si="4"/>
        <v>0</v>
      </c>
      <c r="BO32" s="9">
        <v>6</v>
      </c>
      <c r="BP32" s="9">
        <v>5</v>
      </c>
      <c r="BQ32" s="2">
        <f t="shared" si="5"/>
        <v>2.3333333333333335</v>
      </c>
      <c r="BR32" s="9"/>
      <c r="BS32" s="2">
        <f t="shared" si="6"/>
        <v>13.333333333333334</v>
      </c>
    </row>
    <row r="33" spans="1:71" ht="19.5" customHeight="1">
      <c r="A33" s="9">
        <v>27</v>
      </c>
      <c r="B33" s="2">
        <f>OVERALL!B30</f>
        <v>2301279</v>
      </c>
      <c r="C33" s="3" t="str">
        <f>OVERALL!C30</f>
        <v>Tania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>
        <v>36</v>
      </c>
      <c r="BC33" s="9"/>
      <c r="BD33" s="9">
        <f t="shared" si="0"/>
        <v>36</v>
      </c>
      <c r="BE33" s="9">
        <v>44</v>
      </c>
      <c r="BF33" s="2">
        <f t="shared" si="1"/>
        <v>81.818181818181827</v>
      </c>
      <c r="BG33" s="20"/>
      <c r="BH33" s="9">
        <v>27</v>
      </c>
      <c r="BI33" s="26">
        <f>OVERALL!B30</f>
        <v>2301279</v>
      </c>
      <c r="BJ33" s="26" t="str">
        <f>OVERALL!C30</f>
        <v>Tania</v>
      </c>
      <c r="BK33" s="9">
        <f t="shared" ref="BK33:BL33" si="32">BD33</f>
        <v>36</v>
      </c>
      <c r="BL33" s="9">
        <f t="shared" si="32"/>
        <v>44</v>
      </c>
      <c r="BM33" s="2">
        <f t="shared" si="3"/>
        <v>81.818181818181827</v>
      </c>
      <c r="BN33" s="9" t="str">
        <f t="shared" si="4"/>
        <v>3</v>
      </c>
      <c r="BO33" s="9">
        <v>6</v>
      </c>
      <c r="BP33" s="9">
        <v>5</v>
      </c>
      <c r="BQ33" s="2">
        <f t="shared" si="5"/>
        <v>7.6</v>
      </c>
      <c r="BR33" s="9"/>
      <c r="BS33" s="2">
        <f t="shared" si="6"/>
        <v>21.6</v>
      </c>
    </row>
    <row r="34" spans="1:71" ht="19.5" customHeight="1">
      <c r="A34" s="9">
        <v>28</v>
      </c>
      <c r="B34" s="2">
        <f>OVERALL!B31</f>
        <v>2301280</v>
      </c>
      <c r="C34" s="3" t="str">
        <f>OVERALL!C31</f>
        <v>Taniya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>
        <v>26</v>
      </c>
      <c r="BC34" s="9"/>
      <c r="BD34" s="9">
        <f t="shared" si="0"/>
        <v>26</v>
      </c>
      <c r="BE34" s="9">
        <v>44</v>
      </c>
      <c r="BF34" s="2">
        <f t="shared" si="1"/>
        <v>59.090909090909093</v>
      </c>
      <c r="BG34" s="20"/>
      <c r="BH34" s="9">
        <v>28</v>
      </c>
      <c r="BI34" s="26">
        <f>OVERALL!B31</f>
        <v>2301280</v>
      </c>
      <c r="BJ34" s="26" t="str">
        <f>OVERALL!C31</f>
        <v>Taniya</v>
      </c>
      <c r="BK34" s="9">
        <f t="shared" ref="BK34:BL34" si="33">BD34</f>
        <v>26</v>
      </c>
      <c r="BL34" s="9">
        <f t="shared" si="33"/>
        <v>44</v>
      </c>
      <c r="BM34" s="2">
        <f t="shared" si="3"/>
        <v>59.090909090909093</v>
      </c>
      <c r="BN34" s="9" t="str">
        <f t="shared" si="4"/>
        <v>0</v>
      </c>
      <c r="BO34" s="9">
        <v>4</v>
      </c>
      <c r="BP34" s="9">
        <v>5</v>
      </c>
      <c r="BQ34" s="2">
        <f t="shared" si="5"/>
        <v>7.3</v>
      </c>
      <c r="BR34" s="9"/>
      <c r="BS34" s="2">
        <f t="shared" si="6"/>
        <v>16.3</v>
      </c>
    </row>
    <row r="35" spans="1:71" ht="19.5" customHeight="1">
      <c r="A35" s="9">
        <v>29</v>
      </c>
      <c r="B35" s="2">
        <f>OVERALL!B32</f>
        <v>2301281</v>
      </c>
      <c r="C35" s="3" t="str">
        <f>OVERALL!C32</f>
        <v>Taziko Trakha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>
        <v>26</v>
      </c>
      <c r="BC35" s="9"/>
      <c r="BD35" s="9">
        <f t="shared" si="0"/>
        <v>26</v>
      </c>
      <c r="BE35" s="9">
        <v>44</v>
      </c>
      <c r="BF35" s="2">
        <f t="shared" si="1"/>
        <v>59.090909090909093</v>
      </c>
      <c r="BG35" s="20"/>
      <c r="BH35" s="9">
        <v>29</v>
      </c>
      <c r="BI35" s="26">
        <f>OVERALL!B32</f>
        <v>2301281</v>
      </c>
      <c r="BJ35" s="26" t="str">
        <f>OVERALL!C32</f>
        <v>Taziko Trakha</v>
      </c>
      <c r="BK35" s="9">
        <f t="shared" ref="BK35:BL35" si="34">BD35</f>
        <v>26</v>
      </c>
      <c r="BL35" s="9">
        <f t="shared" si="34"/>
        <v>44</v>
      </c>
      <c r="BM35" s="2">
        <f t="shared" si="3"/>
        <v>59.090909090909093</v>
      </c>
      <c r="BN35" s="9" t="str">
        <f t="shared" si="4"/>
        <v>0</v>
      </c>
      <c r="BO35" s="9">
        <v>6</v>
      </c>
      <c r="BP35" s="9">
        <v>6</v>
      </c>
      <c r="BQ35" s="2">
        <f t="shared" si="5"/>
        <v>4.2</v>
      </c>
      <c r="BR35" s="9"/>
      <c r="BS35" s="2">
        <f t="shared" si="6"/>
        <v>16.2</v>
      </c>
    </row>
    <row r="36" spans="1:71" ht="19.5" customHeight="1">
      <c r="A36" s="9">
        <v>30</v>
      </c>
      <c r="B36" s="2">
        <f>OVERALL!B33</f>
        <v>2301283</v>
      </c>
      <c r="C36" s="3" t="str">
        <f>OVERALL!C33</f>
        <v>Vaibhav Shahi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>
        <v>26</v>
      </c>
      <c r="BC36" s="9">
        <v>1</v>
      </c>
      <c r="BD36" s="9">
        <f t="shared" si="0"/>
        <v>27</v>
      </c>
      <c r="BE36" s="9">
        <v>44</v>
      </c>
      <c r="BF36" s="2">
        <f t="shared" si="1"/>
        <v>61.363636363636367</v>
      </c>
      <c r="BG36" s="20"/>
      <c r="BH36" s="9">
        <v>30</v>
      </c>
      <c r="BI36" s="26">
        <f>OVERALL!B33</f>
        <v>2301283</v>
      </c>
      <c r="BJ36" s="26" t="str">
        <f>OVERALL!C33</f>
        <v>Vaibhav Shahi</v>
      </c>
      <c r="BK36" s="9">
        <f t="shared" ref="BK36:BL36" si="35">BD36</f>
        <v>27</v>
      </c>
      <c r="BL36" s="9">
        <f t="shared" si="35"/>
        <v>44</v>
      </c>
      <c r="BM36" s="2">
        <f t="shared" si="3"/>
        <v>61.363636363636367</v>
      </c>
      <c r="BN36" s="9" t="str">
        <f t="shared" si="4"/>
        <v>0</v>
      </c>
      <c r="BO36" s="9">
        <v>5</v>
      </c>
      <c r="BP36" s="9">
        <v>5</v>
      </c>
      <c r="BQ36" s="2">
        <f t="shared" si="5"/>
        <v>6.8</v>
      </c>
      <c r="BR36" s="9"/>
      <c r="BS36" s="2">
        <f t="shared" si="6"/>
        <v>16.8</v>
      </c>
    </row>
    <row r="37" spans="1:71" ht="19.5" customHeight="1">
      <c r="A37" s="9">
        <v>31</v>
      </c>
      <c r="B37" s="2">
        <f>OVERALL!B34</f>
        <v>2301285</v>
      </c>
      <c r="C37" s="3" t="str">
        <f>OVERALL!C34</f>
        <v>Vansh Sharma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>
        <v>12</v>
      </c>
      <c r="BC37" s="9"/>
      <c r="BD37" s="9">
        <f t="shared" si="0"/>
        <v>12</v>
      </c>
      <c r="BE37" s="9">
        <v>44</v>
      </c>
      <c r="BF37" s="2">
        <f t="shared" si="1"/>
        <v>27.27272727272727</v>
      </c>
      <c r="BG37" s="20"/>
      <c r="BH37" s="9">
        <v>31</v>
      </c>
      <c r="BI37" s="26">
        <f>OVERALL!B34</f>
        <v>2301285</v>
      </c>
      <c r="BJ37" s="26" t="str">
        <f>OVERALL!C34</f>
        <v>Vansh Sharma</v>
      </c>
      <c r="BK37" s="9">
        <f t="shared" ref="BK37:BL37" si="36">BD37</f>
        <v>12</v>
      </c>
      <c r="BL37" s="9">
        <f t="shared" si="36"/>
        <v>44</v>
      </c>
      <c r="BM37" s="2">
        <f t="shared" si="3"/>
        <v>27.27272727272727</v>
      </c>
      <c r="BN37" s="9" t="str">
        <f t="shared" si="4"/>
        <v>0</v>
      </c>
      <c r="BO37" s="9">
        <v>5</v>
      </c>
      <c r="BP37" s="9">
        <v>4</v>
      </c>
      <c r="BQ37" s="2">
        <f t="shared" si="5"/>
        <v>7.9</v>
      </c>
      <c r="BR37" s="9"/>
      <c r="BS37" s="2">
        <f t="shared" si="6"/>
        <v>16.899999999999999</v>
      </c>
    </row>
    <row r="38" spans="1:71" ht="19.5" customHeight="1">
      <c r="A38" s="9">
        <v>32</v>
      </c>
      <c r="B38" s="2">
        <f>OVERALL!B35</f>
        <v>2301286</v>
      </c>
      <c r="C38" s="3" t="str">
        <f>OVERALL!C35</f>
        <v>Vikramjit Singh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>
        <v>6</v>
      </c>
      <c r="BC38" s="9"/>
      <c r="BD38" s="9">
        <f t="shared" si="0"/>
        <v>6</v>
      </c>
      <c r="BE38" s="9">
        <v>44</v>
      </c>
      <c r="BF38" s="2">
        <f t="shared" si="1"/>
        <v>13.636363636363635</v>
      </c>
      <c r="BG38" s="20"/>
      <c r="BH38" s="9">
        <v>32</v>
      </c>
      <c r="BI38" s="26">
        <f>OVERALL!B35</f>
        <v>2301286</v>
      </c>
      <c r="BJ38" s="26" t="str">
        <f>OVERALL!C35</f>
        <v>Vikramjit Singh</v>
      </c>
      <c r="BK38" s="9">
        <f t="shared" ref="BK38:BL38" si="37">BD38</f>
        <v>6</v>
      </c>
      <c r="BL38" s="9">
        <f t="shared" si="37"/>
        <v>44</v>
      </c>
      <c r="BM38" s="2">
        <f t="shared" si="3"/>
        <v>13.636363636363635</v>
      </c>
      <c r="BN38" s="9" t="str">
        <f t="shared" si="4"/>
        <v>0</v>
      </c>
      <c r="BO38" s="9">
        <v>0</v>
      </c>
      <c r="BP38" s="9">
        <v>0</v>
      </c>
      <c r="BQ38" s="2">
        <f t="shared" si="5"/>
        <v>0</v>
      </c>
      <c r="BR38" s="9"/>
      <c r="BS38" s="2">
        <f t="shared" si="6"/>
        <v>0</v>
      </c>
    </row>
    <row r="39" spans="1:71" ht="19.5" customHeight="1">
      <c r="A39" s="9">
        <v>33</v>
      </c>
      <c r="B39" s="2">
        <f>OVERALL!B36</f>
        <v>2339508</v>
      </c>
      <c r="C39" s="3" t="str">
        <f>OVERALL!C36</f>
        <v>TANISHA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>
        <v>28</v>
      </c>
      <c r="BC39" s="9"/>
      <c r="BD39" s="9">
        <f t="shared" si="0"/>
        <v>28</v>
      </c>
      <c r="BE39" s="9">
        <v>44</v>
      </c>
      <c r="BF39" s="2">
        <f t="shared" si="1"/>
        <v>63.636363636363633</v>
      </c>
      <c r="BG39" s="20"/>
      <c r="BH39" s="9">
        <v>33</v>
      </c>
      <c r="BI39" s="26">
        <f>OVERALL!B36</f>
        <v>2339508</v>
      </c>
      <c r="BJ39" s="26" t="str">
        <f>OVERALL!C36</f>
        <v>TANISHA</v>
      </c>
      <c r="BK39" s="9">
        <f t="shared" ref="BK39:BL39" si="38">BD39</f>
        <v>28</v>
      </c>
      <c r="BL39" s="9">
        <f t="shared" si="38"/>
        <v>44</v>
      </c>
      <c r="BM39" s="2">
        <f t="shared" si="3"/>
        <v>63.636363636363633</v>
      </c>
      <c r="BN39" s="9" t="str">
        <f t="shared" si="4"/>
        <v>0</v>
      </c>
      <c r="BO39" s="9">
        <v>6</v>
      </c>
      <c r="BP39" s="9">
        <v>6</v>
      </c>
      <c r="BQ39" s="2">
        <f t="shared" si="5"/>
        <v>7.6</v>
      </c>
      <c r="BR39" s="9"/>
      <c r="BS39" s="2">
        <f t="shared" si="6"/>
        <v>19.600000000000001</v>
      </c>
    </row>
    <row r="40" spans="1:71" ht="19.5" customHeight="1">
      <c r="A40" s="9">
        <v>34</v>
      </c>
      <c r="B40" s="2">
        <f>OVERALL!B37</f>
        <v>2339509</v>
      </c>
      <c r="C40" s="3" t="str">
        <f>OVERALL!C37</f>
        <v>TOHIED AHMED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>
        <v>2</v>
      </c>
      <c r="BC40" s="9"/>
      <c r="BD40" s="9">
        <f t="shared" si="0"/>
        <v>2</v>
      </c>
      <c r="BE40" s="9">
        <v>44</v>
      </c>
      <c r="BF40" s="2">
        <f t="shared" si="1"/>
        <v>4.5454545454545459</v>
      </c>
      <c r="BG40" s="20"/>
      <c r="BH40" s="9">
        <v>34</v>
      </c>
      <c r="BI40" s="26">
        <f>OVERALL!B37</f>
        <v>2339509</v>
      </c>
      <c r="BJ40" s="26" t="str">
        <f>OVERALL!C37</f>
        <v>TOHIED AHMED</v>
      </c>
      <c r="BK40" s="9">
        <f t="shared" ref="BK40:BL40" si="39">BD40</f>
        <v>2</v>
      </c>
      <c r="BL40" s="9">
        <f t="shared" si="39"/>
        <v>44</v>
      </c>
      <c r="BM40" s="2">
        <f t="shared" si="3"/>
        <v>4.5454545454545459</v>
      </c>
      <c r="BN40" s="9" t="str">
        <f t="shared" si="4"/>
        <v>0</v>
      </c>
      <c r="BO40" s="9">
        <v>0</v>
      </c>
      <c r="BP40" s="9">
        <v>0</v>
      </c>
      <c r="BQ40" s="2">
        <f t="shared" si="5"/>
        <v>0</v>
      </c>
      <c r="BR40" s="9"/>
      <c r="BS40" s="2">
        <f t="shared" si="6"/>
        <v>0</v>
      </c>
    </row>
    <row r="41" spans="1:71" ht="19.5" customHeight="1">
      <c r="A41" s="9">
        <v>35</v>
      </c>
      <c r="B41" s="2" t="str">
        <f>OVERALL!B38</f>
        <v>Leet</v>
      </c>
      <c r="C41" s="3" t="str">
        <f>OVERALL!C38</f>
        <v>Gagan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>
        <v>34</v>
      </c>
      <c r="BC41" s="9"/>
      <c r="BD41" s="9">
        <f t="shared" si="0"/>
        <v>34</v>
      </c>
      <c r="BE41" s="9">
        <v>44</v>
      </c>
      <c r="BF41" s="2">
        <f t="shared" si="1"/>
        <v>77.272727272727266</v>
      </c>
      <c r="BG41" s="20"/>
      <c r="BH41" s="9">
        <v>35</v>
      </c>
      <c r="BI41" s="26" t="str">
        <f>OVERALL!B38</f>
        <v>Leet</v>
      </c>
      <c r="BJ41" s="26" t="str">
        <f>OVERALL!C38</f>
        <v>Gagan</v>
      </c>
      <c r="BK41" s="9">
        <f t="shared" ref="BK41:BL41" si="40">BD41</f>
        <v>34</v>
      </c>
      <c r="BL41" s="9">
        <f t="shared" si="40"/>
        <v>44</v>
      </c>
      <c r="BM41" s="2">
        <f t="shared" si="3"/>
        <v>77.272727272727266</v>
      </c>
      <c r="BN41" s="9" t="str">
        <f t="shared" si="4"/>
        <v>2</v>
      </c>
      <c r="BO41" s="9">
        <v>6</v>
      </c>
      <c r="BP41" s="9">
        <v>7</v>
      </c>
      <c r="BQ41" s="2">
        <f t="shared" si="5"/>
        <v>8</v>
      </c>
      <c r="BR41" s="9"/>
      <c r="BS41" s="2">
        <f t="shared" si="6"/>
        <v>23</v>
      </c>
    </row>
    <row r="42" spans="1:71" ht="19.5" customHeight="1">
      <c r="A42" s="9">
        <v>36</v>
      </c>
      <c r="B42" s="2" t="str">
        <f>OVERALL!B39</f>
        <v>Leet</v>
      </c>
      <c r="C42" s="3" t="str">
        <f>OVERALL!C39</f>
        <v>Manisha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>
        <v>40</v>
      </c>
      <c r="BC42" s="9"/>
      <c r="BD42" s="9">
        <f t="shared" si="0"/>
        <v>40</v>
      </c>
      <c r="BE42" s="9">
        <v>44</v>
      </c>
      <c r="BF42" s="2">
        <f t="shared" si="1"/>
        <v>90.909090909090907</v>
      </c>
      <c r="BG42" s="20"/>
      <c r="BH42" s="9">
        <v>36</v>
      </c>
      <c r="BI42" s="26" t="str">
        <f>OVERALL!B39</f>
        <v>Leet</v>
      </c>
      <c r="BJ42" s="26" t="str">
        <f>OVERALL!C39</f>
        <v>Manisha</v>
      </c>
      <c r="BK42" s="9">
        <f t="shared" ref="BK42:BL42" si="41">BD42</f>
        <v>40</v>
      </c>
      <c r="BL42" s="9">
        <f t="shared" si="41"/>
        <v>44</v>
      </c>
      <c r="BM42" s="2">
        <f t="shared" si="3"/>
        <v>90.909090909090907</v>
      </c>
      <c r="BN42" s="9" t="str">
        <f t="shared" si="4"/>
        <v>5</v>
      </c>
      <c r="BO42" s="9">
        <v>7</v>
      </c>
      <c r="BP42" s="9">
        <v>7</v>
      </c>
      <c r="BQ42" s="2">
        <f t="shared" si="5"/>
        <v>8.1999999999999993</v>
      </c>
      <c r="BR42" s="9"/>
      <c r="BS42" s="2">
        <f t="shared" si="6"/>
        <v>27.2</v>
      </c>
    </row>
    <row r="43" spans="1:71" ht="19.5" customHeight="1">
      <c r="A43" s="9">
        <v>37</v>
      </c>
      <c r="B43" s="2" t="str">
        <f>OVERALL!B40</f>
        <v>Leet</v>
      </c>
      <c r="C43" s="3" t="str">
        <f>OVERALL!C40</f>
        <v>Richa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>
        <v>40</v>
      </c>
      <c r="BC43" s="9"/>
      <c r="BD43" s="9">
        <f t="shared" si="0"/>
        <v>40</v>
      </c>
      <c r="BE43" s="9">
        <v>44</v>
      </c>
      <c r="BF43" s="2">
        <f t="shared" si="1"/>
        <v>90.909090909090907</v>
      </c>
      <c r="BG43" s="20"/>
      <c r="BH43" s="9">
        <v>37</v>
      </c>
      <c r="BI43" s="26" t="str">
        <f>OVERALL!B40</f>
        <v>Leet</v>
      </c>
      <c r="BJ43" s="26" t="str">
        <f>OVERALL!C40</f>
        <v>Richa</v>
      </c>
      <c r="BK43" s="9">
        <f t="shared" ref="BK43:BL43" si="42">BD43</f>
        <v>40</v>
      </c>
      <c r="BL43" s="9">
        <f t="shared" si="42"/>
        <v>44</v>
      </c>
      <c r="BM43" s="2">
        <f t="shared" si="3"/>
        <v>90.909090909090907</v>
      </c>
      <c r="BN43" s="9" t="str">
        <f t="shared" si="4"/>
        <v>5</v>
      </c>
      <c r="BO43" s="9">
        <v>7</v>
      </c>
      <c r="BP43" s="9">
        <v>7</v>
      </c>
      <c r="BQ43" s="2">
        <f t="shared" si="5"/>
        <v>7.9</v>
      </c>
      <c r="BR43" s="9"/>
      <c r="BS43" s="2">
        <f t="shared" si="6"/>
        <v>26.9</v>
      </c>
    </row>
    <row r="44" spans="1:71" ht="19.5" customHeight="1">
      <c r="A44" s="9">
        <v>38</v>
      </c>
      <c r="B44" s="2" t="str">
        <f>OVERALL!B41</f>
        <v>Leet</v>
      </c>
      <c r="C44" s="3" t="str">
        <f>OVERALL!C41</f>
        <v>Prakriti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>
        <v>38</v>
      </c>
      <c r="BC44" s="9"/>
      <c r="BD44" s="9">
        <f t="shared" si="0"/>
        <v>38</v>
      </c>
      <c r="BE44" s="9">
        <v>44</v>
      </c>
      <c r="BF44" s="2">
        <f t="shared" si="1"/>
        <v>86.36363636363636</v>
      </c>
      <c r="BG44" s="20"/>
      <c r="BH44" s="9">
        <v>38</v>
      </c>
      <c r="BI44" s="26" t="str">
        <f>OVERALL!B41</f>
        <v>Leet</v>
      </c>
      <c r="BJ44" s="26" t="str">
        <f>OVERALL!C41</f>
        <v>Prakriti</v>
      </c>
      <c r="BK44" s="9">
        <f t="shared" ref="BK44:BL44" si="43">BD44</f>
        <v>38</v>
      </c>
      <c r="BL44" s="9">
        <f t="shared" si="43"/>
        <v>44</v>
      </c>
      <c r="BM44" s="2">
        <f t="shared" si="3"/>
        <v>86.36363636363636</v>
      </c>
      <c r="BN44" s="9" t="str">
        <f t="shared" si="4"/>
        <v>4</v>
      </c>
      <c r="BO44" s="9">
        <v>7</v>
      </c>
      <c r="BP44" s="9">
        <v>7</v>
      </c>
      <c r="BQ44" s="2">
        <f t="shared" si="5"/>
        <v>7.8</v>
      </c>
      <c r="BR44" s="9"/>
      <c r="BS44" s="2">
        <f t="shared" si="6"/>
        <v>25.8</v>
      </c>
    </row>
    <row r="45" spans="1:71" ht="19.5" customHeight="1">
      <c r="A45" s="9">
        <v>39</v>
      </c>
      <c r="B45" s="2" t="str">
        <f>OVERALL!B42</f>
        <v>leet</v>
      </c>
      <c r="C45" s="3" t="str">
        <f>OVERALL!C42</f>
        <v>Shubham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>
        <v>32</v>
      </c>
      <c r="BC45" s="9"/>
      <c r="BD45" s="9">
        <f t="shared" si="0"/>
        <v>32</v>
      </c>
      <c r="BE45" s="9">
        <v>44</v>
      </c>
      <c r="BF45" s="2">
        <f t="shared" si="1"/>
        <v>72.727272727272734</v>
      </c>
      <c r="BG45" s="20"/>
      <c r="BH45" s="9">
        <v>39</v>
      </c>
      <c r="BI45" s="26" t="str">
        <f>OVERALL!B42</f>
        <v>leet</v>
      </c>
      <c r="BJ45" s="26" t="str">
        <f>OVERALL!C42</f>
        <v>Shubham</v>
      </c>
      <c r="BK45" s="9">
        <f t="shared" ref="BK45:BL45" si="44">BD45</f>
        <v>32</v>
      </c>
      <c r="BL45" s="9">
        <f t="shared" si="44"/>
        <v>44</v>
      </c>
      <c r="BM45" s="2">
        <f t="shared" si="3"/>
        <v>72.727272727272734</v>
      </c>
      <c r="BN45" s="9" t="str">
        <f t="shared" si="4"/>
        <v>0</v>
      </c>
      <c r="BO45" s="9">
        <v>6</v>
      </c>
      <c r="BP45" s="9">
        <v>5</v>
      </c>
      <c r="BQ45" s="2">
        <f t="shared" si="5"/>
        <v>7.6363636363636367</v>
      </c>
      <c r="BR45" s="9"/>
      <c r="BS45" s="2">
        <f t="shared" si="6"/>
        <v>18.636363636363637</v>
      </c>
    </row>
    <row r="46" spans="1:71" ht="19.5" customHeight="1">
      <c r="A46" s="9">
        <v>40</v>
      </c>
      <c r="B46" s="2">
        <f>OVERALL!B43</f>
        <v>2301381</v>
      </c>
      <c r="C46" s="3" t="str">
        <f>OVERALL!C43</f>
        <v>ADITYA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>
        <v>40</v>
      </c>
      <c r="BC46" s="9"/>
      <c r="BD46" s="9">
        <f t="shared" si="0"/>
        <v>40</v>
      </c>
      <c r="BE46" s="9">
        <v>42</v>
      </c>
      <c r="BF46" s="2">
        <f t="shared" si="1"/>
        <v>95.238095238095227</v>
      </c>
      <c r="BG46" s="20"/>
      <c r="BH46" s="9">
        <v>40</v>
      </c>
      <c r="BI46" s="26">
        <f>OVERALL!B43</f>
        <v>2301381</v>
      </c>
      <c r="BJ46" s="26" t="str">
        <f>OVERALL!C43</f>
        <v>ADITYA</v>
      </c>
      <c r="BK46" s="9">
        <f t="shared" ref="BK46:BL46" si="45">BD46</f>
        <v>40</v>
      </c>
      <c r="BL46" s="9">
        <f t="shared" si="45"/>
        <v>42</v>
      </c>
      <c r="BM46" s="2">
        <f t="shared" si="3"/>
        <v>95.238095238095227</v>
      </c>
      <c r="BN46" s="9" t="str">
        <f t="shared" si="4"/>
        <v>5</v>
      </c>
      <c r="BO46" s="9">
        <v>7</v>
      </c>
      <c r="BP46" s="9">
        <v>6</v>
      </c>
      <c r="BQ46" s="2">
        <f t="shared" si="5"/>
        <v>8</v>
      </c>
      <c r="BR46" s="9"/>
      <c r="BS46" s="2">
        <f t="shared" si="6"/>
        <v>26</v>
      </c>
    </row>
    <row r="47" spans="1:71" ht="19.5" customHeight="1">
      <c r="A47" s="9">
        <v>41</v>
      </c>
      <c r="B47" s="2">
        <f>OVERALL!B44</f>
        <v>2301382</v>
      </c>
      <c r="C47" s="3" t="str">
        <f>OVERALL!C44</f>
        <v>ANMOL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>
        <v>34</v>
      </c>
      <c r="BC47" s="9"/>
      <c r="BD47" s="9">
        <f t="shared" si="0"/>
        <v>34</v>
      </c>
      <c r="BE47" s="9">
        <v>42</v>
      </c>
      <c r="BF47" s="2">
        <f t="shared" si="1"/>
        <v>80.952380952380949</v>
      </c>
      <c r="BG47" s="20"/>
      <c r="BH47" s="9">
        <v>41</v>
      </c>
      <c r="BI47" s="26">
        <f>OVERALL!B44</f>
        <v>2301382</v>
      </c>
      <c r="BJ47" s="26" t="str">
        <f>OVERALL!C44</f>
        <v>ANMOL</v>
      </c>
      <c r="BK47" s="9">
        <f t="shared" ref="BK47:BL47" si="46">BD47</f>
        <v>34</v>
      </c>
      <c r="BL47" s="9">
        <f t="shared" si="46"/>
        <v>42</v>
      </c>
      <c r="BM47" s="2">
        <f t="shared" si="3"/>
        <v>80.952380952380949</v>
      </c>
      <c r="BN47" s="9" t="str">
        <f t="shared" si="4"/>
        <v>3</v>
      </c>
      <c r="BO47" s="9">
        <v>6</v>
      </c>
      <c r="BP47" s="9">
        <v>6</v>
      </c>
      <c r="BQ47" s="2">
        <f t="shared" si="5"/>
        <v>8.6363636363636367</v>
      </c>
      <c r="BR47" s="9"/>
      <c r="BS47" s="2">
        <f t="shared" si="6"/>
        <v>23.636363636363637</v>
      </c>
    </row>
    <row r="48" spans="1:71" ht="19.5" customHeight="1">
      <c r="A48" s="9">
        <v>42</v>
      </c>
      <c r="B48" s="2">
        <f>OVERALL!B45</f>
        <v>2301383</v>
      </c>
      <c r="C48" s="3" t="str">
        <f>OVERALL!C45</f>
        <v>AURSH SHARMA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>
        <v>32</v>
      </c>
      <c r="BC48" s="9"/>
      <c r="BD48" s="9">
        <f t="shared" si="0"/>
        <v>32</v>
      </c>
      <c r="BE48" s="9">
        <v>42</v>
      </c>
      <c r="BF48" s="2">
        <f t="shared" si="1"/>
        <v>76.19047619047619</v>
      </c>
      <c r="BG48" s="20"/>
      <c r="BH48" s="9">
        <v>42</v>
      </c>
      <c r="BI48" s="26">
        <f>OVERALL!B45</f>
        <v>2301383</v>
      </c>
      <c r="BJ48" s="26" t="str">
        <f>OVERALL!C45</f>
        <v>AURSH SHARMA</v>
      </c>
      <c r="BK48" s="9">
        <f t="shared" ref="BK48:BL48" si="47">BD48</f>
        <v>32</v>
      </c>
      <c r="BL48" s="9">
        <f t="shared" si="47"/>
        <v>42</v>
      </c>
      <c r="BM48" s="2">
        <f t="shared" si="3"/>
        <v>76.19047619047619</v>
      </c>
      <c r="BN48" s="9" t="str">
        <f t="shared" si="4"/>
        <v>2</v>
      </c>
      <c r="BO48" s="9">
        <v>6</v>
      </c>
      <c r="BP48" s="9">
        <v>6</v>
      </c>
      <c r="BQ48" s="2">
        <f t="shared" si="5"/>
        <v>7.8181818181818183</v>
      </c>
      <c r="BR48" s="9"/>
      <c r="BS48" s="2">
        <f t="shared" si="6"/>
        <v>21.81818181818182</v>
      </c>
    </row>
    <row r="49" spans="1:71" ht="19.5" customHeight="1">
      <c r="A49" s="9">
        <v>43</v>
      </c>
      <c r="B49" s="2">
        <f>OVERALL!B46</f>
        <v>2301384</v>
      </c>
      <c r="C49" s="3" t="str">
        <f>OVERALL!C46</f>
        <v>AVNEET SINGH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>
        <v>30</v>
      </c>
      <c r="BC49" s="9"/>
      <c r="BD49" s="9">
        <f t="shared" si="0"/>
        <v>30</v>
      </c>
      <c r="BE49" s="9">
        <v>42</v>
      </c>
      <c r="BF49" s="2">
        <f t="shared" si="1"/>
        <v>71.428571428571431</v>
      </c>
      <c r="BG49" s="20"/>
      <c r="BH49" s="9">
        <v>43</v>
      </c>
      <c r="BI49" s="26">
        <f>OVERALL!B46</f>
        <v>2301384</v>
      </c>
      <c r="BJ49" s="26" t="str">
        <f>OVERALL!C46</f>
        <v>AVNEET SINGH</v>
      </c>
      <c r="BK49" s="9">
        <f t="shared" ref="BK49:BL49" si="48">BD49</f>
        <v>30</v>
      </c>
      <c r="BL49" s="9">
        <f t="shared" si="48"/>
        <v>42</v>
      </c>
      <c r="BM49" s="2">
        <f t="shared" si="3"/>
        <v>71.428571428571431</v>
      </c>
      <c r="BN49" s="9" t="str">
        <f t="shared" si="4"/>
        <v>0</v>
      </c>
      <c r="BO49" s="9">
        <v>6</v>
      </c>
      <c r="BP49" s="9">
        <v>5</v>
      </c>
      <c r="BQ49" s="2">
        <f t="shared" si="5"/>
        <v>6.4545454545454541</v>
      </c>
      <c r="BR49" s="9"/>
      <c r="BS49" s="2">
        <f t="shared" si="6"/>
        <v>17.454545454545453</v>
      </c>
    </row>
    <row r="50" spans="1:71" ht="19.5" customHeight="1">
      <c r="A50" s="9">
        <v>44</v>
      </c>
      <c r="B50" s="2">
        <f>OVERALL!B47</f>
        <v>2301385</v>
      </c>
      <c r="C50" s="3" t="str">
        <f>OVERALL!C47</f>
        <v>BOBBY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>
        <v>34</v>
      </c>
      <c r="BC50" s="9"/>
      <c r="BD50" s="9">
        <f t="shared" si="0"/>
        <v>34</v>
      </c>
      <c r="BE50" s="9">
        <v>42</v>
      </c>
      <c r="BF50" s="2">
        <f t="shared" si="1"/>
        <v>80.952380952380949</v>
      </c>
      <c r="BG50" s="20"/>
      <c r="BH50" s="9">
        <v>44</v>
      </c>
      <c r="BI50" s="26">
        <f>OVERALL!B47</f>
        <v>2301385</v>
      </c>
      <c r="BJ50" s="26" t="str">
        <f>OVERALL!C47</f>
        <v>BOBBY</v>
      </c>
      <c r="BK50" s="9">
        <f t="shared" ref="BK50:BL50" si="49">BD50</f>
        <v>34</v>
      </c>
      <c r="BL50" s="9">
        <f t="shared" si="49"/>
        <v>42</v>
      </c>
      <c r="BM50" s="2">
        <f t="shared" si="3"/>
        <v>80.952380952380949</v>
      </c>
      <c r="BN50" s="9" t="str">
        <f t="shared" si="4"/>
        <v>3</v>
      </c>
      <c r="BO50" s="9">
        <v>6</v>
      </c>
      <c r="BP50" s="9">
        <v>5</v>
      </c>
      <c r="BQ50" s="2">
        <f t="shared" si="5"/>
        <v>6.4545454545454541</v>
      </c>
      <c r="BR50" s="9"/>
      <c r="BS50" s="2">
        <f t="shared" si="6"/>
        <v>20.454545454545453</v>
      </c>
    </row>
    <row r="51" spans="1:71" ht="19.5" customHeight="1">
      <c r="A51" s="9">
        <v>45</v>
      </c>
      <c r="B51" s="2">
        <f>OVERALL!B48</f>
        <v>2301386</v>
      </c>
      <c r="C51" s="3" t="str">
        <f>OVERALL!C48</f>
        <v>CHARANJIT SINGH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>
        <v>18</v>
      </c>
      <c r="BC51" s="9"/>
      <c r="BD51" s="9">
        <f t="shared" si="0"/>
        <v>18</v>
      </c>
      <c r="BE51" s="9">
        <v>42</v>
      </c>
      <c r="BF51" s="2">
        <f t="shared" si="1"/>
        <v>42.857142857142854</v>
      </c>
      <c r="BG51" s="20"/>
      <c r="BH51" s="9">
        <v>45</v>
      </c>
      <c r="BI51" s="26">
        <f>OVERALL!B48</f>
        <v>2301386</v>
      </c>
      <c r="BJ51" s="26" t="str">
        <f>OVERALL!C48</f>
        <v>CHARANJIT SINGH</v>
      </c>
      <c r="BK51" s="9">
        <f t="shared" ref="BK51:BL51" si="50">BD51</f>
        <v>18</v>
      </c>
      <c r="BL51" s="9">
        <f t="shared" si="50"/>
        <v>42</v>
      </c>
      <c r="BM51" s="2">
        <f t="shared" si="3"/>
        <v>42.857142857142854</v>
      </c>
      <c r="BN51" s="9" t="str">
        <f t="shared" si="4"/>
        <v>0</v>
      </c>
      <c r="BO51" s="9">
        <v>5</v>
      </c>
      <c r="BP51" s="9">
        <v>5</v>
      </c>
      <c r="BQ51" s="2">
        <f t="shared" si="5"/>
        <v>7.0909090909090908</v>
      </c>
      <c r="BR51" s="9"/>
      <c r="BS51" s="2">
        <f t="shared" si="6"/>
        <v>17.09090909090909</v>
      </c>
    </row>
    <row r="52" spans="1:71" ht="19.5" customHeight="1">
      <c r="A52" s="9">
        <v>46</v>
      </c>
      <c r="B52" s="2">
        <f>OVERALL!B49</f>
        <v>2301387</v>
      </c>
      <c r="C52" s="3" t="str">
        <f>OVERALL!C49</f>
        <v>INDERBIR SINGH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>
        <v>24</v>
      </c>
      <c r="BC52" s="9"/>
      <c r="BD52" s="9">
        <f t="shared" si="0"/>
        <v>24</v>
      </c>
      <c r="BE52" s="9">
        <v>42</v>
      </c>
      <c r="BF52" s="2">
        <f t="shared" si="1"/>
        <v>57.142857142857139</v>
      </c>
      <c r="BG52" s="20"/>
      <c r="BH52" s="9">
        <v>46</v>
      </c>
      <c r="BI52" s="26">
        <f>OVERALL!B49</f>
        <v>2301387</v>
      </c>
      <c r="BJ52" s="26" t="str">
        <f>OVERALL!C49</f>
        <v>INDERBIR SINGH</v>
      </c>
      <c r="BK52" s="9">
        <f t="shared" ref="BK52:BL52" si="51">BD52</f>
        <v>24</v>
      </c>
      <c r="BL52" s="9">
        <f t="shared" si="51"/>
        <v>42</v>
      </c>
      <c r="BM52" s="2">
        <f t="shared" si="3"/>
        <v>57.142857142857139</v>
      </c>
      <c r="BN52" s="9" t="str">
        <f t="shared" si="4"/>
        <v>0</v>
      </c>
      <c r="BO52" s="9">
        <v>4</v>
      </c>
      <c r="BP52" s="9">
        <v>5</v>
      </c>
      <c r="BQ52" s="2">
        <f t="shared" si="5"/>
        <v>7.5454545454545459</v>
      </c>
      <c r="BR52" s="9"/>
      <c r="BS52" s="2">
        <f t="shared" si="6"/>
        <v>16.545454545454547</v>
      </c>
    </row>
    <row r="53" spans="1:71" ht="19.5" customHeight="1">
      <c r="A53" s="9">
        <v>47</v>
      </c>
      <c r="B53" s="2">
        <f>OVERALL!B50</f>
        <v>2301389</v>
      </c>
      <c r="C53" s="3" t="str">
        <f>OVERALL!C50</f>
        <v>JASMEEN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>
        <v>32</v>
      </c>
      <c r="BC53" s="9"/>
      <c r="BD53" s="9">
        <f t="shared" si="0"/>
        <v>32</v>
      </c>
      <c r="BE53" s="9">
        <v>42</v>
      </c>
      <c r="BF53" s="2">
        <f t="shared" si="1"/>
        <v>76.19047619047619</v>
      </c>
      <c r="BG53" s="20"/>
      <c r="BH53" s="9">
        <v>47</v>
      </c>
      <c r="BI53" s="26">
        <f>OVERALL!B50</f>
        <v>2301389</v>
      </c>
      <c r="BJ53" s="26" t="str">
        <f>OVERALL!C50</f>
        <v>JASMEEN</v>
      </c>
      <c r="BK53" s="9">
        <f t="shared" ref="BK53:BL53" si="52">BD53</f>
        <v>32</v>
      </c>
      <c r="BL53" s="9">
        <f t="shared" si="52"/>
        <v>42</v>
      </c>
      <c r="BM53" s="2">
        <f t="shared" si="3"/>
        <v>76.19047619047619</v>
      </c>
      <c r="BN53" s="9" t="str">
        <f t="shared" si="4"/>
        <v>2</v>
      </c>
      <c r="BO53" s="9">
        <v>6</v>
      </c>
      <c r="BP53" s="9">
        <v>6</v>
      </c>
      <c r="BQ53" s="2">
        <f t="shared" si="5"/>
        <v>6.4545454545454541</v>
      </c>
      <c r="BR53" s="9"/>
      <c r="BS53" s="2">
        <f t="shared" si="6"/>
        <v>20.454545454545453</v>
      </c>
    </row>
    <row r="54" spans="1:71" ht="19.5" customHeight="1">
      <c r="A54" s="9">
        <v>48</v>
      </c>
      <c r="B54" s="2">
        <f>OVERALL!B51</f>
        <v>2301390</v>
      </c>
      <c r="C54" s="3" t="str">
        <f>OVERALL!C51</f>
        <v>KUNDAN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>
        <v>30</v>
      </c>
      <c r="BC54" s="9"/>
      <c r="BD54" s="9">
        <f t="shared" si="0"/>
        <v>30</v>
      </c>
      <c r="BE54" s="9">
        <v>42</v>
      </c>
      <c r="BF54" s="2">
        <f t="shared" si="1"/>
        <v>71.428571428571431</v>
      </c>
      <c r="BG54" s="20"/>
      <c r="BH54" s="9">
        <v>48</v>
      </c>
      <c r="BI54" s="26">
        <f>OVERALL!B51</f>
        <v>2301390</v>
      </c>
      <c r="BJ54" s="26" t="str">
        <f>OVERALL!C51</f>
        <v>KUNDAN</v>
      </c>
      <c r="BK54" s="9">
        <f t="shared" ref="BK54:BL54" si="53">BD54</f>
        <v>30</v>
      </c>
      <c r="BL54" s="9">
        <f t="shared" si="53"/>
        <v>42</v>
      </c>
      <c r="BM54" s="2">
        <f t="shared" si="3"/>
        <v>71.428571428571431</v>
      </c>
      <c r="BN54" s="9" t="str">
        <f t="shared" si="4"/>
        <v>0</v>
      </c>
      <c r="BO54" s="9">
        <v>5</v>
      </c>
      <c r="BP54" s="9">
        <v>5</v>
      </c>
      <c r="BQ54" s="2">
        <f t="shared" si="5"/>
        <v>7.8181818181818183</v>
      </c>
      <c r="BR54" s="9"/>
      <c r="BS54" s="2">
        <f t="shared" si="6"/>
        <v>17.81818181818182</v>
      </c>
    </row>
    <row r="55" spans="1:71" ht="19.5" customHeight="1">
      <c r="A55" s="9">
        <v>49</v>
      </c>
      <c r="B55" s="2">
        <f>OVERALL!B52</f>
        <v>2301391</v>
      </c>
      <c r="C55" s="3" t="str">
        <f>OVERALL!C52</f>
        <v>MANVEER SINGH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>
        <v>28</v>
      </c>
      <c r="BC55" s="9"/>
      <c r="BD55" s="9">
        <f t="shared" si="0"/>
        <v>28</v>
      </c>
      <c r="BE55" s="9">
        <v>42</v>
      </c>
      <c r="BF55" s="2">
        <f t="shared" si="1"/>
        <v>66.666666666666657</v>
      </c>
      <c r="BG55" s="20"/>
      <c r="BH55" s="9">
        <v>49</v>
      </c>
      <c r="BI55" s="26">
        <f>OVERALL!B52</f>
        <v>2301391</v>
      </c>
      <c r="BJ55" s="26" t="str">
        <f>OVERALL!C52</f>
        <v>MANVEER SINGH</v>
      </c>
      <c r="BK55" s="9">
        <f t="shared" ref="BK55:BL55" si="54">BD55</f>
        <v>28</v>
      </c>
      <c r="BL55" s="9">
        <f t="shared" si="54"/>
        <v>42</v>
      </c>
      <c r="BM55" s="2">
        <f t="shared" si="3"/>
        <v>66.666666666666657</v>
      </c>
      <c r="BN55" s="9" t="str">
        <f t="shared" si="4"/>
        <v>0</v>
      </c>
      <c r="BO55" s="9">
        <v>6</v>
      </c>
      <c r="BP55" s="9">
        <v>5</v>
      </c>
      <c r="BQ55" s="2">
        <f t="shared" si="5"/>
        <v>7.8181818181818183</v>
      </c>
      <c r="BR55" s="9"/>
      <c r="BS55" s="2">
        <f t="shared" si="6"/>
        <v>18.81818181818182</v>
      </c>
    </row>
    <row r="56" spans="1:71" ht="19.5" customHeight="1">
      <c r="A56" s="9">
        <v>50</v>
      </c>
      <c r="B56" s="2">
        <f>OVERALL!B53</f>
        <v>2301392</v>
      </c>
      <c r="C56" s="3" t="str">
        <f>OVERALL!C53</f>
        <v>MOHIT KUMAR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>
        <v>20</v>
      </c>
      <c r="BC56" s="9"/>
      <c r="BD56" s="9">
        <f t="shared" si="0"/>
        <v>20</v>
      </c>
      <c r="BE56" s="9">
        <v>42</v>
      </c>
      <c r="BF56" s="2">
        <f t="shared" si="1"/>
        <v>47.619047619047613</v>
      </c>
      <c r="BG56" s="20"/>
      <c r="BH56" s="9">
        <v>50</v>
      </c>
      <c r="BI56" s="26">
        <f>OVERALL!B53</f>
        <v>2301392</v>
      </c>
      <c r="BJ56" s="26" t="str">
        <f>OVERALL!C53</f>
        <v>MOHIT KUMAR</v>
      </c>
      <c r="BK56" s="9">
        <f t="shared" ref="BK56:BL56" si="55">BD56</f>
        <v>20</v>
      </c>
      <c r="BL56" s="9">
        <f t="shared" si="55"/>
        <v>42</v>
      </c>
      <c r="BM56" s="2">
        <f t="shared" si="3"/>
        <v>47.619047619047613</v>
      </c>
      <c r="BN56" s="9" t="str">
        <f t="shared" si="4"/>
        <v>0</v>
      </c>
      <c r="BO56" s="9">
        <v>6</v>
      </c>
      <c r="BP56" s="9">
        <v>6</v>
      </c>
      <c r="BQ56" s="2">
        <f t="shared" si="5"/>
        <v>6.2727272727272725</v>
      </c>
      <c r="BR56" s="9"/>
      <c r="BS56" s="2">
        <f t="shared" si="6"/>
        <v>18.272727272727273</v>
      </c>
    </row>
    <row r="57" spans="1:71" ht="19.5" customHeight="1">
      <c r="A57" s="9">
        <v>51</v>
      </c>
      <c r="B57" s="2">
        <f>OVERALL!B54</f>
        <v>2301393</v>
      </c>
      <c r="C57" s="3" t="str">
        <f>OVERALL!C54</f>
        <v>NAVNEET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>
        <v>16</v>
      </c>
      <c r="BC57" s="9"/>
      <c r="BD57" s="9">
        <f t="shared" si="0"/>
        <v>16</v>
      </c>
      <c r="BE57" s="9">
        <v>42</v>
      </c>
      <c r="BF57" s="2">
        <f t="shared" si="1"/>
        <v>38.095238095238095</v>
      </c>
      <c r="BG57" s="20"/>
      <c r="BH57" s="9">
        <v>51</v>
      </c>
      <c r="BI57" s="26">
        <f>OVERALL!B54</f>
        <v>2301393</v>
      </c>
      <c r="BJ57" s="26" t="str">
        <f>OVERALL!C54</f>
        <v>NAVNEET</v>
      </c>
      <c r="BK57" s="9">
        <f t="shared" ref="BK57:BL57" si="56">BD57</f>
        <v>16</v>
      </c>
      <c r="BL57" s="9">
        <f t="shared" si="56"/>
        <v>42</v>
      </c>
      <c r="BM57" s="2">
        <f t="shared" si="3"/>
        <v>38.095238095238095</v>
      </c>
      <c r="BN57" s="9" t="str">
        <f t="shared" si="4"/>
        <v>0</v>
      </c>
      <c r="BO57" s="9">
        <v>5</v>
      </c>
      <c r="BP57" s="9">
        <v>4</v>
      </c>
      <c r="BQ57" s="2">
        <f t="shared" si="5"/>
        <v>5.5454545454545459</v>
      </c>
      <c r="BR57" s="9"/>
      <c r="BS57" s="2">
        <f t="shared" si="6"/>
        <v>14.545454545454547</v>
      </c>
    </row>
    <row r="58" spans="1:71" ht="19.5" customHeight="1">
      <c r="A58" s="9">
        <v>52</v>
      </c>
      <c r="B58" s="2">
        <f>OVERALL!B55</f>
        <v>2301394</v>
      </c>
      <c r="C58" s="3" t="str">
        <f>OVERALL!C55</f>
        <v>NITIN VERMA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>
        <v>32</v>
      </c>
      <c r="BC58" s="9"/>
      <c r="BD58" s="9">
        <f t="shared" si="0"/>
        <v>32</v>
      </c>
      <c r="BE58" s="9">
        <v>42</v>
      </c>
      <c r="BF58" s="2">
        <f t="shared" si="1"/>
        <v>76.19047619047619</v>
      </c>
      <c r="BG58" s="20"/>
      <c r="BH58" s="9">
        <v>52</v>
      </c>
      <c r="BI58" s="26">
        <f>OVERALL!B55</f>
        <v>2301394</v>
      </c>
      <c r="BJ58" s="26" t="str">
        <f>OVERALL!C55</f>
        <v>NITIN VERMA</v>
      </c>
      <c r="BK58" s="9">
        <f t="shared" ref="BK58:BL58" si="57">BD58</f>
        <v>32</v>
      </c>
      <c r="BL58" s="9">
        <f t="shared" si="57"/>
        <v>42</v>
      </c>
      <c r="BM58" s="2">
        <f t="shared" si="3"/>
        <v>76.19047619047619</v>
      </c>
      <c r="BN58" s="9" t="str">
        <f t="shared" si="4"/>
        <v>2</v>
      </c>
      <c r="BO58" s="9">
        <v>6</v>
      </c>
      <c r="BP58" s="9">
        <v>7</v>
      </c>
      <c r="BQ58" s="2">
        <f t="shared" si="5"/>
        <v>7.8181818181818183</v>
      </c>
      <c r="BR58" s="9"/>
      <c r="BS58" s="2">
        <f t="shared" si="6"/>
        <v>22.81818181818182</v>
      </c>
    </row>
    <row r="59" spans="1:71" ht="19.5" customHeight="1">
      <c r="A59" s="9">
        <v>53</v>
      </c>
      <c r="B59" s="2">
        <f>OVERALL!B56</f>
        <v>2301395</v>
      </c>
      <c r="C59" s="3" t="str">
        <f>OVERALL!C56</f>
        <v>POOJA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>
        <v>32</v>
      </c>
      <c r="BC59" s="9"/>
      <c r="BD59" s="9">
        <f t="shared" si="0"/>
        <v>32</v>
      </c>
      <c r="BE59" s="9">
        <v>42</v>
      </c>
      <c r="BF59" s="2">
        <f t="shared" si="1"/>
        <v>76.19047619047619</v>
      </c>
      <c r="BG59" s="20"/>
      <c r="BH59" s="9">
        <v>53</v>
      </c>
      <c r="BI59" s="26">
        <f>OVERALL!B56</f>
        <v>2301395</v>
      </c>
      <c r="BJ59" s="26" t="str">
        <f>OVERALL!C56</f>
        <v>POOJA</v>
      </c>
      <c r="BK59" s="9">
        <f t="shared" ref="BK59:BL59" si="58">BD59</f>
        <v>32</v>
      </c>
      <c r="BL59" s="9">
        <f t="shared" si="58"/>
        <v>42</v>
      </c>
      <c r="BM59" s="2">
        <f t="shared" si="3"/>
        <v>76.19047619047619</v>
      </c>
      <c r="BN59" s="9" t="str">
        <f t="shared" si="4"/>
        <v>2</v>
      </c>
      <c r="BO59" s="9">
        <v>6</v>
      </c>
      <c r="BP59" s="9">
        <v>7</v>
      </c>
      <c r="BQ59" s="2">
        <f t="shared" si="5"/>
        <v>8</v>
      </c>
      <c r="BR59" s="9"/>
      <c r="BS59" s="2">
        <f t="shared" si="6"/>
        <v>23</v>
      </c>
    </row>
    <row r="60" spans="1:71" ht="19.5" customHeight="1">
      <c r="A60" s="9">
        <v>54</v>
      </c>
      <c r="B60" s="2">
        <f>OVERALL!B57</f>
        <v>2301396</v>
      </c>
      <c r="C60" s="3" t="str">
        <f>OVERALL!C57</f>
        <v>PRIYA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>
        <v>38</v>
      </c>
      <c r="BC60" s="9"/>
      <c r="BD60" s="9">
        <f t="shared" si="0"/>
        <v>38</v>
      </c>
      <c r="BE60" s="9">
        <v>42</v>
      </c>
      <c r="BF60" s="2">
        <f t="shared" si="1"/>
        <v>90.476190476190482</v>
      </c>
      <c r="BG60" s="20"/>
      <c r="BH60" s="9">
        <v>54</v>
      </c>
      <c r="BI60" s="26">
        <f>OVERALL!B57</f>
        <v>2301396</v>
      </c>
      <c r="BJ60" s="26" t="str">
        <f>OVERALL!C57</f>
        <v>PRIYA</v>
      </c>
      <c r="BK60" s="9">
        <f t="shared" ref="BK60:BL60" si="59">BD60</f>
        <v>38</v>
      </c>
      <c r="BL60" s="9">
        <f t="shared" si="59"/>
        <v>42</v>
      </c>
      <c r="BM60" s="2">
        <f t="shared" si="3"/>
        <v>90.476190476190482</v>
      </c>
      <c r="BN60" s="9" t="str">
        <f t="shared" si="4"/>
        <v>4</v>
      </c>
      <c r="BO60" s="9">
        <v>6</v>
      </c>
      <c r="BP60" s="9">
        <v>7</v>
      </c>
      <c r="BQ60" s="2">
        <f t="shared" si="5"/>
        <v>7.4545454545454541</v>
      </c>
      <c r="BR60" s="9"/>
      <c r="BS60" s="2">
        <f t="shared" si="6"/>
        <v>24.454545454545453</v>
      </c>
    </row>
    <row r="61" spans="1:71" ht="19.5" customHeight="1">
      <c r="A61" s="9">
        <v>55</v>
      </c>
      <c r="B61" s="2">
        <f>OVERALL!B58</f>
        <v>2301397</v>
      </c>
      <c r="C61" s="3" t="str">
        <f>OVERALL!C58</f>
        <v>SAHIL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>
        <v>30</v>
      </c>
      <c r="BC61" s="9"/>
      <c r="BD61" s="9">
        <f t="shared" si="0"/>
        <v>30</v>
      </c>
      <c r="BE61" s="9">
        <v>42</v>
      </c>
      <c r="BF61" s="2">
        <f t="shared" si="1"/>
        <v>71.428571428571431</v>
      </c>
      <c r="BG61" s="20"/>
      <c r="BH61" s="9">
        <v>55</v>
      </c>
      <c r="BI61" s="26">
        <f>OVERALL!B58</f>
        <v>2301397</v>
      </c>
      <c r="BJ61" s="26" t="str">
        <f>OVERALL!C58</f>
        <v>SAHIL</v>
      </c>
      <c r="BK61" s="9">
        <f t="shared" ref="BK61:BL61" si="60">BD61</f>
        <v>30</v>
      </c>
      <c r="BL61" s="9">
        <f t="shared" si="60"/>
        <v>42</v>
      </c>
      <c r="BM61" s="2">
        <f t="shared" si="3"/>
        <v>71.428571428571431</v>
      </c>
      <c r="BN61" s="9" t="str">
        <f t="shared" si="4"/>
        <v>0</v>
      </c>
      <c r="BO61" s="9">
        <v>5</v>
      </c>
      <c r="BP61" s="9">
        <v>6</v>
      </c>
      <c r="BQ61" s="2">
        <f t="shared" si="5"/>
        <v>7.2727272727272725</v>
      </c>
      <c r="BR61" s="9"/>
      <c r="BS61" s="2">
        <f t="shared" si="6"/>
        <v>18.272727272727273</v>
      </c>
    </row>
    <row r="62" spans="1:71" ht="19.5" customHeight="1">
      <c r="A62" s="9">
        <v>56</v>
      </c>
      <c r="B62" s="2">
        <f>OVERALL!B59</f>
        <v>2301398</v>
      </c>
      <c r="C62" s="3" t="str">
        <f>OVERALL!C59</f>
        <v>SANJANA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>
        <v>34</v>
      </c>
      <c r="BC62" s="9"/>
      <c r="BD62" s="9">
        <f t="shared" si="0"/>
        <v>34</v>
      </c>
      <c r="BE62" s="9">
        <v>42</v>
      </c>
      <c r="BF62" s="2">
        <f t="shared" si="1"/>
        <v>80.952380952380949</v>
      </c>
      <c r="BG62" s="20"/>
      <c r="BH62" s="9">
        <v>56</v>
      </c>
      <c r="BI62" s="26">
        <f>OVERALL!B59</f>
        <v>2301398</v>
      </c>
      <c r="BJ62" s="26" t="str">
        <f>OVERALL!C59</f>
        <v>SANJANA</v>
      </c>
      <c r="BK62" s="9">
        <f t="shared" ref="BK62:BL62" si="61">BD62</f>
        <v>34</v>
      </c>
      <c r="BL62" s="9">
        <f t="shared" si="61"/>
        <v>42</v>
      </c>
      <c r="BM62" s="2">
        <f t="shared" si="3"/>
        <v>80.952380952380949</v>
      </c>
      <c r="BN62" s="9" t="str">
        <f t="shared" si="4"/>
        <v>3</v>
      </c>
      <c r="BO62" s="9">
        <v>7</v>
      </c>
      <c r="BP62" s="9">
        <v>7</v>
      </c>
      <c r="BQ62" s="2">
        <f t="shared" si="5"/>
        <v>7.2727272727272725</v>
      </c>
      <c r="BR62" s="9"/>
      <c r="BS62" s="2">
        <f t="shared" si="6"/>
        <v>24.272727272727273</v>
      </c>
    </row>
    <row r="63" spans="1:71" ht="19.5" customHeight="1">
      <c r="A63" s="9">
        <v>57</v>
      </c>
      <c r="B63" s="2">
        <f>OVERALL!B60</f>
        <v>2301399</v>
      </c>
      <c r="C63" s="3" t="str">
        <f>OVERALL!C60</f>
        <v>SANJAY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>
        <v>28</v>
      </c>
      <c r="BC63" s="9"/>
      <c r="BD63" s="9">
        <f t="shared" si="0"/>
        <v>28</v>
      </c>
      <c r="BE63" s="9">
        <v>42</v>
      </c>
      <c r="BF63" s="2">
        <f t="shared" si="1"/>
        <v>66.666666666666657</v>
      </c>
      <c r="BG63" s="20"/>
      <c r="BH63" s="9">
        <v>57</v>
      </c>
      <c r="BI63" s="26">
        <f>OVERALL!B60</f>
        <v>2301399</v>
      </c>
      <c r="BJ63" s="26" t="str">
        <f>OVERALL!C60</f>
        <v>SANJAY</v>
      </c>
      <c r="BK63" s="9">
        <f t="shared" ref="BK63:BL63" si="62">BD63</f>
        <v>28</v>
      </c>
      <c r="BL63" s="9">
        <f t="shared" si="62"/>
        <v>42</v>
      </c>
      <c r="BM63" s="2">
        <f t="shared" si="3"/>
        <v>66.666666666666657</v>
      </c>
      <c r="BN63" s="9" t="str">
        <f t="shared" si="4"/>
        <v>0</v>
      </c>
      <c r="BO63" s="9">
        <v>6</v>
      </c>
      <c r="BP63" s="9">
        <v>6</v>
      </c>
      <c r="BQ63" s="2">
        <f t="shared" si="5"/>
        <v>8</v>
      </c>
      <c r="BR63" s="9"/>
      <c r="BS63" s="2">
        <f t="shared" si="6"/>
        <v>20</v>
      </c>
    </row>
    <row r="64" spans="1:71" ht="19.5" customHeight="1">
      <c r="A64" s="9">
        <v>58</v>
      </c>
      <c r="B64" s="2">
        <f>OVERALL!B61</f>
        <v>2301401</v>
      </c>
      <c r="C64" s="3" t="str">
        <f>OVERALL!C61</f>
        <v>SMILE JASSAL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>
        <v>38</v>
      </c>
      <c r="BC64" s="9"/>
      <c r="BD64" s="9">
        <f t="shared" si="0"/>
        <v>38</v>
      </c>
      <c r="BE64" s="9">
        <v>42</v>
      </c>
      <c r="BF64" s="2">
        <f t="shared" si="1"/>
        <v>90.476190476190482</v>
      </c>
      <c r="BG64" s="20"/>
      <c r="BH64" s="9">
        <v>58</v>
      </c>
      <c r="BI64" s="26">
        <f>OVERALL!B61</f>
        <v>2301401</v>
      </c>
      <c r="BJ64" s="26" t="str">
        <f>OVERALL!C61</f>
        <v>SMILE JASSAL</v>
      </c>
      <c r="BK64" s="9">
        <f t="shared" ref="BK64:BL64" si="63">BD64</f>
        <v>38</v>
      </c>
      <c r="BL64" s="9">
        <f t="shared" si="63"/>
        <v>42</v>
      </c>
      <c r="BM64" s="2">
        <f t="shared" si="3"/>
        <v>90.476190476190482</v>
      </c>
      <c r="BN64" s="9" t="str">
        <f t="shared" si="4"/>
        <v>4</v>
      </c>
      <c r="BO64" s="9">
        <v>6</v>
      </c>
      <c r="BP64" s="9">
        <v>5</v>
      </c>
      <c r="BQ64" s="2">
        <f t="shared" si="5"/>
        <v>7.8181818181818183</v>
      </c>
      <c r="BR64" s="9"/>
      <c r="BS64" s="2">
        <f t="shared" si="6"/>
        <v>22.81818181818182</v>
      </c>
    </row>
    <row r="65" spans="1:71" ht="19.5" customHeight="1">
      <c r="A65" s="9">
        <v>59</v>
      </c>
      <c r="B65" s="2">
        <f>OVERALL!B62</f>
        <v>2301402</v>
      </c>
      <c r="C65" s="3" t="str">
        <f>OVERALL!C62</f>
        <v>SUMIT BHARAJ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>
        <v>32</v>
      </c>
      <c r="BC65" s="9"/>
      <c r="BD65" s="9">
        <f t="shared" si="0"/>
        <v>32</v>
      </c>
      <c r="BE65" s="9">
        <v>42</v>
      </c>
      <c r="BF65" s="2">
        <f t="shared" si="1"/>
        <v>76.19047619047619</v>
      </c>
      <c r="BG65" s="20"/>
      <c r="BH65" s="9">
        <v>59</v>
      </c>
      <c r="BI65" s="26">
        <f>OVERALL!B62</f>
        <v>2301402</v>
      </c>
      <c r="BJ65" s="26" t="str">
        <f>OVERALL!C62</f>
        <v>SUMIT BHARAJ</v>
      </c>
      <c r="BK65" s="9">
        <f t="shared" ref="BK65:BL65" si="64">BD65</f>
        <v>32</v>
      </c>
      <c r="BL65" s="9">
        <f t="shared" si="64"/>
        <v>42</v>
      </c>
      <c r="BM65" s="2">
        <f t="shared" si="3"/>
        <v>76.19047619047619</v>
      </c>
      <c r="BN65" s="9" t="str">
        <f t="shared" si="4"/>
        <v>2</v>
      </c>
      <c r="BO65" s="9">
        <v>5</v>
      </c>
      <c r="BP65" s="9">
        <v>6</v>
      </c>
      <c r="BQ65" s="2">
        <f t="shared" si="5"/>
        <v>8.545454545454545</v>
      </c>
      <c r="BR65" s="9"/>
      <c r="BS65" s="2">
        <f t="shared" si="6"/>
        <v>21.545454545454547</v>
      </c>
    </row>
    <row r="66" spans="1:71" ht="19.5" customHeight="1">
      <c r="A66" s="9">
        <v>60</v>
      </c>
      <c r="B66" s="2">
        <f>OVERALL!B63</f>
        <v>2301403</v>
      </c>
      <c r="C66" s="3" t="str">
        <f>OVERALL!C63</f>
        <v>SUNAKSHI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>
        <v>40</v>
      </c>
      <c r="BC66" s="9"/>
      <c r="BD66" s="9">
        <f t="shared" si="0"/>
        <v>40</v>
      </c>
      <c r="BE66" s="9">
        <v>42</v>
      </c>
      <c r="BF66" s="2">
        <f t="shared" si="1"/>
        <v>95.238095238095227</v>
      </c>
      <c r="BG66" s="20"/>
      <c r="BH66" s="9">
        <v>60</v>
      </c>
      <c r="BI66" s="26">
        <f>OVERALL!B63</f>
        <v>2301403</v>
      </c>
      <c r="BJ66" s="26" t="str">
        <f>OVERALL!C63</f>
        <v>SUNAKSHI</v>
      </c>
      <c r="BK66" s="9">
        <f t="shared" ref="BK66:BL66" si="65">BD66</f>
        <v>40</v>
      </c>
      <c r="BL66" s="9">
        <f t="shared" si="65"/>
        <v>42</v>
      </c>
      <c r="BM66" s="2">
        <f t="shared" si="3"/>
        <v>95.238095238095227</v>
      </c>
      <c r="BN66" s="9" t="str">
        <f t="shared" si="4"/>
        <v>5</v>
      </c>
      <c r="BO66" s="9">
        <v>7</v>
      </c>
      <c r="BP66" s="9">
        <v>7</v>
      </c>
      <c r="BQ66" s="2">
        <f t="shared" si="5"/>
        <v>8.1818181818181817</v>
      </c>
      <c r="BR66" s="9"/>
      <c r="BS66" s="2">
        <f t="shared" si="6"/>
        <v>27.18181818181818</v>
      </c>
    </row>
    <row r="67" spans="1:71" ht="19.5" customHeight="1">
      <c r="A67" s="9">
        <v>61</v>
      </c>
      <c r="B67" s="2">
        <f>OVERALL!B64</f>
        <v>2301404</v>
      </c>
      <c r="C67" s="3" t="str">
        <f>OVERALL!C64</f>
        <v>VANSH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>
        <v>30</v>
      </c>
      <c r="BC67" s="9"/>
      <c r="BD67" s="9">
        <f t="shared" si="0"/>
        <v>30</v>
      </c>
      <c r="BE67" s="9">
        <v>42</v>
      </c>
      <c r="BF67" s="2">
        <f t="shared" si="1"/>
        <v>71.428571428571431</v>
      </c>
      <c r="BG67" s="20"/>
      <c r="BH67" s="9">
        <v>61</v>
      </c>
      <c r="BI67" s="26">
        <f>OVERALL!B64</f>
        <v>2301404</v>
      </c>
      <c r="BJ67" s="26" t="str">
        <f>OVERALL!C64</f>
        <v>VANSH</v>
      </c>
      <c r="BK67" s="9">
        <f t="shared" ref="BK67:BL67" si="66">BD67</f>
        <v>30</v>
      </c>
      <c r="BL67" s="9">
        <f t="shared" si="66"/>
        <v>42</v>
      </c>
      <c r="BM67" s="2">
        <f t="shared" si="3"/>
        <v>71.428571428571431</v>
      </c>
      <c r="BN67" s="9" t="str">
        <f t="shared" si="4"/>
        <v>0</v>
      </c>
      <c r="BO67" s="9">
        <v>6</v>
      </c>
      <c r="BP67" s="9">
        <v>5</v>
      </c>
      <c r="BQ67" s="2">
        <f t="shared" si="5"/>
        <v>4.6363636363636367</v>
      </c>
      <c r="BR67" s="9"/>
      <c r="BS67" s="2">
        <f t="shared" si="6"/>
        <v>15.636363636363637</v>
      </c>
    </row>
    <row r="68" spans="1:71" ht="19.5" customHeight="1">
      <c r="A68" s="9">
        <v>62</v>
      </c>
      <c r="B68" s="2">
        <f>OVERALL!B65</f>
        <v>2301405</v>
      </c>
      <c r="C68" s="3" t="str">
        <f>OVERALL!C65</f>
        <v>VARINDER BHATOY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>
        <v>22</v>
      </c>
      <c r="BC68" s="9"/>
      <c r="BD68" s="9">
        <f t="shared" si="0"/>
        <v>22</v>
      </c>
      <c r="BE68" s="9">
        <v>42</v>
      </c>
      <c r="BF68" s="2">
        <f t="shared" si="1"/>
        <v>52.380952380952387</v>
      </c>
      <c r="BG68" s="20"/>
      <c r="BH68" s="9">
        <v>62</v>
      </c>
      <c r="BI68" s="26">
        <f>OVERALL!B65</f>
        <v>2301405</v>
      </c>
      <c r="BJ68" s="26" t="str">
        <f>OVERALL!C65</f>
        <v>VARINDER BHATOY</v>
      </c>
      <c r="BK68" s="9">
        <f t="shared" ref="BK68:BL68" si="67">BD68</f>
        <v>22</v>
      </c>
      <c r="BL68" s="9">
        <f t="shared" si="67"/>
        <v>42</v>
      </c>
      <c r="BM68" s="2">
        <f t="shared" si="3"/>
        <v>52.380952380952387</v>
      </c>
      <c r="BN68" s="9" t="str">
        <f t="shared" si="4"/>
        <v>0</v>
      </c>
      <c r="BO68" s="9">
        <v>4</v>
      </c>
      <c r="BP68" s="9">
        <v>4</v>
      </c>
      <c r="BQ68" s="2">
        <f t="shared" si="5"/>
        <v>7</v>
      </c>
      <c r="BR68" s="9"/>
      <c r="BS68" s="2">
        <f t="shared" si="6"/>
        <v>15</v>
      </c>
    </row>
    <row r="69" spans="1:71" ht="19.5" customHeight="1">
      <c r="A69" s="9">
        <v>63</v>
      </c>
      <c r="B69" s="2">
        <f>OVERALL!B66</f>
        <v>2301407</v>
      </c>
      <c r="C69" s="3" t="str">
        <f>OVERALL!C66</f>
        <v>YASHODHA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>
        <v>42</v>
      </c>
      <c r="BC69" s="9"/>
      <c r="BD69" s="9">
        <f t="shared" si="0"/>
        <v>42</v>
      </c>
      <c r="BE69" s="9">
        <v>42</v>
      </c>
      <c r="BF69" s="2">
        <f t="shared" si="1"/>
        <v>100</v>
      </c>
      <c r="BG69" s="20"/>
      <c r="BH69" s="9">
        <v>63</v>
      </c>
      <c r="BI69" s="26">
        <f>OVERALL!B66</f>
        <v>2301407</v>
      </c>
      <c r="BJ69" s="26" t="str">
        <f>OVERALL!C66</f>
        <v>YASHODHA</v>
      </c>
      <c r="BK69" s="9">
        <f t="shared" ref="BK69:BL69" si="68">BD69</f>
        <v>42</v>
      </c>
      <c r="BL69" s="9">
        <f t="shared" si="68"/>
        <v>42</v>
      </c>
      <c r="BM69" s="2">
        <f t="shared" si="3"/>
        <v>100</v>
      </c>
      <c r="BN69" s="9" t="str">
        <f t="shared" si="4"/>
        <v>6</v>
      </c>
      <c r="BO69" s="9">
        <v>6</v>
      </c>
      <c r="BP69" s="9">
        <v>6</v>
      </c>
      <c r="BQ69" s="2">
        <f t="shared" si="5"/>
        <v>7.2727272727272725</v>
      </c>
      <c r="BR69" s="9"/>
      <c r="BS69" s="2">
        <f t="shared" si="6"/>
        <v>25.272727272727273</v>
      </c>
    </row>
    <row r="70" spans="1:71" ht="19.5" customHeight="1">
      <c r="A70" s="9">
        <v>64</v>
      </c>
      <c r="B70" s="2">
        <f>OVERALL!B67</f>
        <v>2301408</v>
      </c>
      <c r="C70" s="3" t="str">
        <f>OVERALL!C67</f>
        <v>YOGESH SINGH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>
        <v>0</v>
      </c>
      <c r="BC70" s="9"/>
      <c r="BD70" s="9">
        <f t="shared" si="0"/>
        <v>0</v>
      </c>
      <c r="BE70" s="9">
        <v>42</v>
      </c>
      <c r="BF70" s="2">
        <f t="shared" si="1"/>
        <v>0</v>
      </c>
      <c r="BG70" s="20"/>
      <c r="BH70" s="9">
        <v>64</v>
      </c>
      <c r="BI70" s="26">
        <f>OVERALL!B67</f>
        <v>2301408</v>
      </c>
      <c r="BJ70" s="26" t="str">
        <f>OVERALL!C67</f>
        <v>YOGESH SINGH</v>
      </c>
      <c r="BK70" s="9">
        <f t="shared" ref="BK70:BL70" si="69">BD70</f>
        <v>0</v>
      </c>
      <c r="BL70" s="9">
        <f t="shared" si="69"/>
        <v>42</v>
      </c>
      <c r="BM70" s="2">
        <f t="shared" si="3"/>
        <v>0</v>
      </c>
      <c r="BN70" s="9" t="str">
        <f t="shared" si="4"/>
        <v>0</v>
      </c>
      <c r="BO70" s="9">
        <v>5</v>
      </c>
      <c r="BP70" s="9">
        <v>5</v>
      </c>
      <c r="BQ70" s="2">
        <f t="shared" si="5"/>
        <v>0</v>
      </c>
      <c r="BR70" s="9"/>
      <c r="BS70" s="2">
        <f t="shared" si="6"/>
        <v>10</v>
      </c>
    </row>
    <row r="71" spans="1:71" ht="19.5" customHeight="1">
      <c r="A71" s="9">
        <v>65</v>
      </c>
      <c r="B71" s="2">
        <f>OVERALL!B68</f>
        <v>2322658</v>
      </c>
      <c r="C71" s="3" t="str">
        <f>OVERALL!C68</f>
        <v>BHAWANI THAKUR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>
        <v>40</v>
      </c>
      <c r="BC71" s="9"/>
      <c r="BD71" s="9">
        <f t="shared" si="0"/>
        <v>40</v>
      </c>
      <c r="BE71" s="9">
        <v>42</v>
      </c>
      <c r="BF71" s="2">
        <f t="shared" si="1"/>
        <v>95.238095238095227</v>
      </c>
      <c r="BG71" s="20"/>
      <c r="BH71" s="11">
        <v>65</v>
      </c>
      <c r="BI71" s="29">
        <f>OVERALL!B68</f>
        <v>2322658</v>
      </c>
      <c r="BJ71" s="29" t="str">
        <f>OVERALL!C68</f>
        <v>BHAWANI THAKUR</v>
      </c>
      <c r="BK71" s="11">
        <f t="shared" ref="BK71:BL71" si="70">BD71</f>
        <v>40</v>
      </c>
      <c r="BL71" s="11">
        <f t="shared" si="70"/>
        <v>42</v>
      </c>
      <c r="BM71" s="13">
        <f t="shared" si="3"/>
        <v>95.238095238095227</v>
      </c>
      <c r="BN71" s="11" t="str">
        <f t="shared" si="4"/>
        <v>5</v>
      </c>
      <c r="BO71" s="11">
        <v>7</v>
      </c>
      <c r="BP71" s="11">
        <v>7</v>
      </c>
      <c r="BQ71" s="13">
        <f t="shared" si="5"/>
        <v>6.9090909090909092</v>
      </c>
      <c r="BR71" s="11"/>
      <c r="BS71" s="13">
        <f t="shared" si="6"/>
        <v>25.90909090909091</v>
      </c>
    </row>
    <row r="72" spans="1:71" ht="19.5" customHeight="1">
      <c r="A72" s="9">
        <v>66</v>
      </c>
      <c r="B72" s="2">
        <f>OVERALL!B69</f>
        <v>2322659</v>
      </c>
      <c r="C72" s="3" t="str">
        <f>OVERALL!C69</f>
        <v>HARGUN KAUR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>
        <v>32</v>
      </c>
      <c r="BC72" s="9">
        <v>7</v>
      </c>
      <c r="BD72" s="9">
        <f t="shared" si="0"/>
        <v>39</v>
      </c>
      <c r="BE72" s="9">
        <v>42</v>
      </c>
      <c r="BF72" s="2">
        <f t="shared" si="1"/>
        <v>92.857142857142861</v>
      </c>
      <c r="BG72" s="20"/>
      <c r="BH72" s="11">
        <v>66</v>
      </c>
      <c r="BI72" s="29">
        <f>OVERALL!B69</f>
        <v>2322659</v>
      </c>
      <c r="BJ72" s="29" t="str">
        <f>OVERALL!C69</f>
        <v>HARGUN KAUR</v>
      </c>
      <c r="BK72" s="11">
        <f t="shared" ref="BK72:BL72" si="71">BD72</f>
        <v>39</v>
      </c>
      <c r="BL72" s="11">
        <f t="shared" si="71"/>
        <v>42</v>
      </c>
      <c r="BM72" s="13">
        <f t="shared" si="3"/>
        <v>92.857142857142861</v>
      </c>
      <c r="BN72" s="11" t="str">
        <f t="shared" si="4"/>
        <v>5</v>
      </c>
      <c r="BO72" s="11">
        <v>7</v>
      </c>
      <c r="BP72" s="11">
        <v>7</v>
      </c>
      <c r="BQ72" s="13">
        <f t="shared" si="5"/>
        <v>7.9090909090909092</v>
      </c>
      <c r="BR72" s="11"/>
      <c r="BS72" s="13">
        <f t="shared" si="6"/>
        <v>26.90909090909091</v>
      </c>
    </row>
    <row r="73" spans="1:71" ht="19.5" customHeight="1">
      <c r="A73" s="9">
        <v>67</v>
      </c>
      <c r="B73" s="2">
        <f>OVERALL!B70</f>
        <v>2322665</v>
      </c>
      <c r="C73" s="3" t="str">
        <f>OVERALL!C70</f>
        <v>PAWAN KUMAR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>
        <v>28</v>
      </c>
      <c r="BC73" s="9">
        <v>4</v>
      </c>
      <c r="BD73" s="9">
        <f t="shared" si="0"/>
        <v>32</v>
      </c>
      <c r="BE73" s="9">
        <v>42</v>
      </c>
      <c r="BF73" s="2">
        <f t="shared" si="1"/>
        <v>76.19047619047619</v>
      </c>
      <c r="BG73" s="20"/>
      <c r="BH73" s="11">
        <v>67</v>
      </c>
      <c r="BI73" s="29">
        <f>OVERALL!B70</f>
        <v>2322665</v>
      </c>
      <c r="BJ73" s="29" t="str">
        <f>OVERALL!C70</f>
        <v>PAWAN KUMAR</v>
      </c>
      <c r="BK73" s="11">
        <f t="shared" ref="BK73:BL73" si="72">BD73</f>
        <v>32</v>
      </c>
      <c r="BL73" s="11">
        <f t="shared" si="72"/>
        <v>42</v>
      </c>
      <c r="BM73" s="13">
        <f t="shared" si="3"/>
        <v>76.19047619047619</v>
      </c>
      <c r="BN73" s="11" t="str">
        <f t="shared" si="4"/>
        <v>2</v>
      </c>
      <c r="BO73" s="11">
        <v>6</v>
      </c>
      <c r="BP73" s="11">
        <v>7</v>
      </c>
      <c r="BQ73" s="13">
        <f t="shared" si="5"/>
        <v>7.9090909090909092</v>
      </c>
      <c r="BR73" s="11"/>
      <c r="BS73" s="13">
        <f t="shared" si="6"/>
        <v>22.90909090909091</v>
      </c>
    </row>
    <row r="74" spans="1:71" ht="19.5" customHeight="1">
      <c r="A74" s="9">
        <v>68</v>
      </c>
      <c r="B74" s="2">
        <f>OVERALL!B71</f>
        <v>2322666</v>
      </c>
      <c r="C74" s="3" t="str">
        <f>OVERALL!C71</f>
        <v>PRINCE ABHISHEK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>
        <v>32</v>
      </c>
      <c r="BC74" s="9"/>
      <c r="BD74" s="9">
        <f t="shared" si="0"/>
        <v>32</v>
      </c>
      <c r="BE74" s="9">
        <v>42</v>
      </c>
      <c r="BF74" s="2">
        <f t="shared" si="1"/>
        <v>76.19047619047619</v>
      </c>
      <c r="BG74" s="20"/>
      <c r="BH74" s="11">
        <v>68</v>
      </c>
      <c r="BI74" s="29">
        <f>OVERALL!B71</f>
        <v>2322666</v>
      </c>
      <c r="BJ74" s="29" t="str">
        <f>OVERALL!C71</f>
        <v>PRINCE ABHISHEK</v>
      </c>
      <c r="BK74" s="11">
        <f t="shared" ref="BK74:BL74" si="73">BD74</f>
        <v>32</v>
      </c>
      <c r="BL74" s="11">
        <f t="shared" si="73"/>
        <v>42</v>
      </c>
      <c r="BM74" s="13">
        <f t="shared" si="3"/>
        <v>76.19047619047619</v>
      </c>
      <c r="BN74" s="11" t="str">
        <f t="shared" si="4"/>
        <v>2</v>
      </c>
      <c r="BO74" s="11">
        <v>6</v>
      </c>
      <c r="BP74" s="11">
        <v>6</v>
      </c>
      <c r="BQ74" s="13">
        <f t="shared" si="5"/>
        <v>6.3636363636363633</v>
      </c>
      <c r="BR74" s="11"/>
      <c r="BS74" s="13">
        <f t="shared" si="6"/>
        <v>20.363636363636363</v>
      </c>
    </row>
    <row r="75" spans="1:71" ht="19.5" customHeight="1">
      <c r="A75" s="9">
        <v>69</v>
      </c>
      <c r="B75" s="2">
        <f>OVERALL!B72</f>
        <v>2322670</v>
      </c>
      <c r="C75" s="3" t="str">
        <f>OVERALL!C72</f>
        <v>SUMIT MAHEY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>
        <v>18</v>
      </c>
      <c r="BC75" s="9"/>
      <c r="BD75" s="9">
        <f t="shared" si="0"/>
        <v>18</v>
      </c>
      <c r="BE75" s="9">
        <v>42</v>
      </c>
      <c r="BF75" s="2">
        <f t="shared" si="1"/>
        <v>42.857142857142854</v>
      </c>
      <c r="BG75" s="20"/>
      <c r="BH75" s="11">
        <v>69</v>
      </c>
      <c r="BI75" s="29">
        <f>OVERALL!B72</f>
        <v>2322670</v>
      </c>
      <c r="BJ75" s="29" t="str">
        <f>OVERALL!C72</f>
        <v>SUMIT MAHEY</v>
      </c>
      <c r="BK75" s="11">
        <f t="shared" ref="BK75:BL75" si="74">BD75</f>
        <v>18</v>
      </c>
      <c r="BL75" s="11">
        <f t="shared" si="74"/>
        <v>42</v>
      </c>
      <c r="BM75" s="13">
        <f t="shared" si="3"/>
        <v>42.857142857142854</v>
      </c>
      <c r="BN75" s="11" t="str">
        <f t="shared" si="4"/>
        <v>0</v>
      </c>
      <c r="BO75" s="11">
        <v>5</v>
      </c>
      <c r="BP75" s="11">
        <v>5</v>
      </c>
      <c r="BQ75" s="13">
        <f t="shared" si="5"/>
        <v>7.4545454545454541</v>
      </c>
      <c r="BR75" s="11"/>
      <c r="BS75" s="13">
        <f t="shared" si="6"/>
        <v>17.454545454545453</v>
      </c>
    </row>
    <row r="76" spans="1:71" ht="19.5" customHeight="1">
      <c r="A76" s="9">
        <v>70</v>
      </c>
      <c r="B76" s="2">
        <f>OVERALL!B73</f>
        <v>2322673</v>
      </c>
      <c r="C76" s="3" t="str">
        <f>OVERALL!C73</f>
        <v>USMAN ALI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>
        <v>30</v>
      </c>
      <c r="BC76" s="9"/>
      <c r="BD76" s="9">
        <f t="shared" si="0"/>
        <v>30</v>
      </c>
      <c r="BE76" s="9">
        <v>42</v>
      </c>
      <c r="BF76" s="2">
        <f t="shared" si="1"/>
        <v>71.428571428571431</v>
      </c>
      <c r="BG76" s="20"/>
      <c r="BH76" s="11">
        <v>70</v>
      </c>
      <c r="BI76" s="29">
        <f>OVERALL!B73</f>
        <v>2322673</v>
      </c>
      <c r="BJ76" s="29" t="str">
        <f>OVERALL!C73</f>
        <v>USMAN ALI</v>
      </c>
      <c r="BK76" s="11">
        <f t="shared" ref="BK76:BL76" si="75">BD76</f>
        <v>30</v>
      </c>
      <c r="BL76" s="11">
        <f t="shared" si="75"/>
        <v>42</v>
      </c>
      <c r="BM76" s="13">
        <f t="shared" si="3"/>
        <v>71.428571428571431</v>
      </c>
      <c r="BN76" s="11" t="str">
        <f t="shared" si="4"/>
        <v>0</v>
      </c>
      <c r="BO76" s="11">
        <v>5</v>
      </c>
      <c r="BP76" s="11">
        <v>5</v>
      </c>
      <c r="BQ76" s="13">
        <f t="shared" si="5"/>
        <v>7.5454545454545459</v>
      </c>
      <c r="BR76" s="11"/>
      <c r="BS76" s="13">
        <f t="shared" si="6"/>
        <v>17.545454545454547</v>
      </c>
    </row>
    <row r="77" spans="1:71" ht="14.25" customHeight="1">
      <c r="A77" s="4"/>
      <c r="B77" s="4"/>
      <c r="C77" s="82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4"/>
      <c r="BC77" s="4"/>
      <c r="BD77" s="4"/>
      <c r="BE77" s="4"/>
      <c r="BF77" s="83"/>
      <c r="BG77" s="20"/>
      <c r="BH77" s="4"/>
      <c r="BI77" s="84"/>
      <c r="BJ77" s="84"/>
      <c r="BK77" s="4"/>
      <c r="BL77" s="4"/>
      <c r="BM77" s="83"/>
      <c r="BN77" s="4"/>
      <c r="BO77" s="4"/>
      <c r="BP77" s="4"/>
      <c r="BQ77" s="83"/>
      <c r="BR77" s="4"/>
      <c r="BS77" s="83"/>
    </row>
    <row r="78" spans="1:71" ht="14.25" customHeight="1">
      <c r="A78" s="4"/>
      <c r="B78" s="4"/>
      <c r="C78" s="82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4"/>
      <c r="BC78" s="4"/>
      <c r="BD78" s="4"/>
      <c r="BE78" s="4"/>
      <c r="BF78" s="83"/>
      <c r="BG78" s="20"/>
      <c r="BH78" s="4"/>
      <c r="BI78" s="84"/>
      <c r="BJ78" s="84"/>
      <c r="BK78" s="4"/>
      <c r="BL78" s="4"/>
      <c r="BM78" s="83"/>
      <c r="BN78" s="4"/>
      <c r="BO78" s="4"/>
      <c r="BP78" s="4"/>
      <c r="BQ78" s="83"/>
      <c r="BR78" s="4"/>
      <c r="BS78" s="83"/>
    </row>
    <row r="79" spans="1:71" ht="36" customHeight="1">
      <c r="A79" s="119" t="s">
        <v>142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9"/>
      <c r="BB79" s="20"/>
      <c r="BC79" s="20"/>
      <c r="BD79" s="20"/>
      <c r="BE79" s="20"/>
      <c r="BF79" s="20"/>
      <c r="BG79" s="20"/>
      <c r="BH79" s="19"/>
      <c r="BI79" s="20"/>
      <c r="BJ79" s="20"/>
      <c r="BK79" s="19"/>
      <c r="BL79" s="19"/>
      <c r="BM79" s="19"/>
      <c r="BN79" s="19"/>
      <c r="BO79" s="19"/>
      <c r="BP79" s="19"/>
      <c r="BQ79" s="33"/>
      <c r="BR79" s="19"/>
      <c r="BS79" s="19"/>
    </row>
    <row r="80" spans="1:71" ht="14.25" customHeight="1">
      <c r="A80" s="85" t="s">
        <v>1</v>
      </c>
      <c r="B80" s="85" t="s">
        <v>2</v>
      </c>
      <c r="C80" s="86" t="s">
        <v>3</v>
      </c>
      <c r="D80" s="85">
        <v>1</v>
      </c>
      <c r="E80" s="85">
        <v>2</v>
      </c>
      <c r="F80" s="85">
        <v>3</v>
      </c>
      <c r="G80" s="85">
        <v>4</v>
      </c>
      <c r="H80" s="85">
        <v>5</v>
      </c>
      <c r="I80" s="85">
        <v>6</v>
      </c>
      <c r="J80" s="85">
        <v>7</v>
      </c>
      <c r="K80" s="85">
        <v>8</v>
      </c>
      <c r="L80" s="85">
        <v>9</v>
      </c>
      <c r="M80" s="85">
        <v>10</v>
      </c>
      <c r="N80" s="85">
        <v>11</v>
      </c>
      <c r="O80" s="85">
        <v>12</v>
      </c>
      <c r="P80" s="85">
        <v>13</v>
      </c>
      <c r="Q80" s="85">
        <v>14</v>
      </c>
      <c r="R80" s="85">
        <v>15</v>
      </c>
      <c r="S80" s="85">
        <v>16</v>
      </c>
      <c r="T80" s="85">
        <v>17</v>
      </c>
      <c r="U80" s="85">
        <v>18</v>
      </c>
      <c r="V80" s="85">
        <v>19</v>
      </c>
      <c r="W80" s="85">
        <v>20</v>
      </c>
      <c r="X80" s="85">
        <v>21</v>
      </c>
      <c r="Y80" s="85">
        <v>22</v>
      </c>
      <c r="Z80" s="85">
        <v>23</v>
      </c>
      <c r="AA80" s="85">
        <v>24</v>
      </c>
      <c r="AB80" s="85">
        <v>25</v>
      </c>
      <c r="AC80" s="85">
        <v>26</v>
      </c>
      <c r="AD80" s="85">
        <v>27</v>
      </c>
      <c r="AE80" s="85">
        <v>28</v>
      </c>
      <c r="AF80" s="85">
        <v>29</v>
      </c>
      <c r="AG80" s="85">
        <v>30</v>
      </c>
      <c r="AH80" s="85">
        <v>31</v>
      </c>
      <c r="AI80" s="85">
        <v>32</v>
      </c>
      <c r="AJ80" s="85">
        <v>33</v>
      </c>
      <c r="AK80" s="85">
        <v>34</v>
      </c>
      <c r="AL80" s="85">
        <v>35</v>
      </c>
      <c r="AM80" s="85">
        <v>36</v>
      </c>
      <c r="AN80" s="85">
        <v>37</v>
      </c>
      <c r="AO80" s="85">
        <v>38</v>
      </c>
      <c r="AP80" s="85">
        <v>39</v>
      </c>
      <c r="AQ80" s="85">
        <v>40</v>
      </c>
      <c r="AR80" s="85">
        <v>41</v>
      </c>
      <c r="AS80" s="85">
        <v>42</v>
      </c>
      <c r="AT80" s="85">
        <v>43</v>
      </c>
      <c r="AU80" s="85">
        <v>44</v>
      </c>
      <c r="AV80" s="85">
        <v>45</v>
      </c>
      <c r="AW80" s="85">
        <v>46</v>
      </c>
      <c r="AX80" s="85">
        <v>47</v>
      </c>
      <c r="AY80" s="85">
        <v>48</v>
      </c>
      <c r="AZ80" s="85">
        <v>49</v>
      </c>
      <c r="BA80" s="85">
        <v>50</v>
      </c>
      <c r="BB80" s="20"/>
      <c r="BC80" s="20"/>
      <c r="BD80" s="20"/>
      <c r="BE80" s="20"/>
      <c r="BF80" s="20"/>
      <c r="BG80" s="20"/>
      <c r="BH80" s="19"/>
      <c r="BI80" s="20"/>
      <c r="BJ80" s="20"/>
      <c r="BK80" s="19"/>
      <c r="BL80" s="19"/>
      <c r="BM80" s="19"/>
      <c r="BN80" s="19"/>
      <c r="BO80" s="19"/>
      <c r="BP80" s="19"/>
      <c r="BQ80" s="33"/>
      <c r="BR80" s="19"/>
      <c r="BS80" s="19"/>
    </row>
    <row r="81" spans="1:71" ht="14.25" customHeight="1">
      <c r="A81" s="9">
        <v>1</v>
      </c>
      <c r="B81" s="78">
        <f>OVERALL!B4</f>
        <v>2301249</v>
      </c>
      <c r="C81" s="79" t="str">
        <f>OVERALL!C4</f>
        <v>Rahul Sharma</v>
      </c>
      <c r="D81" s="80">
        <v>8</v>
      </c>
      <c r="E81" s="80">
        <v>8</v>
      </c>
      <c r="F81" s="80">
        <v>7</v>
      </c>
      <c r="G81" s="80">
        <v>7</v>
      </c>
      <c r="H81" s="80">
        <v>6</v>
      </c>
      <c r="I81" s="80">
        <v>7</v>
      </c>
      <c r="J81" s="80">
        <v>9</v>
      </c>
      <c r="K81" s="80">
        <v>7</v>
      </c>
      <c r="L81" s="80">
        <v>7</v>
      </c>
      <c r="M81" s="80">
        <v>6</v>
      </c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20"/>
      <c r="BC81" s="20"/>
      <c r="BD81" s="20"/>
      <c r="BE81" s="20"/>
      <c r="BF81" s="20"/>
      <c r="BG81" s="20"/>
      <c r="BH81" s="19"/>
      <c r="BI81" s="20"/>
      <c r="BJ81" s="20"/>
      <c r="BK81" s="19"/>
      <c r="BL81" s="19"/>
      <c r="BM81" s="19"/>
      <c r="BN81" s="19"/>
      <c r="BO81" s="19"/>
      <c r="BP81" s="19"/>
      <c r="BQ81" s="33"/>
      <c r="BR81" s="19"/>
      <c r="BS81" s="19"/>
    </row>
    <row r="82" spans="1:71" ht="14.25" customHeight="1">
      <c r="A82" s="9">
        <v>2</v>
      </c>
      <c r="B82" s="78">
        <f>OVERALL!B5</f>
        <v>2301251</v>
      </c>
      <c r="C82" s="79" t="str">
        <f>OVERALL!C5</f>
        <v>Raj Kumar</v>
      </c>
      <c r="D82" s="80">
        <v>9</v>
      </c>
      <c r="E82" s="80">
        <v>8</v>
      </c>
      <c r="F82" s="80">
        <v>7</v>
      </c>
      <c r="G82" s="80">
        <v>6</v>
      </c>
      <c r="H82" s="80">
        <v>7</v>
      </c>
      <c r="I82" s="80">
        <v>8</v>
      </c>
      <c r="J82" s="80">
        <v>8</v>
      </c>
      <c r="K82" s="80">
        <v>7</v>
      </c>
      <c r="L82" s="80">
        <v>6</v>
      </c>
      <c r="M82" s="80">
        <v>7</v>
      </c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20"/>
      <c r="BC82" s="20"/>
      <c r="BD82" s="20"/>
      <c r="BE82" s="20"/>
      <c r="BF82" s="20"/>
      <c r="BG82" s="20"/>
      <c r="BH82" s="19"/>
      <c r="BI82" s="20"/>
      <c r="BJ82" s="20"/>
      <c r="BK82" s="19"/>
      <c r="BL82" s="19"/>
      <c r="BM82" s="19"/>
      <c r="BN82" s="19"/>
      <c r="BO82" s="19"/>
      <c r="BP82" s="19"/>
      <c r="BQ82" s="33"/>
      <c r="BR82" s="19"/>
      <c r="BS82" s="19"/>
    </row>
    <row r="83" spans="1:71" ht="14.25" customHeight="1">
      <c r="A83" s="9">
        <v>3</v>
      </c>
      <c r="B83" s="78">
        <f>OVERALL!B6</f>
        <v>2301252</v>
      </c>
      <c r="C83" s="79" t="str">
        <f>OVERALL!C6</f>
        <v>Rajan Sharma</v>
      </c>
      <c r="D83" s="80">
        <v>7</v>
      </c>
      <c r="E83" s="80">
        <v>8</v>
      </c>
      <c r="F83" s="80">
        <v>7</v>
      </c>
      <c r="G83" s="80">
        <v>6</v>
      </c>
      <c r="H83" s="80">
        <v>8</v>
      </c>
      <c r="I83" s="80">
        <v>9</v>
      </c>
      <c r="J83" s="80">
        <v>7</v>
      </c>
      <c r="K83" s="80">
        <v>8</v>
      </c>
      <c r="L83" s="80">
        <v>6</v>
      </c>
      <c r="M83" s="80">
        <v>6</v>
      </c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20"/>
      <c r="BC83" s="20"/>
      <c r="BD83" s="20"/>
      <c r="BE83" s="20"/>
      <c r="BF83" s="20"/>
      <c r="BG83" s="20"/>
      <c r="BH83" s="19"/>
      <c r="BI83" s="20"/>
      <c r="BJ83" s="20"/>
      <c r="BK83" s="19"/>
      <c r="BL83" s="19"/>
      <c r="BM83" s="19"/>
      <c r="BN83" s="19"/>
      <c r="BO83" s="19"/>
      <c r="BP83" s="19"/>
      <c r="BQ83" s="33"/>
      <c r="BR83" s="19"/>
      <c r="BS83" s="19"/>
    </row>
    <row r="84" spans="1:71" ht="14.25" customHeight="1">
      <c r="A84" s="9">
        <v>4</v>
      </c>
      <c r="B84" s="78">
        <f>OVERALL!B7</f>
        <v>2301253</v>
      </c>
      <c r="C84" s="79" t="str">
        <f>OVERALL!C7</f>
        <v>Rajwinder Kaur</v>
      </c>
      <c r="D84" s="80">
        <v>8</v>
      </c>
      <c r="E84" s="80">
        <v>7</v>
      </c>
      <c r="F84" s="80">
        <v>8</v>
      </c>
      <c r="G84" s="80">
        <v>7</v>
      </c>
      <c r="H84" s="80">
        <v>7</v>
      </c>
      <c r="I84" s="80">
        <v>7</v>
      </c>
      <c r="J84" s="80">
        <v>8</v>
      </c>
      <c r="K84" s="80">
        <v>7</v>
      </c>
      <c r="L84" s="80">
        <v>8</v>
      </c>
      <c r="M84" s="80">
        <v>8</v>
      </c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20"/>
      <c r="BC84" s="20"/>
      <c r="BD84" s="20"/>
      <c r="BE84" s="20"/>
      <c r="BF84" s="20"/>
      <c r="BG84" s="20"/>
      <c r="BH84" s="19"/>
      <c r="BI84" s="20"/>
      <c r="BJ84" s="20"/>
      <c r="BK84" s="19"/>
      <c r="BL84" s="19"/>
      <c r="BM84" s="19"/>
      <c r="BN84" s="19"/>
      <c r="BO84" s="19"/>
      <c r="BP84" s="19"/>
      <c r="BQ84" s="33"/>
      <c r="BR84" s="19"/>
      <c r="BS84" s="19"/>
    </row>
    <row r="85" spans="1:71" ht="14.25" customHeight="1">
      <c r="A85" s="9">
        <v>5</v>
      </c>
      <c r="B85" s="78">
        <f>OVERALL!B8</f>
        <v>2301255</v>
      </c>
      <c r="C85" s="79" t="str">
        <f>OVERALL!C8</f>
        <v>Ravi Bhushan Kumar</v>
      </c>
      <c r="D85" s="80">
        <v>9</v>
      </c>
      <c r="E85" s="80">
        <v>8</v>
      </c>
      <c r="F85" s="80">
        <v>9</v>
      </c>
      <c r="G85" s="80">
        <v>9</v>
      </c>
      <c r="H85" s="80">
        <v>9</v>
      </c>
      <c r="I85" s="80">
        <v>8</v>
      </c>
      <c r="J85" s="80">
        <v>9</v>
      </c>
      <c r="K85" s="80">
        <v>8</v>
      </c>
      <c r="L85" s="80">
        <v>9</v>
      </c>
      <c r="M85" s="80">
        <v>9</v>
      </c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20"/>
      <c r="BC85" s="20"/>
      <c r="BD85" s="20"/>
      <c r="BE85" s="20"/>
      <c r="BF85" s="20"/>
      <c r="BG85" s="20"/>
      <c r="BH85" s="19"/>
      <c r="BI85" s="20"/>
      <c r="BJ85" s="20"/>
      <c r="BK85" s="19"/>
      <c r="BL85" s="19"/>
      <c r="BM85" s="19"/>
      <c r="BN85" s="19"/>
      <c r="BO85" s="19"/>
      <c r="BP85" s="19"/>
      <c r="BQ85" s="33"/>
      <c r="BR85" s="19"/>
      <c r="BS85" s="19"/>
    </row>
    <row r="86" spans="1:71" ht="14.25" customHeight="1">
      <c r="A86" s="9">
        <v>6</v>
      </c>
      <c r="B86" s="78">
        <f>OVERALL!B9</f>
        <v>2301256</v>
      </c>
      <c r="C86" s="79" t="str">
        <f>OVERALL!C9</f>
        <v>Reshma</v>
      </c>
      <c r="D86" s="80">
        <v>7</v>
      </c>
      <c r="E86" s="80">
        <v>8</v>
      </c>
      <c r="F86" s="80">
        <v>8</v>
      </c>
      <c r="G86" s="80">
        <v>7</v>
      </c>
      <c r="H86" s="80">
        <v>8</v>
      </c>
      <c r="I86" s="80">
        <v>9</v>
      </c>
      <c r="J86" s="80">
        <v>8</v>
      </c>
      <c r="K86" s="80">
        <v>9</v>
      </c>
      <c r="L86" s="80">
        <v>8</v>
      </c>
      <c r="M86" s="80">
        <v>7</v>
      </c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20"/>
      <c r="BC86" s="20"/>
      <c r="BD86" s="20"/>
      <c r="BE86" s="20"/>
      <c r="BF86" s="20"/>
      <c r="BG86" s="20"/>
      <c r="BH86" s="19"/>
      <c r="BI86" s="20"/>
      <c r="BJ86" s="20"/>
      <c r="BK86" s="19"/>
      <c r="BL86" s="19"/>
      <c r="BM86" s="19"/>
      <c r="BN86" s="19"/>
      <c r="BO86" s="19"/>
      <c r="BP86" s="19"/>
      <c r="BQ86" s="33"/>
      <c r="BR86" s="19"/>
      <c r="BS86" s="19"/>
    </row>
    <row r="87" spans="1:71" ht="14.25" customHeight="1">
      <c r="A87" s="9">
        <v>7</v>
      </c>
      <c r="B87" s="78">
        <f>OVERALL!B10</f>
        <v>2301257</v>
      </c>
      <c r="C87" s="79" t="str">
        <f>OVERALL!C10</f>
        <v>Ritesh Kumar Choudhary</v>
      </c>
      <c r="D87" s="80">
        <v>7</v>
      </c>
      <c r="E87" s="80">
        <v>0</v>
      </c>
      <c r="F87" s="80">
        <v>7</v>
      </c>
      <c r="G87" s="80">
        <v>6</v>
      </c>
      <c r="H87" s="80">
        <v>6</v>
      </c>
      <c r="I87" s="80">
        <v>7</v>
      </c>
      <c r="J87" s="80">
        <v>8</v>
      </c>
      <c r="K87" s="80">
        <v>8</v>
      </c>
      <c r="L87" s="80">
        <v>7</v>
      </c>
      <c r="M87" s="80">
        <v>7</v>
      </c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20"/>
      <c r="BC87" s="20"/>
      <c r="BD87" s="20"/>
      <c r="BE87" s="20"/>
      <c r="BF87" s="20"/>
      <c r="BG87" s="20"/>
      <c r="BH87" s="19"/>
      <c r="BI87" s="20"/>
      <c r="BJ87" s="20"/>
      <c r="BK87" s="19"/>
      <c r="BL87" s="19"/>
      <c r="BM87" s="19"/>
      <c r="BN87" s="19"/>
      <c r="BO87" s="19"/>
      <c r="BP87" s="19"/>
      <c r="BQ87" s="33"/>
      <c r="BR87" s="19"/>
      <c r="BS87" s="19"/>
    </row>
    <row r="88" spans="1:71" ht="14.25" customHeight="1">
      <c r="A88" s="9">
        <v>8</v>
      </c>
      <c r="B88" s="78">
        <f>OVERALL!B11</f>
        <v>2301258</v>
      </c>
      <c r="C88" s="79" t="str">
        <f>OVERALL!C11</f>
        <v>Ritesh Thakur</v>
      </c>
      <c r="D88" s="80">
        <v>6</v>
      </c>
      <c r="E88" s="80">
        <v>0</v>
      </c>
      <c r="F88" s="80">
        <v>7</v>
      </c>
      <c r="G88" s="80">
        <v>7</v>
      </c>
      <c r="H88" s="80">
        <v>0</v>
      </c>
      <c r="I88" s="80">
        <v>0</v>
      </c>
      <c r="J88" s="80">
        <v>0</v>
      </c>
      <c r="K88" s="80">
        <v>7</v>
      </c>
      <c r="L88" s="80">
        <v>0</v>
      </c>
      <c r="M88" s="80">
        <v>7</v>
      </c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20"/>
      <c r="BC88" s="20"/>
      <c r="BD88" s="20"/>
      <c r="BE88" s="20"/>
      <c r="BF88" s="20"/>
      <c r="BG88" s="20"/>
      <c r="BH88" s="19"/>
      <c r="BI88" s="20"/>
      <c r="BJ88" s="20"/>
      <c r="BK88" s="19"/>
      <c r="BL88" s="19"/>
      <c r="BM88" s="19"/>
      <c r="BN88" s="19"/>
      <c r="BO88" s="19"/>
      <c r="BP88" s="19"/>
      <c r="BQ88" s="33"/>
      <c r="BR88" s="19"/>
      <c r="BS88" s="19"/>
    </row>
    <row r="89" spans="1:71" ht="14.25" customHeight="1">
      <c r="A89" s="9">
        <v>9</v>
      </c>
      <c r="B89" s="78">
        <f>OVERALL!B12</f>
        <v>2301259</v>
      </c>
      <c r="C89" s="79" t="str">
        <f>OVERALL!C12</f>
        <v>Riya Thakur</v>
      </c>
      <c r="D89" s="80">
        <v>7</v>
      </c>
      <c r="E89" s="80">
        <v>8</v>
      </c>
      <c r="F89" s="80">
        <v>7</v>
      </c>
      <c r="G89" s="80">
        <v>7</v>
      </c>
      <c r="H89" s="80">
        <v>6</v>
      </c>
      <c r="I89" s="80">
        <v>7</v>
      </c>
      <c r="J89" s="80">
        <v>8</v>
      </c>
      <c r="K89" s="80">
        <v>8</v>
      </c>
      <c r="L89" s="80">
        <v>7</v>
      </c>
      <c r="M89" s="80">
        <v>6</v>
      </c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20"/>
      <c r="BC89" s="20"/>
      <c r="BD89" s="20"/>
      <c r="BE89" s="20"/>
      <c r="BF89" s="20"/>
      <c r="BG89" s="20"/>
      <c r="BH89" s="19"/>
      <c r="BI89" s="20"/>
      <c r="BJ89" s="20"/>
      <c r="BK89" s="19"/>
      <c r="BL89" s="19"/>
      <c r="BM89" s="19"/>
      <c r="BN89" s="19"/>
      <c r="BO89" s="19"/>
      <c r="BP89" s="19"/>
      <c r="BQ89" s="33"/>
      <c r="BR89" s="19"/>
      <c r="BS89" s="19"/>
    </row>
    <row r="90" spans="1:71" ht="14.25" customHeight="1">
      <c r="A90" s="9">
        <v>10</v>
      </c>
      <c r="B90" s="78">
        <f>OVERALL!B13</f>
        <v>2301260</v>
      </c>
      <c r="C90" s="79" t="str">
        <f>OVERALL!C13</f>
        <v>Rounit Dhiman</v>
      </c>
      <c r="D90" s="80">
        <v>8</v>
      </c>
      <c r="E90" s="80">
        <v>9</v>
      </c>
      <c r="F90" s="80">
        <v>7</v>
      </c>
      <c r="G90" s="80">
        <v>8</v>
      </c>
      <c r="H90" s="80">
        <v>7</v>
      </c>
      <c r="I90" s="80">
        <v>6</v>
      </c>
      <c r="J90" s="80">
        <v>7</v>
      </c>
      <c r="K90" s="80">
        <v>9</v>
      </c>
      <c r="L90" s="80">
        <v>7</v>
      </c>
      <c r="M90" s="80">
        <v>7</v>
      </c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20"/>
      <c r="BC90" s="20"/>
      <c r="BD90" s="20"/>
      <c r="BE90" s="20"/>
      <c r="BF90" s="20"/>
      <c r="BG90" s="20"/>
      <c r="BH90" s="19"/>
      <c r="BI90" s="20"/>
      <c r="BJ90" s="20"/>
      <c r="BK90" s="19"/>
      <c r="BL90" s="19"/>
      <c r="BM90" s="19"/>
      <c r="BN90" s="19"/>
      <c r="BO90" s="19"/>
      <c r="BP90" s="19"/>
      <c r="BQ90" s="33"/>
      <c r="BR90" s="19"/>
      <c r="BS90" s="19"/>
    </row>
    <row r="91" spans="1:71" ht="14.25" customHeight="1">
      <c r="A91" s="9">
        <v>11</v>
      </c>
      <c r="B91" s="78">
        <f>OVERALL!B14</f>
        <v>2301261</v>
      </c>
      <c r="C91" s="79" t="str">
        <f>OVERALL!C14</f>
        <v>Rubby Kumari</v>
      </c>
      <c r="D91" s="80">
        <v>8</v>
      </c>
      <c r="E91" s="80">
        <v>7</v>
      </c>
      <c r="F91" s="80">
        <v>6</v>
      </c>
      <c r="G91" s="80">
        <v>7</v>
      </c>
      <c r="H91" s="80">
        <v>8</v>
      </c>
      <c r="I91" s="80">
        <v>8</v>
      </c>
      <c r="J91" s="80">
        <v>6</v>
      </c>
      <c r="K91" s="80">
        <v>7</v>
      </c>
      <c r="L91" s="80">
        <v>7</v>
      </c>
      <c r="M91" s="80">
        <v>0</v>
      </c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20"/>
      <c r="BC91" s="20"/>
      <c r="BD91" s="20"/>
      <c r="BE91" s="20"/>
      <c r="BF91" s="20"/>
      <c r="BG91" s="20"/>
      <c r="BH91" s="19"/>
      <c r="BI91" s="20"/>
      <c r="BJ91" s="20"/>
      <c r="BK91" s="19"/>
      <c r="BL91" s="19"/>
      <c r="BM91" s="19"/>
      <c r="BN91" s="19"/>
      <c r="BO91" s="19"/>
      <c r="BP91" s="19"/>
      <c r="BQ91" s="33"/>
      <c r="BR91" s="19"/>
      <c r="BS91" s="19"/>
    </row>
    <row r="92" spans="1:71" ht="14.25" customHeight="1">
      <c r="A92" s="9">
        <v>12</v>
      </c>
      <c r="B92" s="78">
        <f>OVERALL!B15</f>
        <v>2301262</v>
      </c>
      <c r="C92" s="79" t="str">
        <f>OVERALL!C15</f>
        <v>Sakshi Devi</v>
      </c>
      <c r="D92" s="80">
        <v>9</v>
      </c>
      <c r="E92" s="80">
        <v>8</v>
      </c>
      <c r="F92" s="80">
        <v>8</v>
      </c>
      <c r="G92" s="80">
        <v>7</v>
      </c>
      <c r="H92" s="80">
        <v>8</v>
      </c>
      <c r="I92" s="80">
        <v>8</v>
      </c>
      <c r="J92" s="80">
        <v>7</v>
      </c>
      <c r="K92" s="80">
        <v>9</v>
      </c>
      <c r="L92" s="80">
        <v>6</v>
      </c>
      <c r="M92" s="80">
        <v>8</v>
      </c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20"/>
      <c r="BC92" s="20"/>
      <c r="BD92" s="20"/>
      <c r="BE92" s="20"/>
      <c r="BF92" s="20"/>
      <c r="BG92" s="20"/>
      <c r="BH92" s="19"/>
      <c r="BI92" s="20"/>
      <c r="BJ92" s="20"/>
      <c r="BK92" s="19"/>
      <c r="BL92" s="19"/>
      <c r="BM92" s="19"/>
      <c r="BN92" s="19"/>
      <c r="BO92" s="19"/>
      <c r="BP92" s="19"/>
      <c r="BQ92" s="33"/>
      <c r="BR92" s="19"/>
      <c r="BS92" s="19"/>
    </row>
    <row r="93" spans="1:71" ht="14.25" customHeight="1">
      <c r="A93" s="9">
        <v>13</v>
      </c>
      <c r="B93" s="78">
        <f>OVERALL!B16</f>
        <v>2301263</v>
      </c>
      <c r="C93" s="79" t="str">
        <f>OVERALL!C16</f>
        <v>Sanchi Sharma</v>
      </c>
      <c r="D93" s="80">
        <v>8</v>
      </c>
      <c r="E93" s="80">
        <v>7</v>
      </c>
      <c r="F93" s="80">
        <v>8</v>
      </c>
      <c r="G93" s="80">
        <v>8</v>
      </c>
      <c r="H93" s="80">
        <v>8</v>
      </c>
      <c r="I93" s="80">
        <v>9</v>
      </c>
      <c r="J93" s="80">
        <v>8</v>
      </c>
      <c r="K93" s="80">
        <v>8</v>
      </c>
      <c r="L93" s="80">
        <v>7</v>
      </c>
      <c r="M93" s="80">
        <v>8</v>
      </c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20"/>
      <c r="BC93" s="20"/>
      <c r="BD93" s="20"/>
      <c r="BE93" s="20"/>
      <c r="BF93" s="20"/>
      <c r="BG93" s="20"/>
      <c r="BH93" s="19"/>
      <c r="BI93" s="20"/>
      <c r="BJ93" s="20"/>
      <c r="BK93" s="19"/>
      <c r="BL93" s="19"/>
      <c r="BM93" s="19"/>
      <c r="BN93" s="19"/>
      <c r="BO93" s="19"/>
      <c r="BP93" s="19"/>
      <c r="BQ93" s="33"/>
      <c r="BR93" s="19"/>
      <c r="BS93" s="19"/>
    </row>
    <row r="94" spans="1:71" ht="14.25" customHeight="1">
      <c r="A94" s="9">
        <v>14</v>
      </c>
      <c r="B94" s="78">
        <f>OVERALL!B17</f>
        <v>2301264</v>
      </c>
      <c r="C94" s="79" t="str">
        <f>OVERALL!C17</f>
        <v>Sarbjit Singh</v>
      </c>
      <c r="D94" s="80">
        <v>6</v>
      </c>
      <c r="E94" s="80">
        <v>0</v>
      </c>
      <c r="F94" s="80">
        <v>7</v>
      </c>
      <c r="G94" s="80">
        <v>6</v>
      </c>
      <c r="H94" s="80">
        <v>7</v>
      </c>
      <c r="I94" s="80">
        <v>8</v>
      </c>
      <c r="J94" s="80">
        <v>8</v>
      </c>
      <c r="K94" s="80">
        <v>7</v>
      </c>
      <c r="L94" s="80">
        <v>7</v>
      </c>
      <c r="M94" s="80">
        <v>6</v>
      </c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20"/>
      <c r="BC94" s="20"/>
      <c r="BD94" s="20"/>
      <c r="BE94" s="20"/>
      <c r="BF94" s="20"/>
      <c r="BG94" s="20"/>
      <c r="BH94" s="19"/>
      <c r="BI94" s="20"/>
      <c r="BJ94" s="20"/>
      <c r="BK94" s="19"/>
      <c r="BL94" s="19"/>
      <c r="BM94" s="19"/>
      <c r="BN94" s="19"/>
      <c r="BO94" s="19"/>
      <c r="BP94" s="19"/>
      <c r="BQ94" s="33"/>
      <c r="BR94" s="19"/>
      <c r="BS94" s="19"/>
    </row>
    <row r="95" spans="1:71" ht="14.25" customHeight="1">
      <c r="A95" s="9">
        <v>15</v>
      </c>
      <c r="B95" s="78">
        <f>OVERALL!B18</f>
        <v>2301265</v>
      </c>
      <c r="C95" s="79" t="str">
        <f>OVERALL!C18</f>
        <v>Sarif Mayangmayum</v>
      </c>
      <c r="D95" s="80">
        <v>8</v>
      </c>
      <c r="E95" s="80">
        <v>7</v>
      </c>
      <c r="F95" s="80">
        <v>8</v>
      </c>
      <c r="G95" s="80">
        <v>8</v>
      </c>
      <c r="H95" s="80">
        <v>8</v>
      </c>
      <c r="I95" s="80">
        <v>7</v>
      </c>
      <c r="J95" s="80">
        <v>7</v>
      </c>
      <c r="K95" s="80">
        <v>8</v>
      </c>
      <c r="L95" s="80">
        <v>7</v>
      </c>
      <c r="M95" s="80">
        <v>6</v>
      </c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20"/>
      <c r="BC95" s="20"/>
      <c r="BD95" s="20"/>
      <c r="BE95" s="20"/>
      <c r="BF95" s="20"/>
      <c r="BG95" s="20"/>
      <c r="BH95" s="19"/>
      <c r="BI95" s="20"/>
      <c r="BJ95" s="20"/>
      <c r="BK95" s="19"/>
      <c r="BL95" s="19"/>
      <c r="BM95" s="19"/>
      <c r="BN95" s="19"/>
      <c r="BO95" s="19"/>
      <c r="BP95" s="19"/>
      <c r="BQ95" s="33"/>
      <c r="BR95" s="19"/>
      <c r="BS95" s="19"/>
    </row>
    <row r="96" spans="1:71" ht="14.25" customHeight="1">
      <c r="A96" s="9">
        <v>16</v>
      </c>
      <c r="B96" s="78">
        <f>OVERALL!B19</f>
        <v>2301267</v>
      </c>
      <c r="C96" s="79" t="str">
        <f>OVERALL!C19</f>
        <v>Shivam Kumar Chaubey</v>
      </c>
      <c r="D96" s="80">
        <v>8</v>
      </c>
      <c r="E96" s="80">
        <v>8</v>
      </c>
      <c r="F96" s="80">
        <v>7</v>
      </c>
      <c r="G96" s="80">
        <v>8</v>
      </c>
      <c r="H96" s="80">
        <v>7</v>
      </c>
      <c r="I96" s="80">
        <v>8</v>
      </c>
      <c r="J96" s="80">
        <v>8</v>
      </c>
      <c r="K96" s="80">
        <v>9</v>
      </c>
      <c r="L96" s="80">
        <v>8</v>
      </c>
      <c r="M96" s="80">
        <v>7</v>
      </c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20"/>
      <c r="BC96" s="20"/>
      <c r="BD96" s="20"/>
      <c r="BE96" s="20"/>
      <c r="BF96" s="20"/>
      <c r="BG96" s="20"/>
      <c r="BH96" s="19"/>
      <c r="BI96" s="20"/>
      <c r="BJ96" s="20"/>
      <c r="BK96" s="19"/>
      <c r="BL96" s="19"/>
      <c r="BM96" s="19"/>
      <c r="BN96" s="19"/>
      <c r="BO96" s="19"/>
      <c r="BP96" s="19"/>
      <c r="BQ96" s="33"/>
      <c r="BR96" s="19"/>
      <c r="BS96" s="19"/>
    </row>
    <row r="97" spans="1:71" ht="14.25" customHeight="1">
      <c r="A97" s="9">
        <v>17</v>
      </c>
      <c r="B97" s="78">
        <f>OVERALL!B20</f>
        <v>2301268</v>
      </c>
      <c r="C97" s="79" t="str">
        <f>OVERALL!C20</f>
        <v>Simba Godfrey</v>
      </c>
      <c r="D97" s="80">
        <v>8</v>
      </c>
      <c r="E97" s="80">
        <v>7</v>
      </c>
      <c r="F97" s="80">
        <v>8</v>
      </c>
      <c r="G97" s="80">
        <v>9</v>
      </c>
      <c r="H97" s="80">
        <v>8</v>
      </c>
      <c r="I97" s="80">
        <v>9</v>
      </c>
      <c r="J97" s="80">
        <v>8</v>
      </c>
      <c r="K97" s="80">
        <v>8</v>
      </c>
      <c r="L97" s="80">
        <v>8</v>
      </c>
      <c r="M97" s="80">
        <v>7</v>
      </c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20"/>
      <c r="BC97" s="20"/>
      <c r="BD97" s="20"/>
      <c r="BE97" s="20"/>
      <c r="BF97" s="20"/>
      <c r="BG97" s="20"/>
      <c r="BH97" s="19"/>
      <c r="BI97" s="20"/>
      <c r="BJ97" s="20"/>
      <c r="BK97" s="19"/>
      <c r="BL97" s="19"/>
      <c r="BM97" s="19"/>
      <c r="BN97" s="19"/>
      <c r="BO97" s="19"/>
      <c r="BP97" s="19"/>
      <c r="BQ97" s="33"/>
      <c r="BR97" s="19"/>
      <c r="BS97" s="19"/>
    </row>
    <row r="98" spans="1:71" ht="14.25" customHeight="1">
      <c r="A98" s="9">
        <v>18</v>
      </c>
      <c r="B98" s="78">
        <f>OVERALL!B21</f>
        <v>2301269</v>
      </c>
      <c r="C98" s="79" t="str">
        <f>OVERALL!C21</f>
        <v>Simran Kaur</v>
      </c>
      <c r="D98" s="80">
        <v>7</v>
      </c>
      <c r="E98" s="80">
        <v>8</v>
      </c>
      <c r="F98" s="80">
        <v>7</v>
      </c>
      <c r="G98" s="80">
        <v>8</v>
      </c>
      <c r="H98" s="80">
        <v>7</v>
      </c>
      <c r="I98" s="80">
        <v>7</v>
      </c>
      <c r="J98" s="80">
        <v>8</v>
      </c>
      <c r="K98" s="80">
        <v>7</v>
      </c>
      <c r="L98" s="80">
        <v>8</v>
      </c>
      <c r="M98" s="80">
        <v>7</v>
      </c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20"/>
      <c r="BC98" s="20"/>
      <c r="BD98" s="20"/>
      <c r="BE98" s="20"/>
      <c r="BF98" s="20"/>
      <c r="BG98" s="20"/>
      <c r="BH98" s="19"/>
      <c r="BI98" s="20"/>
      <c r="BJ98" s="20"/>
      <c r="BK98" s="19"/>
      <c r="BL98" s="19"/>
      <c r="BM98" s="19"/>
      <c r="BN98" s="19"/>
      <c r="BO98" s="19"/>
      <c r="BP98" s="19"/>
      <c r="BQ98" s="33"/>
      <c r="BR98" s="19"/>
      <c r="BS98" s="19"/>
    </row>
    <row r="99" spans="1:71" ht="14.25" customHeight="1">
      <c r="A99" s="9">
        <v>19</v>
      </c>
      <c r="B99" s="78">
        <f>OVERALL!B22</f>
        <v>2301270</v>
      </c>
      <c r="C99" s="79" t="str">
        <f>OVERALL!C22</f>
        <v>Simranjit Singh</v>
      </c>
      <c r="D99" s="80">
        <v>8</v>
      </c>
      <c r="E99" s="80">
        <v>8</v>
      </c>
      <c r="F99" s="80">
        <v>7</v>
      </c>
      <c r="G99" s="80">
        <v>7</v>
      </c>
      <c r="H99" s="80">
        <v>6</v>
      </c>
      <c r="I99" s="80">
        <v>7</v>
      </c>
      <c r="J99" s="80">
        <v>9</v>
      </c>
      <c r="K99" s="80">
        <v>7</v>
      </c>
      <c r="L99" s="80">
        <v>7</v>
      </c>
      <c r="M99" s="80">
        <v>6</v>
      </c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20"/>
      <c r="BC99" s="20"/>
      <c r="BD99" s="20"/>
      <c r="BE99" s="20"/>
      <c r="BF99" s="20"/>
      <c r="BG99" s="20"/>
      <c r="BH99" s="19"/>
      <c r="BI99" s="20"/>
      <c r="BJ99" s="20"/>
      <c r="BK99" s="19"/>
      <c r="BL99" s="19"/>
      <c r="BM99" s="19"/>
      <c r="BN99" s="19"/>
      <c r="BO99" s="19"/>
      <c r="BP99" s="19"/>
      <c r="BQ99" s="33"/>
      <c r="BR99" s="19"/>
      <c r="BS99" s="19"/>
    </row>
    <row r="100" spans="1:71" ht="14.25" customHeight="1">
      <c r="A100" s="9">
        <v>20</v>
      </c>
      <c r="B100" s="78">
        <f>OVERALL!B23</f>
        <v>2301271</v>
      </c>
      <c r="C100" s="79" t="str">
        <f>OVERALL!C23</f>
        <v>Sudip Sunar</v>
      </c>
      <c r="D100" s="80">
        <v>9</v>
      </c>
      <c r="E100" s="80">
        <v>8</v>
      </c>
      <c r="F100" s="80">
        <v>7</v>
      </c>
      <c r="G100" s="80">
        <v>6</v>
      </c>
      <c r="H100" s="80">
        <v>7</v>
      </c>
      <c r="I100" s="80">
        <v>8</v>
      </c>
      <c r="J100" s="80">
        <v>8</v>
      </c>
      <c r="K100" s="80">
        <v>7</v>
      </c>
      <c r="L100" s="80">
        <v>6</v>
      </c>
      <c r="M100" s="80">
        <v>7</v>
      </c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20"/>
      <c r="BC100" s="20"/>
      <c r="BD100" s="20"/>
      <c r="BE100" s="20"/>
      <c r="BF100" s="20"/>
      <c r="BG100" s="20"/>
      <c r="BH100" s="19"/>
      <c r="BI100" s="20"/>
      <c r="BJ100" s="20"/>
      <c r="BK100" s="19"/>
      <c r="BL100" s="19"/>
      <c r="BM100" s="19"/>
      <c r="BN100" s="19"/>
      <c r="BO100" s="19"/>
      <c r="BP100" s="19"/>
      <c r="BQ100" s="33"/>
      <c r="BR100" s="19"/>
      <c r="BS100" s="19"/>
    </row>
    <row r="101" spans="1:71" ht="14.25" customHeight="1">
      <c r="A101" s="9">
        <v>21</v>
      </c>
      <c r="B101" s="78">
        <f>OVERALL!B24</f>
        <v>2301272</v>
      </c>
      <c r="C101" s="79" t="str">
        <f>OVERALL!C24</f>
        <v>Sujal Sharma</v>
      </c>
      <c r="D101" s="80">
        <v>0</v>
      </c>
      <c r="E101" s="80">
        <v>0</v>
      </c>
      <c r="F101" s="80">
        <v>7</v>
      </c>
      <c r="G101" s="80">
        <v>6</v>
      </c>
      <c r="H101" s="80">
        <v>0</v>
      </c>
      <c r="I101" s="80">
        <v>0</v>
      </c>
      <c r="J101" s="80">
        <v>0</v>
      </c>
      <c r="K101" s="80">
        <v>0</v>
      </c>
      <c r="L101" s="80">
        <v>6</v>
      </c>
      <c r="M101" s="80">
        <v>6</v>
      </c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20"/>
      <c r="BC101" s="20"/>
      <c r="BD101" s="20"/>
      <c r="BE101" s="20"/>
      <c r="BF101" s="20"/>
      <c r="BG101" s="20"/>
      <c r="BH101" s="19"/>
      <c r="BI101" s="20"/>
      <c r="BJ101" s="20"/>
      <c r="BK101" s="19"/>
      <c r="BL101" s="19"/>
      <c r="BM101" s="19"/>
      <c r="BN101" s="19"/>
      <c r="BO101" s="19"/>
      <c r="BP101" s="19"/>
      <c r="BQ101" s="33"/>
      <c r="BR101" s="19"/>
      <c r="BS101" s="19"/>
    </row>
    <row r="102" spans="1:71" ht="14.25" customHeight="1">
      <c r="A102" s="9">
        <v>22</v>
      </c>
      <c r="B102" s="78">
        <f>OVERALL!B25</f>
        <v>2301273</v>
      </c>
      <c r="C102" s="79" t="str">
        <f>OVERALL!C25</f>
        <v>Sukhraj Singh</v>
      </c>
      <c r="D102" s="80">
        <v>8</v>
      </c>
      <c r="E102" s="80">
        <v>7</v>
      </c>
      <c r="F102" s="80">
        <v>8</v>
      </c>
      <c r="G102" s="80">
        <v>7</v>
      </c>
      <c r="H102" s="80">
        <v>7</v>
      </c>
      <c r="I102" s="80">
        <v>7</v>
      </c>
      <c r="J102" s="80">
        <v>8</v>
      </c>
      <c r="K102" s="80">
        <v>7</v>
      </c>
      <c r="L102" s="80">
        <v>8</v>
      </c>
      <c r="M102" s="80">
        <v>8</v>
      </c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20"/>
      <c r="BC102" s="20"/>
      <c r="BD102" s="20"/>
      <c r="BE102" s="20"/>
      <c r="BF102" s="20"/>
      <c r="BG102" s="20"/>
      <c r="BH102" s="19"/>
      <c r="BI102" s="20"/>
      <c r="BJ102" s="20"/>
      <c r="BK102" s="19"/>
      <c r="BL102" s="19"/>
      <c r="BM102" s="19"/>
      <c r="BN102" s="19"/>
      <c r="BO102" s="19"/>
      <c r="BP102" s="19"/>
      <c r="BQ102" s="33"/>
      <c r="BR102" s="19"/>
      <c r="BS102" s="19"/>
    </row>
    <row r="103" spans="1:71" ht="14.25" customHeight="1">
      <c r="A103" s="9">
        <v>23</v>
      </c>
      <c r="B103" s="78">
        <f>OVERALL!B26</f>
        <v>2301274</v>
      </c>
      <c r="C103" s="79" t="str">
        <f>OVERALL!C26</f>
        <v>Sukhreet Kaur</v>
      </c>
      <c r="D103" s="80">
        <v>9</v>
      </c>
      <c r="E103" s="80">
        <v>8</v>
      </c>
      <c r="F103" s="80">
        <v>9</v>
      </c>
      <c r="G103" s="80">
        <v>9</v>
      </c>
      <c r="H103" s="80">
        <v>9</v>
      </c>
      <c r="I103" s="80">
        <v>8</v>
      </c>
      <c r="J103" s="80">
        <v>9</v>
      </c>
      <c r="K103" s="80">
        <v>8</v>
      </c>
      <c r="L103" s="80">
        <v>9</v>
      </c>
      <c r="M103" s="80">
        <v>9</v>
      </c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20"/>
      <c r="BC103" s="20"/>
      <c r="BD103" s="20"/>
      <c r="BE103" s="20"/>
      <c r="BF103" s="20"/>
      <c r="BG103" s="20"/>
      <c r="BH103" s="19"/>
      <c r="BI103" s="20"/>
      <c r="BJ103" s="20"/>
      <c r="BK103" s="19"/>
      <c r="BL103" s="19"/>
      <c r="BM103" s="19"/>
      <c r="BN103" s="19"/>
      <c r="BO103" s="19"/>
      <c r="BP103" s="19"/>
      <c r="BQ103" s="33"/>
      <c r="BR103" s="19"/>
      <c r="BS103" s="19"/>
    </row>
    <row r="104" spans="1:71" ht="14.25" customHeight="1">
      <c r="A104" s="9">
        <v>24</v>
      </c>
      <c r="B104" s="78">
        <f>OVERALL!B27</f>
        <v>2301275</v>
      </c>
      <c r="C104" s="79" t="str">
        <f>OVERALL!C27</f>
        <v>Suman Krishna</v>
      </c>
      <c r="D104" s="80">
        <v>7</v>
      </c>
      <c r="E104" s="80">
        <v>8</v>
      </c>
      <c r="F104" s="80">
        <v>8</v>
      </c>
      <c r="G104" s="80">
        <v>7</v>
      </c>
      <c r="H104" s="80">
        <v>8</v>
      </c>
      <c r="I104" s="80">
        <v>9</v>
      </c>
      <c r="J104" s="80">
        <v>8</v>
      </c>
      <c r="K104" s="80">
        <v>9</v>
      </c>
      <c r="L104" s="80">
        <v>8</v>
      </c>
      <c r="M104" s="80">
        <v>7</v>
      </c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20"/>
      <c r="BC104" s="20"/>
      <c r="BD104" s="20"/>
      <c r="BE104" s="20"/>
      <c r="BF104" s="20"/>
      <c r="BG104" s="20"/>
      <c r="BH104" s="19"/>
      <c r="BI104" s="20"/>
      <c r="BJ104" s="20"/>
      <c r="BK104" s="19"/>
      <c r="BL104" s="19"/>
      <c r="BM104" s="19"/>
      <c r="BN104" s="19"/>
      <c r="BO104" s="19"/>
      <c r="BP104" s="19"/>
      <c r="BQ104" s="33"/>
      <c r="BR104" s="19"/>
      <c r="BS104" s="19"/>
    </row>
    <row r="105" spans="1:71" ht="14.25" customHeight="1">
      <c r="A105" s="9">
        <v>25</v>
      </c>
      <c r="B105" s="78">
        <f>OVERALL!B28</f>
        <v>2301277</v>
      </c>
      <c r="C105" s="79" t="str">
        <f>OVERALL!C28</f>
        <v>Tamana</v>
      </c>
      <c r="D105" s="80">
        <v>7</v>
      </c>
      <c r="E105" s="80">
        <v>0</v>
      </c>
      <c r="F105" s="80">
        <v>7</v>
      </c>
      <c r="G105" s="80">
        <v>6</v>
      </c>
      <c r="H105" s="80">
        <v>6</v>
      </c>
      <c r="I105" s="80">
        <v>7</v>
      </c>
      <c r="J105" s="80">
        <v>8</v>
      </c>
      <c r="K105" s="80">
        <v>8</v>
      </c>
      <c r="L105" s="80">
        <v>7</v>
      </c>
      <c r="M105" s="80">
        <v>7</v>
      </c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20"/>
      <c r="BC105" s="20"/>
      <c r="BD105" s="20"/>
      <c r="BE105" s="20"/>
      <c r="BF105" s="20"/>
      <c r="BG105" s="20"/>
      <c r="BH105" s="19"/>
      <c r="BI105" s="20"/>
      <c r="BJ105" s="20"/>
      <c r="BK105" s="19"/>
      <c r="BL105" s="19"/>
      <c r="BM105" s="19"/>
      <c r="BN105" s="19"/>
      <c r="BO105" s="19"/>
      <c r="BP105" s="19"/>
      <c r="BQ105" s="33"/>
      <c r="BR105" s="19"/>
      <c r="BS105" s="19"/>
    </row>
    <row r="106" spans="1:71" ht="14.25" customHeight="1">
      <c r="A106" s="9">
        <v>26</v>
      </c>
      <c r="B106" s="78">
        <f>OVERALL!B29</f>
        <v>2301278</v>
      </c>
      <c r="C106" s="79" t="str">
        <f>OVERALL!C29</f>
        <v>Tamana Farooq Khanday</v>
      </c>
      <c r="D106" s="80">
        <v>0</v>
      </c>
      <c r="E106" s="80">
        <v>0</v>
      </c>
      <c r="F106" s="80">
        <v>0</v>
      </c>
      <c r="G106" s="80">
        <v>0</v>
      </c>
      <c r="H106" s="80"/>
      <c r="I106" s="80">
        <v>0</v>
      </c>
      <c r="J106" s="80">
        <v>7</v>
      </c>
      <c r="K106" s="80">
        <v>7</v>
      </c>
      <c r="L106" s="80">
        <v>0</v>
      </c>
      <c r="M106" s="80">
        <v>7</v>
      </c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20"/>
      <c r="BC106" s="20"/>
      <c r="BD106" s="20"/>
      <c r="BE106" s="20"/>
      <c r="BF106" s="20"/>
      <c r="BG106" s="20"/>
      <c r="BH106" s="19"/>
      <c r="BI106" s="20"/>
      <c r="BJ106" s="20"/>
      <c r="BK106" s="19"/>
      <c r="BL106" s="19"/>
      <c r="BM106" s="19"/>
      <c r="BN106" s="19"/>
      <c r="BO106" s="19"/>
      <c r="BP106" s="19"/>
      <c r="BQ106" s="33"/>
      <c r="BR106" s="19"/>
      <c r="BS106" s="19"/>
    </row>
    <row r="107" spans="1:71" ht="14.25" customHeight="1">
      <c r="A107" s="9">
        <v>27</v>
      </c>
      <c r="B107" s="78">
        <f>OVERALL!B30</f>
        <v>2301279</v>
      </c>
      <c r="C107" s="79" t="str">
        <f>OVERALL!C30</f>
        <v>Tania</v>
      </c>
      <c r="D107" s="80">
        <v>8</v>
      </c>
      <c r="E107" s="80">
        <v>8</v>
      </c>
      <c r="F107" s="80">
        <v>7</v>
      </c>
      <c r="G107" s="80">
        <v>9</v>
      </c>
      <c r="H107" s="80">
        <v>8</v>
      </c>
      <c r="I107" s="80">
        <v>7</v>
      </c>
      <c r="J107" s="80">
        <v>8</v>
      </c>
      <c r="K107" s="80">
        <v>8</v>
      </c>
      <c r="L107" s="80">
        <v>7</v>
      </c>
      <c r="M107" s="80">
        <v>6</v>
      </c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20"/>
      <c r="BC107" s="20"/>
      <c r="BD107" s="20"/>
      <c r="BE107" s="20"/>
      <c r="BF107" s="20"/>
      <c r="BG107" s="20"/>
      <c r="BH107" s="19"/>
      <c r="BI107" s="20"/>
      <c r="BJ107" s="20"/>
      <c r="BK107" s="19"/>
      <c r="BL107" s="19"/>
      <c r="BM107" s="19"/>
      <c r="BN107" s="19"/>
      <c r="BO107" s="19"/>
      <c r="BP107" s="19"/>
      <c r="BQ107" s="33"/>
      <c r="BR107" s="19"/>
      <c r="BS107" s="19"/>
    </row>
    <row r="108" spans="1:71" ht="14.25" customHeight="1">
      <c r="A108" s="9">
        <v>28</v>
      </c>
      <c r="B108" s="78">
        <f>OVERALL!B31</f>
        <v>2301280</v>
      </c>
      <c r="C108" s="79" t="str">
        <f>OVERALL!C31</f>
        <v>Taniya</v>
      </c>
      <c r="D108" s="80">
        <v>8</v>
      </c>
      <c r="E108" s="80">
        <v>7</v>
      </c>
      <c r="F108" s="80">
        <v>7</v>
      </c>
      <c r="G108" s="80">
        <v>8</v>
      </c>
      <c r="H108" s="80">
        <v>7</v>
      </c>
      <c r="I108" s="80">
        <v>6</v>
      </c>
      <c r="J108" s="80">
        <v>7</v>
      </c>
      <c r="K108" s="80">
        <v>9</v>
      </c>
      <c r="L108" s="80">
        <v>7</v>
      </c>
      <c r="M108" s="80">
        <v>7</v>
      </c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20"/>
      <c r="BC108" s="20"/>
      <c r="BD108" s="20"/>
      <c r="BE108" s="20"/>
      <c r="BF108" s="20"/>
      <c r="BG108" s="20"/>
      <c r="BH108" s="19"/>
      <c r="BI108" s="20"/>
      <c r="BJ108" s="20"/>
      <c r="BK108" s="19"/>
      <c r="BL108" s="19"/>
      <c r="BM108" s="19"/>
      <c r="BN108" s="19"/>
      <c r="BO108" s="19"/>
      <c r="BP108" s="19"/>
      <c r="BQ108" s="33"/>
      <c r="BR108" s="19"/>
      <c r="BS108" s="19"/>
    </row>
    <row r="109" spans="1:71" ht="14.25" customHeight="1">
      <c r="A109" s="9">
        <v>29</v>
      </c>
      <c r="B109" s="78">
        <f>OVERALL!B32</f>
        <v>2301281</v>
      </c>
      <c r="C109" s="79" t="str">
        <f>OVERALL!C32</f>
        <v>Taziko Trakha</v>
      </c>
      <c r="D109" s="80">
        <v>0</v>
      </c>
      <c r="E109" s="80">
        <v>7</v>
      </c>
      <c r="F109" s="80">
        <v>0</v>
      </c>
      <c r="G109" s="80">
        <v>7</v>
      </c>
      <c r="H109" s="80">
        <v>0</v>
      </c>
      <c r="I109" s="80">
        <v>8</v>
      </c>
      <c r="J109" s="80">
        <v>6</v>
      </c>
      <c r="K109" s="80">
        <v>7</v>
      </c>
      <c r="L109" s="80">
        <v>7</v>
      </c>
      <c r="M109" s="80">
        <v>0</v>
      </c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20"/>
      <c r="BC109" s="20"/>
      <c r="BD109" s="20"/>
      <c r="BE109" s="20"/>
      <c r="BF109" s="20"/>
      <c r="BG109" s="20"/>
      <c r="BH109" s="19"/>
      <c r="BI109" s="20"/>
      <c r="BJ109" s="20"/>
      <c r="BK109" s="19"/>
      <c r="BL109" s="19"/>
      <c r="BM109" s="19"/>
      <c r="BN109" s="19"/>
      <c r="BO109" s="19"/>
      <c r="BP109" s="19"/>
      <c r="BQ109" s="33"/>
      <c r="BR109" s="19"/>
      <c r="BS109" s="19"/>
    </row>
    <row r="110" spans="1:71" ht="14.25" customHeight="1">
      <c r="A110" s="9">
        <v>30</v>
      </c>
      <c r="B110" s="78">
        <f>OVERALL!B33</f>
        <v>2301283</v>
      </c>
      <c r="C110" s="79" t="str">
        <f>OVERALL!C33</f>
        <v>Vaibhav Shahi</v>
      </c>
      <c r="D110" s="80">
        <v>0</v>
      </c>
      <c r="E110" s="80">
        <v>8</v>
      </c>
      <c r="F110" s="80">
        <v>7</v>
      </c>
      <c r="G110" s="80">
        <v>7</v>
      </c>
      <c r="H110" s="80">
        <v>8</v>
      </c>
      <c r="I110" s="80">
        <v>8</v>
      </c>
      <c r="J110" s="80">
        <v>7</v>
      </c>
      <c r="K110" s="80">
        <v>9</v>
      </c>
      <c r="L110" s="80">
        <v>6</v>
      </c>
      <c r="M110" s="80">
        <v>8</v>
      </c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20"/>
      <c r="BC110" s="20"/>
      <c r="BD110" s="20"/>
      <c r="BE110" s="20"/>
      <c r="BF110" s="20"/>
      <c r="BG110" s="20"/>
      <c r="BH110" s="19"/>
      <c r="BI110" s="20"/>
      <c r="BJ110" s="20"/>
      <c r="BK110" s="19"/>
      <c r="BL110" s="19"/>
      <c r="BM110" s="19"/>
      <c r="BN110" s="19"/>
      <c r="BO110" s="19"/>
      <c r="BP110" s="19"/>
      <c r="BQ110" s="33"/>
      <c r="BR110" s="19"/>
      <c r="BS110" s="19"/>
    </row>
    <row r="111" spans="1:71" ht="14.25" customHeight="1">
      <c r="A111" s="9">
        <v>31</v>
      </c>
      <c r="B111" s="78">
        <f>OVERALL!B34</f>
        <v>2301285</v>
      </c>
      <c r="C111" s="79" t="str">
        <f>OVERALL!C34</f>
        <v>Vansh Sharma</v>
      </c>
      <c r="D111" s="80">
        <v>8</v>
      </c>
      <c r="E111" s="80">
        <v>7</v>
      </c>
      <c r="F111" s="80">
        <v>8</v>
      </c>
      <c r="G111" s="80">
        <v>8</v>
      </c>
      <c r="H111" s="80">
        <v>8</v>
      </c>
      <c r="I111" s="80">
        <v>9</v>
      </c>
      <c r="J111" s="80">
        <v>8</v>
      </c>
      <c r="K111" s="80">
        <v>8</v>
      </c>
      <c r="L111" s="80">
        <v>7</v>
      </c>
      <c r="M111" s="80">
        <v>8</v>
      </c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20"/>
      <c r="BC111" s="20"/>
      <c r="BD111" s="20"/>
      <c r="BE111" s="20"/>
      <c r="BF111" s="20"/>
      <c r="BG111" s="20"/>
      <c r="BH111" s="19"/>
      <c r="BI111" s="20"/>
      <c r="BJ111" s="20"/>
      <c r="BK111" s="19"/>
      <c r="BL111" s="19"/>
      <c r="BM111" s="19"/>
      <c r="BN111" s="19"/>
      <c r="BO111" s="19"/>
      <c r="BP111" s="19"/>
      <c r="BQ111" s="33"/>
      <c r="BR111" s="19"/>
      <c r="BS111" s="19"/>
    </row>
    <row r="112" spans="1:71" ht="14.25" customHeight="1">
      <c r="A112" s="9">
        <v>32</v>
      </c>
      <c r="B112" s="78">
        <f>OVERALL!B35</f>
        <v>2301286</v>
      </c>
      <c r="C112" s="79" t="str">
        <f>OVERALL!C35</f>
        <v>Vikramjit Singh</v>
      </c>
      <c r="D112" s="80">
        <v>0</v>
      </c>
      <c r="E112" s="80">
        <v>0</v>
      </c>
      <c r="F112" s="80">
        <v>0</v>
      </c>
      <c r="G112" s="80">
        <v>0</v>
      </c>
      <c r="H112" s="80">
        <v>0</v>
      </c>
      <c r="I112" s="80">
        <v>0</v>
      </c>
      <c r="J112" s="80">
        <v>0</v>
      </c>
      <c r="K112" s="80">
        <v>0</v>
      </c>
      <c r="L112" s="80">
        <v>0</v>
      </c>
      <c r="M112" s="80">
        <v>0</v>
      </c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20"/>
      <c r="BC112" s="20"/>
      <c r="BD112" s="20"/>
      <c r="BE112" s="20"/>
      <c r="BF112" s="20"/>
      <c r="BG112" s="20"/>
      <c r="BH112" s="19"/>
      <c r="BI112" s="20"/>
      <c r="BJ112" s="20"/>
      <c r="BK112" s="19"/>
      <c r="BL112" s="19"/>
      <c r="BM112" s="19"/>
      <c r="BN112" s="19"/>
      <c r="BO112" s="19"/>
      <c r="BP112" s="19"/>
      <c r="BQ112" s="33"/>
      <c r="BR112" s="19"/>
      <c r="BS112" s="19"/>
    </row>
    <row r="113" spans="1:71" ht="14.25" customHeight="1">
      <c r="A113" s="9">
        <v>33</v>
      </c>
      <c r="B113" s="78">
        <f>OVERALL!B36</f>
        <v>2339508</v>
      </c>
      <c r="C113" s="79" t="str">
        <f>OVERALL!C36</f>
        <v>TANISHA</v>
      </c>
      <c r="D113" s="80">
        <v>8</v>
      </c>
      <c r="E113" s="80">
        <v>7</v>
      </c>
      <c r="F113" s="80">
        <v>8</v>
      </c>
      <c r="G113" s="80">
        <v>9</v>
      </c>
      <c r="H113" s="80">
        <v>8</v>
      </c>
      <c r="I113" s="80">
        <v>7</v>
      </c>
      <c r="J113" s="80">
        <v>8</v>
      </c>
      <c r="K113" s="80">
        <v>8</v>
      </c>
      <c r="L113" s="80">
        <v>7</v>
      </c>
      <c r="M113" s="80">
        <v>6</v>
      </c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20"/>
      <c r="BC113" s="20"/>
      <c r="BD113" s="20"/>
      <c r="BE113" s="20"/>
      <c r="BF113" s="20"/>
      <c r="BG113" s="20"/>
      <c r="BH113" s="19"/>
      <c r="BI113" s="20"/>
      <c r="BJ113" s="20"/>
      <c r="BK113" s="19"/>
      <c r="BL113" s="19"/>
      <c r="BM113" s="19"/>
      <c r="BN113" s="19"/>
      <c r="BO113" s="19"/>
      <c r="BP113" s="19"/>
      <c r="BQ113" s="33"/>
      <c r="BR113" s="19"/>
      <c r="BS113" s="19"/>
    </row>
    <row r="114" spans="1:71" ht="14.25" customHeight="1">
      <c r="A114" s="9">
        <v>34</v>
      </c>
      <c r="B114" s="78">
        <f>OVERALL!B37</f>
        <v>2339509</v>
      </c>
      <c r="C114" s="79" t="str">
        <f>OVERALL!C37</f>
        <v>TOHIED AHMED</v>
      </c>
      <c r="D114" s="80">
        <v>0</v>
      </c>
      <c r="E114" s="80">
        <v>0</v>
      </c>
      <c r="F114" s="80">
        <v>0</v>
      </c>
      <c r="G114" s="80">
        <v>0</v>
      </c>
      <c r="H114" s="80">
        <v>0</v>
      </c>
      <c r="I114" s="80">
        <v>0</v>
      </c>
      <c r="J114" s="80">
        <v>0</v>
      </c>
      <c r="K114" s="80">
        <v>0</v>
      </c>
      <c r="L114" s="80">
        <v>0</v>
      </c>
      <c r="M114" s="80">
        <v>0</v>
      </c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20"/>
      <c r="BC114" s="20"/>
      <c r="BD114" s="20"/>
      <c r="BE114" s="20"/>
      <c r="BF114" s="20"/>
      <c r="BG114" s="20"/>
      <c r="BH114" s="19"/>
      <c r="BI114" s="20"/>
      <c r="BJ114" s="20"/>
      <c r="BK114" s="19"/>
      <c r="BL114" s="19"/>
      <c r="BM114" s="19"/>
      <c r="BN114" s="19"/>
      <c r="BO114" s="19"/>
      <c r="BP114" s="19"/>
      <c r="BQ114" s="33"/>
      <c r="BR114" s="19"/>
      <c r="BS114" s="19"/>
    </row>
    <row r="115" spans="1:71" ht="14.25" customHeight="1">
      <c r="A115" s="9">
        <v>35</v>
      </c>
      <c r="B115" s="78" t="str">
        <f>OVERALL!B38</f>
        <v>Leet</v>
      </c>
      <c r="C115" s="79" t="str">
        <f>OVERALL!C38</f>
        <v>Gagan</v>
      </c>
      <c r="D115" s="80">
        <v>8</v>
      </c>
      <c r="E115" s="80">
        <v>7</v>
      </c>
      <c r="F115" s="80">
        <v>8</v>
      </c>
      <c r="G115" s="80">
        <v>9</v>
      </c>
      <c r="H115" s="80">
        <v>8</v>
      </c>
      <c r="I115" s="80">
        <v>9</v>
      </c>
      <c r="J115" s="80">
        <v>8</v>
      </c>
      <c r="K115" s="80">
        <v>8</v>
      </c>
      <c r="L115" s="80">
        <v>8</v>
      </c>
      <c r="M115" s="80">
        <v>7</v>
      </c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20"/>
      <c r="BC115" s="20"/>
      <c r="BD115" s="20"/>
      <c r="BE115" s="20"/>
      <c r="BF115" s="20"/>
      <c r="BG115" s="20"/>
      <c r="BH115" s="19"/>
      <c r="BI115" s="20"/>
      <c r="BJ115" s="20"/>
      <c r="BK115" s="19"/>
      <c r="BL115" s="19"/>
      <c r="BM115" s="19"/>
      <c r="BN115" s="19"/>
      <c r="BO115" s="19"/>
      <c r="BP115" s="19"/>
      <c r="BQ115" s="33"/>
      <c r="BR115" s="19"/>
      <c r="BS115" s="19"/>
    </row>
    <row r="116" spans="1:71" ht="14.25" customHeight="1">
      <c r="A116" s="9">
        <v>36</v>
      </c>
      <c r="B116" s="78" t="str">
        <f>OVERALL!B39</f>
        <v>Leet</v>
      </c>
      <c r="C116" s="79" t="str">
        <f>OVERALL!C39</f>
        <v>Manisha</v>
      </c>
      <c r="D116" s="80">
        <v>8</v>
      </c>
      <c r="E116" s="80">
        <v>8</v>
      </c>
      <c r="F116" s="80">
        <v>9</v>
      </c>
      <c r="G116" s="80">
        <v>8</v>
      </c>
      <c r="H116" s="80">
        <v>9</v>
      </c>
      <c r="I116" s="80">
        <v>8</v>
      </c>
      <c r="J116" s="80">
        <v>8</v>
      </c>
      <c r="K116" s="80">
        <v>7</v>
      </c>
      <c r="L116" s="80">
        <v>8</v>
      </c>
      <c r="M116" s="80">
        <v>9</v>
      </c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20"/>
      <c r="BC116" s="20"/>
      <c r="BD116" s="20"/>
      <c r="BE116" s="20"/>
      <c r="BF116" s="20"/>
      <c r="BG116" s="20"/>
      <c r="BH116" s="19"/>
      <c r="BI116" s="20"/>
      <c r="BJ116" s="20"/>
      <c r="BK116" s="19"/>
      <c r="BL116" s="19"/>
      <c r="BM116" s="19"/>
      <c r="BN116" s="19"/>
      <c r="BO116" s="19"/>
      <c r="BP116" s="19"/>
      <c r="BQ116" s="33"/>
      <c r="BR116" s="19"/>
      <c r="BS116" s="19"/>
    </row>
    <row r="117" spans="1:71" ht="14.25" customHeight="1">
      <c r="A117" s="9">
        <v>37</v>
      </c>
      <c r="B117" s="78" t="str">
        <f>OVERALL!B40</f>
        <v>Leet</v>
      </c>
      <c r="C117" s="79" t="str">
        <f>OVERALL!C40</f>
        <v>Richa</v>
      </c>
      <c r="D117" s="80">
        <v>8</v>
      </c>
      <c r="E117" s="80">
        <v>8</v>
      </c>
      <c r="F117" s="80">
        <v>9</v>
      </c>
      <c r="G117" s="80">
        <v>7</v>
      </c>
      <c r="H117" s="80">
        <v>9</v>
      </c>
      <c r="I117" s="80">
        <v>7</v>
      </c>
      <c r="J117" s="80">
        <v>9</v>
      </c>
      <c r="K117" s="80">
        <v>8</v>
      </c>
      <c r="L117" s="80">
        <v>8</v>
      </c>
      <c r="M117" s="80">
        <v>6</v>
      </c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20"/>
      <c r="BC117" s="20"/>
      <c r="BD117" s="20"/>
      <c r="BE117" s="20"/>
      <c r="BF117" s="20"/>
      <c r="BG117" s="20"/>
      <c r="BH117" s="19"/>
      <c r="BI117" s="20"/>
      <c r="BJ117" s="20"/>
      <c r="BK117" s="19"/>
      <c r="BL117" s="19"/>
      <c r="BM117" s="19"/>
      <c r="BN117" s="19"/>
      <c r="BO117" s="19"/>
      <c r="BP117" s="19"/>
      <c r="BQ117" s="33"/>
      <c r="BR117" s="19"/>
      <c r="BS117" s="19"/>
    </row>
    <row r="118" spans="1:71" ht="14.25" customHeight="1">
      <c r="A118" s="9">
        <v>38</v>
      </c>
      <c r="B118" s="78" t="str">
        <f>OVERALL!B41</f>
        <v>Leet</v>
      </c>
      <c r="C118" s="79" t="str">
        <f>OVERALL!C41</f>
        <v>Prakriti</v>
      </c>
      <c r="D118" s="80">
        <v>9</v>
      </c>
      <c r="E118" s="80">
        <v>8</v>
      </c>
      <c r="F118" s="80">
        <v>8</v>
      </c>
      <c r="G118" s="80">
        <v>7</v>
      </c>
      <c r="H118" s="80">
        <v>8</v>
      </c>
      <c r="I118" s="80">
        <v>8</v>
      </c>
      <c r="J118" s="80">
        <v>8</v>
      </c>
      <c r="K118" s="80">
        <v>9</v>
      </c>
      <c r="L118" s="80">
        <v>6</v>
      </c>
      <c r="M118" s="80">
        <v>7</v>
      </c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20"/>
      <c r="BC118" s="20"/>
      <c r="BD118" s="20"/>
      <c r="BE118" s="20"/>
      <c r="BF118" s="20"/>
      <c r="BG118" s="20"/>
      <c r="BH118" s="19"/>
      <c r="BI118" s="20"/>
      <c r="BJ118" s="20"/>
      <c r="BK118" s="19"/>
      <c r="BL118" s="19"/>
      <c r="BM118" s="19"/>
      <c r="BN118" s="19"/>
      <c r="BO118" s="19"/>
      <c r="BP118" s="19"/>
      <c r="BQ118" s="33"/>
      <c r="BR118" s="19"/>
      <c r="BS118" s="19"/>
    </row>
    <row r="119" spans="1:71" ht="14.25" customHeight="1">
      <c r="A119" s="9">
        <v>39</v>
      </c>
      <c r="B119" s="78" t="str">
        <f>OVERALL!B42</f>
        <v>leet</v>
      </c>
      <c r="C119" s="79" t="str">
        <f>OVERALL!C42</f>
        <v>Shubham</v>
      </c>
      <c r="D119" s="80">
        <v>7</v>
      </c>
      <c r="E119" s="80">
        <v>8</v>
      </c>
      <c r="F119" s="80">
        <v>7</v>
      </c>
      <c r="G119" s="80">
        <v>8</v>
      </c>
      <c r="H119" s="80">
        <v>8</v>
      </c>
      <c r="I119" s="80">
        <v>9</v>
      </c>
      <c r="J119" s="80">
        <v>7</v>
      </c>
      <c r="K119" s="80">
        <v>8</v>
      </c>
      <c r="L119" s="80">
        <v>7</v>
      </c>
      <c r="M119" s="80">
        <v>8</v>
      </c>
      <c r="N119" s="80">
        <v>7</v>
      </c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20"/>
      <c r="BC119" s="20"/>
      <c r="BD119" s="20"/>
      <c r="BE119" s="20"/>
      <c r="BF119" s="20"/>
      <c r="BG119" s="20"/>
      <c r="BH119" s="19"/>
      <c r="BI119" s="20"/>
      <c r="BJ119" s="20"/>
      <c r="BK119" s="19"/>
      <c r="BL119" s="19"/>
      <c r="BM119" s="19"/>
      <c r="BN119" s="19"/>
      <c r="BO119" s="19"/>
      <c r="BP119" s="19"/>
      <c r="BQ119" s="33"/>
      <c r="BR119" s="19"/>
      <c r="BS119" s="19"/>
    </row>
    <row r="120" spans="1:71" ht="14.25" customHeight="1">
      <c r="A120" s="9">
        <v>40</v>
      </c>
      <c r="B120" s="78">
        <f>OVERALL!B43</f>
        <v>2301381</v>
      </c>
      <c r="C120" s="79" t="str">
        <f>OVERALL!C43</f>
        <v>ADITYA</v>
      </c>
      <c r="D120" s="80">
        <v>8</v>
      </c>
      <c r="E120" s="80">
        <v>7</v>
      </c>
      <c r="F120" s="80">
        <v>8</v>
      </c>
      <c r="G120" s="80">
        <v>9</v>
      </c>
      <c r="H120" s="80">
        <v>8</v>
      </c>
      <c r="I120" s="80">
        <v>9</v>
      </c>
      <c r="J120" s="80">
        <v>8</v>
      </c>
      <c r="K120" s="80">
        <v>7</v>
      </c>
      <c r="L120" s="80">
        <v>8</v>
      </c>
      <c r="M120" s="80">
        <v>8</v>
      </c>
      <c r="N120" s="80">
        <v>8</v>
      </c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20"/>
      <c r="BC120" s="20"/>
      <c r="BD120" s="20"/>
      <c r="BE120" s="20"/>
      <c r="BF120" s="20"/>
      <c r="BG120" s="20"/>
      <c r="BH120" s="19"/>
      <c r="BI120" s="20"/>
      <c r="BJ120" s="20"/>
      <c r="BK120" s="19"/>
      <c r="BL120" s="19"/>
      <c r="BM120" s="19"/>
      <c r="BN120" s="19"/>
      <c r="BO120" s="19"/>
      <c r="BP120" s="19"/>
      <c r="BQ120" s="33"/>
      <c r="BR120" s="19"/>
      <c r="BS120" s="19"/>
    </row>
    <row r="121" spans="1:71" ht="14.25" customHeight="1">
      <c r="A121" s="9">
        <v>41</v>
      </c>
      <c r="B121" s="78">
        <f>OVERALL!B44</f>
        <v>2301382</v>
      </c>
      <c r="C121" s="79" t="str">
        <f>OVERALL!C44</f>
        <v>ANMOL</v>
      </c>
      <c r="D121" s="80">
        <v>9</v>
      </c>
      <c r="E121" s="80">
        <v>8</v>
      </c>
      <c r="F121" s="80">
        <v>9</v>
      </c>
      <c r="G121" s="80">
        <v>9</v>
      </c>
      <c r="H121" s="80">
        <v>9</v>
      </c>
      <c r="I121" s="80">
        <v>8</v>
      </c>
      <c r="J121" s="80">
        <v>9</v>
      </c>
      <c r="K121" s="80">
        <v>8</v>
      </c>
      <c r="L121" s="80">
        <v>9</v>
      </c>
      <c r="M121" s="80">
        <v>9</v>
      </c>
      <c r="N121" s="80">
        <v>8</v>
      </c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20"/>
      <c r="BC121" s="20"/>
      <c r="BD121" s="20"/>
      <c r="BE121" s="20"/>
      <c r="BF121" s="20"/>
      <c r="BG121" s="20"/>
      <c r="BH121" s="19"/>
      <c r="BI121" s="20"/>
      <c r="BJ121" s="20"/>
      <c r="BK121" s="19"/>
      <c r="BL121" s="19"/>
      <c r="BM121" s="19"/>
      <c r="BN121" s="19"/>
      <c r="BO121" s="19"/>
      <c r="BP121" s="19"/>
      <c r="BQ121" s="33"/>
      <c r="BR121" s="19"/>
      <c r="BS121" s="19"/>
    </row>
    <row r="122" spans="1:71" ht="14.25" customHeight="1">
      <c r="A122" s="9">
        <v>42</v>
      </c>
      <c r="B122" s="78">
        <f>OVERALL!B45</f>
        <v>2301383</v>
      </c>
      <c r="C122" s="79" t="str">
        <f>OVERALL!C45</f>
        <v>AURSH SHARMA</v>
      </c>
      <c r="D122" s="80">
        <v>7</v>
      </c>
      <c r="E122" s="80">
        <v>8</v>
      </c>
      <c r="F122" s="80">
        <v>8</v>
      </c>
      <c r="G122" s="80">
        <v>7</v>
      </c>
      <c r="H122" s="80">
        <v>8</v>
      </c>
      <c r="I122" s="80">
        <v>9</v>
      </c>
      <c r="J122" s="80">
        <v>8</v>
      </c>
      <c r="K122" s="80">
        <v>9</v>
      </c>
      <c r="L122" s="80">
        <v>8</v>
      </c>
      <c r="M122" s="80">
        <v>7</v>
      </c>
      <c r="N122" s="80">
        <v>7</v>
      </c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20"/>
      <c r="BC122" s="20"/>
      <c r="BD122" s="20"/>
      <c r="BE122" s="20"/>
      <c r="BF122" s="20"/>
      <c r="BG122" s="20"/>
      <c r="BH122" s="19"/>
      <c r="BI122" s="20"/>
      <c r="BJ122" s="20"/>
      <c r="BK122" s="19"/>
      <c r="BL122" s="19"/>
      <c r="BM122" s="19"/>
      <c r="BN122" s="19"/>
      <c r="BO122" s="19"/>
      <c r="BP122" s="19"/>
      <c r="BQ122" s="33"/>
      <c r="BR122" s="19"/>
      <c r="BS122" s="19"/>
    </row>
    <row r="123" spans="1:71" ht="14.25" customHeight="1">
      <c r="A123" s="9">
        <v>43</v>
      </c>
      <c r="B123" s="78">
        <f>OVERALL!B46</f>
        <v>2301384</v>
      </c>
      <c r="C123" s="79" t="str">
        <f>OVERALL!C46</f>
        <v>AVNEET SINGH</v>
      </c>
      <c r="D123" s="80">
        <v>7</v>
      </c>
      <c r="E123" s="80">
        <v>0</v>
      </c>
      <c r="F123" s="80">
        <v>7</v>
      </c>
      <c r="G123" s="80">
        <v>6</v>
      </c>
      <c r="H123" s="80">
        <v>6</v>
      </c>
      <c r="I123" s="80">
        <v>7</v>
      </c>
      <c r="J123" s="80">
        <v>8</v>
      </c>
      <c r="K123" s="80">
        <v>8</v>
      </c>
      <c r="L123" s="80">
        <v>7</v>
      </c>
      <c r="M123" s="80">
        <v>7</v>
      </c>
      <c r="N123" s="80">
        <v>8</v>
      </c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20"/>
      <c r="BC123" s="20"/>
      <c r="BD123" s="20"/>
      <c r="BE123" s="20"/>
      <c r="BF123" s="20"/>
      <c r="BG123" s="20"/>
      <c r="BH123" s="19"/>
      <c r="BI123" s="20"/>
      <c r="BJ123" s="20"/>
      <c r="BK123" s="19"/>
      <c r="BL123" s="19"/>
      <c r="BM123" s="19"/>
      <c r="BN123" s="19"/>
      <c r="BO123" s="19"/>
      <c r="BP123" s="19"/>
      <c r="BQ123" s="33"/>
      <c r="BR123" s="19"/>
      <c r="BS123" s="19"/>
    </row>
    <row r="124" spans="1:71" ht="14.25" customHeight="1">
      <c r="A124" s="9">
        <v>44</v>
      </c>
      <c r="B124" s="78">
        <f>OVERALL!B47</f>
        <v>2301385</v>
      </c>
      <c r="C124" s="79" t="str">
        <f>OVERALL!C47</f>
        <v>BOBBY</v>
      </c>
      <c r="D124" s="80">
        <v>6</v>
      </c>
      <c r="E124" s="80">
        <v>0</v>
      </c>
      <c r="F124" s="80">
        <v>7</v>
      </c>
      <c r="G124" s="80">
        <v>7</v>
      </c>
      <c r="H124" s="80">
        <v>7</v>
      </c>
      <c r="I124" s="80">
        <v>8</v>
      </c>
      <c r="J124" s="80">
        <v>7</v>
      </c>
      <c r="K124" s="80">
        <v>7</v>
      </c>
      <c r="L124" s="80">
        <v>6</v>
      </c>
      <c r="M124" s="80">
        <v>7</v>
      </c>
      <c r="N124" s="80">
        <v>9</v>
      </c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20"/>
      <c r="BC124" s="20"/>
      <c r="BD124" s="20"/>
      <c r="BE124" s="20"/>
      <c r="BF124" s="20"/>
      <c r="BG124" s="20"/>
      <c r="BH124" s="19"/>
      <c r="BI124" s="20"/>
      <c r="BJ124" s="20"/>
      <c r="BK124" s="19"/>
      <c r="BL124" s="19"/>
      <c r="BM124" s="19"/>
      <c r="BN124" s="19"/>
      <c r="BO124" s="19"/>
      <c r="BP124" s="19"/>
      <c r="BQ124" s="33"/>
      <c r="BR124" s="19"/>
      <c r="BS124" s="19"/>
    </row>
    <row r="125" spans="1:71" ht="14.25" customHeight="1">
      <c r="A125" s="9">
        <v>45</v>
      </c>
      <c r="B125" s="78">
        <f>OVERALL!B48</f>
        <v>2301386</v>
      </c>
      <c r="C125" s="79" t="str">
        <f>OVERALL!C48</f>
        <v>CHARANJIT SINGH</v>
      </c>
      <c r="D125" s="80">
        <v>7</v>
      </c>
      <c r="E125" s="80">
        <v>8</v>
      </c>
      <c r="F125" s="80">
        <v>7</v>
      </c>
      <c r="G125" s="80">
        <v>7</v>
      </c>
      <c r="H125" s="80">
        <v>6</v>
      </c>
      <c r="I125" s="80">
        <v>7</v>
      </c>
      <c r="J125" s="80">
        <v>8</v>
      </c>
      <c r="K125" s="80">
        <v>8</v>
      </c>
      <c r="L125" s="80">
        <v>7</v>
      </c>
      <c r="M125" s="80">
        <v>6</v>
      </c>
      <c r="N125" s="80">
        <v>7</v>
      </c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20"/>
      <c r="BC125" s="20"/>
      <c r="BD125" s="20"/>
      <c r="BE125" s="20"/>
      <c r="BF125" s="20"/>
      <c r="BG125" s="20"/>
      <c r="BH125" s="19"/>
      <c r="BI125" s="20"/>
      <c r="BJ125" s="20"/>
      <c r="BK125" s="19"/>
      <c r="BL125" s="19"/>
      <c r="BM125" s="19"/>
      <c r="BN125" s="19"/>
      <c r="BO125" s="19"/>
      <c r="BP125" s="19"/>
      <c r="BQ125" s="33"/>
      <c r="BR125" s="19"/>
      <c r="BS125" s="19"/>
    </row>
    <row r="126" spans="1:71" ht="14.25" customHeight="1">
      <c r="A126" s="9">
        <v>46</v>
      </c>
      <c r="B126" s="78">
        <f>OVERALL!B49</f>
        <v>2301387</v>
      </c>
      <c r="C126" s="79" t="str">
        <f>OVERALL!C49</f>
        <v>INDERBIR SINGH</v>
      </c>
      <c r="D126" s="80">
        <v>8</v>
      </c>
      <c r="E126" s="80">
        <v>9</v>
      </c>
      <c r="F126" s="80">
        <v>7</v>
      </c>
      <c r="G126" s="80">
        <v>8</v>
      </c>
      <c r="H126" s="80">
        <v>7</v>
      </c>
      <c r="I126" s="80">
        <v>6</v>
      </c>
      <c r="J126" s="80">
        <v>7</v>
      </c>
      <c r="K126" s="80">
        <v>9</v>
      </c>
      <c r="L126" s="80">
        <v>7</v>
      </c>
      <c r="M126" s="80">
        <v>7</v>
      </c>
      <c r="N126" s="80">
        <v>8</v>
      </c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20"/>
      <c r="BC126" s="20"/>
      <c r="BD126" s="20"/>
      <c r="BE126" s="20"/>
      <c r="BF126" s="20"/>
      <c r="BG126" s="20"/>
      <c r="BH126" s="19"/>
      <c r="BI126" s="20"/>
      <c r="BJ126" s="20"/>
      <c r="BK126" s="19"/>
      <c r="BL126" s="19"/>
      <c r="BM126" s="19"/>
      <c r="BN126" s="19"/>
      <c r="BO126" s="19"/>
      <c r="BP126" s="19"/>
      <c r="BQ126" s="33"/>
      <c r="BR126" s="19"/>
      <c r="BS126" s="19"/>
    </row>
    <row r="127" spans="1:71" ht="14.25" customHeight="1">
      <c r="A127" s="9">
        <v>47</v>
      </c>
      <c r="B127" s="78">
        <f>OVERALL!B50</f>
        <v>2301389</v>
      </c>
      <c r="C127" s="79" t="str">
        <f>OVERALL!C50</f>
        <v>JASMEEN</v>
      </c>
      <c r="D127" s="80">
        <v>8</v>
      </c>
      <c r="E127" s="80">
        <v>7</v>
      </c>
      <c r="F127" s="80">
        <v>6</v>
      </c>
      <c r="G127" s="80">
        <v>7</v>
      </c>
      <c r="H127" s="80">
        <v>8</v>
      </c>
      <c r="I127" s="80">
        <v>8</v>
      </c>
      <c r="J127" s="80">
        <v>6</v>
      </c>
      <c r="K127" s="80">
        <v>7</v>
      </c>
      <c r="L127" s="80">
        <v>7</v>
      </c>
      <c r="M127" s="80">
        <v>0</v>
      </c>
      <c r="N127" s="80">
        <v>7</v>
      </c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20"/>
      <c r="BC127" s="20"/>
      <c r="BD127" s="20"/>
      <c r="BE127" s="20"/>
      <c r="BF127" s="20"/>
      <c r="BG127" s="20"/>
      <c r="BH127" s="19"/>
      <c r="BI127" s="20"/>
      <c r="BJ127" s="20"/>
      <c r="BK127" s="19"/>
      <c r="BL127" s="19"/>
      <c r="BM127" s="19"/>
      <c r="BN127" s="19"/>
      <c r="BO127" s="19"/>
      <c r="BP127" s="19"/>
      <c r="BQ127" s="33"/>
      <c r="BR127" s="19"/>
      <c r="BS127" s="19"/>
    </row>
    <row r="128" spans="1:71" ht="14.25" customHeight="1">
      <c r="A128" s="9">
        <v>48</v>
      </c>
      <c r="B128" s="78">
        <f>OVERALL!B51</f>
        <v>2301390</v>
      </c>
      <c r="C128" s="79" t="str">
        <f>OVERALL!C51</f>
        <v>KUNDAN</v>
      </c>
      <c r="D128" s="80">
        <v>9</v>
      </c>
      <c r="E128" s="80">
        <v>8</v>
      </c>
      <c r="F128" s="80">
        <v>8</v>
      </c>
      <c r="G128" s="80">
        <v>7</v>
      </c>
      <c r="H128" s="80">
        <v>8</v>
      </c>
      <c r="I128" s="80">
        <v>8</v>
      </c>
      <c r="J128" s="80">
        <v>7</v>
      </c>
      <c r="K128" s="80">
        <v>9</v>
      </c>
      <c r="L128" s="80">
        <v>6</v>
      </c>
      <c r="M128" s="80">
        <v>8</v>
      </c>
      <c r="N128" s="80">
        <v>8</v>
      </c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20"/>
      <c r="BC128" s="20"/>
      <c r="BD128" s="20"/>
      <c r="BE128" s="20"/>
      <c r="BF128" s="20"/>
      <c r="BG128" s="20"/>
      <c r="BH128" s="19"/>
      <c r="BI128" s="20"/>
      <c r="BJ128" s="20"/>
      <c r="BK128" s="19"/>
      <c r="BL128" s="19"/>
      <c r="BM128" s="19"/>
      <c r="BN128" s="19"/>
      <c r="BO128" s="19"/>
      <c r="BP128" s="19"/>
      <c r="BQ128" s="33"/>
      <c r="BR128" s="19"/>
      <c r="BS128" s="19"/>
    </row>
    <row r="129" spans="1:71" ht="14.25" customHeight="1">
      <c r="A129" s="9">
        <v>49</v>
      </c>
      <c r="B129" s="78">
        <f>OVERALL!B52</f>
        <v>2301391</v>
      </c>
      <c r="C129" s="79" t="str">
        <f>OVERALL!C52</f>
        <v>MANVEER SINGH</v>
      </c>
      <c r="D129" s="80">
        <v>8</v>
      </c>
      <c r="E129" s="80">
        <v>7</v>
      </c>
      <c r="F129" s="80">
        <v>8</v>
      </c>
      <c r="G129" s="80">
        <v>8</v>
      </c>
      <c r="H129" s="80">
        <v>8</v>
      </c>
      <c r="I129" s="80">
        <v>9</v>
      </c>
      <c r="J129" s="80">
        <v>8</v>
      </c>
      <c r="K129" s="80">
        <v>8</v>
      </c>
      <c r="L129" s="80">
        <v>7</v>
      </c>
      <c r="M129" s="80">
        <v>8</v>
      </c>
      <c r="N129" s="80">
        <v>7</v>
      </c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20"/>
      <c r="BC129" s="20"/>
      <c r="BD129" s="20"/>
      <c r="BE129" s="20"/>
      <c r="BF129" s="20"/>
      <c r="BG129" s="20"/>
      <c r="BH129" s="19"/>
      <c r="BI129" s="20"/>
      <c r="BJ129" s="20"/>
      <c r="BK129" s="19"/>
      <c r="BL129" s="19"/>
      <c r="BM129" s="19"/>
      <c r="BN129" s="19"/>
      <c r="BO129" s="19"/>
      <c r="BP129" s="19"/>
      <c r="BQ129" s="33"/>
      <c r="BR129" s="19"/>
      <c r="BS129" s="19"/>
    </row>
    <row r="130" spans="1:71" ht="14.25" customHeight="1">
      <c r="A130" s="9">
        <v>50</v>
      </c>
      <c r="B130" s="78">
        <f>OVERALL!B53</f>
        <v>2301392</v>
      </c>
      <c r="C130" s="79" t="str">
        <f>OVERALL!C53</f>
        <v>MOHIT KUMAR</v>
      </c>
      <c r="D130" s="80">
        <v>6</v>
      </c>
      <c r="E130" s="80">
        <v>0</v>
      </c>
      <c r="F130" s="80">
        <v>7</v>
      </c>
      <c r="G130" s="80">
        <v>6</v>
      </c>
      <c r="H130" s="80">
        <v>7</v>
      </c>
      <c r="I130" s="80">
        <v>8</v>
      </c>
      <c r="J130" s="80">
        <v>8</v>
      </c>
      <c r="K130" s="80">
        <v>7</v>
      </c>
      <c r="L130" s="80">
        <v>7</v>
      </c>
      <c r="M130" s="80">
        <v>6</v>
      </c>
      <c r="N130" s="80">
        <v>7</v>
      </c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20"/>
      <c r="BC130" s="20"/>
      <c r="BD130" s="20"/>
      <c r="BE130" s="20"/>
      <c r="BF130" s="20"/>
      <c r="BG130" s="20"/>
      <c r="BH130" s="19"/>
      <c r="BI130" s="20"/>
      <c r="BJ130" s="20"/>
      <c r="BK130" s="19"/>
      <c r="BL130" s="19"/>
      <c r="BM130" s="19"/>
      <c r="BN130" s="19"/>
      <c r="BO130" s="19"/>
      <c r="BP130" s="19"/>
      <c r="BQ130" s="33"/>
      <c r="BR130" s="19"/>
      <c r="BS130" s="19"/>
    </row>
    <row r="131" spans="1:71" ht="14.25" customHeight="1">
      <c r="A131" s="9">
        <v>51</v>
      </c>
      <c r="B131" s="78">
        <f>OVERALL!B54</f>
        <v>2301393</v>
      </c>
      <c r="C131" s="79" t="str">
        <f>OVERALL!C54</f>
        <v>NAVNEET</v>
      </c>
      <c r="D131" s="80">
        <v>0</v>
      </c>
      <c r="E131" s="80">
        <v>7</v>
      </c>
      <c r="F131" s="80">
        <v>7</v>
      </c>
      <c r="G131" s="80">
        <v>6</v>
      </c>
      <c r="H131" s="80">
        <v>6</v>
      </c>
      <c r="I131" s="80">
        <v>0</v>
      </c>
      <c r="J131" s="80">
        <v>7</v>
      </c>
      <c r="K131" s="80">
        <v>8</v>
      </c>
      <c r="L131" s="80">
        <v>7</v>
      </c>
      <c r="M131" s="80">
        <v>6</v>
      </c>
      <c r="N131" s="80">
        <v>7</v>
      </c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20"/>
      <c r="BC131" s="20"/>
      <c r="BD131" s="20"/>
      <c r="BE131" s="20"/>
      <c r="BF131" s="20"/>
      <c r="BG131" s="20"/>
      <c r="BH131" s="19"/>
      <c r="BI131" s="20"/>
      <c r="BJ131" s="20"/>
      <c r="BK131" s="19"/>
      <c r="BL131" s="19"/>
      <c r="BM131" s="19"/>
      <c r="BN131" s="19"/>
      <c r="BO131" s="19"/>
      <c r="BP131" s="19"/>
      <c r="BQ131" s="33"/>
      <c r="BR131" s="19"/>
      <c r="BS131" s="19"/>
    </row>
    <row r="132" spans="1:71" ht="14.25" customHeight="1">
      <c r="A132" s="9">
        <v>52</v>
      </c>
      <c r="B132" s="78">
        <f>OVERALL!B55</f>
        <v>2301394</v>
      </c>
      <c r="C132" s="79" t="str">
        <f>OVERALL!C55</f>
        <v>NITIN VERMA</v>
      </c>
      <c r="D132" s="80">
        <v>8</v>
      </c>
      <c r="E132" s="80">
        <v>8</v>
      </c>
      <c r="F132" s="80">
        <v>7</v>
      </c>
      <c r="G132" s="80">
        <v>8</v>
      </c>
      <c r="H132" s="80">
        <v>7</v>
      </c>
      <c r="I132" s="80">
        <v>8</v>
      </c>
      <c r="J132" s="80">
        <v>8</v>
      </c>
      <c r="K132" s="80">
        <v>9</v>
      </c>
      <c r="L132" s="80">
        <v>8</v>
      </c>
      <c r="M132" s="80">
        <v>7</v>
      </c>
      <c r="N132" s="80">
        <v>8</v>
      </c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20"/>
      <c r="BC132" s="20"/>
      <c r="BD132" s="20"/>
      <c r="BE132" s="20"/>
      <c r="BF132" s="20"/>
      <c r="BG132" s="20"/>
      <c r="BH132" s="19"/>
      <c r="BI132" s="20"/>
      <c r="BJ132" s="20"/>
      <c r="BK132" s="19"/>
      <c r="BL132" s="19"/>
      <c r="BM132" s="19"/>
      <c r="BN132" s="19"/>
      <c r="BO132" s="19"/>
      <c r="BP132" s="19"/>
      <c r="BQ132" s="33"/>
      <c r="BR132" s="19"/>
      <c r="BS132" s="19"/>
    </row>
    <row r="133" spans="1:71" ht="14.25" customHeight="1">
      <c r="A133" s="9">
        <v>53</v>
      </c>
      <c r="B133" s="78">
        <f>OVERALL!B56</f>
        <v>2301395</v>
      </c>
      <c r="C133" s="79" t="str">
        <f>OVERALL!C56</f>
        <v>POOJA</v>
      </c>
      <c r="D133" s="80">
        <v>8</v>
      </c>
      <c r="E133" s="80">
        <v>7</v>
      </c>
      <c r="F133" s="80">
        <v>8</v>
      </c>
      <c r="G133" s="80">
        <v>9</v>
      </c>
      <c r="H133" s="80">
        <v>8</v>
      </c>
      <c r="I133" s="80">
        <v>9</v>
      </c>
      <c r="J133" s="80">
        <v>8</v>
      </c>
      <c r="K133" s="80">
        <v>8</v>
      </c>
      <c r="L133" s="80">
        <v>8</v>
      </c>
      <c r="M133" s="80">
        <v>7</v>
      </c>
      <c r="N133" s="80">
        <v>8</v>
      </c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20"/>
      <c r="BC133" s="20"/>
      <c r="BD133" s="20"/>
      <c r="BE133" s="20"/>
      <c r="BF133" s="20"/>
      <c r="BG133" s="20"/>
      <c r="BH133" s="19"/>
      <c r="BI133" s="20"/>
      <c r="BJ133" s="20"/>
      <c r="BK133" s="19"/>
      <c r="BL133" s="19"/>
      <c r="BM133" s="19"/>
      <c r="BN133" s="19"/>
      <c r="BO133" s="19"/>
      <c r="BP133" s="19"/>
      <c r="BQ133" s="33"/>
      <c r="BR133" s="19"/>
      <c r="BS133" s="19"/>
    </row>
    <row r="134" spans="1:71" ht="14.25" customHeight="1">
      <c r="A134" s="9">
        <v>54</v>
      </c>
      <c r="B134" s="78">
        <f>OVERALL!B57</f>
        <v>2301396</v>
      </c>
      <c r="C134" s="79" t="str">
        <f>OVERALL!C57</f>
        <v>PRIYA</v>
      </c>
      <c r="D134" s="80">
        <v>7</v>
      </c>
      <c r="E134" s="80">
        <v>8</v>
      </c>
      <c r="F134" s="80">
        <v>7</v>
      </c>
      <c r="G134" s="80">
        <v>8</v>
      </c>
      <c r="H134" s="80">
        <v>7</v>
      </c>
      <c r="I134" s="80">
        <v>7</v>
      </c>
      <c r="J134" s="80">
        <v>8</v>
      </c>
      <c r="K134" s="80">
        <v>7</v>
      </c>
      <c r="L134" s="80">
        <v>8</v>
      </c>
      <c r="M134" s="80">
        <v>7</v>
      </c>
      <c r="N134" s="80">
        <v>8</v>
      </c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20"/>
      <c r="BC134" s="20"/>
      <c r="BD134" s="20"/>
      <c r="BE134" s="20"/>
      <c r="BF134" s="20"/>
      <c r="BG134" s="20"/>
      <c r="BH134" s="19"/>
      <c r="BI134" s="20"/>
      <c r="BJ134" s="20"/>
      <c r="BK134" s="19"/>
      <c r="BL134" s="19"/>
      <c r="BM134" s="19"/>
      <c r="BN134" s="19"/>
      <c r="BO134" s="19"/>
      <c r="BP134" s="19"/>
      <c r="BQ134" s="33"/>
      <c r="BR134" s="19"/>
      <c r="BS134" s="19"/>
    </row>
    <row r="135" spans="1:71" ht="14.25" customHeight="1">
      <c r="A135" s="9">
        <v>55</v>
      </c>
      <c r="B135" s="78">
        <f>OVERALL!B58</f>
        <v>2301397</v>
      </c>
      <c r="C135" s="79" t="str">
        <f>OVERALL!C58</f>
        <v>SAHIL</v>
      </c>
      <c r="D135" s="80">
        <v>8</v>
      </c>
      <c r="E135" s="80">
        <v>8</v>
      </c>
      <c r="F135" s="80">
        <v>7</v>
      </c>
      <c r="G135" s="80">
        <v>7</v>
      </c>
      <c r="H135" s="80">
        <v>6</v>
      </c>
      <c r="I135" s="80">
        <v>7</v>
      </c>
      <c r="J135" s="80">
        <v>9</v>
      </c>
      <c r="K135" s="80">
        <v>7</v>
      </c>
      <c r="L135" s="80">
        <v>7</v>
      </c>
      <c r="M135" s="80">
        <v>6</v>
      </c>
      <c r="N135" s="80">
        <v>8</v>
      </c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20"/>
      <c r="BC135" s="20"/>
      <c r="BD135" s="20"/>
      <c r="BE135" s="20"/>
      <c r="BF135" s="20"/>
      <c r="BG135" s="20"/>
      <c r="BH135" s="19"/>
      <c r="BI135" s="20"/>
      <c r="BJ135" s="20"/>
      <c r="BK135" s="19"/>
      <c r="BL135" s="19"/>
      <c r="BM135" s="19"/>
      <c r="BN135" s="19"/>
      <c r="BO135" s="19"/>
      <c r="BP135" s="19"/>
      <c r="BQ135" s="33"/>
      <c r="BR135" s="19"/>
      <c r="BS135" s="19"/>
    </row>
    <row r="136" spans="1:71" ht="14.25" customHeight="1">
      <c r="A136" s="9">
        <v>56</v>
      </c>
      <c r="B136" s="78">
        <f>OVERALL!B59</f>
        <v>2301398</v>
      </c>
      <c r="C136" s="79" t="str">
        <f>OVERALL!C59</f>
        <v>SANJANA</v>
      </c>
      <c r="D136" s="80">
        <v>9</v>
      </c>
      <c r="E136" s="80">
        <v>8</v>
      </c>
      <c r="F136" s="80">
        <v>7</v>
      </c>
      <c r="G136" s="80">
        <v>6</v>
      </c>
      <c r="H136" s="80">
        <v>7</v>
      </c>
      <c r="I136" s="80">
        <v>8</v>
      </c>
      <c r="J136" s="80">
        <v>8</v>
      </c>
      <c r="K136" s="80">
        <v>7</v>
      </c>
      <c r="L136" s="80">
        <v>6</v>
      </c>
      <c r="M136" s="80">
        <v>7</v>
      </c>
      <c r="N136" s="80">
        <v>7</v>
      </c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20"/>
      <c r="BC136" s="20"/>
      <c r="BD136" s="20"/>
      <c r="BE136" s="20"/>
      <c r="BF136" s="20"/>
      <c r="BG136" s="20"/>
      <c r="BH136" s="19"/>
      <c r="BI136" s="20"/>
      <c r="BJ136" s="20"/>
      <c r="BK136" s="19"/>
      <c r="BL136" s="19"/>
      <c r="BM136" s="19"/>
      <c r="BN136" s="19"/>
      <c r="BO136" s="19"/>
      <c r="BP136" s="19"/>
      <c r="BQ136" s="33"/>
      <c r="BR136" s="19"/>
      <c r="BS136" s="19"/>
    </row>
    <row r="137" spans="1:71" ht="14.25" customHeight="1">
      <c r="A137" s="9">
        <v>57</v>
      </c>
      <c r="B137" s="78">
        <f>OVERALL!B60</f>
        <v>2301399</v>
      </c>
      <c r="C137" s="79" t="str">
        <f>OVERALL!C60</f>
        <v>SANJAY</v>
      </c>
      <c r="D137" s="80">
        <v>9</v>
      </c>
      <c r="E137" s="80">
        <v>8</v>
      </c>
      <c r="F137" s="80">
        <v>9</v>
      </c>
      <c r="G137" s="80">
        <v>6</v>
      </c>
      <c r="H137" s="80">
        <v>8</v>
      </c>
      <c r="I137" s="80">
        <v>9</v>
      </c>
      <c r="J137" s="80">
        <v>7</v>
      </c>
      <c r="K137" s="80">
        <v>8</v>
      </c>
      <c r="L137" s="80">
        <v>6</v>
      </c>
      <c r="M137" s="80">
        <v>9</v>
      </c>
      <c r="N137" s="80">
        <v>9</v>
      </c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20"/>
      <c r="BC137" s="20"/>
      <c r="BD137" s="20"/>
      <c r="BE137" s="20"/>
      <c r="BF137" s="20"/>
      <c r="BG137" s="20"/>
      <c r="BH137" s="19"/>
      <c r="BI137" s="20"/>
      <c r="BJ137" s="20"/>
      <c r="BK137" s="19"/>
      <c r="BL137" s="19"/>
      <c r="BM137" s="19"/>
      <c r="BN137" s="19"/>
      <c r="BO137" s="19"/>
      <c r="BP137" s="19"/>
      <c r="BQ137" s="33"/>
      <c r="BR137" s="19"/>
      <c r="BS137" s="19"/>
    </row>
    <row r="138" spans="1:71" ht="14.25" customHeight="1">
      <c r="A138" s="9">
        <v>58</v>
      </c>
      <c r="B138" s="78">
        <f>OVERALL!B61</f>
        <v>2301401</v>
      </c>
      <c r="C138" s="79" t="str">
        <f>OVERALL!C61</f>
        <v>SMILE JASSAL</v>
      </c>
      <c r="D138" s="80">
        <v>8</v>
      </c>
      <c r="E138" s="80">
        <v>7</v>
      </c>
      <c r="F138" s="80">
        <v>8</v>
      </c>
      <c r="G138" s="80">
        <v>9</v>
      </c>
      <c r="H138" s="80">
        <v>8</v>
      </c>
      <c r="I138" s="80">
        <v>7</v>
      </c>
      <c r="J138" s="80">
        <v>8</v>
      </c>
      <c r="K138" s="80">
        <v>7</v>
      </c>
      <c r="L138" s="80">
        <v>8</v>
      </c>
      <c r="M138" s="80">
        <v>8</v>
      </c>
      <c r="N138" s="80">
        <v>8</v>
      </c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20"/>
      <c r="BC138" s="20"/>
      <c r="BD138" s="20"/>
      <c r="BE138" s="20"/>
      <c r="BF138" s="20"/>
      <c r="BG138" s="20"/>
      <c r="BH138" s="19"/>
      <c r="BI138" s="20"/>
      <c r="BJ138" s="20"/>
      <c r="BK138" s="19"/>
      <c r="BL138" s="19"/>
      <c r="BM138" s="19"/>
      <c r="BN138" s="19"/>
      <c r="BO138" s="19"/>
      <c r="BP138" s="19"/>
      <c r="BQ138" s="33"/>
      <c r="BR138" s="19"/>
      <c r="BS138" s="19"/>
    </row>
    <row r="139" spans="1:71" ht="14.25" customHeight="1">
      <c r="A139" s="9">
        <v>59</v>
      </c>
      <c r="B139" s="78">
        <f>OVERALL!B62</f>
        <v>2301402</v>
      </c>
      <c r="C139" s="79" t="str">
        <f>OVERALL!C62</f>
        <v>SUMIT BHARAJ</v>
      </c>
      <c r="D139" s="80">
        <v>9</v>
      </c>
      <c r="E139" s="80">
        <v>8</v>
      </c>
      <c r="F139" s="80">
        <v>9</v>
      </c>
      <c r="G139" s="80">
        <v>9</v>
      </c>
      <c r="H139" s="80">
        <v>9</v>
      </c>
      <c r="I139" s="80">
        <v>8</v>
      </c>
      <c r="J139" s="80">
        <v>9</v>
      </c>
      <c r="K139" s="80">
        <v>8</v>
      </c>
      <c r="L139" s="80">
        <v>9</v>
      </c>
      <c r="M139" s="80">
        <v>9</v>
      </c>
      <c r="N139" s="80">
        <v>7</v>
      </c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20"/>
      <c r="BC139" s="20"/>
      <c r="BD139" s="20"/>
      <c r="BE139" s="20"/>
      <c r="BF139" s="20"/>
      <c r="BG139" s="20"/>
      <c r="BH139" s="19"/>
      <c r="BI139" s="20"/>
      <c r="BJ139" s="20"/>
      <c r="BK139" s="19"/>
      <c r="BL139" s="19"/>
      <c r="BM139" s="19"/>
      <c r="BN139" s="19"/>
      <c r="BO139" s="19"/>
      <c r="BP139" s="19"/>
      <c r="BQ139" s="33"/>
      <c r="BR139" s="19"/>
      <c r="BS139" s="19"/>
    </row>
    <row r="140" spans="1:71" ht="14.25" customHeight="1">
      <c r="A140" s="9">
        <v>60</v>
      </c>
      <c r="B140" s="78">
        <f>OVERALL!B63</f>
        <v>2301403</v>
      </c>
      <c r="C140" s="79" t="str">
        <f>OVERALL!C63</f>
        <v>SUNAKSHI</v>
      </c>
      <c r="D140" s="80">
        <v>9</v>
      </c>
      <c r="E140" s="80">
        <v>8</v>
      </c>
      <c r="F140" s="80">
        <v>9</v>
      </c>
      <c r="G140" s="80">
        <v>7</v>
      </c>
      <c r="H140" s="80">
        <v>8</v>
      </c>
      <c r="I140" s="80">
        <v>9</v>
      </c>
      <c r="J140" s="80">
        <v>8</v>
      </c>
      <c r="K140" s="80">
        <v>9</v>
      </c>
      <c r="L140" s="80">
        <v>8</v>
      </c>
      <c r="M140" s="80">
        <v>7</v>
      </c>
      <c r="N140" s="80">
        <v>8</v>
      </c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20"/>
      <c r="BC140" s="20"/>
      <c r="BD140" s="20"/>
      <c r="BE140" s="20"/>
      <c r="BF140" s="20"/>
      <c r="BG140" s="20"/>
      <c r="BH140" s="19"/>
      <c r="BI140" s="20"/>
      <c r="BJ140" s="20"/>
      <c r="BK140" s="19"/>
      <c r="BL140" s="19"/>
      <c r="BM140" s="19"/>
      <c r="BN140" s="19"/>
      <c r="BO140" s="19"/>
      <c r="BP140" s="19"/>
      <c r="BQ140" s="33"/>
      <c r="BR140" s="19"/>
      <c r="BS140" s="19"/>
    </row>
    <row r="141" spans="1:71" ht="14.25" customHeight="1">
      <c r="A141" s="9">
        <v>61</v>
      </c>
      <c r="B141" s="78">
        <f>OVERALL!B64</f>
        <v>2301404</v>
      </c>
      <c r="C141" s="79" t="str">
        <f>OVERALL!C64</f>
        <v>VANSH</v>
      </c>
      <c r="D141" s="80">
        <v>0</v>
      </c>
      <c r="E141" s="80">
        <v>0</v>
      </c>
      <c r="F141" s="80">
        <v>0</v>
      </c>
      <c r="G141" s="80">
        <v>6</v>
      </c>
      <c r="H141" s="80">
        <v>6</v>
      </c>
      <c r="I141" s="80">
        <v>7</v>
      </c>
      <c r="J141" s="80">
        <v>6</v>
      </c>
      <c r="K141" s="80">
        <v>5</v>
      </c>
      <c r="L141" s="80">
        <v>7</v>
      </c>
      <c r="M141" s="80">
        <v>7</v>
      </c>
      <c r="N141" s="80">
        <v>7</v>
      </c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20"/>
      <c r="BC141" s="20"/>
      <c r="BD141" s="20"/>
      <c r="BE141" s="20"/>
      <c r="BF141" s="20"/>
      <c r="BG141" s="20"/>
      <c r="BH141" s="19"/>
      <c r="BI141" s="20"/>
      <c r="BJ141" s="20"/>
      <c r="BK141" s="19"/>
      <c r="BL141" s="19"/>
      <c r="BM141" s="19"/>
      <c r="BN141" s="19"/>
      <c r="BO141" s="19"/>
      <c r="BP141" s="19"/>
      <c r="BQ141" s="33"/>
      <c r="BR141" s="19"/>
      <c r="BS141" s="19"/>
    </row>
    <row r="142" spans="1:71" ht="14.25" customHeight="1">
      <c r="A142" s="9">
        <v>62</v>
      </c>
      <c r="B142" s="78">
        <f>OVERALL!B65</f>
        <v>2301405</v>
      </c>
      <c r="C142" s="79" t="str">
        <f>OVERALL!C65</f>
        <v>VARINDER BHATOY</v>
      </c>
      <c r="D142" s="80">
        <v>6</v>
      </c>
      <c r="E142" s="80">
        <v>7</v>
      </c>
      <c r="F142" s="80">
        <v>7</v>
      </c>
      <c r="G142" s="80">
        <v>6</v>
      </c>
      <c r="H142" s="80">
        <v>7</v>
      </c>
      <c r="I142" s="80">
        <v>8</v>
      </c>
      <c r="J142" s="80">
        <v>8</v>
      </c>
      <c r="K142" s="80">
        <v>7</v>
      </c>
      <c r="L142" s="80">
        <v>6</v>
      </c>
      <c r="M142" s="80">
        <v>7</v>
      </c>
      <c r="N142" s="80">
        <v>8</v>
      </c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20"/>
      <c r="BC142" s="20"/>
      <c r="BD142" s="20"/>
      <c r="BE142" s="20"/>
      <c r="BF142" s="20"/>
      <c r="BG142" s="20"/>
      <c r="BH142" s="19"/>
      <c r="BI142" s="20"/>
      <c r="BJ142" s="20"/>
      <c r="BK142" s="19"/>
      <c r="BL142" s="19"/>
      <c r="BM142" s="19"/>
      <c r="BN142" s="19"/>
      <c r="BO142" s="19"/>
      <c r="BP142" s="19"/>
      <c r="BQ142" s="33"/>
      <c r="BR142" s="19"/>
      <c r="BS142" s="19"/>
    </row>
    <row r="143" spans="1:71" ht="14.25" customHeight="1">
      <c r="A143" s="9">
        <v>63</v>
      </c>
      <c r="B143" s="78">
        <f>OVERALL!B66</f>
        <v>2301407</v>
      </c>
      <c r="C143" s="79" t="str">
        <f>OVERALL!C66</f>
        <v>YASHODHA</v>
      </c>
      <c r="D143" s="80">
        <v>7</v>
      </c>
      <c r="E143" s="80">
        <v>8</v>
      </c>
      <c r="F143" s="80">
        <v>7</v>
      </c>
      <c r="G143" s="80">
        <v>8</v>
      </c>
      <c r="H143" s="80">
        <v>6</v>
      </c>
      <c r="I143" s="80">
        <v>7</v>
      </c>
      <c r="J143" s="80">
        <v>8</v>
      </c>
      <c r="K143" s="80">
        <v>7</v>
      </c>
      <c r="L143" s="80">
        <v>8</v>
      </c>
      <c r="M143" s="80">
        <v>6</v>
      </c>
      <c r="N143" s="80">
        <v>8</v>
      </c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20"/>
      <c r="BC143" s="20"/>
      <c r="BD143" s="20"/>
      <c r="BE143" s="20"/>
      <c r="BF143" s="20"/>
      <c r="BG143" s="20"/>
      <c r="BH143" s="19"/>
      <c r="BI143" s="20"/>
      <c r="BJ143" s="20"/>
      <c r="BK143" s="19"/>
      <c r="BL143" s="19"/>
      <c r="BM143" s="19"/>
      <c r="BN143" s="19"/>
      <c r="BO143" s="19"/>
      <c r="BP143" s="19"/>
      <c r="BQ143" s="33"/>
      <c r="BR143" s="19"/>
      <c r="BS143" s="19"/>
    </row>
    <row r="144" spans="1:71" ht="14.25" customHeight="1">
      <c r="A144" s="9">
        <v>64</v>
      </c>
      <c r="B144" s="78">
        <f>OVERALL!B67</f>
        <v>2301408</v>
      </c>
      <c r="C144" s="79" t="str">
        <f>OVERALL!C67</f>
        <v>YOGESH SINGH</v>
      </c>
      <c r="D144" s="80">
        <v>0</v>
      </c>
      <c r="E144" s="80">
        <v>0</v>
      </c>
      <c r="F144" s="80">
        <v>0</v>
      </c>
      <c r="G144" s="80">
        <v>0</v>
      </c>
      <c r="H144" s="80">
        <v>0</v>
      </c>
      <c r="I144" s="80">
        <v>0</v>
      </c>
      <c r="J144" s="80">
        <v>0</v>
      </c>
      <c r="K144" s="80">
        <v>0</v>
      </c>
      <c r="L144" s="80">
        <v>0</v>
      </c>
      <c r="M144" s="80">
        <v>0</v>
      </c>
      <c r="N144" s="80">
        <v>0</v>
      </c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20"/>
      <c r="BC144" s="20"/>
      <c r="BD144" s="20"/>
      <c r="BE144" s="20"/>
      <c r="BF144" s="20"/>
      <c r="BG144" s="20"/>
      <c r="BH144" s="19"/>
      <c r="BI144" s="20"/>
      <c r="BJ144" s="20"/>
      <c r="BK144" s="19"/>
      <c r="BL144" s="19"/>
      <c r="BM144" s="19"/>
      <c r="BN144" s="19"/>
      <c r="BO144" s="19"/>
      <c r="BP144" s="19"/>
      <c r="BQ144" s="33"/>
      <c r="BR144" s="19"/>
      <c r="BS144" s="19"/>
    </row>
    <row r="145" spans="1:71" ht="14.25" customHeight="1">
      <c r="A145" s="9">
        <v>65</v>
      </c>
      <c r="B145" s="78">
        <f>OVERALL!B68</f>
        <v>2322658</v>
      </c>
      <c r="C145" s="79" t="str">
        <f>OVERALL!C68</f>
        <v>BHAWANI THAKUR</v>
      </c>
      <c r="D145" s="80">
        <v>9</v>
      </c>
      <c r="E145" s="80">
        <v>8</v>
      </c>
      <c r="F145" s="80">
        <v>6</v>
      </c>
      <c r="G145" s="80">
        <v>7</v>
      </c>
      <c r="H145" s="80">
        <v>8</v>
      </c>
      <c r="I145" s="80">
        <v>9</v>
      </c>
      <c r="J145" s="80">
        <v>6</v>
      </c>
      <c r="K145" s="80">
        <v>7</v>
      </c>
      <c r="L145" s="80">
        <v>7</v>
      </c>
      <c r="M145" s="80">
        <v>0</v>
      </c>
      <c r="N145" s="80">
        <v>9</v>
      </c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20"/>
      <c r="BC145" s="20"/>
      <c r="BD145" s="20"/>
      <c r="BE145" s="20"/>
      <c r="BF145" s="20"/>
      <c r="BG145" s="20"/>
      <c r="BH145" s="19"/>
      <c r="BI145" s="20"/>
      <c r="BJ145" s="20"/>
      <c r="BK145" s="19"/>
      <c r="BL145" s="19"/>
      <c r="BM145" s="19"/>
      <c r="BN145" s="19"/>
      <c r="BO145" s="19"/>
      <c r="BP145" s="19"/>
      <c r="BQ145" s="33"/>
      <c r="BR145" s="19"/>
      <c r="BS145" s="19"/>
    </row>
    <row r="146" spans="1:71" ht="14.25" customHeight="1">
      <c r="A146" s="9">
        <v>66</v>
      </c>
      <c r="B146" s="78">
        <f>OVERALL!B69</f>
        <v>2322659</v>
      </c>
      <c r="C146" s="79" t="str">
        <f>OVERALL!C69</f>
        <v>HARGUN KAUR</v>
      </c>
      <c r="D146" s="80">
        <v>9</v>
      </c>
      <c r="E146" s="80">
        <v>8</v>
      </c>
      <c r="F146" s="80">
        <v>8</v>
      </c>
      <c r="G146" s="80">
        <v>7</v>
      </c>
      <c r="H146" s="80">
        <v>8</v>
      </c>
      <c r="I146" s="80">
        <v>8</v>
      </c>
      <c r="J146" s="80">
        <v>7</v>
      </c>
      <c r="K146" s="80">
        <v>9</v>
      </c>
      <c r="L146" s="80">
        <v>6</v>
      </c>
      <c r="M146" s="80">
        <v>8</v>
      </c>
      <c r="N146" s="80">
        <v>9</v>
      </c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20"/>
      <c r="BC146" s="20"/>
      <c r="BD146" s="20"/>
      <c r="BE146" s="20"/>
      <c r="BF146" s="20"/>
      <c r="BG146" s="20"/>
      <c r="BH146" s="19"/>
      <c r="BI146" s="20"/>
      <c r="BJ146" s="20"/>
      <c r="BK146" s="19"/>
      <c r="BL146" s="19"/>
      <c r="BM146" s="19"/>
      <c r="BN146" s="19"/>
      <c r="BO146" s="19"/>
      <c r="BP146" s="19"/>
      <c r="BQ146" s="33"/>
      <c r="BR146" s="19"/>
      <c r="BS146" s="19"/>
    </row>
    <row r="147" spans="1:71" ht="14.25" customHeight="1">
      <c r="A147" s="9">
        <v>67</v>
      </c>
      <c r="B147" s="78">
        <f>OVERALL!B70</f>
        <v>2322665</v>
      </c>
      <c r="C147" s="79" t="str">
        <f>OVERALL!C70</f>
        <v>PAWAN KUMAR</v>
      </c>
      <c r="D147" s="80">
        <v>8</v>
      </c>
      <c r="E147" s="80">
        <v>7</v>
      </c>
      <c r="F147" s="80">
        <v>8</v>
      </c>
      <c r="G147" s="80">
        <v>8</v>
      </c>
      <c r="H147" s="80">
        <v>8</v>
      </c>
      <c r="I147" s="80">
        <v>9</v>
      </c>
      <c r="J147" s="80">
        <v>8</v>
      </c>
      <c r="K147" s="80">
        <v>8</v>
      </c>
      <c r="L147" s="80">
        <v>7</v>
      </c>
      <c r="M147" s="80">
        <v>8</v>
      </c>
      <c r="N147" s="80">
        <v>8</v>
      </c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20"/>
      <c r="BC147" s="20"/>
      <c r="BD147" s="20"/>
      <c r="BE147" s="20"/>
      <c r="BF147" s="20"/>
      <c r="BG147" s="20"/>
      <c r="BH147" s="19"/>
      <c r="BI147" s="20"/>
      <c r="BJ147" s="20"/>
      <c r="BK147" s="19"/>
      <c r="BL147" s="19"/>
      <c r="BM147" s="19"/>
      <c r="BN147" s="19"/>
      <c r="BO147" s="19"/>
      <c r="BP147" s="19"/>
      <c r="BQ147" s="33"/>
      <c r="BR147" s="19"/>
      <c r="BS147" s="19"/>
    </row>
    <row r="148" spans="1:71" ht="14.25" customHeight="1">
      <c r="A148" s="9">
        <v>68</v>
      </c>
      <c r="B148" s="78">
        <f>OVERALL!B71</f>
        <v>2322666</v>
      </c>
      <c r="C148" s="79" t="str">
        <f>OVERALL!C71</f>
        <v>PRINCE ABHISHEK</v>
      </c>
      <c r="D148" s="80">
        <v>6</v>
      </c>
      <c r="E148" s="80">
        <v>0</v>
      </c>
      <c r="F148" s="80">
        <v>7</v>
      </c>
      <c r="G148" s="80">
        <v>6</v>
      </c>
      <c r="H148" s="80">
        <v>7</v>
      </c>
      <c r="I148" s="80">
        <v>8</v>
      </c>
      <c r="J148" s="80">
        <v>8</v>
      </c>
      <c r="K148" s="80">
        <v>7</v>
      </c>
      <c r="L148" s="80">
        <v>7</v>
      </c>
      <c r="M148" s="80">
        <v>6</v>
      </c>
      <c r="N148" s="80">
        <v>8</v>
      </c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20"/>
      <c r="BC148" s="20"/>
      <c r="BD148" s="20"/>
      <c r="BE148" s="20"/>
      <c r="BF148" s="20"/>
      <c r="BG148" s="20"/>
      <c r="BH148" s="19"/>
      <c r="BI148" s="20"/>
      <c r="BJ148" s="20"/>
      <c r="BK148" s="19"/>
      <c r="BL148" s="19"/>
      <c r="BM148" s="19"/>
      <c r="BN148" s="19"/>
      <c r="BO148" s="19"/>
      <c r="BP148" s="19"/>
      <c r="BQ148" s="33"/>
      <c r="BR148" s="19"/>
      <c r="BS148" s="19"/>
    </row>
    <row r="149" spans="1:71" ht="14.25" customHeight="1">
      <c r="A149" s="9">
        <v>69</v>
      </c>
      <c r="B149" s="78">
        <f>OVERALL!B72</f>
        <v>2322670</v>
      </c>
      <c r="C149" s="79" t="str">
        <f>OVERALL!C72</f>
        <v>SUMIT MAHEY</v>
      </c>
      <c r="D149" s="80">
        <v>8</v>
      </c>
      <c r="E149" s="80">
        <v>7</v>
      </c>
      <c r="F149" s="80">
        <v>8</v>
      </c>
      <c r="G149" s="80">
        <v>8</v>
      </c>
      <c r="H149" s="80">
        <v>8</v>
      </c>
      <c r="I149" s="80">
        <v>7</v>
      </c>
      <c r="J149" s="80">
        <v>7</v>
      </c>
      <c r="K149" s="80">
        <v>8</v>
      </c>
      <c r="L149" s="80">
        <v>7</v>
      </c>
      <c r="M149" s="80">
        <v>6</v>
      </c>
      <c r="N149" s="80">
        <v>8</v>
      </c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20"/>
      <c r="BC149" s="20"/>
      <c r="BD149" s="20"/>
      <c r="BE149" s="20"/>
      <c r="BF149" s="20"/>
      <c r="BG149" s="20"/>
      <c r="BH149" s="19"/>
      <c r="BI149" s="20"/>
      <c r="BJ149" s="20"/>
      <c r="BK149" s="19"/>
      <c r="BL149" s="19"/>
      <c r="BM149" s="19"/>
      <c r="BN149" s="19"/>
      <c r="BO149" s="19"/>
      <c r="BP149" s="19"/>
      <c r="BQ149" s="33"/>
      <c r="BR149" s="19"/>
      <c r="BS149" s="19"/>
    </row>
    <row r="150" spans="1:71" ht="14.25" customHeight="1">
      <c r="A150" s="9">
        <v>70</v>
      </c>
      <c r="B150" s="78">
        <f>OVERALL!B73</f>
        <v>2322673</v>
      </c>
      <c r="C150" s="79" t="str">
        <f>OVERALL!C73</f>
        <v>USMAN ALI</v>
      </c>
      <c r="D150" s="80">
        <v>6</v>
      </c>
      <c r="E150" s="80">
        <v>7</v>
      </c>
      <c r="F150" s="80">
        <v>7</v>
      </c>
      <c r="G150" s="80">
        <v>8</v>
      </c>
      <c r="H150" s="80">
        <v>7</v>
      </c>
      <c r="I150" s="80">
        <v>8</v>
      </c>
      <c r="J150" s="80">
        <v>8</v>
      </c>
      <c r="K150" s="80">
        <v>9</v>
      </c>
      <c r="L150" s="80">
        <v>8</v>
      </c>
      <c r="M150" s="80">
        <v>7</v>
      </c>
      <c r="N150" s="80">
        <v>8</v>
      </c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20"/>
      <c r="BC150" s="20"/>
      <c r="BD150" s="20"/>
      <c r="BE150" s="20"/>
      <c r="BF150" s="20"/>
      <c r="BG150" s="20"/>
      <c r="BH150" s="19"/>
      <c r="BI150" s="20"/>
      <c r="BJ150" s="20"/>
      <c r="BK150" s="19"/>
      <c r="BL150" s="19"/>
      <c r="BM150" s="19"/>
      <c r="BN150" s="19"/>
      <c r="BO150" s="19"/>
      <c r="BP150" s="19"/>
      <c r="BQ150" s="33"/>
      <c r="BR150" s="19"/>
      <c r="BS150" s="19"/>
    </row>
    <row r="151" spans="1:71" ht="14.25" customHeight="1">
      <c r="A151" s="19"/>
      <c r="B151" s="20"/>
      <c r="C151" s="31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19"/>
      <c r="BI151" s="20"/>
      <c r="BJ151" s="20"/>
      <c r="BK151" s="19"/>
      <c r="BL151" s="19"/>
      <c r="BM151" s="19"/>
      <c r="BN151" s="19"/>
      <c r="BO151" s="19"/>
      <c r="BP151" s="19"/>
      <c r="BQ151" s="33"/>
      <c r="BR151" s="19"/>
      <c r="BS151" s="19"/>
    </row>
    <row r="152" spans="1:71" ht="14.25" customHeight="1">
      <c r="A152" s="19"/>
      <c r="B152" s="20"/>
      <c r="C152" s="31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19"/>
      <c r="BI152" s="20"/>
      <c r="BJ152" s="20"/>
      <c r="BK152" s="19"/>
      <c r="BL152" s="19"/>
      <c r="BM152" s="19"/>
      <c r="BN152" s="19"/>
      <c r="BO152" s="19"/>
      <c r="BP152" s="19"/>
      <c r="BQ152" s="33"/>
      <c r="BR152" s="19"/>
      <c r="BS152" s="19"/>
    </row>
    <row r="153" spans="1:71" ht="14.25" customHeight="1">
      <c r="A153" s="19"/>
      <c r="B153" s="20"/>
      <c r="C153" s="3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19"/>
      <c r="BI153" s="20"/>
      <c r="BJ153" s="20"/>
      <c r="BK153" s="19"/>
      <c r="BL153" s="19"/>
      <c r="BM153" s="19"/>
      <c r="BN153" s="19"/>
      <c r="BO153" s="19"/>
      <c r="BP153" s="19"/>
      <c r="BQ153" s="33"/>
      <c r="BR153" s="19"/>
      <c r="BS153" s="19"/>
    </row>
    <row r="154" spans="1:71" ht="14.25" customHeight="1">
      <c r="A154" s="19"/>
      <c r="B154" s="20"/>
      <c r="C154" s="3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19"/>
      <c r="BI154" s="20"/>
      <c r="BJ154" s="20"/>
      <c r="BK154" s="19"/>
      <c r="BL154" s="19"/>
      <c r="BM154" s="19"/>
      <c r="BN154" s="19"/>
      <c r="BO154" s="19"/>
      <c r="BP154" s="19"/>
      <c r="BQ154" s="33"/>
      <c r="BR154" s="19"/>
      <c r="BS154" s="19"/>
    </row>
    <row r="155" spans="1:71" ht="14.25" customHeight="1">
      <c r="A155" s="19"/>
      <c r="B155" s="20"/>
      <c r="C155" s="3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19"/>
      <c r="BI155" s="20"/>
      <c r="BJ155" s="20"/>
      <c r="BK155" s="19"/>
      <c r="BL155" s="19"/>
      <c r="BM155" s="19"/>
      <c r="BN155" s="19"/>
      <c r="BO155" s="19"/>
      <c r="BP155" s="19"/>
      <c r="BQ155" s="33"/>
      <c r="BR155" s="19"/>
      <c r="BS155" s="19"/>
    </row>
    <row r="156" spans="1:71" ht="14.25" customHeight="1">
      <c r="A156" s="19"/>
      <c r="B156" s="20"/>
      <c r="C156" s="3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19"/>
      <c r="BI156" s="20"/>
      <c r="BJ156" s="20"/>
      <c r="BK156" s="19"/>
      <c r="BL156" s="19"/>
      <c r="BM156" s="19"/>
      <c r="BN156" s="19"/>
      <c r="BO156" s="19"/>
      <c r="BP156" s="19"/>
      <c r="BQ156" s="33"/>
      <c r="BR156" s="19"/>
      <c r="BS156" s="19"/>
    </row>
    <row r="157" spans="1:71" ht="14.25" customHeight="1">
      <c r="A157" s="19"/>
      <c r="B157" s="20"/>
      <c r="C157" s="3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19"/>
      <c r="BI157" s="20"/>
      <c r="BJ157" s="20"/>
      <c r="BK157" s="19"/>
      <c r="BL157" s="19"/>
      <c r="BM157" s="19"/>
      <c r="BN157" s="19"/>
      <c r="BO157" s="19"/>
      <c r="BP157" s="19"/>
      <c r="BQ157" s="33"/>
      <c r="BR157" s="19"/>
      <c r="BS157" s="19"/>
    </row>
    <row r="158" spans="1:71" ht="14.25" customHeight="1">
      <c r="A158" s="19"/>
      <c r="B158" s="20"/>
      <c r="C158" s="3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19"/>
      <c r="BI158" s="20"/>
      <c r="BJ158" s="20"/>
      <c r="BK158" s="19"/>
      <c r="BL158" s="19"/>
      <c r="BM158" s="19"/>
      <c r="BN158" s="19"/>
      <c r="BO158" s="19"/>
      <c r="BP158" s="19"/>
      <c r="BQ158" s="33"/>
      <c r="BR158" s="19"/>
      <c r="BS158" s="19"/>
    </row>
    <row r="159" spans="1:71" ht="14.25" customHeight="1">
      <c r="A159" s="19"/>
      <c r="B159" s="20"/>
      <c r="C159" s="3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19"/>
      <c r="BI159" s="20"/>
      <c r="BJ159" s="20"/>
      <c r="BK159" s="19"/>
      <c r="BL159" s="19"/>
      <c r="BM159" s="19"/>
      <c r="BN159" s="19"/>
      <c r="BO159" s="19"/>
      <c r="BP159" s="19"/>
      <c r="BQ159" s="33"/>
      <c r="BR159" s="19"/>
      <c r="BS159" s="19"/>
    </row>
    <row r="160" spans="1:71" ht="14.25" customHeight="1">
      <c r="A160" s="19"/>
      <c r="B160" s="20"/>
      <c r="C160" s="3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19"/>
      <c r="BI160" s="20"/>
      <c r="BJ160" s="20"/>
      <c r="BK160" s="19"/>
      <c r="BL160" s="19"/>
      <c r="BM160" s="19"/>
      <c r="BN160" s="19"/>
      <c r="BO160" s="19"/>
      <c r="BP160" s="19"/>
      <c r="BQ160" s="33"/>
      <c r="BR160" s="19"/>
      <c r="BS160" s="19"/>
    </row>
    <row r="161" spans="1:71" ht="14.25" customHeight="1">
      <c r="A161" s="19"/>
      <c r="B161" s="20"/>
      <c r="C161" s="3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19"/>
      <c r="BI161" s="20"/>
      <c r="BJ161" s="20"/>
      <c r="BK161" s="19"/>
      <c r="BL161" s="19"/>
      <c r="BM161" s="19"/>
      <c r="BN161" s="19"/>
      <c r="BO161" s="19"/>
      <c r="BP161" s="19"/>
      <c r="BQ161" s="33"/>
      <c r="BR161" s="19"/>
      <c r="BS161" s="19"/>
    </row>
    <row r="162" spans="1:71" ht="14.25" customHeight="1">
      <c r="A162" s="19"/>
      <c r="B162" s="20"/>
      <c r="C162" s="3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19"/>
      <c r="BI162" s="20"/>
      <c r="BJ162" s="20"/>
      <c r="BK162" s="19"/>
      <c r="BL162" s="19"/>
      <c r="BM162" s="19"/>
      <c r="BN162" s="19"/>
      <c r="BO162" s="19"/>
      <c r="BP162" s="19"/>
      <c r="BQ162" s="33"/>
      <c r="BR162" s="19"/>
      <c r="BS162" s="19"/>
    </row>
    <row r="163" spans="1:71" ht="14.25" customHeight="1">
      <c r="A163" s="19"/>
      <c r="B163" s="20"/>
      <c r="C163" s="3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19"/>
      <c r="BI163" s="20"/>
      <c r="BJ163" s="20"/>
      <c r="BK163" s="19"/>
      <c r="BL163" s="19"/>
      <c r="BM163" s="19"/>
      <c r="BN163" s="19"/>
      <c r="BO163" s="19"/>
      <c r="BP163" s="19"/>
      <c r="BQ163" s="33"/>
      <c r="BR163" s="19"/>
      <c r="BS163" s="19"/>
    </row>
    <row r="164" spans="1:71" ht="14.25" customHeigh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19"/>
      <c r="BI164" s="20"/>
      <c r="BJ164" s="20"/>
      <c r="BK164" s="19"/>
      <c r="BL164" s="19"/>
      <c r="BM164" s="19"/>
      <c r="BN164" s="19"/>
      <c r="BO164" s="19"/>
      <c r="BP164" s="19"/>
      <c r="BQ164" s="33"/>
      <c r="BR164" s="19"/>
      <c r="BS164" s="19"/>
    </row>
    <row r="165" spans="1:71" ht="14.25" customHeight="1">
      <c r="A165" s="19"/>
      <c r="B165" s="20"/>
      <c r="C165" s="3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19"/>
      <c r="BI165" s="20"/>
      <c r="BJ165" s="20"/>
      <c r="BK165" s="19"/>
      <c r="BL165" s="19"/>
      <c r="BM165" s="19"/>
      <c r="BN165" s="19"/>
      <c r="BO165" s="19"/>
      <c r="BP165" s="19"/>
      <c r="BQ165" s="33"/>
      <c r="BR165" s="19"/>
      <c r="BS165" s="19"/>
    </row>
    <row r="166" spans="1:71" ht="14.25" customHeight="1">
      <c r="A166" s="19"/>
      <c r="B166" s="20"/>
      <c r="C166" s="3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19"/>
      <c r="BI166" s="20"/>
      <c r="BJ166" s="20"/>
      <c r="BK166" s="19"/>
      <c r="BL166" s="19"/>
      <c r="BM166" s="19"/>
      <c r="BN166" s="19"/>
      <c r="BO166" s="19"/>
      <c r="BP166" s="19"/>
      <c r="BQ166" s="33"/>
      <c r="BR166" s="19"/>
      <c r="BS166" s="19"/>
    </row>
    <row r="167" spans="1:71" ht="14.25" customHeight="1">
      <c r="A167" s="19"/>
      <c r="B167" s="20"/>
      <c r="C167" s="3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19"/>
      <c r="BI167" s="20"/>
      <c r="BJ167" s="20"/>
      <c r="BK167" s="19"/>
      <c r="BL167" s="19"/>
      <c r="BM167" s="19"/>
      <c r="BN167" s="19"/>
      <c r="BO167" s="19"/>
      <c r="BP167" s="19"/>
      <c r="BQ167" s="33"/>
      <c r="BR167" s="19"/>
      <c r="BS167" s="19"/>
    </row>
    <row r="168" spans="1:71" ht="14.25" customHeight="1">
      <c r="A168" s="19"/>
      <c r="B168" s="20"/>
      <c r="C168" s="3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19"/>
      <c r="BI168" s="20"/>
      <c r="BJ168" s="20"/>
      <c r="BK168" s="19"/>
      <c r="BL168" s="19"/>
      <c r="BM168" s="19"/>
      <c r="BN168" s="19"/>
      <c r="BO168" s="19"/>
      <c r="BP168" s="19"/>
      <c r="BQ168" s="33"/>
      <c r="BR168" s="19"/>
      <c r="BS168" s="19"/>
    </row>
    <row r="169" spans="1:71" ht="14.25" customHeight="1">
      <c r="A169" s="19"/>
      <c r="B169" s="20"/>
      <c r="C169" s="3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19"/>
      <c r="BI169" s="20"/>
      <c r="BJ169" s="20"/>
      <c r="BK169" s="19"/>
      <c r="BL169" s="19"/>
      <c r="BM169" s="19"/>
      <c r="BN169" s="19"/>
      <c r="BO169" s="19"/>
      <c r="BP169" s="19"/>
      <c r="BQ169" s="33"/>
      <c r="BR169" s="19"/>
      <c r="BS169" s="19"/>
    </row>
    <row r="170" spans="1:71" ht="14.25" customHeight="1">
      <c r="A170" s="19"/>
      <c r="B170" s="20"/>
      <c r="C170" s="3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19"/>
      <c r="BI170" s="20"/>
      <c r="BJ170" s="20"/>
      <c r="BK170" s="19"/>
      <c r="BL170" s="19"/>
      <c r="BM170" s="19"/>
      <c r="BN170" s="19"/>
      <c r="BO170" s="19"/>
      <c r="BP170" s="19"/>
      <c r="BQ170" s="33"/>
      <c r="BR170" s="19"/>
      <c r="BS170" s="19"/>
    </row>
    <row r="171" spans="1:71" ht="14.25" customHeight="1">
      <c r="A171" s="19"/>
      <c r="B171" s="20"/>
      <c r="C171" s="3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19"/>
      <c r="BI171" s="20"/>
      <c r="BJ171" s="20"/>
      <c r="BK171" s="19"/>
      <c r="BL171" s="19"/>
      <c r="BM171" s="19"/>
      <c r="BN171" s="19"/>
      <c r="BO171" s="19"/>
      <c r="BP171" s="19"/>
      <c r="BQ171" s="33"/>
      <c r="BR171" s="19"/>
      <c r="BS171" s="19"/>
    </row>
    <row r="172" spans="1:71" ht="14.25" customHeight="1">
      <c r="A172" s="19"/>
      <c r="B172" s="20"/>
      <c r="C172" s="3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19"/>
      <c r="BI172" s="20"/>
      <c r="BJ172" s="20"/>
      <c r="BK172" s="19"/>
      <c r="BL172" s="19"/>
      <c r="BM172" s="19"/>
      <c r="BN172" s="19"/>
      <c r="BO172" s="19"/>
      <c r="BP172" s="19"/>
      <c r="BQ172" s="33"/>
      <c r="BR172" s="19"/>
      <c r="BS172" s="19"/>
    </row>
    <row r="173" spans="1:71" ht="14.25" customHeight="1">
      <c r="A173" s="19"/>
      <c r="B173" s="20"/>
      <c r="C173" s="3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19"/>
      <c r="BI173" s="20"/>
      <c r="BJ173" s="20"/>
      <c r="BK173" s="19"/>
      <c r="BL173" s="19"/>
      <c r="BM173" s="19"/>
      <c r="BN173" s="19"/>
      <c r="BO173" s="19"/>
      <c r="BP173" s="19"/>
      <c r="BQ173" s="33"/>
      <c r="BR173" s="19"/>
      <c r="BS173" s="19"/>
    </row>
    <row r="174" spans="1:71" ht="14.25" customHeight="1">
      <c r="A174" s="19"/>
      <c r="B174" s="20"/>
      <c r="C174" s="3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19"/>
      <c r="BI174" s="20"/>
      <c r="BJ174" s="20"/>
      <c r="BK174" s="19"/>
      <c r="BL174" s="19"/>
      <c r="BM174" s="19"/>
      <c r="BN174" s="19"/>
      <c r="BO174" s="19"/>
      <c r="BP174" s="19"/>
      <c r="BQ174" s="33"/>
      <c r="BR174" s="19"/>
      <c r="BS174" s="19"/>
    </row>
    <row r="175" spans="1:71" ht="14.25" customHeight="1">
      <c r="A175" s="19"/>
      <c r="B175" s="20"/>
      <c r="C175" s="3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19"/>
      <c r="BI175" s="20"/>
      <c r="BJ175" s="20"/>
      <c r="BK175" s="19"/>
      <c r="BL175" s="19"/>
      <c r="BM175" s="19"/>
      <c r="BN175" s="19"/>
      <c r="BO175" s="19"/>
      <c r="BP175" s="19"/>
      <c r="BQ175" s="33"/>
      <c r="BR175" s="19"/>
      <c r="BS175" s="19"/>
    </row>
    <row r="176" spans="1:71" ht="14.25" customHeight="1">
      <c r="A176" s="19"/>
      <c r="B176" s="20"/>
      <c r="C176" s="3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19"/>
      <c r="BI176" s="20"/>
      <c r="BJ176" s="20"/>
      <c r="BK176" s="19"/>
      <c r="BL176" s="19"/>
      <c r="BM176" s="19"/>
      <c r="BN176" s="19"/>
      <c r="BO176" s="19"/>
      <c r="BP176" s="19"/>
      <c r="BQ176" s="33"/>
      <c r="BR176" s="19"/>
      <c r="BS176" s="19"/>
    </row>
    <row r="177" spans="1:71" ht="14.25" customHeight="1">
      <c r="A177" s="19"/>
      <c r="B177" s="20"/>
      <c r="C177" s="3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19"/>
      <c r="BI177" s="20"/>
      <c r="BJ177" s="20"/>
      <c r="BK177" s="19"/>
      <c r="BL177" s="19"/>
      <c r="BM177" s="19"/>
      <c r="BN177" s="19"/>
      <c r="BO177" s="19"/>
      <c r="BP177" s="19"/>
      <c r="BQ177" s="33"/>
      <c r="BR177" s="19"/>
      <c r="BS177" s="19"/>
    </row>
    <row r="178" spans="1:71" ht="14.25" customHeight="1">
      <c r="A178" s="19"/>
      <c r="B178" s="20"/>
      <c r="C178" s="3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19"/>
      <c r="BI178" s="20"/>
      <c r="BJ178" s="20"/>
      <c r="BK178" s="19"/>
      <c r="BL178" s="19"/>
      <c r="BM178" s="19"/>
      <c r="BN178" s="19"/>
      <c r="BO178" s="19"/>
      <c r="BP178" s="19"/>
      <c r="BQ178" s="33"/>
      <c r="BR178" s="19"/>
      <c r="BS178" s="19"/>
    </row>
    <row r="179" spans="1:71" ht="14.25" customHeight="1">
      <c r="A179" s="19"/>
      <c r="B179" s="20"/>
      <c r="C179" s="3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19"/>
      <c r="BI179" s="20"/>
      <c r="BJ179" s="20"/>
      <c r="BK179" s="19"/>
      <c r="BL179" s="19"/>
      <c r="BM179" s="19"/>
      <c r="BN179" s="19"/>
      <c r="BO179" s="19"/>
      <c r="BP179" s="19"/>
      <c r="BQ179" s="33"/>
      <c r="BR179" s="19"/>
      <c r="BS179" s="19"/>
    </row>
    <row r="180" spans="1:71" ht="14.25" customHeight="1">
      <c r="A180" s="19"/>
      <c r="B180" s="20"/>
      <c r="C180" s="3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19"/>
      <c r="BI180" s="20"/>
      <c r="BJ180" s="20"/>
      <c r="BK180" s="19"/>
      <c r="BL180" s="19"/>
      <c r="BM180" s="19"/>
      <c r="BN180" s="19"/>
      <c r="BO180" s="19"/>
      <c r="BP180" s="19"/>
      <c r="BQ180" s="33"/>
      <c r="BR180" s="19"/>
      <c r="BS180" s="19"/>
    </row>
    <row r="181" spans="1:71" ht="14.25" customHeight="1">
      <c r="A181" s="19"/>
      <c r="B181" s="20"/>
      <c r="C181" s="3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19"/>
      <c r="BI181" s="20"/>
      <c r="BJ181" s="20"/>
      <c r="BK181" s="19"/>
      <c r="BL181" s="19"/>
      <c r="BM181" s="19"/>
      <c r="BN181" s="19"/>
      <c r="BO181" s="19"/>
      <c r="BP181" s="19"/>
      <c r="BQ181" s="33"/>
      <c r="BR181" s="19"/>
      <c r="BS181" s="19"/>
    </row>
    <row r="182" spans="1:71" ht="14.25" customHeight="1">
      <c r="A182" s="19"/>
      <c r="B182" s="20"/>
      <c r="C182" s="3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19"/>
      <c r="BI182" s="20"/>
      <c r="BJ182" s="20"/>
      <c r="BK182" s="19"/>
      <c r="BL182" s="19"/>
      <c r="BM182" s="19"/>
      <c r="BN182" s="19"/>
      <c r="BO182" s="19"/>
      <c r="BP182" s="19"/>
      <c r="BQ182" s="33"/>
      <c r="BR182" s="19"/>
      <c r="BS182" s="19"/>
    </row>
    <row r="183" spans="1:71" ht="14.25" customHeight="1">
      <c r="A183" s="19"/>
      <c r="B183" s="20"/>
      <c r="C183" s="3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19"/>
      <c r="BI183" s="20"/>
      <c r="BJ183" s="20"/>
      <c r="BK183" s="19"/>
      <c r="BL183" s="19"/>
      <c r="BM183" s="19"/>
      <c r="BN183" s="19"/>
      <c r="BO183" s="19"/>
      <c r="BP183" s="19"/>
      <c r="BQ183" s="33"/>
      <c r="BR183" s="19"/>
      <c r="BS183" s="19"/>
    </row>
    <row r="184" spans="1:71" ht="14.25" customHeigh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19"/>
      <c r="BI184" s="20"/>
      <c r="BJ184" s="20"/>
      <c r="BK184" s="19"/>
      <c r="BL184" s="19"/>
      <c r="BM184" s="19"/>
      <c r="BN184" s="19"/>
      <c r="BO184" s="19"/>
      <c r="BP184" s="19"/>
      <c r="BQ184" s="33"/>
      <c r="BR184" s="19"/>
      <c r="BS184" s="19"/>
    </row>
    <row r="185" spans="1:71" ht="14.25" customHeight="1">
      <c r="A185" s="19"/>
      <c r="B185" s="20"/>
      <c r="C185" s="3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19"/>
      <c r="BI185" s="20"/>
      <c r="BJ185" s="20"/>
      <c r="BK185" s="19"/>
      <c r="BL185" s="19"/>
      <c r="BM185" s="19"/>
      <c r="BN185" s="19"/>
      <c r="BO185" s="19"/>
      <c r="BP185" s="19"/>
      <c r="BQ185" s="33"/>
      <c r="BR185" s="19"/>
      <c r="BS185" s="19"/>
    </row>
    <row r="186" spans="1:71" ht="14.25" customHeight="1">
      <c r="A186" s="19"/>
      <c r="B186" s="20"/>
      <c r="C186" s="3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19"/>
      <c r="BI186" s="20"/>
      <c r="BJ186" s="20"/>
      <c r="BK186" s="19"/>
      <c r="BL186" s="19"/>
      <c r="BM186" s="19"/>
      <c r="BN186" s="19"/>
      <c r="BO186" s="19"/>
      <c r="BP186" s="19"/>
      <c r="BQ186" s="33"/>
      <c r="BR186" s="19"/>
      <c r="BS186" s="19"/>
    </row>
    <row r="187" spans="1:71" ht="14.25" customHeight="1">
      <c r="A187" s="19"/>
      <c r="B187" s="20"/>
      <c r="C187" s="3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19"/>
      <c r="BI187" s="20"/>
      <c r="BJ187" s="20"/>
      <c r="BK187" s="19"/>
      <c r="BL187" s="19"/>
      <c r="BM187" s="19"/>
      <c r="BN187" s="19"/>
      <c r="BO187" s="19"/>
      <c r="BP187" s="19"/>
      <c r="BQ187" s="33"/>
      <c r="BR187" s="19"/>
      <c r="BS187" s="19"/>
    </row>
    <row r="188" spans="1:71" ht="14.25" customHeight="1">
      <c r="A188" s="19"/>
      <c r="B188" s="20"/>
      <c r="C188" s="3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19"/>
      <c r="BI188" s="20"/>
      <c r="BJ188" s="20"/>
      <c r="BK188" s="19"/>
      <c r="BL188" s="19"/>
      <c r="BM188" s="19"/>
      <c r="BN188" s="19"/>
      <c r="BO188" s="19"/>
      <c r="BP188" s="19"/>
      <c r="BQ188" s="33"/>
      <c r="BR188" s="19"/>
      <c r="BS188" s="19"/>
    </row>
    <row r="189" spans="1:71" ht="14.25" customHeight="1">
      <c r="A189" s="19"/>
      <c r="B189" s="20"/>
      <c r="C189" s="3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19"/>
      <c r="BI189" s="20"/>
      <c r="BJ189" s="20"/>
      <c r="BK189" s="19"/>
      <c r="BL189" s="19"/>
      <c r="BM189" s="19"/>
      <c r="BN189" s="19"/>
      <c r="BO189" s="19"/>
      <c r="BP189" s="19"/>
      <c r="BQ189" s="33"/>
      <c r="BR189" s="19"/>
      <c r="BS189" s="19"/>
    </row>
    <row r="190" spans="1:71" ht="14.25" customHeight="1">
      <c r="A190" s="19"/>
      <c r="B190" s="20"/>
      <c r="C190" s="3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19"/>
      <c r="BI190" s="20"/>
      <c r="BJ190" s="20"/>
      <c r="BK190" s="19"/>
      <c r="BL190" s="19"/>
      <c r="BM190" s="19"/>
      <c r="BN190" s="19"/>
      <c r="BO190" s="19"/>
      <c r="BP190" s="19"/>
      <c r="BQ190" s="33"/>
      <c r="BR190" s="19"/>
      <c r="BS190" s="19"/>
    </row>
    <row r="191" spans="1:71" ht="14.25" customHeight="1">
      <c r="A191" s="19"/>
      <c r="B191" s="20"/>
      <c r="C191" s="3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19"/>
      <c r="BI191" s="20"/>
      <c r="BJ191" s="20"/>
      <c r="BK191" s="19"/>
      <c r="BL191" s="19"/>
      <c r="BM191" s="19"/>
      <c r="BN191" s="19"/>
      <c r="BO191" s="19"/>
      <c r="BP191" s="19"/>
      <c r="BQ191" s="33"/>
      <c r="BR191" s="19"/>
      <c r="BS191" s="19"/>
    </row>
    <row r="192" spans="1:71" ht="14.25" customHeight="1">
      <c r="A192" s="19"/>
      <c r="B192" s="20"/>
      <c r="C192" s="3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19"/>
      <c r="BI192" s="20"/>
      <c r="BJ192" s="20"/>
      <c r="BK192" s="19"/>
      <c r="BL192" s="19"/>
      <c r="BM192" s="19"/>
      <c r="BN192" s="19"/>
      <c r="BO192" s="19"/>
      <c r="BP192" s="19"/>
      <c r="BQ192" s="33"/>
      <c r="BR192" s="19"/>
      <c r="BS192" s="19"/>
    </row>
    <row r="193" spans="1:71" ht="14.25" customHeight="1">
      <c r="A193" s="19"/>
      <c r="B193" s="20"/>
      <c r="C193" s="3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19"/>
      <c r="BI193" s="20"/>
      <c r="BJ193" s="20"/>
      <c r="BK193" s="19"/>
      <c r="BL193" s="19"/>
      <c r="BM193" s="19"/>
      <c r="BN193" s="19"/>
      <c r="BO193" s="19"/>
      <c r="BP193" s="19"/>
      <c r="BQ193" s="33"/>
      <c r="BR193" s="19"/>
      <c r="BS193" s="19"/>
    </row>
    <row r="194" spans="1:71" ht="14.25" customHeight="1">
      <c r="A194" s="19"/>
      <c r="B194" s="20"/>
      <c r="C194" s="3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19"/>
      <c r="BI194" s="20"/>
      <c r="BJ194" s="20"/>
      <c r="BK194" s="19"/>
      <c r="BL194" s="19"/>
      <c r="BM194" s="19"/>
      <c r="BN194" s="19"/>
      <c r="BO194" s="19"/>
      <c r="BP194" s="19"/>
      <c r="BQ194" s="33"/>
      <c r="BR194" s="19"/>
      <c r="BS194" s="19"/>
    </row>
    <row r="195" spans="1:71" ht="14.25" customHeight="1">
      <c r="A195" s="19"/>
      <c r="B195" s="20"/>
      <c r="C195" s="3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19"/>
      <c r="BI195" s="20"/>
      <c r="BJ195" s="20"/>
      <c r="BK195" s="19"/>
      <c r="BL195" s="19"/>
      <c r="BM195" s="19"/>
      <c r="BN195" s="19"/>
      <c r="BO195" s="19"/>
      <c r="BP195" s="19"/>
      <c r="BQ195" s="33"/>
      <c r="BR195" s="19"/>
      <c r="BS195" s="19"/>
    </row>
    <row r="196" spans="1:71" ht="14.25" customHeight="1">
      <c r="A196" s="19"/>
      <c r="B196" s="20"/>
      <c r="C196" s="3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19"/>
      <c r="BI196" s="20"/>
      <c r="BJ196" s="20"/>
      <c r="BK196" s="19"/>
      <c r="BL196" s="19"/>
      <c r="BM196" s="19"/>
      <c r="BN196" s="19"/>
      <c r="BO196" s="19"/>
      <c r="BP196" s="19"/>
      <c r="BQ196" s="33"/>
      <c r="BR196" s="19"/>
      <c r="BS196" s="19"/>
    </row>
    <row r="197" spans="1:71" ht="14.25" customHeight="1">
      <c r="A197" s="19"/>
      <c r="B197" s="20"/>
      <c r="C197" s="3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19"/>
      <c r="BI197" s="20"/>
      <c r="BJ197" s="20"/>
      <c r="BK197" s="19"/>
      <c r="BL197" s="19"/>
      <c r="BM197" s="19"/>
      <c r="BN197" s="19"/>
      <c r="BO197" s="19"/>
      <c r="BP197" s="19"/>
      <c r="BQ197" s="33"/>
      <c r="BR197" s="19"/>
      <c r="BS197" s="19"/>
    </row>
    <row r="198" spans="1:71" ht="14.25" customHeight="1">
      <c r="A198" s="19"/>
      <c r="B198" s="20"/>
      <c r="C198" s="3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19"/>
      <c r="BI198" s="20"/>
      <c r="BJ198" s="20"/>
      <c r="BK198" s="19"/>
      <c r="BL198" s="19"/>
      <c r="BM198" s="19"/>
      <c r="BN198" s="19"/>
      <c r="BO198" s="19"/>
      <c r="BP198" s="19"/>
      <c r="BQ198" s="33"/>
      <c r="BR198" s="19"/>
      <c r="BS198" s="19"/>
    </row>
    <row r="199" spans="1:71" ht="14.25" customHeight="1">
      <c r="A199" s="19"/>
      <c r="B199" s="20"/>
      <c r="C199" s="3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19"/>
      <c r="BI199" s="20"/>
      <c r="BJ199" s="20"/>
      <c r="BK199" s="19"/>
      <c r="BL199" s="19"/>
      <c r="BM199" s="19"/>
      <c r="BN199" s="19"/>
      <c r="BO199" s="19"/>
      <c r="BP199" s="19"/>
      <c r="BQ199" s="33"/>
      <c r="BR199" s="19"/>
      <c r="BS199" s="19"/>
    </row>
    <row r="200" spans="1:71" ht="14.25" customHeigh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19"/>
      <c r="BI200" s="20"/>
      <c r="BJ200" s="20"/>
      <c r="BK200" s="19"/>
      <c r="BL200" s="19"/>
      <c r="BM200" s="19"/>
      <c r="BN200" s="19"/>
      <c r="BO200" s="19"/>
      <c r="BP200" s="19"/>
      <c r="BQ200" s="33"/>
      <c r="BR200" s="19"/>
      <c r="BS200" s="19"/>
    </row>
    <row r="201" spans="1:71" ht="14.25" customHeight="1">
      <c r="A201" s="19"/>
      <c r="B201" s="20"/>
      <c r="C201" s="3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19"/>
      <c r="BI201" s="20"/>
      <c r="BJ201" s="20"/>
      <c r="BK201" s="19"/>
      <c r="BL201" s="19"/>
      <c r="BM201" s="19"/>
      <c r="BN201" s="19"/>
      <c r="BO201" s="19"/>
      <c r="BP201" s="19"/>
      <c r="BQ201" s="33"/>
      <c r="BR201" s="19"/>
      <c r="BS201" s="19"/>
    </row>
    <row r="202" spans="1:71" ht="14.25" customHeight="1">
      <c r="A202" s="19"/>
      <c r="B202" s="20"/>
      <c r="C202" s="3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19"/>
      <c r="BI202" s="20"/>
      <c r="BJ202" s="20"/>
      <c r="BK202" s="19"/>
      <c r="BL202" s="19"/>
      <c r="BM202" s="19"/>
      <c r="BN202" s="19"/>
      <c r="BO202" s="19"/>
      <c r="BP202" s="19"/>
      <c r="BQ202" s="33"/>
      <c r="BR202" s="19"/>
      <c r="BS202" s="19"/>
    </row>
    <row r="203" spans="1:71" ht="14.25" customHeight="1">
      <c r="A203" s="19"/>
      <c r="B203" s="20"/>
      <c r="C203" s="3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19"/>
      <c r="BI203" s="20"/>
      <c r="BJ203" s="20"/>
      <c r="BK203" s="19"/>
      <c r="BL203" s="19"/>
      <c r="BM203" s="19"/>
      <c r="BN203" s="19"/>
      <c r="BO203" s="19"/>
      <c r="BP203" s="19"/>
      <c r="BQ203" s="33"/>
      <c r="BR203" s="19"/>
      <c r="BS203" s="19"/>
    </row>
    <row r="204" spans="1:71" ht="14.25" customHeight="1">
      <c r="A204" s="19"/>
      <c r="B204" s="20"/>
      <c r="C204" s="3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19"/>
      <c r="BI204" s="20"/>
      <c r="BJ204" s="20"/>
      <c r="BK204" s="19"/>
      <c r="BL204" s="19"/>
      <c r="BM204" s="19"/>
      <c r="BN204" s="19"/>
      <c r="BO204" s="19"/>
      <c r="BP204" s="19"/>
      <c r="BQ204" s="33"/>
      <c r="BR204" s="19"/>
      <c r="BS204" s="19"/>
    </row>
    <row r="205" spans="1:71" ht="14.25" customHeight="1">
      <c r="A205" s="19"/>
      <c r="B205" s="20"/>
      <c r="C205" s="3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19"/>
      <c r="BI205" s="20"/>
      <c r="BJ205" s="20"/>
      <c r="BK205" s="19"/>
      <c r="BL205" s="19"/>
      <c r="BM205" s="19"/>
      <c r="BN205" s="19"/>
      <c r="BO205" s="19"/>
      <c r="BP205" s="19"/>
      <c r="BQ205" s="33"/>
      <c r="BR205" s="19"/>
      <c r="BS205" s="19"/>
    </row>
    <row r="206" spans="1:71" ht="14.25" customHeight="1">
      <c r="A206" s="19"/>
      <c r="B206" s="20"/>
      <c r="C206" s="3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19"/>
      <c r="BI206" s="20"/>
      <c r="BJ206" s="20"/>
      <c r="BK206" s="19"/>
      <c r="BL206" s="19"/>
      <c r="BM206" s="19"/>
      <c r="BN206" s="19"/>
      <c r="BO206" s="19"/>
      <c r="BP206" s="19"/>
      <c r="BQ206" s="33"/>
      <c r="BR206" s="19"/>
      <c r="BS206" s="19"/>
    </row>
    <row r="207" spans="1:71" ht="14.25" customHeight="1">
      <c r="A207" s="19"/>
      <c r="B207" s="20"/>
      <c r="C207" s="3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19"/>
      <c r="BI207" s="20"/>
      <c r="BJ207" s="20"/>
      <c r="BK207" s="19"/>
      <c r="BL207" s="19"/>
      <c r="BM207" s="19"/>
      <c r="BN207" s="19"/>
      <c r="BO207" s="19"/>
      <c r="BP207" s="19"/>
      <c r="BQ207" s="33"/>
      <c r="BR207" s="19"/>
      <c r="BS207" s="19"/>
    </row>
    <row r="208" spans="1:71" ht="14.25" customHeight="1">
      <c r="A208" s="19"/>
      <c r="B208" s="20"/>
      <c r="C208" s="3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19"/>
      <c r="BI208" s="20"/>
      <c r="BJ208" s="20"/>
      <c r="BK208" s="19"/>
      <c r="BL208" s="19"/>
      <c r="BM208" s="19"/>
      <c r="BN208" s="19"/>
      <c r="BO208" s="19"/>
      <c r="BP208" s="19"/>
      <c r="BQ208" s="33"/>
      <c r="BR208" s="19"/>
      <c r="BS208" s="19"/>
    </row>
    <row r="209" spans="1:71" ht="14.25" customHeight="1">
      <c r="A209" s="19"/>
      <c r="B209" s="20"/>
      <c r="C209" s="3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19"/>
      <c r="BI209" s="20"/>
      <c r="BJ209" s="20"/>
      <c r="BK209" s="19"/>
      <c r="BL209" s="19"/>
      <c r="BM209" s="19"/>
      <c r="BN209" s="19"/>
      <c r="BO209" s="19"/>
      <c r="BP209" s="19"/>
      <c r="BQ209" s="33"/>
      <c r="BR209" s="19"/>
      <c r="BS209" s="19"/>
    </row>
    <row r="210" spans="1:71" ht="14.25" customHeight="1">
      <c r="A210" s="19"/>
      <c r="B210" s="20"/>
      <c r="C210" s="3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19"/>
      <c r="BI210" s="20"/>
      <c r="BJ210" s="20"/>
      <c r="BK210" s="19"/>
      <c r="BL210" s="19"/>
      <c r="BM210" s="19"/>
      <c r="BN210" s="19"/>
      <c r="BO210" s="19"/>
      <c r="BP210" s="19"/>
      <c r="BQ210" s="33"/>
      <c r="BR210" s="19"/>
      <c r="BS210" s="19"/>
    </row>
    <row r="211" spans="1:71" ht="14.25" customHeight="1">
      <c r="A211" s="19"/>
      <c r="B211" s="20"/>
      <c r="C211" s="3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19"/>
      <c r="BI211" s="20"/>
      <c r="BJ211" s="20"/>
      <c r="BK211" s="19"/>
      <c r="BL211" s="19"/>
      <c r="BM211" s="19"/>
      <c r="BN211" s="19"/>
      <c r="BO211" s="19"/>
      <c r="BP211" s="19"/>
      <c r="BQ211" s="33"/>
      <c r="BR211" s="19"/>
      <c r="BS211" s="19"/>
    </row>
    <row r="212" spans="1:71" ht="14.25" customHeight="1">
      <c r="A212" s="19"/>
      <c r="B212" s="20"/>
      <c r="C212" s="3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19"/>
      <c r="BI212" s="20"/>
      <c r="BJ212" s="20"/>
      <c r="BK212" s="19"/>
      <c r="BL212" s="19"/>
      <c r="BM212" s="19"/>
      <c r="BN212" s="19"/>
      <c r="BO212" s="19"/>
      <c r="BP212" s="19"/>
      <c r="BQ212" s="33"/>
      <c r="BR212" s="19"/>
      <c r="BS212" s="19"/>
    </row>
    <row r="213" spans="1:71" ht="14.25" customHeight="1">
      <c r="A213" s="19"/>
      <c r="B213" s="20"/>
      <c r="C213" s="3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19"/>
      <c r="BI213" s="20"/>
      <c r="BJ213" s="20"/>
      <c r="BK213" s="19"/>
      <c r="BL213" s="19"/>
      <c r="BM213" s="19"/>
      <c r="BN213" s="19"/>
      <c r="BO213" s="19"/>
      <c r="BP213" s="19"/>
      <c r="BQ213" s="33"/>
      <c r="BR213" s="19"/>
      <c r="BS213" s="19"/>
    </row>
    <row r="214" spans="1:71" ht="14.25" customHeight="1">
      <c r="A214" s="19"/>
      <c r="B214" s="20"/>
      <c r="C214" s="3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19"/>
      <c r="BI214" s="20"/>
      <c r="BJ214" s="20"/>
      <c r="BK214" s="19"/>
      <c r="BL214" s="19"/>
      <c r="BM214" s="19"/>
      <c r="BN214" s="19"/>
      <c r="BO214" s="19"/>
      <c r="BP214" s="19"/>
      <c r="BQ214" s="33"/>
      <c r="BR214" s="19"/>
      <c r="BS214" s="19"/>
    </row>
    <row r="215" spans="1:71" ht="14.25" customHeight="1">
      <c r="A215" s="19"/>
      <c r="B215" s="20"/>
      <c r="C215" s="3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19"/>
      <c r="BI215" s="20"/>
      <c r="BJ215" s="20"/>
      <c r="BK215" s="19"/>
      <c r="BL215" s="19"/>
      <c r="BM215" s="19"/>
      <c r="BN215" s="19"/>
      <c r="BO215" s="19"/>
      <c r="BP215" s="19"/>
      <c r="BQ215" s="33"/>
      <c r="BR215" s="19"/>
      <c r="BS215" s="19"/>
    </row>
    <row r="216" spans="1:71" ht="14.25" customHeight="1">
      <c r="A216" s="19"/>
      <c r="B216" s="20"/>
      <c r="C216" s="3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19"/>
      <c r="BI216" s="20"/>
      <c r="BJ216" s="20"/>
      <c r="BK216" s="19"/>
      <c r="BL216" s="19"/>
      <c r="BM216" s="19"/>
      <c r="BN216" s="19"/>
      <c r="BO216" s="19"/>
      <c r="BP216" s="19"/>
      <c r="BQ216" s="33"/>
      <c r="BR216" s="19"/>
      <c r="BS216" s="19"/>
    </row>
    <row r="217" spans="1:71" ht="14.25" customHeight="1">
      <c r="A217" s="19"/>
      <c r="B217" s="20"/>
      <c r="C217" s="3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19"/>
      <c r="BI217" s="20"/>
      <c r="BJ217" s="20"/>
      <c r="BK217" s="19"/>
      <c r="BL217" s="19"/>
      <c r="BM217" s="19"/>
      <c r="BN217" s="19"/>
      <c r="BO217" s="19"/>
      <c r="BP217" s="19"/>
      <c r="BQ217" s="33"/>
      <c r="BR217" s="19"/>
      <c r="BS217" s="19"/>
    </row>
    <row r="218" spans="1:71" ht="14.25" customHeight="1">
      <c r="A218" s="19"/>
      <c r="B218" s="20"/>
      <c r="C218" s="3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19"/>
      <c r="BI218" s="20"/>
      <c r="BJ218" s="20"/>
      <c r="BK218" s="19"/>
      <c r="BL218" s="19"/>
      <c r="BM218" s="19"/>
      <c r="BN218" s="19"/>
      <c r="BO218" s="19"/>
      <c r="BP218" s="19"/>
      <c r="BQ218" s="33"/>
      <c r="BR218" s="19"/>
      <c r="BS218" s="19"/>
    </row>
    <row r="219" spans="1:71" ht="14.25" customHeight="1">
      <c r="A219" s="19"/>
      <c r="B219" s="20"/>
      <c r="C219" s="3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19"/>
      <c r="BI219" s="20"/>
      <c r="BJ219" s="20"/>
      <c r="BK219" s="19"/>
      <c r="BL219" s="19"/>
      <c r="BM219" s="19"/>
      <c r="BN219" s="19"/>
      <c r="BO219" s="19"/>
      <c r="BP219" s="19"/>
      <c r="BQ219" s="33"/>
      <c r="BR219" s="19"/>
      <c r="BS219" s="19"/>
    </row>
    <row r="220" spans="1:71" ht="14.25" customHeigh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19"/>
      <c r="BI220" s="20"/>
      <c r="BJ220" s="20"/>
      <c r="BK220" s="19"/>
      <c r="BL220" s="19"/>
      <c r="BM220" s="19"/>
      <c r="BN220" s="19"/>
      <c r="BO220" s="19"/>
      <c r="BP220" s="19"/>
      <c r="BQ220" s="33"/>
      <c r="BR220" s="19"/>
      <c r="BS220" s="19"/>
    </row>
    <row r="221" spans="1:71" ht="14.25" customHeight="1">
      <c r="A221" s="19"/>
      <c r="B221" s="20"/>
      <c r="C221" s="3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19"/>
      <c r="BI221" s="20"/>
      <c r="BJ221" s="20"/>
      <c r="BK221" s="19"/>
      <c r="BL221" s="19"/>
      <c r="BM221" s="19"/>
      <c r="BN221" s="19"/>
      <c r="BO221" s="19"/>
      <c r="BP221" s="19"/>
      <c r="BQ221" s="33"/>
      <c r="BR221" s="19"/>
      <c r="BS221" s="19"/>
    </row>
    <row r="222" spans="1:71" ht="14.25" customHeight="1">
      <c r="A222" s="19"/>
      <c r="B222" s="20"/>
      <c r="C222" s="3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19"/>
      <c r="BI222" s="20"/>
      <c r="BJ222" s="20"/>
      <c r="BK222" s="19"/>
      <c r="BL222" s="19"/>
      <c r="BM222" s="19"/>
      <c r="BN222" s="19"/>
      <c r="BO222" s="19"/>
      <c r="BP222" s="19"/>
      <c r="BQ222" s="33"/>
      <c r="BR222" s="19"/>
      <c r="BS222" s="19"/>
    </row>
    <row r="223" spans="1:71" ht="14.25" customHeight="1">
      <c r="A223" s="19"/>
      <c r="B223" s="20"/>
      <c r="C223" s="3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19"/>
      <c r="BI223" s="20"/>
      <c r="BJ223" s="20"/>
      <c r="BK223" s="19"/>
      <c r="BL223" s="19"/>
      <c r="BM223" s="19"/>
      <c r="BN223" s="19"/>
      <c r="BO223" s="19"/>
      <c r="BP223" s="19"/>
      <c r="BQ223" s="33"/>
      <c r="BR223" s="19"/>
      <c r="BS223" s="19"/>
    </row>
    <row r="224" spans="1:71" ht="14.25" customHeight="1">
      <c r="A224" s="19"/>
      <c r="B224" s="20"/>
      <c r="C224" s="3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19"/>
      <c r="BI224" s="20"/>
      <c r="BJ224" s="20"/>
      <c r="BK224" s="19"/>
      <c r="BL224" s="19"/>
      <c r="BM224" s="19"/>
      <c r="BN224" s="19"/>
      <c r="BO224" s="19"/>
      <c r="BP224" s="19"/>
      <c r="BQ224" s="33"/>
      <c r="BR224" s="19"/>
      <c r="BS224" s="19"/>
    </row>
    <row r="225" spans="1:71" ht="14.25" customHeight="1">
      <c r="A225" s="19"/>
      <c r="B225" s="20"/>
      <c r="C225" s="3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19"/>
      <c r="BI225" s="20"/>
      <c r="BJ225" s="20"/>
      <c r="BK225" s="19"/>
      <c r="BL225" s="19"/>
      <c r="BM225" s="19"/>
      <c r="BN225" s="19"/>
      <c r="BO225" s="19"/>
      <c r="BP225" s="19"/>
      <c r="BQ225" s="33"/>
      <c r="BR225" s="19"/>
      <c r="BS225" s="19"/>
    </row>
    <row r="226" spans="1:71" ht="14.25" customHeight="1">
      <c r="A226" s="19"/>
      <c r="B226" s="20"/>
      <c r="C226" s="3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19"/>
      <c r="BI226" s="20"/>
      <c r="BJ226" s="20"/>
      <c r="BK226" s="19"/>
      <c r="BL226" s="19"/>
      <c r="BM226" s="19"/>
      <c r="BN226" s="19"/>
      <c r="BO226" s="19"/>
      <c r="BP226" s="19"/>
      <c r="BQ226" s="33"/>
      <c r="BR226" s="19"/>
      <c r="BS226" s="19"/>
    </row>
    <row r="227" spans="1:71" ht="14.25" customHeight="1">
      <c r="A227" s="19"/>
      <c r="B227" s="20"/>
      <c r="C227" s="3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19"/>
      <c r="BI227" s="20"/>
      <c r="BJ227" s="20"/>
      <c r="BK227" s="19"/>
      <c r="BL227" s="19"/>
      <c r="BM227" s="19"/>
      <c r="BN227" s="19"/>
      <c r="BO227" s="19"/>
      <c r="BP227" s="19"/>
      <c r="BQ227" s="33"/>
      <c r="BR227" s="19"/>
      <c r="BS227" s="19"/>
    </row>
    <row r="228" spans="1:71" ht="14.25" customHeight="1">
      <c r="A228" s="19"/>
      <c r="B228" s="20"/>
      <c r="C228" s="3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19"/>
      <c r="BI228" s="20"/>
      <c r="BJ228" s="20"/>
      <c r="BK228" s="19"/>
      <c r="BL228" s="19"/>
      <c r="BM228" s="19"/>
      <c r="BN228" s="19"/>
      <c r="BO228" s="19"/>
      <c r="BP228" s="19"/>
      <c r="BQ228" s="33"/>
      <c r="BR228" s="19"/>
      <c r="BS228" s="19"/>
    </row>
    <row r="229" spans="1:71" ht="14.25" customHeight="1">
      <c r="A229" s="19"/>
      <c r="B229" s="20"/>
      <c r="C229" s="3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19"/>
      <c r="BI229" s="20"/>
      <c r="BJ229" s="20"/>
      <c r="BK229" s="19"/>
      <c r="BL229" s="19"/>
      <c r="BM229" s="19"/>
      <c r="BN229" s="19"/>
      <c r="BO229" s="19"/>
      <c r="BP229" s="19"/>
      <c r="BQ229" s="33"/>
      <c r="BR229" s="19"/>
      <c r="BS229" s="19"/>
    </row>
    <row r="230" spans="1:71" ht="14.25" customHeight="1">
      <c r="A230" s="19"/>
      <c r="B230" s="20"/>
      <c r="C230" s="3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19"/>
      <c r="BI230" s="20"/>
      <c r="BJ230" s="20"/>
      <c r="BK230" s="19"/>
      <c r="BL230" s="19"/>
      <c r="BM230" s="19"/>
      <c r="BN230" s="19"/>
      <c r="BO230" s="19"/>
      <c r="BP230" s="19"/>
      <c r="BQ230" s="33"/>
      <c r="BR230" s="19"/>
      <c r="BS230" s="19"/>
    </row>
    <row r="231" spans="1:71" ht="14.25" customHeight="1">
      <c r="A231" s="19"/>
      <c r="B231" s="20"/>
      <c r="C231" s="3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19"/>
      <c r="BI231" s="20"/>
      <c r="BJ231" s="20"/>
      <c r="BK231" s="19"/>
      <c r="BL231" s="19"/>
      <c r="BM231" s="19"/>
      <c r="BN231" s="19"/>
      <c r="BO231" s="19"/>
      <c r="BP231" s="19"/>
      <c r="BQ231" s="33"/>
      <c r="BR231" s="19"/>
      <c r="BS231" s="19"/>
    </row>
    <row r="232" spans="1:71" ht="14.25" customHeight="1">
      <c r="A232" s="19"/>
      <c r="B232" s="20"/>
      <c r="C232" s="3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19"/>
      <c r="BI232" s="20"/>
      <c r="BJ232" s="20"/>
      <c r="BK232" s="19"/>
      <c r="BL232" s="19"/>
      <c r="BM232" s="19"/>
      <c r="BN232" s="19"/>
      <c r="BO232" s="19"/>
      <c r="BP232" s="19"/>
      <c r="BQ232" s="33"/>
      <c r="BR232" s="19"/>
      <c r="BS232" s="19"/>
    </row>
    <row r="233" spans="1:71" ht="14.25" customHeight="1">
      <c r="A233" s="19"/>
      <c r="B233" s="20"/>
      <c r="C233" s="3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19"/>
      <c r="BI233" s="20"/>
      <c r="BJ233" s="20"/>
      <c r="BK233" s="19"/>
      <c r="BL233" s="19"/>
      <c r="BM233" s="19"/>
      <c r="BN233" s="19"/>
      <c r="BO233" s="19"/>
      <c r="BP233" s="19"/>
      <c r="BQ233" s="33"/>
      <c r="BR233" s="19"/>
      <c r="BS233" s="19"/>
    </row>
    <row r="234" spans="1:71" ht="14.25" customHeight="1">
      <c r="A234" s="19"/>
      <c r="B234" s="20"/>
      <c r="C234" s="3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19"/>
      <c r="BI234" s="20"/>
      <c r="BJ234" s="20"/>
      <c r="BK234" s="19"/>
      <c r="BL234" s="19"/>
      <c r="BM234" s="19"/>
      <c r="BN234" s="19"/>
      <c r="BO234" s="19"/>
      <c r="BP234" s="19"/>
      <c r="BQ234" s="33"/>
      <c r="BR234" s="19"/>
      <c r="BS234" s="19"/>
    </row>
    <row r="235" spans="1:71" ht="14.25" customHeight="1">
      <c r="A235" s="19"/>
      <c r="B235" s="20"/>
      <c r="C235" s="3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19"/>
      <c r="BI235" s="20"/>
      <c r="BJ235" s="20"/>
      <c r="BK235" s="19"/>
      <c r="BL235" s="19"/>
      <c r="BM235" s="19"/>
      <c r="BN235" s="19"/>
      <c r="BO235" s="19"/>
      <c r="BP235" s="19"/>
      <c r="BQ235" s="33"/>
      <c r="BR235" s="19"/>
      <c r="BS235" s="19"/>
    </row>
    <row r="236" spans="1:71" ht="14.25" customHeigh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19"/>
      <c r="BI236" s="20"/>
      <c r="BJ236" s="20"/>
      <c r="BK236" s="19"/>
      <c r="BL236" s="19"/>
      <c r="BM236" s="19"/>
      <c r="BN236" s="19"/>
      <c r="BO236" s="19"/>
      <c r="BP236" s="19"/>
      <c r="BQ236" s="33"/>
      <c r="BR236" s="19"/>
      <c r="BS236" s="19"/>
    </row>
    <row r="237" spans="1:71" ht="14.25" customHeight="1">
      <c r="A237" s="19"/>
      <c r="B237" s="20"/>
      <c r="C237" s="3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19"/>
      <c r="BI237" s="20"/>
      <c r="BJ237" s="20"/>
      <c r="BK237" s="19"/>
      <c r="BL237" s="19"/>
      <c r="BM237" s="19"/>
      <c r="BN237" s="19"/>
      <c r="BO237" s="19"/>
      <c r="BP237" s="19"/>
      <c r="BQ237" s="33"/>
      <c r="BR237" s="19"/>
      <c r="BS237" s="19"/>
    </row>
    <row r="238" spans="1:71" ht="14.25" customHeight="1">
      <c r="A238" s="19"/>
      <c r="B238" s="20"/>
      <c r="C238" s="3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19"/>
      <c r="BI238" s="20"/>
      <c r="BJ238" s="20"/>
      <c r="BK238" s="19"/>
      <c r="BL238" s="19"/>
      <c r="BM238" s="19"/>
      <c r="BN238" s="19"/>
      <c r="BO238" s="19"/>
      <c r="BP238" s="19"/>
      <c r="BQ238" s="33"/>
      <c r="BR238" s="19"/>
      <c r="BS238" s="19"/>
    </row>
    <row r="239" spans="1:71" ht="14.25" customHeight="1">
      <c r="A239" s="19"/>
      <c r="B239" s="20"/>
      <c r="C239" s="3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19"/>
      <c r="BI239" s="20"/>
      <c r="BJ239" s="20"/>
      <c r="BK239" s="19"/>
      <c r="BL239" s="19"/>
      <c r="BM239" s="19"/>
      <c r="BN239" s="19"/>
      <c r="BO239" s="19"/>
      <c r="BP239" s="19"/>
      <c r="BQ239" s="33"/>
      <c r="BR239" s="19"/>
      <c r="BS239" s="19"/>
    </row>
    <row r="240" spans="1:71" ht="14.25" customHeight="1">
      <c r="A240" s="19"/>
      <c r="B240" s="20"/>
      <c r="C240" s="3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19"/>
      <c r="BI240" s="20"/>
      <c r="BJ240" s="20"/>
      <c r="BK240" s="19"/>
      <c r="BL240" s="19"/>
      <c r="BM240" s="19"/>
      <c r="BN240" s="19"/>
      <c r="BO240" s="19"/>
      <c r="BP240" s="19"/>
      <c r="BQ240" s="33"/>
      <c r="BR240" s="19"/>
      <c r="BS240" s="19"/>
    </row>
    <row r="241" spans="1:71" ht="14.25" customHeight="1">
      <c r="A241" s="19"/>
      <c r="B241" s="20"/>
      <c r="C241" s="3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19"/>
      <c r="BI241" s="20"/>
      <c r="BJ241" s="20"/>
      <c r="BK241" s="19"/>
      <c r="BL241" s="19"/>
      <c r="BM241" s="19"/>
      <c r="BN241" s="19"/>
      <c r="BO241" s="19"/>
      <c r="BP241" s="19"/>
      <c r="BQ241" s="33"/>
      <c r="BR241" s="19"/>
      <c r="BS241" s="19"/>
    </row>
    <row r="242" spans="1:71" ht="14.25" customHeight="1">
      <c r="A242" s="19"/>
      <c r="B242" s="20"/>
      <c r="C242" s="3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19"/>
      <c r="BI242" s="20"/>
      <c r="BJ242" s="20"/>
      <c r="BK242" s="19"/>
      <c r="BL242" s="19"/>
      <c r="BM242" s="19"/>
      <c r="BN242" s="19"/>
      <c r="BO242" s="19"/>
      <c r="BP242" s="19"/>
      <c r="BQ242" s="33"/>
      <c r="BR242" s="19"/>
      <c r="BS242" s="19"/>
    </row>
    <row r="243" spans="1:71" ht="14.25" customHeight="1">
      <c r="A243" s="19"/>
      <c r="B243" s="20"/>
      <c r="C243" s="3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19"/>
      <c r="BI243" s="20"/>
      <c r="BJ243" s="20"/>
      <c r="BK243" s="19"/>
      <c r="BL243" s="19"/>
      <c r="BM243" s="19"/>
      <c r="BN243" s="19"/>
      <c r="BO243" s="19"/>
      <c r="BP243" s="19"/>
      <c r="BQ243" s="33"/>
      <c r="BR243" s="19"/>
      <c r="BS243" s="19"/>
    </row>
    <row r="244" spans="1:71" ht="14.25" customHeight="1">
      <c r="A244" s="19"/>
      <c r="B244" s="20"/>
      <c r="C244" s="3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19"/>
      <c r="BI244" s="20"/>
      <c r="BJ244" s="20"/>
      <c r="BK244" s="19"/>
      <c r="BL244" s="19"/>
      <c r="BM244" s="19"/>
      <c r="BN244" s="19"/>
      <c r="BO244" s="19"/>
      <c r="BP244" s="19"/>
      <c r="BQ244" s="33"/>
      <c r="BR244" s="19"/>
      <c r="BS244" s="19"/>
    </row>
    <row r="245" spans="1:71" ht="14.25" customHeight="1">
      <c r="A245" s="19"/>
      <c r="B245" s="20"/>
      <c r="C245" s="3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19"/>
      <c r="BI245" s="20"/>
      <c r="BJ245" s="20"/>
      <c r="BK245" s="19"/>
      <c r="BL245" s="19"/>
      <c r="BM245" s="19"/>
      <c r="BN245" s="19"/>
      <c r="BO245" s="19"/>
      <c r="BP245" s="19"/>
      <c r="BQ245" s="33"/>
      <c r="BR245" s="19"/>
      <c r="BS245" s="19"/>
    </row>
    <row r="246" spans="1:71" ht="14.25" customHeight="1">
      <c r="A246" s="19"/>
      <c r="B246" s="20"/>
      <c r="C246" s="3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19"/>
      <c r="BI246" s="20"/>
      <c r="BJ246" s="20"/>
      <c r="BK246" s="19"/>
      <c r="BL246" s="19"/>
      <c r="BM246" s="19"/>
      <c r="BN246" s="19"/>
      <c r="BO246" s="19"/>
      <c r="BP246" s="19"/>
      <c r="BQ246" s="33"/>
      <c r="BR246" s="19"/>
      <c r="BS246" s="19"/>
    </row>
    <row r="247" spans="1:71" ht="14.25" customHeight="1">
      <c r="A247" s="19"/>
      <c r="B247" s="20"/>
      <c r="C247" s="3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19"/>
      <c r="BI247" s="20"/>
      <c r="BJ247" s="20"/>
      <c r="BK247" s="19"/>
      <c r="BL247" s="19"/>
      <c r="BM247" s="19"/>
      <c r="BN247" s="19"/>
      <c r="BO247" s="19"/>
      <c r="BP247" s="19"/>
      <c r="BQ247" s="33"/>
      <c r="BR247" s="19"/>
      <c r="BS247" s="19"/>
    </row>
    <row r="248" spans="1:71" ht="14.25" customHeight="1">
      <c r="A248" s="19"/>
      <c r="B248" s="20"/>
      <c r="C248" s="3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19"/>
      <c r="BI248" s="20"/>
      <c r="BJ248" s="20"/>
      <c r="BK248" s="19"/>
      <c r="BL248" s="19"/>
      <c r="BM248" s="19"/>
      <c r="BN248" s="19"/>
      <c r="BO248" s="19"/>
      <c r="BP248" s="19"/>
      <c r="BQ248" s="33"/>
      <c r="BR248" s="19"/>
      <c r="BS248" s="19"/>
    </row>
    <row r="249" spans="1:71" ht="14.25" customHeight="1">
      <c r="A249" s="19"/>
      <c r="B249" s="20"/>
      <c r="C249" s="3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19"/>
      <c r="BI249" s="20"/>
      <c r="BJ249" s="20"/>
      <c r="BK249" s="19"/>
      <c r="BL249" s="19"/>
      <c r="BM249" s="19"/>
      <c r="BN249" s="19"/>
      <c r="BO249" s="19"/>
      <c r="BP249" s="19"/>
      <c r="BQ249" s="33"/>
      <c r="BR249" s="19"/>
      <c r="BS249" s="19"/>
    </row>
    <row r="250" spans="1:71" ht="14.25" customHeight="1">
      <c r="A250" s="19"/>
      <c r="B250" s="20"/>
      <c r="C250" s="3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19"/>
      <c r="BI250" s="20"/>
      <c r="BJ250" s="20"/>
      <c r="BK250" s="19"/>
      <c r="BL250" s="19"/>
      <c r="BM250" s="19"/>
      <c r="BN250" s="19"/>
      <c r="BO250" s="19"/>
      <c r="BP250" s="19"/>
      <c r="BQ250" s="33"/>
      <c r="BR250" s="19"/>
      <c r="BS250" s="19"/>
    </row>
    <row r="251" spans="1:71" ht="14.25" customHeight="1">
      <c r="A251" s="19"/>
      <c r="B251" s="20"/>
      <c r="C251" s="3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19"/>
      <c r="BI251" s="20"/>
      <c r="BJ251" s="20"/>
      <c r="BK251" s="19"/>
      <c r="BL251" s="19"/>
      <c r="BM251" s="19"/>
      <c r="BN251" s="19"/>
      <c r="BO251" s="19"/>
      <c r="BP251" s="19"/>
      <c r="BQ251" s="33"/>
      <c r="BR251" s="19"/>
      <c r="BS251" s="19"/>
    </row>
    <row r="252" spans="1:71" ht="14.25" customHeight="1">
      <c r="A252" s="19"/>
      <c r="B252" s="20"/>
      <c r="C252" s="3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19"/>
      <c r="BI252" s="20"/>
      <c r="BJ252" s="20"/>
      <c r="BK252" s="19"/>
      <c r="BL252" s="19"/>
      <c r="BM252" s="19"/>
      <c r="BN252" s="19"/>
      <c r="BO252" s="19"/>
      <c r="BP252" s="19"/>
      <c r="BQ252" s="33"/>
      <c r="BR252" s="19"/>
      <c r="BS252" s="19"/>
    </row>
    <row r="253" spans="1:71" ht="14.25" customHeight="1">
      <c r="A253" s="19"/>
      <c r="B253" s="20"/>
      <c r="C253" s="3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19"/>
      <c r="BI253" s="20"/>
      <c r="BJ253" s="20"/>
      <c r="BK253" s="19"/>
      <c r="BL253" s="19"/>
      <c r="BM253" s="19"/>
      <c r="BN253" s="19"/>
      <c r="BO253" s="19"/>
      <c r="BP253" s="19"/>
      <c r="BQ253" s="33"/>
      <c r="BR253" s="19"/>
      <c r="BS253" s="19"/>
    </row>
    <row r="254" spans="1:71" ht="14.25" customHeigh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19"/>
      <c r="BI254" s="20"/>
      <c r="BJ254" s="20"/>
      <c r="BK254" s="19"/>
      <c r="BL254" s="19"/>
      <c r="BM254" s="19"/>
      <c r="BN254" s="19"/>
      <c r="BO254" s="19"/>
      <c r="BP254" s="19"/>
      <c r="BQ254" s="33"/>
      <c r="BR254" s="19"/>
      <c r="BS254" s="19"/>
    </row>
    <row r="255" spans="1:71" ht="14.25" customHeight="1">
      <c r="A255" s="19"/>
      <c r="B255" s="20"/>
      <c r="C255" s="3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19"/>
      <c r="BI255" s="20"/>
      <c r="BJ255" s="20"/>
      <c r="BK255" s="19"/>
      <c r="BL255" s="19"/>
      <c r="BM255" s="19"/>
      <c r="BN255" s="19"/>
      <c r="BO255" s="19"/>
      <c r="BP255" s="19"/>
      <c r="BQ255" s="33"/>
      <c r="BR255" s="19"/>
      <c r="BS255" s="19"/>
    </row>
    <row r="256" spans="1:71" ht="14.25" customHeight="1">
      <c r="A256" s="19"/>
      <c r="B256" s="20"/>
      <c r="C256" s="3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19"/>
      <c r="BI256" s="20"/>
      <c r="BJ256" s="20"/>
      <c r="BK256" s="19"/>
      <c r="BL256" s="19"/>
      <c r="BM256" s="19"/>
      <c r="BN256" s="19"/>
      <c r="BO256" s="19"/>
      <c r="BP256" s="19"/>
      <c r="BQ256" s="33"/>
      <c r="BR256" s="19"/>
      <c r="BS256" s="19"/>
    </row>
    <row r="257" spans="1:71" ht="14.25" customHeight="1">
      <c r="A257" s="19"/>
      <c r="B257" s="20"/>
      <c r="C257" s="3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19"/>
      <c r="BI257" s="20"/>
      <c r="BJ257" s="20"/>
      <c r="BK257" s="19"/>
      <c r="BL257" s="19"/>
      <c r="BM257" s="19"/>
      <c r="BN257" s="19"/>
      <c r="BO257" s="19"/>
      <c r="BP257" s="19"/>
      <c r="BQ257" s="33"/>
      <c r="BR257" s="19"/>
      <c r="BS257" s="19"/>
    </row>
    <row r="258" spans="1:71" ht="14.25" customHeight="1">
      <c r="A258" s="19"/>
      <c r="B258" s="20"/>
      <c r="C258" s="3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19"/>
      <c r="BI258" s="20"/>
      <c r="BJ258" s="20"/>
      <c r="BK258" s="19"/>
      <c r="BL258" s="19"/>
      <c r="BM258" s="19"/>
      <c r="BN258" s="19"/>
      <c r="BO258" s="19"/>
      <c r="BP258" s="19"/>
      <c r="BQ258" s="33"/>
      <c r="BR258" s="19"/>
      <c r="BS258" s="19"/>
    </row>
    <row r="259" spans="1:71" ht="14.25" customHeight="1">
      <c r="A259" s="19"/>
      <c r="B259" s="20"/>
      <c r="C259" s="3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19"/>
      <c r="BI259" s="20"/>
      <c r="BJ259" s="20"/>
      <c r="BK259" s="19"/>
      <c r="BL259" s="19"/>
      <c r="BM259" s="19"/>
      <c r="BN259" s="19"/>
      <c r="BO259" s="19"/>
      <c r="BP259" s="19"/>
      <c r="BQ259" s="33"/>
      <c r="BR259" s="19"/>
      <c r="BS259" s="19"/>
    </row>
    <row r="260" spans="1:71" ht="14.25" customHeight="1">
      <c r="A260" s="19"/>
      <c r="B260" s="20"/>
      <c r="C260" s="3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19"/>
      <c r="BI260" s="20"/>
      <c r="BJ260" s="20"/>
      <c r="BK260" s="19"/>
      <c r="BL260" s="19"/>
      <c r="BM260" s="19"/>
      <c r="BN260" s="19"/>
      <c r="BO260" s="19"/>
      <c r="BP260" s="19"/>
      <c r="BQ260" s="33"/>
      <c r="BR260" s="19"/>
      <c r="BS260" s="19"/>
    </row>
    <row r="261" spans="1:71" ht="14.25" customHeight="1">
      <c r="A261" s="19"/>
      <c r="B261" s="20"/>
      <c r="C261" s="3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19"/>
      <c r="BI261" s="20"/>
      <c r="BJ261" s="20"/>
      <c r="BK261" s="19"/>
      <c r="BL261" s="19"/>
      <c r="BM261" s="19"/>
      <c r="BN261" s="19"/>
      <c r="BO261" s="19"/>
      <c r="BP261" s="19"/>
      <c r="BQ261" s="33"/>
      <c r="BR261" s="19"/>
      <c r="BS261" s="19"/>
    </row>
    <row r="262" spans="1:71" ht="14.25" customHeight="1">
      <c r="A262" s="19"/>
      <c r="B262" s="20"/>
      <c r="C262" s="3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19"/>
      <c r="BI262" s="20"/>
      <c r="BJ262" s="20"/>
      <c r="BK262" s="19"/>
      <c r="BL262" s="19"/>
      <c r="BM262" s="19"/>
      <c r="BN262" s="19"/>
      <c r="BO262" s="19"/>
      <c r="BP262" s="19"/>
      <c r="BQ262" s="33"/>
      <c r="BR262" s="19"/>
      <c r="BS262" s="19"/>
    </row>
    <row r="263" spans="1:71" ht="14.25" customHeight="1">
      <c r="A263" s="19"/>
      <c r="B263" s="20"/>
      <c r="C263" s="3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19"/>
      <c r="BI263" s="20"/>
      <c r="BJ263" s="20"/>
      <c r="BK263" s="19"/>
      <c r="BL263" s="19"/>
      <c r="BM263" s="19"/>
      <c r="BN263" s="19"/>
      <c r="BO263" s="19"/>
      <c r="BP263" s="19"/>
      <c r="BQ263" s="33"/>
      <c r="BR263" s="19"/>
      <c r="BS263" s="19"/>
    </row>
    <row r="264" spans="1:71" ht="14.25" customHeight="1">
      <c r="A264" s="19"/>
      <c r="B264" s="20"/>
      <c r="C264" s="3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19"/>
      <c r="BI264" s="20"/>
      <c r="BJ264" s="20"/>
      <c r="BK264" s="19"/>
      <c r="BL264" s="19"/>
      <c r="BM264" s="19"/>
      <c r="BN264" s="19"/>
      <c r="BO264" s="19"/>
      <c r="BP264" s="19"/>
      <c r="BQ264" s="33"/>
      <c r="BR264" s="19"/>
      <c r="BS264" s="19"/>
    </row>
    <row r="265" spans="1:71" ht="14.25" customHeight="1">
      <c r="A265" s="19"/>
      <c r="B265" s="20"/>
      <c r="C265" s="3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19"/>
      <c r="BI265" s="20"/>
      <c r="BJ265" s="20"/>
      <c r="BK265" s="19"/>
      <c r="BL265" s="19"/>
      <c r="BM265" s="19"/>
      <c r="BN265" s="19"/>
      <c r="BO265" s="19"/>
      <c r="BP265" s="19"/>
      <c r="BQ265" s="33"/>
      <c r="BR265" s="19"/>
      <c r="BS265" s="19"/>
    </row>
    <row r="266" spans="1:71" ht="14.25" customHeight="1">
      <c r="A266" s="19"/>
      <c r="B266" s="20"/>
      <c r="C266" s="3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19"/>
      <c r="BI266" s="20"/>
      <c r="BJ266" s="20"/>
      <c r="BK266" s="19"/>
      <c r="BL266" s="19"/>
      <c r="BM266" s="19"/>
      <c r="BN266" s="19"/>
      <c r="BO266" s="19"/>
      <c r="BP266" s="19"/>
      <c r="BQ266" s="33"/>
      <c r="BR266" s="19"/>
      <c r="BS266" s="19"/>
    </row>
    <row r="267" spans="1:71" ht="14.25" customHeight="1">
      <c r="A267" s="19"/>
      <c r="B267" s="20"/>
      <c r="C267" s="3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19"/>
      <c r="BI267" s="20"/>
      <c r="BJ267" s="20"/>
      <c r="BK267" s="19"/>
      <c r="BL267" s="19"/>
      <c r="BM267" s="19"/>
      <c r="BN267" s="19"/>
      <c r="BO267" s="19"/>
      <c r="BP267" s="19"/>
      <c r="BQ267" s="33"/>
      <c r="BR267" s="19"/>
      <c r="BS267" s="19"/>
    </row>
    <row r="268" spans="1:71" ht="14.25" customHeight="1">
      <c r="A268" s="19"/>
      <c r="B268" s="20"/>
      <c r="C268" s="3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19"/>
      <c r="BI268" s="20"/>
      <c r="BJ268" s="20"/>
      <c r="BK268" s="19"/>
      <c r="BL268" s="19"/>
      <c r="BM268" s="19"/>
      <c r="BN268" s="19"/>
      <c r="BO268" s="19"/>
      <c r="BP268" s="19"/>
      <c r="BQ268" s="33"/>
      <c r="BR268" s="19"/>
      <c r="BS268" s="19"/>
    </row>
    <row r="269" spans="1:71" ht="14.25" customHeight="1">
      <c r="A269" s="19"/>
      <c r="B269" s="20"/>
      <c r="C269" s="3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19"/>
      <c r="BI269" s="20"/>
      <c r="BJ269" s="20"/>
      <c r="BK269" s="19"/>
      <c r="BL269" s="19"/>
      <c r="BM269" s="19"/>
      <c r="BN269" s="19"/>
      <c r="BO269" s="19"/>
      <c r="BP269" s="19"/>
      <c r="BQ269" s="33"/>
      <c r="BR269" s="19"/>
      <c r="BS269" s="19"/>
    </row>
    <row r="270" spans="1:71" ht="14.25" customHeight="1">
      <c r="A270" s="19"/>
      <c r="B270" s="20"/>
      <c r="C270" s="3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19"/>
      <c r="BI270" s="20"/>
      <c r="BJ270" s="20"/>
      <c r="BK270" s="19"/>
      <c r="BL270" s="19"/>
      <c r="BM270" s="19"/>
      <c r="BN270" s="19"/>
      <c r="BO270" s="19"/>
      <c r="BP270" s="19"/>
      <c r="BQ270" s="33"/>
      <c r="BR270" s="19"/>
      <c r="BS270" s="19"/>
    </row>
    <row r="271" spans="1:71" ht="14.25" customHeight="1">
      <c r="A271" s="19"/>
      <c r="B271" s="20"/>
      <c r="C271" s="3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19"/>
      <c r="BI271" s="20"/>
      <c r="BJ271" s="20"/>
      <c r="BK271" s="19"/>
      <c r="BL271" s="19"/>
      <c r="BM271" s="19"/>
      <c r="BN271" s="19"/>
      <c r="BO271" s="19"/>
      <c r="BP271" s="19"/>
      <c r="BQ271" s="33"/>
      <c r="BR271" s="19"/>
      <c r="BS271" s="19"/>
    </row>
    <row r="272" spans="1:71" ht="14.25" customHeight="1">
      <c r="A272" s="19"/>
      <c r="B272" s="20"/>
      <c r="C272" s="3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19"/>
      <c r="BI272" s="20"/>
      <c r="BJ272" s="20"/>
      <c r="BK272" s="19"/>
      <c r="BL272" s="19"/>
      <c r="BM272" s="19"/>
      <c r="BN272" s="19"/>
      <c r="BO272" s="19"/>
      <c r="BP272" s="19"/>
      <c r="BQ272" s="33"/>
      <c r="BR272" s="19"/>
      <c r="BS272" s="19"/>
    </row>
    <row r="273" spans="1:71" ht="14.25" customHeight="1">
      <c r="A273" s="19"/>
      <c r="B273" s="20"/>
      <c r="C273" s="3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19"/>
      <c r="BI273" s="20"/>
      <c r="BJ273" s="20"/>
      <c r="BK273" s="19"/>
      <c r="BL273" s="19"/>
      <c r="BM273" s="19"/>
      <c r="BN273" s="19"/>
      <c r="BO273" s="19"/>
      <c r="BP273" s="19"/>
      <c r="BQ273" s="33"/>
      <c r="BR273" s="19"/>
      <c r="BS273" s="19"/>
    </row>
    <row r="274" spans="1:71" ht="14.25" customHeigh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19"/>
      <c r="BI274" s="20"/>
      <c r="BJ274" s="20"/>
      <c r="BK274" s="19"/>
      <c r="BL274" s="19"/>
      <c r="BM274" s="19"/>
      <c r="BN274" s="19"/>
      <c r="BO274" s="19"/>
      <c r="BP274" s="19"/>
      <c r="BQ274" s="33"/>
      <c r="BR274" s="19"/>
      <c r="BS274" s="19"/>
    </row>
    <row r="275" spans="1:71" ht="14.25" customHeight="1">
      <c r="A275" s="19"/>
      <c r="B275" s="20"/>
      <c r="C275" s="3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19"/>
      <c r="BI275" s="20"/>
      <c r="BJ275" s="20"/>
      <c r="BK275" s="19"/>
      <c r="BL275" s="19"/>
      <c r="BM275" s="19"/>
      <c r="BN275" s="19"/>
      <c r="BO275" s="19"/>
      <c r="BP275" s="19"/>
      <c r="BQ275" s="33"/>
      <c r="BR275" s="19"/>
      <c r="BS275" s="19"/>
    </row>
    <row r="276" spans="1:71" ht="14.25" customHeight="1">
      <c r="A276" s="19"/>
      <c r="B276" s="20"/>
      <c r="C276" s="3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19"/>
      <c r="BI276" s="20"/>
      <c r="BJ276" s="20"/>
      <c r="BK276" s="19"/>
      <c r="BL276" s="19"/>
      <c r="BM276" s="19"/>
      <c r="BN276" s="19"/>
      <c r="BO276" s="19"/>
      <c r="BP276" s="19"/>
      <c r="BQ276" s="33"/>
      <c r="BR276" s="19"/>
      <c r="BS276" s="19"/>
    </row>
    <row r="277" spans="1:71" ht="14.25" customHeight="1">
      <c r="A277" s="19"/>
      <c r="B277" s="20"/>
      <c r="C277" s="3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19"/>
      <c r="BI277" s="20"/>
      <c r="BJ277" s="20"/>
      <c r="BK277" s="19"/>
      <c r="BL277" s="19"/>
      <c r="BM277" s="19"/>
      <c r="BN277" s="19"/>
      <c r="BO277" s="19"/>
      <c r="BP277" s="19"/>
      <c r="BQ277" s="33"/>
      <c r="BR277" s="19"/>
      <c r="BS277" s="19"/>
    </row>
    <row r="278" spans="1:71" ht="14.25" customHeight="1">
      <c r="A278" s="19"/>
      <c r="B278" s="20"/>
      <c r="C278" s="3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19"/>
      <c r="BI278" s="20"/>
      <c r="BJ278" s="20"/>
      <c r="BK278" s="19"/>
      <c r="BL278" s="19"/>
      <c r="BM278" s="19"/>
      <c r="BN278" s="19"/>
      <c r="BO278" s="19"/>
      <c r="BP278" s="19"/>
      <c r="BQ278" s="33"/>
      <c r="BR278" s="19"/>
      <c r="BS278" s="19"/>
    </row>
    <row r="279" spans="1:71" ht="14.25" customHeight="1">
      <c r="A279" s="19"/>
      <c r="B279" s="20"/>
      <c r="C279" s="3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19"/>
      <c r="BI279" s="20"/>
      <c r="BJ279" s="20"/>
      <c r="BK279" s="19"/>
      <c r="BL279" s="19"/>
      <c r="BM279" s="19"/>
      <c r="BN279" s="19"/>
      <c r="BO279" s="19"/>
      <c r="BP279" s="19"/>
      <c r="BQ279" s="33"/>
      <c r="BR279" s="19"/>
      <c r="BS279" s="19"/>
    </row>
    <row r="280" spans="1:71" ht="14.25" customHeight="1">
      <c r="A280" s="19"/>
      <c r="B280" s="20"/>
      <c r="C280" s="3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19"/>
      <c r="BI280" s="20"/>
      <c r="BJ280" s="20"/>
      <c r="BK280" s="19"/>
      <c r="BL280" s="19"/>
      <c r="BM280" s="19"/>
      <c r="BN280" s="19"/>
      <c r="BO280" s="19"/>
      <c r="BP280" s="19"/>
      <c r="BQ280" s="33"/>
      <c r="BR280" s="19"/>
      <c r="BS280" s="19"/>
    </row>
    <row r="281" spans="1:71" ht="14.25" customHeight="1">
      <c r="A281" s="19"/>
      <c r="B281" s="20"/>
      <c r="C281" s="3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19"/>
      <c r="BI281" s="20"/>
      <c r="BJ281" s="20"/>
      <c r="BK281" s="19"/>
      <c r="BL281" s="19"/>
      <c r="BM281" s="19"/>
      <c r="BN281" s="19"/>
      <c r="BO281" s="19"/>
      <c r="BP281" s="19"/>
      <c r="BQ281" s="33"/>
      <c r="BR281" s="19"/>
      <c r="BS281" s="19"/>
    </row>
    <row r="282" spans="1:71" ht="14.25" customHeight="1">
      <c r="A282" s="19"/>
      <c r="B282" s="20"/>
      <c r="C282" s="3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19"/>
      <c r="BI282" s="20"/>
      <c r="BJ282" s="20"/>
      <c r="BK282" s="19"/>
      <c r="BL282" s="19"/>
      <c r="BM282" s="19"/>
      <c r="BN282" s="19"/>
      <c r="BO282" s="19"/>
      <c r="BP282" s="19"/>
      <c r="BQ282" s="33"/>
      <c r="BR282" s="19"/>
      <c r="BS282" s="19"/>
    </row>
    <row r="283" spans="1:71" ht="14.25" customHeight="1">
      <c r="A283" s="19"/>
      <c r="B283" s="20"/>
      <c r="C283" s="3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19"/>
      <c r="BI283" s="20"/>
      <c r="BJ283" s="20"/>
      <c r="BK283" s="19"/>
      <c r="BL283" s="19"/>
      <c r="BM283" s="19"/>
      <c r="BN283" s="19"/>
      <c r="BO283" s="19"/>
      <c r="BP283" s="19"/>
      <c r="BQ283" s="33"/>
      <c r="BR283" s="19"/>
      <c r="BS283" s="19"/>
    </row>
    <row r="284" spans="1:71" ht="14.25" customHeight="1">
      <c r="A284" s="19"/>
      <c r="B284" s="20"/>
      <c r="C284" s="3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19"/>
      <c r="BI284" s="20"/>
      <c r="BJ284" s="20"/>
      <c r="BK284" s="19"/>
      <c r="BL284" s="19"/>
      <c r="BM284" s="19"/>
      <c r="BN284" s="19"/>
      <c r="BO284" s="19"/>
      <c r="BP284" s="19"/>
      <c r="BQ284" s="33"/>
      <c r="BR284" s="19"/>
      <c r="BS284" s="19"/>
    </row>
    <row r="285" spans="1:71" ht="14.25" customHeight="1">
      <c r="A285" s="19"/>
      <c r="B285" s="20"/>
      <c r="C285" s="3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19"/>
      <c r="BI285" s="20"/>
      <c r="BJ285" s="20"/>
      <c r="BK285" s="19"/>
      <c r="BL285" s="19"/>
      <c r="BM285" s="19"/>
      <c r="BN285" s="19"/>
      <c r="BO285" s="19"/>
      <c r="BP285" s="19"/>
      <c r="BQ285" s="33"/>
      <c r="BR285" s="19"/>
      <c r="BS285" s="19"/>
    </row>
    <row r="286" spans="1:71" ht="14.25" customHeight="1">
      <c r="A286" s="19"/>
      <c r="B286" s="20"/>
      <c r="C286" s="3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19"/>
      <c r="BI286" s="20"/>
      <c r="BJ286" s="20"/>
      <c r="BK286" s="19"/>
      <c r="BL286" s="19"/>
      <c r="BM286" s="19"/>
      <c r="BN286" s="19"/>
      <c r="BO286" s="19"/>
      <c r="BP286" s="19"/>
      <c r="BQ286" s="33"/>
      <c r="BR286" s="19"/>
      <c r="BS286" s="19"/>
    </row>
    <row r="287" spans="1:71" ht="14.25" customHeight="1">
      <c r="A287" s="19"/>
      <c r="B287" s="20"/>
      <c r="C287" s="3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19"/>
      <c r="BI287" s="20"/>
      <c r="BJ287" s="20"/>
      <c r="BK287" s="19"/>
      <c r="BL287" s="19"/>
      <c r="BM287" s="19"/>
      <c r="BN287" s="19"/>
      <c r="BO287" s="19"/>
      <c r="BP287" s="19"/>
      <c r="BQ287" s="33"/>
      <c r="BR287" s="19"/>
      <c r="BS287" s="19"/>
    </row>
    <row r="288" spans="1:71" ht="14.25" customHeight="1">
      <c r="A288" s="19"/>
      <c r="B288" s="20"/>
      <c r="C288" s="3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19"/>
      <c r="BI288" s="20"/>
      <c r="BJ288" s="20"/>
      <c r="BK288" s="19"/>
      <c r="BL288" s="19"/>
      <c r="BM288" s="19"/>
      <c r="BN288" s="19"/>
      <c r="BO288" s="19"/>
      <c r="BP288" s="19"/>
      <c r="BQ288" s="33"/>
      <c r="BR288" s="19"/>
      <c r="BS288" s="19"/>
    </row>
    <row r="289" spans="1:71" ht="14.25" customHeight="1">
      <c r="A289" s="19"/>
      <c r="B289" s="20"/>
      <c r="C289" s="3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19"/>
      <c r="BI289" s="20"/>
      <c r="BJ289" s="20"/>
      <c r="BK289" s="19"/>
      <c r="BL289" s="19"/>
      <c r="BM289" s="19"/>
      <c r="BN289" s="19"/>
      <c r="BO289" s="19"/>
      <c r="BP289" s="19"/>
      <c r="BQ289" s="33"/>
      <c r="BR289" s="19"/>
      <c r="BS289" s="19"/>
    </row>
    <row r="290" spans="1:71" ht="14.25" customHeight="1">
      <c r="A290" s="19"/>
      <c r="B290" s="20"/>
      <c r="C290" s="3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19"/>
      <c r="BI290" s="20"/>
      <c r="BJ290" s="20"/>
      <c r="BK290" s="19"/>
      <c r="BL290" s="19"/>
      <c r="BM290" s="19"/>
      <c r="BN290" s="19"/>
      <c r="BO290" s="19"/>
      <c r="BP290" s="19"/>
      <c r="BQ290" s="33"/>
      <c r="BR290" s="19"/>
      <c r="BS290" s="19"/>
    </row>
    <row r="291" spans="1:71" ht="14.25" customHeight="1">
      <c r="A291" s="19"/>
      <c r="B291" s="20"/>
      <c r="C291" s="3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19"/>
      <c r="BI291" s="20"/>
      <c r="BJ291" s="20"/>
      <c r="BK291" s="19"/>
      <c r="BL291" s="19"/>
      <c r="BM291" s="19"/>
      <c r="BN291" s="19"/>
      <c r="BO291" s="19"/>
      <c r="BP291" s="19"/>
      <c r="BQ291" s="33"/>
      <c r="BR291" s="19"/>
      <c r="BS291" s="19"/>
    </row>
    <row r="292" spans="1:71" ht="14.25" customHeight="1">
      <c r="A292" s="19"/>
      <c r="B292" s="20"/>
      <c r="C292" s="3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19"/>
      <c r="BI292" s="20"/>
      <c r="BJ292" s="20"/>
      <c r="BK292" s="19"/>
      <c r="BL292" s="19"/>
      <c r="BM292" s="19"/>
      <c r="BN292" s="19"/>
      <c r="BO292" s="19"/>
      <c r="BP292" s="19"/>
      <c r="BQ292" s="33"/>
      <c r="BR292" s="19"/>
      <c r="BS292" s="19"/>
    </row>
    <row r="293" spans="1:71" ht="14.25" customHeight="1">
      <c r="A293" s="19"/>
      <c r="B293" s="20"/>
      <c r="C293" s="3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19"/>
      <c r="BI293" s="20"/>
      <c r="BJ293" s="20"/>
      <c r="BK293" s="19"/>
      <c r="BL293" s="19"/>
      <c r="BM293" s="19"/>
      <c r="BN293" s="19"/>
      <c r="BO293" s="19"/>
      <c r="BP293" s="19"/>
      <c r="BQ293" s="33"/>
      <c r="BR293" s="19"/>
      <c r="BS293" s="19"/>
    </row>
    <row r="294" spans="1:71" ht="14.25" customHeight="1">
      <c r="A294" s="19"/>
      <c r="B294" s="20"/>
      <c r="C294" s="3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19"/>
      <c r="BI294" s="20"/>
      <c r="BJ294" s="20"/>
      <c r="BK294" s="19"/>
      <c r="BL294" s="19"/>
      <c r="BM294" s="19"/>
      <c r="BN294" s="19"/>
      <c r="BO294" s="19"/>
      <c r="BP294" s="19"/>
      <c r="BQ294" s="33"/>
      <c r="BR294" s="19"/>
      <c r="BS294" s="19"/>
    </row>
    <row r="295" spans="1:71" ht="14.25" customHeight="1">
      <c r="A295" s="19"/>
      <c r="B295" s="20"/>
      <c r="C295" s="3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19"/>
      <c r="BI295" s="20"/>
      <c r="BJ295" s="20"/>
      <c r="BK295" s="19"/>
      <c r="BL295" s="19"/>
      <c r="BM295" s="19"/>
      <c r="BN295" s="19"/>
      <c r="BO295" s="19"/>
      <c r="BP295" s="19"/>
      <c r="BQ295" s="33"/>
      <c r="BR295" s="19"/>
      <c r="BS295" s="19"/>
    </row>
    <row r="296" spans="1:71" ht="14.25" customHeight="1">
      <c r="A296" s="19"/>
      <c r="B296" s="20"/>
      <c r="C296" s="3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19"/>
      <c r="BI296" s="20"/>
      <c r="BJ296" s="20"/>
      <c r="BK296" s="19"/>
      <c r="BL296" s="19"/>
      <c r="BM296" s="19"/>
      <c r="BN296" s="19"/>
      <c r="BO296" s="19"/>
      <c r="BP296" s="19"/>
      <c r="BQ296" s="33"/>
      <c r="BR296" s="19"/>
      <c r="BS296" s="19"/>
    </row>
    <row r="297" spans="1:71" ht="14.25" customHeight="1">
      <c r="A297" s="19"/>
      <c r="B297" s="20"/>
      <c r="C297" s="3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19"/>
      <c r="BI297" s="20"/>
      <c r="BJ297" s="20"/>
      <c r="BK297" s="19"/>
      <c r="BL297" s="19"/>
      <c r="BM297" s="19"/>
      <c r="BN297" s="19"/>
      <c r="BO297" s="19"/>
      <c r="BP297" s="19"/>
      <c r="BQ297" s="33"/>
      <c r="BR297" s="19"/>
      <c r="BS297" s="19"/>
    </row>
    <row r="298" spans="1:71" ht="14.25" customHeight="1">
      <c r="A298" s="19"/>
      <c r="B298" s="20"/>
      <c r="C298" s="3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19"/>
      <c r="BI298" s="20"/>
      <c r="BJ298" s="20"/>
      <c r="BK298" s="19"/>
      <c r="BL298" s="19"/>
      <c r="BM298" s="19"/>
      <c r="BN298" s="19"/>
      <c r="BO298" s="19"/>
      <c r="BP298" s="19"/>
      <c r="BQ298" s="33"/>
      <c r="BR298" s="19"/>
      <c r="BS298" s="19"/>
    </row>
    <row r="299" spans="1:71" ht="14.25" customHeight="1">
      <c r="A299" s="19"/>
      <c r="B299" s="20"/>
      <c r="C299" s="3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19"/>
      <c r="BI299" s="20"/>
      <c r="BJ299" s="20"/>
      <c r="BK299" s="19"/>
      <c r="BL299" s="19"/>
      <c r="BM299" s="19"/>
      <c r="BN299" s="19"/>
      <c r="BO299" s="19"/>
      <c r="BP299" s="19"/>
      <c r="BQ299" s="33"/>
      <c r="BR299" s="19"/>
      <c r="BS299" s="19"/>
    </row>
    <row r="300" spans="1:71" ht="14.25" customHeight="1">
      <c r="A300" s="19"/>
      <c r="B300" s="20"/>
      <c r="C300" s="3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19"/>
      <c r="BI300" s="20"/>
      <c r="BJ300" s="20"/>
      <c r="BK300" s="19"/>
      <c r="BL300" s="19"/>
      <c r="BM300" s="19"/>
      <c r="BN300" s="19"/>
      <c r="BO300" s="19"/>
      <c r="BP300" s="19"/>
      <c r="BQ300" s="33"/>
      <c r="BR300" s="19"/>
      <c r="BS300" s="19"/>
    </row>
    <row r="301" spans="1:71" ht="14.25" customHeight="1">
      <c r="A301" s="19"/>
      <c r="B301" s="20"/>
      <c r="C301" s="3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19"/>
      <c r="BI301" s="20"/>
      <c r="BJ301" s="20"/>
      <c r="BK301" s="19"/>
      <c r="BL301" s="19"/>
      <c r="BM301" s="19"/>
      <c r="BN301" s="19"/>
      <c r="BO301" s="19"/>
      <c r="BP301" s="19"/>
      <c r="BQ301" s="33"/>
      <c r="BR301" s="19"/>
      <c r="BS301" s="19"/>
    </row>
    <row r="302" spans="1:71" ht="14.25" customHeight="1">
      <c r="A302" s="19"/>
      <c r="B302" s="20"/>
      <c r="C302" s="3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19"/>
      <c r="BI302" s="20"/>
      <c r="BJ302" s="20"/>
      <c r="BK302" s="19"/>
      <c r="BL302" s="19"/>
      <c r="BM302" s="19"/>
      <c r="BN302" s="19"/>
      <c r="BO302" s="19"/>
      <c r="BP302" s="19"/>
      <c r="BQ302" s="33"/>
      <c r="BR302" s="19"/>
      <c r="BS302" s="19"/>
    </row>
    <row r="303" spans="1:71" ht="14.25" customHeight="1">
      <c r="A303" s="19"/>
      <c r="B303" s="20"/>
      <c r="C303" s="3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19"/>
      <c r="BI303" s="20"/>
      <c r="BJ303" s="20"/>
      <c r="BK303" s="19"/>
      <c r="BL303" s="19"/>
      <c r="BM303" s="19"/>
      <c r="BN303" s="19"/>
      <c r="BO303" s="19"/>
      <c r="BP303" s="19"/>
      <c r="BQ303" s="33"/>
      <c r="BR303" s="19"/>
      <c r="BS303" s="19"/>
    </row>
    <row r="304" spans="1:71" ht="14.25" customHeight="1">
      <c r="A304" s="19"/>
      <c r="B304" s="20"/>
      <c r="C304" s="3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19"/>
      <c r="BI304" s="20"/>
      <c r="BJ304" s="20"/>
      <c r="BK304" s="19"/>
      <c r="BL304" s="19"/>
      <c r="BM304" s="19"/>
      <c r="BN304" s="19"/>
      <c r="BO304" s="19"/>
      <c r="BP304" s="19"/>
      <c r="BQ304" s="33"/>
      <c r="BR304" s="19"/>
      <c r="BS304" s="19"/>
    </row>
    <row r="305" spans="1:71" ht="14.25" customHeight="1">
      <c r="A305" s="19"/>
      <c r="B305" s="20"/>
      <c r="C305" s="3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19"/>
      <c r="BI305" s="20"/>
      <c r="BJ305" s="20"/>
      <c r="BK305" s="19"/>
      <c r="BL305" s="19"/>
      <c r="BM305" s="19"/>
      <c r="BN305" s="19"/>
      <c r="BO305" s="19"/>
      <c r="BP305" s="19"/>
      <c r="BQ305" s="33"/>
      <c r="BR305" s="19"/>
      <c r="BS305" s="19"/>
    </row>
    <row r="306" spans="1:71" ht="14.25" customHeight="1">
      <c r="A306" s="19"/>
      <c r="B306" s="20"/>
      <c r="C306" s="3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19"/>
      <c r="BI306" s="20"/>
      <c r="BJ306" s="20"/>
      <c r="BK306" s="19"/>
      <c r="BL306" s="19"/>
      <c r="BM306" s="19"/>
      <c r="BN306" s="19"/>
      <c r="BO306" s="19"/>
      <c r="BP306" s="19"/>
      <c r="BQ306" s="33"/>
      <c r="BR306" s="19"/>
      <c r="BS306" s="19"/>
    </row>
    <row r="307" spans="1:71" ht="14.25" customHeight="1">
      <c r="A307" s="19"/>
      <c r="B307" s="20"/>
      <c r="C307" s="3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19"/>
      <c r="BI307" s="20"/>
      <c r="BJ307" s="20"/>
      <c r="BK307" s="19"/>
      <c r="BL307" s="19"/>
      <c r="BM307" s="19"/>
      <c r="BN307" s="19"/>
      <c r="BO307" s="19"/>
      <c r="BP307" s="19"/>
      <c r="BQ307" s="33"/>
      <c r="BR307" s="19"/>
      <c r="BS307" s="19"/>
    </row>
    <row r="308" spans="1:71" ht="14.25" customHeight="1">
      <c r="A308" s="19"/>
      <c r="B308" s="20"/>
      <c r="C308" s="3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19"/>
      <c r="BI308" s="20"/>
      <c r="BJ308" s="20"/>
      <c r="BK308" s="19"/>
      <c r="BL308" s="19"/>
      <c r="BM308" s="19"/>
      <c r="BN308" s="19"/>
      <c r="BO308" s="19"/>
      <c r="BP308" s="19"/>
      <c r="BQ308" s="33"/>
      <c r="BR308" s="19"/>
      <c r="BS308" s="19"/>
    </row>
    <row r="309" spans="1:71" ht="14.25" customHeight="1">
      <c r="A309" s="19"/>
      <c r="B309" s="20"/>
      <c r="C309" s="3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19"/>
      <c r="BI309" s="20"/>
      <c r="BJ309" s="20"/>
      <c r="BK309" s="19"/>
      <c r="BL309" s="19"/>
      <c r="BM309" s="19"/>
      <c r="BN309" s="19"/>
      <c r="BO309" s="19"/>
      <c r="BP309" s="19"/>
      <c r="BQ309" s="33"/>
      <c r="BR309" s="19"/>
      <c r="BS309" s="19"/>
    </row>
    <row r="310" spans="1:71" ht="14.25" customHeight="1">
      <c r="A310" s="19"/>
      <c r="B310" s="20"/>
      <c r="C310" s="3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19"/>
      <c r="BI310" s="20"/>
      <c r="BJ310" s="20"/>
      <c r="BK310" s="19"/>
      <c r="BL310" s="19"/>
      <c r="BM310" s="19"/>
      <c r="BN310" s="19"/>
      <c r="BO310" s="19"/>
      <c r="BP310" s="19"/>
      <c r="BQ310" s="33"/>
      <c r="BR310" s="19"/>
      <c r="BS310" s="19"/>
    </row>
    <row r="311" spans="1:71" ht="14.25" customHeight="1">
      <c r="A311" s="19"/>
      <c r="B311" s="20"/>
      <c r="C311" s="3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19"/>
      <c r="BI311" s="20"/>
      <c r="BJ311" s="20"/>
      <c r="BK311" s="19"/>
      <c r="BL311" s="19"/>
      <c r="BM311" s="19"/>
      <c r="BN311" s="19"/>
      <c r="BO311" s="19"/>
      <c r="BP311" s="19"/>
      <c r="BQ311" s="33"/>
      <c r="BR311" s="19"/>
      <c r="BS311" s="19"/>
    </row>
    <row r="312" spans="1:71" ht="14.25" customHeight="1">
      <c r="A312" s="19"/>
      <c r="B312" s="20"/>
      <c r="C312" s="3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19"/>
      <c r="BI312" s="20"/>
      <c r="BJ312" s="20"/>
      <c r="BK312" s="19"/>
      <c r="BL312" s="19"/>
      <c r="BM312" s="19"/>
      <c r="BN312" s="19"/>
      <c r="BO312" s="19"/>
      <c r="BP312" s="19"/>
      <c r="BQ312" s="33"/>
      <c r="BR312" s="19"/>
      <c r="BS312" s="19"/>
    </row>
    <row r="313" spans="1:71" ht="14.25" customHeight="1">
      <c r="A313" s="19"/>
      <c r="B313" s="20"/>
      <c r="C313" s="3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19"/>
      <c r="BI313" s="20"/>
      <c r="BJ313" s="20"/>
      <c r="BK313" s="19"/>
      <c r="BL313" s="19"/>
      <c r="BM313" s="19"/>
      <c r="BN313" s="19"/>
      <c r="BO313" s="19"/>
      <c r="BP313" s="19"/>
      <c r="BQ313" s="33"/>
      <c r="BR313" s="19"/>
      <c r="BS313" s="19"/>
    </row>
    <row r="314" spans="1:71" ht="14.25" customHeight="1">
      <c r="A314" s="19"/>
      <c r="B314" s="20"/>
      <c r="C314" s="3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19"/>
      <c r="BI314" s="20"/>
      <c r="BJ314" s="20"/>
      <c r="BK314" s="19"/>
      <c r="BL314" s="19"/>
      <c r="BM314" s="19"/>
      <c r="BN314" s="19"/>
      <c r="BO314" s="19"/>
      <c r="BP314" s="19"/>
      <c r="BQ314" s="33"/>
      <c r="BR314" s="19"/>
      <c r="BS314" s="19"/>
    </row>
    <row r="315" spans="1:71" ht="14.25" customHeight="1">
      <c r="A315" s="19"/>
      <c r="B315" s="20"/>
      <c r="C315" s="3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19"/>
      <c r="BI315" s="20"/>
      <c r="BJ315" s="20"/>
      <c r="BK315" s="19"/>
      <c r="BL315" s="19"/>
      <c r="BM315" s="19"/>
      <c r="BN315" s="19"/>
      <c r="BO315" s="19"/>
      <c r="BP315" s="19"/>
      <c r="BQ315" s="33"/>
      <c r="BR315" s="19"/>
      <c r="BS315" s="19"/>
    </row>
    <row r="316" spans="1:71" ht="14.25" customHeight="1">
      <c r="A316" s="19"/>
      <c r="B316" s="20"/>
      <c r="C316" s="3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19"/>
      <c r="BI316" s="20"/>
      <c r="BJ316" s="20"/>
      <c r="BK316" s="19"/>
      <c r="BL316" s="19"/>
      <c r="BM316" s="19"/>
      <c r="BN316" s="19"/>
      <c r="BO316" s="19"/>
      <c r="BP316" s="19"/>
      <c r="BQ316" s="33"/>
      <c r="BR316" s="19"/>
      <c r="BS316" s="19"/>
    </row>
    <row r="317" spans="1:71" ht="14.25" customHeight="1">
      <c r="A317" s="19"/>
      <c r="B317" s="20"/>
      <c r="C317" s="3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19"/>
      <c r="BI317" s="20"/>
      <c r="BJ317" s="20"/>
      <c r="BK317" s="19"/>
      <c r="BL317" s="19"/>
      <c r="BM317" s="19"/>
      <c r="BN317" s="19"/>
      <c r="BO317" s="19"/>
      <c r="BP317" s="19"/>
      <c r="BQ317" s="33"/>
      <c r="BR317" s="19"/>
      <c r="BS317" s="19"/>
    </row>
    <row r="318" spans="1:71" ht="14.25" customHeight="1">
      <c r="A318" s="19"/>
      <c r="B318" s="20"/>
      <c r="C318" s="3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19"/>
      <c r="BI318" s="20"/>
      <c r="BJ318" s="20"/>
      <c r="BK318" s="19"/>
      <c r="BL318" s="19"/>
      <c r="BM318" s="19"/>
      <c r="BN318" s="19"/>
      <c r="BO318" s="19"/>
      <c r="BP318" s="19"/>
      <c r="BQ318" s="33"/>
      <c r="BR318" s="19"/>
      <c r="BS318" s="19"/>
    </row>
    <row r="319" spans="1:71" ht="14.25" customHeight="1">
      <c r="A319" s="19"/>
      <c r="B319" s="20"/>
      <c r="C319" s="3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19"/>
      <c r="BI319" s="20"/>
      <c r="BJ319" s="20"/>
      <c r="BK319" s="19"/>
      <c r="BL319" s="19"/>
      <c r="BM319" s="19"/>
      <c r="BN319" s="19"/>
      <c r="BO319" s="19"/>
      <c r="BP319" s="19"/>
      <c r="BQ319" s="33"/>
      <c r="BR319" s="19"/>
      <c r="BS319" s="19"/>
    </row>
    <row r="320" spans="1:71" ht="14.25" customHeight="1">
      <c r="A320" s="19"/>
      <c r="B320" s="20"/>
      <c r="C320" s="3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19"/>
      <c r="BI320" s="20"/>
      <c r="BJ320" s="20"/>
      <c r="BK320" s="19"/>
      <c r="BL320" s="19"/>
      <c r="BM320" s="19"/>
      <c r="BN320" s="19"/>
      <c r="BO320" s="19"/>
      <c r="BP320" s="19"/>
      <c r="BQ320" s="33"/>
      <c r="BR320" s="19"/>
      <c r="BS320" s="19"/>
    </row>
    <row r="321" spans="1:71" ht="14.25" customHeight="1">
      <c r="A321" s="19"/>
      <c r="B321" s="20"/>
      <c r="C321" s="3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19"/>
      <c r="BI321" s="20"/>
      <c r="BJ321" s="20"/>
      <c r="BK321" s="19"/>
      <c r="BL321" s="19"/>
      <c r="BM321" s="19"/>
      <c r="BN321" s="19"/>
      <c r="BO321" s="19"/>
      <c r="BP321" s="19"/>
      <c r="BQ321" s="33"/>
      <c r="BR321" s="19"/>
      <c r="BS321" s="19"/>
    </row>
    <row r="322" spans="1:71" ht="14.25" customHeight="1">
      <c r="A322" s="19"/>
      <c r="B322" s="20"/>
      <c r="C322" s="3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19"/>
      <c r="BI322" s="20"/>
      <c r="BJ322" s="20"/>
      <c r="BK322" s="19"/>
      <c r="BL322" s="19"/>
      <c r="BM322" s="19"/>
      <c r="BN322" s="19"/>
      <c r="BO322" s="19"/>
      <c r="BP322" s="19"/>
      <c r="BQ322" s="33"/>
      <c r="BR322" s="19"/>
      <c r="BS322" s="19"/>
    </row>
    <row r="323" spans="1:71" ht="14.25" customHeight="1">
      <c r="A323" s="19"/>
      <c r="B323" s="20"/>
      <c r="C323" s="3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19"/>
      <c r="BI323" s="20"/>
      <c r="BJ323" s="20"/>
      <c r="BK323" s="19"/>
      <c r="BL323" s="19"/>
      <c r="BM323" s="19"/>
      <c r="BN323" s="19"/>
      <c r="BO323" s="19"/>
      <c r="BP323" s="19"/>
      <c r="BQ323" s="33"/>
      <c r="BR323" s="19"/>
      <c r="BS323" s="19"/>
    </row>
    <row r="324" spans="1:71" ht="14.25" customHeight="1">
      <c r="A324" s="19"/>
      <c r="B324" s="20"/>
      <c r="C324" s="3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19"/>
      <c r="BI324" s="20"/>
      <c r="BJ324" s="20"/>
      <c r="BK324" s="19"/>
      <c r="BL324" s="19"/>
      <c r="BM324" s="19"/>
      <c r="BN324" s="19"/>
      <c r="BO324" s="19"/>
      <c r="BP324" s="19"/>
      <c r="BQ324" s="33"/>
      <c r="BR324" s="19"/>
      <c r="BS324" s="19"/>
    </row>
    <row r="325" spans="1:71" ht="14.25" customHeight="1">
      <c r="A325" s="19"/>
      <c r="B325" s="20"/>
      <c r="C325" s="3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19"/>
      <c r="BI325" s="20"/>
      <c r="BJ325" s="20"/>
      <c r="BK325" s="19"/>
      <c r="BL325" s="19"/>
      <c r="BM325" s="19"/>
      <c r="BN325" s="19"/>
      <c r="BO325" s="19"/>
      <c r="BP325" s="19"/>
      <c r="BQ325" s="33"/>
      <c r="BR325" s="19"/>
      <c r="BS325" s="19"/>
    </row>
    <row r="326" spans="1:71" ht="14.25" customHeight="1">
      <c r="A326" s="19"/>
      <c r="B326" s="20"/>
      <c r="C326" s="3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19"/>
      <c r="BI326" s="20"/>
      <c r="BJ326" s="20"/>
      <c r="BK326" s="19"/>
      <c r="BL326" s="19"/>
      <c r="BM326" s="19"/>
      <c r="BN326" s="19"/>
      <c r="BO326" s="19"/>
      <c r="BP326" s="19"/>
      <c r="BQ326" s="33"/>
      <c r="BR326" s="19"/>
      <c r="BS326" s="19"/>
    </row>
    <row r="327" spans="1:71" ht="14.25" customHeight="1">
      <c r="A327" s="19"/>
      <c r="B327" s="20"/>
      <c r="C327" s="3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19"/>
      <c r="BI327" s="20"/>
      <c r="BJ327" s="20"/>
      <c r="BK327" s="19"/>
      <c r="BL327" s="19"/>
      <c r="BM327" s="19"/>
      <c r="BN327" s="19"/>
      <c r="BO327" s="19"/>
      <c r="BP327" s="19"/>
      <c r="BQ327" s="33"/>
      <c r="BR327" s="19"/>
      <c r="BS327" s="19"/>
    </row>
    <row r="328" spans="1:71" ht="14.25" customHeight="1">
      <c r="A328" s="19"/>
      <c r="B328" s="20"/>
      <c r="C328" s="3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19"/>
      <c r="BI328" s="20"/>
      <c r="BJ328" s="20"/>
      <c r="BK328" s="19"/>
      <c r="BL328" s="19"/>
      <c r="BM328" s="19"/>
      <c r="BN328" s="19"/>
      <c r="BO328" s="19"/>
      <c r="BP328" s="19"/>
      <c r="BQ328" s="33"/>
      <c r="BR328" s="19"/>
      <c r="BS328" s="19"/>
    </row>
    <row r="329" spans="1:71" ht="14.25" customHeight="1">
      <c r="A329" s="19"/>
      <c r="B329" s="20"/>
      <c r="C329" s="3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19"/>
      <c r="BI329" s="20"/>
      <c r="BJ329" s="20"/>
      <c r="BK329" s="19"/>
      <c r="BL329" s="19"/>
      <c r="BM329" s="19"/>
      <c r="BN329" s="19"/>
      <c r="BO329" s="19"/>
      <c r="BP329" s="19"/>
      <c r="BQ329" s="33"/>
      <c r="BR329" s="19"/>
      <c r="BS329" s="19"/>
    </row>
    <row r="330" spans="1:71" ht="14.25" customHeight="1">
      <c r="A330" s="19"/>
      <c r="B330" s="20"/>
      <c r="C330" s="3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19"/>
      <c r="BI330" s="20"/>
      <c r="BJ330" s="20"/>
      <c r="BK330" s="19"/>
      <c r="BL330" s="19"/>
      <c r="BM330" s="19"/>
      <c r="BN330" s="19"/>
      <c r="BO330" s="19"/>
      <c r="BP330" s="19"/>
      <c r="BQ330" s="33"/>
      <c r="BR330" s="19"/>
      <c r="BS330" s="19"/>
    </row>
    <row r="331" spans="1:71" ht="14.25" customHeight="1">
      <c r="A331" s="19"/>
      <c r="B331" s="20"/>
      <c r="C331" s="3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19"/>
      <c r="BI331" s="20"/>
      <c r="BJ331" s="20"/>
      <c r="BK331" s="19"/>
      <c r="BL331" s="19"/>
      <c r="BM331" s="19"/>
      <c r="BN331" s="19"/>
      <c r="BO331" s="19"/>
      <c r="BP331" s="19"/>
      <c r="BQ331" s="33"/>
      <c r="BR331" s="19"/>
      <c r="BS331" s="19"/>
    </row>
    <row r="332" spans="1:71" ht="14.25" customHeight="1">
      <c r="A332" s="19"/>
      <c r="B332" s="20"/>
      <c r="C332" s="3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19"/>
      <c r="BI332" s="20"/>
      <c r="BJ332" s="20"/>
      <c r="BK332" s="19"/>
      <c r="BL332" s="19"/>
      <c r="BM332" s="19"/>
      <c r="BN332" s="19"/>
      <c r="BO332" s="19"/>
      <c r="BP332" s="19"/>
      <c r="BQ332" s="33"/>
      <c r="BR332" s="19"/>
      <c r="BS332" s="19"/>
    </row>
    <row r="333" spans="1:71" ht="14.25" customHeight="1">
      <c r="A333" s="19"/>
      <c r="B333" s="20"/>
      <c r="C333" s="3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19"/>
      <c r="BI333" s="20"/>
      <c r="BJ333" s="20"/>
      <c r="BK333" s="19"/>
      <c r="BL333" s="19"/>
      <c r="BM333" s="19"/>
      <c r="BN333" s="19"/>
      <c r="BO333" s="19"/>
      <c r="BP333" s="19"/>
      <c r="BQ333" s="33"/>
      <c r="BR333" s="19"/>
      <c r="BS333" s="19"/>
    </row>
    <row r="334" spans="1:71" ht="14.25" customHeight="1">
      <c r="A334" s="19"/>
      <c r="B334" s="20"/>
      <c r="C334" s="3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19"/>
      <c r="BI334" s="20"/>
      <c r="BJ334" s="20"/>
      <c r="BK334" s="19"/>
      <c r="BL334" s="19"/>
      <c r="BM334" s="19"/>
      <c r="BN334" s="19"/>
      <c r="BO334" s="19"/>
      <c r="BP334" s="19"/>
      <c r="BQ334" s="33"/>
      <c r="BR334" s="19"/>
      <c r="BS334" s="19"/>
    </row>
    <row r="335" spans="1:71" ht="14.25" customHeight="1">
      <c r="A335" s="19"/>
      <c r="B335" s="20"/>
      <c r="C335" s="3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19"/>
      <c r="BI335" s="20"/>
      <c r="BJ335" s="20"/>
      <c r="BK335" s="19"/>
      <c r="BL335" s="19"/>
      <c r="BM335" s="19"/>
      <c r="BN335" s="19"/>
      <c r="BO335" s="19"/>
      <c r="BP335" s="19"/>
      <c r="BQ335" s="33"/>
      <c r="BR335" s="19"/>
      <c r="BS335" s="19"/>
    </row>
    <row r="336" spans="1:71" ht="14.25" customHeight="1">
      <c r="A336" s="19"/>
      <c r="B336" s="20"/>
      <c r="C336" s="3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19"/>
      <c r="BI336" s="20"/>
      <c r="BJ336" s="20"/>
      <c r="BK336" s="19"/>
      <c r="BL336" s="19"/>
      <c r="BM336" s="19"/>
      <c r="BN336" s="19"/>
      <c r="BO336" s="19"/>
      <c r="BP336" s="19"/>
      <c r="BQ336" s="33"/>
      <c r="BR336" s="19"/>
      <c r="BS336" s="19"/>
    </row>
    <row r="337" spans="1:71" ht="14.25" customHeight="1">
      <c r="A337" s="19"/>
      <c r="B337" s="20"/>
      <c r="C337" s="3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19"/>
      <c r="BI337" s="20"/>
      <c r="BJ337" s="20"/>
      <c r="BK337" s="19"/>
      <c r="BL337" s="19"/>
      <c r="BM337" s="19"/>
      <c r="BN337" s="19"/>
      <c r="BO337" s="19"/>
      <c r="BP337" s="19"/>
      <c r="BQ337" s="33"/>
      <c r="BR337" s="19"/>
      <c r="BS337" s="19"/>
    </row>
    <row r="338" spans="1:71" ht="14.25" customHeight="1">
      <c r="A338" s="19"/>
      <c r="B338" s="20"/>
      <c r="C338" s="3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19"/>
      <c r="BI338" s="20"/>
      <c r="BJ338" s="20"/>
      <c r="BK338" s="19"/>
      <c r="BL338" s="19"/>
      <c r="BM338" s="19"/>
      <c r="BN338" s="19"/>
      <c r="BO338" s="19"/>
      <c r="BP338" s="19"/>
      <c r="BQ338" s="33"/>
      <c r="BR338" s="19"/>
      <c r="BS338" s="19"/>
    </row>
    <row r="339" spans="1:71" ht="14.25" customHeight="1">
      <c r="A339" s="19"/>
      <c r="B339" s="20"/>
      <c r="C339" s="3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19"/>
      <c r="BI339" s="20"/>
      <c r="BJ339" s="20"/>
      <c r="BK339" s="19"/>
      <c r="BL339" s="19"/>
      <c r="BM339" s="19"/>
      <c r="BN339" s="19"/>
      <c r="BO339" s="19"/>
      <c r="BP339" s="19"/>
      <c r="BQ339" s="33"/>
      <c r="BR339" s="19"/>
      <c r="BS339" s="19"/>
    </row>
    <row r="340" spans="1:71" ht="14.25" customHeight="1">
      <c r="A340" s="19"/>
      <c r="B340" s="20"/>
      <c r="C340" s="3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19"/>
      <c r="BI340" s="20"/>
      <c r="BJ340" s="20"/>
      <c r="BK340" s="19"/>
      <c r="BL340" s="19"/>
      <c r="BM340" s="19"/>
      <c r="BN340" s="19"/>
      <c r="BO340" s="19"/>
      <c r="BP340" s="19"/>
      <c r="BQ340" s="33"/>
      <c r="BR340" s="19"/>
      <c r="BS340" s="19"/>
    </row>
    <row r="341" spans="1:71" ht="14.25" customHeight="1">
      <c r="A341" s="19"/>
      <c r="B341" s="20"/>
      <c r="C341" s="3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19"/>
      <c r="BI341" s="20"/>
      <c r="BJ341" s="20"/>
      <c r="BK341" s="19"/>
      <c r="BL341" s="19"/>
      <c r="BM341" s="19"/>
      <c r="BN341" s="19"/>
      <c r="BO341" s="19"/>
      <c r="BP341" s="19"/>
      <c r="BQ341" s="33"/>
      <c r="BR341" s="19"/>
      <c r="BS341" s="19"/>
    </row>
    <row r="342" spans="1:71" ht="14.25" customHeight="1">
      <c r="A342" s="19"/>
      <c r="B342" s="20"/>
      <c r="C342" s="3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19"/>
      <c r="BI342" s="20"/>
      <c r="BJ342" s="20"/>
      <c r="BK342" s="19"/>
      <c r="BL342" s="19"/>
      <c r="BM342" s="19"/>
      <c r="BN342" s="19"/>
      <c r="BO342" s="19"/>
      <c r="BP342" s="19"/>
      <c r="BQ342" s="33"/>
      <c r="BR342" s="19"/>
      <c r="BS342" s="19"/>
    </row>
    <row r="343" spans="1:71" ht="14.25" customHeight="1">
      <c r="A343" s="19"/>
      <c r="B343" s="20"/>
      <c r="C343" s="3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19"/>
      <c r="BI343" s="20"/>
      <c r="BJ343" s="20"/>
      <c r="BK343" s="19"/>
      <c r="BL343" s="19"/>
      <c r="BM343" s="19"/>
      <c r="BN343" s="19"/>
      <c r="BO343" s="19"/>
      <c r="BP343" s="19"/>
      <c r="BQ343" s="33"/>
      <c r="BR343" s="19"/>
      <c r="BS343" s="19"/>
    </row>
    <row r="344" spans="1:71" ht="14.25" customHeight="1">
      <c r="A344" s="19"/>
      <c r="B344" s="20"/>
      <c r="C344" s="3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19"/>
      <c r="BI344" s="20"/>
      <c r="BJ344" s="20"/>
      <c r="BK344" s="19"/>
      <c r="BL344" s="19"/>
      <c r="BM344" s="19"/>
      <c r="BN344" s="19"/>
      <c r="BO344" s="19"/>
      <c r="BP344" s="19"/>
      <c r="BQ344" s="33"/>
      <c r="BR344" s="19"/>
      <c r="BS344" s="19"/>
    </row>
    <row r="345" spans="1:71" ht="14.25" customHeight="1">
      <c r="A345" s="19"/>
      <c r="B345" s="20"/>
      <c r="C345" s="3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19"/>
      <c r="BI345" s="20"/>
      <c r="BJ345" s="20"/>
      <c r="BK345" s="19"/>
      <c r="BL345" s="19"/>
      <c r="BM345" s="19"/>
      <c r="BN345" s="19"/>
      <c r="BO345" s="19"/>
      <c r="BP345" s="19"/>
      <c r="BQ345" s="33"/>
      <c r="BR345" s="19"/>
      <c r="BS345" s="19"/>
    </row>
    <row r="346" spans="1:71" ht="14.25" customHeight="1">
      <c r="A346" s="19"/>
      <c r="B346" s="20"/>
      <c r="C346" s="3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19"/>
      <c r="BI346" s="20"/>
      <c r="BJ346" s="20"/>
      <c r="BK346" s="19"/>
      <c r="BL346" s="19"/>
      <c r="BM346" s="19"/>
      <c r="BN346" s="19"/>
      <c r="BO346" s="19"/>
      <c r="BP346" s="19"/>
      <c r="BQ346" s="33"/>
      <c r="BR346" s="19"/>
      <c r="BS346" s="19"/>
    </row>
    <row r="347" spans="1:71" ht="14.25" customHeight="1">
      <c r="A347" s="19"/>
      <c r="B347" s="20"/>
      <c r="C347" s="3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19"/>
      <c r="BI347" s="20"/>
      <c r="BJ347" s="20"/>
      <c r="BK347" s="19"/>
      <c r="BL347" s="19"/>
      <c r="BM347" s="19"/>
      <c r="BN347" s="19"/>
      <c r="BO347" s="19"/>
      <c r="BP347" s="19"/>
      <c r="BQ347" s="33"/>
      <c r="BR347" s="19"/>
      <c r="BS347" s="19"/>
    </row>
    <row r="348" spans="1:71" ht="14.25" customHeight="1">
      <c r="A348" s="19"/>
      <c r="B348" s="20"/>
      <c r="C348" s="3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19"/>
      <c r="BI348" s="20"/>
      <c r="BJ348" s="20"/>
      <c r="BK348" s="19"/>
      <c r="BL348" s="19"/>
      <c r="BM348" s="19"/>
      <c r="BN348" s="19"/>
      <c r="BO348" s="19"/>
      <c r="BP348" s="19"/>
      <c r="BQ348" s="33"/>
      <c r="BR348" s="19"/>
      <c r="BS348" s="19"/>
    </row>
    <row r="349" spans="1:71" ht="14.25" customHeight="1">
      <c r="A349" s="19"/>
      <c r="B349" s="20"/>
      <c r="C349" s="3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19"/>
      <c r="BI349" s="20"/>
      <c r="BJ349" s="20"/>
      <c r="BK349" s="19"/>
      <c r="BL349" s="19"/>
      <c r="BM349" s="19"/>
      <c r="BN349" s="19"/>
      <c r="BO349" s="19"/>
      <c r="BP349" s="19"/>
      <c r="BQ349" s="33"/>
      <c r="BR349" s="19"/>
      <c r="BS349" s="19"/>
    </row>
    <row r="350" spans="1:71" ht="14.25" customHeight="1">
      <c r="A350" s="19"/>
      <c r="B350" s="20"/>
      <c r="C350" s="3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19"/>
      <c r="BI350" s="20"/>
      <c r="BJ350" s="20"/>
      <c r="BK350" s="19"/>
      <c r="BL350" s="19"/>
      <c r="BM350" s="19"/>
      <c r="BN350" s="19"/>
      <c r="BO350" s="19"/>
      <c r="BP350" s="19"/>
      <c r="BQ350" s="33"/>
      <c r="BR350" s="19"/>
      <c r="BS350" s="19"/>
    </row>
  </sheetData>
  <mergeCells count="27">
    <mergeCell ref="A79:BA79"/>
    <mergeCell ref="BO5:BO6"/>
    <mergeCell ref="BP5:BP6"/>
    <mergeCell ref="BQ5:BQ6"/>
    <mergeCell ref="BR5:BR6"/>
    <mergeCell ref="BH5:BH6"/>
    <mergeCell ref="BI5:BI6"/>
    <mergeCell ref="BJ5:BJ6"/>
    <mergeCell ref="BK5:BK6"/>
    <mergeCell ref="BL5:BL6"/>
    <mergeCell ref="BM5:BM6"/>
    <mergeCell ref="BN5:BN6"/>
    <mergeCell ref="BH4:BN4"/>
    <mergeCell ref="BO4:BS4"/>
    <mergeCell ref="A4:BF4"/>
    <mergeCell ref="A5:C5"/>
    <mergeCell ref="BB5:BB6"/>
    <mergeCell ref="BC5:BC6"/>
    <mergeCell ref="BD5:BD6"/>
    <mergeCell ref="BE5:BE6"/>
    <mergeCell ref="BF5:BF6"/>
    <mergeCell ref="BS5:BS6"/>
    <mergeCell ref="A1:BF3"/>
    <mergeCell ref="BH1:BS1"/>
    <mergeCell ref="BH2:BS2"/>
    <mergeCell ref="BH3:BN3"/>
    <mergeCell ref="BO3:BS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</vt:lpstr>
      <vt:lpstr>INTERNAL</vt:lpstr>
      <vt:lpstr>DAA</vt:lpstr>
      <vt:lpstr>DM</vt:lpstr>
      <vt:lpstr>OS</vt:lpstr>
      <vt:lpstr>COA</vt:lpstr>
      <vt:lpstr>UHV2</vt:lpstr>
      <vt:lpstr>EVS</vt:lpstr>
      <vt:lpstr>OSlab</vt:lpstr>
      <vt:lpstr>COAlab</vt:lpstr>
      <vt:lpstr>DAAlab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Sukhdayal .</cp:lastModifiedBy>
  <dcterms:created xsi:type="dcterms:W3CDTF">2026-02-16T05:50:07Z</dcterms:created>
  <dcterms:modified xsi:type="dcterms:W3CDTF">2026-02-16T05:50:08Z</dcterms:modified>
</cp:coreProperties>
</file>