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C73E909-71C7-4CB5-8D9C-65F82E5FA1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BMS" sheetId="12" r:id="rId1"/>
    <sheet name="ERP" sheetId="10" r:id="rId2"/>
    <sheet name="FLAT" sheetId="11" r:id="rId3"/>
    <sheet name="SE" sheetId="8" r:id="rId4"/>
    <sheet name="CN" sheetId="16" r:id="rId5"/>
    <sheet name="PIP" sheetId="9" r:id="rId6"/>
    <sheet name="COI" sheetId="14" r:id="rId7"/>
    <sheet name="DBMS LAB" sheetId="13" r:id="rId8"/>
    <sheet name="PIP LAB" sheetId="6" r:id="rId9"/>
    <sheet name="SE LAB" sheetId="7" r:id="rId10"/>
    <sheet name="CN LAB" sheetId="15" r:id="rId11"/>
  </sheets>
  <externalReferences>
    <externalReference r:id="rId12"/>
    <externalReference r:id="rId13"/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9" l="1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8" i="9"/>
  <c r="P12" i="14"/>
  <c r="P16" i="14"/>
  <c r="P20" i="14"/>
  <c r="P21" i="14"/>
  <c r="P24" i="14"/>
  <c r="P33" i="14"/>
  <c r="P36" i="14"/>
  <c r="P40" i="14"/>
  <c r="P48" i="14"/>
  <c r="P52" i="14"/>
  <c r="P56" i="14"/>
  <c r="P9" i="14"/>
  <c r="P10" i="14"/>
  <c r="P11" i="14"/>
  <c r="P13" i="14"/>
  <c r="P14" i="14"/>
  <c r="P15" i="14"/>
  <c r="P18" i="14"/>
  <c r="P19" i="14"/>
  <c r="P23" i="14"/>
  <c r="P26" i="14"/>
  <c r="P27" i="14"/>
  <c r="P28" i="14"/>
  <c r="P29" i="14"/>
  <c r="P30" i="14"/>
  <c r="P34" i="14"/>
  <c r="P39" i="14"/>
  <c r="P44" i="14"/>
  <c r="P46" i="14"/>
  <c r="P53" i="14"/>
  <c r="P54" i="14"/>
  <c r="P55" i="14"/>
  <c r="N9" i="14"/>
  <c r="N10" i="14"/>
  <c r="N11" i="14"/>
  <c r="N12" i="14"/>
  <c r="N13" i="14"/>
  <c r="N14" i="14"/>
  <c r="N15" i="14"/>
  <c r="N16" i="14"/>
  <c r="N17" i="14"/>
  <c r="P17" i="14" s="1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P35" i="14" s="1"/>
  <c r="N36" i="14"/>
  <c r="N37" i="14"/>
  <c r="N38" i="14"/>
  <c r="P38" i="14" s="1"/>
  <c r="N39" i="14"/>
  <c r="N40" i="14"/>
  <c r="N41" i="14"/>
  <c r="N42" i="14"/>
  <c r="P42" i="14" s="1"/>
  <c r="N43" i="14"/>
  <c r="N44" i="14"/>
  <c r="N45" i="14"/>
  <c r="P45" i="14" s="1"/>
  <c r="N46" i="14"/>
  <c r="N47" i="14"/>
  <c r="N48" i="14"/>
  <c r="N49" i="14"/>
  <c r="P49" i="14" s="1"/>
  <c r="N50" i="14"/>
  <c r="N51" i="14"/>
  <c r="N52" i="14"/>
  <c r="N53" i="14"/>
  <c r="N54" i="14"/>
  <c r="N55" i="14"/>
  <c r="N56" i="14"/>
  <c r="N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P22" i="14" s="1"/>
  <c r="J23" i="14"/>
  <c r="J24" i="14"/>
  <c r="J25" i="14"/>
  <c r="J26" i="14"/>
  <c r="J27" i="14"/>
  <c r="J28" i="14"/>
  <c r="J29" i="14"/>
  <c r="J30" i="14"/>
  <c r="J31" i="14"/>
  <c r="J32" i="14"/>
  <c r="P32" i="14" s="1"/>
  <c r="J33" i="14"/>
  <c r="J34" i="14"/>
  <c r="J35" i="14"/>
  <c r="J36" i="14"/>
  <c r="J37" i="14"/>
  <c r="P37" i="14" s="1"/>
  <c r="J38" i="14"/>
  <c r="J39" i="14"/>
  <c r="J40" i="14"/>
  <c r="J41" i="14"/>
  <c r="P41" i="14" s="1"/>
  <c r="J42" i="14"/>
  <c r="J43" i="14"/>
  <c r="J44" i="14"/>
  <c r="J45" i="14"/>
  <c r="J46" i="14"/>
  <c r="J47" i="14"/>
  <c r="P47" i="14" s="1"/>
  <c r="J48" i="14"/>
  <c r="J49" i="14"/>
  <c r="J50" i="14"/>
  <c r="P50" i="14" s="1"/>
  <c r="J51" i="14"/>
  <c r="J52" i="14"/>
  <c r="J53" i="14"/>
  <c r="J54" i="14"/>
  <c r="J55" i="14"/>
  <c r="J56" i="14"/>
  <c r="J8" i="14"/>
  <c r="N57" i="10"/>
  <c r="J57" i="10"/>
  <c r="E57" i="10"/>
  <c r="F57" i="10" s="1"/>
  <c r="G57" i="10" s="1"/>
  <c r="P57" i="10" s="1"/>
  <c r="N56" i="10"/>
  <c r="J56" i="10"/>
  <c r="E56" i="10"/>
  <c r="F56" i="10" s="1"/>
  <c r="G56" i="10" s="1"/>
  <c r="P56" i="10" s="1"/>
  <c r="N55" i="10"/>
  <c r="J55" i="10"/>
  <c r="E55" i="10"/>
  <c r="F55" i="10" s="1"/>
  <c r="G55" i="10" s="1"/>
  <c r="P55" i="10" s="1"/>
  <c r="N54" i="10"/>
  <c r="J54" i="10"/>
  <c r="E54" i="10"/>
  <c r="F54" i="10" s="1"/>
  <c r="G54" i="10" s="1"/>
  <c r="N53" i="10"/>
  <c r="J53" i="10"/>
  <c r="E53" i="10"/>
  <c r="F53" i="10" s="1"/>
  <c r="G53" i="10" s="1"/>
  <c r="P53" i="10" s="1"/>
  <c r="N52" i="10"/>
  <c r="J52" i="10"/>
  <c r="E52" i="10"/>
  <c r="F52" i="10" s="1"/>
  <c r="G52" i="10" s="1"/>
  <c r="N51" i="10"/>
  <c r="J51" i="10"/>
  <c r="G51" i="10"/>
  <c r="P51" i="10" s="1"/>
  <c r="E51" i="10"/>
  <c r="F51" i="10" s="1"/>
  <c r="N50" i="10"/>
  <c r="J50" i="10"/>
  <c r="E50" i="10"/>
  <c r="F50" i="10" s="1"/>
  <c r="G50" i="10" s="1"/>
  <c r="P50" i="10" s="1"/>
  <c r="N49" i="10"/>
  <c r="J49" i="10"/>
  <c r="E49" i="10"/>
  <c r="F49" i="10" s="1"/>
  <c r="G49" i="10" s="1"/>
  <c r="P49" i="10" s="1"/>
  <c r="N48" i="10"/>
  <c r="J48" i="10"/>
  <c r="E48" i="10"/>
  <c r="F48" i="10" s="1"/>
  <c r="G48" i="10" s="1"/>
  <c r="P48" i="10" s="1"/>
  <c r="N47" i="10"/>
  <c r="J47" i="10"/>
  <c r="E47" i="10"/>
  <c r="F47" i="10" s="1"/>
  <c r="G47" i="10" s="1"/>
  <c r="P47" i="10" s="1"/>
  <c r="N46" i="10"/>
  <c r="J46" i="10"/>
  <c r="E46" i="10"/>
  <c r="F46" i="10" s="1"/>
  <c r="G46" i="10" s="1"/>
  <c r="P46" i="10" s="1"/>
  <c r="N45" i="10"/>
  <c r="J45" i="10"/>
  <c r="E45" i="10"/>
  <c r="F45" i="10" s="1"/>
  <c r="G45" i="10" s="1"/>
  <c r="P45" i="10" s="1"/>
  <c r="N44" i="10"/>
  <c r="J44" i="10"/>
  <c r="F44" i="10"/>
  <c r="G44" i="10" s="1"/>
  <c r="P44" i="10" s="1"/>
  <c r="E44" i="10"/>
  <c r="N43" i="10"/>
  <c r="J43" i="10"/>
  <c r="G43" i="10"/>
  <c r="P43" i="10" s="1"/>
  <c r="E43" i="10"/>
  <c r="F43" i="10" s="1"/>
  <c r="N42" i="10"/>
  <c r="J42" i="10"/>
  <c r="F42" i="10"/>
  <c r="G42" i="10" s="1"/>
  <c r="P42" i="10" s="1"/>
  <c r="E42" i="10"/>
  <c r="N41" i="10"/>
  <c r="J41" i="10"/>
  <c r="G41" i="10"/>
  <c r="E41" i="10"/>
  <c r="F41" i="10" s="1"/>
  <c r="N40" i="10"/>
  <c r="J40" i="10"/>
  <c r="E40" i="10"/>
  <c r="F40" i="10" s="1"/>
  <c r="G40" i="10" s="1"/>
  <c r="P40" i="10" s="1"/>
  <c r="N39" i="10"/>
  <c r="J39" i="10"/>
  <c r="E39" i="10"/>
  <c r="F39" i="10" s="1"/>
  <c r="G39" i="10" s="1"/>
  <c r="P39" i="10" s="1"/>
  <c r="N38" i="10"/>
  <c r="J38" i="10"/>
  <c r="E38" i="10"/>
  <c r="F38" i="10" s="1"/>
  <c r="G38" i="10" s="1"/>
  <c r="P38" i="10" s="1"/>
  <c r="N37" i="10"/>
  <c r="J37" i="10"/>
  <c r="E37" i="10"/>
  <c r="F37" i="10" s="1"/>
  <c r="G37" i="10" s="1"/>
  <c r="P37" i="10" s="1"/>
  <c r="N36" i="10"/>
  <c r="J36" i="10"/>
  <c r="F36" i="10"/>
  <c r="G36" i="10" s="1"/>
  <c r="P36" i="10" s="1"/>
  <c r="E36" i="10"/>
  <c r="N35" i="10"/>
  <c r="J35" i="10"/>
  <c r="G35" i="10"/>
  <c r="P35" i="10" s="1"/>
  <c r="E35" i="10"/>
  <c r="F35" i="10" s="1"/>
  <c r="N34" i="10"/>
  <c r="J34" i="10"/>
  <c r="F34" i="10"/>
  <c r="G34" i="10" s="1"/>
  <c r="P34" i="10" s="1"/>
  <c r="E34" i="10"/>
  <c r="N33" i="10"/>
  <c r="J33" i="10"/>
  <c r="G33" i="10"/>
  <c r="E33" i="10"/>
  <c r="F33" i="10" s="1"/>
  <c r="N32" i="10"/>
  <c r="J32" i="10"/>
  <c r="E32" i="10"/>
  <c r="F32" i="10" s="1"/>
  <c r="G32" i="10" s="1"/>
  <c r="P32" i="10" s="1"/>
  <c r="N31" i="10"/>
  <c r="J31" i="10"/>
  <c r="E31" i="10"/>
  <c r="F31" i="10" s="1"/>
  <c r="G31" i="10" s="1"/>
  <c r="P31" i="10" s="1"/>
  <c r="N30" i="10"/>
  <c r="J30" i="10"/>
  <c r="E30" i="10"/>
  <c r="F30" i="10" s="1"/>
  <c r="G30" i="10" s="1"/>
  <c r="P30" i="10" s="1"/>
  <c r="N29" i="10"/>
  <c r="J29" i="10"/>
  <c r="E29" i="10"/>
  <c r="F29" i="10" s="1"/>
  <c r="G29" i="10" s="1"/>
  <c r="P29" i="10" s="1"/>
  <c r="N28" i="10"/>
  <c r="J28" i="10"/>
  <c r="F28" i="10"/>
  <c r="G28" i="10" s="1"/>
  <c r="P28" i="10" s="1"/>
  <c r="E28" i="10"/>
  <c r="N27" i="10"/>
  <c r="J27" i="10"/>
  <c r="G27" i="10"/>
  <c r="P27" i="10" s="1"/>
  <c r="E27" i="10"/>
  <c r="F27" i="10" s="1"/>
  <c r="N26" i="10"/>
  <c r="J26" i="10"/>
  <c r="F26" i="10"/>
  <c r="G26" i="10" s="1"/>
  <c r="P26" i="10" s="1"/>
  <c r="E26" i="10"/>
  <c r="N25" i="10"/>
  <c r="J25" i="10"/>
  <c r="G25" i="10"/>
  <c r="E25" i="10"/>
  <c r="F25" i="10" s="1"/>
  <c r="N24" i="10"/>
  <c r="J24" i="10"/>
  <c r="E24" i="10"/>
  <c r="F24" i="10" s="1"/>
  <c r="G24" i="10" s="1"/>
  <c r="P24" i="10" s="1"/>
  <c r="N23" i="10"/>
  <c r="J23" i="10"/>
  <c r="E23" i="10"/>
  <c r="F23" i="10" s="1"/>
  <c r="G23" i="10" s="1"/>
  <c r="P23" i="10" s="1"/>
  <c r="N22" i="10"/>
  <c r="J22" i="10"/>
  <c r="E22" i="10"/>
  <c r="F22" i="10" s="1"/>
  <c r="G22" i="10" s="1"/>
  <c r="P22" i="10" s="1"/>
  <c r="N21" i="10"/>
  <c r="J21" i="10"/>
  <c r="E21" i="10"/>
  <c r="F21" i="10" s="1"/>
  <c r="G21" i="10" s="1"/>
  <c r="P21" i="10" s="1"/>
  <c r="N20" i="10"/>
  <c r="J20" i="10"/>
  <c r="F20" i="10"/>
  <c r="G20" i="10" s="1"/>
  <c r="P20" i="10" s="1"/>
  <c r="E20" i="10"/>
  <c r="N19" i="10"/>
  <c r="J19" i="10"/>
  <c r="G19" i="10"/>
  <c r="P19" i="10" s="1"/>
  <c r="E19" i="10"/>
  <c r="F19" i="10" s="1"/>
  <c r="N18" i="10"/>
  <c r="J18" i="10"/>
  <c r="F18" i="10"/>
  <c r="G18" i="10" s="1"/>
  <c r="P18" i="10" s="1"/>
  <c r="E18" i="10"/>
  <c r="N17" i="10"/>
  <c r="J17" i="10"/>
  <c r="G17" i="10"/>
  <c r="E17" i="10"/>
  <c r="F17" i="10" s="1"/>
  <c r="N16" i="10"/>
  <c r="J16" i="10"/>
  <c r="E16" i="10"/>
  <c r="F16" i="10" s="1"/>
  <c r="G16" i="10" s="1"/>
  <c r="P16" i="10" s="1"/>
  <c r="N15" i="10"/>
  <c r="J15" i="10"/>
  <c r="E15" i="10"/>
  <c r="F15" i="10" s="1"/>
  <c r="G15" i="10" s="1"/>
  <c r="P15" i="10" s="1"/>
  <c r="N14" i="10"/>
  <c r="J14" i="10"/>
  <c r="E14" i="10"/>
  <c r="F14" i="10" s="1"/>
  <c r="G14" i="10" s="1"/>
  <c r="P14" i="10" s="1"/>
  <c r="N13" i="10"/>
  <c r="J13" i="10"/>
  <c r="E13" i="10"/>
  <c r="F13" i="10" s="1"/>
  <c r="G13" i="10" s="1"/>
  <c r="P13" i="10" s="1"/>
  <c r="N12" i="10"/>
  <c r="J12" i="10"/>
  <c r="F12" i="10"/>
  <c r="G12" i="10" s="1"/>
  <c r="P12" i="10" s="1"/>
  <c r="E12" i="10"/>
  <c r="N11" i="10"/>
  <c r="J11" i="10"/>
  <c r="G11" i="10"/>
  <c r="P11" i="10" s="1"/>
  <c r="E11" i="10"/>
  <c r="F11" i="10" s="1"/>
  <c r="N10" i="10"/>
  <c r="J10" i="10"/>
  <c r="F10" i="10"/>
  <c r="G10" i="10" s="1"/>
  <c r="P10" i="10" s="1"/>
  <c r="E10" i="10"/>
  <c r="N9" i="10"/>
  <c r="J9" i="10"/>
  <c r="G9" i="10"/>
  <c r="E9" i="10"/>
  <c r="F9" i="10" s="1"/>
  <c r="N8" i="10"/>
  <c r="J8" i="10"/>
  <c r="E8" i="10"/>
  <c r="F8" i="10" s="1"/>
  <c r="G8" i="10" s="1"/>
  <c r="P8" i="10" s="1"/>
  <c r="N57" i="9"/>
  <c r="J57" i="9"/>
  <c r="F57" i="9"/>
  <c r="N56" i="9"/>
  <c r="J56" i="9"/>
  <c r="E56" i="9"/>
  <c r="D56" i="9"/>
  <c r="F56" i="9" s="1"/>
  <c r="N55" i="9"/>
  <c r="J55" i="9"/>
  <c r="E55" i="9"/>
  <c r="D55" i="9"/>
  <c r="N54" i="9"/>
  <c r="J54" i="9"/>
  <c r="E54" i="9"/>
  <c r="D54" i="9"/>
  <c r="F54" i="9" s="1"/>
  <c r="N53" i="9"/>
  <c r="J53" i="9"/>
  <c r="E53" i="9"/>
  <c r="D53" i="9"/>
  <c r="N52" i="9"/>
  <c r="J52" i="9"/>
  <c r="E52" i="9"/>
  <c r="D52" i="9"/>
  <c r="N51" i="9"/>
  <c r="J51" i="9"/>
  <c r="E51" i="9"/>
  <c r="D51" i="9"/>
  <c r="N50" i="9"/>
  <c r="J50" i="9"/>
  <c r="E50" i="9"/>
  <c r="D50" i="9"/>
  <c r="N49" i="9"/>
  <c r="J49" i="9"/>
  <c r="E49" i="9"/>
  <c r="D49" i="9"/>
  <c r="N48" i="9"/>
  <c r="J48" i="9"/>
  <c r="E48" i="9"/>
  <c r="D48" i="9"/>
  <c r="N47" i="9"/>
  <c r="J47" i="9"/>
  <c r="E47" i="9"/>
  <c r="D47" i="9"/>
  <c r="N46" i="9"/>
  <c r="J46" i="9"/>
  <c r="E46" i="9"/>
  <c r="D46" i="9"/>
  <c r="N45" i="9"/>
  <c r="J45" i="9"/>
  <c r="E45" i="9"/>
  <c r="D45" i="9"/>
  <c r="N44" i="9"/>
  <c r="J44" i="9"/>
  <c r="E44" i="9"/>
  <c r="D44" i="9"/>
  <c r="N43" i="9"/>
  <c r="J43" i="9"/>
  <c r="E43" i="9"/>
  <c r="D43" i="9"/>
  <c r="N42" i="9"/>
  <c r="J42" i="9"/>
  <c r="E42" i="9"/>
  <c r="D42" i="9"/>
  <c r="N41" i="9"/>
  <c r="J41" i="9"/>
  <c r="E41" i="9"/>
  <c r="D41" i="9"/>
  <c r="N40" i="9"/>
  <c r="J40" i="9"/>
  <c r="E40" i="9"/>
  <c r="D40" i="9"/>
  <c r="N39" i="9"/>
  <c r="J39" i="9"/>
  <c r="E39" i="9"/>
  <c r="D39" i="9"/>
  <c r="N38" i="9"/>
  <c r="J38" i="9"/>
  <c r="E38" i="9"/>
  <c r="D38" i="9"/>
  <c r="N37" i="9"/>
  <c r="J37" i="9"/>
  <c r="E37" i="9"/>
  <c r="D37" i="9"/>
  <c r="N36" i="9"/>
  <c r="J36" i="9"/>
  <c r="E36" i="9"/>
  <c r="D36" i="9"/>
  <c r="N35" i="9"/>
  <c r="J35" i="9"/>
  <c r="E35" i="9"/>
  <c r="D35" i="9"/>
  <c r="N34" i="9"/>
  <c r="J34" i="9"/>
  <c r="E34" i="9"/>
  <c r="D34" i="9"/>
  <c r="N33" i="9"/>
  <c r="J33" i="9"/>
  <c r="E33" i="9"/>
  <c r="D33" i="9"/>
  <c r="N32" i="9"/>
  <c r="J32" i="9"/>
  <c r="E32" i="9"/>
  <c r="D32" i="9"/>
  <c r="N31" i="9"/>
  <c r="J31" i="9"/>
  <c r="E31" i="9"/>
  <c r="F31" i="9" s="1"/>
  <c r="D31" i="9"/>
  <c r="N30" i="9"/>
  <c r="J30" i="9"/>
  <c r="E30" i="9"/>
  <c r="D30" i="9"/>
  <c r="N29" i="9"/>
  <c r="J29" i="9"/>
  <c r="E29" i="9"/>
  <c r="D29" i="9"/>
  <c r="N28" i="9"/>
  <c r="J28" i="9"/>
  <c r="E28" i="9"/>
  <c r="D28" i="9"/>
  <c r="N27" i="9"/>
  <c r="J27" i="9"/>
  <c r="E27" i="9"/>
  <c r="D27" i="9"/>
  <c r="N26" i="9"/>
  <c r="J26" i="9"/>
  <c r="E26" i="9"/>
  <c r="D26" i="9"/>
  <c r="N25" i="9"/>
  <c r="J25" i="9"/>
  <c r="E25" i="9"/>
  <c r="D25" i="9"/>
  <c r="N24" i="9"/>
  <c r="J24" i="9"/>
  <c r="E24" i="9"/>
  <c r="D24" i="9"/>
  <c r="N23" i="9"/>
  <c r="J23" i="9"/>
  <c r="E23" i="9"/>
  <c r="F23" i="9" s="1"/>
  <c r="D23" i="9"/>
  <c r="N22" i="9"/>
  <c r="J22" i="9"/>
  <c r="E22" i="9"/>
  <c r="D22" i="9"/>
  <c r="N21" i="9"/>
  <c r="J21" i="9"/>
  <c r="E21" i="9"/>
  <c r="F21" i="9" s="1"/>
  <c r="D21" i="9"/>
  <c r="N20" i="9"/>
  <c r="J20" i="9"/>
  <c r="E20" i="9"/>
  <c r="F20" i="9" s="1"/>
  <c r="D20" i="9"/>
  <c r="N19" i="9"/>
  <c r="J19" i="9"/>
  <c r="E19" i="9"/>
  <c r="D19" i="9"/>
  <c r="N18" i="9"/>
  <c r="J18" i="9"/>
  <c r="E18" i="9"/>
  <c r="D18" i="9"/>
  <c r="N17" i="9"/>
  <c r="J17" i="9"/>
  <c r="E17" i="9"/>
  <c r="F17" i="9" s="1"/>
  <c r="D17" i="9"/>
  <c r="N16" i="9"/>
  <c r="J16" i="9"/>
  <c r="E16" i="9"/>
  <c r="F16" i="9" s="1"/>
  <c r="D16" i="9"/>
  <c r="N15" i="9"/>
  <c r="J15" i="9"/>
  <c r="E15" i="9"/>
  <c r="D15" i="9"/>
  <c r="N14" i="9"/>
  <c r="J14" i="9"/>
  <c r="E14" i="9"/>
  <c r="D14" i="9"/>
  <c r="N13" i="9"/>
  <c r="J13" i="9"/>
  <c r="E13" i="9"/>
  <c r="D13" i="9"/>
  <c r="N12" i="9"/>
  <c r="J12" i="9"/>
  <c r="E12" i="9"/>
  <c r="D12" i="9"/>
  <c r="N11" i="9"/>
  <c r="J11" i="9"/>
  <c r="E11" i="9"/>
  <c r="D11" i="9"/>
  <c r="N10" i="9"/>
  <c r="J10" i="9"/>
  <c r="E10" i="9"/>
  <c r="D10" i="9"/>
  <c r="N9" i="9"/>
  <c r="J9" i="9"/>
  <c r="E9" i="9"/>
  <c r="D9" i="9"/>
  <c r="N8" i="9"/>
  <c r="J8" i="9"/>
  <c r="E8" i="9"/>
  <c r="D8" i="9"/>
  <c r="N57" i="8"/>
  <c r="J57" i="8"/>
  <c r="E57" i="8"/>
  <c r="D57" i="8"/>
  <c r="F57" i="8" s="1"/>
  <c r="G57" i="8" s="1"/>
  <c r="N56" i="8"/>
  <c r="J56" i="8"/>
  <c r="E56" i="8"/>
  <c r="D56" i="8"/>
  <c r="F56" i="8" s="1"/>
  <c r="G56" i="8" s="1"/>
  <c r="N55" i="8"/>
  <c r="J55" i="8"/>
  <c r="E55" i="8"/>
  <c r="F55" i="8" s="1"/>
  <c r="G55" i="8" s="1"/>
  <c r="P55" i="8" s="1"/>
  <c r="D55" i="8"/>
  <c r="N54" i="8"/>
  <c r="J54" i="8"/>
  <c r="E54" i="8"/>
  <c r="D54" i="8"/>
  <c r="N53" i="8"/>
  <c r="J53" i="8"/>
  <c r="E53" i="8"/>
  <c r="F53" i="8" s="1"/>
  <c r="G53" i="8" s="1"/>
  <c r="P53" i="8" s="1"/>
  <c r="D53" i="8"/>
  <c r="N52" i="8"/>
  <c r="J52" i="8"/>
  <c r="E52" i="8"/>
  <c r="D52" i="8"/>
  <c r="F52" i="8" s="1"/>
  <c r="G52" i="8" s="1"/>
  <c r="N51" i="8"/>
  <c r="J51" i="8"/>
  <c r="E51" i="8"/>
  <c r="F51" i="8" s="1"/>
  <c r="G51" i="8" s="1"/>
  <c r="P51" i="8" s="1"/>
  <c r="D51" i="8"/>
  <c r="N50" i="8"/>
  <c r="J50" i="8"/>
  <c r="E50" i="8"/>
  <c r="D50" i="8"/>
  <c r="N49" i="8"/>
  <c r="J49" i="8"/>
  <c r="E49" i="8"/>
  <c r="F49" i="8" s="1"/>
  <c r="G49" i="8" s="1"/>
  <c r="P49" i="8" s="1"/>
  <c r="D49" i="8"/>
  <c r="N48" i="8"/>
  <c r="J48" i="8"/>
  <c r="E48" i="8"/>
  <c r="D48" i="8"/>
  <c r="F48" i="8" s="1"/>
  <c r="G48" i="8" s="1"/>
  <c r="N47" i="8"/>
  <c r="J47" i="8"/>
  <c r="E47" i="8"/>
  <c r="F47" i="8" s="1"/>
  <c r="G47" i="8" s="1"/>
  <c r="P47" i="8" s="1"/>
  <c r="D47" i="8"/>
  <c r="N46" i="8"/>
  <c r="J46" i="8"/>
  <c r="E46" i="8"/>
  <c r="D46" i="8"/>
  <c r="N45" i="8"/>
  <c r="J45" i="8"/>
  <c r="E45" i="8"/>
  <c r="D45" i="8"/>
  <c r="F45" i="8" s="1"/>
  <c r="G45" i="8" s="1"/>
  <c r="P45" i="8" s="1"/>
  <c r="N44" i="8"/>
  <c r="J44" i="8"/>
  <c r="E44" i="8"/>
  <c r="D44" i="8"/>
  <c r="F44" i="8" s="1"/>
  <c r="G44" i="8" s="1"/>
  <c r="N43" i="8"/>
  <c r="J43" i="8"/>
  <c r="E43" i="8"/>
  <c r="F43" i="8" s="1"/>
  <c r="G43" i="8" s="1"/>
  <c r="P43" i="8" s="1"/>
  <c r="D43" i="8"/>
  <c r="N42" i="8"/>
  <c r="J42" i="8"/>
  <c r="E42" i="8"/>
  <c r="D42" i="8"/>
  <c r="N41" i="8"/>
  <c r="J41" i="8"/>
  <c r="E41" i="8"/>
  <c r="D41" i="8"/>
  <c r="F41" i="8" s="1"/>
  <c r="G41" i="8" s="1"/>
  <c r="P41" i="8" s="1"/>
  <c r="N40" i="8"/>
  <c r="J40" i="8"/>
  <c r="E40" i="8"/>
  <c r="D40" i="8"/>
  <c r="F40" i="8" s="1"/>
  <c r="G40" i="8" s="1"/>
  <c r="N39" i="8"/>
  <c r="J39" i="8"/>
  <c r="E39" i="8"/>
  <c r="F39" i="8" s="1"/>
  <c r="G39" i="8" s="1"/>
  <c r="P39" i="8" s="1"/>
  <c r="D39" i="8"/>
  <c r="N38" i="8"/>
  <c r="J38" i="8"/>
  <c r="E38" i="8"/>
  <c r="D38" i="8"/>
  <c r="N37" i="8"/>
  <c r="J37" i="8"/>
  <c r="E37" i="8"/>
  <c r="D37" i="8"/>
  <c r="F37" i="8" s="1"/>
  <c r="G37" i="8" s="1"/>
  <c r="P37" i="8" s="1"/>
  <c r="N36" i="8"/>
  <c r="J36" i="8"/>
  <c r="E36" i="8"/>
  <c r="D36" i="8"/>
  <c r="F36" i="8" s="1"/>
  <c r="G36" i="8" s="1"/>
  <c r="N35" i="8"/>
  <c r="J35" i="8"/>
  <c r="E35" i="8"/>
  <c r="D35" i="8"/>
  <c r="N34" i="8"/>
  <c r="J34" i="8"/>
  <c r="E34" i="8"/>
  <c r="D34" i="8"/>
  <c r="F34" i="8" s="1"/>
  <c r="G34" i="8" s="1"/>
  <c r="N33" i="8"/>
  <c r="J33" i="8"/>
  <c r="E33" i="8"/>
  <c r="D33" i="8"/>
  <c r="N32" i="8"/>
  <c r="J32" i="8"/>
  <c r="E32" i="8"/>
  <c r="D32" i="8"/>
  <c r="F32" i="8" s="1"/>
  <c r="G32" i="8" s="1"/>
  <c r="N31" i="8"/>
  <c r="J31" i="8"/>
  <c r="E31" i="8"/>
  <c r="D31" i="8"/>
  <c r="N30" i="8"/>
  <c r="J30" i="8"/>
  <c r="E30" i="8"/>
  <c r="D30" i="8"/>
  <c r="F30" i="8" s="1"/>
  <c r="G30" i="8" s="1"/>
  <c r="N29" i="8"/>
  <c r="J29" i="8"/>
  <c r="E29" i="8"/>
  <c r="D29" i="8"/>
  <c r="N28" i="8"/>
  <c r="J28" i="8"/>
  <c r="E28" i="8"/>
  <c r="D28" i="8"/>
  <c r="F28" i="8" s="1"/>
  <c r="G28" i="8" s="1"/>
  <c r="N27" i="8"/>
  <c r="J27" i="8"/>
  <c r="E27" i="8"/>
  <c r="D27" i="8"/>
  <c r="N26" i="8"/>
  <c r="J26" i="8"/>
  <c r="E26" i="8"/>
  <c r="D26" i="8"/>
  <c r="F26" i="8" s="1"/>
  <c r="G26" i="8" s="1"/>
  <c r="N25" i="8"/>
  <c r="J25" i="8"/>
  <c r="E25" i="8"/>
  <c r="D25" i="8"/>
  <c r="N24" i="8"/>
  <c r="J24" i="8"/>
  <c r="E24" i="8"/>
  <c r="D24" i="8"/>
  <c r="F24" i="8" s="1"/>
  <c r="G24" i="8" s="1"/>
  <c r="N23" i="8"/>
  <c r="J23" i="8"/>
  <c r="E23" i="8"/>
  <c r="D23" i="8"/>
  <c r="N22" i="8"/>
  <c r="J22" i="8"/>
  <c r="E22" i="8"/>
  <c r="D22" i="8"/>
  <c r="F22" i="8" s="1"/>
  <c r="G22" i="8" s="1"/>
  <c r="N21" i="8"/>
  <c r="J21" i="8"/>
  <c r="E21" i="8"/>
  <c r="D21" i="8"/>
  <c r="N20" i="8"/>
  <c r="J20" i="8"/>
  <c r="E20" i="8"/>
  <c r="D20" i="8"/>
  <c r="F20" i="8" s="1"/>
  <c r="G20" i="8" s="1"/>
  <c r="N19" i="8"/>
  <c r="J19" i="8"/>
  <c r="E19" i="8"/>
  <c r="D19" i="8"/>
  <c r="N18" i="8"/>
  <c r="J18" i="8"/>
  <c r="E18" i="8"/>
  <c r="D18" i="8"/>
  <c r="F18" i="8" s="1"/>
  <c r="G18" i="8" s="1"/>
  <c r="N17" i="8"/>
  <c r="J17" i="8"/>
  <c r="E17" i="8"/>
  <c r="D17" i="8"/>
  <c r="N16" i="8"/>
  <c r="J16" i="8"/>
  <c r="E16" i="8"/>
  <c r="D16" i="8"/>
  <c r="F16" i="8" s="1"/>
  <c r="G16" i="8" s="1"/>
  <c r="N15" i="8"/>
  <c r="J15" i="8"/>
  <c r="E15" i="8"/>
  <c r="D15" i="8"/>
  <c r="F15" i="8" s="1"/>
  <c r="G15" i="8" s="1"/>
  <c r="N14" i="8"/>
  <c r="J14" i="8"/>
  <c r="E14" i="8"/>
  <c r="D14" i="8"/>
  <c r="F14" i="8" s="1"/>
  <c r="G14" i="8" s="1"/>
  <c r="N13" i="8"/>
  <c r="J13" i="8"/>
  <c r="E13" i="8"/>
  <c r="D13" i="8"/>
  <c r="F13" i="8" s="1"/>
  <c r="G13" i="8" s="1"/>
  <c r="N12" i="8"/>
  <c r="J12" i="8"/>
  <c r="E12" i="8"/>
  <c r="D12" i="8"/>
  <c r="F12" i="8" s="1"/>
  <c r="G12" i="8" s="1"/>
  <c r="N11" i="8"/>
  <c r="J11" i="8"/>
  <c r="E11" i="8"/>
  <c r="D11" i="8"/>
  <c r="F11" i="8" s="1"/>
  <c r="G11" i="8" s="1"/>
  <c r="N10" i="8"/>
  <c r="J10" i="8"/>
  <c r="E10" i="8"/>
  <c r="D10" i="8"/>
  <c r="F10" i="8" s="1"/>
  <c r="G10" i="8" s="1"/>
  <c r="N9" i="8"/>
  <c r="J9" i="8"/>
  <c r="E9" i="8"/>
  <c r="D9" i="8"/>
  <c r="F9" i="8" s="1"/>
  <c r="G9" i="8" s="1"/>
  <c r="N8" i="8"/>
  <c r="J8" i="8"/>
  <c r="E8" i="8"/>
  <c r="D8" i="8"/>
  <c r="F8" i="8" s="1"/>
  <c r="G8" i="8" s="1"/>
  <c r="P31" i="9" l="1"/>
  <c r="P8" i="14"/>
  <c r="P25" i="14"/>
  <c r="P51" i="14"/>
  <c r="P43" i="14"/>
  <c r="P31" i="14"/>
  <c r="F27" i="9"/>
  <c r="P23" i="9"/>
  <c r="P54" i="9"/>
  <c r="P57" i="9"/>
  <c r="F32" i="9"/>
  <c r="P32" i="9" s="1"/>
  <c r="F33" i="9"/>
  <c r="P33" i="9" s="1"/>
  <c r="F36" i="9"/>
  <c r="P36" i="9" s="1"/>
  <c r="F37" i="9"/>
  <c r="P37" i="9" s="1"/>
  <c r="F51" i="9"/>
  <c r="P51" i="9" s="1"/>
  <c r="P8" i="8"/>
  <c r="P11" i="8"/>
  <c r="P13" i="8"/>
  <c r="P16" i="8"/>
  <c r="P22" i="8"/>
  <c r="P26" i="8"/>
  <c r="P30" i="8"/>
  <c r="P32" i="8"/>
  <c r="P40" i="8"/>
  <c r="P44" i="8"/>
  <c r="P48" i="8"/>
  <c r="P52" i="8"/>
  <c r="P56" i="8"/>
  <c r="P57" i="8"/>
  <c r="P10" i="8"/>
  <c r="P15" i="8"/>
  <c r="P20" i="8"/>
  <c r="P36" i="8"/>
  <c r="F17" i="8"/>
  <c r="G17" i="8" s="1"/>
  <c r="P17" i="8" s="1"/>
  <c r="F21" i="8"/>
  <c r="G21" i="8" s="1"/>
  <c r="P21" i="8" s="1"/>
  <c r="F23" i="8"/>
  <c r="G23" i="8" s="1"/>
  <c r="P23" i="8" s="1"/>
  <c r="F25" i="8"/>
  <c r="G25" i="8" s="1"/>
  <c r="P25" i="8" s="1"/>
  <c r="F27" i="8"/>
  <c r="G27" i="8" s="1"/>
  <c r="P27" i="8" s="1"/>
  <c r="F29" i="8"/>
  <c r="G29" i="8" s="1"/>
  <c r="P29" i="8" s="1"/>
  <c r="F31" i="8"/>
  <c r="G31" i="8" s="1"/>
  <c r="P31" i="8" s="1"/>
  <c r="F33" i="8"/>
  <c r="G33" i="8" s="1"/>
  <c r="P33" i="8" s="1"/>
  <c r="F35" i="8"/>
  <c r="G35" i="8" s="1"/>
  <c r="P35" i="8" s="1"/>
  <c r="P9" i="8"/>
  <c r="P58" i="8" s="1"/>
  <c r="P12" i="8"/>
  <c r="P14" i="8"/>
  <c r="P18" i="8"/>
  <c r="P24" i="8"/>
  <c r="P28" i="8"/>
  <c r="P34" i="8"/>
  <c r="F19" i="8"/>
  <c r="G19" i="8" s="1"/>
  <c r="P19" i="8" s="1"/>
  <c r="F38" i="8"/>
  <c r="G38" i="8" s="1"/>
  <c r="P38" i="8" s="1"/>
  <c r="F42" i="8"/>
  <c r="G42" i="8" s="1"/>
  <c r="P42" i="8" s="1"/>
  <c r="F46" i="8"/>
  <c r="G46" i="8" s="1"/>
  <c r="P46" i="8" s="1"/>
  <c r="F50" i="8"/>
  <c r="G50" i="8" s="1"/>
  <c r="P50" i="8" s="1"/>
  <c r="F54" i="8"/>
  <c r="G54" i="8" s="1"/>
  <c r="P54" i="8" s="1"/>
  <c r="P59" i="8" s="1"/>
  <c r="P60" i="8" s="1"/>
  <c r="F19" i="9"/>
  <c r="P19" i="9" s="1"/>
  <c r="F53" i="9"/>
  <c r="F55" i="9"/>
  <c r="P55" i="9" s="1"/>
  <c r="P16" i="9"/>
  <c r="P17" i="9"/>
  <c r="P27" i="9"/>
  <c r="P21" i="9"/>
  <c r="F24" i="9"/>
  <c r="P24" i="9" s="1"/>
  <c r="F25" i="9"/>
  <c r="P25" i="9" s="1"/>
  <c r="F28" i="9"/>
  <c r="P28" i="9" s="1"/>
  <c r="F29" i="9"/>
  <c r="P29" i="9" s="1"/>
  <c r="F35" i="9"/>
  <c r="P35" i="9" s="1"/>
  <c r="F50" i="9"/>
  <c r="P50" i="9" s="1"/>
  <c r="F18" i="9"/>
  <c r="P18" i="9" s="1"/>
  <c r="F26" i="9"/>
  <c r="P26" i="9" s="1"/>
  <c r="F34" i="9"/>
  <c r="P34" i="9" s="1"/>
  <c r="P56" i="9"/>
  <c r="P20" i="9"/>
  <c r="P53" i="9"/>
  <c r="F8" i="9"/>
  <c r="P8" i="9" s="1"/>
  <c r="F9" i="9"/>
  <c r="P9" i="9" s="1"/>
  <c r="F10" i="9"/>
  <c r="P10" i="9" s="1"/>
  <c r="F11" i="9"/>
  <c r="P11" i="9" s="1"/>
  <c r="F12" i="9"/>
  <c r="P12" i="9" s="1"/>
  <c r="F13" i="9"/>
  <c r="P13" i="9" s="1"/>
  <c r="F14" i="9"/>
  <c r="P14" i="9" s="1"/>
  <c r="F15" i="9"/>
  <c r="P15" i="9" s="1"/>
  <c r="F22" i="9"/>
  <c r="P22" i="9" s="1"/>
  <c r="F30" i="9"/>
  <c r="P30" i="9" s="1"/>
  <c r="F38" i="9"/>
  <c r="P38" i="9" s="1"/>
  <c r="F39" i="9"/>
  <c r="P39" i="9" s="1"/>
  <c r="F40" i="9"/>
  <c r="P40" i="9" s="1"/>
  <c r="F41" i="9"/>
  <c r="P41" i="9" s="1"/>
  <c r="F42" i="9"/>
  <c r="P42" i="9" s="1"/>
  <c r="F43" i="9"/>
  <c r="P43" i="9" s="1"/>
  <c r="F44" i="9"/>
  <c r="P44" i="9" s="1"/>
  <c r="F45" i="9"/>
  <c r="P45" i="9" s="1"/>
  <c r="F46" i="9"/>
  <c r="P46" i="9" s="1"/>
  <c r="F47" i="9"/>
  <c r="P47" i="9" s="1"/>
  <c r="F48" i="9"/>
  <c r="P48" i="9" s="1"/>
  <c r="F49" i="9"/>
  <c r="P49" i="9" s="1"/>
  <c r="F52" i="9"/>
  <c r="P52" i="9" s="1"/>
  <c r="P54" i="10"/>
  <c r="P9" i="10"/>
  <c r="P17" i="10"/>
  <c r="P25" i="10"/>
  <c r="P33" i="10"/>
  <c r="P41" i="10"/>
  <c r="P52" i="10"/>
  <c r="P58" i="9" l="1"/>
  <c r="P59" i="9"/>
  <c r="P60" i="9" s="1"/>
</calcChain>
</file>

<file path=xl/sharedStrings.xml><?xml version="1.0" encoding="utf-8"?>
<sst xmlns="http://schemas.openxmlformats.org/spreadsheetml/2006/main" count="1181" uniqueCount="108">
  <si>
    <t>S.No.</t>
  </si>
  <si>
    <t>Reg No.</t>
  </si>
  <si>
    <t>Name of Student</t>
  </si>
  <si>
    <t>Manmohan Singh</t>
  </si>
  <si>
    <t>Manpreet Kaur</t>
  </si>
  <si>
    <t>Md Warish Chesam</t>
  </si>
  <si>
    <t>Munisha</t>
  </si>
  <si>
    <t>Nikhil Kumar Thakur</t>
  </si>
  <si>
    <t>Palak Pathania</t>
  </si>
  <si>
    <t>Pardeep Singh</t>
  </si>
  <si>
    <t>Payal</t>
  </si>
  <si>
    <t>Priya</t>
  </si>
  <si>
    <t>RAHUL SHARMA</t>
  </si>
  <si>
    <t>Rahulpreet Singh Khinda</t>
  </si>
  <si>
    <t>Raj Kumar</t>
  </si>
  <si>
    <t>Rajan Sharma</t>
  </si>
  <si>
    <t>Rajwinder Kaur</t>
  </si>
  <si>
    <t>Ravi Bhushan Kumar</t>
  </si>
  <si>
    <t>Reshma</t>
  </si>
  <si>
    <t>Ritesh Kumar Choudhary</t>
  </si>
  <si>
    <t>Ritesh Thakur</t>
  </si>
  <si>
    <t>Riya Thakur</t>
  </si>
  <si>
    <t>Rounit Dhiman</t>
  </si>
  <si>
    <t>Rubby Kumari</t>
  </si>
  <si>
    <t>Sakshi Devi</t>
  </si>
  <si>
    <t>Sanchi Sharma</t>
  </si>
  <si>
    <t>Sarbjit Singh</t>
  </si>
  <si>
    <t>Sarif Mayangmayum</t>
  </si>
  <si>
    <t>Shivam Kumar Chaubey</t>
  </si>
  <si>
    <t>Simba Godfrey</t>
  </si>
  <si>
    <t>Simran Kaur</t>
  </si>
  <si>
    <t>Simranjit Singh</t>
  </si>
  <si>
    <t>Sudip Sunar</t>
  </si>
  <si>
    <t>Sujal Sharma</t>
  </si>
  <si>
    <t>Sukhraj Singh</t>
  </si>
  <si>
    <t>Sukhreet Kaur</t>
  </si>
  <si>
    <t>Suman Krishna</t>
  </si>
  <si>
    <t>Tamana</t>
  </si>
  <si>
    <t>Tamana Farooq Khanday</t>
  </si>
  <si>
    <t>Tania</t>
  </si>
  <si>
    <t>TANISHA</t>
  </si>
  <si>
    <t>Taniya</t>
  </si>
  <si>
    <t>Taziko Trakha</t>
  </si>
  <si>
    <t>TOHIED AHMED</t>
  </si>
  <si>
    <t>Vaibhav Shahi</t>
  </si>
  <si>
    <t>Vansh Sharma</t>
  </si>
  <si>
    <t>Vikramjit Singh</t>
  </si>
  <si>
    <t>Gagan(Leet Student)</t>
  </si>
  <si>
    <t>Manisha(Leet Student)</t>
  </si>
  <si>
    <t>Richa(Leet Student)</t>
  </si>
  <si>
    <t>Prakriti(Leet Student)</t>
  </si>
  <si>
    <t>Shubham(Leet Student)</t>
  </si>
  <si>
    <t>Maninder Singh</t>
  </si>
  <si>
    <t>CTIEMT</t>
  </si>
  <si>
    <t xml:space="preserve">CTIEMT : Evaluation Sheet for Internal Awards (Theory) </t>
  </si>
  <si>
    <t>Session: July-November 2025</t>
  </si>
  <si>
    <t>Department: Computer Science &amp; Engineering</t>
  </si>
  <si>
    <t>Semester: 5th B</t>
  </si>
  <si>
    <t>Subject Name: ERP</t>
  </si>
  <si>
    <t>Subject Code:</t>
  </si>
  <si>
    <t>\</t>
  </si>
  <si>
    <t>Total Lec Del</t>
  </si>
  <si>
    <t>Total Lec Att</t>
  </si>
  <si>
    <t>Att %age</t>
  </si>
  <si>
    <t>Att Marks
(6)</t>
  </si>
  <si>
    <t>MST I (24)</t>
  </si>
  <si>
    <t>MST II (24)</t>
  </si>
  <si>
    <t>Average MST I &amp; II (24)</t>
  </si>
  <si>
    <t>Assignments</t>
  </si>
  <si>
    <t>Weighted Marks in Assignments
(10)</t>
  </si>
  <si>
    <t>Grace</t>
  </si>
  <si>
    <t>Grand Total
(40)</t>
  </si>
  <si>
    <t>S.No</t>
  </si>
  <si>
    <t xml:space="preserve">Evaluation Sheet for Internal Awards (PRACTICAL) </t>
  </si>
  <si>
    <t>Session: JAN TO JUNE 2025</t>
  </si>
  <si>
    <t>Department: CSE</t>
  </si>
  <si>
    <t>Semester: B.TECH 5TH B</t>
  </si>
  <si>
    <t>Subject Name: SE LAB</t>
  </si>
  <si>
    <t xml:space="preserve">Subject Code: </t>
  </si>
  <si>
    <t>Marks of Practical File 
(7)</t>
  </si>
  <si>
    <t>Marks in viva voca (7)</t>
  </si>
  <si>
    <t>Weighted Marks of Performance in Labs (10)</t>
  </si>
  <si>
    <t>Grand Total
(30)</t>
  </si>
  <si>
    <t>0</t>
  </si>
  <si>
    <t>4</t>
  </si>
  <si>
    <t>2</t>
  </si>
  <si>
    <t>6</t>
  </si>
  <si>
    <t>Manider Singh</t>
  </si>
  <si>
    <t>Subject Name:  PIP LAB</t>
  </si>
  <si>
    <t>5</t>
  </si>
  <si>
    <t>3</t>
  </si>
  <si>
    <t>Subject Name: Software Engineering</t>
  </si>
  <si>
    <t>Average</t>
  </si>
  <si>
    <t>Pass</t>
  </si>
  <si>
    <t>Pass %age</t>
  </si>
  <si>
    <t>Subject Name: PIP</t>
  </si>
  <si>
    <t>Subject Name: FLAT</t>
  </si>
  <si>
    <t>Subject Name: DBMS</t>
  </si>
  <si>
    <t>Maninder singh</t>
  </si>
  <si>
    <t>Subject Name: DBMS LAB</t>
  </si>
  <si>
    <t>Subject Name: COI</t>
  </si>
  <si>
    <t>Subject Name: CN LAB</t>
  </si>
  <si>
    <t>Subject Name: CN</t>
  </si>
  <si>
    <t>Subject Code: BTCS 504-18</t>
  </si>
  <si>
    <t>S.NO</t>
  </si>
  <si>
    <t>AVERAGE</t>
  </si>
  <si>
    <t>PASS</t>
  </si>
  <si>
    <t>PASS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</si>
</sst>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color rgb="FF000000"/>
      <name val="Arial"/>
      <scheme val="minor"/>
    </font>
    <font>
      <b/>
      <sz val="16"/>
      <color theme="1"/>
      <name val="Times New Roman"/>
      <family val="1"/>
    </font>
    <font>
      <sz val="10"/>
      <name val="Times New Roman"/>
      <family val="1"/>
    </font>
    <font>
      <b/>
      <sz val="15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u/>
      <sz val="12"/>
      <color rgb="FF0000FF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i/>
      <sz val="16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i/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FFE699"/>
        <bgColor rgb="FFFFE699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" fontId="5" fillId="0" borderId="5" xfId="0" applyNumberFormat="1" applyFont="1" applyBorder="1" applyAlignment="1">
      <alignment horizontal="center" wrapText="1"/>
    </xf>
    <xf numFmtId="0" fontId="2" fillId="0" borderId="6" xfId="0" applyFont="1" applyBorder="1"/>
    <xf numFmtId="0" fontId="5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4" xfId="0" applyFont="1" applyBorder="1"/>
    <xf numFmtId="1" fontId="6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7" fillId="0" borderId="4" xfId="0" applyFont="1" applyBorder="1"/>
    <xf numFmtId="0" fontId="7" fillId="3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7" fillId="10" borderId="7" xfId="0" applyFont="1" applyFill="1" applyBorder="1" applyAlignment="1">
      <alignment horizontal="center"/>
    </xf>
    <xf numFmtId="0" fontId="7" fillId="10" borderId="8" xfId="0" applyFont="1" applyFill="1" applyBorder="1"/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1" fontId="14" fillId="3" borderId="4" xfId="0" applyNumberFormat="1" applyFont="1" applyFill="1" applyBorder="1" applyAlignment="1">
      <alignment horizontal="right"/>
    </xf>
    <xf numFmtId="1" fontId="14" fillId="0" borderId="4" xfId="0" applyNumberFormat="1" applyFont="1" applyBorder="1" applyAlignment="1">
      <alignment horizontal="right"/>
    </xf>
    <xf numFmtId="1" fontId="6" fillId="4" borderId="4" xfId="0" applyNumberFormat="1" applyFont="1" applyFill="1" applyBorder="1" applyAlignment="1">
      <alignment horizontal="center"/>
    </xf>
    <xf numFmtId="1" fontId="14" fillId="0" borderId="4" xfId="0" applyNumberFormat="1" applyFont="1" applyBorder="1" applyAlignment="1">
      <alignment horizontal="center"/>
    </xf>
    <xf numFmtId="1" fontId="6" fillId="5" borderId="4" xfId="0" applyNumberFormat="1" applyFont="1" applyFill="1" applyBorder="1" applyAlignment="1">
      <alignment horizontal="center"/>
    </xf>
    <xf numFmtId="0" fontId="7" fillId="0" borderId="4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4" xfId="0" applyFont="1" applyFill="1" applyBorder="1"/>
    <xf numFmtId="164" fontId="6" fillId="4" borderId="4" xfId="0" applyNumberFormat="1" applyFont="1" applyFill="1" applyBorder="1" applyAlignment="1">
      <alignment horizontal="center"/>
    </xf>
    <xf numFmtId="1" fontId="6" fillId="3" borderId="4" xfId="0" applyNumberFormat="1" applyFont="1" applyFill="1" applyBorder="1" applyAlignment="1">
      <alignment horizontal="center"/>
    </xf>
    <xf numFmtId="1" fontId="15" fillId="0" borderId="4" xfId="0" applyNumberFormat="1" applyFont="1" applyBorder="1" applyAlignment="1">
      <alignment horizontal="center"/>
    </xf>
    <xf numFmtId="1" fontId="15" fillId="4" borderId="4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1" fontId="6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1" fontId="11" fillId="12" borderId="4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SE%205th%20B%20(1).xlsx" TargetMode="External"/><Relationship Id="rId1" Type="http://schemas.openxmlformats.org/officeDocument/2006/relationships/externalLinkPath" Target="SE%205th%20B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PIP%205th%20B%20(1).xlsx" TargetMode="External"/><Relationship Id="rId1" Type="http://schemas.openxmlformats.org/officeDocument/2006/relationships/externalLinkPath" Target="PIP%205th%20B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ERP%205TH%20B%20(1).xlsx" TargetMode="External"/><Relationship Id="rId1" Type="http://schemas.openxmlformats.org/officeDocument/2006/relationships/externalLinkPath" Target="ERP%205TH%20B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tendance"/>
      <sheetName val="Internal_Record"/>
      <sheetName val="Copy of Internal_Record"/>
    </sheetNames>
    <sheetDataSet>
      <sheetData sheetId="0">
        <row r="7">
          <cell r="BB7">
            <v>35</v>
          </cell>
          <cell r="BE7">
            <v>13</v>
          </cell>
        </row>
        <row r="8">
          <cell r="BB8">
            <v>35</v>
          </cell>
          <cell r="BE8">
            <v>30</v>
          </cell>
        </row>
        <row r="9">
          <cell r="BB9">
            <v>35</v>
          </cell>
          <cell r="BE9">
            <v>30</v>
          </cell>
        </row>
        <row r="10">
          <cell r="BB10">
            <v>35</v>
          </cell>
          <cell r="BE10">
            <v>27</v>
          </cell>
        </row>
        <row r="11">
          <cell r="BB11">
            <v>35</v>
          </cell>
          <cell r="BE11">
            <v>28</v>
          </cell>
        </row>
        <row r="12">
          <cell r="BB12">
            <v>35</v>
          </cell>
          <cell r="BE12">
            <v>22</v>
          </cell>
        </row>
        <row r="13">
          <cell r="BB13">
            <v>35</v>
          </cell>
          <cell r="BE13">
            <v>24</v>
          </cell>
        </row>
        <row r="14">
          <cell r="BB14">
            <v>35</v>
          </cell>
          <cell r="BE14">
            <v>33</v>
          </cell>
        </row>
        <row r="15">
          <cell r="BB15">
            <v>35</v>
          </cell>
          <cell r="BE15">
            <v>12</v>
          </cell>
        </row>
        <row r="16">
          <cell r="BB16">
            <v>35</v>
          </cell>
          <cell r="BE16">
            <v>20</v>
          </cell>
        </row>
        <row r="17">
          <cell r="BB17">
            <v>35</v>
          </cell>
          <cell r="BE17">
            <v>33</v>
          </cell>
        </row>
        <row r="18">
          <cell r="BB18">
            <v>35</v>
          </cell>
          <cell r="BE18">
            <v>24</v>
          </cell>
        </row>
        <row r="19">
          <cell r="BB19">
            <v>35</v>
          </cell>
          <cell r="BE19">
            <v>23</v>
          </cell>
        </row>
        <row r="20">
          <cell r="BB20">
            <v>35</v>
          </cell>
          <cell r="BE20">
            <v>24</v>
          </cell>
        </row>
        <row r="21">
          <cell r="BB21">
            <v>35</v>
          </cell>
          <cell r="BE21">
            <v>2</v>
          </cell>
        </row>
        <row r="22">
          <cell r="BB22">
            <v>35</v>
          </cell>
          <cell r="BE22">
            <v>29</v>
          </cell>
        </row>
        <row r="23">
          <cell r="BB23">
            <v>35</v>
          </cell>
          <cell r="BE23">
            <v>22</v>
          </cell>
        </row>
        <row r="24">
          <cell r="BB24">
            <v>35</v>
          </cell>
          <cell r="BE24">
            <v>0</v>
          </cell>
        </row>
        <row r="25">
          <cell r="BB25">
            <v>35</v>
          </cell>
          <cell r="BE25">
            <v>20</v>
          </cell>
        </row>
        <row r="26">
          <cell r="BB26">
            <v>35</v>
          </cell>
          <cell r="BE26">
            <v>25</v>
          </cell>
        </row>
        <row r="27">
          <cell r="BB27">
            <v>35</v>
          </cell>
          <cell r="BE27">
            <v>12</v>
          </cell>
        </row>
        <row r="28">
          <cell r="BB28">
            <v>35</v>
          </cell>
          <cell r="BE28">
            <v>23</v>
          </cell>
        </row>
        <row r="29">
          <cell r="BB29">
            <v>35</v>
          </cell>
          <cell r="BE29">
            <v>35</v>
          </cell>
        </row>
        <row r="30">
          <cell r="BB30">
            <v>35</v>
          </cell>
          <cell r="BE30">
            <v>18</v>
          </cell>
        </row>
        <row r="31">
          <cell r="BB31">
            <v>35</v>
          </cell>
          <cell r="BE31">
            <v>28</v>
          </cell>
        </row>
        <row r="32">
          <cell r="BB32">
            <v>35</v>
          </cell>
          <cell r="BE32">
            <v>25</v>
          </cell>
        </row>
        <row r="33">
          <cell r="BB33">
            <v>35</v>
          </cell>
          <cell r="BE33">
            <v>20</v>
          </cell>
        </row>
        <row r="34">
          <cell r="BB34">
            <v>35</v>
          </cell>
          <cell r="BE34">
            <v>31</v>
          </cell>
        </row>
        <row r="35">
          <cell r="BB35">
            <v>35</v>
          </cell>
          <cell r="BE35">
            <v>1</v>
          </cell>
        </row>
        <row r="36">
          <cell r="BB36">
            <v>35</v>
          </cell>
          <cell r="BE36">
            <v>24</v>
          </cell>
        </row>
        <row r="37">
          <cell r="BB37">
            <v>35</v>
          </cell>
          <cell r="BE37">
            <v>5</v>
          </cell>
        </row>
        <row r="38">
          <cell r="BB38">
            <v>35</v>
          </cell>
          <cell r="BE38">
            <v>23</v>
          </cell>
        </row>
        <row r="39">
          <cell r="BB39">
            <v>35</v>
          </cell>
          <cell r="BE39">
            <v>33</v>
          </cell>
        </row>
        <row r="40">
          <cell r="BB40">
            <v>35</v>
          </cell>
          <cell r="BE40">
            <v>27</v>
          </cell>
        </row>
        <row r="41">
          <cell r="BB41">
            <v>35</v>
          </cell>
          <cell r="BE41">
            <v>24</v>
          </cell>
        </row>
        <row r="42">
          <cell r="BB42">
            <v>35</v>
          </cell>
          <cell r="BE42">
            <v>8</v>
          </cell>
        </row>
        <row r="43">
          <cell r="BB43">
            <v>35</v>
          </cell>
          <cell r="BE43">
            <v>25</v>
          </cell>
        </row>
        <row r="44">
          <cell r="BB44">
            <v>35</v>
          </cell>
          <cell r="BE44">
            <v>17</v>
          </cell>
        </row>
        <row r="45">
          <cell r="BB45">
            <v>35</v>
          </cell>
          <cell r="BE45">
            <v>16</v>
          </cell>
        </row>
        <row r="46">
          <cell r="BB46">
            <v>35</v>
          </cell>
          <cell r="BE46">
            <v>19</v>
          </cell>
        </row>
        <row r="47">
          <cell r="BB47">
            <v>35</v>
          </cell>
          <cell r="BE47">
            <v>0</v>
          </cell>
        </row>
        <row r="48">
          <cell r="BB48">
            <v>35</v>
          </cell>
          <cell r="BE48">
            <v>22</v>
          </cell>
        </row>
        <row r="49">
          <cell r="BB49">
            <v>35</v>
          </cell>
          <cell r="BE49">
            <v>19</v>
          </cell>
        </row>
        <row r="50">
          <cell r="BB50">
            <v>35</v>
          </cell>
          <cell r="BE50">
            <v>4</v>
          </cell>
        </row>
        <row r="51">
          <cell r="BB51">
            <v>35</v>
          </cell>
          <cell r="BE51">
            <v>21</v>
          </cell>
        </row>
        <row r="52">
          <cell r="BB52">
            <v>35</v>
          </cell>
          <cell r="BE52">
            <v>26</v>
          </cell>
        </row>
        <row r="53">
          <cell r="BB53">
            <v>35</v>
          </cell>
          <cell r="BE53">
            <v>28</v>
          </cell>
        </row>
        <row r="54">
          <cell r="BB54">
            <v>35</v>
          </cell>
          <cell r="BE54">
            <v>26</v>
          </cell>
        </row>
        <row r="55">
          <cell r="BB55">
            <v>35</v>
          </cell>
          <cell r="BE55">
            <v>27</v>
          </cell>
        </row>
        <row r="56">
          <cell r="BB56">
            <v>35</v>
          </cell>
          <cell r="BE56">
            <v>19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tendance"/>
      <sheetName val="Internal_Record"/>
      <sheetName val="Copy of Internal_Record"/>
    </sheetNames>
    <sheetDataSet>
      <sheetData sheetId="0">
        <row r="7">
          <cell r="BB7">
            <v>33</v>
          </cell>
          <cell r="BE7">
            <v>15</v>
          </cell>
        </row>
        <row r="8">
          <cell r="BB8">
            <v>33</v>
          </cell>
          <cell r="BE8">
            <v>30</v>
          </cell>
        </row>
        <row r="9">
          <cell r="BB9">
            <v>33</v>
          </cell>
          <cell r="BE9">
            <v>28</v>
          </cell>
        </row>
        <row r="10">
          <cell r="BB10">
            <v>33</v>
          </cell>
          <cell r="BE10">
            <v>31</v>
          </cell>
        </row>
        <row r="11">
          <cell r="BB11">
            <v>33</v>
          </cell>
          <cell r="BE11">
            <v>31</v>
          </cell>
        </row>
        <row r="12">
          <cell r="BB12">
            <v>33</v>
          </cell>
          <cell r="BE12">
            <v>29</v>
          </cell>
        </row>
        <row r="13">
          <cell r="BB13">
            <v>33</v>
          </cell>
          <cell r="BE13">
            <v>21</v>
          </cell>
        </row>
        <row r="14">
          <cell r="BB14">
            <v>33</v>
          </cell>
          <cell r="BE14">
            <v>31</v>
          </cell>
        </row>
        <row r="15">
          <cell r="BB15">
            <v>33</v>
          </cell>
          <cell r="BE15">
            <v>17</v>
          </cell>
        </row>
        <row r="16">
          <cell r="BB16">
            <v>33</v>
          </cell>
          <cell r="BE16">
            <v>21</v>
          </cell>
        </row>
        <row r="17">
          <cell r="BB17">
            <v>33</v>
          </cell>
          <cell r="BE17">
            <v>29</v>
          </cell>
        </row>
        <row r="18">
          <cell r="BB18">
            <v>33</v>
          </cell>
          <cell r="BE18">
            <v>27</v>
          </cell>
        </row>
        <row r="19">
          <cell r="BB19">
            <v>33</v>
          </cell>
          <cell r="BE19">
            <v>21</v>
          </cell>
        </row>
        <row r="20">
          <cell r="BB20">
            <v>33</v>
          </cell>
          <cell r="BE20">
            <v>31</v>
          </cell>
        </row>
        <row r="21">
          <cell r="BB21">
            <v>33</v>
          </cell>
          <cell r="BE21">
            <v>1</v>
          </cell>
        </row>
        <row r="22">
          <cell r="BB22">
            <v>33</v>
          </cell>
          <cell r="BE22">
            <v>32</v>
          </cell>
        </row>
        <row r="23">
          <cell r="BB23">
            <v>33</v>
          </cell>
          <cell r="BE23">
            <v>26</v>
          </cell>
        </row>
        <row r="24">
          <cell r="BB24">
            <v>33</v>
          </cell>
          <cell r="BE24">
            <v>7</v>
          </cell>
        </row>
        <row r="25">
          <cell r="BB25">
            <v>33</v>
          </cell>
          <cell r="BE25">
            <v>24</v>
          </cell>
        </row>
        <row r="26">
          <cell r="BB26">
            <v>33</v>
          </cell>
          <cell r="BE26">
            <v>24</v>
          </cell>
        </row>
        <row r="27">
          <cell r="BB27">
            <v>33</v>
          </cell>
          <cell r="BE27">
            <v>17</v>
          </cell>
        </row>
        <row r="28">
          <cell r="BB28">
            <v>33</v>
          </cell>
          <cell r="BE28">
            <v>26</v>
          </cell>
        </row>
        <row r="29">
          <cell r="BB29">
            <v>33</v>
          </cell>
          <cell r="BE29">
            <v>33</v>
          </cell>
        </row>
        <row r="30">
          <cell r="BB30">
            <v>33</v>
          </cell>
          <cell r="BE30">
            <v>22</v>
          </cell>
        </row>
        <row r="31">
          <cell r="BB31">
            <v>33</v>
          </cell>
          <cell r="BE31">
            <v>28</v>
          </cell>
        </row>
        <row r="32">
          <cell r="BB32">
            <v>33</v>
          </cell>
          <cell r="BE32">
            <v>27</v>
          </cell>
        </row>
        <row r="33">
          <cell r="BB33">
            <v>33</v>
          </cell>
          <cell r="BE33">
            <v>16</v>
          </cell>
        </row>
        <row r="34">
          <cell r="BB34">
            <v>33</v>
          </cell>
          <cell r="BE34">
            <v>33</v>
          </cell>
        </row>
        <row r="35">
          <cell r="BB35">
            <v>33</v>
          </cell>
          <cell r="BE35">
            <v>18</v>
          </cell>
        </row>
        <row r="36">
          <cell r="BB36">
            <v>33</v>
          </cell>
          <cell r="BE36">
            <v>23</v>
          </cell>
        </row>
        <row r="37">
          <cell r="BB37">
            <v>33</v>
          </cell>
          <cell r="BE37">
            <v>6</v>
          </cell>
        </row>
        <row r="38">
          <cell r="BB38">
            <v>33</v>
          </cell>
          <cell r="BE38">
            <v>26</v>
          </cell>
        </row>
        <row r="39">
          <cell r="BB39">
            <v>33</v>
          </cell>
          <cell r="BE39">
            <v>33</v>
          </cell>
        </row>
        <row r="40">
          <cell r="BB40">
            <v>33</v>
          </cell>
          <cell r="BE40">
            <v>33</v>
          </cell>
        </row>
        <row r="41">
          <cell r="BB41">
            <v>33</v>
          </cell>
          <cell r="BE41">
            <v>25</v>
          </cell>
        </row>
        <row r="42">
          <cell r="BB42">
            <v>33</v>
          </cell>
          <cell r="BE42">
            <v>2</v>
          </cell>
        </row>
        <row r="43">
          <cell r="BB43">
            <v>33</v>
          </cell>
          <cell r="BE43">
            <v>34</v>
          </cell>
        </row>
        <row r="44">
          <cell r="BB44">
            <v>33</v>
          </cell>
          <cell r="BE44">
            <v>26</v>
          </cell>
        </row>
        <row r="45">
          <cell r="BB45">
            <v>33</v>
          </cell>
          <cell r="BE45">
            <v>22</v>
          </cell>
        </row>
        <row r="46">
          <cell r="BB46">
            <v>33</v>
          </cell>
          <cell r="BE46">
            <v>24</v>
          </cell>
        </row>
        <row r="47">
          <cell r="BB47">
            <v>33</v>
          </cell>
          <cell r="BE47">
            <v>0</v>
          </cell>
        </row>
        <row r="48">
          <cell r="BB48">
            <v>33</v>
          </cell>
          <cell r="BE48">
            <v>28</v>
          </cell>
        </row>
        <row r="49">
          <cell r="BB49">
            <v>33</v>
          </cell>
          <cell r="BE49">
            <v>17</v>
          </cell>
        </row>
        <row r="50">
          <cell r="BB50">
            <v>33</v>
          </cell>
          <cell r="BE50">
            <v>0</v>
          </cell>
        </row>
        <row r="51">
          <cell r="BB51">
            <v>33</v>
          </cell>
          <cell r="BE51">
            <v>31</v>
          </cell>
        </row>
        <row r="52">
          <cell r="BB52">
            <v>33</v>
          </cell>
          <cell r="BE52">
            <v>32</v>
          </cell>
        </row>
        <row r="53">
          <cell r="BB53">
            <v>33</v>
          </cell>
          <cell r="BE53">
            <v>32</v>
          </cell>
        </row>
        <row r="54">
          <cell r="BB54">
            <v>33</v>
          </cell>
          <cell r="BE54">
            <v>33</v>
          </cell>
        </row>
        <row r="55">
          <cell r="BB55">
            <v>33</v>
          </cell>
          <cell r="BE55">
            <v>26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tendance"/>
      <sheetName val="Internal_Record"/>
      <sheetName val="09-01-2026 Copy of Internal_Rec"/>
    </sheetNames>
    <sheetDataSet>
      <sheetData sheetId="0">
        <row r="7">
          <cell r="BE7">
            <v>15</v>
          </cell>
        </row>
        <row r="8">
          <cell r="BE8">
            <v>34</v>
          </cell>
        </row>
        <row r="9">
          <cell r="BE9">
            <v>33</v>
          </cell>
        </row>
        <row r="10">
          <cell r="BE10">
            <v>29</v>
          </cell>
        </row>
        <row r="11">
          <cell r="BE11">
            <v>28</v>
          </cell>
        </row>
        <row r="12">
          <cell r="BE12">
            <v>27</v>
          </cell>
        </row>
        <row r="13">
          <cell r="BE13">
            <v>25</v>
          </cell>
        </row>
        <row r="14">
          <cell r="BE14">
            <v>30</v>
          </cell>
        </row>
        <row r="15">
          <cell r="BE15">
            <v>19</v>
          </cell>
        </row>
        <row r="16">
          <cell r="BE16">
            <v>25</v>
          </cell>
        </row>
        <row r="17">
          <cell r="BE17">
            <v>30</v>
          </cell>
        </row>
        <row r="18">
          <cell r="BE18">
            <v>25</v>
          </cell>
        </row>
        <row r="19">
          <cell r="BE19">
            <v>27</v>
          </cell>
        </row>
        <row r="20">
          <cell r="BE20">
            <v>29</v>
          </cell>
        </row>
        <row r="21">
          <cell r="BE21">
            <v>2</v>
          </cell>
        </row>
        <row r="22">
          <cell r="BE22">
            <v>31</v>
          </cell>
        </row>
        <row r="23">
          <cell r="BE23">
            <v>25</v>
          </cell>
        </row>
        <row r="24">
          <cell r="BE24">
            <v>4</v>
          </cell>
        </row>
        <row r="25">
          <cell r="BE25">
            <v>26</v>
          </cell>
        </row>
        <row r="26">
          <cell r="BE26">
            <v>27</v>
          </cell>
        </row>
        <row r="27">
          <cell r="BE27">
            <v>19</v>
          </cell>
        </row>
        <row r="28">
          <cell r="BE28">
            <v>28</v>
          </cell>
        </row>
        <row r="29">
          <cell r="BE29">
            <v>30</v>
          </cell>
        </row>
        <row r="30">
          <cell r="BE30">
            <v>16</v>
          </cell>
        </row>
        <row r="31">
          <cell r="BE31">
            <v>29</v>
          </cell>
        </row>
        <row r="32">
          <cell r="BE32">
            <v>25</v>
          </cell>
        </row>
        <row r="33">
          <cell r="BE33">
            <v>19</v>
          </cell>
        </row>
        <row r="34">
          <cell r="BE34">
            <v>33</v>
          </cell>
        </row>
        <row r="35">
          <cell r="BE35">
            <v>18</v>
          </cell>
        </row>
        <row r="36">
          <cell r="BE36">
            <v>27</v>
          </cell>
        </row>
        <row r="37">
          <cell r="BE37">
            <v>6</v>
          </cell>
        </row>
        <row r="38">
          <cell r="BE38">
            <v>24</v>
          </cell>
        </row>
        <row r="39">
          <cell r="BE39">
            <v>34</v>
          </cell>
        </row>
        <row r="40">
          <cell r="BE40">
            <v>34</v>
          </cell>
        </row>
        <row r="41">
          <cell r="BE41">
            <v>26</v>
          </cell>
        </row>
        <row r="42">
          <cell r="BE42">
            <v>8</v>
          </cell>
        </row>
        <row r="43">
          <cell r="BE43">
            <v>33</v>
          </cell>
        </row>
        <row r="44">
          <cell r="BE44">
            <v>28</v>
          </cell>
        </row>
        <row r="45">
          <cell r="BE45">
            <v>21</v>
          </cell>
        </row>
        <row r="46">
          <cell r="BE46">
            <v>26</v>
          </cell>
        </row>
        <row r="47">
          <cell r="BE47">
            <v>0</v>
          </cell>
        </row>
        <row r="48">
          <cell r="BE48">
            <v>21</v>
          </cell>
        </row>
        <row r="49">
          <cell r="BE49">
            <v>22</v>
          </cell>
        </row>
        <row r="50">
          <cell r="BE50">
            <v>7</v>
          </cell>
        </row>
        <row r="51">
          <cell r="BE51">
            <v>32</v>
          </cell>
        </row>
        <row r="52">
          <cell r="BE52">
            <v>33</v>
          </cell>
        </row>
        <row r="53">
          <cell r="BE53">
            <v>33</v>
          </cell>
        </row>
        <row r="54">
          <cell r="BE54">
            <v>33</v>
          </cell>
        </row>
        <row r="55">
          <cell r="BE55">
            <v>24</v>
          </cell>
        </row>
        <row r="56">
          <cell r="BE56">
            <v>29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67384-4BFB-44E2-AF08-D047712713F4}">
  <dimension ref="P1:AE60"/>
  <sheetViews>
    <sheetView tabSelected="1" topLeftCell="P1" workbookViewId="0">
      <selection activeCell="W17" sqref="W17"/>
    </sheetView>
  </sheetViews>
  <sheetFormatPr defaultRowHeight="13.2" x14ac:dyDescent="0.25"/>
  <cols>
    <col min="16" max="16" width="6" bestFit="1" customWidth="1"/>
    <col min="17" max="17" width="8.77734375" bestFit="1" customWidth="1"/>
    <col min="18" max="18" width="23.33203125" style="68" bestFit="1" customWidth="1"/>
    <col min="19" max="19" width="8.33203125" bestFit="1" customWidth="1"/>
    <col min="20" max="20" width="8.21875" bestFit="1" customWidth="1"/>
    <col min="21" max="21" width="6.33203125" bestFit="1" customWidth="1"/>
    <col min="22" max="22" width="7.109375" bestFit="1" customWidth="1"/>
    <col min="23" max="23" width="7" bestFit="1" customWidth="1"/>
    <col min="24" max="24" width="7.77734375" bestFit="1" customWidth="1"/>
    <col min="25" max="25" width="8.6640625" bestFit="1" customWidth="1"/>
    <col min="26" max="28" width="3" customWidth="1"/>
    <col min="30" max="30" width="9" bestFit="1" customWidth="1"/>
    <col min="31" max="31" width="7" bestFit="1" customWidth="1"/>
  </cols>
  <sheetData>
    <row r="1" spans="16:31" ht="20.399999999999999" x14ac:dyDescent="0.25">
      <c r="P1" s="44" t="s">
        <v>53</v>
      </c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70"/>
    </row>
    <row r="2" spans="16:31" ht="18.600000000000001" x14ac:dyDescent="0.25">
      <c r="P2" s="45" t="s">
        <v>54</v>
      </c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70"/>
    </row>
    <row r="3" spans="16:31" ht="17.399999999999999" x14ac:dyDescent="0.25">
      <c r="P3" s="46" t="s">
        <v>55</v>
      </c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70"/>
    </row>
    <row r="4" spans="16:31" x14ac:dyDescent="0.25">
      <c r="P4" s="47" t="s">
        <v>56</v>
      </c>
      <c r="Q4" s="69"/>
      <c r="R4" s="69"/>
      <c r="S4" s="69"/>
      <c r="T4" s="69"/>
      <c r="U4" s="69"/>
      <c r="V4" s="69"/>
      <c r="W4" s="69"/>
      <c r="X4" s="70"/>
      <c r="Y4" s="47" t="s">
        <v>57</v>
      </c>
      <c r="Z4" s="69"/>
      <c r="AA4" s="69"/>
      <c r="AB4" s="69"/>
      <c r="AC4" s="69"/>
      <c r="AD4" s="69"/>
      <c r="AE4" s="70"/>
    </row>
    <row r="5" spans="16:31" x14ac:dyDescent="0.25">
      <c r="P5" s="47" t="s">
        <v>97</v>
      </c>
      <c r="Q5" s="69"/>
      <c r="R5" s="69"/>
      <c r="S5" s="69"/>
      <c r="T5" s="69"/>
      <c r="U5" s="69"/>
      <c r="V5" s="69"/>
      <c r="W5" s="69"/>
      <c r="X5" s="70"/>
      <c r="Y5" s="47" t="s">
        <v>59</v>
      </c>
      <c r="Z5" s="69"/>
      <c r="AA5" s="69"/>
      <c r="AB5" s="69"/>
      <c r="AC5" s="69"/>
      <c r="AD5" s="69"/>
      <c r="AE5" s="70"/>
    </row>
    <row r="6" spans="16:31" x14ac:dyDescent="0.25">
      <c r="P6" s="48" t="s">
        <v>0</v>
      </c>
      <c r="Q6" s="48" t="s">
        <v>1</v>
      </c>
      <c r="R6" s="63" t="s">
        <v>2</v>
      </c>
      <c r="S6" s="48" t="s">
        <v>61</v>
      </c>
      <c r="T6" s="48" t="s">
        <v>62</v>
      </c>
      <c r="U6" s="48" t="s">
        <v>63</v>
      </c>
      <c r="V6" s="48" t="s">
        <v>64</v>
      </c>
      <c r="W6" s="49" t="s">
        <v>65</v>
      </c>
      <c r="X6" s="48" t="s">
        <v>66</v>
      </c>
      <c r="Y6" s="48" t="s">
        <v>67</v>
      </c>
      <c r="Z6" s="47" t="s">
        <v>68</v>
      </c>
      <c r="AA6" s="69"/>
      <c r="AB6" s="70"/>
      <c r="AC6" s="50" t="s">
        <v>69</v>
      </c>
      <c r="AD6" s="48" t="s">
        <v>70</v>
      </c>
      <c r="AE6" s="48" t="s">
        <v>71</v>
      </c>
    </row>
    <row r="7" spans="16:31" ht="15.6" x14ac:dyDescent="0.25">
      <c r="P7" s="71"/>
      <c r="Q7" s="71"/>
      <c r="R7" s="64"/>
      <c r="S7" s="71"/>
      <c r="T7" s="71"/>
      <c r="U7" s="71"/>
      <c r="V7" s="71"/>
      <c r="W7" s="71"/>
      <c r="X7" s="71"/>
      <c r="Y7" s="71"/>
      <c r="Z7" s="52">
        <v>1</v>
      </c>
      <c r="AA7" s="52">
        <v>2</v>
      </c>
      <c r="AB7" s="52">
        <v>3</v>
      </c>
      <c r="AC7" s="71"/>
      <c r="AD7" s="71"/>
      <c r="AE7" s="71"/>
    </row>
    <row r="8" spans="16:31" ht="15.6" x14ac:dyDescent="0.25">
      <c r="P8" s="53">
        <v>1</v>
      </c>
      <c r="Q8" s="53">
        <v>2301236</v>
      </c>
      <c r="R8" s="65" t="s">
        <v>3</v>
      </c>
      <c r="S8" s="53">
        <v>35</v>
      </c>
      <c r="T8" s="53">
        <v>15</v>
      </c>
      <c r="U8" s="55">
        <v>42.857142860000003</v>
      </c>
      <c r="V8" s="53" t="s">
        <v>83</v>
      </c>
      <c r="W8" s="72">
        <v>0</v>
      </c>
      <c r="X8" s="56">
        <v>0</v>
      </c>
      <c r="Y8" s="57">
        <v>0</v>
      </c>
      <c r="Z8" s="53">
        <v>0</v>
      </c>
      <c r="AA8" s="53">
        <v>0</v>
      </c>
      <c r="AB8" s="53">
        <v>0</v>
      </c>
      <c r="AC8" s="57">
        <v>0</v>
      </c>
      <c r="AD8" s="53"/>
      <c r="AE8" s="55">
        <v>0</v>
      </c>
    </row>
    <row r="9" spans="16:31" ht="15.6" x14ac:dyDescent="0.25">
      <c r="P9" s="53">
        <v>2</v>
      </c>
      <c r="Q9" s="53">
        <v>2301237</v>
      </c>
      <c r="R9" s="65" t="s">
        <v>4</v>
      </c>
      <c r="S9" s="53">
        <v>35</v>
      </c>
      <c r="T9" s="53">
        <v>34</v>
      </c>
      <c r="U9" s="55">
        <v>97.142857140000004</v>
      </c>
      <c r="V9" s="53" t="s">
        <v>86</v>
      </c>
      <c r="W9" s="72">
        <v>22</v>
      </c>
      <c r="X9" s="56">
        <v>22</v>
      </c>
      <c r="Y9" s="57">
        <v>22</v>
      </c>
      <c r="Z9" s="56">
        <v>10</v>
      </c>
      <c r="AA9" s="56">
        <v>9</v>
      </c>
      <c r="AB9" s="56">
        <v>9</v>
      </c>
      <c r="AC9" s="57">
        <v>9.3333333330000006</v>
      </c>
      <c r="AD9" s="56"/>
      <c r="AE9" s="55">
        <v>37</v>
      </c>
    </row>
    <row r="10" spans="16:31" ht="15.6" x14ac:dyDescent="0.25">
      <c r="P10" s="53">
        <v>3</v>
      </c>
      <c r="Q10" s="53">
        <v>2301238</v>
      </c>
      <c r="R10" s="65" t="s">
        <v>5</v>
      </c>
      <c r="S10" s="53">
        <v>35</v>
      </c>
      <c r="T10" s="53">
        <v>33</v>
      </c>
      <c r="U10" s="55">
        <v>94.285714290000001</v>
      </c>
      <c r="V10" s="53" t="s">
        <v>89</v>
      </c>
      <c r="W10" s="72">
        <v>11</v>
      </c>
      <c r="X10" s="56">
        <v>11</v>
      </c>
      <c r="Y10" s="57">
        <v>11</v>
      </c>
      <c r="Z10" s="56">
        <v>9</v>
      </c>
      <c r="AA10" s="56">
        <v>8</v>
      </c>
      <c r="AB10" s="56">
        <v>8</v>
      </c>
      <c r="AC10" s="57">
        <v>8.3333333330000006</v>
      </c>
      <c r="AD10" s="56"/>
      <c r="AE10" s="55">
        <v>24</v>
      </c>
    </row>
    <row r="11" spans="16:31" ht="15.6" x14ac:dyDescent="0.25">
      <c r="P11" s="53">
        <v>4</v>
      </c>
      <c r="Q11" s="53">
        <v>2301240</v>
      </c>
      <c r="R11" s="65" t="s">
        <v>6</v>
      </c>
      <c r="S11" s="53">
        <v>35</v>
      </c>
      <c r="T11" s="53">
        <v>29</v>
      </c>
      <c r="U11" s="55">
        <v>82.857142859999996</v>
      </c>
      <c r="V11" s="53" t="s">
        <v>90</v>
      </c>
      <c r="W11" s="72">
        <v>13</v>
      </c>
      <c r="X11" s="56">
        <v>15</v>
      </c>
      <c r="Y11" s="57">
        <v>14</v>
      </c>
      <c r="Z11" s="56">
        <v>7</v>
      </c>
      <c r="AA11" s="56">
        <v>8</v>
      </c>
      <c r="AB11" s="56">
        <v>8</v>
      </c>
      <c r="AC11" s="57">
        <v>7.6666666670000003</v>
      </c>
      <c r="AD11" s="56"/>
      <c r="AE11" s="55">
        <v>25</v>
      </c>
    </row>
    <row r="12" spans="16:31" ht="15.6" x14ac:dyDescent="0.25">
      <c r="P12" s="53">
        <v>5</v>
      </c>
      <c r="Q12" s="53">
        <v>2301241</v>
      </c>
      <c r="R12" s="65" t="s">
        <v>7</v>
      </c>
      <c r="S12" s="53">
        <v>35</v>
      </c>
      <c r="T12" s="53">
        <v>28</v>
      </c>
      <c r="U12" s="55">
        <v>80</v>
      </c>
      <c r="V12" s="53" t="s">
        <v>85</v>
      </c>
      <c r="W12" s="72">
        <v>17</v>
      </c>
      <c r="X12" s="56">
        <v>16</v>
      </c>
      <c r="Y12" s="57">
        <v>16.5</v>
      </c>
      <c r="Z12" s="56">
        <v>10</v>
      </c>
      <c r="AA12" s="56">
        <v>8</v>
      </c>
      <c r="AB12" s="56">
        <v>9</v>
      </c>
      <c r="AC12" s="57">
        <v>9</v>
      </c>
      <c r="AD12" s="56"/>
      <c r="AE12" s="55">
        <v>28</v>
      </c>
    </row>
    <row r="13" spans="16:31" ht="15.6" x14ac:dyDescent="0.25">
      <c r="P13" s="53">
        <v>6</v>
      </c>
      <c r="Q13" s="53">
        <v>2301242</v>
      </c>
      <c r="R13" s="65" t="s">
        <v>8</v>
      </c>
      <c r="S13" s="53">
        <v>35</v>
      </c>
      <c r="T13" s="53">
        <v>27</v>
      </c>
      <c r="U13" s="55">
        <v>77.142857140000004</v>
      </c>
      <c r="V13" s="53" t="s">
        <v>85</v>
      </c>
      <c r="W13" s="72">
        <v>19</v>
      </c>
      <c r="X13" s="56">
        <v>19</v>
      </c>
      <c r="Y13" s="57">
        <v>19</v>
      </c>
      <c r="Z13" s="56">
        <v>9</v>
      </c>
      <c r="AA13" s="56">
        <v>9</v>
      </c>
      <c r="AB13" s="56">
        <v>9</v>
      </c>
      <c r="AC13" s="57">
        <v>9</v>
      </c>
      <c r="AD13" s="56"/>
      <c r="AE13" s="55">
        <v>30</v>
      </c>
    </row>
    <row r="14" spans="16:31" ht="15.6" x14ac:dyDescent="0.25">
      <c r="P14" s="53">
        <v>7</v>
      </c>
      <c r="Q14" s="53">
        <v>2301243</v>
      </c>
      <c r="R14" s="65" t="s">
        <v>9</v>
      </c>
      <c r="S14" s="53">
        <v>35</v>
      </c>
      <c r="T14" s="53">
        <v>25</v>
      </c>
      <c r="U14" s="55">
        <v>71.428571430000005</v>
      </c>
      <c r="V14" s="53" t="s">
        <v>83</v>
      </c>
      <c r="W14" s="72">
        <v>12</v>
      </c>
      <c r="X14" s="56">
        <v>13</v>
      </c>
      <c r="Y14" s="57">
        <v>12.5</v>
      </c>
      <c r="Z14" s="56">
        <v>8</v>
      </c>
      <c r="AA14" s="56">
        <v>8</v>
      </c>
      <c r="AB14" s="56">
        <v>8</v>
      </c>
      <c r="AC14" s="57">
        <v>8</v>
      </c>
      <c r="AD14" s="56"/>
      <c r="AE14" s="55">
        <v>21</v>
      </c>
    </row>
    <row r="15" spans="16:31" ht="15.6" x14ac:dyDescent="0.25">
      <c r="P15" s="53">
        <v>8</v>
      </c>
      <c r="Q15" s="53">
        <v>2301245</v>
      </c>
      <c r="R15" s="65" t="s">
        <v>10</v>
      </c>
      <c r="S15" s="53">
        <v>35</v>
      </c>
      <c r="T15" s="53">
        <v>30</v>
      </c>
      <c r="U15" s="55">
        <v>85.714285709999999</v>
      </c>
      <c r="V15" s="53" t="s">
        <v>84</v>
      </c>
      <c r="W15" s="72">
        <v>22</v>
      </c>
      <c r="X15" s="56">
        <v>22</v>
      </c>
      <c r="Y15" s="57">
        <v>22</v>
      </c>
      <c r="Z15" s="56">
        <v>10</v>
      </c>
      <c r="AA15" s="56">
        <v>9</v>
      </c>
      <c r="AB15" s="56">
        <v>9</v>
      </c>
      <c r="AC15" s="57">
        <v>9.3333333330000006</v>
      </c>
      <c r="AD15" s="56"/>
      <c r="AE15" s="55">
        <v>35</v>
      </c>
    </row>
    <row r="16" spans="16:31" ht="15.6" x14ac:dyDescent="0.25">
      <c r="P16" s="53">
        <v>9</v>
      </c>
      <c r="Q16" s="53">
        <v>2301247</v>
      </c>
      <c r="R16" s="65" t="s">
        <v>11</v>
      </c>
      <c r="S16" s="53">
        <v>35</v>
      </c>
      <c r="T16" s="53">
        <v>19</v>
      </c>
      <c r="U16" s="55">
        <v>54.285714290000001</v>
      </c>
      <c r="V16" s="53" t="s">
        <v>83</v>
      </c>
      <c r="W16" s="72">
        <v>14</v>
      </c>
      <c r="X16" s="56">
        <v>21</v>
      </c>
      <c r="Y16" s="57">
        <v>17.5</v>
      </c>
      <c r="Z16" s="56">
        <v>0</v>
      </c>
      <c r="AA16" s="56">
        <v>7</v>
      </c>
      <c r="AB16" s="56">
        <v>8</v>
      </c>
      <c r="AC16" s="57">
        <v>5</v>
      </c>
      <c r="AD16" s="56"/>
      <c r="AE16" s="55">
        <v>23</v>
      </c>
    </row>
    <row r="17" spans="16:31" ht="15.6" x14ac:dyDescent="0.25">
      <c r="P17" s="53">
        <v>10</v>
      </c>
      <c r="Q17" s="53">
        <v>2301249</v>
      </c>
      <c r="R17" s="65" t="s">
        <v>12</v>
      </c>
      <c r="S17" s="53">
        <v>35</v>
      </c>
      <c r="T17" s="53">
        <v>25</v>
      </c>
      <c r="U17" s="55">
        <v>71.428571430000005</v>
      </c>
      <c r="V17" s="53" t="s">
        <v>83</v>
      </c>
      <c r="W17" s="72">
        <v>0</v>
      </c>
      <c r="X17" s="56">
        <v>10</v>
      </c>
      <c r="Y17" s="57">
        <v>5</v>
      </c>
      <c r="Z17" s="58">
        <v>8</v>
      </c>
      <c r="AA17" s="58">
        <v>9</v>
      </c>
      <c r="AB17" s="58">
        <v>8</v>
      </c>
      <c r="AC17" s="57">
        <v>8.3333333330000006</v>
      </c>
      <c r="AD17" s="56"/>
      <c r="AE17" s="55">
        <v>13</v>
      </c>
    </row>
    <row r="18" spans="16:31" ht="15.6" x14ac:dyDescent="0.25">
      <c r="P18" s="53">
        <v>11</v>
      </c>
      <c r="Q18" s="53">
        <v>2301250</v>
      </c>
      <c r="R18" s="65" t="s">
        <v>13</v>
      </c>
      <c r="S18" s="53">
        <v>35</v>
      </c>
      <c r="T18" s="53">
        <v>30</v>
      </c>
      <c r="U18" s="55">
        <v>85.714285709999999</v>
      </c>
      <c r="V18" s="53" t="s">
        <v>84</v>
      </c>
      <c r="W18" s="72">
        <v>14</v>
      </c>
      <c r="X18" s="56">
        <v>12</v>
      </c>
      <c r="Y18" s="57">
        <v>13</v>
      </c>
      <c r="Z18" s="56">
        <v>9</v>
      </c>
      <c r="AA18" s="56">
        <v>8</v>
      </c>
      <c r="AB18" s="56">
        <v>9</v>
      </c>
      <c r="AC18" s="57">
        <v>8.6666666669999994</v>
      </c>
      <c r="AD18" s="56"/>
      <c r="AE18" s="55">
        <v>26</v>
      </c>
    </row>
    <row r="19" spans="16:31" ht="15.6" x14ac:dyDescent="0.25">
      <c r="P19" s="53">
        <v>12</v>
      </c>
      <c r="Q19" s="53">
        <v>2301251</v>
      </c>
      <c r="R19" s="65" t="s">
        <v>14</v>
      </c>
      <c r="S19" s="53">
        <v>35</v>
      </c>
      <c r="T19" s="53">
        <v>25</v>
      </c>
      <c r="U19" s="55">
        <v>71.428571430000005</v>
      </c>
      <c r="V19" s="53" t="s">
        <v>83</v>
      </c>
      <c r="W19" s="72">
        <v>10</v>
      </c>
      <c r="X19" s="56">
        <v>4</v>
      </c>
      <c r="Y19" s="57">
        <v>7</v>
      </c>
      <c r="Z19" s="56">
        <v>6</v>
      </c>
      <c r="AA19" s="56">
        <v>7</v>
      </c>
      <c r="AB19" s="56">
        <v>8</v>
      </c>
      <c r="AC19" s="57">
        <v>7</v>
      </c>
      <c r="AD19" s="56"/>
      <c r="AE19" s="55">
        <v>14</v>
      </c>
    </row>
    <row r="20" spans="16:31" ht="15.6" x14ac:dyDescent="0.25">
      <c r="P20" s="53">
        <v>13</v>
      </c>
      <c r="Q20" s="53">
        <v>2301252</v>
      </c>
      <c r="R20" s="65" t="s">
        <v>15</v>
      </c>
      <c r="S20" s="53">
        <v>35</v>
      </c>
      <c r="T20" s="53">
        <v>27</v>
      </c>
      <c r="U20" s="55">
        <v>77.142857140000004</v>
      </c>
      <c r="V20" s="53" t="s">
        <v>85</v>
      </c>
      <c r="W20" s="72">
        <v>11</v>
      </c>
      <c r="X20" s="56">
        <v>9</v>
      </c>
      <c r="Y20" s="57">
        <v>10</v>
      </c>
      <c r="Z20" s="56">
        <v>6</v>
      </c>
      <c r="AA20" s="56">
        <v>0</v>
      </c>
      <c r="AB20" s="56">
        <v>8</v>
      </c>
      <c r="AC20" s="57">
        <v>4.6666666670000003</v>
      </c>
      <c r="AD20" s="56"/>
      <c r="AE20" s="55">
        <v>17</v>
      </c>
    </row>
    <row r="21" spans="16:31" ht="15.6" x14ac:dyDescent="0.25">
      <c r="P21" s="53">
        <v>14</v>
      </c>
      <c r="Q21" s="53">
        <v>2301253</v>
      </c>
      <c r="R21" s="65" t="s">
        <v>16</v>
      </c>
      <c r="S21" s="53">
        <v>35</v>
      </c>
      <c r="T21" s="53">
        <v>29</v>
      </c>
      <c r="U21" s="55">
        <v>82.857142859999996</v>
      </c>
      <c r="V21" s="53" t="s">
        <v>90</v>
      </c>
      <c r="W21" s="72">
        <v>21</v>
      </c>
      <c r="X21" s="56">
        <v>16</v>
      </c>
      <c r="Y21" s="57">
        <v>18.5</v>
      </c>
      <c r="Z21" s="56">
        <v>9</v>
      </c>
      <c r="AA21" s="56">
        <v>9</v>
      </c>
      <c r="AB21" s="56">
        <v>9</v>
      </c>
      <c r="AC21" s="57">
        <v>9</v>
      </c>
      <c r="AD21" s="56"/>
      <c r="AE21" s="55">
        <v>31</v>
      </c>
    </row>
    <row r="22" spans="16:31" ht="15.6" x14ac:dyDescent="0.25">
      <c r="P22" s="53">
        <v>15</v>
      </c>
      <c r="Q22" s="53">
        <v>2301255</v>
      </c>
      <c r="R22" s="65" t="s">
        <v>17</v>
      </c>
      <c r="S22" s="53">
        <v>35</v>
      </c>
      <c r="T22" s="53">
        <v>2</v>
      </c>
      <c r="U22" s="55">
        <v>5.7142857139999998</v>
      </c>
      <c r="V22" s="53" t="s">
        <v>83</v>
      </c>
      <c r="W22" s="72">
        <v>0</v>
      </c>
      <c r="X22" s="56">
        <v>0</v>
      </c>
      <c r="Y22" s="57">
        <v>0</v>
      </c>
      <c r="Z22" s="56">
        <v>8</v>
      </c>
      <c r="AA22" s="56">
        <v>8</v>
      </c>
      <c r="AB22" s="56">
        <v>8</v>
      </c>
      <c r="AC22" s="57">
        <v>8</v>
      </c>
      <c r="AD22" s="56"/>
      <c r="AE22" s="55">
        <v>8</v>
      </c>
    </row>
    <row r="23" spans="16:31" ht="15.6" x14ac:dyDescent="0.25">
      <c r="P23" s="53">
        <v>16</v>
      </c>
      <c r="Q23" s="53">
        <v>2301256</v>
      </c>
      <c r="R23" s="65" t="s">
        <v>18</v>
      </c>
      <c r="S23" s="53">
        <v>35</v>
      </c>
      <c r="T23" s="53">
        <v>31</v>
      </c>
      <c r="U23" s="55">
        <v>88.571428569999995</v>
      </c>
      <c r="V23" s="53" t="s">
        <v>84</v>
      </c>
      <c r="W23" s="72">
        <v>10</v>
      </c>
      <c r="X23" s="56">
        <v>19</v>
      </c>
      <c r="Y23" s="57">
        <v>14.5</v>
      </c>
      <c r="Z23" s="56">
        <v>8</v>
      </c>
      <c r="AA23" s="56">
        <v>8</v>
      </c>
      <c r="AB23" s="56">
        <v>9</v>
      </c>
      <c r="AC23" s="57">
        <v>8.3333333330000006</v>
      </c>
      <c r="AD23" s="56"/>
      <c r="AE23" s="55">
        <v>27</v>
      </c>
    </row>
    <row r="24" spans="16:31" ht="15.6" x14ac:dyDescent="0.25">
      <c r="P24" s="53">
        <v>17</v>
      </c>
      <c r="Q24" s="53">
        <v>2301257</v>
      </c>
      <c r="R24" s="65" t="s">
        <v>19</v>
      </c>
      <c r="S24" s="53">
        <v>35</v>
      </c>
      <c r="T24" s="53">
        <v>25</v>
      </c>
      <c r="U24" s="55">
        <v>71.428571430000005</v>
      </c>
      <c r="V24" s="53" t="s">
        <v>83</v>
      </c>
      <c r="W24" s="72">
        <v>3</v>
      </c>
      <c r="X24" s="56">
        <v>4</v>
      </c>
      <c r="Y24" s="57">
        <v>3.5</v>
      </c>
      <c r="Z24" s="56">
        <v>9</v>
      </c>
      <c r="AA24" s="56">
        <v>7</v>
      </c>
      <c r="AB24" s="56">
        <v>7</v>
      </c>
      <c r="AC24" s="57">
        <v>7.6666666670000003</v>
      </c>
      <c r="AD24" s="56"/>
      <c r="AE24" s="55">
        <v>11</v>
      </c>
    </row>
    <row r="25" spans="16:31" ht="15.6" x14ac:dyDescent="0.25">
      <c r="P25" s="53">
        <v>18</v>
      </c>
      <c r="Q25" s="53">
        <v>2301258</v>
      </c>
      <c r="R25" s="65" t="s">
        <v>20</v>
      </c>
      <c r="S25" s="53">
        <v>35</v>
      </c>
      <c r="T25" s="53">
        <v>5</v>
      </c>
      <c r="U25" s="55">
        <v>14.28571429</v>
      </c>
      <c r="V25" s="53" t="s">
        <v>83</v>
      </c>
      <c r="W25" s="72">
        <v>0</v>
      </c>
      <c r="X25" s="56">
        <v>0</v>
      </c>
      <c r="Y25" s="57">
        <v>0</v>
      </c>
      <c r="Z25" s="56">
        <v>0</v>
      </c>
      <c r="AA25" s="56">
        <v>0</v>
      </c>
      <c r="AB25" s="56">
        <v>0</v>
      </c>
      <c r="AC25" s="57">
        <v>0</v>
      </c>
      <c r="AD25" s="56"/>
      <c r="AE25" s="55">
        <v>0</v>
      </c>
    </row>
    <row r="26" spans="16:31" ht="15.6" x14ac:dyDescent="0.25">
      <c r="P26" s="53">
        <v>19</v>
      </c>
      <c r="Q26" s="53">
        <v>2301259</v>
      </c>
      <c r="R26" s="65" t="s">
        <v>21</v>
      </c>
      <c r="S26" s="53">
        <v>35</v>
      </c>
      <c r="T26" s="53">
        <v>26</v>
      </c>
      <c r="U26" s="55">
        <v>74.285714290000001</v>
      </c>
      <c r="V26" s="53" t="s">
        <v>83</v>
      </c>
      <c r="W26" s="72">
        <v>12</v>
      </c>
      <c r="X26" s="56">
        <v>13</v>
      </c>
      <c r="Y26" s="57">
        <v>12.5</v>
      </c>
      <c r="Z26" s="56">
        <v>9</v>
      </c>
      <c r="AA26" s="56">
        <v>8</v>
      </c>
      <c r="AB26" s="56">
        <v>9</v>
      </c>
      <c r="AC26" s="57">
        <v>8.6666666669999994</v>
      </c>
      <c r="AD26" s="56"/>
      <c r="AE26" s="55">
        <v>21</v>
      </c>
    </row>
    <row r="27" spans="16:31" ht="15.6" x14ac:dyDescent="0.25">
      <c r="P27" s="53">
        <v>20</v>
      </c>
      <c r="Q27" s="53">
        <v>2301260</v>
      </c>
      <c r="R27" s="65" t="s">
        <v>22</v>
      </c>
      <c r="S27" s="53">
        <v>35</v>
      </c>
      <c r="T27" s="53">
        <v>27</v>
      </c>
      <c r="U27" s="55">
        <v>77.142857140000004</v>
      </c>
      <c r="V27" s="53" t="s">
        <v>85</v>
      </c>
      <c r="W27" s="72">
        <v>5</v>
      </c>
      <c r="X27" s="56">
        <v>10</v>
      </c>
      <c r="Y27" s="57">
        <v>7.5</v>
      </c>
      <c r="Z27" s="56">
        <v>8</v>
      </c>
      <c r="AA27" s="56">
        <v>7</v>
      </c>
      <c r="AB27" s="56">
        <v>8</v>
      </c>
      <c r="AC27" s="57">
        <v>7.6666666670000003</v>
      </c>
      <c r="AD27" s="56"/>
      <c r="AE27" s="55">
        <v>17</v>
      </c>
    </row>
    <row r="28" spans="16:31" ht="15.6" x14ac:dyDescent="0.25">
      <c r="P28" s="53">
        <v>21</v>
      </c>
      <c r="Q28" s="53">
        <v>2301261</v>
      </c>
      <c r="R28" s="65" t="s">
        <v>23</v>
      </c>
      <c r="S28" s="53">
        <v>35</v>
      </c>
      <c r="T28" s="53">
        <v>19</v>
      </c>
      <c r="U28" s="55">
        <v>54.285714290000001</v>
      </c>
      <c r="V28" s="53" t="s">
        <v>83</v>
      </c>
      <c r="W28" s="72">
        <v>3</v>
      </c>
      <c r="X28" s="56">
        <v>0</v>
      </c>
      <c r="Y28" s="57">
        <v>1.5</v>
      </c>
      <c r="Z28" s="56">
        <v>0</v>
      </c>
      <c r="AA28" s="56">
        <v>0</v>
      </c>
      <c r="AB28" s="56">
        <v>0</v>
      </c>
      <c r="AC28" s="57">
        <v>0</v>
      </c>
      <c r="AD28" s="56"/>
      <c r="AE28" s="55">
        <v>2</v>
      </c>
    </row>
    <row r="29" spans="16:31" ht="15.6" x14ac:dyDescent="0.25">
      <c r="P29" s="53">
        <v>22</v>
      </c>
      <c r="Q29" s="53">
        <v>2301262</v>
      </c>
      <c r="R29" s="65" t="s">
        <v>24</v>
      </c>
      <c r="S29" s="53">
        <v>35</v>
      </c>
      <c r="T29" s="53">
        <v>28</v>
      </c>
      <c r="U29" s="55">
        <v>80</v>
      </c>
      <c r="V29" s="53" t="s">
        <v>85</v>
      </c>
      <c r="W29" s="72">
        <v>10</v>
      </c>
      <c r="X29" s="56">
        <v>6</v>
      </c>
      <c r="Y29" s="57">
        <v>8</v>
      </c>
      <c r="Z29" s="56">
        <v>9</v>
      </c>
      <c r="AA29" s="56">
        <v>0</v>
      </c>
      <c r="AB29" s="56">
        <v>8</v>
      </c>
      <c r="AC29" s="57">
        <v>5.6666666670000003</v>
      </c>
      <c r="AD29" s="56"/>
      <c r="AE29" s="55">
        <v>16</v>
      </c>
    </row>
    <row r="30" spans="16:31" ht="15.6" x14ac:dyDescent="0.25">
      <c r="P30" s="53">
        <v>23</v>
      </c>
      <c r="Q30" s="53">
        <v>2301263</v>
      </c>
      <c r="R30" s="65" t="s">
        <v>25</v>
      </c>
      <c r="S30" s="53">
        <v>35</v>
      </c>
      <c r="T30" s="53">
        <v>30</v>
      </c>
      <c r="U30" s="55">
        <v>85.714285709999999</v>
      </c>
      <c r="V30" s="53" t="s">
        <v>84</v>
      </c>
      <c r="W30" s="72">
        <v>18</v>
      </c>
      <c r="X30" s="56">
        <v>19</v>
      </c>
      <c r="Y30" s="57">
        <v>18.5</v>
      </c>
      <c r="Z30" s="56">
        <v>9</v>
      </c>
      <c r="AA30" s="56">
        <v>9</v>
      </c>
      <c r="AB30" s="56">
        <v>9</v>
      </c>
      <c r="AC30" s="57">
        <v>9</v>
      </c>
      <c r="AD30" s="56"/>
      <c r="AE30" s="55">
        <v>32</v>
      </c>
    </row>
    <row r="31" spans="16:31" ht="15.6" x14ac:dyDescent="0.25">
      <c r="P31" s="53">
        <v>24</v>
      </c>
      <c r="Q31" s="53">
        <v>2301264</v>
      </c>
      <c r="R31" s="65" t="s">
        <v>26</v>
      </c>
      <c r="S31" s="53">
        <v>35</v>
      </c>
      <c r="T31" s="53">
        <v>16</v>
      </c>
      <c r="U31" s="55">
        <v>45.714285709999999</v>
      </c>
      <c r="V31" s="53" t="s">
        <v>83</v>
      </c>
      <c r="W31" s="72">
        <v>0</v>
      </c>
      <c r="X31" s="56">
        <v>4</v>
      </c>
      <c r="Y31" s="57">
        <v>2</v>
      </c>
      <c r="Z31" s="56">
        <v>6</v>
      </c>
      <c r="AA31" s="56">
        <v>0</v>
      </c>
      <c r="AB31" s="56">
        <v>8</v>
      </c>
      <c r="AC31" s="57">
        <v>4.6666666670000003</v>
      </c>
      <c r="AD31" s="56"/>
      <c r="AE31" s="55">
        <v>7</v>
      </c>
    </row>
    <row r="32" spans="16:31" ht="15.6" x14ac:dyDescent="0.25">
      <c r="P32" s="53">
        <v>25</v>
      </c>
      <c r="Q32" s="53">
        <v>2301265</v>
      </c>
      <c r="R32" s="65" t="s">
        <v>27</v>
      </c>
      <c r="S32" s="53">
        <v>35</v>
      </c>
      <c r="T32" s="53">
        <v>29</v>
      </c>
      <c r="U32" s="55">
        <v>82.857142859999996</v>
      </c>
      <c r="V32" s="53" t="s">
        <v>90</v>
      </c>
      <c r="W32" s="58">
        <v>18</v>
      </c>
      <c r="X32" s="56">
        <v>11</v>
      </c>
      <c r="Y32" s="57">
        <v>14.5</v>
      </c>
      <c r="Z32" s="56">
        <v>9</v>
      </c>
      <c r="AA32" s="56">
        <v>8</v>
      </c>
      <c r="AB32" s="56">
        <v>8</v>
      </c>
      <c r="AC32" s="57">
        <v>8.3333333330000006</v>
      </c>
      <c r="AD32" s="56"/>
      <c r="AE32" s="55">
        <v>26</v>
      </c>
    </row>
    <row r="33" spans="16:31" ht="15.6" x14ac:dyDescent="0.25">
      <c r="P33" s="53">
        <v>26</v>
      </c>
      <c r="Q33" s="53">
        <v>2301267</v>
      </c>
      <c r="R33" s="65" t="s">
        <v>28</v>
      </c>
      <c r="S33" s="53">
        <v>35</v>
      </c>
      <c r="T33" s="53">
        <v>25</v>
      </c>
      <c r="U33" s="55">
        <v>71.428571430000005</v>
      </c>
      <c r="V33" s="53" t="s">
        <v>83</v>
      </c>
      <c r="W33" s="72">
        <v>9</v>
      </c>
      <c r="X33" s="56">
        <v>14</v>
      </c>
      <c r="Y33" s="57">
        <v>11.5</v>
      </c>
      <c r="Z33" s="56">
        <v>10</v>
      </c>
      <c r="AA33" s="56">
        <v>9</v>
      </c>
      <c r="AB33" s="56">
        <v>9</v>
      </c>
      <c r="AC33" s="57">
        <v>9.3333333330000006</v>
      </c>
      <c r="AD33" s="56"/>
      <c r="AE33" s="55">
        <v>21</v>
      </c>
    </row>
    <row r="34" spans="16:31" ht="15.6" x14ac:dyDescent="0.25">
      <c r="P34" s="53">
        <v>27</v>
      </c>
      <c r="Q34" s="53">
        <v>2301268</v>
      </c>
      <c r="R34" s="65" t="s">
        <v>29</v>
      </c>
      <c r="S34" s="53">
        <v>35</v>
      </c>
      <c r="T34" s="53">
        <v>19</v>
      </c>
      <c r="U34" s="55">
        <v>54.285714290000001</v>
      </c>
      <c r="V34" s="53" t="s">
        <v>83</v>
      </c>
      <c r="W34" s="72">
        <v>0</v>
      </c>
      <c r="X34" s="56">
        <v>0</v>
      </c>
      <c r="Y34" s="57">
        <v>0</v>
      </c>
      <c r="Z34" s="56">
        <v>0</v>
      </c>
      <c r="AA34" s="56">
        <v>0</v>
      </c>
      <c r="AB34" s="56">
        <v>0</v>
      </c>
      <c r="AC34" s="57">
        <v>0</v>
      </c>
      <c r="AD34" s="56"/>
      <c r="AE34" s="55">
        <v>0</v>
      </c>
    </row>
    <row r="35" spans="16:31" ht="15.6" x14ac:dyDescent="0.25">
      <c r="P35" s="53">
        <v>28</v>
      </c>
      <c r="Q35" s="53">
        <v>2301269</v>
      </c>
      <c r="R35" s="65" t="s">
        <v>30</v>
      </c>
      <c r="S35" s="53">
        <v>35</v>
      </c>
      <c r="T35" s="53">
        <v>33</v>
      </c>
      <c r="U35" s="55">
        <v>94.285714290000001</v>
      </c>
      <c r="V35" s="53" t="s">
        <v>89</v>
      </c>
      <c r="W35" s="72">
        <v>20</v>
      </c>
      <c r="X35" s="56">
        <v>22</v>
      </c>
      <c r="Y35" s="57">
        <v>21</v>
      </c>
      <c r="Z35" s="56">
        <v>10</v>
      </c>
      <c r="AA35" s="56">
        <v>9</v>
      </c>
      <c r="AB35" s="56">
        <v>9</v>
      </c>
      <c r="AC35" s="57">
        <v>9.3333333330000006</v>
      </c>
      <c r="AD35" s="56"/>
      <c r="AE35" s="55">
        <v>35</v>
      </c>
    </row>
    <row r="36" spans="16:31" ht="15.6" x14ac:dyDescent="0.25">
      <c r="P36" s="53">
        <v>29</v>
      </c>
      <c r="Q36" s="53">
        <v>2301270</v>
      </c>
      <c r="R36" s="65" t="s">
        <v>31</v>
      </c>
      <c r="S36" s="53">
        <v>35</v>
      </c>
      <c r="T36" s="53">
        <v>18</v>
      </c>
      <c r="U36" s="55">
        <v>51.428571429999998</v>
      </c>
      <c r="V36" s="53" t="s">
        <v>83</v>
      </c>
      <c r="W36" s="72">
        <v>1</v>
      </c>
      <c r="X36" s="56">
        <v>0</v>
      </c>
      <c r="Y36" s="57">
        <v>0.5</v>
      </c>
      <c r="Z36" s="56">
        <v>7</v>
      </c>
      <c r="AA36" s="56">
        <v>0</v>
      </c>
      <c r="AB36" s="56">
        <v>0</v>
      </c>
      <c r="AC36" s="57">
        <v>2.3333333330000001</v>
      </c>
      <c r="AD36" s="56"/>
      <c r="AE36" s="55">
        <v>3</v>
      </c>
    </row>
    <row r="37" spans="16:31" ht="15.6" x14ac:dyDescent="0.25">
      <c r="P37" s="53">
        <v>30</v>
      </c>
      <c r="Q37" s="53">
        <v>2301271</v>
      </c>
      <c r="R37" s="65" t="s">
        <v>32</v>
      </c>
      <c r="S37" s="53">
        <v>35</v>
      </c>
      <c r="T37" s="53">
        <v>27</v>
      </c>
      <c r="U37" s="55">
        <v>77.142857140000004</v>
      </c>
      <c r="V37" s="53" t="s">
        <v>85</v>
      </c>
      <c r="W37" s="58">
        <v>19</v>
      </c>
      <c r="X37" s="56">
        <v>10</v>
      </c>
      <c r="Y37" s="57">
        <v>14.5</v>
      </c>
      <c r="Z37" s="56">
        <v>9</v>
      </c>
      <c r="AA37" s="56">
        <v>8</v>
      </c>
      <c r="AB37" s="56">
        <v>8</v>
      </c>
      <c r="AC37" s="57">
        <v>8.3333333330000006</v>
      </c>
      <c r="AD37" s="56"/>
      <c r="AE37" s="55">
        <v>25</v>
      </c>
    </row>
    <row r="38" spans="16:31" ht="15.6" x14ac:dyDescent="0.25">
      <c r="P38" s="53">
        <v>31</v>
      </c>
      <c r="Q38" s="53">
        <v>2301272</v>
      </c>
      <c r="R38" s="65" t="s">
        <v>33</v>
      </c>
      <c r="S38" s="53">
        <v>35</v>
      </c>
      <c r="T38" s="53">
        <v>6</v>
      </c>
      <c r="U38" s="55">
        <v>17.14285714</v>
      </c>
      <c r="V38" s="53" t="s">
        <v>83</v>
      </c>
      <c r="W38" s="72">
        <v>0</v>
      </c>
      <c r="X38" s="56">
        <v>0</v>
      </c>
      <c r="Y38" s="57">
        <v>0</v>
      </c>
      <c r="Z38" s="56">
        <v>8</v>
      </c>
      <c r="AA38" s="56">
        <v>0</v>
      </c>
      <c r="AB38" s="56">
        <v>0</v>
      </c>
      <c r="AC38" s="57">
        <v>2.6666666669999999</v>
      </c>
      <c r="AD38" s="56"/>
      <c r="AE38" s="55">
        <v>3</v>
      </c>
    </row>
    <row r="39" spans="16:31" ht="15.6" x14ac:dyDescent="0.25">
      <c r="P39" s="53">
        <v>32</v>
      </c>
      <c r="Q39" s="53">
        <v>2301273</v>
      </c>
      <c r="R39" s="65" t="s">
        <v>34</v>
      </c>
      <c r="S39" s="53">
        <v>35</v>
      </c>
      <c r="T39" s="53">
        <v>24</v>
      </c>
      <c r="U39" s="55">
        <v>68.571428569999995</v>
      </c>
      <c r="V39" s="53" t="s">
        <v>83</v>
      </c>
      <c r="W39" s="72">
        <v>17</v>
      </c>
      <c r="X39" s="56">
        <v>17</v>
      </c>
      <c r="Y39" s="57">
        <v>17</v>
      </c>
      <c r="Z39" s="56">
        <v>0</v>
      </c>
      <c r="AA39" s="56">
        <v>8</v>
      </c>
      <c r="AB39" s="56">
        <v>8</v>
      </c>
      <c r="AC39" s="57">
        <v>5.3333333329999997</v>
      </c>
      <c r="AD39" s="56"/>
      <c r="AE39" s="55">
        <v>22</v>
      </c>
    </row>
    <row r="40" spans="16:31" ht="15.6" x14ac:dyDescent="0.25">
      <c r="P40" s="53">
        <v>33</v>
      </c>
      <c r="Q40" s="53">
        <v>2301274</v>
      </c>
      <c r="R40" s="65" t="s">
        <v>35</v>
      </c>
      <c r="S40" s="53">
        <v>35</v>
      </c>
      <c r="T40" s="53">
        <v>34</v>
      </c>
      <c r="U40" s="55">
        <v>97.142857140000004</v>
      </c>
      <c r="V40" s="53" t="s">
        <v>86</v>
      </c>
      <c r="W40" s="72">
        <v>21</v>
      </c>
      <c r="X40" s="56">
        <v>18</v>
      </c>
      <c r="Y40" s="57">
        <v>19.5</v>
      </c>
      <c r="Z40" s="56">
        <v>10</v>
      </c>
      <c r="AA40" s="56">
        <v>9</v>
      </c>
      <c r="AB40" s="56">
        <v>9</v>
      </c>
      <c r="AC40" s="57">
        <v>9.3333333330000006</v>
      </c>
      <c r="AD40" s="56"/>
      <c r="AE40" s="55">
        <v>35</v>
      </c>
    </row>
    <row r="41" spans="16:31" ht="15.6" x14ac:dyDescent="0.25">
      <c r="P41" s="53">
        <v>34</v>
      </c>
      <c r="Q41" s="53">
        <v>2301275</v>
      </c>
      <c r="R41" s="65" t="s">
        <v>36</v>
      </c>
      <c r="S41" s="53">
        <v>35</v>
      </c>
      <c r="T41" s="53">
        <v>34</v>
      </c>
      <c r="U41" s="55">
        <v>97.142857140000004</v>
      </c>
      <c r="V41" s="53" t="s">
        <v>86</v>
      </c>
      <c r="W41" s="72">
        <v>10</v>
      </c>
      <c r="X41" s="56">
        <v>7</v>
      </c>
      <c r="Y41" s="57">
        <v>8.5</v>
      </c>
      <c r="Z41" s="56">
        <v>8</v>
      </c>
      <c r="AA41" s="56">
        <v>8</v>
      </c>
      <c r="AB41" s="56">
        <v>0</v>
      </c>
      <c r="AC41" s="57">
        <v>5.3333333329999997</v>
      </c>
      <c r="AD41" s="56"/>
      <c r="AE41" s="55">
        <v>20</v>
      </c>
    </row>
    <row r="42" spans="16:31" ht="15.6" x14ac:dyDescent="0.25">
      <c r="P42" s="53">
        <v>35</v>
      </c>
      <c r="Q42" s="53">
        <v>2301277</v>
      </c>
      <c r="R42" s="65" t="s">
        <v>37</v>
      </c>
      <c r="S42" s="53">
        <v>35</v>
      </c>
      <c r="T42" s="53">
        <v>26</v>
      </c>
      <c r="U42" s="55">
        <v>74.285714290000001</v>
      </c>
      <c r="V42" s="53" t="s">
        <v>83</v>
      </c>
      <c r="W42" s="72">
        <v>8</v>
      </c>
      <c r="X42" s="56">
        <v>14</v>
      </c>
      <c r="Y42" s="57">
        <v>11</v>
      </c>
      <c r="Z42" s="56">
        <v>8</v>
      </c>
      <c r="AA42" s="56">
        <v>7</v>
      </c>
      <c r="AB42" s="56">
        <v>8</v>
      </c>
      <c r="AC42" s="57">
        <v>7.6666666670000003</v>
      </c>
      <c r="AD42" s="56"/>
      <c r="AE42" s="55">
        <v>19</v>
      </c>
    </row>
    <row r="43" spans="16:31" ht="15.6" x14ac:dyDescent="0.25">
      <c r="P43" s="53">
        <v>36</v>
      </c>
      <c r="Q43" s="53">
        <v>2301278</v>
      </c>
      <c r="R43" s="65" t="s">
        <v>38</v>
      </c>
      <c r="S43" s="53">
        <v>35</v>
      </c>
      <c r="T43" s="53">
        <v>8</v>
      </c>
      <c r="U43" s="55">
        <v>22.85714286</v>
      </c>
      <c r="V43" s="53" t="s">
        <v>83</v>
      </c>
      <c r="W43" s="72">
        <v>0</v>
      </c>
      <c r="X43" s="56">
        <v>0</v>
      </c>
      <c r="Y43" s="57">
        <v>0</v>
      </c>
      <c r="Z43" s="56">
        <v>9</v>
      </c>
      <c r="AA43" s="56">
        <v>0</v>
      </c>
      <c r="AB43" s="56">
        <v>0</v>
      </c>
      <c r="AC43" s="57">
        <v>3</v>
      </c>
      <c r="AD43" s="56"/>
      <c r="AE43" s="55">
        <v>3</v>
      </c>
    </row>
    <row r="44" spans="16:31" ht="15.6" x14ac:dyDescent="0.25">
      <c r="P44" s="53">
        <v>37</v>
      </c>
      <c r="Q44" s="53">
        <v>2301279</v>
      </c>
      <c r="R44" s="65" t="s">
        <v>39</v>
      </c>
      <c r="S44" s="53">
        <v>35</v>
      </c>
      <c r="T44" s="53">
        <v>33</v>
      </c>
      <c r="U44" s="55">
        <v>94.285714290000001</v>
      </c>
      <c r="V44" s="53" t="s">
        <v>89</v>
      </c>
      <c r="W44" s="72">
        <v>8</v>
      </c>
      <c r="X44" s="56">
        <v>6</v>
      </c>
      <c r="Y44" s="57">
        <v>7</v>
      </c>
      <c r="Z44" s="56">
        <v>7</v>
      </c>
      <c r="AA44" s="56">
        <v>8</v>
      </c>
      <c r="AB44" s="56">
        <v>8</v>
      </c>
      <c r="AC44" s="57">
        <v>7.6666666670000003</v>
      </c>
      <c r="AD44" s="56"/>
      <c r="AE44" s="55">
        <v>20</v>
      </c>
    </row>
    <row r="45" spans="16:31" ht="15.6" x14ac:dyDescent="0.25">
      <c r="P45" s="53">
        <v>38</v>
      </c>
      <c r="Q45" s="53">
        <v>2339508</v>
      </c>
      <c r="R45" s="65" t="s">
        <v>40</v>
      </c>
      <c r="S45" s="53">
        <v>35</v>
      </c>
      <c r="T45" s="53">
        <v>28</v>
      </c>
      <c r="U45" s="55">
        <v>80</v>
      </c>
      <c r="V45" s="53" t="s">
        <v>85</v>
      </c>
      <c r="W45" s="72">
        <v>9</v>
      </c>
      <c r="X45" s="56">
        <v>8</v>
      </c>
      <c r="Y45" s="57">
        <v>8.5</v>
      </c>
      <c r="Z45" s="56">
        <v>9</v>
      </c>
      <c r="AA45" s="56">
        <v>7</v>
      </c>
      <c r="AB45" s="56">
        <v>7</v>
      </c>
      <c r="AC45" s="57">
        <v>7.6666666670000003</v>
      </c>
      <c r="AD45" s="56"/>
      <c r="AE45" s="55">
        <v>18</v>
      </c>
    </row>
    <row r="46" spans="16:31" ht="15.6" x14ac:dyDescent="0.25">
      <c r="P46" s="53">
        <v>39</v>
      </c>
      <c r="Q46" s="53">
        <v>2301280</v>
      </c>
      <c r="R46" s="65" t="s">
        <v>41</v>
      </c>
      <c r="S46" s="53">
        <v>35</v>
      </c>
      <c r="T46" s="53">
        <v>21</v>
      </c>
      <c r="U46" s="55">
        <v>60</v>
      </c>
      <c r="V46" s="53" t="s">
        <v>83</v>
      </c>
      <c r="W46" s="72">
        <v>10</v>
      </c>
      <c r="X46" s="56">
        <v>7</v>
      </c>
      <c r="Y46" s="57">
        <v>8.5</v>
      </c>
      <c r="Z46" s="56">
        <v>9</v>
      </c>
      <c r="AA46" s="56">
        <v>7</v>
      </c>
      <c r="AB46" s="56">
        <v>7</v>
      </c>
      <c r="AC46" s="57">
        <v>7.6666666670000003</v>
      </c>
      <c r="AD46" s="56"/>
      <c r="AE46" s="55">
        <v>16</v>
      </c>
    </row>
    <row r="47" spans="16:31" ht="15.6" x14ac:dyDescent="0.25">
      <c r="P47" s="53">
        <v>40</v>
      </c>
      <c r="Q47" s="53">
        <v>2301281</v>
      </c>
      <c r="R47" s="65" t="s">
        <v>42</v>
      </c>
      <c r="S47" s="53">
        <v>35</v>
      </c>
      <c r="T47" s="53">
        <v>26</v>
      </c>
      <c r="U47" s="55">
        <v>74.285714290000001</v>
      </c>
      <c r="V47" s="53" t="s">
        <v>83</v>
      </c>
      <c r="W47" s="58">
        <v>11</v>
      </c>
      <c r="X47" s="56">
        <v>10</v>
      </c>
      <c r="Y47" s="57">
        <v>10.5</v>
      </c>
      <c r="Z47" s="56">
        <v>9</v>
      </c>
      <c r="AA47" s="56">
        <v>8</v>
      </c>
      <c r="AB47" s="56">
        <v>9</v>
      </c>
      <c r="AC47" s="57">
        <v>8.6666666669999994</v>
      </c>
      <c r="AD47" s="56"/>
      <c r="AE47" s="55">
        <v>19</v>
      </c>
    </row>
    <row r="48" spans="16:31" ht="15.6" x14ac:dyDescent="0.25">
      <c r="P48" s="53">
        <v>41</v>
      </c>
      <c r="Q48" s="53">
        <v>2339509</v>
      </c>
      <c r="R48" s="65" t="s">
        <v>43</v>
      </c>
      <c r="S48" s="53">
        <v>35</v>
      </c>
      <c r="T48" s="53">
        <v>0</v>
      </c>
      <c r="U48" s="55">
        <v>0</v>
      </c>
      <c r="V48" s="53" t="s">
        <v>83</v>
      </c>
      <c r="W48" s="72">
        <v>0</v>
      </c>
      <c r="X48" s="56">
        <v>0</v>
      </c>
      <c r="Y48" s="57">
        <v>0</v>
      </c>
      <c r="Z48" s="56">
        <v>0</v>
      </c>
      <c r="AA48" s="56">
        <v>0</v>
      </c>
      <c r="AB48" s="56">
        <v>0</v>
      </c>
      <c r="AC48" s="57">
        <v>0</v>
      </c>
      <c r="AD48" s="56"/>
      <c r="AE48" s="55">
        <v>0</v>
      </c>
    </row>
    <row r="49" spans="16:31" ht="15.6" x14ac:dyDescent="0.25">
      <c r="P49" s="53">
        <v>42</v>
      </c>
      <c r="Q49" s="53">
        <v>2301283</v>
      </c>
      <c r="R49" s="65" t="s">
        <v>44</v>
      </c>
      <c r="S49" s="53">
        <v>35</v>
      </c>
      <c r="T49" s="53">
        <v>27</v>
      </c>
      <c r="U49" s="55">
        <v>77.142857140000004</v>
      </c>
      <c r="V49" s="53" t="s">
        <v>85</v>
      </c>
      <c r="W49" s="72">
        <v>8</v>
      </c>
      <c r="X49" s="56">
        <v>5</v>
      </c>
      <c r="Y49" s="57">
        <v>6.5</v>
      </c>
      <c r="Z49" s="56">
        <v>9</v>
      </c>
      <c r="AA49" s="56">
        <v>8</v>
      </c>
      <c r="AB49" s="56">
        <v>8</v>
      </c>
      <c r="AC49" s="57">
        <v>8.3333333330000006</v>
      </c>
      <c r="AD49" s="56"/>
      <c r="AE49" s="55">
        <v>17</v>
      </c>
    </row>
    <row r="50" spans="16:31" ht="15.6" x14ac:dyDescent="0.25">
      <c r="P50" s="53">
        <v>43</v>
      </c>
      <c r="Q50" s="53">
        <v>2301285</v>
      </c>
      <c r="R50" s="65" t="s">
        <v>45</v>
      </c>
      <c r="S50" s="53">
        <v>35</v>
      </c>
      <c r="T50" s="53">
        <v>22</v>
      </c>
      <c r="U50" s="55">
        <v>62.857142860000003</v>
      </c>
      <c r="V50" s="53" t="s">
        <v>83</v>
      </c>
      <c r="W50" s="72">
        <v>7</v>
      </c>
      <c r="X50" s="56">
        <v>10</v>
      </c>
      <c r="Y50" s="57">
        <v>8.5</v>
      </c>
      <c r="Z50" s="56">
        <v>8</v>
      </c>
      <c r="AA50" s="56">
        <v>7</v>
      </c>
      <c r="AB50" s="56">
        <v>8</v>
      </c>
      <c r="AC50" s="57">
        <v>7.6666666670000003</v>
      </c>
      <c r="AD50" s="56"/>
      <c r="AE50" s="55">
        <v>16</v>
      </c>
    </row>
    <row r="51" spans="16:31" ht="15.6" x14ac:dyDescent="0.25">
      <c r="P51" s="53">
        <v>44</v>
      </c>
      <c r="Q51" s="53">
        <v>2301286</v>
      </c>
      <c r="R51" s="65" t="s">
        <v>46</v>
      </c>
      <c r="S51" s="53">
        <v>35</v>
      </c>
      <c r="T51" s="53">
        <v>7</v>
      </c>
      <c r="U51" s="55">
        <v>20</v>
      </c>
      <c r="V51" s="53" t="s">
        <v>83</v>
      </c>
      <c r="W51" s="72">
        <v>0</v>
      </c>
      <c r="X51" s="56">
        <v>0</v>
      </c>
      <c r="Y51" s="57">
        <v>0</v>
      </c>
      <c r="Z51" s="56">
        <v>0</v>
      </c>
      <c r="AA51" s="56">
        <v>0</v>
      </c>
      <c r="AB51" s="56">
        <v>0</v>
      </c>
      <c r="AC51" s="57">
        <v>0</v>
      </c>
      <c r="AD51" s="56"/>
      <c r="AE51" s="55">
        <v>0</v>
      </c>
    </row>
    <row r="52" spans="16:31" ht="15.6" x14ac:dyDescent="0.25">
      <c r="P52" s="53">
        <v>45</v>
      </c>
      <c r="Q52" s="53">
        <v>2425599</v>
      </c>
      <c r="R52" s="65" t="s">
        <v>47</v>
      </c>
      <c r="S52" s="53">
        <v>35</v>
      </c>
      <c r="T52" s="53">
        <v>32</v>
      </c>
      <c r="U52" s="55">
        <v>91.428571430000005</v>
      </c>
      <c r="V52" s="53" t="s">
        <v>89</v>
      </c>
      <c r="W52" s="72">
        <v>11</v>
      </c>
      <c r="X52" s="56">
        <v>16</v>
      </c>
      <c r="Y52" s="57">
        <v>13.5</v>
      </c>
      <c r="Z52" s="56">
        <v>8</v>
      </c>
      <c r="AA52" s="56">
        <v>8</v>
      </c>
      <c r="AB52" s="56">
        <v>9</v>
      </c>
      <c r="AC52" s="57">
        <v>8.3333333330000006</v>
      </c>
      <c r="AD52" s="56"/>
      <c r="AE52" s="55">
        <v>27</v>
      </c>
    </row>
    <row r="53" spans="16:31" ht="15.6" x14ac:dyDescent="0.25">
      <c r="P53" s="53">
        <v>46</v>
      </c>
      <c r="Q53" s="53">
        <v>2425600</v>
      </c>
      <c r="R53" s="65" t="s">
        <v>48</v>
      </c>
      <c r="S53" s="53">
        <v>35</v>
      </c>
      <c r="T53" s="53">
        <v>33</v>
      </c>
      <c r="U53" s="55">
        <v>94.285714290000001</v>
      </c>
      <c r="V53" s="53" t="s">
        <v>89</v>
      </c>
      <c r="W53" s="72">
        <v>16</v>
      </c>
      <c r="X53" s="56">
        <v>16</v>
      </c>
      <c r="Y53" s="57">
        <v>16</v>
      </c>
      <c r="Z53" s="56">
        <v>9</v>
      </c>
      <c r="AA53" s="56">
        <v>9</v>
      </c>
      <c r="AB53" s="56">
        <v>9</v>
      </c>
      <c r="AC53" s="57">
        <v>9</v>
      </c>
      <c r="AD53" s="56"/>
      <c r="AE53" s="55">
        <v>30</v>
      </c>
    </row>
    <row r="54" spans="16:31" ht="15.6" x14ac:dyDescent="0.25">
      <c r="P54" s="53">
        <v>47</v>
      </c>
      <c r="Q54" s="53">
        <v>2425601</v>
      </c>
      <c r="R54" s="65" t="s">
        <v>49</v>
      </c>
      <c r="S54" s="53">
        <v>35</v>
      </c>
      <c r="T54" s="53">
        <v>33</v>
      </c>
      <c r="U54" s="55">
        <v>94.285714290000001</v>
      </c>
      <c r="V54" s="53" t="s">
        <v>89</v>
      </c>
      <c r="W54" s="72">
        <v>16</v>
      </c>
      <c r="X54" s="56">
        <v>14</v>
      </c>
      <c r="Y54" s="57">
        <v>15</v>
      </c>
      <c r="Z54" s="56">
        <v>10</v>
      </c>
      <c r="AA54" s="56">
        <v>9</v>
      </c>
      <c r="AB54" s="56">
        <v>9</v>
      </c>
      <c r="AC54" s="57">
        <v>9.3333333330000006</v>
      </c>
      <c r="AD54" s="56"/>
      <c r="AE54" s="55">
        <v>29</v>
      </c>
    </row>
    <row r="55" spans="16:31" ht="15.6" x14ac:dyDescent="0.25">
      <c r="P55" s="53">
        <v>48</v>
      </c>
      <c r="Q55" s="53">
        <v>2425603</v>
      </c>
      <c r="R55" s="65" t="s">
        <v>50</v>
      </c>
      <c r="S55" s="53">
        <v>35</v>
      </c>
      <c r="T55" s="53">
        <v>33</v>
      </c>
      <c r="U55" s="55">
        <v>94.285714290000001</v>
      </c>
      <c r="V55" s="53" t="s">
        <v>89</v>
      </c>
      <c r="W55" s="72">
        <v>18</v>
      </c>
      <c r="X55" s="56">
        <v>15</v>
      </c>
      <c r="Y55" s="57">
        <v>16.5</v>
      </c>
      <c r="Z55" s="56">
        <v>10</v>
      </c>
      <c r="AA55" s="56">
        <v>9</v>
      </c>
      <c r="AB55" s="56">
        <v>9</v>
      </c>
      <c r="AC55" s="57">
        <v>9.3333333330000006</v>
      </c>
      <c r="AD55" s="56"/>
      <c r="AE55" s="55">
        <v>31</v>
      </c>
    </row>
    <row r="56" spans="16:31" ht="15.6" x14ac:dyDescent="0.25">
      <c r="P56" s="53">
        <v>49</v>
      </c>
      <c r="Q56" s="53">
        <v>2425604</v>
      </c>
      <c r="R56" s="65" t="s">
        <v>51</v>
      </c>
      <c r="S56" s="53">
        <v>35</v>
      </c>
      <c r="T56" s="53">
        <v>24</v>
      </c>
      <c r="U56" s="55">
        <v>68.571428569999995</v>
      </c>
      <c r="V56" s="53" t="s">
        <v>83</v>
      </c>
      <c r="W56" s="73">
        <v>16</v>
      </c>
      <c r="X56" s="56">
        <v>7</v>
      </c>
      <c r="Y56" s="57">
        <v>11.5</v>
      </c>
      <c r="Z56" s="56">
        <v>6</v>
      </c>
      <c r="AA56" s="56">
        <v>8</v>
      </c>
      <c r="AB56" s="56">
        <v>7</v>
      </c>
      <c r="AC56" s="57">
        <v>7</v>
      </c>
      <c r="AD56" s="56"/>
      <c r="AE56" s="55">
        <v>19</v>
      </c>
    </row>
    <row r="57" spans="16:31" ht="15.6" x14ac:dyDescent="0.25">
      <c r="P57" s="56">
        <v>50</v>
      </c>
      <c r="Q57" s="56">
        <v>2301235</v>
      </c>
      <c r="R57" s="66" t="s">
        <v>98</v>
      </c>
      <c r="S57" s="53">
        <v>35</v>
      </c>
      <c r="T57" s="53">
        <v>32</v>
      </c>
      <c r="U57" s="55">
        <v>91.428571430000005</v>
      </c>
      <c r="V57" s="53" t="s">
        <v>89</v>
      </c>
      <c r="W57" s="73">
        <v>0</v>
      </c>
      <c r="X57" s="56">
        <v>0</v>
      </c>
      <c r="Y57" s="57">
        <v>0</v>
      </c>
      <c r="Z57" s="59">
        <v>6</v>
      </c>
      <c r="AA57" s="59">
        <v>0</v>
      </c>
      <c r="AB57" s="59">
        <v>0</v>
      </c>
      <c r="AC57" s="57">
        <v>2</v>
      </c>
      <c r="AD57" s="59"/>
      <c r="AE57" s="55">
        <v>7</v>
      </c>
    </row>
    <row r="58" spans="16:31" x14ac:dyDescent="0.25">
      <c r="P58" s="74"/>
      <c r="Q58" s="74"/>
      <c r="R58" s="67"/>
      <c r="S58" s="74"/>
      <c r="T58" s="74"/>
      <c r="U58" s="74"/>
      <c r="V58" s="74"/>
      <c r="W58" s="75"/>
      <c r="X58" s="74"/>
      <c r="Y58" s="74"/>
      <c r="Z58" s="60"/>
      <c r="AA58" s="60"/>
      <c r="AB58" s="60"/>
      <c r="AC58" s="74"/>
      <c r="AD58" s="59" t="s">
        <v>92</v>
      </c>
      <c r="AE58" s="61">
        <v>18.52</v>
      </c>
    </row>
    <row r="59" spans="16:31" x14ac:dyDescent="0.25">
      <c r="P59" s="74"/>
      <c r="Q59" s="74"/>
      <c r="R59" s="67"/>
      <c r="S59" s="74"/>
      <c r="T59" s="74"/>
      <c r="U59" s="74"/>
      <c r="V59" s="74"/>
      <c r="W59" s="75"/>
      <c r="X59" s="74"/>
      <c r="Y59" s="74"/>
      <c r="Z59" s="60"/>
      <c r="AA59" s="60"/>
      <c r="AB59" s="60"/>
      <c r="AC59" s="74"/>
      <c r="AD59" s="59" t="s">
        <v>93</v>
      </c>
      <c r="AE59" s="61">
        <v>35</v>
      </c>
    </row>
    <row r="60" spans="16:31" x14ac:dyDescent="0.25">
      <c r="P60" s="74"/>
      <c r="Q60" s="74"/>
      <c r="R60" s="67"/>
      <c r="S60" s="74"/>
      <c r="T60" s="74"/>
      <c r="U60" s="74"/>
      <c r="V60" s="74"/>
      <c r="W60" s="75"/>
      <c r="X60" s="74"/>
      <c r="Y60" s="74"/>
      <c r="Z60" s="60"/>
      <c r="AA60" s="60"/>
      <c r="AB60" s="60"/>
      <c r="AC60" s="74"/>
      <c r="AD60" s="59" t="s">
        <v>94</v>
      </c>
      <c r="AE60" s="61">
        <v>70</v>
      </c>
    </row>
  </sheetData>
  <mergeCells count="21">
    <mergeCell ref="P1:AE1"/>
    <mergeCell ref="P2:AE2"/>
    <mergeCell ref="P3:AE3"/>
    <mergeCell ref="P4:X4"/>
    <mergeCell ref="Y4:AE4"/>
    <mergeCell ref="P5:X5"/>
    <mergeCell ref="Y5:AE5"/>
    <mergeCell ref="W6:W7"/>
    <mergeCell ref="X6:X7"/>
    <mergeCell ref="Y6:Y7"/>
    <mergeCell ref="Z6:AB6"/>
    <mergeCell ref="AC6:AC7"/>
    <mergeCell ref="AD6:AD7"/>
    <mergeCell ref="AE6:AE7"/>
    <mergeCell ref="P6:P7"/>
    <mergeCell ref="Q6:Q7"/>
    <mergeCell ref="R6:R7"/>
    <mergeCell ref="S6:S7"/>
    <mergeCell ref="T6:T7"/>
    <mergeCell ref="U6:U7"/>
    <mergeCell ref="V6:V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0A10-0898-4104-A3CC-AA1567213A5A}">
  <dimension ref="A1:P57"/>
  <sheetViews>
    <sheetView workbookViewId="0">
      <selection activeCell="G8" sqref="G8"/>
    </sheetView>
  </sheetViews>
  <sheetFormatPr defaultRowHeight="13.2" x14ac:dyDescent="0.25"/>
  <cols>
    <col min="1" max="1" width="3.21875" bestFit="1" customWidth="1"/>
    <col min="2" max="2" width="8.77734375" bestFit="1" customWidth="1"/>
    <col min="3" max="3" width="23.33203125" style="68" bestFit="1" customWidth="1"/>
    <col min="4" max="4" width="8.33203125" bestFit="1" customWidth="1"/>
    <col min="5" max="5" width="8.21875" bestFit="1" customWidth="1"/>
    <col min="6" max="6" width="6.33203125" bestFit="1" customWidth="1"/>
    <col min="7" max="7" width="7.109375" bestFit="1" customWidth="1"/>
    <col min="8" max="8" width="7" bestFit="1" customWidth="1"/>
    <col min="9" max="9" width="7.77734375" bestFit="1" customWidth="1"/>
    <col min="10" max="10" width="8.6640625" bestFit="1" customWidth="1"/>
    <col min="11" max="13" width="2.109375" bestFit="1" customWidth="1"/>
    <col min="15" max="15" width="6.88671875" bestFit="1" customWidth="1"/>
    <col min="16" max="16" width="7" bestFit="1" customWidth="1"/>
  </cols>
  <sheetData>
    <row r="1" spans="1:16" ht="20.399999999999999" x14ac:dyDescent="0.25">
      <c r="A1" s="44" t="s">
        <v>53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70"/>
    </row>
    <row r="2" spans="1:16" ht="18.600000000000001" x14ac:dyDescent="0.25">
      <c r="A2" s="45" t="s">
        <v>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70"/>
    </row>
    <row r="3" spans="1:16" ht="17.399999999999999" x14ac:dyDescent="0.25">
      <c r="A3" s="46" t="s">
        <v>55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70"/>
    </row>
    <row r="4" spans="1:16" x14ac:dyDescent="0.25">
      <c r="A4" s="47" t="s">
        <v>56</v>
      </c>
      <c r="B4" s="69"/>
      <c r="C4" s="69"/>
      <c r="D4" s="69"/>
      <c r="E4" s="69"/>
      <c r="F4" s="69"/>
      <c r="G4" s="69"/>
      <c r="H4" s="69"/>
      <c r="I4" s="70"/>
      <c r="J4" s="47" t="s">
        <v>57</v>
      </c>
      <c r="K4" s="69"/>
      <c r="L4" s="69"/>
      <c r="M4" s="69"/>
      <c r="N4" s="69"/>
      <c r="O4" s="69"/>
      <c r="P4" s="70"/>
    </row>
    <row r="5" spans="1:16" x14ac:dyDescent="0.25">
      <c r="A5" s="47" t="s">
        <v>58</v>
      </c>
      <c r="B5" s="69"/>
      <c r="C5" s="69"/>
      <c r="D5" s="69"/>
      <c r="E5" s="69"/>
      <c r="F5" s="69"/>
      <c r="G5" s="69"/>
      <c r="H5" s="69"/>
      <c r="I5" s="70"/>
      <c r="J5" s="47" t="s">
        <v>59</v>
      </c>
      <c r="K5" s="69"/>
      <c r="L5" s="69"/>
      <c r="M5" s="69"/>
      <c r="N5" s="69"/>
      <c r="O5" s="69"/>
      <c r="P5" s="70"/>
    </row>
    <row r="6" spans="1:16" x14ac:dyDescent="0.25">
      <c r="A6" s="48" t="s">
        <v>60</v>
      </c>
      <c r="B6" s="48" t="s">
        <v>1</v>
      </c>
      <c r="C6" s="63" t="s">
        <v>2</v>
      </c>
      <c r="D6" s="48" t="s">
        <v>61</v>
      </c>
      <c r="E6" s="48" t="s">
        <v>62</v>
      </c>
      <c r="F6" s="48" t="s">
        <v>63</v>
      </c>
      <c r="G6" s="48" t="s">
        <v>64</v>
      </c>
      <c r="H6" s="48" t="s">
        <v>65</v>
      </c>
      <c r="I6" s="48" t="s">
        <v>66</v>
      </c>
      <c r="J6" s="48" t="s">
        <v>67</v>
      </c>
      <c r="K6" s="47" t="s">
        <v>68</v>
      </c>
      <c r="L6" s="69"/>
      <c r="M6" s="70"/>
      <c r="N6" s="50" t="s">
        <v>69</v>
      </c>
      <c r="O6" s="48" t="s">
        <v>70</v>
      </c>
      <c r="P6" s="48" t="s">
        <v>71</v>
      </c>
    </row>
    <row r="7" spans="1:16" ht="15.6" x14ac:dyDescent="0.25">
      <c r="A7" s="71"/>
      <c r="B7" s="71"/>
      <c r="C7" s="64"/>
      <c r="D7" s="71"/>
      <c r="E7" s="71"/>
      <c r="F7" s="71"/>
      <c r="G7" s="71"/>
      <c r="H7" s="71"/>
      <c r="I7" s="71"/>
      <c r="J7" s="71"/>
      <c r="K7" s="52">
        <v>1</v>
      </c>
      <c r="L7" s="52">
        <v>2</v>
      </c>
      <c r="M7" s="52">
        <v>3</v>
      </c>
      <c r="N7" s="71"/>
      <c r="O7" s="71"/>
      <c r="P7" s="71"/>
    </row>
    <row r="8" spans="1:16" ht="15.6" x14ac:dyDescent="0.25">
      <c r="A8" s="53">
        <v>1</v>
      </c>
      <c r="B8" s="53">
        <v>2301236</v>
      </c>
      <c r="C8" s="65" t="s">
        <v>3</v>
      </c>
      <c r="D8" s="53">
        <v>35</v>
      </c>
      <c r="E8" s="53">
        <f>[3]Attendance!BE7</f>
        <v>15</v>
      </c>
      <c r="F8" s="55">
        <f t="shared" ref="F8:F57" si="0">(E8/D8)*100</f>
        <v>42.857142857142854</v>
      </c>
      <c r="G8" s="53" t="str">
        <f t="shared" ref="G8:G57" si="1">IF(F8&gt;=95.5,"6",IF(F8&gt;=90.5,"5", IF(F8&gt;=85.5,"4",IF(F8&gt;=80.5,"3",IF(F8&gt;=75.5,"2","0")))))</f>
        <v>0</v>
      </c>
      <c r="H8" s="53">
        <v>0</v>
      </c>
      <c r="I8" s="53">
        <v>0</v>
      </c>
      <c r="J8" s="57">
        <f t="shared" ref="J8:J57" si="2">(H8+I8)/2</f>
        <v>0</v>
      </c>
      <c r="K8" s="53">
        <v>0</v>
      </c>
      <c r="L8" s="53">
        <v>0</v>
      </c>
      <c r="M8" s="53">
        <v>0</v>
      </c>
      <c r="N8" s="57">
        <f t="shared" ref="N8:N57" si="3">(K8+L8+M8)/3</f>
        <v>0</v>
      </c>
      <c r="O8" s="53"/>
      <c r="P8" s="55">
        <f t="shared" ref="P8:P57" si="4">G8+J8+N8+O8</f>
        <v>0</v>
      </c>
    </row>
    <row r="9" spans="1:16" ht="15.6" x14ac:dyDescent="0.25">
      <c r="A9" s="53">
        <v>2</v>
      </c>
      <c r="B9" s="53">
        <v>2301237</v>
      </c>
      <c r="C9" s="65" t="s">
        <v>4</v>
      </c>
      <c r="D9" s="53">
        <v>35</v>
      </c>
      <c r="E9" s="53">
        <f>[3]Attendance!BE8</f>
        <v>34</v>
      </c>
      <c r="F9" s="55">
        <f t="shared" si="0"/>
        <v>97.142857142857139</v>
      </c>
      <c r="G9" s="53" t="str">
        <f t="shared" si="1"/>
        <v>6</v>
      </c>
      <c r="H9" s="56">
        <v>20.5</v>
      </c>
      <c r="I9" s="56">
        <v>20</v>
      </c>
      <c r="J9" s="57">
        <f t="shared" si="2"/>
        <v>20.25</v>
      </c>
      <c r="K9" s="56">
        <v>9</v>
      </c>
      <c r="L9" s="56">
        <v>8</v>
      </c>
      <c r="M9" s="56">
        <v>9</v>
      </c>
      <c r="N9" s="57">
        <f t="shared" si="3"/>
        <v>8.6666666666666661</v>
      </c>
      <c r="O9" s="56"/>
      <c r="P9" s="55">
        <f t="shared" si="4"/>
        <v>34.916666666666664</v>
      </c>
    </row>
    <row r="10" spans="1:16" ht="15.6" x14ac:dyDescent="0.25">
      <c r="A10" s="53">
        <v>3</v>
      </c>
      <c r="B10" s="53">
        <v>2301238</v>
      </c>
      <c r="C10" s="65" t="s">
        <v>5</v>
      </c>
      <c r="D10" s="53">
        <v>35</v>
      </c>
      <c r="E10" s="53">
        <f>[3]Attendance!BE9</f>
        <v>33</v>
      </c>
      <c r="F10" s="55">
        <f t="shared" si="0"/>
        <v>94.285714285714278</v>
      </c>
      <c r="G10" s="53" t="str">
        <f t="shared" si="1"/>
        <v>5</v>
      </c>
      <c r="H10" s="56">
        <v>10</v>
      </c>
      <c r="I10" s="56">
        <v>12</v>
      </c>
      <c r="J10" s="57">
        <f t="shared" si="2"/>
        <v>11</v>
      </c>
      <c r="K10" s="56">
        <v>7</v>
      </c>
      <c r="L10" s="56">
        <v>9</v>
      </c>
      <c r="M10" s="56">
        <v>8</v>
      </c>
      <c r="N10" s="57">
        <f t="shared" si="3"/>
        <v>8</v>
      </c>
      <c r="O10" s="56"/>
      <c r="P10" s="55">
        <f t="shared" si="4"/>
        <v>24</v>
      </c>
    </row>
    <row r="11" spans="1:16" ht="15.6" x14ac:dyDescent="0.25">
      <c r="A11" s="53">
        <v>4</v>
      </c>
      <c r="B11" s="53">
        <v>2301240</v>
      </c>
      <c r="C11" s="65" t="s">
        <v>6</v>
      </c>
      <c r="D11" s="53">
        <v>35</v>
      </c>
      <c r="E11" s="53">
        <f>[3]Attendance!BE10</f>
        <v>29</v>
      </c>
      <c r="F11" s="55">
        <f t="shared" si="0"/>
        <v>82.857142857142861</v>
      </c>
      <c r="G11" s="53" t="str">
        <f t="shared" si="1"/>
        <v>3</v>
      </c>
      <c r="H11" s="56">
        <v>12</v>
      </c>
      <c r="I11" s="56">
        <v>14</v>
      </c>
      <c r="J11" s="57">
        <f t="shared" si="2"/>
        <v>13</v>
      </c>
      <c r="K11" s="56">
        <v>7</v>
      </c>
      <c r="L11" s="56">
        <v>9</v>
      </c>
      <c r="M11" s="56">
        <v>8</v>
      </c>
      <c r="N11" s="57">
        <f t="shared" si="3"/>
        <v>8</v>
      </c>
      <c r="O11" s="56"/>
      <c r="P11" s="55">
        <f t="shared" si="4"/>
        <v>24</v>
      </c>
    </row>
    <row r="12" spans="1:16" ht="15.6" x14ac:dyDescent="0.25">
      <c r="A12" s="53">
        <v>5</v>
      </c>
      <c r="B12" s="53">
        <v>2301241</v>
      </c>
      <c r="C12" s="65" t="s">
        <v>7</v>
      </c>
      <c r="D12" s="53">
        <v>35</v>
      </c>
      <c r="E12" s="53">
        <f>[3]Attendance!BE11</f>
        <v>28</v>
      </c>
      <c r="F12" s="55">
        <f t="shared" si="0"/>
        <v>80</v>
      </c>
      <c r="G12" s="53" t="str">
        <f t="shared" si="1"/>
        <v>2</v>
      </c>
      <c r="H12" s="56">
        <v>14</v>
      </c>
      <c r="I12" s="56">
        <v>14</v>
      </c>
      <c r="J12" s="57">
        <f t="shared" si="2"/>
        <v>14</v>
      </c>
      <c r="K12" s="56">
        <v>8</v>
      </c>
      <c r="L12" s="56">
        <v>9</v>
      </c>
      <c r="M12" s="56">
        <v>9</v>
      </c>
      <c r="N12" s="57">
        <f t="shared" si="3"/>
        <v>8.6666666666666661</v>
      </c>
      <c r="O12" s="56"/>
      <c r="P12" s="55">
        <f t="shared" si="4"/>
        <v>24.666666666666664</v>
      </c>
    </row>
    <row r="13" spans="1:16" ht="15.6" x14ac:dyDescent="0.25">
      <c r="A13" s="53">
        <v>6</v>
      </c>
      <c r="B13" s="53">
        <v>2301242</v>
      </c>
      <c r="C13" s="65" t="s">
        <v>8</v>
      </c>
      <c r="D13" s="53">
        <v>35</v>
      </c>
      <c r="E13" s="53">
        <f>[3]Attendance!BE12</f>
        <v>27</v>
      </c>
      <c r="F13" s="55">
        <f t="shared" si="0"/>
        <v>77.142857142857153</v>
      </c>
      <c r="G13" s="53" t="str">
        <f t="shared" si="1"/>
        <v>2</v>
      </c>
      <c r="H13" s="56">
        <v>17.5</v>
      </c>
      <c r="I13" s="56">
        <v>19</v>
      </c>
      <c r="J13" s="57">
        <f t="shared" si="2"/>
        <v>18.25</v>
      </c>
      <c r="K13" s="56">
        <v>8</v>
      </c>
      <c r="L13" s="56">
        <v>9</v>
      </c>
      <c r="M13" s="56">
        <v>9</v>
      </c>
      <c r="N13" s="57">
        <f t="shared" si="3"/>
        <v>8.6666666666666661</v>
      </c>
      <c r="O13" s="56"/>
      <c r="P13" s="55">
        <f t="shared" si="4"/>
        <v>28.916666666666664</v>
      </c>
    </row>
    <row r="14" spans="1:16" ht="15.6" x14ac:dyDescent="0.25">
      <c r="A14" s="53">
        <v>7</v>
      </c>
      <c r="B14" s="53">
        <v>2301243</v>
      </c>
      <c r="C14" s="65" t="s">
        <v>9</v>
      </c>
      <c r="D14" s="53">
        <v>35</v>
      </c>
      <c r="E14" s="53">
        <f>[3]Attendance!BE13</f>
        <v>25</v>
      </c>
      <c r="F14" s="55">
        <f t="shared" si="0"/>
        <v>71.428571428571431</v>
      </c>
      <c r="G14" s="53" t="str">
        <f t="shared" si="1"/>
        <v>0</v>
      </c>
      <c r="H14" s="56">
        <v>8</v>
      </c>
      <c r="I14" s="56">
        <v>12</v>
      </c>
      <c r="J14" s="57">
        <f t="shared" si="2"/>
        <v>10</v>
      </c>
      <c r="K14" s="56">
        <v>8</v>
      </c>
      <c r="L14" s="56">
        <v>9</v>
      </c>
      <c r="M14" s="56">
        <v>8</v>
      </c>
      <c r="N14" s="57">
        <f t="shared" si="3"/>
        <v>8.3333333333333339</v>
      </c>
      <c r="O14" s="56"/>
      <c r="P14" s="55">
        <f t="shared" si="4"/>
        <v>18.333333333333336</v>
      </c>
    </row>
    <row r="15" spans="1:16" ht="15.6" x14ac:dyDescent="0.25">
      <c r="A15" s="53">
        <v>8</v>
      </c>
      <c r="B15" s="53">
        <v>2301245</v>
      </c>
      <c r="C15" s="65" t="s">
        <v>10</v>
      </c>
      <c r="D15" s="53">
        <v>35</v>
      </c>
      <c r="E15" s="53">
        <f>[3]Attendance!BE14</f>
        <v>30</v>
      </c>
      <c r="F15" s="55">
        <f t="shared" si="0"/>
        <v>85.714285714285708</v>
      </c>
      <c r="G15" s="53" t="str">
        <f t="shared" si="1"/>
        <v>4</v>
      </c>
      <c r="H15" s="56">
        <v>20</v>
      </c>
      <c r="I15" s="56">
        <v>21</v>
      </c>
      <c r="J15" s="57">
        <f t="shared" si="2"/>
        <v>20.5</v>
      </c>
      <c r="K15" s="56">
        <v>8</v>
      </c>
      <c r="L15" s="56">
        <v>9</v>
      </c>
      <c r="M15" s="56">
        <v>9</v>
      </c>
      <c r="N15" s="57">
        <f t="shared" si="3"/>
        <v>8.6666666666666661</v>
      </c>
      <c r="O15" s="56"/>
      <c r="P15" s="55">
        <f t="shared" si="4"/>
        <v>33.166666666666664</v>
      </c>
    </row>
    <row r="16" spans="1:16" ht="15.6" x14ac:dyDescent="0.25">
      <c r="A16" s="53">
        <v>9</v>
      </c>
      <c r="B16" s="53">
        <v>2301247</v>
      </c>
      <c r="C16" s="65" t="s">
        <v>11</v>
      </c>
      <c r="D16" s="53">
        <v>35</v>
      </c>
      <c r="E16" s="53">
        <f>[3]Attendance!BE15</f>
        <v>19</v>
      </c>
      <c r="F16" s="55">
        <f t="shared" si="0"/>
        <v>54.285714285714285</v>
      </c>
      <c r="G16" s="53" t="str">
        <f t="shared" si="1"/>
        <v>0</v>
      </c>
      <c r="H16" s="56">
        <v>12</v>
      </c>
      <c r="I16" s="56">
        <v>20</v>
      </c>
      <c r="J16" s="57">
        <f t="shared" si="2"/>
        <v>16</v>
      </c>
      <c r="K16" s="56">
        <v>7</v>
      </c>
      <c r="L16" s="56">
        <v>8</v>
      </c>
      <c r="M16" s="53">
        <v>0</v>
      </c>
      <c r="N16" s="57">
        <f t="shared" si="3"/>
        <v>5</v>
      </c>
      <c r="O16" s="56"/>
      <c r="P16" s="55">
        <f t="shared" si="4"/>
        <v>21</v>
      </c>
    </row>
    <row r="17" spans="1:16" ht="15.6" x14ac:dyDescent="0.25">
      <c r="A17" s="53">
        <v>10</v>
      </c>
      <c r="B17" s="53">
        <v>2301249</v>
      </c>
      <c r="C17" s="65" t="s">
        <v>12</v>
      </c>
      <c r="D17" s="53">
        <v>35</v>
      </c>
      <c r="E17" s="53">
        <f>[3]Attendance!BE16</f>
        <v>25</v>
      </c>
      <c r="F17" s="55">
        <f t="shared" si="0"/>
        <v>71.428571428571431</v>
      </c>
      <c r="G17" s="53" t="str">
        <f t="shared" si="1"/>
        <v>0</v>
      </c>
      <c r="H17" s="56">
        <v>8</v>
      </c>
      <c r="I17" s="56">
        <v>9</v>
      </c>
      <c r="J17" s="57">
        <f t="shared" si="2"/>
        <v>8.5</v>
      </c>
      <c r="K17" s="53">
        <v>9</v>
      </c>
      <c r="L17" s="53">
        <v>8</v>
      </c>
      <c r="M17" s="53">
        <v>0</v>
      </c>
      <c r="N17" s="57">
        <f t="shared" si="3"/>
        <v>5.666666666666667</v>
      </c>
      <c r="O17" s="56"/>
      <c r="P17" s="55">
        <f t="shared" si="4"/>
        <v>14.166666666666668</v>
      </c>
    </row>
    <row r="18" spans="1:16" ht="15.6" x14ac:dyDescent="0.25">
      <c r="A18" s="53">
        <v>11</v>
      </c>
      <c r="B18" s="53">
        <v>2301250</v>
      </c>
      <c r="C18" s="65" t="s">
        <v>13</v>
      </c>
      <c r="D18" s="53">
        <v>35</v>
      </c>
      <c r="E18" s="53">
        <f>[3]Attendance!BE17</f>
        <v>30</v>
      </c>
      <c r="F18" s="55">
        <f t="shared" si="0"/>
        <v>85.714285714285708</v>
      </c>
      <c r="G18" s="53" t="str">
        <f t="shared" si="1"/>
        <v>4</v>
      </c>
      <c r="H18" s="56">
        <v>14</v>
      </c>
      <c r="I18" s="56">
        <v>12</v>
      </c>
      <c r="J18" s="57">
        <f t="shared" si="2"/>
        <v>13</v>
      </c>
      <c r="K18" s="56">
        <v>8</v>
      </c>
      <c r="L18" s="56">
        <v>8</v>
      </c>
      <c r="M18" s="56">
        <v>9</v>
      </c>
      <c r="N18" s="57">
        <f t="shared" si="3"/>
        <v>8.3333333333333339</v>
      </c>
      <c r="O18" s="56"/>
      <c r="P18" s="55">
        <f t="shared" si="4"/>
        <v>25.333333333333336</v>
      </c>
    </row>
    <row r="19" spans="1:16" ht="15.6" x14ac:dyDescent="0.25">
      <c r="A19" s="53">
        <v>12</v>
      </c>
      <c r="B19" s="53">
        <v>2301251</v>
      </c>
      <c r="C19" s="65" t="s">
        <v>14</v>
      </c>
      <c r="D19" s="53">
        <v>35</v>
      </c>
      <c r="E19" s="53">
        <f>[3]Attendance!BE18</f>
        <v>25</v>
      </c>
      <c r="F19" s="55">
        <f t="shared" si="0"/>
        <v>71.428571428571431</v>
      </c>
      <c r="G19" s="53" t="str">
        <f t="shared" si="1"/>
        <v>0</v>
      </c>
      <c r="H19" s="56">
        <v>7</v>
      </c>
      <c r="I19" s="56">
        <v>7</v>
      </c>
      <c r="J19" s="57">
        <f t="shared" si="2"/>
        <v>7</v>
      </c>
      <c r="K19" s="56">
        <v>7</v>
      </c>
      <c r="L19" s="56">
        <v>8</v>
      </c>
      <c r="M19" s="56">
        <v>8</v>
      </c>
      <c r="N19" s="57">
        <f t="shared" si="3"/>
        <v>7.666666666666667</v>
      </c>
      <c r="O19" s="56"/>
      <c r="P19" s="55">
        <f t="shared" si="4"/>
        <v>14.666666666666668</v>
      </c>
    </row>
    <row r="20" spans="1:16" ht="15.6" x14ac:dyDescent="0.25">
      <c r="A20" s="53">
        <v>13</v>
      </c>
      <c r="B20" s="53">
        <v>2301252</v>
      </c>
      <c r="C20" s="65" t="s">
        <v>15</v>
      </c>
      <c r="D20" s="53">
        <v>35</v>
      </c>
      <c r="E20" s="53">
        <f>[3]Attendance!BE19</f>
        <v>27</v>
      </c>
      <c r="F20" s="55">
        <f t="shared" si="0"/>
        <v>77.142857142857153</v>
      </c>
      <c r="G20" s="53" t="str">
        <f t="shared" si="1"/>
        <v>2</v>
      </c>
      <c r="H20" s="56">
        <v>7</v>
      </c>
      <c r="I20" s="56">
        <v>6.5</v>
      </c>
      <c r="J20" s="57">
        <f t="shared" si="2"/>
        <v>6.75</v>
      </c>
      <c r="K20" s="56">
        <v>8</v>
      </c>
      <c r="L20" s="56">
        <v>9</v>
      </c>
      <c r="M20" s="56">
        <v>8</v>
      </c>
      <c r="N20" s="57">
        <f t="shared" si="3"/>
        <v>8.3333333333333339</v>
      </c>
      <c r="O20" s="56"/>
      <c r="P20" s="55">
        <f t="shared" si="4"/>
        <v>17.083333333333336</v>
      </c>
    </row>
    <row r="21" spans="1:16" ht="15.6" x14ac:dyDescent="0.25">
      <c r="A21" s="53">
        <v>14</v>
      </c>
      <c r="B21" s="53">
        <v>2301253</v>
      </c>
      <c r="C21" s="65" t="s">
        <v>16</v>
      </c>
      <c r="D21" s="53">
        <v>35</v>
      </c>
      <c r="E21" s="53">
        <f>[3]Attendance!BE20</f>
        <v>29</v>
      </c>
      <c r="F21" s="55">
        <f t="shared" si="0"/>
        <v>82.857142857142861</v>
      </c>
      <c r="G21" s="53" t="str">
        <f t="shared" si="1"/>
        <v>3</v>
      </c>
      <c r="H21" s="56">
        <v>14</v>
      </c>
      <c r="I21" s="56">
        <v>18</v>
      </c>
      <c r="J21" s="57">
        <f t="shared" si="2"/>
        <v>16</v>
      </c>
      <c r="K21" s="56">
        <v>9</v>
      </c>
      <c r="L21" s="56">
        <v>9</v>
      </c>
      <c r="M21" s="56">
        <v>8</v>
      </c>
      <c r="N21" s="57">
        <f t="shared" si="3"/>
        <v>8.6666666666666661</v>
      </c>
      <c r="O21" s="56"/>
      <c r="P21" s="55">
        <f t="shared" si="4"/>
        <v>27.666666666666664</v>
      </c>
    </row>
    <row r="22" spans="1:16" ht="15.6" x14ac:dyDescent="0.25">
      <c r="A22" s="53">
        <v>15</v>
      </c>
      <c r="B22" s="53">
        <v>2301255</v>
      </c>
      <c r="C22" s="65" t="s">
        <v>17</v>
      </c>
      <c r="D22" s="53">
        <v>35</v>
      </c>
      <c r="E22" s="53">
        <f>[3]Attendance!BE21</f>
        <v>2</v>
      </c>
      <c r="F22" s="55">
        <f t="shared" si="0"/>
        <v>5.7142857142857144</v>
      </c>
      <c r="G22" s="53" t="str">
        <f t="shared" si="1"/>
        <v>0</v>
      </c>
      <c r="H22" s="56">
        <v>0</v>
      </c>
      <c r="I22" s="56">
        <v>0</v>
      </c>
      <c r="J22" s="57">
        <f t="shared" si="2"/>
        <v>0</v>
      </c>
      <c r="K22" s="56">
        <v>7</v>
      </c>
      <c r="L22" s="56">
        <v>9</v>
      </c>
      <c r="M22" s="53">
        <v>0</v>
      </c>
      <c r="N22" s="57">
        <f t="shared" si="3"/>
        <v>5.333333333333333</v>
      </c>
      <c r="O22" s="56"/>
      <c r="P22" s="55">
        <f t="shared" si="4"/>
        <v>5.333333333333333</v>
      </c>
    </row>
    <row r="23" spans="1:16" ht="15.6" x14ac:dyDescent="0.25">
      <c r="A23" s="53">
        <v>16</v>
      </c>
      <c r="B23" s="53">
        <v>2301256</v>
      </c>
      <c r="C23" s="65" t="s">
        <v>18</v>
      </c>
      <c r="D23" s="53">
        <v>35</v>
      </c>
      <c r="E23" s="53">
        <f>[3]Attendance!BE22</f>
        <v>31</v>
      </c>
      <c r="F23" s="55">
        <f t="shared" si="0"/>
        <v>88.571428571428569</v>
      </c>
      <c r="G23" s="53" t="str">
        <f t="shared" si="1"/>
        <v>4</v>
      </c>
      <c r="H23" s="56">
        <v>16</v>
      </c>
      <c r="I23" s="56">
        <v>19</v>
      </c>
      <c r="J23" s="57">
        <f t="shared" si="2"/>
        <v>17.5</v>
      </c>
      <c r="K23" s="56">
        <v>8</v>
      </c>
      <c r="L23" s="56">
        <v>9</v>
      </c>
      <c r="M23" s="56">
        <v>9</v>
      </c>
      <c r="N23" s="57">
        <f t="shared" si="3"/>
        <v>8.6666666666666661</v>
      </c>
      <c r="O23" s="56"/>
      <c r="P23" s="55">
        <f t="shared" si="4"/>
        <v>30.166666666666664</v>
      </c>
    </row>
    <row r="24" spans="1:16" ht="15.6" x14ac:dyDescent="0.25">
      <c r="A24" s="53">
        <v>17</v>
      </c>
      <c r="B24" s="53">
        <v>2301257</v>
      </c>
      <c r="C24" s="65" t="s">
        <v>19</v>
      </c>
      <c r="D24" s="53">
        <v>35</v>
      </c>
      <c r="E24" s="53">
        <f>[3]Attendance!BE23</f>
        <v>25</v>
      </c>
      <c r="F24" s="55">
        <f t="shared" si="0"/>
        <v>71.428571428571431</v>
      </c>
      <c r="G24" s="53" t="str">
        <f t="shared" si="1"/>
        <v>0</v>
      </c>
      <c r="H24" s="56">
        <v>0</v>
      </c>
      <c r="I24" s="56">
        <v>11</v>
      </c>
      <c r="J24" s="57">
        <f t="shared" si="2"/>
        <v>5.5</v>
      </c>
      <c r="K24" s="53">
        <v>0</v>
      </c>
      <c r="L24" s="56">
        <v>7</v>
      </c>
      <c r="M24" s="56">
        <v>9</v>
      </c>
      <c r="N24" s="57">
        <f t="shared" si="3"/>
        <v>5.333333333333333</v>
      </c>
      <c r="O24" s="56"/>
      <c r="P24" s="55">
        <f t="shared" si="4"/>
        <v>10.833333333333332</v>
      </c>
    </row>
    <row r="25" spans="1:16" ht="15.6" x14ac:dyDescent="0.25">
      <c r="A25" s="53">
        <v>18</v>
      </c>
      <c r="B25" s="53">
        <v>2301258</v>
      </c>
      <c r="C25" s="65" t="s">
        <v>20</v>
      </c>
      <c r="D25" s="53">
        <v>35</v>
      </c>
      <c r="E25" s="53">
        <f>[3]Attendance!BE24</f>
        <v>4</v>
      </c>
      <c r="F25" s="55">
        <f t="shared" si="0"/>
        <v>11.428571428571429</v>
      </c>
      <c r="G25" s="53" t="str">
        <f t="shared" si="1"/>
        <v>0</v>
      </c>
      <c r="H25" s="56">
        <v>0</v>
      </c>
      <c r="I25" s="56">
        <v>0</v>
      </c>
      <c r="J25" s="57">
        <f t="shared" si="2"/>
        <v>0</v>
      </c>
      <c r="K25" s="53">
        <v>0</v>
      </c>
      <c r="L25" s="53">
        <v>0</v>
      </c>
      <c r="M25" s="53">
        <v>0</v>
      </c>
      <c r="N25" s="57">
        <f t="shared" si="3"/>
        <v>0</v>
      </c>
      <c r="O25" s="56"/>
      <c r="P25" s="55">
        <f t="shared" si="4"/>
        <v>0</v>
      </c>
    </row>
    <row r="26" spans="1:16" ht="15.6" x14ac:dyDescent="0.25">
      <c r="A26" s="53">
        <v>19</v>
      </c>
      <c r="B26" s="53">
        <v>2301259</v>
      </c>
      <c r="C26" s="65" t="s">
        <v>21</v>
      </c>
      <c r="D26" s="53">
        <v>35</v>
      </c>
      <c r="E26" s="53">
        <f>[3]Attendance!BE25</f>
        <v>26</v>
      </c>
      <c r="F26" s="55">
        <f t="shared" si="0"/>
        <v>74.285714285714292</v>
      </c>
      <c r="G26" s="53" t="str">
        <f t="shared" si="1"/>
        <v>0</v>
      </c>
      <c r="H26" s="56">
        <v>16</v>
      </c>
      <c r="I26" s="56">
        <v>0</v>
      </c>
      <c r="J26" s="57">
        <f t="shared" si="2"/>
        <v>8</v>
      </c>
      <c r="K26" s="56">
        <v>8</v>
      </c>
      <c r="L26" s="56">
        <v>9</v>
      </c>
      <c r="M26" s="56">
        <v>8</v>
      </c>
      <c r="N26" s="57">
        <f t="shared" si="3"/>
        <v>8.3333333333333339</v>
      </c>
      <c r="O26" s="56"/>
      <c r="P26" s="55">
        <f t="shared" si="4"/>
        <v>16.333333333333336</v>
      </c>
    </row>
    <row r="27" spans="1:16" ht="15.6" x14ac:dyDescent="0.25">
      <c r="A27" s="53">
        <v>20</v>
      </c>
      <c r="B27" s="53">
        <v>2301260</v>
      </c>
      <c r="C27" s="65" t="s">
        <v>22</v>
      </c>
      <c r="D27" s="53">
        <v>35</v>
      </c>
      <c r="E27" s="53">
        <f>[3]Attendance!BE26</f>
        <v>27</v>
      </c>
      <c r="F27" s="55">
        <f t="shared" si="0"/>
        <v>77.142857142857153</v>
      </c>
      <c r="G27" s="53" t="str">
        <f t="shared" si="1"/>
        <v>2</v>
      </c>
      <c r="H27" s="56">
        <v>1</v>
      </c>
      <c r="I27" s="56">
        <v>0</v>
      </c>
      <c r="J27" s="57">
        <f t="shared" si="2"/>
        <v>0.5</v>
      </c>
      <c r="K27" s="56">
        <v>8</v>
      </c>
      <c r="L27" s="56">
        <v>7</v>
      </c>
      <c r="M27" s="56">
        <v>8</v>
      </c>
      <c r="N27" s="57">
        <f t="shared" si="3"/>
        <v>7.666666666666667</v>
      </c>
      <c r="O27" s="56"/>
      <c r="P27" s="55">
        <f t="shared" si="4"/>
        <v>10.166666666666668</v>
      </c>
    </row>
    <row r="28" spans="1:16" ht="15.6" x14ac:dyDescent="0.25">
      <c r="A28" s="53">
        <v>21</v>
      </c>
      <c r="B28" s="53">
        <v>2301261</v>
      </c>
      <c r="C28" s="65" t="s">
        <v>23</v>
      </c>
      <c r="D28" s="53">
        <v>35</v>
      </c>
      <c r="E28" s="53">
        <f>[3]Attendance!BE27</f>
        <v>19</v>
      </c>
      <c r="F28" s="55">
        <f t="shared" si="0"/>
        <v>54.285714285714285</v>
      </c>
      <c r="G28" s="53" t="str">
        <f t="shared" si="1"/>
        <v>0</v>
      </c>
      <c r="H28" s="56">
        <v>0</v>
      </c>
      <c r="I28" s="56">
        <v>13</v>
      </c>
      <c r="J28" s="57">
        <f t="shared" si="2"/>
        <v>6.5</v>
      </c>
      <c r="K28" s="53">
        <v>0</v>
      </c>
      <c r="L28" s="56">
        <v>9</v>
      </c>
      <c r="M28" s="56">
        <v>8</v>
      </c>
      <c r="N28" s="57">
        <f t="shared" si="3"/>
        <v>5.666666666666667</v>
      </c>
      <c r="O28" s="56"/>
      <c r="P28" s="55">
        <f t="shared" si="4"/>
        <v>12.166666666666668</v>
      </c>
    </row>
    <row r="29" spans="1:16" ht="15.6" x14ac:dyDescent="0.25">
      <c r="A29" s="53">
        <v>22</v>
      </c>
      <c r="B29" s="53">
        <v>2301262</v>
      </c>
      <c r="C29" s="65" t="s">
        <v>24</v>
      </c>
      <c r="D29" s="53">
        <v>35</v>
      </c>
      <c r="E29" s="53">
        <f>[3]Attendance!BE28</f>
        <v>28</v>
      </c>
      <c r="F29" s="55">
        <f t="shared" si="0"/>
        <v>80</v>
      </c>
      <c r="G29" s="53" t="str">
        <f t="shared" si="1"/>
        <v>2</v>
      </c>
      <c r="H29" s="56">
        <v>7</v>
      </c>
      <c r="I29" s="56">
        <v>10</v>
      </c>
      <c r="J29" s="57">
        <f t="shared" si="2"/>
        <v>8.5</v>
      </c>
      <c r="K29" s="56">
        <v>8</v>
      </c>
      <c r="L29" s="56">
        <v>9</v>
      </c>
      <c r="M29" s="53">
        <v>0</v>
      </c>
      <c r="N29" s="57">
        <f t="shared" si="3"/>
        <v>5.666666666666667</v>
      </c>
      <c r="O29" s="56"/>
      <c r="P29" s="55">
        <f t="shared" si="4"/>
        <v>16.166666666666668</v>
      </c>
    </row>
    <row r="30" spans="1:16" ht="15.6" x14ac:dyDescent="0.25">
      <c r="A30" s="53">
        <v>23</v>
      </c>
      <c r="B30" s="53">
        <v>2301263</v>
      </c>
      <c r="C30" s="65" t="s">
        <v>25</v>
      </c>
      <c r="D30" s="53">
        <v>35</v>
      </c>
      <c r="E30" s="53">
        <f>[3]Attendance!BE29</f>
        <v>30</v>
      </c>
      <c r="F30" s="55">
        <f t="shared" si="0"/>
        <v>85.714285714285708</v>
      </c>
      <c r="G30" s="53" t="str">
        <f t="shared" si="1"/>
        <v>4</v>
      </c>
      <c r="H30" s="56">
        <v>14</v>
      </c>
      <c r="I30" s="56">
        <v>14</v>
      </c>
      <c r="J30" s="57">
        <f t="shared" si="2"/>
        <v>14</v>
      </c>
      <c r="K30" s="56">
        <v>9</v>
      </c>
      <c r="L30" s="56">
        <v>9</v>
      </c>
      <c r="M30" s="53">
        <v>0</v>
      </c>
      <c r="N30" s="57">
        <f t="shared" si="3"/>
        <v>6</v>
      </c>
      <c r="O30" s="56"/>
      <c r="P30" s="55">
        <f t="shared" si="4"/>
        <v>24</v>
      </c>
    </row>
    <row r="31" spans="1:16" ht="15.6" x14ac:dyDescent="0.25">
      <c r="A31" s="53">
        <v>24</v>
      </c>
      <c r="B31" s="53">
        <v>2301264</v>
      </c>
      <c r="C31" s="65" t="s">
        <v>26</v>
      </c>
      <c r="D31" s="53">
        <v>35</v>
      </c>
      <c r="E31" s="53">
        <f>[3]Attendance!BE30</f>
        <v>16</v>
      </c>
      <c r="F31" s="55">
        <f t="shared" si="0"/>
        <v>45.714285714285715</v>
      </c>
      <c r="G31" s="53" t="str">
        <f t="shared" si="1"/>
        <v>0</v>
      </c>
      <c r="H31" s="56">
        <v>0</v>
      </c>
      <c r="I31" s="56">
        <v>0</v>
      </c>
      <c r="J31" s="57">
        <f t="shared" si="2"/>
        <v>0</v>
      </c>
      <c r="K31" s="56">
        <v>7</v>
      </c>
      <c r="L31" s="53">
        <v>8</v>
      </c>
      <c r="M31" s="56">
        <v>8</v>
      </c>
      <c r="N31" s="57">
        <f t="shared" si="3"/>
        <v>7.666666666666667</v>
      </c>
      <c r="O31" s="56"/>
      <c r="P31" s="55">
        <f t="shared" si="4"/>
        <v>7.666666666666667</v>
      </c>
    </row>
    <row r="32" spans="1:16" ht="15.6" x14ac:dyDescent="0.25">
      <c r="A32" s="53">
        <v>25</v>
      </c>
      <c r="B32" s="53">
        <v>2301265</v>
      </c>
      <c r="C32" s="65" t="s">
        <v>27</v>
      </c>
      <c r="D32" s="53">
        <v>35</v>
      </c>
      <c r="E32" s="53">
        <f>[3]Attendance!BE31</f>
        <v>29</v>
      </c>
      <c r="F32" s="55">
        <f t="shared" si="0"/>
        <v>82.857142857142861</v>
      </c>
      <c r="G32" s="53" t="str">
        <f t="shared" si="1"/>
        <v>3</v>
      </c>
      <c r="H32" s="56">
        <v>0</v>
      </c>
      <c r="I32" s="56">
        <v>15</v>
      </c>
      <c r="J32" s="57">
        <f t="shared" si="2"/>
        <v>7.5</v>
      </c>
      <c r="K32" s="56">
        <v>7</v>
      </c>
      <c r="L32" s="56">
        <v>9</v>
      </c>
      <c r="M32" s="56">
        <v>9</v>
      </c>
      <c r="N32" s="57">
        <f t="shared" si="3"/>
        <v>8.3333333333333339</v>
      </c>
      <c r="O32" s="56"/>
      <c r="P32" s="55">
        <f t="shared" si="4"/>
        <v>18.833333333333336</v>
      </c>
    </row>
    <row r="33" spans="1:16" ht="15.6" x14ac:dyDescent="0.25">
      <c r="A33" s="53">
        <v>26</v>
      </c>
      <c r="B33" s="53">
        <v>2301267</v>
      </c>
      <c r="C33" s="65" t="s">
        <v>28</v>
      </c>
      <c r="D33" s="53">
        <v>35</v>
      </c>
      <c r="E33" s="53">
        <f>[3]Attendance!BE32</f>
        <v>25</v>
      </c>
      <c r="F33" s="55">
        <f t="shared" si="0"/>
        <v>71.428571428571431</v>
      </c>
      <c r="G33" s="53" t="str">
        <f t="shared" si="1"/>
        <v>0</v>
      </c>
      <c r="H33" s="56">
        <v>10</v>
      </c>
      <c r="I33" s="56">
        <v>15</v>
      </c>
      <c r="J33" s="57">
        <f t="shared" si="2"/>
        <v>12.5</v>
      </c>
      <c r="K33" s="56">
        <v>7</v>
      </c>
      <c r="L33" s="56">
        <v>9</v>
      </c>
      <c r="M33" s="56">
        <v>9</v>
      </c>
      <c r="N33" s="57">
        <f t="shared" si="3"/>
        <v>8.3333333333333339</v>
      </c>
      <c r="O33" s="56"/>
      <c r="P33" s="55">
        <f t="shared" si="4"/>
        <v>20.833333333333336</v>
      </c>
    </row>
    <row r="34" spans="1:16" ht="15.6" x14ac:dyDescent="0.25">
      <c r="A34" s="53">
        <v>27</v>
      </c>
      <c r="B34" s="53">
        <v>2301268</v>
      </c>
      <c r="C34" s="65" t="s">
        <v>29</v>
      </c>
      <c r="D34" s="53">
        <v>35</v>
      </c>
      <c r="E34" s="53">
        <f>[3]Attendance!BE33</f>
        <v>19</v>
      </c>
      <c r="F34" s="55">
        <f t="shared" si="0"/>
        <v>54.285714285714285</v>
      </c>
      <c r="G34" s="53" t="str">
        <f t="shared" si="1"/>
        <v>0</v>
      </c>
      <c r="H34" s="56">
        <v>0</v>
      </c>
      <c r="I34" s="56">
        <v>0</v>
      </c>
      <c r="J34" s="57">
        <f t="shared" si="2"/>
        <v>0</v>
      </c>
      <c r="K34" s="56">
        <v>7</v>
      </c>
      <c r="L34" s="53">
        <v>0</v>
      </c>
      <c r="M34" s="53">
        <v>0</v>
      </c>
      <c r="N34" s="57">
        <f t="shared" si="3"/>
        <v>2.3333333333333335</v>
      </c>
      <c r="O34" s="56"/>
      <c r="P34" s="55">
        <f t="shared" si="4"/>
        <v>2.3333333333333335</v>
      </c>
    </row>
    <row r="35" spans="1:16" ht="15.6" x14ac:dyDescent="0.25">
      <c r="A35" s="53">
        <v>28</v>
      </c>
      <c r="B35" s="53">
        <v>2301269</v>
      </c>
      <c r="C35" s="65" t="s">
        <v>30</v>
      </c>
      <c r="D35" s="53">
        <v>35</v>
      </c>
      <c r="E35" s="53">
        <f>[3]Attendance!BE34</f>
        <v>33</v>
      </c>
      <c r="F35" s="55">
        <f t="shared" si="0"/>
        <v>94.285714285714278</v>
      </c>
      <c r="G35" s="53" t="str">
        <f t="shared" si="1"/>
        <v>5</v>
      </c>
      <c r="H35" s="56">
        <v>16</v>
      </c>
      <c r="I35" s="56">
        <v>19</v>
      </c>
      <c r="J35" s="57">
        <f t="shared" si="2"/>
        <v>17.5</v>
      </c>
      <c r="K35" s="56">
        <v>8</v>
      </c>
      <c r="L35" s="56">
        <v>9</v>
      </c>
      <c r="M35" s="56">
        <v>7</v>
      </c>
      <c r="N35" s="57">
        <f t="shared" si="3"/>
        <v>8</v>
      </c>
      <c r="O35" s="56"/>
      <c r="P35" s="55">
        <f t="shared" si="4"/>
        <v>30.5</v>
      </c>
    </row>
    <row r="36" spans="1:16" ht="15.6" x14ac:dyDescent="0.25">
      <c r="A36" s="53">
        <v>29</v>
      </c>
      <c r="B36" s="53">
        <v>2301270</v>
      </c>
      <c r="C36" s="65" t="s">
        <v>31</v>
      </c>
      <c r="D36" s="53">
        <v>35</v>
      </c>
      <c r="E36" s="53">
        <f>[3]Attendance!BE35</f>
        <v>18</v>
      </c>
      <c r="F36" s="55">
        <f t="shared" si="0"/>
        <v>51.428571428571423</v>
      </c>
      <c r="G36" s="53" t="str">
        <f t="shared" si="1"/>
        <v>0</v>
      </c>
      <c r="H36" s="56">
        <v>0</v>
      </c>
      <c r="I36" s="56">
        <v>0</v>
      </c>
      <c r="J36" s="57">
        <f t="shared" si="2"/>
        <v>0</v>
      </c>
      <c r="K36" s="56">
        <v>7</v>
      </c>
      <c r="L36" s="56">
        <v>9</v>
      </c>
      <c r="M36" s="53">
        <v>0</v>
      </c>
      <c r="N36" s="57">
        <f t="shared" si="3"/>
        <v>5.333333333333333</v>
      </c>
      <c r="O36" s="56"/>
      <c r="P36" s="55">
        <f t="shared" si="4"/>
        <v>5.333333333333333</v>
      </c>
    </row>
    <row r="37" spans="1:16" ht="15.6" x14ac:dyDescent="0.25">
      <c r="A37" s="53">
        <v>30</v>
      </c>
      <c r="B37" s="53">
        <v>2301271</v>
      </c>
      <c r="C37" s="65" t="s">
        <v>32</v>
      </c>
      <c r="D37" s="53">
        <v>35</v>
      </c>
      <c r="E37" s="53">
        <f>[3]Attendance!BE36</f>
        <v>27</v>
      </c>
      <c r="F37" s="55">
        <f t="shared" si="0"/>
        <v>77.142857142857153</v>
      </c>
      <c r="G37" s="53" t="str">
        <f t="shared" si="1"/>
        <v>2</v>
      </c>
      <c r="H37" s="56">
        <v>0</v>
      </c>
      <c r="I37" s="56">
        <v>8</v>
      </c>
      <c r="J37" s="57">
        <f t="shared" si="2"/>
        <v>4</v>
      </c>
      <c r="K37" s="56">
        <v>8</v>
      </c>
      <c r="L37" s="56">
        <v>9</v>
      </c>
      <c r="M37" s="56">
        <v>8</v>
      </c>
      <c r="N37" s="57">
        <f t="shared" si="3"/>
        <v>8.3333333333333339</v>
      </c>
      <c r="O37" s="56"/>
      <c r="P37" s="55">
        <f t="shared" si="4"/>
        <v>14.333333333333334</v>
      </c>
    </row>
    <row r="38" spans="1:16" ht="15.6" x14ac:dyDescent="0.25">
      <c r="A38" s="53">
        <v>31</v>
      </c>
      <c r="B38" s="53">
        <v>2301272</v>
      </c>
      <c r="C38" s="65" t="s">
        <v>33</v>
      </c>
      <c r="D38" s="53">
        <v>35</v>
      </c>
      <c r="E38" s="53">
        <f>[3]Attendance!BE37</f>
        <v>6</v>
      </c>
      <c r="F38" s="55">
        <f t="shared" si="0"/>
        <v>17.142857142857142</v>
      </c>
      <c r="G38" s="53" t="str">
        <f t="shared" si="1"/>
        <v>0</v>
      </c>
      <c r="H38" s="56">
        <v>0</v>
      </c>
      <c r="I38" s="56">
        <v>0</v>
      </c>
      <c r="J38" s="57">
        <f t="shared" si="2"/>
        <v>0</v>
      </c>
      <c r="K38" s="53">
        <v>0</v>
      </c>
      <c r="L38" s="53">
        <v>0</v>
      </c>
      <c r="M38" s="53">
        <v>0</v>
      </c>
      <c r="N38" s="57">
        <f t="shared" si="3"/>
        <v>0</v>
      </c>
      <c r="O38" s="56"/>
      <c r="P38" s="55">
        <f t="shared" si="4"/>
        <v>0</v>
      </c>
    </row>
    <row r="39" spans="1:16" ht="15.6" x14ac:dyDescent="0.25">
      <c r="A39" s="53">
        <v>32</v>
      </c>
      <c r="B39" s="53">
        <v>2301273</v>
      </c>
      <c r="C39" s="65" t="s">
        <v>34</v>
      </c>
      <c r="D39" s="53">
        <v>35</v>
      </c>
      <c r="E39" s="53">
        <f>[3]Attendance!BE38</f>
        <v>24</v>
      </c>
      <c r="F39" s="55">
        <f t="shared" si="0"/>
        <v>68.571428571428569</v>
      </c>
      <c r="G39" s="53" t="str">
        <f t="shared" si="1"/>
        <v>0</v>
      </c>
      <c r="H39" s="56">
        <v>6.5</v>
      </c>
      <c r="I39" s="56">
        <v>16</v>
      </c>
      <c r="J39" s="57">
        <f t="shared" si="2"/>
        <v>11.25</v>
      </c>
      <c r="K39" s="56">
        <v>7</v>
      </c>
      <c r="L39" s="56">
        <v>9</v>
      </c>
      <c r="M39" s="53">
        <v>0</v>
      </c>
      <c r="N39" s="57">
        <f t="shared" si="3"/>
        <v>5.333333333333333</v>
      </c>
      <c r="O39" s="56"/>
      <c r="P39" s="55">
        <f t="shared" si="4"/>
        <v>16.583333333333332</v>
      </c>
    </row>
    <row r="40" spans="1:16" ht="15.6" x14ac:dyDescent="0.25">
      <c r="A40" s="53">
        <v>33</v>
      </c>
      <c r="B40" s="53">
        <v>2301274</v>
      </c>
      <c r="C40" s="65" t="s">
        <v>35</v>
      </c>
      <c r="D40" s="53">
        <v>35</v>
      </c>
      <c r="E40" s="53">
        <f>[3]Attendance!BE39</f>
        <v>34</v>
      </c>
      <c r="F40" s="55">
        <f t="shared" si="0"/>
        <v>97.142857142857139</v>
      </c>
      <c r="G40" s="53" t="str">
        <f t="shared" si="1"/>
        <v>6</v>
      </c>
      <c r="H40" s="56">
        <v>20</v>
      </c>
      <c r="I40" s="56">
        <v>17</v>
      </c>
      <c r="J40" s="57">
        <f t="shared" si="2"/>
        <v>18.5</v>
      </c>
      <c r="K40" s="56">
        <v>9</v>
      </c>
      <c r="L40" s="56">
        <v>9</v>
      </c>
      <c r="M40" s="56">
        <v>8</v>
      </c>
      <c r="N40" s="57">
        <f t="shared" si="3"/>
        <v>8.6666666666666661</v>
      </c>
      <c r="O40" s="56"/>
      <c r="P40" s="55">
        <f t="shared" si="4"/>
        <v>33.166666666666664</v>
      </c>
    </row>
    <row r="41" spans="1:16" ht="15.6" x14ac:dyDescent="0.25">
      <c r="A41" s="53">
        <v>34</v>
      </c>
      <c r="B41" s="53">
        <v>2301275</v>
      </c>
      <c r="C41" s="65" t="s">
        <v>36</v>
      </c>
      <c r="D41" s="53">
        <v>35</v>
      </c>
      <c r="E41" s="53">
        <f>[3]Attendance!BE40</f>
        <v>34</v>
      </c>
      <c r="F41" s="55">
        <f t="shared" si="0"/>
        <v>97.142857142857139</v>
      </c>
      <c r="G41" s="53" t="str">
        <f t="shared" si="1"/>
        <v>6</v>
      </c>
      <c r="H41" s="56">
        <v>0</v>
      </c>
      <c r="I41" s="56">
        <v>16</v>
      </c>
      <c r="J41" s="57">
        <f t="shared" si="2"/>
        <v>8</v>
      </c>
      <c r="K41" s="56">
        <v>8</v>
      </c>
      <c r="L41" s="56">
        <v>9</v>
      </c>
      <c r="M41" s="56">
        <v>8</v>
      </c>
      <c r="N41" s="57">
        <f t="shared" si="3"/>
        <v>8.3333333333333339</v>
      </c>
      <c r="O41" s="56"/>
      <c r="P41" s="55">
        <f t="shared" si="4"/>
        <v>22.333333333333336</v>
      </c>
    </row>
    <row r="42" spans="1:16" ht="15.6" x14ac:dyDescent="0.25">
      <c r="A42" s="53">
        <v>35</v>
      </c>
      <c r="B42" s="53">
        <v>2301277</v>
      </c>
      <c r="C42" s="65" t="s">
        <v>37</v>
      </c>
      <c r="D42" s="53">
        <v>35</v>
      </c>
      <c r="E42" s="53">
        <f>[3]Attendance!BE41</f>
        <v>26</v>
      </c>
      <c r="F42" s="55">
        <f t="shared" si="0"/>
        <v>74.285714285714292</v>
      </c>
      <c r="G42" s="53" t="str">
        <f t="shared" si="1"/>
        <v>0</v>
      </c>
      <c r="H42" s="56">
        <v>12</v>
      </c>
      <c r="I42" s="56">
        <v>7</v>
      </c>
      <c r="J42" s="57">
        <f t="shared" si="2"/>
        <v>9.5</v>
      </c>
      <c r="K42" s="56">
        <v>8</v>
      </c>
      <c r="L42" s="56">
        <v>9</v>
      </c>
      <c r="M42" s="56">
        <v>7</v>
      </c>
      <c r="N42" s="57">
        <f t="shared" si="3"/>
        <v>8</v>
      </c>
      <c r="O42" s="56"/>
      <c r="P42" s="55">
        <f t="shared" si="4"/>
        <v>17.5</v>
      </c>
    </row>
    <row r="43" spans="1:16" ht="15.6" x14ac:dyDescent="0.25">
      <c r="A43" s="53">
        <v>36</v>
      </c>
      <c r="B43" s="53">
        <v>2301278</v>
      </c>
      <c r="C43" s="65" t="s">
        <v>38</v>
      </c>
      <c r="D43" s="53">
        <v>35</v>
      </c>
      <c r="E43" s="53">
        <f>[3]Attendance!BE42</f>
        <v>8</v>
      </c>
      <c r="F43" s="55">
        <f t="shared" si="0"/>
        <v>22.857142857142858</v>
      </c>
      <c r="G43" s="53" t="str">
        <f t="shared" si="1"/>
        <v>0</v>
      </c>
      <c r="H43" s="56">
        <v>12</v>
      </c>
      <c r="I43" s="56">
        <v>0</v>
      </c>
      <c r="J43" s="57">
        <f t="shared" si="2"/>
        <v>6</v>
      </c>
      <c r="K43" s="53">
        <v>0</v>
      </c>
      <c r="L43" s="53">
        <v>0</v>
      </c>
      <c r="M43" s="53">
        <v>0</v>
      </c>
      <c r="N43" s="57">
        <f t="shared" si="3"/>
        <v>0</v>
      </c>
      <c r="O43" s="56"/>
      <c r="P43" s="55">
        <f t="shared" si="4"/>
        <v>6</v>
      </c>
    </row>
    <row r="44" spans="1:16" ht="15.6" x14ac:dyDescent="0.25">
      <c r="A44" s="53">
        <v>37</v>
      </c>
      <c r="B44" s="53">
        <v>2301279</v>
      </c>
      <c r="C44" s="65" t="s">
        <v>39</v>
      </c>
      <c r="D44" s="53">
        <v>35</v>
      </c>
      <c r="E44" s="53">
        <f>[3]Attendance!BE43</f>
        <v>33</v>
      </c>
      <c r="F44" s="55">
        <f t="shared" si="0"/>
        <v>94.285714285714278</v>
      </c>
      <c r="G44" s="53" t="str">
        <f t="shared" si="1"/>
        <v>5</v>
      </c>
      <c r="H44" s="56">
        <v>10</v>
      </c>
      <c r="I44" s="56">
        <v>12</v>
      </c>
      <c r="J44" s="57">
        <f t="shared" si="2"/>
        <v>11</v>
      </c>
      <c r="K44" s="56">
        <v>8</v>
      </c>
      <c r="L44" s="56">
        <v>9</v>
      </c>
      <c r="M44" s="53">
        <v>0</v>
      </c>
      <c r="N44" s="57">
        <f t="shared" si="3"/>
        <v>5.666666666666667</v>
      </c>
      <c r="O44" s="56"/>
      <c r="P44" s="55">
        <f t="shared" si="4"/>
        <v>21.666666666666668</v>
      </c>
    </row>
    <row r="45" spans="1:16" ht="15.6" x14ac:dyDescent="0.25">
      <c r="A45" s="53">
        <v>38</v>
      </c>
      <c r="B45" s="53">
        <v>2339508</v>
      </c>
      <c r="C45" s="65" t="s">
        <v>40</v>
      </c>
      <c r="D45" s="53">
        <v>35</v>
      </c>
      <c r="E45" s="53">
        <f>[3]Attendance!BE44</f>
        <v>28</v>
      </c>
      <c r="F45" s="55">
        <f t="shared" si="0"/>
        <v>80</v>
      </c>
      <c r="G45" s="53" t="str">
        <f t="shared" si="1"/>
        <v>2</v>
      </c>
      <c r="H45" s="56">
        <v>7</v>
      </c>
      <c r="I45" s="56">
        <v>11</v>
      </c>
      <c r="J45" s="57">
        <f t="shared" si="2"/>
        <v>9</v>
      </c>
      <c r="K45" s="56">
        <v>7</v>
      </c>
      <c r="L45" s="53">
        <v>8</v>
      </c>
      <c r="M45" s="56">
        <v>8</v>
      </c>
      <c r="N45" s="57">
        <f t="shared" si="3"/>
        <v>7.666666666666667</v>
      </c>
      <c r="O45" s="56"/>
      <c r="P45" s="55">
        <f t="shared" si="4"/>
        <v>18.666666666666668</v>
      </c>
    </row>
    <row r="46" spans="1:16" ht="15.6" x14ac:dyDescent="0.25">
      <c r="A46" s="53">
        <v>39</v>
      </c>
      <c r="B46" s="53">
        <v>2301280</v>
      </c>
      <c r="C46" s="65" t="s">
        <v>41</v>
      </c>
      <c r="D46" s="53">
        <v>35</v>
      </c>
      <c r="E46" s="53">
        <f>[3]Attendance!BE45</f>
        <v>21</v>
      </c>
      <c r="F46" s="55">
        <f t="shared" si="0"/>
        <v>60</v>
      </c>
      <c r="G46" s="53" t="str">
        <f t="shared" si="1"/>
        <v>0</v>
      </c>
      <c r="H46" s="56">
        <v>10</v>
      </c>
      <c r="I46" s="56">
        <v>9</v>
      </c>
      <c r="J46" s="57">
        <f t="shared" si="2"/>
        <v>9.5</v>
      </c>
      <c r="K46" s="56">
        <v>8</v>
      </c>
      <c r="L46" s="56">
        <v>9</v>
      </c>
      <c r="M46" s="53">
        <v>0</v>
      </c>
      <c r="N46" s="57">
        <f t="shared" si="3"/>
        <v>5.666666666666667</v>
      </c>
      <c r="O46" s="56"/>
      <c r="P46" s="55">
        <f t="shared" si="4"/>
        <v>15.166666666666668</v>
      </c>
    </row>
    <row r="47" spans="1:16" ht="15.6" x14ac:dyDescent="0.25">
      <c r="A47" s="53">
        <v>40</v>
      </c>
      <c r="B47" s="53">
        <v>2301281</v>
      </c>
      <c r="C47" s="65" t="s">
        <v>42</v>
      </c>
      <c r="D47" s="53">
        <v>35</v>
      </c>
      <c r="E47" s="53">
        <f>[3]Attendance!BE46</f>
        <v>26</v>
      </c>
      <c r="F47" s="55">
        <f t="shared" si="0"/>
        <v>74.285714285714292</v>
      </c>
      <c r="G47" s="53" t="str">
        <f t="shared" si="1"/>
        <v>0</v>
      </c>
      <c r="H47" s="56">
        <v>0</v>
      </c>
      <c r="I47" s="56">
        <v>11</v>
      </c>
      <c r="J47" s="57">
        <f t="shared" si="2"/>
        <v>5.5</v>
      </c>
      <c r="K47" s="56">
        <v>8</v>
      </c>
      <c r="L47" s="56">
        <v>9</v>
      </c>
      <c r="M47" s="56">
        <v>7</v>
      </c>
      <c r="N47" s="57">
        <f t="shared" si="3"/>
        <v>8</v>
      </c>
      <c r="O47" s="56"/>
      <c r="P47" s="55">
        <f t="shared" si="4"/>
        <v>13.5</v>
      </c>
    </row>
    <row r="48" spans="1:16" ht="15.6" x14ac:dyDescent="0.25">
      <c r="A48" s="53">
        <v>41</v>
      </c>
      <c r="B48" s="53">
        <v>2339509</v>
      </c>
      <c r="C48" s="65" t="s">
        <v>43</v>
      </c>
      <c r="D48" s="53">
        <v>35</v>
      </c>
      <c r="E48" s="53">
        <f>[3]Attendance!BE47</f>
        <v>0</v>
      </c>
      <c r="F48" s="55">
        <f t="shared" si="0"/>
        <v>0</v>
      </c>
      <c r="G48" s="53" t="str">
        <f t="shared" si="1"/>
        <v>0</v>
      </c>
      <c r="H48" s="56">
        <v>0</v>
      </c>
      <c r="I48" s="56">
        <v>0</v>
      </c>
      <c r="J48" s="57">
        <f t="shared" si="2"/>
        <v>0</v>
      </c>
      <c r="K48" s="53">
        <v>0</v>
      </c>
      <c r="L48" s="53">
        <v>0</v>
      </c>
      <c r="M48" s="53">
        <v>0</v>
      </c>
      <c r="N48" s="57">
        <f t="shared" si="3"/>
        <v>0</v>
      </c>
      <c r="O48" s="56"/>
      <c r="P48" s="55">
        <f t="shared" si="4"/>
        <v>0</v>
      </c>
    </row>
    <row r="49" spans="1:16" ht="15.6" x14ac:dyDescent="0.25">
      <c r="A49" s="53">
        <v>42</v>
      </c>
      <c r="B49" s="53">
        <v>2301283</v>
      </c>
      <c r="C49" s="65" t="s">
        <v>44</v>
      </c>
      <c r="D49" s="53">
        <v>35</v>
      </c>
      <c r="E49" s="53">
        <f>[3]Attendance!BE48</f>
        <v>21</v>
      </c>
      <c r="F49" s="55">
        <f t="shared" si="0"/>
        <v>60</v>
      </c>
      <c r="G49" s="53" t="str">
        <f t="shared" si="1"/>
        <v>0</v>
      </c>
      <c r="H49" s="56">
        <v>6.5</v>
      </c>
      <c r="I49" s="56">
        <v>7</v>
      </c>
      <c r="J49" s="57">
        <f t="shared" si="2"/>
        <v>6.75</v>
      </c>
      <c r="K49" s="56">
        <v>7</v>
      </c>
      <c r="L49" s="56">
        <v>9</v>
      </c>
      <c r="M49" s="53">
        <v>8</v>
      </c>
      <c r="N49" s="57">
        <f t="shared" si="3"/>
        <v>8</v>
      </c>
      <c r="O49" s="56"/>
      <c r="P49" s="55">
        <f t="shared" si="4"/>
        <v>14.75</v>
      </c>
    </row>
    <row r="50" spans="1:16" ht="15.6" x14ac:dyDescent="0.25">
      <c r="A50" s="53">
        <v>43</v>
      </c>
      <c r="B50" s="53">
        <v>2301285</v>
      </c>
      <c r="C50" s="65" t="s">
        <v>45</v>
      </c>
      <c r="D50" s="53">
        <v>35</v>
      </c>
      <c r="E50" s="53">
        <f>[3]Attendance!BE49</f>
        <v>22</v>
      </c>
      <c r="F50" s="55">
        <f t="shared" si="0"/>
        <v>62.857142857142854</v>
      </c>
      <c r="G50" s="53" t="str">
        <f t="shared" si="1"/>
        <v>0</v>
      </c>
      <c r="H50" s="56">
        <v>8</v>
      </c>
      <c r="I50" s="56">
        <v>10</v>
      </c>
      <c r="J50" s="57">
        <f t="shared" si="2"/>
        <v>9</v>
      </c>
      <c r="K50" s="56">
        <v>8</v>
      </c>
      <c r="L50" s="56">
        <v>6</v>
      </c>
      <c r="M50" s="56">
        <v>7</v>
      </c>
      <c r="N50" s="57">
        <f t="shared" si="3"/>
        <v>7</v>
      </c>
      <c r="O50" s="56"/>
      <c r="P50" s="55">
        <f t="shared" si="4"/>
        <v>16</v>
      </c>
    </row>
    <row r="51" spans="1:16" ht="15.6" x14ac:dyDescent="0.25">
      <c r="A51" s="53">
        <v>44</v>
      </c>
      <c r="B51" s="53">
        <v>2301286</v>
      </c>
      <c r="C51" s="65" t="s">
        <v>46</v>
      </c>
      <c r="D51" s="53">
        <v>35</v>
      </c>
      <c r="E51" s="53">
        <f>[3]Attendance!BE50</f>
        <v>7</v>
      </c>
      <c r="F51" s="55">
        <f t="shared" si="0"/>
        <v>20</v>
      </c>
      <c r="G51" s="53" t="str">
        <f t="shared" si="1"/>
        <v>0</v>
      </c>
      <c r="H51" s="56">
        <v>0</v>
      </c>
      <c r="I51" s="56">
        <v>0</v>
      </c>
      <c r="J51" s="57">
        <f t="shared" si="2"/>
        <v>0</v>
      </c>
      <c r="K51" s="53">
        <v>0</v>
      </c>
      <c r="L51" s="53">
        <v>0</v>
      </c>
      <c r="M51" s="53">
        <v>0</v>
      </c>
      <c r="N51" s="57">
        <f t="shared" si="3"/>
        <v>0</v>
      </c>
      <c r="O51" s="56"/>
      <c r="P51" s="55">
        <f t="shared" si="4"/>
        <v>0</v>
      </c>
    </row>
    <row r="52" spans="1:16" ht="15.6" x14ac:dyDescent="0.25">
      <c r="A52" s="53">
        <v>45</v>
      </c>
      <c r="B52" s="53">
        <v>2425599</v>
      </c>
      <c r="C52" s="65" t="s">
        <v>47</v>
      </c>
      <c r="D52" s="53">
        <v>35</v>
      </c>
      <c r="E52" s="53">
        <f>[3]Attendance!BE51</f>
        <v>32</v>
      </c>
      <c r="F52" s="55">
        <f t="shared" si="0"/>
        <v>91.428571428571431</v>
      </c>
      <c r="G52" s="53" t="str">
        <f t="shared" si="1"/>
        <v>5</v>
      </c>
      <c r="H52" s="56">
        <v>8</v>
      </c>
      <c r="I52" s="56">
        <v>12</v>
      </c>
      <c r="J52" s="57">
        <f t="shared" si="2"/>
        <v>10</v>
      </c>
      <c r="K52" s="56">
        <v>8</v>
      </c>
      <c r="L52" s="56">
        <v>9</v>
      </c>
      <c r="M52" s="56">
        <v>8</v>
      </c>
      <c r="N52" s="57">
        <f t="shared" si="3"/>
        <v>8.3333333333333339</v>
      </c>
      <c r="O52" s="56"/>
      <c r="P52" s="55">
        <f t="shared" si="4"/>
        <v>23.333333333333336</v>
      </c>
    </row>
    <row r="53" spans="1:16" ht="15.6" x14ac:dyDescent="0.25">
      <c r="A53" s="53">
        <v>46</v>
      </c>
      <c r="B53" s="53">
        <v>2425600</v>
      </c>
      <c r="C53" s="65" t="s">
        <v>48</v>
      </c>
      <c r="D53" s="53">
        <v>35</v>
      </c>
      <c r="E53" s="53">
        <f>[3]Attendance!BE52</f>
        <v>33</v>
      </c>
      <c r="F53" s="55">
        <f t="shared" si="0"/>
        <v>94.285714285714278</v>
      </c>
      <c r="G53" s="53" t="str">
        <f t="shared" si="1"/>
        <v>5</v>
      </c>
      <c r="H53" s="56">
        <v>19</v>
      </c>
      <c r="I53" s="56">
        <v>18</v>
      </c>
      <c r="J53" s="57">
        <f t="shared" si="2"/>
        <v>18.5</v>
      </c>
      <c r="K53" s="56">
        <v>9</v>
      </c>
      <c r="L53" s="56">
        <v>9</v>
      </c>
      <c r="M53" s="56">
        <v>8</v>
      </c>
      <c r="N53" s="57">
        <f t="shared" si="3"/>
        <v>8.6666666666666661</v>
      </c>
      <c r="O53" s="56"/>
      <c r="P53" s="55">
        <f t="shared" si="4"/>
        <v>32.166666666666664</v>
      </c>
    </row>
    <row r="54" spans="1:16" ht="15.6" x14ac:dyDescent="0.25">
      <c r="A54" s="53">
        <v>47</v>
      </c>
      <c r="B54" s="53">
        <v>2425601</v>
      </c>
      <c r="C54" s="65" t="s">
        <v>49</v>
      </c>
      <c r="D54" s="53">
        <v>35</v>
      </c>
      <c r="E54" s="53">
        <f>[3]Attendance!BE53</f>
        <v>33</v>
      </c>
      <c r="F54" s="55">
        <f t="shared" si="0"/>
        <v>94.285714285714278</v>
      </c>
      <c r="G54" s="53" t="str">
        <f t="shared" si="1"/>
        <v>5</v>
      </c>
      <c r="H54" s="56">
        <v>13</v>
      </c>
      <c r="I54" s="56">
        <v>10</v>
      </c>
      <c r="J54" s="57">
        <f t="shared" si="2"/>
        <v>11.5</v>
      </c>
      <c r="K54" s="56">
        <v>9</v>
      </c>
      <c r="L54" s="56">
        <v>9</v>
      </c>
      <c r="M54" s="56">
        <v>8</v>
      </c>
      <c r="N54" s="57">
        <f t="shared" si="3"/>
        <v>8.6666666666666661</v>
      </c>
      <c r="O54" s="56"/>
      <c r="P54" s="55">
        <f t="shared" si="4"/>
        <v>25.166666666666664</v>
      </c>
    </row>
    <row r="55" spans="1:16" ht="15.6" x14ac:dyDescent="0.25">
      <c r="A55" s="53">
        <v>48</v>
      </c>
      <c r="B55" s="53">
        <v>2425603</v>
      </c>
      <c r="C55" s="65" t="s">
        <v>50</v>
      </c>
      <c r="D55" s="53">
        <v>35</v>
      </c>
      <c r="E55" s="53">
        <f>[3]Attendance!BE54</f>
        <v>33</v>
      </c>
      <c r="F55" s="55">
        <f t="shared" si="0"/>
        <v>94.285714285714278</v>
      </c>
      <c r="G55" s="53" t="str">
        <f t="shared" si="1"/>
        <v>5</v>
      </c>
      <c r="H55" s="56">
        <v>15</v>
      </c>
      <c r="I55" s="56">
        <v>16</v>
      </c>
      <c r="J55" s="57">
        <f t="shared" si="2"/>
        <v>15.5</v>
      </c>
      <c r="K55" s="56">
        <v>9</v>
      </c>
      <c r="L55" s="56">
        <v>9</v>
      </c>
      <c r="M55" s="56">
        <v>8</v>
      </c>
      <c r="N55" s="57">
        <f t="shared" si="3"/>
        <v>8.6666666666666661</v>
      </c>
      <c r="O55" s="56"/>
      <c r="P55" s="55">
        <f t="shared" si="4"/>
        <v>29.166666666666664</v>
      </c>
    </row>
    <row r="56" spans="1:16" ht="15.6" x14ac:dyDescent="0.25">
      <c r="A56" s="53">
        <v>49</v>
      </c>
      <c r="B56" s="53">
        <v>2425604</v>
      </c>
      <c r="C56" s="65" t="s">
        <v>51</v>
      </c>
      <c r="D56" s="53">
        <v>35</v>
      </c>
      <c r="E56" s="53">
        <f>[3]Attendance!BE55</f>
        <v>24</v>
      </c>
      <c r="F56" s="55">
        <f t="shared" si="0"/>
        <v>68.571428571428569</v>
      </c>
      <c r="G56" s="53" t="str">
        <f t="shared" si="1"/>
        <v>0</v>
      </c>
      <c r="H56" s="56">
        <v>9</v>
      </c>
      <c r="I56" s="56">
        <v>11</v>
      </c>
      <c r="J56" s="57">
        <f t="shared" si="2"/>
        <v>10</v>
      </c>
      <c r="K56" s="56">
        <v>8</v>
      </c>
      <c r="L56" s="53">
        <v>0</v>
      </c>
      <c r="M56" s="56">
        <v>8</v>
      </c>
      <c r="N56" s="57">
        <f t="shared" si="3"/>
        <v>5.333333333333333</v>
      </c>
      <c r="O56" s="56"/>
      <c r="P56" s="55">
        <f t="shared" si="4"/>
        <v>15.333333333333332</v>
      </c>
    </row>
    <row r="57" spans="1:16" ht="15.6" x14ac:dyDescent="0.25">
      <c r="A57" s="60">
        <v>50</v>
      </c>
      <c r="B57" s="60">
        <v>2301235</v>
      </c>
      <c r="C57" s="76" t="s">
        <v>52</v>
      </c>
      <c r="D57" s="53">
        <v>35</v>
      </c>
      <c r="E57" s="53">
        <f>[3]Attendance!BE56</f>
        <v>29</v>
      </c>
      <c r="F57" s="55">
        <f t="shared" si="0"/>
        <v>82.857142857142861</v>
      </c>
      <c r="G57" s="53" t="str">
        <f t="shared" si="1"/>
        <v>3</v>
      </c>
      <c r="H57" s="56">
        <v>0</v>
      </c>
      <c r="I57" s="56">
        <v>0</v>
      </c>
      <c r="J57" s="57">
        <f t="shared" si="2"/>
        <v>0</v>
      </c>
      <c r="K57" s="56">
        <v>8</v>
      </c>
      <c r="L57" s="53">
        <v>0</v>
      </c>
      <c r="M57" s="56">
        <v>0</v>
      </c>
      <c r="N57" s="57">
        <f t="shared" si="3"/>
        <v>2.6666666666666665</v>
      </c>
      <c r="O57" s="56"/>
      <c r="P57" s="55">
        <f t="shared" si="4"/>
        <v>5.6666666666666661</v>
      </c>
    </row>
  </sheetData>
  <mergeCells count="21">
    <mergeCell ref="O6:O7"/>
    <mergeCell ref="P6:P7"/>
    <mergeCell ref="G6:G7"/>
    <mergeCell ref="H6:H7"/>
    <mergeCell ref="I6:I7"/>
    <mergeCell ref="J6:J7"/>
    <mergeCell ref="K6:M6"/>
    <mergeCell ref="N6:N7"/>
    <mergeCell ref="A6:A7"/>
    <mergeCell ref="B6:B7"/>
    <mergeCell ref="C6:C7"/>
    <mergeCell ref="D6:D7"/>
    <mergeCell ref="E6:E7"/>
    <mergeCell ref="F6:F7"/>
    <mergeCell ref="A1:P1"/>
    <mergeCell ref="A2:P2"/>
    <mergeCell ref="A3:P3"/>
    <mergeCell ref="A4:I4"/>
    <mergeCell ref="J4:P4"/>
    <mergeCell ref="A5:I5"/>
    <mergeCell ref="J5:P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68E50-6FBE-44FB-B5D6-4650AAD41EC0}">
  <dimension ref="A1:P57"/>
  <sheetViews>
    <sheetView workbookViewId="0">
      <selection activeCell="G8" sqref="G8"/>
    </sheetView>
  </sheetViews>
  <sheetFormatPr defaultRowHeight="13.2" x14ac:dyDescent="0.25"/>
  <sheetData>
    <row r="1" spans="1:16" ht="20.399999999999999" x14ac:dyDescent="0.35">
      <c r="A1" s="1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ht="18.600000000000001" x14ac:dyDescent="0.3">
      <c r="A2" s="4" t="s">
        <v>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spans="1:16" ht="17.399999999999999" x14ac:dyDescent="0.3">
      <c r="A3" s="5" t="s">
        <v>55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spans="1:16" ht="13.8" x14ac:dyDescent="0.3">
      <c r="A4" s="6" t="s">
        <v>56</v>
      </c>
      <c r="B4" s="2"/>
      <c r="C4" s="2"/>
      <c r="D4" s="2"/>
      <c r="E4" s="2"/>
      <c r="F4" s="2"/>
      <c r="G4" s="2"/>
      <c r="H4" s="2"/>
      <c r="I4" s="3"/>
      <c r="J4" s="6" t="s">
        <v>57</v>
      </c>
      <c r="K4" s="2"/>
      <c r="L4" s="2"/>
      <c r="M4" s="2"/>
      <c r="N4" s="2"/>
      <c r="O4" s="2"/>
      <c r="P4" s="3"/>
    </row>
    <row r="5" spans="1:16" ht="13.8" x14ac:dyDescent="0.3">
      <c r="A5" s="6" t="s">
        <v>96</v>
      </c>
      <c r="B5" s="2"/>
      <c r="C5" s="2"/>
      <c r="D5" s="2"/>
      <c r="E5" s="2"/>
      <c r="F5" s="2"/>
      <c r="G5" s="2"/>
      <c r="H5" s="2"/>
      <c r="I5" s="3"/>
      <c r="J5" s="6" t="s">
        <v>59</v>
      </c>
      <c r="K5" s="2"/>
      <c r="L5" s="2"/>
      <c r="M5" s="2"/>
      <c r="N5" s="2"/>
      <c r="O5" s="2"/>
      <c r="P5" s="3"/>
    </row>
    <row r="6" spans="1:16" ht="13.8" x14ac:dyDescent="0.3">
      <c r="A6" s="7" t="s">
        <v>60</v>
      </c>
      <c r="B6" s="7" t="s">
        <v>1</v>
      </c>
      <c r="C6" s="7" t="s">
        <v>2</v>
      </c>
      <c r="D6" s="7" t="s">
        <v>61</v>
      </c>
      <c r="E6" s="7" t="s">
        <v>62</v>
      </c>
      <c r="F6" s="7" t="s">
        <v>63</v>
      </c>
      <c r="G6" s="7" t="s">
        <v>64</v>
      </c>
      <c r="H6" s="7" t="s">
        <v>65</v>
      </c>
      <c r="I6" s="7" t="s">
        <v>66</v>
      </c>
      <c r="J6" s="7" t="s">
        <v>67</v>
      </c>
      <c r="K6" s="6" t="s">
        <v>68</v>
      </c>
      <c r="L6" s="2"/>
      <c r="M6" s="3"/>
      <c r="N6" s="8" t="s">
        <v>69</v>
      </c>
      <c r="O6" s="7" t="s">
        <v>70</v>
      </c>
      <c r="P6" s="7" t="s">
        <v>71</v>
      </c>
    </row>
    <row r="7" spans="1:16" ht="15.6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10">
        <v>1</v>
      </c>
      <c r="L7" s="10">
        <v>2</v>
      </c>
      <c r="M7" s="10">
        <v>3</v>
      </c>
      <c r="N7" s="9"/>
      <c r="O7" s="9"/>
      <c r="P7" s="9"/>
    </row>
    <row r="8" spans="1:16" ht="15.6" x14ac:dyDescent="0.3">
      <c r="A8" s="11">
        <v>1</v>
      </c>
      <c r="B8" s="11">
        <v>2301236</v>
      </c>
      <c r="C8" s="12" t="s">
        <v>3</v>
      </c>
      <c r="D8" s="13">
        <v>33</v>
      </c>
      <c r="E8" s="13">
        <v>15</v>
      </c>
      <c r="F8" s="13">
        <v>45.454545449999998</v>
      </c>
      <c r="G8" s="11" t="s">
        <v>83</v>
      </c>
      <c r="H8" s="17">
        <v>0</v>
      </c>
      <c r="I8" s="17">
        <v>0</v>
      </c>
      <c r="J8" s="15">
        <v>0</v>
      </c>
      <c r="K8" s="19">
        <v>0</v>
      </c>
      <c r="L8" s="19">
        <v>0</v>
      </c>
      <c r="M8" s="19">
        <v>0</v>
      </c>
      <c r="N8" s="15">
        <v>0</v>
      </c>
      <c r="O8" s="11"/>
      <c r="P8" s="13">
        <v>0</v>
      </c>
    </row>
    <row r="9" spans="1:16" ht="15.6" x14ac:dyDescent="0.3">
      <c r="A9" s="11">
        <v>2</v>
      </c>
      <c r="B9" s="11">
        <v>2301237</v>
      </c>
      <c r="C9" s="12" t="s">
        <v>4</v>
      </c>
      <c r="D9" s="13">
        <v>33</v>
      </c>
      <c r="E9" s="13">
        <v>30</v>
      </c>
      <c r="F9" s="13">
        <v>90.909090910000003</v>
      </c>
      <c r="G9" s="11" t="s">
        <v>89</v>
      </c>
      <c r="H9" s="14">
        <v>19</v>
      </c>
      <c r="I9" s="14">
        <v>23</v>
      </c>
      <c r="J9" s="15">
        <v>21</v>
      </c>
      <c r="K9" s="14">
        <v>9</v>
      </c>
      <c r="L9" s="14">
        <v>9</v>
      </c>
      <c r="M9" s="14">
        <v>9</v>
      </c>
      <c r="N9" s="15">
        <v>9</v>
      </c>
      <c r="O9" s="16"/>
      <c r="P9" s="13">
        <v>35</v>
      </c>
    </row>
    <row r="10" spans="1:16" ht="15.6" x14ac:dyDescent="0.3">
      <c r="A10" s="11">
        <v>3</v>
      </c>
      <c r="B10" s="11">
        <v>2301238</v>
      </c>
      <c r="C10" s="12" t="s">
        <v>5</v>
      </c>
      <c r="D10" s="13">
        <v>33</v>
      </c>
      <c r="E10" s="13">
        <v>28</v>
      </c>
      <c r="F10" s="13">
        <v>84.848484850000006</v>
      </c>
      <c r="G10" s="11" t="s">
        <v>90</v>
      </c>
      <c r="H10" s="20">
        <v>12</v>
      </c>
      <c r="I10" s="14">
        <v>16</v>
      </c>
      <c r="J10" s="15">
        <v>14</v>
      </c>
      <c r="K10" s="14">
        <v>9</v>
      </c>
      <c r="L10" s="14">
        <v>7</v>
      </c>
      <c r="M10" s="14">
        <v>8</v>
      </c>
      <c r="N10" s="15">
        <v>8</v>
      </c>
      <c r="O10" s="16"/>
      <c r="P10" s="13">
        <v>25</v>
      </c>
    </row>
    <row r="11" spans="1:16" ht="15.6" x14ac:dyDescent="0.3">
      <c r="A11" s="11">
        <v>4</v>
      </c>
      <c r="B11" s="11">
        <v>2301240</v>
      </c>
      <c r="C11" s="12" t="s">
        <v>6</v>
      </c>
      <c r="D11" s="13">
        <v>33</v>
      </c>
      <c r="E11" s="13">
        <v>31</v>
      </c>
      <c r="F11" s="13">
        <v>93.939393940000002</v>
      </c>
      <c r="G11" s="11" t="s">
        <v>89</v>
      </c>
      <c r="H11" s="14">
        <v>5</v>
      </c>
      <c r="I11" s="14">
        <v>6</v>
      </c>
      <c r="J11" s="15">
        <v>5.5</v>
      </c>
      <c r="K11" s="14">
        <v>9</v>
      </c>
      <c r="L11" s="14">
        <v>8</v>
      </c>
      <c r="M11" s="14">
        <v>8</v>
      </c>
      <c r="N11" s="15">
        <v>8.3333333330000006</v>
      </c>
      <c r="O11" s="16"/>
      <c r="P11" s="13">
        <v>18.833333329999999</v>
      </c>
    </row>
    <row r="12" spans="1:16" ht="15.6" x14ac:dyDescent="0.3">
      <c r="A12" s="11">
        <v>5</v>
      </c>
      <c r="B12" s="11">
        <v>2301241</v>
      </c>
      <c r="C12" s="12" t="s">
        <v>7</v>
      </c>
      <c r="D12" s="13">
        <v>33</v>
      </c>
      <c r="E12" s="13">
        <v>31</v>
      </c>
      <c r="F12" s="13">
        <v>93.939393940000002</v>
      </c>
      <c r="G12" s="11" t="s">
        <v>89</v>
      </c>
      <c r="H12" s="14">
        <v>7</v>
      </c>
      <c r="I12" s="14">
        <v>6</v>
      </c>
      <c r="J12" s="15">
        <v>6.5</v>
      </c>
      <c r="K12" s="14">
        <v>9</v>
      </c>
      <c r="L12" s="14">
        <v>8</v>
      </c>
      <c r="M12" s="14">
        <v>8</v>
      </c>
      <c r="N12" s="15">
        <v>8.3333333330000006</v>
      </c>
      <c r="O12" s="16"/>
      <c r="P12" s="13">
        <v>19.833333329999999</v>
      </c>
    </row>
    <row r="13" spans="1:16" ht="15.6" x14ac:dyDescent="0.3">
      <c r="A13" s="11">
        <v>6</v>
      </c>
      <c r="B13" s="11">
        <v>2301242</v>
      </c>
      <c r="C13" s="12" t="s">
        <v>8</v>
      </c>
      <c r="D13" s="13">
        <v>33</v>
      </c>
      <c r="E13" s="13">
        <v>29</v>
      </c>
      <c r="F13" s="13">
        <v>87.878787880000004</v>
      </c>
      <c r="G13" s="11" t="s">
        <v>84</v>
      </c>
      <c r="H13" s="14">
        <v>17</v>
      </c>
      <c r="I13" s="14">
        <v>14</v>
      </c>
      <c r="J13" s="15">
        <v>15.5</v>
      </c>
      <c r="K13" s="14">
        <v>9</v>
      </c>
      <c r="L13" s="14">
        <v>9</v>
      </c>
      <c r="M13" s="14">
        <v>8</v>
      </c>
      <c r="N13" s="15">
        <v>8.6666666669999994</v>
      </c>
      <c r="O13" s="16"/>
      <c r="P13" s="13">
        <v>28.166666670000001</v>
      </c>
    </row>
    <row r="14" spans="1:16" ht="15.6" x14ac:dyDescent="0.3">
      <c r="A14" s="11">
        <v>7</v>
      </c>
      <c r="B14" s="11">
        <v>2301243</v>
      </c>
      <c r="C14" s="12" t="s">
        <v>9</v>
      </c>
      <c r="D14" s="13">
        <v>33</v>
      </c>
      <c r="E14" s="13">
        <v>21</v>
      </c>
      <c r="F14" s="13">
        <v>63.636363639999999</v>
      </c>
      <c r="G14" s="11" t="s">
        <v>83</v>
      </c>
      <c r="H14" s="14">
        <v>6</v>
      </c>
      <c r="I14" s="14">
        <v>10</v>
      </c>
      <c r="J14" s="15">
        <v>8</v>
      </c>
      <c r="K14" s="14">
        <v>8</v>
      </c>
      <c r="L14" s="14">
        <v>8</v>
      </c>
      <c r="M14" s="21">
        <v>9</v>
      </c>
      <c r="N14" s="15">
        <v>8.3333333330000006</v>
      </c>
      <c r="O14" s="16"/>
      <c r="P14" s="13">
        <v>16.333333329999999</v>
      </c>
    </row>
    <row r="15" spans="1:16" ht="15.6" x14ac:dyDescent="0.3">
      <c r="A15" s="11">
        <v>8</v>
      </c>
      <c r="B15" s="11">
        <v>2301245</v>
      </c>
      <c r="C15" s="12" t="s">
        <v>10</v>
      </c>
      <c r="D15" s="13">
        <v>33</v>
      </c>
      <c r="E15" s="13">
        <v>31</v>
      </c>
      <c r="F15" s="13">
        <v>93.939393940000002</v>
      </c>
      <c r="G15" s="11" t="s">
        <v>89</v>
      </c>
      <c r="H15" s="14">
        <v>22</v>
      </c>
      <c r="I15" s="14">
        <v>19</v>
      </c>
      <c r="J15" s="15">
        <v>20.5</v>
      </c>
      <c r="K15" s="14">
        <v>8</v>
      </c>
      <c r="L15" s="14">
        <v>9</v>
      </c>
      <c r="M15" s="14">
        <v>8</v>
      </c>
      <c r="N15" s="15">
        <v>8.3333333330000006</v>
      </c>
      <c r="O15" s="16"/>
      <c r="P15" s="13">
        <v>33.833333330000002</v>
      </c>
    </row>
    <row r="16" spans="1:16" ht="15.6" x14ac:dyDescent="0.3">
      <c r="A16" s="11">
        <v>9</v>
      </c>
      <c r="B16" s="11">
        <v>2301247</v>
      </c>
      <c r="C16" s="12" t="s">
        <v>11</v>
      </c>
      <c r="D16" s="13">
        <v>33</v>
      </c>
      <c r="E16" s="13">
        <v>17</v>
      </c>
      <c r="F16" s="13">
        <v>51.515151520000003</v>
      </c>
      <c r="G16" s="11" t="s">
        <v>83</v>
      </c>
      <c r="H16" s="14">
        <v>3</v>
      </c>
      <c r="I16" s="14">
        <v>2</v>
      </c>
      <c r="J16" s="15">
        <v>2.5</v>
      </c>
      <c r="K16" s="14">
        <v>7</v>
      </c>
      <c r="L16" s="14">
        <v>8</v>
      </c>
      <c r="M16" s="14">
        <v>8</v>
      </c>
      <c r="N16" s="15">
        <v>7.6666666670000003</v>
      </c>
      <c r="O16" s="16"/>
      <c r="P16" s="13">
        <v>10.16666667</v>
      </c>
    </row>
    <row r="17" spans="1:16" ht="15.6" x14ac:dyDescent="0.3">
      <c r="A17" s="11">
        <v>10</v>
      </c>
      <c r="B17" s="11">
        <v>2301249</v>
      </c>
      <c r="C17" s="12" t="s">
        <v>12</v>
      </c>
      <c r="D17" s="13">
        <v>33</v>
      </c>
      <c r="E17" s="13">
        <v>21</v>
      </c>
      <c r="F17" s="13">
        <v>63.636363639999999</v>
      </c>
      <c r="G17" s="11" t="s">
        <v>83</v>
      </c>
      <c r="H17" s="14">
        <v>4</v>
      </c>
      <c r="I17" s="14">
        <v>3</v>
      </c>
      <c r="J17" s="15">
        <v>3.5</v>
      </c>
      <c r="K17" s="14">
        <v>9</v>
      </c>
      <c r="L17" s="14">
        <v>8</v>
      </c>
      <c r="M17" s="14">
        <v>8</v>
      </c>
      <c r="N17" s="15">
        <v>8.3333333330000006</v>
      </c>
      <c r="O17" s="16"/>
      <c r="P17" s="13">
        <v>11.83333333</v>
      </c>
    </row>
    <row r="18" spans="1:16" ht="15.6" x14ac:dyDescent="0.3">
      <c r="A18" s="11">
        <v>11</v>
      </c>
      <c r="B18" s="11">
        <v>2301250</v>
      </c>
      <c r="C18" s="12" t="s">
        <v>13</v>
      </c>
      <c r="D18" s="13">
        <v>33</v>
      </c>
      <c r="E18" s="13">
        <v>29</v>
      </c>
      <c r="F18" s="13">
        <v>87.878787880000004</v>
      </c>
      <c r="G18" s="11" t="s">
        <v>84</v>
      </c>
      <c r="H18" s="14">
        <v>5</v>
      </c>
      <c r="I18" s="14">
        <v>7</v>
      </c>
      <c r="J18" s="15">
        <v>6</v>
      </c>
      <c r="K18" s="14">
        <v>8</v>
      </c>
      <c r="L18" s="14">
        <v>8</v>
      </c>
      <c r="M18" s="14">
        <v>9</v>
      </c>
      <c r="N18" s="15">
        <v>8.3333333330000006</v>
      </c>
      <c r="O18" s="16"/>
      <c r="P18" s="13">
        <v>18.333333329999999</v>
      </c>
    </row>
    <row r="19" spans="1:16" ht="15.6" x14ac:dyDescent="0.3">
      <c r="A19" s="11">
        <v>12</v>
      </c>
      <c r="B19" s="11">
        <v>2301251</v>
      </c>
      <c r="C19" s="12" t="s">
        <v>14</v>
      </c>
      <c r="D19" s="13">
        <v>33</v>
      </c>
      <c r="E19" s="13">
        <v>27</v>
      </c>
      <c r="F19" s="13">
        <v>81.818181820000007</v>
      </c>
      <c r="G19" s="11" t="s">
        <v>90</v>
      </c>
      <c r="H19" s="14">
        <v>3</v>
      </c>
      <c r="I19" s="14">
        <v>3</v>
      </c>
      <c r="J19" s="15">
        <v>3</v>
      </c>
      <c r="K19" s="14">
        <v>8</v>
      </c>
      <c r="L19" s="14">
        <v>7</v>
      </c>
      <c r="M19" s="14">
        <v>8</v>
      </c>
      <c r="N19" s="15">
        <v>7.6666666670000003</v>
      </c>
      <c r="O19" s="16"/>
      <c r="P19" s="13">
        <v>13.66666667</v>
      </c>
    </row>
    <row r="20" spans="1:16" ht="15.6" x14ac:dyDescent="0.3">
      <c r="A20" s="11">
        <v>13</v>
      </c>
      <c r="B20" s="11">
        <v>2301252</v>
      </c>
      <c r="C20" s="12" t="s">
        <v>15</v>
      </c>
      <c r="D20" s="13">
        <v>33</v>
      </c>
      <c r="E20" s="13">
        <v>21</v>
      </c>
      <c r="F20" s="13">
        <v>63.636363639999999</v>
      </c>
      <c r="G20" s="11" t="s">
        <v>83</v>
      </c>
      <c r="H20" s="14">
        <v>10</v>
      </c>
      <c r="I20" s="14">
        <v>10</v>
      </c>
      <c r="J20" s="15">
        <v>10</v>
      </c>
      <c r="K20" s="14">
        <v>8</v>
      </c>
      <c r="L20" s="14">
        <v>6</v>
      </c>
      <c r="M20" s="14">
        <v>7</v>
      </c>
      <c r="N20" s="15">
        <v>7</v>
      </c>
      <c r="O20" s="16"/>
      <c r="P20" s="13">
        <v>17</v>
      </c>
    </row>
    <row r="21" spans="1:16" ht="15.6" x14ac:dyDescent="0.3">
      <c r="A21" s="11">
        <v>14</v>
      </c>
      <c r="B21" s="11">
        <v>2301253</v>
      </c>
      <c r="C21" s="12" t="s">
        <v>16</v>
      </c>
      <c r="D21" s="13">
        <v>33</v>
      </c>
      <c r="E21" s="13">
        <v>31</v>
      </c>
      <c r="F21" s="13">
        <v>93.939393940000002</v>
      </c>
      <c r="G21" s="11" t="s">
        <v>89</v>
      </c>
      <c r="H21" s="14">
        <v>15</v>
      </c>
      <c r="I21" s="14">
        <v>15</v>
      </c>
      <c r="J21" s="15">
        <v>15</v>
      </c>
      <c r="K21" s="14">
        <v>9</v>
      </c>
      <c r="L21" s="14">
        <v>9</v>
      </c>
      <c r="M21" s="14">
        <v>9</v>
      </c>
      <c r="N21" s="15">
        <v>9</v>
      </c>
      <c r="O21" s="16"/>
      <c r="P21" s="13">
        <v>29</v>
      </c>
    </row>
    <row r="22" spans="1:16" ht="15.6" x14ac:dyDescent="0.3">
      <c r="A22" s="11">
        <v>15</v>
      </c>
      <c r="B22" s="11">
        <v>2301255</v>
      </c>
      <c r="C22" s="12" t="s">
        <v>17</v>
      </c>
      <c r="D22" s="13">
        <v>33</v>
      </c>
      <c r="E22" s="13">
        <v>1</v>
      </c>
      <c r="F22" s="13">
        <v>3.0303030299999998</v>
      </c>
      <c r="G22" s="11" t="s">
        <v>83</v>
      </c>
      <c r="H22" s="14">
        <v>4</v>
      </c>
      <c r="I22" s="17">
        <v>0</v>
      </c>
      <c r="J22" s="15">
        <v>2</v>
      </c>
      <c r="K22" s="14">
        <v>9</v>
      </c>
      <c r="L22" s="14">
        <v>0</v>
      </c>
      <c r="M22" s="14">
        <v>8</v>
      </c>
      <c r="N22" s="15">
        <v>5.6666666670000003</v>
      </c>
      <c r="O22" s="16"/>
      <c r="P22" s="13">
        <v>7.6666666670000003</v>
      </c>
    </row>
    <row r="23" spans="1:16" ht="15.6" x14ac:dyDescent="0.3">
      <c r="A23" s="11">
        <v>16</v>
      </c>
      <c r="B23" s="11">
        <v>2301256</v>
      </c>
      <c r="C23" s="12" t="s">
        <v>18</v>
      </c>
      <c r="D23" s="13">
        <v>33</v>
      </c>
      <c r="E23" s="13">
        <v>32</v>
      </c>
      <c r="F23" s="13">
        <v>96.969696970000001</v>
      </c>
      <c r="G23" s="11" t="s">
        <v>86</v>
      </c>
      <c r="H23" s="14">
        <v>7</v>
      </c>
      <c r="I23" s="14">
        <v>14</v>
      </c>
      <c r="J23" s="15">
        <v>10.5</v>
      </c>
      <c r="K23" s="14">
        <v>8</v>
      </c>
      <c r="L23" s="14">
        <v>8</v>
      </c>
      <c r="M23" s="14">
        <v>7</v>
      </c>
      <c r="N23" s="15">
        <v>7.6666666670000003</v>
      </c>
      <c r="O23" s="16"/>
      <c r="P23" s="13">
        <v>24.166666670000001</v>
      </c>
    </row>
    <row r="24" spans="1:16" ht="15.6" x14ac:dyDescent="0.3">
      <c r="A24" s="11">
        <v>17</v>
      </c>
      <c r="B24" s="11">
        <v>2301257</v>
      </c>
      <c r="C24" s="12" t="s">
        <v>19</v>
      </c>
      <c r="D24" s="13">
        <v>33</v>
      </c>
      <c r="E24" s="13">
        <v>26</v>
      </c>
      <c r="F24" s="13">
        <v>78.787878789999994</v>
      </c>
      <c r="G24" s="11" t="s">
        <v>85</v>
      </c>
      <c r="H24" s="14">
        <v>3</v>
      </c>
      <c r="I24" s="14">
        <v>1</v>
      </c>
      <c r="J24" s="15">
        <v>2</v>
      </c>
      <c r="K24" s="14">
        <v>8</v>
      </c>
      <c r="L24" s="14">
        <v>8</v>
      </c>
      <c r="M24" s="14">
        <v>8</v>
      </c>
      <c r="N24" s="15">
        <v>8</v>
      </c>
      <c r="O24" s="16"/>
      <c r="P24" s="13">
        <v>12</v>
      </c>
    </row>
    <row r="25" spans="1:16" ht="15.6" x14ac:dyDescent="0.3">
      <c r="A25" s="11">
        <v>18</v>
      </c>
      <c r="B25" s="11">
        <v>2301258</v>
      </c>
      <c r="C25" s="12" t="s">
        <v>20</v>
      </c>
      <c r="D25" s="13">
        <v>33</v>
      </c>
      <c r="E25" s="13">
        <v>7</v>
      </c>
      <c r="F25" s="13">
        <v>21.212121209999999</v>
      </c>
      <c r="G25" s="11" t="s">
        <v>83</v>
      </c>
      <c r="H25" s="17">
        <v>0</v>
      </c>
      <c r="I25" s="17">
        <v>0</v>
      </c>
      <c r="J25" s="15">
        <v>0</v>
      </c>
      <c r="K25" s="14">
        <v>0</v>
      </c>
      <c r="L25" s="14">
        <v>0</v>
      </c>
      <c r="M25" s="14">
        <v>0</v>
      </c>
      <c r="N25" s="15">
        <v>0</v>
      </c>
      <c r="O25" s="16"/>
      <c r="P25" s="13">
        <v>0</v>
      </c>
    </row>
    <row r="26" spans="1:16" ht="15.6" x14ac:dyDescent="0.3">
      <c r="A26" s="11">
        <v>19</v>
      </c>
      <c r="B26" s="11">
        <v>2301259</v>
      </c>
      <c r="C26" s="12" t="s">
        <v>21</v>
      </c>
      <c r="D26" s="13">
        <v>33</v>
      </c>
      <c r="E26" s="13">
        <v>24</v>
      </c>
      <c r="F26" s="13">
        <v>72.727272729999996</v>
      </c>
      <c r="G26" s="11" t="s">
        <v>83</v>
      </c>
      <c r="H26" s="14">
        <v>13</v>
      </c>
      <c r="I26" s="14">
        <v>6</v>
      </c>
      <c r="J26" s="15">
        <v>9.5</v>
      </c>
      <c r="K26" s="14">
        <v>8</v>
      </c>
      <c r="L26" s="14">
        <v>8</v>
      </c>
      <c r="M26" s="14">
        <v>8</v>
      </c>
      <c r="N26" s="15">
        <v>8</v>
      </c>
      <c r="O26" s="16"/>
      <c r="P26" s="13">
        <v>17.5</v>
      </c>
    </row>
    <row r="27" spans="1:16" ht="15.6" x14ac:dyDescent="0.3">
      <c r="A27" s="11">
        <v>20</v>
      </c>
      <c r="B27" s="11">
        <v>2301260</v>
      </c>
      <c r="C27" s="12" t="s">
        <v>22</v>
      </c>
      <c r="D27" s="13">
        <v>33</v>
      </c>
      <c r="E27" s="13">
        <v>24</v>
      </c>
      <c r="F27" s="13">
        <v>72.727272729999996</v>
      </c>
      <c r="G27" s="11" t="s">
        <v>83</v>
      </c>
      <c r="H27" s="14">
        <v>1</v>
      </c>
      <c r="I27" s="17">
        <v>0</v>
      </c>
      <c r="J27" s="15">
        <v>0.5</v>
      </c>
      <c r="K27" s="14">
        <v>0</v>
      </c>
      <c r="L27" s="14">
        <v>7</v>
      </c>
      <c r="M27" s="14">
        <v>7</v>
      </c>
      <c r="N27" s="15">
        <v>4.6666666670000003</v>
      </c>
      <c r="O27" s="16"/>
      <c r="P27" s="13">
        <v>5.1666666670000003</v>
      </c>
    </row>
    <row r="28" spans="1:16" ht="15.6" x14ac:dyDescent="0.3">
      <c r="A28" s="11">
        <v>21</v>
      </c>
      <c r="B28" s="11">
        <v>2301261</v>
      </c>
      <c r="C28" s="12" t="s">
        <v>23</v>
      </c>
      <c r="D28" s="13">
        <v>33</v>
      </c>
      <c r="E28" s="13">
        <v>17</v>
      </c>
      <c r="F28" s="13">
        <v>51.515151520000003</v>
      </c>
      <c r="G28" s="11" t="s">
        <v>83</v>
      </c>
      <c r="H28" s="17">
        <v>0</v>
      </c>
      <c r="I28" s="14">
        <v>3</v>
      </c>
      <c r="J28" s="15">
        <v>1.5</v>
      </c>
      <c r="K28" s="14">
        <v>0</v>
      </c>
      <c r="L28" s="14">
        <v>0</v>
      </c>
      <c r="M28" s="14">
        <v>8</v>
      </c>
      <c r="N28" s="15">
        <v>2.6666666669999999</v>
      </c>
      <c r="O28" s="16"/>
      <c r="P28" s="13">
        <v>4.1666666670000003</v>
      </c>
    </row>
    <row r="29" spans="1:16" ht="15.6" x14ac:dyDescent="0.3">
      <c r="A29" s="11">
        <v>22</v>
      </c>
      <c r="B29" s="11">
        <v>2301262</v>
      </c>
      <c r="C29" s="12" t="s">
        <v>24</v>
      </c>
      <c r="D29" s="13">
        <v>33</v>
      </c>
      <c r="E29" s="13">
        <v>26</v>
      </c>
      <c r="F29" s="13">
        <v>78.787878789999994</v>
      </c>
      <c r="G29" s="11" t="s">
        <v>85</v>
      </c>
      <c r="H29" s="14">
        <v>4</v>
      </c>
      <c r="I29" s="14">
        <v>0</v>
      </c>
      <c r="J29" s="15">
        <v>2</v>
      </c>
      <c r="K29" s="14">
        <v>8</v>
      </c>
      <c r="L29" s="14">
        <v>8</v>
      </c>
      <c r="M29" s="14">
        <v>9</v>
      </c>
      <c r="N29" s="15">
        <v>8.3333333330000006</v>
      </c>
      <c r="O29" s="16"/>
      <c r="P29" s="13">
        <v>12.33333333</v>
      </c>
    </row>
    <row r="30" spans="1:16" ht="15.6" x14ac:dyDescent="0.3">
      <c r="A30" s="11">
        <v>23</v>
      </c>
      <c r="B30" s="11">
        <v>2301263</v>
      </c>
      <c r="C30" s="12" t="s">
        <v>25</v>
      </c>
      <c r="D30" s="13">
        <v>33</v>
      </c>
      <c r="E30" s="13">
        <v>33</v>
      </c>
      <c r="F30" s="13">
        <v>100</v>
      </c>
      <c r="G30" s="11" t="s">
        <v>86</v>
      </c>
      <c r="H30" s="14">
        <v>13</v>
      </c>
      <c r="I30" s="14">
        <v>10</v>
      </c>
      <c r="J30" s="15">
        <v>11.5</v>
      </c>
      <c r="K30" s="14">
        <v>9</v>
      </c>
      <c r="L30" s="14">
        <v>9</v>
      </c>
      <c r="M30" s="14">
        <v>9</v>
      </c>
      <c r="N30" s="15">
        <v>9</v>
      </c>
      <c r="O30" s="16"/>
      <c r="P30" s="13">
        <v>26.5</v>
      </c>
    </row>
    <row r="31" spans="1:16" ht="15.6" x14ac:dyDescent="0.3">
      <c r="A31" s="11">
        <v>24</v>
      </c>
      <c r="B31" s="11">
        <v>2301264</v>
      </c>
      <c r="C31" s="12" t="s">
        <v>26</v>
      </c>
      <c r="D31" s="13">
        <v>33</v>
      </c>
      <c r="E31" s="13">
        <v>22</v>
      </c>
      <c r="F31" s="13">
        <v>66.666666669999998</v>
      </c>
      <c r="G31" s="11" t="s">
        <v>83</v>
      </c>
      <c r="H31" s="14">
        <v>0</v>
      </c>
      <c r="I31" s="14">
        <v>0</v>
      </c>
      <c r="J31" s="15">
        <v>0</v>
      </c>
      <c r="K31" s="14">
        <v>7</v>
      </c>
      <c r="L31" s="14">
        <v>7</v>
      </c>
      <c r="M31" s="14">
        <v>7</v>
      </c>
      <c r="N31" s="15">
        <v>7</v>
      </c>
      <c r="O31" s="16"/>
      <c r="P31" s="13">
        <v>7</v>
      </c>
    </row>
    <row r="32" spans="1:16" ht="15.6" x14ac:dyDescent="0.3">
      <c r="A32" s="11">
        <v>25</v>
      </c>
      <c r="B32" s="11">
        <v>2301265</v>
      </c>
      <c r="C32" s="12" t="s">
        <v>27</v>
      </c>
      <c r="D32" s="13">
        <v>33</v>
      </c>
      <c r="E32" s="13">
        <v>28</v>
      </c>
      <c r="F32" s="13">
        <v>84.848484850000006</v>
      </c>
      <c r="G32" s="11" t="s">
        <v>90</v>
      </c>
      <c r="H32" s="20">
        <v>15</v>
      </c>
      <c r="I32" s="14">
        <v>2</v>
      </c>
      <c r="J32" s="15">
        <v>8.5</v>
      </c>
      <c r="K32" s="14">
        <v>8</v>
      </c>
      <c r="L32" s="14">
        <v>8</v>
      </c>
      <c r="M32" s="14">
        <v>9</v>
      </c>
      <c r="N32" s="15">
        <v>8.3333333330000006</v>
      </c>
      <c r="O32" s="16"/>
      <c r="P32" s="13">
        <v>19.833333329999999</v>
      </c>
    </row>
    <row r="33" spans="1:16" ht="15.6" x14ac:dyDescent="0.3">
      <c r="A33" s="11">
        <v>26</v>
      </c>
      <c r="B33" s="11">
        <v>2301267</v>
      </c>
      <c r="C33" s="12" t="s">
        <v>28</v>
      </c>
      <c r="D33" s="13">
        <v>33</v>
      </c>
      <c r="E33" s="13">
        <v>27</v>
      </c>
      <c r="F33" s="13">
        <v>81.818181820000007</v>
      </c>
      <c r="G33" s="11" t="s">
        <v>90</v>
      </c>
      <c r="H33" s="14">
        <v>10</v>
      </c>
      <c r="I33" s="14">
        <v>2</v>
      </c>
      <c r="J33" s="15">
        <v>6</v>
      </c>
      <c r="K33" s="14">
        <v>9</v>
      </c>
      <c r="L33" s="14">
        <v>8</v>
      </c>
      <c r="M33" s="14">
        <v>8</v>
      </c>
      <c r="N33" s="15">
        <v>8.3333333330000006</v>
      </c>
      <c r="O33" s="16"/>
      <c r="P33" s="13">
        <v>17.333333329999999</v>
      </c>
    </row>
    <row r="34" spans="1:16" ht="15.6" x14ac:dyDescent="0.3">
      <c r="A34" s="11">
        <v>27</v>
      </c>
      <c r="B34" s="11">
        <v>2301268</v>
      </c>
      <c r="C34" s="12" t="s">
        <v>29</v>
      </c>
      <c r="D34" s="13">
        <v>33</v>
      </c>
      <c r="E34" s="13">
        <v>12</v>
      </c>
      <c r="F34" s="13">
        <v>36.363636360000001</v>
      </c>
      <c r="G34" s="11" t="s">
        <v>83</v>
      </c>
      <c r="H34" s="17">
        <v>0</v>
      </c>
      <c r="I34" s="14">
        <v>0</v>
      </c>
      <c r="J34" s="15">
        <v>0</v>
      </c>
      <c r="K34" s="14">
        <v>0</v>
      </c>
      <c r="L34" s="14">
        <v>0</v>
      </c>
      <c r="M34" s="14">
        <v>0</v>
      </c>
      <c r="N34" s="15">
        <v>0</v>
      </c>
      <c r="O34" s="16"/>
      <c r="P34" s="13">
        <v>0</v>
      </c>
    </row>
    <row r="35" spans="1:16" ht="15.6" x14ac:dyDescent="0.3">
      <c r="A35" s="11">
        <v>28</v>
      </c>
      <c r="B35" s="11">
        <v>2301269</v>
      </c>
      <c r="C35" s="12" t="s">
        <v>30</v>
      </c>
      <c r="D35" s="13">
        <v>33</v>
      </c>
      <c r="E35" s="13">
        <v>33</v>
      </c>
      <c r="F35" s="13">
        <v>100</v>
      </c>
      <c r="G35" s="11" t="s">
        <v>86</v>
      </c>
      <c r="H35" s="14">
        <v>15</v>
      </c>
      <c r="I35" s="14">
        <v>13</v>
      </c>
      <c r="J35" s="15">
        <v>14</v>
      </c>
      <c r="K35" s="14">
        <v>8</v>
      </c>
      <c r="L35" s="14">
        <v>9</v>
      </c>
      <c r="M35" s="14">
        <v>8</v>
      </c>
      <c r="N35" s="15">
        <v>8.3333333330000006</v>
      </c>
      <c r="O35" s="16"/>
      <c r="P35" s="13">
        <v>28.333333329999999</v>
      </c>
    </row>
    <row r="36" spans="1:16" ht="15.6" x14ac:dyDescent="0.3">
      <c r="A36" s="11">
        <v>29</v>
      </c>
      <c r="B36" s="11">
        <v>2301270</v>
      </c>
      <c r="C36" s="12" t="s">
        <v>31</v>
      </c>
      <c r="D36" s="13">
        <v>33</v>
      </c>
      <c r="E36" s="13">
        <v>18</v>
      </c>
      <c r="F36" s="13">
        <v>54.545454550000002</v>
      </c>
      <c r="G36" s="11" t="s">
        <v>83</v>
      </c>
      <c r="H36" s="17">
        <v>0</v>
      </c>
      <c r="I36" s="14">
        <v>0</v>
      </c>
      <c r="J36" s="15">
        <v>0</v>
      </c>
      <c r="K36" s="14">
        <v>7</v>
      </c>
      <c r="L36" s="14">
        <v>0</v>
      </c>
      <c r="M36" s="14">
        <v>0</v>
      </c>
      <c r="N36" s="15">
        <v>2.3333333330000001</v>
      </c>
      <c r="O36" s="16"/>
      <c r="P36" s="13">
        <v>2.3333333330000001</v>
      </c>
    </row>
    <row r="37" spans="1:16" ht="15.6" x14ac:dyDescent="0.3">
      <c r="A37" s="11">
        <v>30</v>
      </c>
      <c r="B37" s="11">
        <v>2301271</v>
      </c>
      <c r="C37" s="12" t="s">
        <v>32</v>
      </c>
      <c r="D37" s="13">
        <v>33</v>
      </c>
      <c r="E37" s="13">
        <v>22</v>
      </c>
      <c r="F37" s="13">
        <v>66.666666669999998</v>
      </c>
      <c r="G37" s="11" t="s">
        <v>83</v>
      </c>
      <c r="H37" s="22">
        <v>14</v>
      </c>
      <c r="I37" s="14">
        <v>10</v>
      </c>
      <c r="J37" s="15">
        <v>12</v>
      </c>
      <c r="K37" s="14">
        <v>7</v>
      </c>
      <c r="L37" s="14">
        <v>7</v>
      </c>
      <c r="M37" s="14">
        <v>8</v>
      </c>
      <c r="N37" s="15">
        <v>7.3333333329999997</v>
      </c>
      <c r="O37" s="16"/>
      <c r="P37" s="13">
        <v>19.333333329999999</v>
      </c>
    </row>
    <row r="38" spans="1:16" ht="15.6" x14ac:dyDescent="0.3">
      <c r="A38" s="11">
        <v>31</v>
      </c>
      <c r="B38" s="11">
        <v>2301272</v>
      </c>
      <c r="C38" s="12" t="s">
        <v>33</v>
      </c>
      <c r="D38" s="13">
        <v>33</v>
      </c>
      <c r="E38" s="13">
        <v>6</v>
      </c>
      <c r="F38" s="13">
        <v>18.18181818</v>
      </c>
      <c r="G38" s="11" t="s">
        <v>83</v>
      </c>
      <c r="H38" s="17">
        <v>0</v>
      </c>
      <c r="I38" s="17">
        <v>0</v>
      </c>
      <c r="J38" s="15">
        <v>0</v>
      </c>
      <c r="K38" s="14">
        <v>0</v>
      </c>
      <c r="L38" s="14">
        <v>0</v>
      </c>
      <c r="M38" s="14">
        <v>0</v>
      </c>
      <c r="N38" s="15">
        <v>0</v>
      </c>
      <c r="O38" s="16"/>
      <c r="P38" s="13">
        <v>0</v>
      </c>
    </row>
    <row r="39" spans="1:16" ht="15.6" x14ac:dyDescent="0.3">
      <c r="A39" s="11">
        <v>32</v>
      </c>
      <c r="B39" s="11">
        <v>2301273</v>
      </c>
      <c r="C39" s="12" t="s">
        <v>34</v>
      </c>
      <c r="D39" s="13">
        <v>33</v>
      </c>
      <c r="E39" s="13">
        <v>26</v>
      </c>
      <c r="F39" s="13">
        <v>78.787878789999994</v>
      </c>
      <c r="G39" s="11" t="s">
        <v>85</v>
      </c>
      <c r="H39" s="14">
        <v>3</v>
      </c>
      <c r="I39" s="14">
        <v>13</v>
      </c>
      <c r="J39" s="15">
        <v>8</v>
      </c>
      <c r="K39" s="14">
        <v>9</v>
      </c>
      <c r="L39" s="14">
        <v>8</v>
      </c>
      <c r="M39" s="14">
        <v>8</v>
      </c>
      <c r="N39" s="15">
        <v>8.3333333330000006</v>
      </c>
      <c r="O39" s="16"/>
      <c r="P39" s="13">
        <v>18.333333329999999</v>
      </c>
    </row>
    <row r="40" spans="1:16" ht="15.6" x14ac:dyDescent="0.3">
      <c r="A40" s="11">
        <v>33</v>
      </c>
      <c r="B40" s="11">
        <v>2301274</v>
      </c>
      <c r="C40" s="12" t="s">
        <v>35</v>
      </c>
      <c r="D40" s="13">
        <v>33</v>
      </c>
      <c r="E40" s="13">
        <v>33</v>
      </c>
      <c r="F40" s="13">
        <v>100</v>
      </c>
      <c r="G40" s="11" t="s">
        <v>86</v>
      </c>
      <c r="H40" s="14">
        <v>17</v>
      </c>
      <c r="I40" s="14">
        <v>20</v>
      </c>
      <c r="J40" s="15">
        <v>18.5</v>
      </c>
      <c r="K40" s="14">
        <v>9</v>
      </c>
      <c r="L40" s="14">
        <v>9</v>
      </c>
      <c r="M40" s="14">
        <v>9</v>
      </c>
      <c r="N40" s="15">
        <v>9</v>
      </c>
      <c r="O40" s="16"/>
      <c r="P40" s="13">
        <v>33.5</v>
      </c>
    </row>
    <row r="41" spans="1:16" ht="15.6" x14ac:dyDescent="0.3">
      <c r="A41" s="11">
        <v>34</v>
      </c>
      <c r="B41" s="11">
        <v>2301275</v>
      </c>
      <c r="C41" s="12" t="s">
        <v>36</v>
      </c>
      <c r="D41" s="13">
        <v>33</v>
      </c>
      <c r="E41" s="13">
        <v>33</v>
      </c>
      <c r="F41" s="13">
        <v>100</v>
      </c>
      <c r="G41" s="11" t="s">
        <v>86</v>
      </c>
      <c r="H41" s="14">
        <v>10</v>
      </c>
      <c r="I41" s="14">
        <v>10</v>
      </c>
      <c r="J41" s="15">
        <v>10</v>
      </c>
      <c r="K41" s="14">
        <v>9</v>
      </c>
      <c r="L41" s="14">
        <v>8</v>
      </c>
      <c r="M41" s="14">
        <v>0</v>
      </c>
      <c r="N41" s="15">
        <v>5.6666666670000003</v>
      </c>
      <c r="O41" s="16"/>
      <c r="P41" s="13">
        <v>21.666666670000001</v>
      </c>
    </row>
    <row r="42" spans="1:16" ht="15.6" x14ac:dyDescent="0.3">
      <c r="A42" s="11">
        <v>35</v>
      </c>
      <c r="B42" s="11">
        <v>2301277</v>
      </c>
      <c r="C42" s="12" t="s">
        <v>37</v>
      </c>
      <c r="D42" s="13">
        <v>33</v>
      </c>
      <c r="E42" s="13">
        <v>27</v>
      </c>
      <c r="F42" s="13">
        <v>81.818181820000007</v>
      </c>
      <c r="G42" s="11" t="s">
        <v>90</v>
      </c>
      <c r="H42" s="14">
        <v>14</v>
      </c>
      <c r="I42" s="14">
        <v>1</v>
      </c>
      <c r="J42" s="15">
        <v>7.5</v>
      </c>
      <c r="K42" s="14">
        <v>9</v>
      </c>
      <c r="L42" s="14">
        <v>7</v>
      </c>
      <c r="M42" s="14">
        <v>8</v>
      </c>
      <c r="N42" s="15">
        <v>8</v>
      </c>
      <c r="O42" s="16"/>
      <c r="P42" s="13">
        <v>18.5</v>
      </c>
    </row>
    <row r="43" spans="1:16" ht="15.6" x14ac:dyDescent="0.3">
      <c r="A43" s="11">
        <v>36</v>
      </c>
      <c r="B43" s="11">
        <v>2301278</v>
      </c>
      <c r="C43" s="12" t="s">
        <v>38</v>
      </c>
      <c r="D43" s="13">
        <v>33</v>
      </c>
      <c r="E43" s="13">
        <v>2</v>
      </c>
      <c r="F43" s="13">
        <v>6.0606060609999997</v>
      </c>
      <c r="G43" s="11" t="s">
        <v>83</v>
      </c>
      <c r="H43" s="14">
        <v>8</v>
      </c>
      <c r="I43" s="17">
        <v>0</v>
      </c>
      <c r="J43" s="15">
        <v>4</v>
      </c>
      <c r="K43" s="14">
        <v>0</v>
      </c>
      <c r="L43" s="14">
        <v>0</v>
      </c>
      <c r="M43" s="14">
        <v>0</v>
      </c>
      <c r="N43" s="15">
        <v>0</v>
      </c>
      <c r="O43" s="16"/>
      <c r="P43" s="13">
        <v>4</v>
      </c>
    </row>
    <row r="44" spans="1:16" ht="15.6" x14ac:dyDescent="0.3">
      <c r="A44" s="11">
        <v>37</v>
      </c>
      <c r="B44" s="11">
        <v>2301279</v>
      </c>
      <c r="C44" s="12" t="s">
        <v>39</v>
      </c>
      <c r="D44" s="13">
        <v>33</v>
      </c>
      <c r="E44" s="13">
        <v>33</v>
      </c>
      <c r="F44" s="13">
        <v>100</v>
      </c>
      <c r="G44" s="11" t="s">
        <v>86</v>
      </c>
      <c r="H44" s="14">
        <v>8</v>
      </c>
      <c r="I44" s="14">
        <v>7</v>
      </c>
      <c r="J44" s="15">
        <v>7.5</v>
      </c>
      <c r="K44" s="14">
        <v>9</v>
      </c>
      <c r="L44" s="14">
        <v>8</v>
      </c>
      <c r="M44" s="14">
        <v>8</v>
      </c>
      <c r="N44" s="15">
        <v>8.3333333330000006</v>
      </c>
      <c r="O44" s="16"/>
      <c r="P44" s="13">
        <v>21.833333329999999</v>
      </c>
    </row>
    <row r="45" spans="1:16" ht="15.6" x14ac:dyDescent="0.3">
      <c r="A45" s="11">
        <v>38</v>
      </c>
      <c r="B45" s="11">
        <v>2339508</v>
      </c>
      <c r="C45" s="12" t="s">
        <v>40</v>
      </c>
      <c r="D45" s="13">
        <v>33</v>
      </c>
      <c r="E45" s="13">
        <v>26</v>
      </c>
      <c r="F45" s="13">
        <v>78.787878789999994</v>
      </c>
      <c r="G45" s="11" t="s">
        <v>85</v>
      </c>
      <c r="H45" s="17">
        <v>0</v>
      </c>
      <c r="I45" s="14">
        <v>2</v>
      </c>
      <c r="J45" s="15">
        <v>1</v>
      </c>
      <c r="K45" s="14">
        <v>6</v>
      </c>
      <c r="L45" s="14">
        <v>7</v>
      </c>
      <c r="M45" s="14">
        <v>8</v>
      </c>
      <c r="N45" s="15">
        <v>7</v>
      </c>
      <c r="O45" s="16"/>
      <c r="P45" s="13">
        <v>10</v>
      </c>
    </row>
    <row r="46" spans="1:16" ht="15.6" x14ac:dyDescent="0.3">
      <c r="A46" s="11">
        <v>39</v>
      </c>
      <c r="B46" s="11">
        <v>2301280</v>
      </c>
      <c r="C46" s="12" t="s">
        <v>41</v>
      </c>
      <c r="D46" s="13">
        <v>33</v>
      </c>
      <c r="E46" s="13">
        <v>22</v>
      </c>
      <c r="F46" s="13">
        <v>66.666666669999998</v>
      </c>
      <c r="G46" s="11" t="s">
        <v>83</v>
      </c>
      <c r="H46" s="14">
        <v>6</v>
      </c>
      <c r="I46" s="14">
        <v>2</v>
      </c>
      <c r="J46" s="15">
        <v>4</v>
      </c>
      <c r="K46" s="14">
        <v>8</v>
      </c>
      <c r="L46" s="14">
        <v>7</v>
      </c>
      <c r="M46" s="14">
        <v>7</v>
      </c>
      <c r="N46" s="15">
        <v>7.3333333329999997</v>
      </c>
      <c r="O46" s="16"/>
      <c r="P46" s="13">
        <v>11.33333333</v>
      </c>
    </row>
    <row r="47" spans="1:16" ht="15.6" x14ac:dyDescent="0.3">
      <c r="A47" s="11">
        <v>40</v>
      </c>
      <c r="B47" s="11">
        <v>2301281</v>
      </c>
      <c r="C47" s="12" t="s">
        <v>42</v>
      </c>
      <c r="D47" s="13">
        <v>33</v>
      </c>
      <c r="E47" s="13">
        <v>22</v>
      </c>
      <c r="F47" s="13">
        <v>66.666666669999998</v>
      </c>
      <c r="G47" s="11" t="s">
        <v>83</v>
      </c>
      <c r="H47" s="23">
        <v>12</v>
      </c>
      <c r="I47" s="14">
        <v>5</v>
      </c>
      <c r="J47" s="15">
        <v>8.5</v>
      </c>
      <c r="K47" s="14">
        <v>7</v>
      </c>
      <c r="L47" s="14">
        <v>7</v>
      </c>
      <c r="M47" s="14">
        <v>7</v>
      </c>
      <c r="N47" s="15">
        <v>7</v>
      </c>
      <c r="O47" s="16"/>
      <c r="P47" s="13">
        <v>15.5</v>
      </c>
    </row>
    <row r="48" spans="1:16" ht="15.6" x14ac:dyDescent="0.3">
      <c r="A48" s="11">
        <v>41</v>
      </c>
      <c r="B48" s="11">
        <v>2339509</v>
      </c>
      <c r="C48" s="12" t="s">
        <v>43</v>
      </c>
      <c r="D48" s="13">
        <v>33</v>
      </c>
      <c r="E48" s="13">
        <v>0</v>
      </c>
      <c r="F48" s="13">
        <v>0</v>
      </c>
      <c r="G48" s="11" t="s">
        <v>83</v>
      </c>
      <c r="H48" s="17">
        <v>0</v>
      </c>
      <c r="I48" s="17">
        <v>0</v>
      </c>
      <c r="J48" s="15">
        <v>0</v>
      </c>
      <c r="K48" s="14">
        <v>0</v>
      </c>
      <c r="L48" s="14">
        <v>0</v>
      </c>
      <c r="M48" s="14">
        <v>0</v>
      </c>
      <c r="N48" s="15">
        <v>0</v>
      </c>
      <c r="O48" s="16"/>
      <c r="P48" s="13">
        <v>0</v>
      </c>
    </row>
    <row r="49" spans="1:16" ht="15.6" x14ac:dyDescent="0.3">
      <c r="A49" s="11">
        <v>42</v>
      </c>
      <c r="B49" s="11">
        <v>2301283</v>
      </c>
      <c r="C49" s="12" t="s">
        <v>44</v>
      </c>
      <c r="D49" s="13">
        <v>33</v>
      </c>
      <c r="E49" s="13">
        <v>28</v>
      </c>
      <c r="F49" s="13">
        <v>84.848484850000006</v>
      </c>
      <c r="G49" s="11" t="s">
        <v>90</v>
      </c>
      <c r="H49" s="14">
        <v>8</v>
      </c>
      <c r="I49" s="14">
        <v>1</v>
      </c>
      <c r="J49" s="15">
        <v>4.5</v>
      </c>
      <c r="K49" s="14">
        <v>7</v>
      </c>
      <c r="L49" s="14">
        <v>8</v>
      </c>
      <c r="M49" s="14">
        <v>9</v>
      </c>
      <c r="N49" s="15">
        <v>8</v>
      </c>
      <c r="O49" s="16"/>
      <c r="P49" s="13">
        <v>15.5</v>
      </c>
    </row>
    <row r="50" spans="1:16" ht="15.6" x14ac:dyDescent="0.3">
      <c r="A50" s="11">
        <v>43</v>
      </c>
      <c r="B50" s="11">
        <v>2301285</v>
      </c>
      <c r="C50" s="12" t="s">
        <v>45</v>
      </c>
      <c r="D50" s="13">
        <v>33</v>
      </c>
      <c r="E50" s="13">
        <v>17</v>
      </c>
      <c r="F50" s="13">
        <v>51.515151520000003</v>
      </c>
      <c r="G50" s="11" t="s">
        <v>83</v>
      </c>
      <c r="H50" s="17">
        <v>0</v>
      </c>
      <c r="I50" s="17">
        <v>0</v>
      </c>
      <c r="J50" s="15">
        <v>0</v>
      </c>
      <c r="K50" s="14">
        <v>7</v>
      </c>
      <c r="L50" s="14">
        <v>6</v>
      </c>
      <c r="M50" s="14">
        <v>7</v>
      </c>
      <c r="N50" s="15">
        <v>6.6666666670000003</v>
      </c>
      <c r="O50" s="16"/>
      <c r="P50" s="13">
        <v>6.6666666670000003</v>
      </c>
    </row>
    <row r="51" spans="1:16" ht="15.6" x14ac:dyDescent="0.3">
      <c r="A51" s="11">
        <v>44</v>
      </c>
      <c r="B51" s="11">
        <v>2301286</v>
      </c>
      <c r="C51" s="12" t="s">
        <v>46</v>
      </c>
      <c r="D51" s="13">
        <v>33</v>
      </c>
      <c r="E51" s="13">
        <v>0</v>
      </c>
      <c r="F51" s="13">
        <v>0</v>
      </c>
      <c r="G51" s="11" t="s">
        <v>83</v>
      </c>
      <c r="H51" s="17">
        <v>0</v>
      </c>
      <c r="I51" s="17">
        <v>0</v>
      </c>
      <c r="J51" s="15">
        <v>0</v>
      </c>
      <c r="K51" s="14">
        <v>0</v>
      </c>
      <c r="L51" s="14">
        <v>0</v>
      </c>
      <c r="M51" s="14">
        <v>0</v>
      </c>
      <c r="N51" s="15">
        <v>0</v>
      </c>
      <c r="O51" s="16"/>
      <c r="P51" s="13">
        <v>0</v>
      </c>
    </row>
    <row r="52" spans="1:16" ht="15.6" x14ac:dyDescent="0.3">
      <c r="A52" s="11">
        <v>45</v>
      </c>
      <c r="B52" s="11">
        <v>2425599</v>
      </c>
      <c r="C52" s="12" t="s">
        <v>47</v>
      </c>
      <c r="D52" s="13">
        <v>33</v>
      </c>
      <c r="E52" s="13">
        <v>31</v>
      </c>
      <c r="F52" s="13">
        <v>93.939393940000002</v>
      </c>
      <c r="G52" s="11" t="s">
        <v>89</v>
      </c>
      <c r="H52" s="14">
        <v>5</v>
      </c>
      <c r="I52" s="14">
        <v>7</v>
      </c>
      <c r="J52" s="15">
        <v>6</v>
      </c>
      <c r="K52" s="14">
        <v>7</v>
      </c>
      <c r="L52" s="14">
        <v>8</v>
      </c>
      <c r="M52" s="14">
        <v>8</v>
      </c>
      <c r="N52" s="15">
        <v>7.6666666670000003</v>
      </c>
      <c r="O52" s="16"/>
      <c r="P52" s="13">
        <v>18.666666670000001</v>
      </c>
    </row>
    <row r="53" spans="1:16" ht="15.6" x14ac:dyDescent="0.3">
      <c r="A53" s="11">
        <v>46</v>
      </c>
      <c r="B53" s="11">
        <v>2425600</v>
      </c>
      <c r="C53" s="12" t="s">
        <v>48</v>
      </c>
      <c r="D53" s="13">
        <v>33</v>
      </c>
      <c r="E53" s="13">
        <v>32</v>
      </c>
      <c r="F53" s="13">
        <v>96.969696970000001</v>
      </c>
      <c r="G53" s="11" t="s">
        <v>86</v>
      </c>
      <c r="H53" s="14">
        <v>6</v>
      </c>
      <c r="I53" s="14">
        <v>10</v>
      </c>
      <c r="J53" s="15">
        <v>8</v>
      </c>
      <c r="K53" s="14">
        <v>9</v>
      </c>
      <c r="L53" s="14">
        <v>8</v>
      </c>
      <c r="M53" s="14">
        <v>9</v>
      </c>
      <c r="N53" s="15">
        <v>8.6666666669999994</v>
      </c>
      <c r="O53" s="16"/>
      <c r="P53" s="13">
        <v>22.666666670000001</v>
      </c>
    </row>
    <row r="54" spans="1:16" ht="15.6" x14ac:dyDescent="0.3">
      <c r="A54" s="11">
        <v>47</v>
      </c>
      <c r="B54" s="11">
        <v>2425601</v>
      </c>
      <c r="C54" s="12" t="s">
        <v>49</v>
      </c>
      <c r="D54" s="13">
        <v>33</v>
      </c>
      <c r="E54" s="13">
        <v>32</v>
      </c>
      <c r="F54" s="13">
        <v>96.969696970000001</v>
      </c>
      <c r="G54" s="11" t="s">
        <v>86</v>
      </c>
      <c r="H54" s="14">
        <v>10</v>
      </c>
      <c r="I54" s="14">
        <v>6</v>
      </c>
      <c r="J54" s="15">
        <v>8</v>
      </c>
      <c r="K54" s="14">
        <v>9</v>
      </c>
      <c r="L54" s="14">
        <v>8</v>
      </c>
      <c r="M54" s="14">
        <v>9</v>
      </c>
      <c r="N54" s="15">
        <v>8.6666666669999994</v>
      </c>
      <c r="O54" s="16"/>
      <c r="P54" s="13">
        <v>22.666666670000001</v>
      </c>
    </row>
    <row r="55" spans="1:16" ht="15.6" x14ac:dyDescent="0.3">
      <c r="A55" s="11">
        <v>48</v>
      </c>
      <c r="B55" s="11">
        <v>2425603</v>
      </c>
      <c r="C55" s="12" t="s">
        <v>50</v>
      </c>
      <c r="D55" s="13">
        <v>33</v>
      </c>
      <c r="E55" s="13">
        <v>33</v>
      </c>
      <c r="F55" s="13">
        <v>100</v>
      </c>
      <c r="G55" s="11" t="s">
        <v>86</v>
      </c>
      <c r="H55" s="14">
        <v>10</v>
      </c>
      <c r="I55" s="14">
        <v>4</v>
      </c>
      <c r="J55" s="15">
        <v>7</v>
      </c>
      <c r="K55" s="14">
        <v>8</v>
      </c>
      <c r="L55" s="14">
        <v>9</v>
      </c>
      <c r="M55" s="14">
        <v>8</v>
      </c>
      <c r="N55" s="15">
        <v>8.3333333330000006</v>
      </c>
      <c r="O55" s="16"/>
      <c r="P55" s="13">
        <v>21.333333329999999</v>
      </c>
    </row>
    <row r="56" spans="1:16" ht="15.6" x14ac:dyDescent="0.3">
      <c r="A56" s="11">
        <v>49</v>
      </c>
      <c r="B56" s="11">
        <v>2425604</v>
      </c>
      <c r="C56" s="12" t="s">
        <v>51</v>
      </c>
      <c r="D56" s="13">
        <v>33</v>
      </c>
      <c r="E56" s="13">
        <v>26</v>
      </c>
      <c r="F56" s="13">
        <v>78.787878789999994</v>
      </c>
      <c r="G56" s="11" t="s">
        <v>85</v>
      </c>
      <c r="H56" s="14">
        <v>5</v>
      </c>
      <c r="I56" s="14">
        <v>1</v>
      </c>
      <c r="J56" s="15">
        <v>3</v>
      </c>
      <c r="K56" s="14">
        <v>9</v>
      </c>
      <c r="L56" s="14">
        <v>7</v>
      </c>
      <c r="M56" s="14">
        <v>8</v>
      </c>
      <c r="N56" s="15">
        <v>8</v>
      </c>
      <c r="O56" s="16"/>
      <c r="P56" s="13">
        <v>13</v>
      </c>
    </row>
    <row r="57" spans="1:16" ht="15.6" x14ac:dyDescent="0.3">
      <c r="A57" s="18">
        <v>50</v>
      </c>
      <c r="B57" s="24">
        <v>2301235</v>
      </c>
      <c r="C57" s="25" t="s">
        <v>52</v>
      </c>
      <c r="D57" s="13">
        <v>33</v>
      </c>
      <c r="E57" s="13">
        <v>27</v>
      </c>
      <c r="F57" s="13">
        <v>81.818181820000007</v>
      </c>
      <c r="G57" s="11" t="s">
        <v>90</v>
      </c>
      <c r="H57" s="14">
        <v>10</v>
      </c>
      <c r="I57" s="14">
        <v>1</v>
      </c>
      <c r="J57" s="15">
        <v>5.5</v>
      </c>
      <c r="K57" s="14">
        <v>9</v>
      </c>
      <c r="L57" s="14">
        <v>9</v>
      </c>
      <c r="M57" s="14">
        <v>9</v>
      </c>
      <c r="N57" s="15">
        <v>9</v>
      </c>
      <c r="O57" s="16"/>
      <c r="P57" s="13">
        <v>17.5</v>
      </c>
    </row>
  </sheetData>
  <mergeCells count="21">
    <mergeCell ref="A1:P1"/>
    <mergeCell ref="A2:P2"/>
    <mergeCell ref="A3:P3"/>
    <mergeCell ref="A4:I4"/>
    <mergeCell ref="J4:P4"/>
    <mergeCell ref="A5:I5"/>
    <mergeCell ref="J5:P5"/>
    <mergeCell ref="H6:H7"/>
    <mergeCell ref="I6:I7"/>
    <mergeCell ref="J6:J7"/>
    <mergeCell ref="K6:M6"/>
    <mergeCell ref="N6:N7"/>
    <mergeCell ref="O6:O7"/>
    <mergeCell ref="P6:P7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CC2E-21E1-44E1-A4E3-0E1EE6AA4CA8}">
  <dimension ref="A1:P60"/>
  <sheetViews>
    <sheetView workbookViewId="0">
      <selection activeCell="G8" sqref="G8"/>
    </sheetView>
  </sheetViews>
  <sheetFormatPr defaultRowHeight="13.2" x14ac:dyDescent="0.25"/>
  <cols>
    <col min="1" max="1" width="6" bestFit="1" customWidth="1"/>
    <col min="2" max="2" width="8.77734375" bestFit="1" customWidth="1"/>
    <col min="3" max="3" width="23.33203125" style="68" bestFit="1" customWidth="1"/>
    <col min="4" max="4" width="8.33203125" bestFit="1" customWidth="1"/>
    <col min="5" max="5" width="8.21875" bestFit="1" customWidth="1"/>
    <col min="6" max="6" width="6.33203125" bestFit="1" customWidth="1"/>
    <col min="7" max="7" width="7.109375" bestFit="1" customWidth="1"/>
    <col min="8" max="8" width="7" bestFit="1" customWidth="1"/>
    <col min="9" max="9" width="7.77734375" bestFit="1" customWidth="1"/>
    <col min="10" max="10" width="8.6640625" bestFit="1" customWidth="1"/>
    <col min="11" max="13" width="3" bestFit="1" customWidth="1"/>
    <col min="15" max="15" width="9" bestFit="1" customWidth="1"/>
    <col min="16" max="16" width="7" bestFit="1" customWidth="1"/>
  </cols>
  <sheetData>
    <row r="1" spans="1:16" ht="20.399999999999999" x14ac:dyDescent="0.25">
      <c r="A1" s="44" t="s">
        <v>53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70"/>
    </row>
    <row r="2" spans="1:16" ht="18.600000000000001" x14ac:dyDescent="0.25">
      <c r="A2" s="45" t="s">
        <v>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70"/>
    </row>
    <row r="3" spans="1:16" ht="17.399999999999999" x14ac:dyDescent="0.25">
      <c r="A3" s="46" t="s">
        <v>55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70"/>
    </row>
    <row r="4" spans="1:16" x14ac:dyDescent="0.25">
      <c r="A4" s="47" t="s">
        <v>56</v>
      </c>
      <c r="B4" s="69"/>
      <c r="C4" s="69"/>
      <c r="D4" s="69"/>
      <c r="E4" s="69"/>
      <c r="F4" s="69"/>
      <c r="G4" s="69"/>
      <c r="H4" s="69"/>
      <c r="I4" s="70"/>
      <c r="J4" s="47" t="s">
        <v>57</v>
      </c>
      <c r="K4" s="69"/>
      <c r="L4" s="69"/>
      <c r="M4" s="69"/>
      <c r="N4" s="69"/>
      <c r="O4" s="69"/>
      <c r="P4" s="70"/>
    </row>
    <row r="5" spans="1:16" x14ac:dyDescent="0.25">
      <c r="A5" s="47" t="s">
        <v>91</v>
      </c>
      <c r="B5" s="69"/>
      <c r="C5" s="69"/>
      <c r="D5" s="69"/>
      <c r="E5" s="69"/>
      <c r="F5" s="69"/>
      <c r="G5" s="69"/>
      <c r="H5" s="69"/>
      <c r="I5" s="70"/>
      <c r="J5" s="47" t="s">
        <v>59</v>
      </c>
      <c r="K5" s="69"/>
      <c r="L5" s="69"/>
      <c r="M5" s="69"/>
      <c r="N5" s="69"/>
      <c r="O5" s="69"/>
      <c r="P5" s="70"/>
    </row>
    <row r="6" spans="1:16" x14ac:dyDescent="0.25">
      <c r="A6" s="48" t="s">
        <v>0</v>
      </c>
      <c r="B6" s="48" t="s">
        <v>1</v>
      </c>
      <c r="C6" s="63" t="s">
        <v>2</v>
      </c>
      <c r="D6" s="48" t="s">
        <v>61</v>
      </c>
      <c r="E6" s="48" t="s">
        <v>62</v>
      </c>
      <c r="F6" s="48" t="s">
        <v>63</v>
      </c>
      <c r="G6" s="48" t="s">
        <v>64</v>
      </c>
      <c r="H6" s="48" t="s">
        <v>65</v>
      </c>
      <c r="I6" s="48" t="s">
        <v>66</v>
      </c>
      <c r="J6" s="48" t="s">
        <v>67</v>
      </c>
      <c r="K6" s="47" t="s">
        <v>68</v>
      </c>
      <c r="L6" s="69"/>
      <c r="M6" s="70"/>
      <c r="N6" s="50" t="s">
        <v>69</v>
      </c>
      <c r="O6" s="48" t="s">
        <v>70</v>
      </c>
      <c r="P6" s="48" t="s">
        <v>71</v>
      </c>
    </row>
    <row r="7" spans="1:16" ht="15.6" x14ac:dyDescent="0.25">
      <c r="A7" s="71"/>
      <c r="B7" s="71"/>
      <c r="C7" s="64"/>
      <c r="D7" s="71"/>
      <c r="E7" s="71"/>
      <c r="F7" s="71"/>
      <c r="G7" s="71"/>
      <c r="H7" s="71"/>
      <c r="I7" s="71"/>
      <c r="J7" s="71"/>
      <c r="K7" s="52">
        <v>1</v>
      </c>
      <c r="L7" s="52">
        <v>2</v>
      </c>
      <c r="M7" s="52">
        <v>3</v>
      </c>
      <c r="N7" s="71"/>
      <c r="O7" s="71"/>
      <c r="P7" s="71"/>
    </row>
    <row r="8" spans="1:16" ht="15.6" x14ac:dyDescent="0.25">
      <c r="A8" s="53">
        <v>1</v>
      </c>
      <c r="B8" s="53">
        <v>2301236</v>
      </c>
      <c r="C8" s="65" t="s">
        <v>3</v>
      </c>
      <c r="D8" s="53">
        <f>[1]Attendance!BB7</f>
        <v>35</v>
      </c>
      <c r="E8" s="53">
        <f>[1]Attendance!BE7</f>
        <v>13</v>
      </c>
      <c r="F8" s="55">
        <f t="shared" ref="F8:F57" si="0">(E8/D8)*100</f>
        <v>37.142857142857146</v>
      </c>
      <c r="G8" s="53" t="str">
        <f t="shared" ref="G8:G57" si="1">IF(F8&gt;=95.5,"6",IF(F8&gt;=90.5,"5", IF(F8&gt;=85.5,"4",IF(F8&gt;=80.5,"3",IF(F8&gt;=75.5,"2","0")))))</f>
        <v>0</v>
      </c>
      <c r="H8" s="53">
        <v>5</v>
      </c>
      <c r="I8" s="77">
        <v>0</v>
      </c>
      <c r="J8" s="57">
        <f t="shared" ref="J8:J57" si="2">(H8+I8)/2</f>
        <v>2.5</v>
      </c>
      <c r="K8" s="53">
        <v>0</v>
      </c>
      <c r="L8" s="53">
        <v>0</v>
      </c>
      <c r="M8" s="53">
        <v>0</v>
      </c>
      <c r="N8" s="57">
        <f t="shared" ref="N8:N57" si="3">(K8+L8+M8)/3</f>
        <v>0</v>
      </c>
      <c r="O8" s="53"/>
      <c r="P8" s="55">
        <f t="shared" ref="P8:P57" si="4">G8+J8+N8+O8</f>
        <v>2.5</v>
      </c>
    </row>
    <row r="9" spans="1:16" ht="15.6" x14ac:dyDescent="0.25">
      <c r="A9" s="53">
        <v>2</v>
      </c>
      <c r="B9" s="53">
        <v>2301237</v>
      </c>
      <c r="C9" s="65" t="s">
        <v>4</v>
      </c>
      <c r="D9" s="53">
        <f>[1]Attendance!BB8</f>
        <v>35</v>
      </c>
      <c r="E9" s="53">
        <f>[1]Attendance!BE8</f>
        <v>30</v>
      </c>
      <c r="F9" s="55">
        <f t="shared" si="0"/>
        <v>85.714285714285708</v>
      </c>
      <c r="G9" s="53" t="str">
        <f t="shared" si="1"/>
        <v>4</v>
      </c>
      <c r="H9" s="56">
        <v>24</v>
      </c>
      <c r="I9" s="56">
        <v>23</v>
      </c>
      <c r="J9" s="57">
        <f t="shared" si="2"/>
        <v>23.5</v>
      </c>
      <c r="K9" s="56">
        <v>0</v>
      </c>
      <c r="L9" s="56">
        <v>10</v>
      </c>
      <c r="M9" s="56">
        <v>8</v>
      </c>
      <c r="N9" s="57">
        <f t="shared" si="3"/>
        <v>6</v>
      </c>
      <c r="O9" s="56"/>
      <c r="P9" s="55">
        <f t="shared" si="4"/>
        <v>33.5</v>
      </c>
    </row>
    <row r="10" spans="1:16" ht="15.6" x14ac:dyDescent="0.25">
      <c r="A10" s="53">
        <v>3</v>
      </c>
      <c r="B10" s="53">
        <v>2301238</v>
      </c>
      <c r="C10" s="65" t="s">
        <v>5</v>
      </c>
      <c r="D10" s="53">
        <f>[1]Attendance!BB9</f>
        <v>35</v>
      </c>
      <c r="E10" s="53">
        <f>[1]Attendance!BE9</f>
        <v>30</v>
      </c>
      <c r="F10" s="55">
        <f t="shared" si="0"/>
        <v>85.714285714285708</v>
      </c>
      <c r="G10" s="53" t="str">
        <f t="shared" si="1"/>
        <v>4</v>
      </c>
      <c r="H10" s="58">
        <v>0</v>
      </c>
      <c r="I10" s="56">
        <v>18</v>
      </c>
      <c r="J10" s="57">
        <f t="shared" si="2"/>
        <v>9</v>
      </c>
      <c r="K10" s="56">
        <v>10</v>
      </c>
      <c r="L10" s="56">
        <v>10</v>
      </c>
      <c r="M10" s="56">
        <v>7</v>
      </c>
      <c r="N10" s="57">
        <f t="shared" si="3"/>
        <v>9</v>
      </c>
      <c r="O10" s="56"/>
      <c r="P10" s="55">
        <f t="shared" si="4"/>
        <v>22</v>
      </c>
    </row>
    <row r="11" spans="1:16" ht="15.6" x14ac:dyDescent="0.25">
      <c r="A11" s="53">
        <v>4</v>
      </c>
      <c r="B11" s="53">
        <v>2301240</v>
      </c>
      <c r="C11" s="65" t="s">
        <v>6</v>
      </c>
      <c r="D11" s="53">
        <f>[1]Attendance!BB10</f>
        <v>35</v>
      </c>
      <c r="E11" s="53">
        <f>[1]Attendance!BE10</f>
        <v>27</v>
      </c>
      <c r="F11" s="55">
        <f t="shared" si="0"/>
        <v>77.142857142857153</v>
      </c>
      <c r="G11" s="53" t="str">
        <f t="shared" si="1"/>
        <v>2</v>
      </c>
      <c r="H11" s="56">
        <v>18</v>
      </c>
      <c r="I11" s="56">
        <v>13</v>
      </c>
      <c r="J11" s="57">
        <f t="shared" si="2"/>
        <v>15.5</v>
      </c>
      <c r="K11" s="56">
        <v>10</v>
      </c>
      <c r="L11" s="56">
        <v>10</v>
      </c>
      <c r="M11" s="56">
        <v>7</v>
      </c>
      <c r="N11" s="57">
        <f t="shared" si="3"/>
        <v>9</v>
      </c>
      <c r="O11" s="56"/>
      <c r="P11" s="55">
        <f t="shared" si="4"/>
        <v>26.5</v>
      </c>
    </row>
    <row r="12" spans="1:16" ht="15.6" x14ac:dyDescent="0.25">
      <c r="A12" s="53">
        <v>5</v>
      </c>
      <c r="B12" s="53">
        <v>2301241</v>
      </c>
      <c r="C12" s="65" t="s">
        <v>7</v>
      </c>
      <c r="D12" s="53">
        <f>[1]Attendance!BB11</f>
        <v>35</v>
      </c>
      <c r="E12" s="53">
        <f>[1]Attendance!BE11</f>
        <v>28</v>
      </c>
      <c r="F12" s="55">
        <f t="shared" si="0"/>
        <v>80</v>
      </c>
      <c r="G12" s="53" t="str">
        <f t="shared" si="1"/>
        <v>2</v>
      </c>
      <c r="H12" s="56">
        <v>14</v>
      </c>
      <c r="I12" s="56">
        <v>17</v>
      </c>
      <c r="J12" s="57">
        <f t="shared" si="2"/>
        <v>15.5</v>
      </c>
      <c r="K12" s="56">
        <v>10</v>
      </c>
      <c r="L12" s="56">
        <v>10</v>
      </c>
      <c r="M12" s="56">
        <v>8</v>
      </c>
      <c r="N12" s="57">
        <f t="shared" si="3"/>
        <v>9.3333333333333339</v>
      </c>
      <c r="O12" s="56"/>
      <c r="P12" s="55">
        <f t="shared" si="4"/>
        <v>26.833333333333336</v>
      </c>
    </row>
    <row r="13" spans="1:16" ht="15.6" x14ac:dyDescent="0.25">
      <c r="A13" s="53">
        <v>6</v>
      </c>
      <c r="B13" s="53">
        <v>2301242</v>
      </c>
      <c r="C13" s="65" t="s">
        <v>8</v>
      </c>
      <c r="D13" s="53">
        <f>[1]Attendance!BB12</f>
        <v>35</v>
      </c>
      <c r="E13" s="53">
        <f>[1]Attendance!BE12</f>
        <v>22</v>
      </c>
      <c r="F13" s="55">
        <f t="shared" si="0"/>
        <v>62.857142857142854</v>
      </c>
      <c r="G13" s="53" t="str">
        <f t="shared" si="1"/>
        <v>0</v>
      </c>
      <c r="H13" s="56">
        <v>21</v>
      </c>
      <c r="I13" s="56">
        <v>21</v>
      </c>
      <c r="J13" s="57">
        <f t="shared" si="2"/>
        <v>21</v>
      </c>
      <c r="K13" s="56">
        <v>10</v>
      </c>
      <c r="L13" s="56">
        <v>10</v>
      </c>
      <c r="M13" s="56">
        <v>9</v>
      </c>
      <c r="N13" s="57">
        <f t="shared" si="3"/>
        <v>9.6666666666666661</v>
      </c>
      <c r="O13" s="56"/>
      <c r="P13" s="55">
        <f t="shared" si="4"/>
        <v>30.666666666666664</v>
      </c>
    </row>
    <row r="14" spans="1:16" ht="15.6" x14ac:dyDescent="0.25">
      <c r="A14" s="53">
        <v>7</v>
      </c>
      <c r="B14" s="53">
        <v>2301243</v>
      </c>
      <c r="C14" s="65" t="s">
        <v>9</v>
      </c>
      <c r="D14" s="53">
        <f>[1]Attendance!BB13</f>
        <v>35</v>
      </c>
      <c r="E14" s="53">
        <f>[1]Attendance!BE13</f>
        <v>24</v>
      </c>
      <c r="F14" s="55">
        <f t="shared" si="0"/>
        <v>68.571428571428569</v>
      </c>
      <c r="G14" s="53" t="str">
        <f t="shared" si="1"/>
        <v>0</v>
      </c>
      <c r="H14" s="56">
        <v>15</v>
      </c>
      <c r="I14" s="56">
        <v>13</v>
      </c>
      <c r="J14" s="57">
        <f t="shared" si="2"/>
        <v>14</v>
      </c>
      <c r="K14" s="56">
        <v>10</v>
      </c>
      <c r="L14" s="56">
        <v>10</v>
      </c>
      <c r="M14" s="56">
        <v>8</v>
      </c>
      <c r="N14" s="57">
        <f t="shared" si="3"/>
        <v>9.3333333333333339</v>
      </c>
      <c r="O14" s="56"/>
      <c r="P14" s="55">
        <f t="shared" si="4"/>
        <v>23.333333333333336</v>
      </c>
    </row>
    <row r="15" spans="1:16" ht="15.6" x14ac:dyDescent="0.25">
      <c r="A15" s="53">
        <v>8</v>
      </c>
      <c r="B15" s="53">
        <v>2301245</v>
      </c>
      <c r="C15" s="65" t="s">
        <v>10</v>
      </c>
      <c r="D15" s="53">
        <f>[1]Attendance!BB14</f>
        <v>35</v>
      </c>
      <c r="E15" s="53">
        <f>[1]Attendance!BE14</f>
        <v>33</v>
      </c>
      <c r="F15" s="55">
        <f t="shared" si="0"/>
        <v>94.285714285714278</v>
      </c>
      <c r="G15" s="53" t="str">
        <f t="shared" si="1"/>
        <v>5</v>
      </c>
      <c r="H15" s="56">
        <v>24</v>
      </c>
      <c r="I15" s="56">
        <v>21</v>
      </c>
      <c r="J15" s="57">
        <f t="shared" si="2"/>
        <v>22.5</v>
      </c>
      <c r="K15" s="56">
        <v>10</v>
      </c>
      <c r="L15" s="56">
        <v>10</v>
      </c>
      <c r="M15" s="56">
        <v>10</v>
      </c>
      <c r="N15" s="57">
        <f t="shared" si="3"/>
        <v>10</v>
      </c>
      <c r="O15" s="56"/>
      <c r="P15" s="55">
        <f t="shared" si="4"/>
        <v>37.5</v>
      </c>
    </row>
    <row r="16" spans="1:16" ht="15.6" x14ac:dyDescent="0.25">
      <c r="A16" s="53">
        <v>9</v>
      </c>
      <c r="B16" s="53">
        <v>2301247</v>
      </c>
      <c r="C16" s="65" t="s">
        <v>11</v>
      </c>
      <c r="D16" s="53">
        <f>[1]Attendance!BB15</f>
        <v>35</v>
      </c>
      <c r="E16" s="53">
        <f>[1]Attendance!BE15</f>
        <v>12</v>
      </c>
      <c r="F16" s="55">
        <f t="shared" si="0"/>
        <v>34.285714285714285</v>
      </c>
      <c r="G16" s="53" t="str">
        <f t="shared" si="1"/>
        <v>0</v>
      </c>
      <c r="H16" s="56">
        <v>11</v>
      </c>
      <c r="I16" s="56">
        <v>4</v>
      </c>
      <c r="J16" s="57">
        <f t="shared" si="2"/>
        <v>7.5</v>
      </c>
      <c r="K16" s="56">
        <v>0</v>
      </c>
      <c r="L16" s="56">
        <v>0</v>
      </c>
      <c r="M16" s="56">
        <v>8</v>
      </c>
      <c r="N16" s="57">
        <f t="shared" si="3"/>
        <v>2.6666666666666665</v>
      </c>
      <c r="O16" s="56"/>
      <c r="P16" s="55">
        <f t="shared" si="4"/>
        <v>10.166666666666666</v>
      </c>
    </row>
    <row r="17" spans="1:16" ht="15.6" x14ac:dyDescent="0.25">
      <c r="A17" s="53">
        <v>10</v>
      </c>
      <c r="B17" s="53">
        <v>2301249</v>
      </c>
      <c r="C17" s="65" t="s">
        <v>12</v>
      </c>
      <c r="D17" s="53">
        <f>[1]Attendance!BB16</f>
        <v>35</v>
      </c>
      <c r="E17" s="53">
        <f>[1]Attendance!BE16</f>
        <v>20</v>
      </c>
      <c r="F17" s="55">
        <f t="shared" si="0"/>
        <v>57.142857142857139</v>
      </c>
      <c r="G17" s="53" t="str">
        <f t="shared" si="1"/>
        <v>0</v>
      </c>
      <c r="H17" s="56">
        <v>14</v>
      </c>
      <c r="I17" s="56">
        <v>8</v>
      </c>
      <c r="J17" s="57">
        <f t="shared" si="2"/>
        <v>11</v>
      </c>
      <c r="K17" s="56">
        <v>10</v>
      </c>
      <c r="L17" s="56">
        <v>10</v>
      </c>
      <c r="M17" s="56">
        <v>0</v>
      </c>
      <c r="N17" s="57">
        <f t="shared" si="3"/>
        <v>6.666666666666667</v>
      </c>
      <c r="O17" s="56"/>
      <c r="P17" s="55">
        <f t="shared" si="4"/>
        <v>17.666666666666668</v>
      </c>
    </row>
    <row r="18" spans="1:16" ht="15.6" x14ac:dyDescent="0.25">
      <c r="A18" s="53">
        <v>11</v>
      </c>
      <c r="B18" s="53">
        <v>2301250</v>
      </c>
      <c r="C18" s="65" t="s">
        <v>13</v>
      </c>
      <c r="D18" s="53">
        <f>[1]Attendance!BB17</f>
        <v>35</v>
      </c>
      <c r="E18" s="53">
        <f>[1]Attendance!BE17</f>
        <v>33</v>
      </c>
      <c r="F18" s="55">
        <f t="shared" si="0"/>
        <v>94.285714285714278</v>
      </c>
      <c r="G18" s="53" t="str">
        <f t="shared" si="1"/>
        <v>5</v>
      </c>
      <c r="H18" s="56">
        <v>18</v>
      </c>
      <c r="I18" s="56">
        <v>15</v>
      </c>
      <c r="J18" s="57">
        <f t="shared" si="2"/>
        <v>16.5</v>
      </c>
      <c r="K18" s="56">
        <v>0</v>
      </c>
      <c r="L18" s="56">
        <v>10</v>
      </c>
      <c r="M18" s="56">
        <v>8</v>
      </c>
      <c r="N18" s="57">
        <f t="shared" si="3"/>
        <v>6</v>
      </c>
      <c r="O18" s="56"/>
      <c r="P18" s="55">
        <f t="shared" si="4"/>
        <v>27.5</v>
      </c>
    </row>
    <row r="19" spans="1:16" ht="15.6" x14ac:dyDescent="0.25">
      <c r="A19" s="53">
        <v>12</v>
      </c>
      <c r="B19" s="53">
        <v>2301251</v>
      </c>
      <c r="C19" s="65" t="s">
        <v>14</v>
      </c>
      <c r="D19" s="53">
        <f>[1]Attendance!BB18</f>
        <v>35</v>
      </c>
      <c r="E19" s="53">
        <f>[1]Attendance!BE18</f>
        <v>24</v>
      </c>
      <c r="F19" s="55">
        <f t="shared" si="0"/>
        <v>68.571428571428569</v>
      </c>
      <c r="G19" s="53" t="str">
        <f t="shared" si="1"/>
        <v>0</v>
      </c>
      <c r="H19" s="56">
        <v>15</v>
      </c>
      <c r="I19" s="56">
        <v>9</v>
      </c>
      <c r="J19" s="57">
        <f t="shared" si="2"/>
        <v>12</v>
      </c>
      <c r="K19" s="58">
        <v>0</v>
      </c>
      <c r="L19" s="58">
        <v>0</v>
      </c>
      <c r="M19" s="56">
        <v>8</v>
      </c>
      <c r="N19" s="57">
        <f t="shared" si="3"/>
        <v>2.6666666666666665</v>
      </c>
      <c r="O19" s="56"/>
      <c r="P19" s="55">
        <f t="shared" si="4"/>
        <v>14.666666666666666</v>
      </c>
    </row>
    <row r="20" spans="1:16" ht="15.6" x14ac:dyDescent="0.25">
      <c r="A20" s="53">
        <v>13</v>
      </c>
      <c r="B20" s="53">
        <v>2301252</v>
      </c>
      <c r="C20" s="65" t="s">
        <v>15</v>
      </c>
      <c r="D20" s="53">
        <f>[1]Attendance!BB19</f>
        <v>35</v>
      </c>
      <c r="E20" s="53">
        <f>[1]Attendance!BE19</f>
        <v>23</v>
      </c>
      <c r="F20" s="55">
        <f t="shared" si="0"/>
        <v>65.714285714285708</v>
      </c>
      <c r="G20" s="53" t="str">
        <f t="shared" si="1"/>
        <v>0</v>
      </c>
      <c r="H20" s="56">
        <v>12</v>
      </c>
      <c r="I20" s="56">
        <v>6</v>
      </c>
      <c r="J20" s="57">
        <f t="shared" si="2"/>
        <v>9</v>
      </c>
      <c r="K20" s="56">
        <v>10</v>
      </c>
      <c r="L20" s="56">
        <v>10</v>
      </c>
      <c r="M20" s="56">
        <v>8</v>
      </c>
      <c r="N20" s="57">
        <f t="shared" si="3"/>
        <v>9.3333333333333339</v>
      </c>
      <c r="O20" s="56"/>
      <c r="P20" s="55">
        <f t="shared" si="4"/>
        <v>18.333333333333336</v>
      </c>
    </row>
    <row r="21" spans="1:16" ht="15.6" x14ac:dyDescent="0.25">
      <c r="A21" s="53">
        <v>14</v>
      </c>
      <c r="B21" s="53">
        <v>2301253</v>
      </c>
      <c r="C21" s="65" t="s">
        <v>16</v>
      </c>
      <c r="D21" s="53">
        <f>[1]Attendance!BB20</f>
        <v>35</v>
      </c>
      <c r="E21" s="53">
        <f>[1]Attendance!BE20</f>
        <v>24</v>
      </c>
      <c r="F21" s="55">
        <f t="shared" si="0"/>
        <v>68.571428571428569</v>
      </c>
      <c r="G21" s="53" t="str">
        <f t="shared" si="1"/>
        <v>0</v>
      </c>
      <c r="H21" s="56">
        <v>23</v>
      </c>
      <c r="I21" s="56">
        <v>23</v>
      </c>
      <c r="J21" s="57">
        <f t="shared" si="2"/>
        <v>23</v>
      </c>
      <c r="K21" s="56">
        <v>0</v>
      </c>
      <c r="L21" s="56">
        <v>10</v>
      </c>
      <c r="M21" s="56">
        <v>9</v>
      </c>
      <c r="N21" s="57">
        <f t="shared" si="3"/>
        <v>6.333333333333333</v>
      </c>
      <c r="O21" s="56"/>
      <c r="P21" s="55">
        <f t="shared" si="4"/>
        <v>29.333333333333332</v>
      </c>
    </row>
    <row r="22" spans="1:16" ht="15.6" x14ac:dyDescent="0.25">
      <c r="A22" s="53">
        <v>15</v>
      </c>
      <c r="B22" s="53">
        <v>2301255</v>
      </c>
      <c r="C22" s="65" t="s">
        <v>17</v>
      </c>
      <c r="D22" s="53">
        <f>[1]Attendance!BB21</f>
        <v>35</v>
      </c>
      <c r="E22" s="53">
        <f>[1]Attendance!BE21</f>
        <v>2</v>
      </c>
      <c r="F22" s="55">
        <f t="shared" si="0"/>
        <v>5.7142857142857144</v>
      </c>
      <c r="G22" s="53" t="str">
        <f t="shared" si="1"/>
        <v>0</v>
      </c>
      <c r="H22" s="56">
        <v>18</v>
      </c>
      <c r="I22" s="58">
        <v>0</v>
      </c>
      <c r="J22" s="57">
        <f t="shared" si="2"/>
        <v>9</v>
      </c>
      <c r="K22" s="56">
        <v>0</v>
      </c>
      <c r="L22" s="56">
        <v>0</v>
      </c>
      <c r="M22" s="56">
        <v>9</v>
      </c>
      <c r="N22" s="57">
        <f t="shared" si="3"/>
        <v>3</v>
      </c>
      <c r="O22" s="56"/>
      <c r="P22" s="55">
        <f t="shared" si="4"/>
        <v>12</v>
      </c>
    </row>
    <row r="23" spans="1:16" ht="15.6" x14ac:dyDescent="0.25">
      <c r="A23" s="53">
        <v>16</v>
      </c>
      <c r="B23" s="53">
        <v>2301256</v>
      </c>
      <c r="C23" s="65" t="s">
        <v>18</v>
      </c>
      <c r="D23" s="53">
        <f>[1]Attendance!BB22</f>
        <v>35</v>
      </c>
      <c r="E23" s="53">
        <f>[1]Attendance!BE22</f>
        <v>29</v>
      </c>
      <c r="F23" s="55">
        <f t="shared" si="0"/>
        <v>82.857142857142861</v>
      </c>
      <c r="G23" s="53" t="str">
        <f t="shared" si="1"/>
        <v>3</v>
      </c>
      <c r="H23" s="56">
        <v>13</v>
      </c>
      <c r="I23" s="56">
        <v>19</v>
      </c>
      <c r="J23" s="57">
        <f t="shared" si="2"/>
        <v>16</v>
      </c>
      <c r="K23" s="56">
        <v>10</v>
      </c>
      <c r="L23" s="56">
        <v>10</v>
      </c>
      <c r="M23" s="56">
        <v>8</v>
      </c>
      <c r="N23" s="57">
        <f t="shared" si="3"/>
        <v>9.3333333333333339</v>
      </c>
      <c r="O23" s="56"/>
      <c r="P23" s="55">
        <f t="shared" si="4"/>
        <v>28.333333333333336</v>
      </c>
    </row>
    <row r="24" spans="1:16" ht="15.6" x14ac:dyDescent="0.25">
      <c r="A24" s="53">
        <v>17</v>
      </c>
      <c r="B24" s="53">
        <v>2301257</v>
      </c>
      <c r="C24" s="65" t="s">
        <v>19</v>
      </c>
      <c r="D24" s="53">
        <f>[1]Attendance!BB23</f>
        <v>35</v>
      </c>
      <c r="E24" s="53">
        <f>[1]Attendance!BE23</f>
        <v>22</v>
      </c>
      <c r="F24" s="55">
        <f t="shared" si="0"/>
        <v>62.857142857142854</v>
      </c>
      <c r="G24" s="53" t="str">
        <f t="shared" si="1"/>
        <v>0</v>
      </c>
      <c r="H24" s="56">
        <v>20</v>
      </c>
      <c r="I24" s="56">
        <v>13</v>
      </c>
      <c r="J24" s="57">
        <f t="shared" si="2"/>
        <v>16.5</v>
      </c>
      <c r="K24" s="56">
        <v>10</v>
      </c>
      <c r="L24" s="56">
        <v>10</v>
      </c>
      <c r="M24" s="56">
        <v>8</v>
      </c>
      <c r="N24" s="57">
        <f t="shared" si="3"/>
        <v>9.3333333333333339</v>
      </c>
      <c r="O24" s="56"/>
      <c r="P24" s="55">
        <f t="shared" si="4"/>
        <v>25.833333333333336</v>
      </c>
    </row>
    <row r="25" spans="1:16" ht="15.6" x14ac:dyDescent="0.25">
      <c r="A25" s="53">
        <v>18</v>
      </c>
      <c r="B25" s="53">
        <v>2301258</v>
      </c>
      <c r="C25" s="65" t="s">
        <v>20</v>
      </c>
      <c r="D25" s="53">
        <f>[1]Attendance!BB24</f>
        <v>35</v>
      </c>
      <c r="E25" s="53">
        <f>[1]Attendance!BE24</f>
        <v>0</v>
      </c>
      <c r="F25" s="55">
        <f t="shared" si="0"/>
        <v>0</v>
      </c>
      <c r="G25" s="53" t="str">
        <f t="shared" si="1"/>
        <v>0</v>
      </c>
      <c r="H25" s="58">
        <v>0</v>
      </c>
      <c r="I25" s="58">
        <v>0</v>
      </c>
      <c r="J25" s="57">
        <f t="shared" si="2"/>
        <v>0</v>
      </c>
      <c r="K25" s="56">
        <v>0</v>
      </c>
      <c r="L25" s="56">
        <v>0</v>
      </c>
      <c r="M25" s="56">
        <v>0</v>
      </c>
      <c r="N25" s="57">
        <f t="shared" si="3"/>
        <v>0</v>
      </c>
      <c r="O25" s="56"/>
      <c r="P25" s="55">
        <f t="shared" si="4"/>
        <v>0</v>
      </c>
    </row>
    <row r="26" spans="1:16" ht="15.6" x14ac:dyDescent="0.25">
      <c r="A26" s="53">
        <v>19</v>
      </c>
      <c r="B26" s="53">
        <v>2301259</v>
      </c>
      <c r="C26" s="65" t="s">
        <v>21</v>
      </c>
      <c r="D26" s="53">
        <f>[1]Attendance!BB25</f>
        <v>35</v>
      </c>
      <c r="E26" s="53">
        <f>[1]Attendance!BE25</f>
        <v>20</v>
      </c>
      <c r="F26" s="55">
        <f t="shared" si="0"/>
        <v>57.142857142857139</v>
      </c>
      <c r="G26" s="53" t="str">
        <f t="shared" si="1"/>
        <v>0</v>
      </c>
      <c r="H26" s="58">
        <v>12</v>
      </c>
      <c r="I26" s="56">
        <v>17</v>
      </c>
      <c r="J26" s="57">
        <f t="shared" si="2"/>
        <v>14.5</v>
      </c>
      <c r="K26" s="56">
        <v>0</v>
      </c>
      <c r="L26" s="56">
        <v>10</v>
      </c>
      <c r="M26" s="56">
        <v>8</v>
      </c>
      <c r="N26" s="57">
        <f t="shared" si="3"/>
        <v>6</v>
      </c>
      <c r="O26" s="56"/>
      <c r="P26" s="55">
        <f t="shared" si="4"/>
        <v>20.5</v>
      </c>
    </row>
    <row r="27" spans="1:16" ht="15.6" x14ac:dyDescent="0.25">
      <c r="A27" s="53">
        <v>20</v>
      </c>
      <c r="B27" s="53">
        <v>2301260</v>
      </c>
      <c r="C27" s="65" t="s">
        <v>22</v>
      </c>
      <c r="D27" s="53">
        <f>[1]Attendance!BB26</f>
        <v>35</v>
      </c>
      <c r="E27" s="53">
        <f>[1]Attendance!BE26</f>
        <v>25</v>
      </c>
      <c r="F27" s="55">
        <f t="shared" si="0"/>
        <v>71.428571428571431</v>
      </c>
      <c r="G27" s="53" t="str">
        <f t="shared" si="1"/>
        <v>0</v>
      </c>
      <c r="H27" s="58">
        <v>0</v>
      </c>
      <c r="I27" s="56">
        <v>17</v>
      </c>
      <c r="J27" s="57">
        <f t="shared" si="2"/>
        <v>8.5</v>
      </c>
      <c r="K27" s="56">
        <v>0</v>
      </c>
      <c r="L27" s="56">
        <v>10</v>
      </c>
      <c r="M27" s="56">
        <v>8</v>
      </c>
      <c r="N27" s="57">
        <f t="shared" si="3"/>
        <v>6</v>
      </c>
      <c r="O27" s="56"/>
      <c r="P27" s="55">
        <f t="shared" si="4"/>
        <v>14.5</v>
      </c>
    </row>
    <row r="28" spans="1:16" ht="15.6" x14ac:dyDescent="0.25">
      <c r="A28" s="53">
        <v>21</v>
      </c>
      <c r="B28" s="53">
        <v>2301261</v>
      </c>
      <c r="C28" s="65" t="s">
        <v>23</v>
      </c>
      <c r="D28" s="53">
        <f>[1]Attendance!BB27</f>
        <v>35</v>
      </c>
      <c r="E28" s="53">
        <f>[1]Attendance!BE27</f>
        <v>12</v>
      </c>
      <c r="F28" s="55">
        <f t="shared" si="0"/>
        <v>34.285714285714285</v>
      </c>
      <c r="G28" s="53" t="str">
        <f t="shared" si="1"/>
        <v>0</v>
      </c>
      <c r="H28" s="58">
        <v>0</v>
      </c>
      <c r="I28" s="56">
        <v>15</v>
      </c>
      <c r="J28" s="57">
        <f t="shared" si="2"/>
        <v>7.5</v>
      </c>
      <c r="K28" s="56">
        <v>10</v>
      </c>
      <c r="L28" s="56">
        <v>10</v>
      </c>
      <c r="M28" s="56">
        <v>0</v>
      </c>
      <c r="N28" s="57">
        <f t="shared" si="3"/>
        <v>6.666666666666667</v>
      </c>
      <c r="O28" s="56"/>
      <c r="P28" s="55">
        <f t="shared" si="4"/>
        <v>14.166666666666668</v>
      </c>
    </row>
    <row r="29" spans="1:16" ht="15.6" x14ac:dyDescent="0.25">
      <c r="A29" s="53">
        <v>22</v>
      </c>
      <c r="B29" s="53">
        <v>2301262</v>
      </c>
      <c r="C29" s="65" t="s">
        <v>24</v>
      </c>
      <c r="D29" s="53">
        <f>[1]Attendance!BB28</f>
        <v>35</v>
      </c>
      <c r="E29" s="53">
        <f>[1]Attendance!BE28</f>
        <v>23</v>
      </c>
      <c r="F29" s="55">
        <f t="shared" si="0"/>
        <v>65.714285714285708</v>
      </c>
      <c r="G29" s="53" t="str">
        <f t="shared" si="1"/>
        <v>0</v>
      </c>
      <c r="H29" s="78">
        <v>17</v>
      </c>
      <c r="I29" s="56">
        <v>11</v>
      </c>
      <c r="J29" s="57">
        <f t="shared" si="2"/>
        <v>14</v>
      </c>
      <c r="K29" s="56">
        <v>10</v>
      </c>
      <c r="L29" s="56">
        <v>10</v>
      </c>
      <c r="M29" s="58">
        <v>8</v>
      </c>
      <c r="N29" s="57">
        <f t="shared" si="3"/>
        <v>9.3333333333333339</v>
      </c>
      <c r="O29" s="56"/>
      <c r="P29" s="55">
        <f t="shared" si="4"/>
        <v>23.333333333333336</v>
      </c>
    </row>
    <row r="30" spans="1:16" ht="15.6" x14ac:dyDescent="0.25">
      <c r="A30" s="53">
        <v>23</v>
      </c>
      <c r="B30" s="53">
        <v>2301263</v>
      </c>
      <c r="C30" s="65" t="s">
        <v>25</v>
      </c>
      <c r="D30" s="53">
        <f>[1]Attendance!BB29</f>
        <v>35</v>
      </c>
      <c r="E30" s="53">
        <f>[1]Attendance!BE29</f>
        <v>35</v>
      </c>
      <c r="F30" s="55">
        <f t="shared" si="0"/>
        <v>100</v>
      </c>
      <c r="G30" s="53" t="str">
        <f t="shared" si="1"/>
        <v>6</v>
      </c>
      <c r="H30" s="56">
        <v>21</v>
      </c>
      <c r="I30" s="56">
        <v>21</v>
      </c>
      <c r="J30" s="57">
        <f t="shared" si="2"/>
        <v>21</v>
      </c>
      <c r="K30" s="58">
        <v>10</v>
      </c>
      <c r="L30" s="56">
        <v>10</v>
      </c>
      <c r="M30" s="56">
        <v>8</v>
      </c>
      <c r="N30" s="57">
        <f t="shared" si="3"/>
        <v>9.3333333333333339</v>
      </c>
      <c r="O30" s="56"/>
      <c r="P30" s="55">
        <f t="shared" si="4"/>
        <v>36.333333333333336</v>
      </c>
    </row>
    <row r="31" spans="1:16" ht="15.6" x14ac:dyDescent="0.25">
      <c r="A31" s="53">
        <v>24</v>
      </c>
      <c r="B31" s="53">
        <v>2301264</v>
      </c>
      <c r="C31" s="65" t="s">
        <v>26</v>
      </c>
      <c r="D31" s="53">
        <f>[1]Attendance!BB30</f>
        <v>35</v>
      </c>
      <c r="E31" s="53">
        <f>[1]Attendance!BE30</f>
        <v>18</v>
      </c>
      <c r="F31" s="55">
        <f t="shared" si="0"/>
        <v>51.428571428571423</v>
      </c>
      <c r="G31" s="53" t="str">
        <f t="shared" si="1"/>
        <v>0</v>
      </c>
      <c r="H31" s="56">
        <v>9</v>
      </c>
      <c r="I31" s="56">
        <v>2</v>
      </c>
      <c r="J31" s="57">
        <f t="shared" si="2"/>
        <v>5.5</v>
      </c>
      <c r="K31" s="56">
        <v>10</v>
      </c>
      <c r="L31" s="56">
        <v>10</v>
      </c>
      <c r="M31" s="56">
        <v>8</v>
      </c>
      <c r="N31" s="57">
        <f t="shared" si="3"/>
        <v>9.3333333333333339</v>
      </c>
      <c r="O31" s="56"/>
      <c r="P31" s="55">
        <f t="shared" si="4"/>
        <v>14.833333333333334</v>
      </c>
    </row>
    <row r="32" spans="1:16" ht="15.6" x14ac:dyDescent="0.25">
      <c r="A32" s="53">
        <v>25</v>
      </c>
      <c r="B32" s="53">
        <v>2301265</v>
      </c>
      <c r="C32" s="65" t="s">
        <v>27</v>
      </c>
      <c r="D32" s="53">
        <f>[1]Attendance!BB31</f>
        <v>35</v>
      </c>
      <c r="E32" s="53">
        <f>[1]Attendance!BE31</f>
        <v>28</v>
      </c>
      <c r="F32" s="55">
        <f t="shared" si="0"/>
        <v>80</v>
      </c>
      <c r="G32" s="53" t="str">
        <f t="shared" si="1"/>
        <v>2</v>
      </c>
      <c r="H32" s="56">
        <v>0</v>
      </c>
      <c r="I32" s="56">
        <v>18</v>
      </c>
      <c r="J32" s="57">
        <f t="shared" si="2"/>
        <v>9</v>
      </c>
      <c r="K32" s="56">
        <v>10</v>
      </c>
      <c r="L32" s="56">
        <v>10</v>
      </c>
      <c r="M32" s="56">
        <v>7</v>
      </c>
      <c r="N32" s="57">
        <f t="shared" si="3"/>
        <v>9</v>
      </c>
      <c r="O32" s="56"/>
      <c r="P32" s="55">
        <f t="shared" si="4"/>
        <v>20</v>
      </c>
    </row>
    <row r="33" spans="1:16" ht="15.6" x14ac:dyDescent="0.25">
      <c r="A33" s="53">
        <v>26</v>
      </c>
      <c r="B33" s="53">
        <v>2301267</v>
      </c>
      <c r="C33" s="65" t="s">
        <v>28</v>
      </c>
      <c r="D33" s="53">
        <f>[1]Attendance!BB32</f>
        <v>35</v>
      </c>
      <c r="E33" s="53">
        <f>[1]Attendance!BE32</f>
        <v>25</v>
      </c>
      <c r="F33" s="55">
        <f t="shared" si="0"/>
        <v>71.428571428571431</v>
      </c>
      <c r="G33" s="53" t="str">
        <f t="shared" si="1"/>
        <v>0</v>
      </c>
      <c r="H33" s="78">
        <v>15</v>
      </c>
      <c r="I33" s="56">
        <v>18</v>
      </c>
      <c r="J33" s="57">
        <f t="shared" si="2"/>
        <v>16.5</v>
      </c>
      <c r="K33" s="56">
        <v>10</v>
      </c>
      <c r="L33" s="56">
        <v>10</v>
      </c>
      <c r="M33" s="56">
        <v>9</v>
      </c>
      <c r="N33" s="57">
        <f t="shared" si="3"/>
        <v>9.6666666666666661</v>
      </c>
      <c r="O33" s="56"/>
      <c r="P33" s="55">
        <f t="shared" si="4"/>
        <v>26.166666666666664</v>
      </c>
    </row>
    <row r="34" spans="1:16" ht="15.6" x14ac:dyDescent="0.25">
      <c r="A34" s="53">
        <v>27</v>
      </c>
      <c r="B34" s="53">
        <v>2301268</v>
      </c>
      <c r="C34" s="65" t="s">
        <v>29</v>
      </c>
      <c r="D34" s="53">
        <f>[1]Attendance!BB33</f>
        <v>35</v>
      </c>
      <c r="E34" s="53">
        <f>[1]Attendance!BE33</f>
        <v>20</v>
      </c>
      <c r="F34" s="55">
        <f t="shared" si="0"/>
        <v>57.142857142857139</v>
      </c>
      <c r="G34" s="53" t="str">
        <f t="shared" si="1"/>
        <v>0</v>
      </c>
      <c r="H34" s="56">
        <v>0</v>
      </c>
      <c r="I34" s="56">
        <v>0</v>
      </c>
      <c r="J34" s="57">
        <f t="shared" si="2"/>
        <v>0</v>
      </c>
      <c r="K34" s="56">
        <v>10</v>
      </c>
      <c r="L34" s="56">
        <v>10</v>
      </c>
      <c r="M34" s="56">
        <v>0</v>
      </c>
      <c r="N34" s="57">
        <f t="shared" si="3"/>
        <v>6.666666666666667</v>
      </c>
      <c r="O34" s="56"/>
      <c r="P34" s="55">
        <f t="shared" si="4"/>
        <v>6.666666666666667</v>
      </c>
    </row>
    <row r="35" spans="1:16" ht="15.6" x14ac:dyDescent="0.25">
      <c r="A35" s="53">
        <v>28</v>
      </c>
      <c r="B35" s="53">
        <v>2301269</v>
      </c>
      <c r="C35" s="65" t="s">
        <v>30</v>
      </c>
      <c r="D35" s="53">
        <f>[1]Attendance!BB34</f>
        <v>35</v>
      </c>
      <c r="E35" s="53">
        <f>[1]Attendance!BE34</f>
        <v>31</v>
      </c>
      <c r="F35" s="55">
        <f t="shared" si="0"/>
        <v>88.571428571428569</v>
      </c>
      <c r="G35" s="53" t="str">
        <f t="shared" si="1"/>
        <v>4</v>
      </c>
      <c r="H35" s="56">
        <v>21</v>
      </c>
      <c r="I35" s="56">
        <v>22</v>
      </c>
      <c r="J35" s="57">
        <f t="shared" si="2"/>
        <v>21.5</v>
      </c>
      <c r="K35" s="56">
        <v>0</v>
      </c>
      <c r="L35" s="56">
        <v>10</v>
      </c>
      <c r="M35" s="56">
        <v>8</v>
      </c>
      <c r="N35" s="57">
        <f t="shared" si="3"/>
        <v>6</v>
      </c>
      <c r="O35" s="56"/>
      <c r="P35" s="55">
        <f t="shared" si="4"/>
        <v>31.5</v>
      </c>
    </row>
    <row r="36" spans="1:16" ht="15.6" x14ac:dyDescent="0.25">
      <c r="A36" s="53">
        <v>29</v>
      </c>
      <c r="B36" s="53">
        <v>2301270</v>
      </c>
      <c r="C36" s="65" t="s">
        <v>31</v>
      </c>
      <c r="D36" s="53">
        <f>[1]Attendance!BB35</f>
        <v>35</v>
      </c>
      <c r="E36" s="53">
        <f>[1]Attendance!BE35</f>
        <v>1</v>
      </c>
      <c r="F36" s="55">
        <f t="shared" si="0"/>
        <v>2.8571428571428572</v>
      </c>
      <c r="G36" s="53" t="str">
        <f t="shared" si="1"/>
        <v>0</v>
      </c>
      <c r="H36" s="58">
        <v>0</v>
      </c>
      <c r="I36" s="56">
        <v>0</v>
      </c>
      <c r="J36" s="57">
        <f t="shared" si="2"/>
        <v>0</v>
      </c>
      <c r="K36" s="56">
        <v>0</v>
      </c>
      <c r="L36" s="56">
        <v>0</v>
      </c>
      <c r="M36" s="56">
        <v>0</v>
      </c>
      <c r="N36" s="57">
        <f t="shared" si="3"/>
        <v>0</v>
      </c>
      <c r="O36" s="56"/>
      <c r="P36" s="55">
        <f t="shared" si="4"/>
        <v>0</v>
      </c>
    </row>
    <row r="37" spans="1:16" ht="15.6" x14ac:dyDescent="0.25">
      <c r="A37" s="53">
        <v>30</v>
      </c>
      <c r="B37" s="53">
        <v>2301271</v>
      </c>
      <c r="C37" s="65" t="s">
        <v>32</v>
      </c>
      <c r="D37" s="53">
        <f>[1]Attendance!BB36</f>
        <v>35</v>
      </c>
      <c r="E37" s="53">
        <f>[1]Attendance!BE36</f>
        <v>24</v>
      </c>
      <c r="F37" s="55">
        <f t="shared" si="0"/>
        <v>68.571428571428569</v>
      </c>
      <c r="G37" s="53" t="str">
        <f t="shared" si="1"/>
        <v>0</v>
      </c>
      <c r="H37" s="56">
        <v>0</v>
      </c>
      <c r="I37" s="56">
        <v>17</v>
      </c>
      <c r="J37" s="57">
        <f t="shared" si="2"/>
        <v>8.5</v>
      </c>
      <c r="K37" s="56">
        <v>10</v>
      </c>
      <c r="L37" s="56">
        <v>10</v>
      </c>
      <c r="M37" s="56">
        <v>7</v>
      </c>
      <c r="N37" s="57">
        <f t="shared" si="3"/>
        <v>9</v>
      </c>
      <c r="O37" s="56"/>
      <c r="P37" s="55">
        <f t="shared" si="4"/>
        <v>17.5</v>
      </c>
    </row>
    <row r="38" spans="1:16" ht="15.6" x14ac:dyDescent="0.25">
      <c r="A38" s="53">
        <v>31</v>
      </c>
      <c r="B38" s="53">
        <v>2301272</v>
      </c>
      <c r="C38" s="65" t="s">
        <v>33</v>
      </c>
      <c r="D38" s="53">
        <f>[1]Attendance!BB37</f>
        <v>35</v>
      </c>
      <c r="E38" s="53">
        <f>[1]Attendance!BE37</f>
        <v>5</v>
      </c>
      <c r="F38" s="55">
        <f t="shared" si="0"/>
        <v>14.285714285714285</v>
      </c>
      <c r="G38" s="53" t="str">
        <f t="shared" si="1"/>
        <v>0</v>
      </c>
      <c r="H38" s="56">
        <v>0</v>
      </c>
      <c r="I38" s="56">
        <v>0</v>
      </c>
      <c r="J38" s="57">
        <f t="shared" si="2"/>
        <v>0</v>
      </c>
      <c r="K38" s="56">
        <v>0</v>
      </c>
      <c r="L38" s="56">
        <v>0</v>
      </c>
      <c r="M38" s="56">
        <v>0</v>
      </c>
      <c r="N38" s="57">
        <f t="shared" si="3"/>
        <v>0</v>
      </c>
      <c r="O38" s="56"/>
      <c r="P38" s="55">
        <f t="shared" si="4"/>
        <v>0</v>
      </c>
    </row>
    <row r="39" spans="1:16" ht="15.6" x14ac:dyDescent="0.25">
      <c r="A39" s="53">
        <v>32</v>
      </c>
      <c r="B39" s="53">
        <v>2301273</v>
      </c>
      <c r="C39" s="65" t="s">
        <v>34</v>
      </c>
      <c r="D39" s="53">
        <f>[1]Attendance!BB38</f>
        <v>35</v>
      </c>
      <c r="E39" s="53">
        <f>[1]Attendance!BE38</f>
        <v>23</v>
      </c>
      <c r="F39" s="55">
        <f t="shared" si="0"/>
        <v>65.714285714285708</v>
      </c>
      <c r="G39" s="53" t="str">
        <f t="shared" si="1"/>
        <v>0</v>
      </c>
      <c r="H39" s="58">
        <v>11</v>
      </c>
      <c r="I39" s="56">
        <v>20</v>
      </c>
      <c r="J39" s="57">
        <f t="shared" si="2"/>
        <v>15.5</v>
      </c>
      <c r="K39" s="58">
        <v>10</v>
      </c>
      <c r="L39" s="56">
        <v>10</v>
      </c>
      <c r="M39" s="56">
        <v>8</v>
      </c>
      <c r="N39" s="57">
        <f t="shared" si="3"/>
        <v>9.3333333333333339</v>
      </c>
      <c r="O39" s="56"/>
      <c r="P39" s="55">
        <f t="shared" si="4"/>
        <v>24.833333333333336</v>
      </c>
    </row>
    <row r="40" spans="1:16" ht="15.6" x14ac:dyDescent="0.25">
      <c r="A40" s="53">
        <v>33</v>
      </c>
      <c r="B40" s="53">
        <v>2301274</v>
      </c>
      <c r="C40" s="65" t="s">
        <v>35</v>
      </c>
      <c r="D40" s="53">
        <f>[1]Attendance!BB39</f>
        <v>35</v>
      </c>
      <c r="E40" s="53">
        <f>[1]Attendance!BE39</f>
        <v>33</v>
      </c>
      <c r="F40" s="55">
        <f t="shared" si="0"/>
        <v>94.285714285714278</v>
      </c>
      <c r="G40" s="53" t="str">
        <f t="shared" si="1"/>
        <v>5</v>
      </c>
      <c r="H40" s="58">
        <v>22</v>
      </c>
      <c r="I40" s="56">
        <v>23</v>
      </c>
      <c r="J40" s="57">
        <f t="shared" si="2"/>
        <v>22.5</v>
      </c>
      <c r="K40" s="58">
        <v>10</v>
      </c>
      <c r="L40" s="56">
        <v>10</v>
      </c>
      <c r="M40" s="56">
        <v>9</v>
      </c>
      <c r="N40" s="57">
        <f t="shared" si="3"/>
        <v>9.6666666666666661</v>
      </c>
      <c r="O40" s="56"/>
      <c r="P40" s="55">
        <f t="shared" si="4"/>
        <v>37.166666666666664</v>
      </c>
    </row>
    <row r="41" spans="1:16" ht="15.6" x14ac:dyDescent="0.25">
      <c r="A41" s="53">
        <v>34</v>
      </c>
      <c r="B41" s="53">
        <v>2301275</v>
      </c>
      <c r="C41" s="65" t="s">
        <v>36</v>
      </c>
      <c r="D41" s="53">
        <f>[1]Attendance!BB40</f>
        <v>35</v>
      </c>
      <c r="E41" s="53">
        <f>[1]Attendance!BE40</f>
        <v>27</v>
      </c>
      <c r="F41" s="55">
        <f t="shared" si="0"/>
        <v>77.142857142857153</v>
      </c>
      <c r="G41" s="53" t="str">
        <f t="shared" si="1"/>
        <v>2</v>
      </c>
      <c r="H41" s="56">
        <v>11</v>
      </c>
      <c r="I41" s="56">
        <v>10</v>
      </c>
      <c r="J41" s="57">
        <f t="shared" si="2"/>
        <v>10.5</v>
      </c>
      <c r="K41" s="56">
        <v>10</v>
      </c>
      <c r="L41" s="56">
        <v>10</v>
      </c>
      <c r="M41" s="56">
        <v>0</v>
      </c>
      <c r="N41" s="57">
        <f t="shared" si="3"/>
        <v>6.666666666666667</v>
      </c>
      <c r="O41" s="56"/>
      <c r="P41" s="55">
        <f t="shared" si="4"/>
        <v>19.166666666666668</v>
      </c>
    </row>
    <row r="42" spans="1:16" ht="15.6" x14ac:dyDescent="0.25">
      <c r="A42" s="53">
        <v>35</v>
      </c>
      <c r="B42" s="53">
        <v>2301277</v>
      </c>
      <c r="C42" s="65" t="s">
        <v>37</v>
      </c>
      <c r="D42" s="53">
        <f>[1]Attendance!BB41</f>
        <v>35</v>
      </c>
      <c r="E42" s="53">
        <f>[1]Attendance!BE41</f>
        <v>24</v>
      </c>
      <c r="F42" s="55">
        <f t="shared" si="0"/>
        <v>68.571428571428569</v>
      </c>
      <c r="G42" s="53" t="str">
        <f t="shared" si="1"/>
        <v>0</v>
      </c>
      <c r="H42" s="56">
        <v>22</v>
      </c>
      <c r="I42" s="56">
        <v>18</v>
      </c>
      <c r="J42" s="57">
        <f t="shared" si="2"/>
        <v>20</v>
      </c>
      <c r="K42" s="56">
        <v>10</v>
      </c>
      <c r="L42" s="56">
        <v>10</v>
      </c>
      <c r="M42" s="56">
        <v>8</v>
      </c>
      <c r="N42" s="57">
        <f t="shared" si="3"/>
        <v>9.3333333333333339</v>
      </c>
      <c r="O42" s="56"/>
      <c r="P42" s="55">
        <f t="shared" si="4"/>
        <v>29.333333333333336</v>
      </c>
    </row>
    <row r="43" spans="1:16" ht="15.6" x14ac:dyDescent="0.25">
      <c r="A43" s="53">
        <v>36</v>
      </c>
      <c r="B43" s="53">
        <v>2301278</v>
      </c>
      <c r="C43" s="65" t="s">
        <v>38</v>
      </c>
      <c r="D43" s="53">
        <f>[1]Attendance!BB42</f>
        <v>35</v>
      </c>
      <c r="E43" s="53">
        <f>[1]Attendance!BE42</f>
        <v>8</v>
      </c>
      <c r="F43" s="55">
        <f t="shared" si="0"/>
        <v>22.857142857142858</v>
      </c>
      <c r="G43" s="53" t="str">
        <f t="shared" si="1"/>
        <v>0</v>
      </c>
      <c r="H43" s="56">
        <v>16</v>
      </c>
      <c r="I43" s="56">
        <v>0</v>
      </c>
      <c r="J43" s="57">
        <f t="shared" si="2"/>
        <v>8</v>
      </c>
      <c r="K43" s="56">
        <v>10</v>
      </c>
      <c r="L43" s="56">
        <v>10</v>
      </c>
      <c r="M43" s="56">
        <v>0</v>
      </c>
      <c r="N43" s="57">
        <f t="shared" si="3"/>
        <v>6.666666666666667</v>
      </c>
      <c r="O43" s="56"/>
      <c r="P43" s="55">
        <f t="shared" si="4"/>
        <v>14.666666666666668</v>
      </c>
    </row>
    <row r="44" spans="1:16" ht="15.6" x14ac:dyDescent="0.25">
      <c r="A44" s="53">
        <v>37</v>
      </c>
      <c r="B44" s="53">
        <v>2301279</v>
      </c>
      <c r="C44" s="65" t="s">
        <v>39</v>
      </c>
      <c r="D44" s="53">
        <f>[1]Attendance!BB43</f>
        <v>35</v>
      </c>
      <c r="E44" s="53">
        <f>[1]Attendance!BE43</f>
        <v>25</v>
      </c>
      <c r="F44" s="55">
        <f t="shared" si="0"/>
        <v>71.428571428571431</v>
      </c>
      <c r="G44" s="53" t="str">
        <f t="shared" si="1"/>
        <v>0</v>
      </c>
      <c r="H44" s="56">
        <v>16</v>
      </c>
      <c r="I44" s="56">
        <v>15</v>
      </c>
      <c r="J44" s="57">
        <f t="shared" si="2"/>
        <v>15.5</v>
      </c>
      <c r="K44" s="56">
        <v>10</v>
      </c>
      <c r="L44" s="56">
        <v>10</v>
      </c>
      <c r="M44" s="56">
        <v>7</v>
      </c>
      <c r="N44" s="57">
        <f t="shared" si="3"/>
        <v>9</v>
      </c>
      <c r="O44" s="56"/>
      <c r="P44" s="55">
        <f t="shared" si="4"/>
        <v>24.5</v>
      </c>
    </row>
    <row r="45" spans="1:16" ht="15.6" x14ac:dyDescent="0.25">
      <c r="A45" s="53">
        <v>38</v>
      </c>
      <c r="B45" s="53">
        <v>2339508</v>
      </c>
      <c r="C45" s="65" t="s">
        <v>40</v>
      </c>
      <c r="D45" s="53">
        <f>[1]Attendance!BB44</f>
        <v>35</v>
      </c>
      <c r="E45" s="53">
        <f>[1]Attendance!BE44</f>
        <v>17</v>
      </c>
      <c r="F45" s="55">
        <f t="shared" si="0"/>
        <v>48.571428571428569</v>
      </c>
      <c r="G45" s="53" t="str">
        <f t="shared" si="1"/>
        <v>0</v>
      </c>
      <c r="H45" s="56">
        <v>12</v>
      </c>
      <c r="I45" s="56">
        <v>14</v>
      </c>
      <c r="J45" s="57">
        <f t="shared" si="2"/>
        <v>13</v>
      </c>
      <c r="K45" s="56">
        <v>10</v>
      </c>
      <c r="L45" s="56">
        <v>0</v>
      </c>
      <c r="M45" s="56">
        <v>7</v>
      </c>
      <c r="N45" s="57">
        <f t="shared" si="3"/>
        <v>5.666666666666667</v>
      </c>
      <c r="O45" s="56"/>
      <c r="P45" s="55">
        <f t="shared" si="4"/>
        <v>18.666666666666668</v>
      </c>
    </row>
    <row r="46" spans="1:16" ht="15.6" x14ac:dyDescent="0.25">
      <c r="A46" s="53">
        <v>39</v>
      </c>
      <c r="B46" s="53">
        <v>2301280</v>
      </c>
      <c r="C46" s="65" t="s">
        <v>41</v>
      </c>
      <c r="D46" s="53">
        <f>[1]Attendance!BB45</f>
        <v>35</v>
      </c>
      <c r="E46" s="53">
        <f>[1]Attendance!BE45</f>
        <v>16</v>
      </c>
      <c r="F46" s="55">
        <f t="shared" si="0"/>
        <v>45.714285714285715</v>
      </c>
      <c r="G46" s="53" t="str">
        <f t="shared" si="1"/>
        <v>0</v>
      </c>
      <c r="H46" s="56">
        <v>11</v>
      </c>
      <c r="I46" s="56">
        <v>18</v>
      </c>
      <c r="J46" s="57">
        <f t="shared" si="2"/>
        <v>14.5</v>
      </c>
      <c r="K46" s="56">
        <v>0</v>
      </c>
      <c r="L46" s="56">
        <v>0</v>
      </c>
      <c r="M46" s="56">
        <v>7</v>
      </c>
      <c r="N46" s="57">
        <f t="shared" si="3"/>
        <v>2.3333333333333335</v>
      </c>
      <c r="O46" s="56"/>
      <c r="P46" s="55">
        <f t="shared" si="4"/>
        <v>16.833333333333332</v>
      </c>
    </row>
    <row r="47" spans="1:16" ht="15.6" x14ac:dyDescent="0.25">
      <c r="A47" s="53">
        <v>40</v>
      </c>
      <c r="B47" s="53">
        <v>2301281</v>
      </c>
      <c r="C47" s="65" t="s">
        <v>42</v>
      </c>
      <c r="D47" s="53">
        <f>[1]Attendance!BB46</f>
        <v>35</v>
      </c>
      <c r="E47" s="53">
        <f>[1]Attendance!BE46</f>
        <v>19</v>
      </c>
      <c r="F47" s="55">
        <f t="shared" si="0"/>
        <v>54.285714285714285</v>
      </c>
      <c r="G47" s="53" t="str">
        <f t="shared" si="1"/>
        <v>0</v>
      </c>
      <c r="H47" s="58">
        <v>0</v>
      </c>
      <c r="I47" s="56">
        <v>14</v>
      </c>
      <c r="J47" s="57">
        <f t="shared" si="2"/>
        <v>7</v>
      </c>
      <c r="K47" s="56">
        <v>10</v>
      </c>
      <c r="L47" s="56">
        <v>10</v>
      </c>
      <c r="M47" s="56">
        <v>6</v>
      </c>
      <c r="N47" s="57">
        <f t="shared" si="3"/>
        <v>8.6666666666666661</v>
      </c>
      <c r="O47" s="56"/>
      <c r="P47" s="55">
        <f t="shared" si="4"/>
        <v>15.666666666666666</v>
      </c>
    </row>
    <row r="48" spans="1:16" ht="15.6" x14ac:dyDescent="0.25">
      <c r="A48" s="53">
        <v>41</v>
      </c>
      <c r="B48" s="53">
        <v>2339509</v>
      </c>
      <c r="C48" s="65" t="s">
        <v>43</v>
      </c>
      <c r="D48" s="53">
        <f>[1]Attendance!BB47</f>
        <v>35</v>
      </c>
      <c r="E48" s="53">
        <f>[1]Attendance!BE47</f>
        <v>0</v>
      </c>
      <c r="F48" s="55">
        <f t="shared" si="0"/>
        <v>0</v>
      </c>
      <c r="G48" s="53" t="str">
        <f t="shared" si="1"/>
        <v>0</v>
      </c>
      <c r="H48" s="56">
        <v>0</v>
      </c>
      <c r="I48" s="56">
        <v>0</v>
      </c>
      <c r="J48" s="57">
        <f t="shared" si="2"/>
        <v>0</v>
      </c>
      <c r="K48" s="60">
        <v>0</v>
      </c>
      <c r="L48" s="56">
        <v>0</v>
      </c>
      <c r="M48" s="56">
        <v>0</v>
      </c>
      <c r="N48" s="57">
        <f t="shared" si="3"/>
        <v>0</v>
      </c>
      <c r="O48" s="56"/>
      <c r="P48" s="55">
        <f t="shared" si="4"/>
        <v>0</v>
      </c>
    </row>
    <row r="49" spans="1:16" ht="15.6" x14ac:dyDescent="0.25">
      <c r="A49" s="53">
        <v>42</v>
      </c>
      <c r="B49" s="53">
        <v>2301283</v>
      </c>
      <c r="C49" s="65" t="s">
        <v>44</v>
      </c>
      <c r="D49" s="53">
        <f>[1]Attendance!BB48</f>
        <v>35</v>
      </c>
      <c r="E49" s="53">
        <f>[1]Attendance!BE48</f>
        <v>22</v>
      </c>
      <c r="F49" s="55">
        <f t="shared" si="0"/>
        <v>62.857142857142854</v>
      </c>
      <c r="G49" s="53" t="str">
        <f t="shared" si="1"/>
        <v>0</v>
      </c>
      <c r="H49" s="72">
        <v>4</v>
      </c>
      <c r="I49" s="56">
        <v>10</v>
      </c>
      <c r="J49" s="57">
        <f t="shared" si="2"/>
        <v>7</v>
      </c>
      <c r="K49" s="56">
        <v>10</v>
      </c>
      <c r="L49" s="56">
        <v>10</v>
      </c>
      <c r="M49" s="56">
        <v>8</v>
      </c>
      <c r="N49" s="57">
        <f t="shared" si="3"/>
        <v>9.3333333333333339</v>
      </c>
      <c r="O49" s="56"/>
      <c r="P49" s="55">
        <f t="shared" si="4"/>
        <v>16.333333333333336</v>
      </c>
    </row>
    <row r="50" spans="1:16" ht="15.6" x14ac:dyDescent="0.25">
      <c r="A50" s="53">
        <v>43</v>
      </c>
      <c r="B50" s="53">
        <v>2301285</v>
      </c>
      <c r="C50" s="65" t="s">
        <v>45</v>
      </c>
      <c r="D50" s="53">
        <f>[1]Attendance!BB49</f>
        <v>35</v>
      </c>
      <c r="E50" s="53">
        <f>[1]Attendance!BE49</f>
        <v>19</v>
      </c>
      <c r="F50" s="55">
        <f t="shared" si="0"/>
        <v>54.285714285714285</v>
      </c>
      <c r="G50" s="53" t="str">
        <f t="shared" si="1"/>
        <v>0</v>
      </c>
      <c r="H50" s="58">
        <v>7</v>
      </c>
      <c r="I50" s="56">
        <v>7</v>
      </c>
      <c r="J50" s="57">
        <f t="shared" si="2"/>
        <v>7</v>
      </c>
      <c r="K50" s="56">
        <v>0</v>
      </c>
      <c r="L50" s="56">
        <v>10</v>
      </c>
      <c r="M50" s="56">
        <v>8</v>
      </c>
      <c r="N50" s="57">
        <f t="shared" si="3"/>
        <v>6</v>
      </c>
      <c r="O50" s="56"/>
      <c r="P50" s="55">
        <f t="shared" si="4"/>
        <v>13</v>
      </c>
    </row>
    <row r="51" spans="1:16" ht="15.6" x14ac:dyDescent="0.25">
      <c r="A51" s="53">
        <v>44</v>
      </c>
      <c r="B51" s="53">
        <v>2301286</v>
      </c>
      <c r="C51" s="65" t="s">
        <v>46</v>
      </c>
      <c r="D51" s="53">
        <f>[1]Attendance!BB50</f>
        <v>35</v>
      </c>
      <c r="E51" s="53">
        <f>[1]Attendance!BE50</f>
        <v>4</v>
      </c>
      <c r="F51" s="55">
        <f t="shared" si="0"/>
        <v>11.428571428571429</v>
      </c>
      <c r="G51" s="53" t="str">
        <f t="shared" si="1"/>
        <v>0</v>
      </c>
      <c r="H51" s="56">
        <v>0</v>
      </c>
      <c r="I51" s="56">
        <v>0</v>
      </c>
      <c r="J51" s="57">
        <f t="shared" si="2"/>
        <v>0</v>
      </c>
      <c r="K51" s="56">
        <v>0</v>
      </c>
      <c r="L51" s="56">
        <v>0</v>
      </c>
      <c r="M51" s="56">
        <v>0</v>
      </c>
      <c r="N51" s="57">
        <f t="shared" si="3"/>
        <v>0</v>
      </c>
      <c r="O51" s="56"/>
      <c r="P51" s="55">
        <f t="shared" si="4"/>
        <v>0</v>
      </c>
    </row>
    <row r="52" spans="1:16" ht="15.6" x14ac:dyDescent="0.25">
      <c r="A52" s="53">
        <v>45</v>
      </c>
      <c r="B52" s="53">
        <v>2425599</v>
      </c>
      <c r="C52" s="65" t="s">
        <v>47</v>
      </c>
      <c r="D52" s="53">
        <f>[1]Attendance!BB51</f>
        <v>35</v>
      </c>
      <c r="E52" s="53">
        <f>[1]Attendance!BE51</f>
        <v>21</v>
      </c>
      <c r="F52" s="55">
        <f t="shared" si="0"/>
        <v>60</v>
      </c>
      <c r="G52" s="53" t="str">
        <f t="shared" si="1"/>
        <v>0</v>
      </c>
      <c r="H52" s="56">
        <v>20</v>
      </c>
      <c r="I52" s="56">
        <v>13</v>
      </c>
      <c r="J52" s="57">
        <f t="shared" si="2"/>
        <v>16.5</v>
      </c>
      <c r="K52" s="56">
        <v>10</v>
      </c>
      <c r="L52" s="56">
        <v>10</v>
      </c>
      <c r="M52" s="56">
        <v>7</v>
      </c>
      <c r="N52" s="57">
        <f t="shared" si="3"/>
        <v>9</v>
      </c>
      <c r="O52" s="56"/>
      <c r="P52" s="55">
        <f t="shared" si="4"/>
        <v>25.5</v>
      </c>
    </row>
    <row r="53" spans="1:16" ht="15.6" x14ac:dyDescent="0.25">
      <c r="A53" s="53">
        <v>46</v>
      </c>
      <c r="B53" s="53">
        <v>2425600</v>
      </c>
      <c r="C53" s="65" t="s">
        <v>48</v>
      </c>
      <c r="D53" s="53">
        <f>[1]Attendance!BB52</f>
        <v>35</v>
      </c>
      <c r="E53" s="53">
        <f>[1]Attendance!BE52</f>
        <v>26</v>
      </c>
      <c r="F53" s="55">
        <f t="shared" si="0"/>
        <v>74.285714285714292</v>
      </c>
      <c r="G53" s="53" t="str">
        <f t="shared" si="1"/>
        <v>0</v>
      </c>
      <c r="H53" s="58">
        <v>21</v>
      </c>
      <c r="I53" s="56">
        <v>18</v>
      </c>
      <c r="J53" s="57">
        <f t="shared" si="2"/>
        <v>19.5</v>
      </c>
      <c r="K53" s="56">
        <v>10</v>
      </c>
      <c r="L53" s="56">
        <v>10</v>
      </c>
      <c r="M53" s="56">
        <v>9</v>
      </c>
      <c r="N53" s="57">
        <f t="shared" si="3"/>
        <v>9.6666666666666661</v>
      </c>
      <c r="O53" s="56"/>
      <c r="P53" s="55">
        <f t="shared" si="4"/>
        <v>29.166666666666664</v>
      </c>
    </row>
    <row r="54" spans="1:16" ht="15.6" x14ac:dyDescent="0.25">
      <c r="A54" s="53">
        <v>47</v>
      </c>
      <c r="B54" s="53">
        <v>2425601</v>
      </c>
      <c r="C54" s="65" t="s">
        <v>49</v>
      </c>
      <c r="D54" s="53">
        <f>[1]Attendance!BB53</f>
        <v>35</v>
      </c>
      <c r="E54" s="53">
        <f>[1]Attendance!BE53</f>
        <v>28</v>
      </c>
      <c r="F54" s="55">
        <f t="shared" si="0"/>
        <v>80</v>
      </c>
      <c r="G54" s="53" t="str">
        <f t="shared" si="1"/>
        <v>2</v>
      </c>
      <c r="H54" s="56">
        <v>20</v>
      </c>
      <c r="I54" s="56">
        <v>18</v>
      </c>
      <c r="J54" s="57">
        <f t="shared" si="2"/>
        <v>19</v>
      </c>
      <c r="K54" s="56">
        <v>10</v>
      </c>
      <c r="L54" s="56">
        <v>0</v>
      </c>
      <c r="M54" s="56">
        <v>8</v>
      </c>
      <c r="N54" s="57">
        <f t="shared" si="3"/>
        <v>6</v>
      </c>
      <c r="O54" s="56"/>
      <c r="P54" s="55">
        <f t="shared" si="4"/>
        <v>27</v>
      </c>
    </row>
    <row r="55" spans="1:16" ht="15.6" x14ac:dyDescent="0.25">
      <c r="A55" s="53">
        <v>48</v>
      </c>
      <c r="B55" s="53">
        <v>2425603</v>
      </c>
      <c r="C55" s="65" t="s">
        <v>50</v>
      </c>
      <c r="D55" s="53">
        <f>[1]Attendance!BB54</f>
        <v>35</v>
      </c>
      <c r="E55" s="53">
        <f>[1]Attendance!BE54</f>
        <v>26</v>
      </c>
      <c r="F55" s="55">
        <f t="shared" si="0"/>
        <v>74.285714285714292</v>
      </c>
      <c r="G55" s="53" t="str">
        <f t="shared" si="1"/>
        <v>0</v>
      </c>
      <c r="H55" s="56">
        <v>20</v>
      </c>
      <c r="I55" s="56">
        <v>21</v>
      </c>
      <c r="J55" s="57">
        <f t="shared" si="2"/>
        <v>20.5</v>
      </c>
      <c r="K55" s="56">
        <v>10</v>
      </c>
      <c r="L55" s="56">
        <v>0</v>
      </c>
      <c r="M55" s="56">
        <v>7</v>
      </c>
      <c r="N55" s="57">
        <f t="shared" si="3"/>
        <v>5.666666666666667</v>
      </c>
      <c r="O55" s="56"/>
      <c r="P55" s="55">
        <f t="shared" si="4"/>
        <v>26.166666666666668</v>
      </c>
    </row>
    <row r="56" spans="1:16" ht="15.6" x14ac:dyDescent="0.25">
      <c r="A56" s="53">
        <v>49</v>
      </c>
      <c r="B56" s="53">
        <v>2425604</v>
      </c>
      <c r="C56" s="65" t="s">
        <v>51</v>
      </c>
      <c r="D56" s="53">
        <f>[1]Attendance!BB55</f>
        <v>35</v>
      </c>
      <c r="E56" s="53">
        <f>[1]Attendance!BE55</f>
        <v>27</v>
      </c>
      <c r="F56" s="55">
        <f t="shared" si="0"/>
        <v>77.142857142857153</v>
      </c>
      <c r="G56" s="53" t="str">
        <f t="shared" si="1"/>
        <v>2</v>
      </c>
      <c r="H56" s="56">
        <v>17</v>
      </c>
      <c r="I56" s="56">
        <v>15</v>
      </c>
      <c r="J56" s="57">
        <f t="shared" si="2"/>
        <v>16</v>
      </c>
      <c r="K56" s="56">
        <v>10</v>
      </c>
      <c r="L56" s="56">
        <v>0</v>
      </c>
      <c r="M56" s="56">
        <v>8</v>
      </c>
      <c r="N56" s="57">
        <f t="shared" si="3"/>
        <v>6</v>
      </c>
      <c r="O56" s="56"/>
      <c r="P56" s="55">
        <f t="shared" si="4"/>
        <v>24</v>
      </c>
    </row>
    <row r="57" spans="1:16" ht="15.6" x14ac:dyDescent="0.25">
      <c r="A57" s="53">
        <v>50</v>
      </c>
      <c r="B57" s="53">
        <v>2301235</v>
      </c>
      <c r="C57" s="65" t="s">
        <v>87</v>
      </c>
      <c r="D57" s="53">
        <f>[1]Attendance!BB56</f>
        <v>35</v>
      </c>
      <c r="E57" s="53">
        <f>[1]Attendance!BE56</f>
        <v>19</v>
      </c>
      <c r="F57" s="55">
        <f t="shared" si="0"/>
        <v>54.285714285714285</v>
      </c>
      <c r="G57" s="53" t="str">
        <f t="shared" si="1"/>
        <v>0</v>
      </c>
      <c r="H57" s="56">
        <v>21</v>
      </c>
      <c r="I57" s="56">
        <v>0</v>
      </c>
      <c r="J57" s="57">
        <f t="shared" si="2"/>
        <v>10.5</v>
      </c>
      <c r="K57" s="56">
        <v>10</v>
      </c>
      <c r="L57" s="56">
        <v>10</v>
      </c>
      <c r="M57" s="56">
        <v>0</v>
      </c>
      <c r="N57" s="57">
        <f t="shared" si="3"/>
        <v>6.666666666666667</v>
      </c>
      <c r="O57" s="56"/>
      <c r="P57" s="55">
        <f t="shared" si="4"/>
        <v>17.166666666666668</v>
      </c>
    </row>
    <row r="58" spans="1:16" x14ac:dyDescent="0.25">
      <c r="A58" s="74"/>
      <c r="B58" s="74"/>
      <c r="C58" s="67"/>
      <c r="D58" s="74"/>
      <c r="E58" s="74"/>
      <c r="F58" s="74"/>
      <c r="G58" s="74"/>
      <c r="H58" s="60"/>
      <c r="I58" s="60"/>
      <c r="J58" s="74"/>
      <c r="K58" s="60"/>
      <c r="L58" s="60"/>
      <c r="M58" s="60"/>
      <c r="N58" s="74"/>
      <c r="O58" s="59" t="s">
        <v>92</v>
      </c>
      <c r="P58" s="61">
        <f t="shared" ref="P58" si="5">AVERAGE(P8:P57)</f>
        <v>19.826666666666661</v>
      </c>
    </row>
    <row r="59" spans="1:16" x14ac:dyDescent="0.25">
      <c r="A59" s="74"/>
      <c r="B59" s="74"/>
      <c r="C59" s="67"/>
      <c r="D59" s="74"/>
      <c r="E59" s="74"/>
      <c r="F59" s="74"/>
      <c r="G59" s="74"/>
      <c r="H59" s="60"/>
      <c r="I59" s="60"/>
      <c r="J59" s="74"/>
      <c r="K59" s="60"/>
      <c r="L59" s="60"/>
      <c r="M59" s="60"/>
      <c r="N59" s="74"/>
      <c r="O59" s="59" t="s">
        <v>93</v>
      </c>
      <c r="P59" s="61">
        <f t="shared" ref="P59" si="6">COUNTIF(P8:P57,"&gt;=16")</f>
        <v>34</v>
      </c>
    </row>
    <row r="60" spans="1:16" x14ac:dyDescent="0.25">
      <c r="A60" s="74"/>
      <c r="B60" s="74"/>
      <c r="C60" s="67"/>
      <c r="D60" s="74"/>
      <c r="E60" s="74"/>
      <c r="F60" s="74"/>
      <c r="G60" s="74"/>
      <c r="H60" s="60"/>
      <c r="I60" s="60"/>
      <c r="J60" s="74"/>
      <c r="K60" s="60"/>
      <c r="L60" s="60"/>
      <c r="M60" s="60"/>
      <c r="N60" s="74"/>
      <c r="O60" s="59" t="s">
        <v>94</v>
      </c>
      <c r="P60" s="61">
        <f t="shared" ref="P60" si="7">(P59/50)*100</f>
        <v>68</v>
      </c>
    </row>
  </sheetData>
  <mergeCells count="21">
    <mergeCell ref="O6:O7"/>
    <mergeCell ref="P6:P7"/>
    <mergeCell ref="G6:G7"/>
    <mergeCell ref="H6:H7"/>
    <mergeCell ref="I6:I7"/>
    <mergeCell ref="J6:J7"/>
    <mergeCell ref="K6:M6"/>
    <mergeCell ref="N6:N7"/>
    <mergeCell ref="A6:A7"/>
    <mergeCell ref="B6:B7"/>
    <mergeCell ref="C6:C7"/>
    <mergeCell ref="D6:D7"/>
    <mergeCell ref="E6:E7"/>
    <mergeCell ref="F6:F7"/>
    <mergeCell ref="A1:P1"/>
    <mergeCell ref="A2:P2"/>
    <mergeCell ref="A3:P3"/>
    <mergeCell ref="A4:I4"/>
    <mergeCell ref="J4:P4"/>
    <mergeCell ref="A5:I5"/>
    <mergeCell ref="J5:P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872C-13F8-4B1E-8F94-4B6FF6151325}">
  <dimension ref="A1:P60"/>
  <sheetViews>
    <sheetView workbookViewId="0">
      <selection activeCell="G8" sqref="G8"/>
    </sheetView>
  </sheetViews>
  <sheetFormatPr defaultRowHeight="13.2" x14ac:dyDescent="0.25"/>
  <cols>
    <col min="1" max="1" width="6.109375" bestFit="1" customWidth="1"/>
    <col min="2" max="2" width="8.77734375" bestFit="1" customWidth="1"/>
    <col min="3" max="3" width="23.33203125" style="68" bestFit="1" customWidth="1"/>
    <col min="4" max="4" width="8.33203125" bestFit="1" customWidth="1"/>
    <col min="5" max="5" width="8.21875" bestFit="1" customWidth="1"/>
    <col min="6" max="6" width="6.33203125" bestFit="1" customWidth="1"/>
    <col min="7" max="7" width="7.109375" bestFit="1" customWidth="1"/>
    <col min="8" max="8" width="7" bestFit="1" customWidth="1"/>
    <col min="9" max="9" width="7.77734375" bestFit="1" customWidth="1"/>
    <col min="10" max="10" width="8.6640625" bestFit="1" customWidth="1"/>
    <col min="11" max="11" width="3" bestFit="1" customWidth="1"/>
    <col min="12" max="13" width="2.109375" bestFit="1" customWidth="1"/>
    <col min="15" max="15" width="10.77734375" bestFit="1" customWidth="1"/>
    <col min="16" max="16" width="7" bestFit="1" customWidth="1"/>
  </cols>
  <sheetData>
    <row r="1" spans="1:16" ht="20.399999999999999" x14ac:dyDescent="0.25">
      <c r="A1" s="44" t="s">
        <v>53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70"/>
    </row>
    <row r="2" spans="1:16" ht="18.600000000000001" x14ac:dyDescent="0.25">
      <c r="A2" s="45" t="s">
        <v>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70"/>
    </row>
    <row r="3" spans="1:16" ht="17.399999999999999" x14ac:dyDescent="0.25">
      <c r="A3" s="46" t="s">
        <v>55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70"/>
    </row>
    <row r="4" spans="1:16" x14ac:dyDescent="0.25">
      <c r="A4" s="47" t="s">
        <v>56</v>
      </c>
      <c r="B4" s="69"/>
      <c r="C4" s="69"/>
      <c r="D4" s="69"/>
      <c r="E4" s="69"/>
      <c r="F4" s="69"/>
      <c r="G4" s="69"/>
      <c r="H4" s="69"/>
      <c r="I4" s="70"/>
      <c r="J4" s="47" t="s">
        <v>57</v>
      </c>
      <c r="K4" s="69"/>
      <c r="L4" s="69"/>
      <c r="M4" s="69"/>
      <c r="N4" s="69"/>
      <c r="O4" s="69"/>
      <c r="P4" s="70"/>
    </row>
    <row r="5" spans="1:16" x14ac:dyDescent="0.25">
      <c r="A5" s="47" t="s">
        <v>102</v>
      </c>
      <c r="B5" s="69"/>
      <c r="C5" s="69"/>
      <c r="D5" s="69"/>
      <c r="E5" s="69"/>
      <c r="F5" s="69"/>
      <c r="G5" s="69"/>
      <c r="H5" s="69"/>
      <c r="I5" s="70"/>
      <c r="J5" s="47" t="s">
        <v>103</v>
      </c>
      <c r="K5" s="69"/>
      <c r="L5" s="69"/>
      <c r="M5" s="69"/>
      <c r="N5" s="69"/>
      <c r="O5" s="69"/>
      <c r="P5" s="70"/>
    </row>
    <row r="6" spans="1:16" x14ac:dyDescent="0.25">
      <c r="A6" s="79" t="s">
        <v>104</v>
      </c>
      <c r="B6" s="48" t="s">
        <v>1</v>
      </c>
      <c r="C6" s="63" t="s">
        <v>2</v>
      </c>
      <c r="D6" s="48" t="s">
        <v>61</v>
      </c>
      <c r="E6" s="48" t="s">
        <v>62</v>
      </c>
      <c r="F6" s="48" t="s">
        <v>63</v>
      </c>
      <c r="G6" s="48" t="s">
        <v>64</v>
      </c>
      <c r="H6" s="48" t="s">
        <v>65</v>
      </c>
      <c r="I6" s="48" t="s">
        <v>66</v>
      </c>
      <c r="J6" s="48" t="s">
        <v>67</v>
      </c>
      <c r="K6" s="47" t="s">
        <v>68</v>
      </c>
      <c r="L6" s="69"/>
      <c r="M6" s="70"/>
      <c r="N6" s="50" t="s">
        <v>69</v>
      </c>
      <c r="O6" s="48" t="s">
        <v>70</v>
      </c>
      <c r="P6" s="48" t="s">
        <v>71</v>
      </c>
    </row>
    <row r="7" spans="1:16" ht="15.6" x14ac:dyDescent="0.25">
      <c r="A7" s="71"/>
      <c r="B7" s="71"/>
      <c r="C7" s="64"/>
      <c r="D7" s="71"/>
      <c r="E7" s="71"/>
      <c r="F7" s="71"/>
      <c r="G7" s="71"/>
      <c r="H7" s="71"/>
      <c r="I7" s="71"/>
      <c r="J7" s="71"/>
      <c r="K7" s="52">
        <v>1</v>
      </c>
      <c r="L7" s="52">
        <v>2</v>
      </c>
      <c r="M7" s="52">
        <v>3</v>
      </c>
      <c r="N7" s="71"/>
      <c r="O7" s="71"/>
      <c r="P7" s="71"/>
    </row>
    <row r="8" spans="1:16" ht="15.6" x14ac:dyDescent="0.25">
      <c r="A8" s="53">
        <v>1</v>
      </c>
      <c r="B8" s="53">
        <v>2301236</v>
      </c>
      <c r="C8" s="65" t="s">
        <v>3</v>
      </c>
      <c r="D8" s="53">
        <v>36</v>
      </c>
      <c r="E8" s="53">
        <v>17</v>
      </c>
      <c r="F8" s="55">
        <v>47.222222219999999</v>
      </c>
      <c r="G8" s="53" t="s">
        <v>83</v>
      </c>
      <c r="H8" s="56">
        <v>4</v>
      </c>
      <c r="I8" s="56">
        <v>0</v>
      </c>
      <c r="J8" s="57">
        <v>2</v>
      </c>
      <c r="K8" s="59">
        <v>0</v>
      </c>
      <c r="L8" s="59">
        <v>0</v>
      </c>
      <c r="M8" s="59">
        <v>0</v>
      </c>
      <c r="N8" s="57">
        <v>0</v>
      </c>
      <c r="O8" s="53"/>
      <c r="P8" s="55">
        <v>2</v>
      </c>
    </row>
    <row r="9" spans="1:16" ht="15.6" x14ac:dyDescent="0.25">
      <c r="A9" s="53">
        <v>2</v>
      </c>
      <c r="B9" s="53">
        <v>2301237</v>
      </c>
      <c r="C9" s="65" t="s">
        <v>4</v>
      </c>
      <c r="D9" s="53">
        <v>36</v>
      </c>
      <c r="E9" s="53">
        <v>33</v>
      </c>
      <c r="F9" s="55">
        <v>91.666666669999998</v>
      </c>
      <c r="G9" s="53" t="s">
        <v>89</v>
      </c>
      <c r="H9" s="56">
        <v>13</v>
      </c>
      <c r="I9" s="56">
        <v>19</v>
      </c>
      <c r="J9" s="57">
        <v>16</v>
      </c>
      <c r="K9" s="56">
        <v>9</v>
      </c>
      <c r="L9" s="56">
        <v>9</v>
      </c>
      <c r="M9" s="56">
        <v>9</v>
      </c>
      <c r="N9" s="57">
        <v>9</v>
      </c>
      <c r="O9" s="56"/>
      <c r="P9" s="55">
        <v>30</v>
      </c>
    </row>
    <row r="10" spans="1:16" ht="15.6" x14ac:dyDescent="0.25">
      <c r="A10" s="53">
        <v>3</v>
      </c>
      <c r="B10" s="53">
        <v>2301238</v>
      </c>
      <c r="C10" s="65" t="s">
        <v>5</v>
      </c>
      <c r="D10" s="53">
        <v>36</v>
      </c>
      <c r="E10" s="53">
        <v>29</v>
      </c>
      <c r="F10" s="55">
        <v>80.555555560000002</v>
      </c>
      <c r="G10" s="53" t="s">
        <v>90</v>
      </c>
      <c r="H10" s="80">
        <v>16</v>
      </c>
      <c r="I10" s="56">
        <v>10</v>
      </c>
      <c r="J10" s="57">
        <v>13</v>
      </c>
      <c r="K10" s="56">
        <v>9</v>
      </c>
      <c r="L10" s="56">
        <v>8</v>
      </c>
      <c r="M10" s="56">
        <v>8</v>
      </c>
      <c r="N10" s="57">
        <v>8.3333333330000006</v>
      </c>
      <c r="O10" s="56"/>
      <c r="P10" s="55">
        <v>24.333333329999999</v>
      </c>
    </row>
    <row r="11" spans="1:16" ht="15.6" x14ac:dyDescent="0.25">
      <c r="A11" s="53">
        <v>4</v>
      </c>
      <c r="B11" s="53">
        <v>2301240</v>
      </c>
      <c r="C11" s="65" t="s">
        <v>6</v>
      </c>
      <c r="D11" s="53">
        <v>36</v>
      </c>
      <c r="E11" s="53">
        <v>29</v>
      </c>
      <c r="F11" s="55">
        <v>80.555555560000002</v>
      </c>
      <c r="G11" s="53" t="s">
        <v>90</v>
      </c>
      <c r="H11" s="56">
        <v>11</v>
      </c>
      <c r="I11" s="56">
        <v>10</v>
      </c>
      <c r="J11" s="57">
        <v>10.5</v>
      </c>
      <c r="K11" s="56">
        <v>9</v>
      </c>
      <c r="L11" s="56">
        <v>8</v>
      </c>
      <c r="M11" s="56">
        <v>8</v>
      </c>
      <c r="N11" s="57">
        <v>8.3333333330000006</v>
      </c>
      <c r="O11" s="56"/>
      <c r="P11" s="55">
        <v>21.833333329999999</v>
      </c>
    </row>
    <row r="12" spans="1:16" ht="15.6" x14ac:dyDescent="0.25">
      <c r="A12" s="53">
        <v>5</v>
      </c>
      <c r="B12" s="53">
        <v>2301241</v>
      </c>
      <c r="C12" s="65" t="s">
        <v>7</v>
      </c>
      <c r="D12" s="53">
        <v>36</v>
      </c>
      <c r="E12" s="53">
        <v>28</v>
      </c>
      <c r="F12" s="55">
        <v>77.777777779999994</v>
      </c>
      <c r="G12" s="53" t="s">
        <v>85</v>
      </c>
      <c r="H12" s="56">
        <v>16</v>
      </c>
      <c r="I12" s="56">
        <v>15</v>
      </c>
      <c r="J12" s="57">
        <v>15.5</v>
      </c>
      <c r="K12" s="56">
        <v>9</v>
      </c>
      <c r="L12" s="56">
        <v>9</v>
      </c>
      <c r="M12" s="56">
        <v>9</v>
      </c>
      <c r="N12" s="57">
        <v>9</v>
      </c>
      <c r="O12" s="56"/>
      <c r="P12" s="55">
        <v>26.5</v>
      </c>
    </row>
    <row r="13" spans="1:16" ht="15.6" x14ac:dyDescent="0.25">
      <c r="A13" s="53">
        <v>6</v>
      </c>
      <c r="B13" s="53">
        <v>2301242</v>
      </c>
      <c r="C13" s="65" t="s">
        <v>8</v>
      </c>
      <c r="D13" s="53">
        <v>36</v>
      </c>
      <c r="E13" s="53">
        <v>25</v>
      </c>
      <c r="F13" s="55">
        <v>69.444444439999998</v>
      </c>
      <c r="G13" s="53" t="s">
        <v>83</v>
      </c>
      <c r="H13" s="56">
        <v>20</v>
      </c>
      <c r="I13" s="56">
        <v>19</v>
      </c>
      <c r="J13" s="57">
        <v>19.5</v>
      </c>
      <c r="K13" s="56">
        <v>9</v>
      </c>
      <c r="L13" s="56">
        <v>9</v>
      </c>
      <c r="M13" s="56">
        <v>9</v>
      </c>
      <c r="N13" s="57">
        <v>9</v>
      </c>
      <c r="O13" s="56"/>
      <c r="P13" s="55">
        <v>28.5</v>
      </c>
    </row>
    <row r="14" spans="1:16" ht="15.6" x14ac:dyDescent="0.25">
      <c r="A14" s="53">
        <v>7</v>
      </c>
      <c r="B14" s="53">
        <v>2301243</v>
      </c>
      <c r="C14" s="65" t="s">
        <v>9</v>
      </c>
      <c r="D14" s="53">
        <v>36</v>
      </c>
      <c r="E14" s="53">
        <v>28</v>
      </c>
      <c r="F14" s="55">
        <v>77.777777779999994</v>
      </c>
      <c r="G14" s="53" t="s">
        <v>85</v>
      </c>
      <c r="H14" s="56">
        <v>10</v>
      </c>
      <c r="I14" s="56">
        <v>6</v>
      </c>
      <c r="J14" s="57">
        <v>8</v>
      </c>
      <c r="K14" s="56">
        <v>8</v>
      </c>
      <c r="L14" s="56">
        <v>8</v>
      </c>
      <c r="M14" s="56">
        <v>9</v>
      </c>
      <c r="N14" s="57">
        <v>8.3333333330000006</v>
      </c>
      <c r="O14" s="56"/>
      <c r="P14" s="55">
        <v>18.333333329999999</v>
      </c>
    </row>
    <row r="15" spans="1:16" ht="15.6" x14ac:dyDescent="0.25">
      <c r="A15" s="53">
        <v>8</v>
      </c>
      <c r="B15" s="53">
        <v>2301245</v>
      </c>
      <c r="C15" s="65" t="s">
        <v>10</v>
      </c>
      <c r="D15" s="53">
        <v>36</v>
      </c>
      <c r="E15" s="53">
        <v>34</v>
      </c>
      <c r="F15" s="55">
        <v>94.444444439999998</v>
      </c>
      <c r="G15" s="53" t="s">
        <v>89</v>
      </c>
      <c r="H15" s="56">
        <v>21</v>
      </c>
      <c r="I15" s="56">
        <v>21</v>
      </c>
      <c r="J15" s="57">
        <v>21</v>
      </c>
      <c r="K15" s="56">
        <v>10</v>
      </c>
      <c r="L15" s="56">
        <v>9</v>
      </c>
      <c r="M15" s="56">
        <v>9</v>
      </c>
      <c r="N15" s="57">
        <v>9.3333333330000006</v>
      </c>
      <c r="O15" s="56"/>
      <c r="P15" s="55">
        <v>35.333333330000002</v>
      </c>
    </row>
    <row r="16" spans="1:16" ht="15.6" x14ac:dyDescent="0.25">
      <c r="A16" s="53">
        <v>9</v>
      </c>
      <c r="B16" s="53">
        <v>2301247</v>
      </c>
      <c r="C16" s="65" t="s">
        <v>11</v>
      </c>
      <c r="D16" s="53">
        <v>36</v>
      </c>
      <c r="E16" s="53">
        <v>14</v>
      </c>
      <c r="F16" s="55">
        <v>38.888888889999997</v>
      </c>
      <c r="G16" s="53" t="s">
        <v>83</v>
      </c>
      <c r="H16" s="56">
        <v>10</v>
      </c>
      <c r="I16" s="56">
        <v>11</v>
      </c>
      <c r="J16" s="57">
        <v>10.5</v>
      </c>
      <c r="K16" s="56">
        <v>9</v>
      </c>
      <c r="L16" s="56">
        <v>7</v>
      </c>
      <c r="M16" s="56">
        <v>9</v>
      </c>
      <c r="N16" s="57">
        <v>8.3333333330000006</v>
      </c>
      <c r="O16" s="56"/>
      <c r="P16" s="55">
        <v>18.833333329999999</v>
      </c>
    </row>
    <row r="17" spans="1:16" ht="15.6" x14ac:dyDescent="0.25">
      <c r="A17" s="53">
        <v>10</v>
      </c>
      <c r="B17" s="53">
        <v>2301249</v>
      </c>
      <c r="C17" s="65" t="s">
        <v>12</v>
      </c>
      <c r="D17" s="53">
        <v>36</v>
      </c>
      <c r="E17" s="53">
        <v>28</v>
      </c>
      <c r="F17" s="55">
        <v>77.777777779999994</v>
      </c>
      <c r="G17" s="53" t="s">
        <v>85</v>
      </c>
      <c r="H17" s="56">
        <v>10</v>
      </c>
      <c r="I17" s="56">
        <v>10</v>
      </c>
      <c r="J17" s="57">
        <v>10</v>
      </c>
      <c r="K17" s="56">
        <v>9</v>
      </c>
      <c r="L17" s="59">
        <v>8</v>
      </c>
      <c r="M17" s="59">
        <v>7</v>
      </c>
      <c r="N17" s="57">
        <v>8</v>
      </c>
      <c r="O17" s="56"/>
      <c r="P17" s="55">
        <v>20</v>
      </c>
    </row>
    <row r="18" spans="1:16" ht="15.6" x14ac:dyDescent="0.25">
      <c r="A18" s="53">
        <v>11</v>
      </c>
      <c r="B18" s="53">
        <v>2301250</v>
      </c>
      <c r="C18" s="65" t="s">
        <v>13</v>
      </c>
      <c r="D18" s="53">
        <v>36</v>
      </c>
      <c r="E18" s="53">
        <v>31</v>
      </c>
      <c r="F18" s="55">
        <v>86.111111109999996</v>
      </c>
      <c r="G18" s="53" t="s">
        <v>84</v>
      </c>
      <c r="H18" s="56">
        <v>15</v>
      </c>
      <c r="I18" s="56">
        <v>11</v>
      </c>
      <c r="J18" s="57">
        <v>13</v>
      </c>
      <c r="K18" s="56">
        <v>9</v>
      </c>
      <c r="L18" s="56">
        <v>9</v>
      </c>
      <c r="M18" s="56">
        <v>8</v>
      </c>
      <c r="N18" s="57">
        <v>8.6666666669999994</v>
      </c>
      <c r="O18" s="56"/>
      <c r="P18" s="55">
        <v>25.666666670000001</v>
      </c>
    </row>
    <row r="19" spans="1:16" ht="15.6" x14ac:dyDescent="0.25">
      <c r="A19" s="53">
        <v>12</v>
      </c>
      <c r="B19" s="53">
        <v>2301251</v>
      </c>
      <c r="C19" s="65" t="s">
        <v>14</v>
      </c>
      <c r="D19" s="53">
        <v>36</v>
      </c>
      <c r="E19" s="53">
        <v>23</v>
      </c>
      <c r="F19" s="55">
        <v>63.888888889999997</v>
      </c>
      <c r="G19" s="53" t="s">
        <v>83</v>
      </c>
      <c r="H19" s="56">
        <v>3</v>
      </c>
      <c r="I19" s="56">
        <v>4</v>
      </c>
      <c r="J19" s="57">
        <v>3.5</v>
      </c>
      <c r="K19" s="72">
        <v>8</v>
      </c>
      <c r="L19" s="72">
        <v>7</v>
      </c>
      <c r="M19" s="72">
        <v>8</v>
      </c>
      <c r="N19" s="57">
        <v>7.6666666670000003</v>
      </c>
      <c r="O19" s="56"/>
      <c r="P19" s="55">
        <v>11.16666667</v>
      </c>
    </row>
    <row r="20" spans="1:16" ht="15.6" x14ac:dyDescent="0.25">
      <c r="A20" s="53">
        <v>13</v>
      </c>
      <c r="B20" s="53">
        <v>2301252</v>
      </c>
      <c r="C20" s="65" t="s">
        <v>15</v>
      </c>
      <c r="D20" s="53">
        <v>36</v>
      </c>
      <c r="E20" s="53">
        <v>27</v>
      </c>
      <c r="F20" s="55">
        <v>75</v>
      </c>
      <c r="G20" s="53" t="s">
        <v>83</v>
      </c>
      <c r="H20" s="56">
        <v>12</v>
      </c>
      <c r="I20" s="56">
        <v>8</v>
      </c>
      <c r="J20" s="57">
        <v>10</v>
      </c>
      <c r="K20" s="56">
        <v>8</v>
      </c>
      <c r="L20" s="56">
        <v>7</v>
      </c>
      <c r="M20" s="56">
        <v>8</v>
      </c>
      <c r="N20" s="57">
        <v>7.6666666670000003</v>
      </c>
      <c r="O20" s="56"/>
      <c r="P20" s="55">
        <v>17.666666670000001</v>
      </c>
    </row>
    <row r="21" spans="1:16" ht="15.6" x14ac:dyDescent="0.25">
      <c r="A21" s="53">
        <v>14</v>
      </c>
      <c r="B21" s="53">
        <v>2301253</v>
      </c>
      <c r="C21" s="65" t="s">
        <v>16</v>
      </c>
      <c r="D21" s="53">
        <v>36</v>
      </c>
      <c r="E21" s="53">
        <v>28</v>
      </c>
      <c r="F21" s="55">
        <v>77.777777779999994</v>
      </c>
      <c r="G21" s="53" t="s">
        <v>85</v>
      </c>
      <c r="H21" s="56">
        <v>19</v>
      </c>
      <c r="I21" s="56">
        <v>20</v>
      </c>
      <c r="J21" s="57">
        <v>19.5</v>
      </c>
      <c r="K21" s="56">
        <v>9</v>
      </c>
      <c r="L21" s="56">
        <v>9</v>
      </c>
      <c r="M21" s="56">
        <v>8</v>
      </c>
      <c r="N21" s="57">
        <v>8.6666666669999994</v>
      </c>
      <c r="O21" s="56"/>
      <c r="P21" s="55">
        <v>30.166666670000001</v>
      </c>
    </row>
    <row r="22" spans="1:16" ht="15.6" x14ac:dyDescent="0.25">
      <c r="A22" s="53">
        <v>15</v>
      </c>
      <c r="B22" s="53">
        <v>2301255</v>
      </c>
      <c r="C22" s="65" t="s">
        <v>17</v>
      </c>
      <c r="D22" s="53">
        <v>36</v>
      </c>
      <c r="E22" s="53">
        <v>2</v>
      </c>
      <c r="F22" s="55">
        <v>5.5555555559999998</v>
      </c>
      <c r="G22" s="53" t="s">
        <v>83</v>
      </c>
      <c r="H22" s="56">
        <v>12</v>
      </c>
      <c r="I22" s="56">
        <v>0</v>
      </c>
      <c r="J22" s="57">
        <v>6</v>
      </c>
      <c r="K22" s="56">
        <v>9</v>
      </c>
      <c r="L22" s="56">
        <v>9</v>
      </c>
      <c r="M22" s="56">
        <v>9</v>
      </c>
      <c r="N22" s="57">
        <v>9</v>
      </c>
      <c r="O22" s="56"/>
      <c r="P22" s="55">
        <v>15</v>
      </c>
    </row>
    <row r="23" spans="1:16" ht="15.6" x14ac:dyDescent="0.25">
      <c r="A23" s="53">
        <v>16</v>
      </c>
      <c r="B23" s="53">
        <v>2301256</v>
      </c>
      <c r="C23" s="65" t="s">
        <v>18</v>
      </c>
      <c r="D23" s="53">
        <v>36</v>
      </c>
      <c r="E23" s="53">
        <v>30</v>
      </c>
      <c r="F23" s="55">
        <v>83.333333330000002</v>
      </c>
      <c r="G23" s="53" t="s">
        <v>90</v>
      </c>
      <c r="H23" s="56">
        <v>11</v>
      </c>
      <c r="I23" s="56">
        <v>10</v>
      </c>
      <c r="J23" s="57">
        <v>10.5</v>
      </c>
      <c r="K23" s="56">
        <v>9</v>
      </c>
      <c r="L23" s="56">
        <v>9</v>
      </c>
      <c r="M23" s="56">
        <v>7</v>
      </c>
      <c r="N23" s="57">
        <v>8.3333333330000006</v>
      </c>
      <c r="O23" s="56"/>
      <c r="P23" s="55">
        <v>21.833333329999999</v>
      </c>
    </row>
    <row r="24" spans="1:16" ht="15.6" x14ac:dyDescent="0.25">
      <c r="A24" s="53">
        <v>17</v>
      </c>
      <c r="B24" s="53">
        <v>2301257</v>
      </c>
      <c r="C24" s="65" t="s">
        <v>19</v>
      </c>
      <c r="D24" s="53">
        <v>36</v>
      </c>
      <c r="E24" s="53">
        <v>27</v>
      </c>
      <c r="F24" s="55">
        <v>75</v>
      </c>
      <c r="G24" s="53" t="s">
        <v>83</v>
      </c>
      <c r="H24" s="56">
        <v>13</v>
      </c>
      <c r="I24" s="56">
        <v>15</v>
      </c>
      <c r="J24" s="57">
        <v>14</v>
      </c>
      <c r="K24" s="56">
        <v>8</v>
      </c>
      <c r="L24" s="56">
        <v>7</v>
      </c>
      <c r="M24" s="56">
        <v>8</v>
      </c>
      <c r="N24" s="57">
        <v>7.6666666670000003</v>
      </c>
      <c r="O24" s="56"/>
      <c r="P24" s="55">
        <v>21.666666670000001</v>
      </c>
    </row>
    <row r="25" spans="1:16" ht="15.6" x14ac:dyDescent="0.25">
      <c r="A25" s="53">
        <v>18</v>
      </c>
      <c r="B25" s="53">
        <v>2301258</v>
      </c>
      <c r="C25" s="65" t="s">
        <v>20</v>
      </c>
      <c r="D25" s="53">
        <v>36</v>
      </c>
      <c r="E25" s="53">
        <v>0</v>
      </c>
      <c r="F25" s="55">
        <v>0</v>
      </c>
      <c r="G25" s="53" t="s">
        <v>83</v>
      </c>
      <c r="H25" s="56">
        <v>0</v>
      </c>
      <c r="I25" s="56">
        <v>0</v>
      </c>
      <c r="J25" s="57">
        <v>0</v>
      </c>
      <c r="K25" s="56">
        <v>8</v>
      </c>
      <c r="L25" s="59">
        <v>0</v>
      </c>
      <c r="M25" s="59">
        <v>0</v>
      </c>
      <c r="N25" s="57">
        <v>2.6666666669999999</v>
      </c>
      <c r="O25" s="56"/>
      <c r="P25" s="55">
        <v>2.6666666669999999</v>
      </c>
    </row>
    <row r="26" spans="1:16" ht="15.6" x14ac:dyDescent="0.25">
      <c r="A26" s="53">
        <v>19</v>
      </c>
      <c r="B26" s="53">
        <v>2301259</v>
      </c>
      <c r="C26" s="65" t="s">
        <v>21</v>
      </c>
      <c r="D26" s="53">
        <v>36</v>
      </c>
      <c r="E26" s="53">
        <v>28</v>
      </c>
      <c r="F26" s="55">
        <v>77.777777779999994</v>
      </c>
      <c r="G26" s="53" t="s">
        <v>85</v>
      </c>
      <c r="H26" s="56">
        <v>12</v>
      </c>
      <c r="I26" s="56">
        <v>15</v>
      </c>
      <c r="J26" s="57">
        <v>13.5</v>
      </c>
      <c r="K26" s="56">
        <v>8</v>
      </c>
      <c r="L26" s="56">
        <v>8</v>
      </c>
      <c r="M26" s="56">
        <v>8</v>
      </c>
      <c r="N26" s="57">
        <v>8</v>
      </c>
      <c r="O26" s="56"/>
      <c r="P26" s="55">
        <v>23.5</v>
      </c>
    </row>
    <row r="27" spans="1:16" ht="15.6" x14ac:dyDescent="0.25">
      <c r="A27" s="53">
        <v>20</v>
      </c>
      <c r="B27" s="53">
        <v>2301260</v>
      </c>
      <c r="C27" s="65" t="s">
        <v>22</v>
      </c>
      <c r="D27" s="53">
        <v>36</v>
      </c>
      <c r="E27" s="53">
        <v>30</v>
      </c>
      <c r="F27" s="55">
        <v>83.333333330000002</v>
      </c>
      <c r="G27" s="53" t="s">
        <v>90</v>
      </c>
      <c r="H27" s="56">
        <v>10</v>
      </c>
      <c r="I27" s="56">
        <v>12</v>
      </c>
      <c r="J27" s="57">
        <v>11</v>
      </c>
      <c r="K27" s="56">
        <v>8</v>
      </c>
      <c r="L27" s="56">
        <v>7</v>
      </c>
      <c r="M27" s="56">
        <v>8</v>
      </c>
      <c r="N27" s="57">
        <v>7.6666666670000003</v>
      </c>
      <c r="O27" s="56"/>
      <c r="P27" s="55">
        <v>21.666666670000001</v>
      </c>
    </row>
    <row r="28" spans="1:16" ht="15.6" x14ac:dyDescent="0.25">
      <c r="A28" s="53">
        <v>21</v>
      </c>
      <c r="B28" s="53">
        <v>2301261</v>
      </c>
      <c r="C28" s="65" t="s">
        <v>23</v>
      </c>
      <c r="D28" s="53">
        <v>36</v>
      </c>
      <c r="E28" s="53">
        <v>19</v>
      </c>
      <c r="F28" s="55">
        <v>52.777777780000001</v>
      </c>
      <c r="G28" s="53" t="s">
        <v>83</v>
      </c>
      <c r="H28" s="56">
        <v>0</v>
      </c>
      <c r="I28" s="56">
        <v>8</v>
      </c>
      <c r="J28" s="57">
        <v>4</v>
      </c>
      <c r="K28" s="73">
        <v>0</v>
      </c>
      <c r="L28" s="72">
        <v>8</v>
      </c>
      <c r="M28" s="56">
        <v>8</v>
      </c>
      <c r="N28" s="57">
        <v>5.3333333329999997</v>
      </c>
      <c r="O28" s="56"/>
      <c r="P28" s="55">
        <v>9.3333333330000006</v>
      </c>
    </row>
    <row r="29" spans="1:16" ht="15.6" x14ac:dyDescent="0.25">
      <c r="A29" s="53">
        <v>22</v>
      </c>
      <c r="B29" s="53">
        <v>2301262</v>
      </c>
      <c r="C29" s="65" t="s">
        <v>24</v>
      </c>
      <c r="D29" s="53">
        <v>36</v>
      </c>
      <c r="E29" s="53">
        <v>26</v>
      </c>
      <c r="F29" s="55">
        <v>72.222222220000006</v>
      </c>
      <c r="G29" s="53" t="s">
        <v>83</v>
      </c>
      <c r="H29" s="56">
        <v>11</v>
      </c>
      <c r="I29" s="56">
        <v>10</v>
      </c>
      <c r="J29" s="57">
        <v>10.5</v>
      </c>
      <c r="K29" s="56">
        <v>9</v>
      </c>
      <c r="L29" s="56">
        <v>8</v>
      </c>
      <c r="M29" s="56">
        <v>9</v>
      </c>
      <c r="N29" s="57">
        <v>8.6666666669999994</v>
      </c>
      <c r="O29" s="56"/>
      <c r="P29" s="55">
        <v>19.166666670000001</v>
      </c>
    </row>
    <row r="30" spans="1:16" ht="15.6" x14ac:dyDescent="0.25">
      <c r="A30" s="53">
        <v>23</v>
      </c>
      <c r="B30" s="53">
        <v>2301263</v>
      </c>
      <c r="C30" s="65" t="s">
        <v>25</v>
      </c>
      <c r="D30" s="53">
        <v>36</v>
      </c>
      <c r="E30" s="53">
        <v>36</v>
      </c>
      <c r="F30" s="55">
        <v>100</v>
      </c>
      <c r="G30" s="53" t="s">
        <v>86</v>
      </c>
      <c r="H30" s="56">
        <v>15</v>
      </c>
      <c r="I30" s="56">
        <v>11</v>
      </c>
      <c r="J30" s="57">
        <v>13</v>
      </c>
      <c r="K30" s="56">
        <v>9</v>
      </c>
      <c r="L30" s="56">
        <v>9</v>
      </c>
      <c r="M30" s="56">
        <v>8</v>
      </c>
      <c r="N30" s="57">
        <v>8.6666666669999994</v>
      </c>
      <c r="O30" s="56"/>
      <c r="P30" s="55">
        <v>27.666666670000001</v>
      </c>
    </row>
    <row r="31" spans="1:16" ht="15.6" x14ac:dyDescent="0.25">
      <c r="A31" s="53">
        <v>24</v>
      </c>
      <c r="B31" s="53">
        <v>2301264</v>
      </c>
      <c r="C31" s="65" t="s">
        <v>26</v>
      </c>
      <c r="D31" s="53">
        <v>36</v>
      </c>
      <c r="E31" s="53">
        <v>13</v>
      </c>
      <c r="F31" s="55">
        <v>36.111111110000003</v>
      </c>
      <c r="G31" s="53" t="s">
        <v>83</v>
      </c>
      <c r="H31" s="56">
        <v>0</v>
      </c>
      <c r="I31" s="56">
        <v>7</v>
      </c>
      <c r="J31" s="57">
        <v>3.5</v>
      </c>
      <c r="K31" s="59">
        <v>9</v>
      </c>
      <c r="L31" s="56">
        <v>8</v>
      </c>
      <c r="M31" s="56">
        <v>8</v>
      </c>
      <c r="N31" s="57">
        <v>8.3333333330000006</v>
      </c>
      <c r="O31" s="56"/>
      <c r="P31" s="55">
        <v>11.83333333</v>
      </c>
    </row>
    <row r="32" spans="1:16" ht="15.6" x14ac:dyDescent="0.25">
      <c r="A32" s="53">
        <v>25</v>
      </c>
      <c r="B32" s="53">
        <v>2301265</v>
      </c>
      <c r="C32" s="65" t="s">
        <v>27</v>
      </c>
      <c r="D32" s="53">
        <v>36</v>
      </c>
      <c r="E32" s="53">
        <v>28</v>
      </c>
      <c r="F32" s="55">
        <v>77.777777779999994</v>
      </c>
      <c r="G32" s="53" t="s">
        <v>85</v>
      </c>
      <c r="H32" s="80">
        <v>19</v>
      </c>
      <c r="I32" s="56">
        <v>10</v>
      </c>
      <c r="J32" s="57">
        <v>14.5</v>
      </c>
      <c r="K32" s="56">
        <v>8</v>
      </c>
      <c r="L32" s="56">
        <v>8</v>
      </c>
      <c r="M32" s="56">
        <v>8</v>
      </c>
      <c r="N32" s="57">
        <v>8</v>
      </c>
      <c r="O32" s="56"/>
      <c r="P32" s="55">
        <v>24.5</v>
      </c>
    </row>
    <row r="33" spans="1:16" ht="15.6" x14ac:dyDescent="0.25">
      <c r="A33" s="53">
        <v>26</v>
      </c>
      <c r="B33" s="53">
        <v>2301267</v>
      </c>
      <c r="C33" s="65" t="s">
        <v>28</v>
      </c>
      <c r="D33" s="53">
        <v>36</v>
      </c>
      <c r="E33" s="53">
        <v>26</v>
      </c>
      <c r="F33" s="55">
        <v>72.222222220000006</v>
      </c>
      <c r="G33" s="53" t="s">
        <v>83</v>
      </c>
      <c r="H33" s="56">
        <v>18</v>
      </c>
      <c r="I33" s="56">
        <v>10</v>
      </c>
      <c r="J33" s="57">
        <v>14</v>
      </c>
      <c r="K33" s="56">
        <v>9</v>
      </c>
      <c r="L33" s="56">
        <v>9</v>
      </c>
      <c r="M33" s="56">
        <v>9</v>
      </c>
      <c r="N33" s="57">
        <v>9</v>
      </c>
      <c r="O33" s="56"/>
      <c r="P33" s="55">
        <v>23</v>
      </c>
    </row>
    <row r="34" spans="1:16" ht="15.6" x14ac:dyDescent="0.25">
      <c r="A34" s="53">
        <v>27</v>
      </c>
      <c r="B34" s="53">
        <v>2301268</v>
      </c>
      <c r="C34" s="65" t="s">
        <v>29</v>
      </c>
      <c r="D34" s="53">
        <v>36</v>
      </c>
      <c r="E34" s="53">
        <v>21</v>
      </c>
      <c r="F34" s="55">
        <v>58.333333330000002</v>
      </c>
      <c r="G34" s="53" t="s">
        <v>83</v>
      </c>
      <c r="H34" s="56">
        <v>0</v>
      </c>
      <c r="I34" s="56">
        <v>0</v>
      </c>
      <c r="J34" s="57">
        <v>0</v>
      </c>
      <c r="K34" s="59">
        <v>0</v>
      </c>
      <c r="L34" s="59">
        <v>0</v>
      </c>
      <c r="M34" s="59">
        <v>0</v>
      </c>
      <c r="N34" s="57">
        <v>0</v>
      </c>
      <c r="O34" s="56"/>
      <c r="P34" s="55">
        <v>0</v>
      </c>
    </row>
    <row r="35" spans="1:16" ht="15.6" x14ac:dyDescent="0.25">
      <c r="A35" s="53">
        <v>28</v>
      </c>
      <c r="B35" s="53">
        <v>2301269</v>
      </c>
      <c r="C35" s="65" t="s">
        <v>30</v>
      </c>
      <c r="D35" s="53">
        <v>36</v>
      </c>
      <c r="E35" s="53">
        <v>34</v>
      </c>
      <c r="F35" s="55">
        <v>94.444444439999998</v>
      </c>
      <c r="G35" s="53" t="s">
        <v>89</v>
      </c>
      <c r="H35" s="56">
        <v>17</v>
      </c>
      <c r="I35" s="56">
        <v>18</v>
      </c>
      <c r="J35" s="57">
        <v>17.5</v>
      </c>
      <c r="K35" s="56">
        <v>8</v>
      </c>
      <c r="L35" s="56">
        <v>9</v>
      </c>
      <c r="M35" s="56">
        <v>9</v>
      </c>
      <c r="N35" s="57">
        <v>8.6666666669999994</v>
      </c>
      <c r="O35" s="56"/>
      <c r="P35" s="55">
        <v>31.166666670000001</v>
      </c>
    </row>
    <row r="36" spans="1:16" ht="15.6" x14ac:dyDescent="0.25">
      <c r="A36" s="53">
        <v>29</v>
      </c>
      <c r="B36" s="53">
        <v>2301270</v>
      </c>
      <c r="C36" s="65" t="s">
        <v>31</v>
      </c>
      <c r="D36" s="53">
        <v>36</v>
      </c>
      <c r="E36" s="53">
        <v>18</v>
      </c>
      <c r="F36" s="55">
        <v>50</v>
      </c>
      <c r="G36" s="53" t="s">
        <v>83</v>
      </c>
      <c r="H36" s="56">
        <v>10</v>
      </c>
      <c r="I36" s="56">
        <v>0</v>
      </c>
      <c r="J36" s="57">
        <v>5</v>
      </c>
      <c r="K36" s="56">
        <v>9</v>
      </c>
      <c r="L36" s="59">
        <v>0</v>
      </c>
      <c r="M36" s="59">
        <v>0</v>
      </c>
      <c r="N36" s="57">
        <v>3</v>
      </c>
      <c r="O36" s="56"/>
      <c r="P36" s="55">
        <v>8</v>
      </c>
    </row>
    <row r="37" spans="1:16" ht="15.6" x14ac:dyDescent="0.25">
      <c r="A37" s="53">
        <v>30</v>
      </c>
      <c r="B37" s="53">
        <v>2301271</v>
      </c>
      <c r="C37" s="65" t="s">
        <v>32</v>
      </c>
      <c r="D37" s="53">
        <v>36</v>
      </c>
      <c r="E37" s="53">
        <v>26</v>
      </c>
      <c r="F37" s="55">
        <v>72.222222220000006</v>
      </c>
      <c r="G37" s="53" t="s">
        <v>83</v>
      </c>
      <c r="H37" s="80">
        <v>14</v>
      </c>
      <c r="I37" s="56">
        <v>12</v>
      </c>
      <c r="J37" s="57">
        <v>13</v>
      </c>
      <c r="K37" s="56">
        <v>9</v>
      </c>
      <c r="L37" s="56">
        <v>8</v>
      </c>
      <c r="M37" s="56">
        <v>8</v>
      </c>
      <c r="N37" s="57">
        <v>8.3333333330000006</v>
      </c>
      <c r="O37" s="56"/>
      <c r="P37" s="55">
        <v>21.333333329999999</v>
      </c>
    </row>
    <row r="38" spans="1:16" ht="15.6" x14ac:dyDescent="0.25">
      <c r="A38" s="53">
        <v>31</v>
      </c>
      <c r="B38" s="53">
        <v>2301272</v>
      </c>
      <c r="C38" s="65" t="s">
        <v>33</v>
      </c>
      <c r="D38" s="53">
        <v>36</v>
      </c>
      <c r="E38" s="53">
        <v>7</v>
      </c>
      <c r="F38" s="55">
        <v>19.444444440000002</v>
      </c>
      <c r="G38" s="53" t="s">
        <v>83</v>
      </c>
      <c r="H38" s="56">
        <v>0</v>
      </c>
      <c r="I38" s="56">
        <v>0</v>
      </c>
      <c r="J38" s="57">
        <v>0</v>
      </c>
      <c r="K38" s="56">
        <v>8</v>
      </c>
      <c r="L38" s="59">
        <v>0</v>
      </c>
      <c r="M38" s="59">
        <v>0</v>
      </c>
      <c r="N38" s="57">
        <v>2.6666666669999999</v>
      </c>
      <c r="O38" s="56"/>
      <c r="P38" s="55">
        <v>2.6666666669999999</v>
      </c>
    </row>
    <row r="39" spans="1:16" ht="15.6" x14ac:dyDescent="0.25">
      <c r="A39" s="53">
        <v>32</v>
      </c>
      <c r="B39" s="53">
        <v>2301273</v>
      </c>
      <c r="C39" s="65" t="s">
        <v>34</v>
      </c>
      <c r="D39" s="53">
        <v>36</v>
      </c>
      <c r="E39" s="53">
        <v>24</v>
      </c>
      <c r="F39" s="55">
        <v>66.666666669999998</v>
      </c>
      <c r="G39" s="53" t="s">
        <v>83</v>
      </c>
      <c r="H39" s="56">
        <v>15</v>
      </c>
      <c r="I39" s="56">
        <v>10</v>
      </c>
      <c r="J39" s="57">
        <v>12.5</v>
      </c>
      <c r="K39" s="56">
        <v>9</v>
      </c>
      <c r="L39" s="56">
        <v>8</v>
      </c>
      <c r="M39" s="56">
        <v>8</v>
      </c>
      <c r="N39" s="57">
        <v>8.3333333330000006</v>
      </c>
      <c r="O39" s="56"/>
      <c r="P39" s="55">
        <v>20.833333329999999</v>
      </c>
    </row>
    <row r="40" spans="1:16" ht="15.6" x14ac:dyDescent="0.25">
      <c r="A40" s="53">
        <v>33</v>
      </c>
      <c r="B40" s="53">
        <v>2301274</v>
      </c>
      <c r="C40" s="65" t="s">
        <v>35</v>
      </c>
      <c r="D40" s="53">
        <v>36</v>
      </c>
      <c r="E40" s="53">
        <v>35</v>
      </c>
      <c r="F40" s="55">
        <v>97.222222220000006</v>
      </c>
      <c r="G40" s="53" t="s">
        <v>86</v>
      </c>
      <c r="H40" s="56">
        <v>13</v>
      </c>
      <c r="I40" s="56">
        <v>19</v>
      </c>
      <c r="J40" s="57">
        <v>16</v>
      </c>
      <c r="K40" s="56">
        <v>9</v>
      </c>
      <c r="L40" s="56">
        <v>9</v>
      </c>
      <c r="M40" s="56">
        <v>9</v>
      </c>
      <c r="N40" s="57">
        <v>9</v>
      </c>
      <c r="O40" s="56"/>
      <c r="P40" s="55">
        <v>31</v>
      </c>
    </row>
    <row r="41" spans="1:16" ht="15.6" x14ac:dyDescent="0.25">
      <c r="A41" s="53">
        <v>34</v>
      </c>
      <c r="B41" s="53">
        <v>2301275</v>
      </c>
      <c r="C41" s="65" t="s">
        <v>36</v>
      </c>
      <c r="D41" s="53">
        <v>36</v>
      </c>
      <c r="E41" s="53">
        <v>35</v>
      </c>
      <c r="F41" s="55">
        <v>97.222222220000006</v>
      </c>
      <c r="G41" s="53" t="s">
        <v>86</v>
      </c>
      <c r="H41" s="56">
        <v>13</v>
      </c>
      <c r="I41" s="56">
        <v>10</v>
      </c>
      <c r="J41" s="57">
        <v>11.5</v>
      </c>
      <c r="K41" s="56">
        <v>9</v>
      </c>
      <c r="L41" s="56">
        <v>9</v>
      </c>
      <c r="M41" s="59">
        <v>7</v>
      </c>
      <c r="N41" s="57">
        <v>8.3333333330000006</v>
      </c>
      <c r="O41" s="56"/>
      <c r="P41" s="55">
        <v>25.833333329999999</v>
      </c>
    </row>
    <row r="42" spans="1:16" ht="15.6" x14ac:dyDescent="0.25">
      <c r="A42" s="53">
        <v>35</v>
      </c>
      <c r="B42" s="53">
        <v>2301277</v>
      </c>
      <c r="C42" s="65" t="s">
        <v>37</v>
      </c>
      <c r="D42" s="53">
        <v>36</v>
      </c>
      <c r="E42" s="53">
        <v>26</v>
      </c>
      <c r="F42" s="55">
        <v>72.222222220000006</v>
      </c>
      <c r="G42" s="53" t="s">
        <v>83</v>
      </c>
      <c r="H42" s="56">
        <v>11</v>
      </c>
      <c r="I42" s="56">
        <v>11</v>
      </c>
      <c r="J42" s="57">
        <v>11</v>
      </c>
      <c r="K42" s="56">
        <v>9</v>
      </c>
      <c r="L42" s="56">
        <v>8</v>
      </c>
      <c r="M42" s="56">
        <v>8</v>
      </c>
      <c r="N42" s="57">
        <v>8.3333333330000006</v>
      </c>
      <c r="O42" s="56"/>
      <c r="P42" s="55">
        <v>19.333333329999999</v>
      </c>
    </row>
    <row r="43" spans="1:16" ht="15.6" x14ac:dyDescent="0.25">
      <c r="A43" s="53">
        <v>36</v>
      </c>
      <c r="B43" s="53">
        <v>2301278</v>
      </c>
      <c r="C43" s="65" t="s">
        <v>38</v>
      </c>
      <c r="D43" s="53">
        <v>36</v>
      </c>
      <c r="E43" s="53">
        <v>2</v>
      </c>
      <c r="F43" s="55">
        <v>5.5555555559999998</v>
      </c>
      <c r="G43" s="53" t="s">
        <v>83</v>
      </c>
      <c r="H43" s="56">
        <v>0</v>
      </c>
      <c r="I43" s="56">
        <v>3</v>
      </c>
      <c r="J43" s="57">
        <v>1.5</v>
      </c>
      <c r="K43" s="59">
        <v>0</v>
      </c>
      <c r="L43" s="56">
        <v>6</v>
      </c>
      <c r="M43" s="56">
        <v>7</v>
      </c>
      <c r="N43" s="57">
        <v>4.3333333329999997</v>
      </c>
      <c r="O43" s="56"/>
      <c r="P43" s="55">
        <v>5.8333333329999997</v>
      </c>
    </row>
    <row r="44" spans="1:16" ht="15.6" x14ac:dyDescent="0.25">
      <c r="A44" s="53">
        <v>37</v>
      </c>
      <c r="B44" s="53">
        <v>2301279</v>
      </c>
      <c r="C44" s="65" t="s">
        <v>39</v>
      </c>
      <c r="D44" s="53">
        <v>36</v>
      </c>
      <c r="E44" s="53">
        <v>35</v>
      </c>
      <c r="F44" s="55">
        <v>97.222222220000006</v>
      </c>
      <c r="G44" s="53" t="s">
        <v>86</v>
      </c>
      <c r="H44" s="56">
        <v>10</v>
      </c>
      <c r="I44" s="56">
        <v>4</v>
      </c>
      <c r="J44" s="57">
        <v>7</v>
      </c>
      <c r="K44" s="56">
        <v>9</v>
      </c>
      <c r="L44" s="56">
        <v>8</v>
      </c>
      <c r="M44" s="56">
        <v>8</v>
      </c>
      <c r="N44" s="57">
        <v>8.3333333330000006</v>
      </c>
      <c r="O44" s="56"/>
      <c r="P44" s="55">
        <v>21.333333329999999</v>
      </c>
    </row>
    <row r="45" spans="1:16" ht="15.6" x14ac:dyDescent="0.25">
      <c r="A45" s="53">
        <v>38</v>
      </c>
      <c r="B45" s="53">
        <v>2339508</v>
      </c>
      <c r="C45" s="65" t="s">
        <v>40</v>
      </c>
      <c r="D45" s="53">
        <v>36</v>
      </c>
      <c r="E45" s="53">
        <v>23</v>
      </c>
      <c r="F45" s="55">
        <v>63.888888889999997</v>
      </c>
      <c r="G45" s="53" t="s">
        <v>83</v>
      </c>
      <c r="H45" s="56">
        <v>10</v>
      </c>
      <c r="I45" s="56">
        <v>5</v>
      </c>
      <c r="J45" s="57">
        <v>7.5</v>
      </c>
      <c r="K45" s="59">
        <v>9</v>
      </c>
      <c r="L45" s="56">
        <v>8</v>
      </c>
      <c r="M45" s="56">
        <v>7</v>
      </c>
      <c r="N45" s="57">
        <v>8</v>
      </c>
      <c r="O45" s="56"/>
      <c r="P45" s="55">
        <v>15.5</v>
      </c>
    </row>
    <row r="46" spans="1:16" ht="15.6" x14ac:dyDescent="0.25">
      <c r="A46" s="53">
        <v>39</v>
      </c>
      <c r="B46" s="53">
        <v>2301280</v>
      </c>
      <c r="C46" s="65" t="s">
        <v>41</v>
      </c>
      <c r="D46" s="53">
        <v>36</v>
      </c>
      <c r="E46" s="53">
        <v>22</v>
      </c>
      <c r="F46" s="55">
        <v>61.111111110000003</v>
      </c>
      <c r="G46" s="53" t="s">
        <v>83</v>
      </c>
      <c r="H46" s="56">
        <v>7</v>
      </c>
      <c r="I46" s="56">
        <v>8</v>
      </c>
      <c r="J46" s="57">
        <v>7.5</v>
      </c>
      <c r="K46" s="56">
        <v>9</v>
      </c>
      <c r="L46" s="56">
        <v>8</v>
      </c>
      <c r="M46" s="56">
        <v>8</v>
      </c>
      <c r="N46" s="57">
        <v>8.3333333330000006</v>
      </c>
      <c r="O46" s="56"/>
      <c r="P46" s="55">
        <v>15.83333333</v>
      </c>
    </row>
    <row r="47" spans="1:16" ht="15.6" x14ac:dyDescent="0.25">
      <c r="A47" s="53">
        <v>40</v>
      </c>
      <c r="B47" s="53">
        <v>2301281</v>
      </c>
      <c r="C47" s="65" t="s">
        <v>42</v>
      </c>
      <c r="D47" s="53">
        <v>36</v>
      </c>
      <c r="E47" s="53">
        <v>28</v>
      </c>
      <c r="F47" s="55">
        <v>77.777777779999994</v>
      </c>
      <c r="G47" s="53" t="s">
        <v>85</v>
      </c>
      <c r="H47" s="80">
        <v>12</v>
      </c>
      <c r="I47" s="56">
        <v>6</v>
      </c>
      <c r="J47" s="57">
        <v>9</v>
      </c>
      <c r="K47" s="56">
        <v>9</v>
      </c>
      <c r="L47" s="56">
        <v>9</v>
      </c>
      <c r="M47" s="56">
        <v>8</v>
      </c>
      <c r="N47" s="57">
        <v>8.6666666669999994</v>
      </c>
      <c r="O47" s="56"/>
      <c r="P47" s="55">
        <v>19.666666670000001</v>
      </c>
    </row>
    <row r="48" spans="1:16" ht="15.6" x14ac:dyDescent="0.25">
      <c r="A48" s="53">
        <v>41</v>
      </c>
      <c r="B48" s="53">
        <v>2339509</v>
      </c>
      <c r="C48" s="65" t="s">
        <v>43</v>
      </c>
      <c r="D48" s="53">
        <v>36</v>
      </c>
      <c r="E48" s="53">
        <v>0</v>
      </c>
      <c r="F48" s="55">
        <v>0</v>
      </c>
      <c r="G48" s="53" t="s">
        <v>83</v>
      </c>
      <c r="H48" s="56">
        <v>0</v>
      </c>
      <c r="I48" s="56">
        <v>0</v>
      </c>
      <c r="J48" s="57">
        <v>0</v>
      </c>
      <c r="K48" s="56">
        <v>0</v>
      </c>
      <c r="L48" s="56">
        <v>0</v>
      </c>
      <c r="M48" s="56">
        <v>0</v>
      </c>
      <c r="N48" s="57">
        <v>0</v>
      </c>
      <c r="O48" s="56"/>
      <c r="P48" s="55">
        <v>0</v>
      </c>
    </row>
    <row r="49" spans="1:16" ht="15.6" x14ac:dyDescent="0.25">
      <c r="A49" s="53">
        <v>42</v>
      </c>
      <c r="B49" s="53">
        <v>2301283</v>
      </c>
      <c r="C49" s="65" t="s">
        <v>44</v>
      </c>
      <c r="D49" s="53">
        <v>36</v>
      </c>
      <c r="E49" s="53">
        <v>24</v>
      </c>
      <c r="F49" s="55">
        <v>66.666666669999998</v>
      </c>
      <c r="G49" s="53" t="s">
        <v>83</v>
      </c>
      <c r="H49" s="56">
        <v>12</v>
      </c>
      <c r="I49" s="56">
        <v>4</v>
      </c>
      <c r="J49" s="57">
        <v>8</v>
      </c>
      <c r="K49" s="56">
        <v>8</v>
      </c>
      <c r="L49" s="56">
        <v>8</v>
      </c>
      <c r="M49" s="56">
        <v>8</v>
      </c>
      <c r="N49" s="57">
        <v>8</v>
      </c>
      <c r="O49" s="56"/>
      <c r="P49" s="55">
        <v>16</v>
      </c>
    </row>
    <row r="50" spans="1:16" ht="15.6" x14ac:dyDescent="0.25">
      <c r="A50" s="53">
        <v>43</v>
      </c>
      <c r="B50" s="53">
        <v>2301285</v>
      </c>
      <c r="C50" s="65" t="s">
        <v>45</v>
      </c>
      <c r="D50" s="53">
        <v>36</v>
      </c>
      <c r="E50" s="53">
        <v>22</v>
      </c>
      <c r="F50" s="55">
        <v>61.111111110000003</v>
      </c>
      <c r="G50" s="53" t="s">
        <v>83</v>
      </c>
      <c r="H50" s="56">
        <v>10</v>
      </c>
      <c r="I50" s="56">
        <v>3</v>
      </c>
      <c r="J50" s="57">
        <v>6.5</v>
      </c>
      <c r="K50" s="56">
        <v>9</v>
      </c>
      <c r="L50" s="56">
        <v>9</v>
      </c>
      <c r="M50" s="56">
        <v>8</v>
      </c>
      <c r="N50" s="57">
        <v>8.6666666669999994</v>
      </c>
      <c r="O50" s="56"/>
      <c r="P50" s="55">
        <v>15.16666667</v>
      </c>
    </row>
    <row r="51" spans="1:16" ht="15.6" x14ac:dyDescent="0.25">
      <c r="A51" s="53">
        <v>44</v>
      </c>
      <c r="B51" s="53">
        <v>2301286</v>
      </c>
      <c r="C51" s="65" t="s">
        <v>46</v>
      </c>
      <c r="D51" s="53">
        <v>36</v>
      </c>
      <c r="E51" s="53">
        <v>5</v>
      </c>
      <c r="F51" s="55">
        <v>13.88888889</v>
      </c>
      <c r="G51" s="53" t="s">
        <v>83</v>
      </c>
      <c r="H51" s="56">
        <v>0</v>
      </c>
      <c r="I51" s="56">
        <v>0</v>
      </c>
      <c r="J51" s="57">
        <v>0</v>
      </c>
      <c r="K51" s="59">
        <v>0</v>
      </c>
      <c r="L51" s="59">
        <v>0</v>
      </c>
      <c r="M51" s="59">
        <v>0</v>
      </c>
      <c r="N51" s="57">
        <v>0</v>
      </c>
      <c r="O51" s="56"/>
      <c r="P51" s="55">
        <v>0</v>
      </c>
    </row>
    <row r="52" spans="1:16" ht="15.6" x14ac:dyDescent="0.25">
      <c r="A52" s="53">
        <v>45</v>
      </c>
      <c r="B52" s="53">
        <v>2425599</v>
      </c>
      <c r="C52" s="65" t="s">
        <v>47</v>
      </c>
      <c r="D52" s="53">
        <v>36</v>
      </c>
      <c r="E52" s="53">
        <v>29</v>
      </c>
      <c r="F52" s="55">
        <v>80.555555560000002</v>
      </c>
      <c r="G52" s="53" t="s">
        <v>90</v>
      </c>
      <c r="H52" s="56">
        <v>14</v>
      </c>
      <c r="I52" s="56">
        <v>6</v>
      </c>
      <c r="J52" s="57">
        <v>10</v>
      </c>
      <c r="K52" s="56">
        <v>8</v>
      </c>
      <c r="L52" s="56">
        <v>8</v>
      </c>
      <c r="M52" s="56">
        <v>8</v>
      </c>
      <c r="N52" s="57">
        <v>8</v>
      </c>
      <c r="O52" s="56"/>
      <c r="P52" s="55">
        <v>21</v>
      </c>
    </row>
    <row r="53" spans="1:16" ht="15.6" x14ac:dyDescent="0.25">
      <c r="A53" s="53">
        <v>46</v>
      </c>
      <c r="B53" s="53">
        <v>2425600</v>
      </c>
      <c r="C53" s="65" t="s">
        <v>48</v>
      </c>
      <c r="D53" s="53">
        <v>36</v>
      </c>
      <c r="E53" s="53">
        <v>30</v>
      </c>
      <c r="F53" s="55">
        <v>83.333333330000002</v>
      </c>
      <c r="G53" s="53" t="s">
        <v>90</v>
      </c>
      <c r="H53" s="56">
        <v>17</v>
      </c>
      <c r="I53" s="56">
        <v>13</v>
      </c>
      <c r="J53" s="57">
        <v>15</v>
      </c>
      <c r="K53" s="56">
        <v>9</v>
      </c>
      <c r="L53" s="56">
        <v>8</v>
      </c>
      <c r="M53" s="56">
        <v>8</v>
      </c>
      <c r="N53" s="57">
        <v>8.3333333330000006</v>
      </c>
      <c r="O53" s="56"/>
      <c r="P53" s="55">
        <v>26.333333329999999</v>
      </c>
    </row>
    <row r="54" spans="1:16" ht="15.6" x14ac:dyDescent="0.25">
      <c r="A54" s="53">
        <v>47</v>
      </c>
      <c r="B54" s="53">
        <v>2425601</v>
      </c>
      <c r="C54" s="65" t="s">
        <v>49</v>
      </c>
      <c r="D54" s="53">
        <v>36</v>
      </c>
      <c r="E54" s="53">
        <v>28</v>
      </c>
      <c r="F54" s="55">
        <v>77.777777779999994</v>
      </c>
      <c r="G54" s="53" t="s">
        <v>85</v>
      </c>
      <c r="H54" s="56">
        <v>14</v>
      </c>
      <c r="I54" s="56">
        <v>15</v>
      </c>
      <c r="J54" s="57">
        <v>14.5</v>
      </c>
      <c r="K54" s="56">
        <v>8</v>
      </c>
      <c r="L54" s="56">
        <v>8</v>
      </c>
      <c r="M54" s="56">
        <v>8</v>
      </c>
      <c r="N54" s="57">
        <v>8</v>
      </c>
      <c r="O54" s="56"/>
      <c r="P54" s="55">
        <v>24.5</v>
      </c>
    </row>
    <row r="55" spans="1:16" ht="15.6" x14ac:dyDescent="0.25">
      <c r="A55" s="53">
        <v>48</v>
      </c>
      <c r="B55" s="53">
        <v>2425603</v>
      </c>
      <c r="C55" s="65" t="s">
        <v>50</v>
      </c>
      <c r="D55" s="53">
        <v>36</v>
      </c>
      <c r="E55" s="53">
        <v>28</v>
      </c>
      <c r="F55" s="55">
        <v>77.777777779999994</v>
      </c>
      <c r="G55" s="53" t="s">
        <v>85</v>
      </c>
      <c r="H55" s="56">
        <v>13</v>
      </c>
      <c r="I55" s="56">
        <v>10</v>
      </c>
      <c r="J55" s="57">
        <v>11.5</v>
      </c>
      <c r="K55" s="56">
        <v>9</v>
      </c>
      <c r="L55" s="56">
        <v>8</v>
      </c>
      <c r="M55" s="56">
        <v>8</v>
      </c>
      <c r="N55" s="57">
        <v>8.3333333330000006</v>
      </c>
      <c r="O55" s="56"/>
      <c r="P55" s="55">
        <v>21.833333329999999</v>
      </c>
    </row>
    <row r="56" spans="1:16" ht="15.6" x14ac:dyDescent="0.25">
      <c r="A56" s="53">
        <v>49</v>
      </c>
      <c r="B56" s="53">
        <v>2425604</v>
      </c>
      <c r="C56" s="65" t="s">
        <v>51</v>
      </c>
      <c r="D56" s="53">
        <v>36</v>
      </c>
      <c r="E56" s="53">
        <v>23</v>
      </c>
      <c r="F56" s="55">
        <v>63.888888889999997</v>
      </c>
      <c r="G56" s="53" t="s">
        <v>83</v>
      </c>
      <c r="H56" s="56">
        <v>12</v>
      </c>
      <c r="I56" s="56">
        <v>6</v>
      </c>
      <c r="J56" s="57">
        <v>9</v>
      </c>
      <c r="K56" s="59">
        <v>8</v>
      </c>
      <c r="L56" s="56">
        <v>8</v>
      </c>
      <c r="M56" s="56">
        <v>8</v>
      </c>
      <c r="N56" s="57">
        <v>8</v>
      </c>
      <c r="O56" s="56"/>
      <c r="P56" s="55">
        <v>17</v>
      </c>
    </row>
    <row r="57" spans="1:16" ht="15.6" x14ac:dyDescent="0.25">
      <c r="A57" s="53">
        <v>50</v>
      </c>
      <c r="B57" s="53"/>
      <c r="C57" s="65" t="s">
        <v>52</v>
      </c>
      <c r="D57" s="53">
        <v>36</v>
      </c>
      <c r="E57" s="53">
        <v>24</v>
      </c>
      <c r="F57" s="55">
        <v>66.666666669999998</v>
      </c>
      <c r="G57" s="56" t="s">
        <v>83</v>
      </c>
      <c r="H57" s="56">
        <v>0</v>
      </c>
      <c r="I57" s="56">
        <v>0</v>
      </c>
      <c r="J57" s="57">
        <v>0</v>
      </c>
      <c r="K57" s="56">
        <v>0</v>
      </c>
      <c r="L57" s="56">
        <v>0</v>
      </c>
      <c r="M57" s="56">
        <v>0</v>
      </c>
      <c r="N57" s="57">
        <v>0</v>
      </c>
      <c r="O57" s="59"/>
      <c r="P57" s="55">
        <v>0</v>
      </c>
    </row>
    <row r="58" spans="1:16" ht="13.8" x14ac:dyDescent="0.25">
      <c r="A58" s="74"/>
      <c r="B58" s="74"/>
      <c r="C58" s="67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81" t="s">
        <v>105</v>
      </c>
      <c r="P58" s="82">
        <v>18.24666667</v>
      </c>
    </row>
    <row r="59" spans="1:16" ht="13.8" x14ac:dyDescent="0.25">
      <c r="A59" s="74"/>
      <c r="B59" s="74"/>
      <c r="C59" s="67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81" t="s">
        <v>106</v>
      </c>
      <c r="P59" s="81">
        <v>34</v>
      </c>
    </row>
    <row r="60" spans="1:16" ht="13.8" x14ac:dyDescent="0.25">
      <c r="A60" s="74"/>
      <c r="B60" s="74"/>
      <c r="C60" s="67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81" t="s">
        <v>107</v>
      </c>
      <c r="P60" s="81">
        <v>68</v>
      </c>
    </row>
  </sheetData>
  <mergeCells count="21">
    <mergeCell ref="A1:P1"/>
    <mergeCell ref="A2:P2"/>
    <mergeCell ref="A3:P3"/>
    <mergeCell ref="A4:I4"/>
    <mergeCell ref="J4:P4"/>
    <mergeCell ref="A5:I5"/>
    <mergeCell ref="J5:P5"/>
    <mergeCell ref="H6:H7"/>
    <mergeCell ref="I6:I7"/>
    <mergeCell ref="J6:J7"/>
    <mergeCell ref="K6:M6"/>
    <mergeCell ref="N6:N7"/>
    <mergeCell ref="O6:O7"/>
    <mergeCell ref="P6:P7"/>
    <mergeCell ref="A6:A7"/>
    <mergeCell ref="B6:B7"/>
    <mergeCell ref="C6:C7"/>
    <mergeCell ref="D6:D7"/>
    <mergeCell ref="E6:E7"/>
    <mergeCell ref="F6:F7"/>
    <mergeCell ref="G6:G7"/>
  </mergeCells>
  <hyperlinks>
    <hyperlink ref="A6" r:id="rId1" xr:uid="{00000000-0004-0000-01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4D60-C66A-40CA-A61E-4702EDFB4C7E}">
  <dimension ref="A1:P60"/>
  <sheetViews>
    <sheetView workbookViewId="0">
      <selection activeCell="G6" sqref="G6:G7"/>
    </sheetView>
  </sheetViews>
  <sheetFormatPr defaultRowHeight="13.2" x14ac:dyDescent="0.25"/>
  <cols>
    <col min="1" max="1" width="6" bestFit="1" customWidth="1"/>
    <col min="2" max="2" width="8.77734375" bestFit="1" customWidth="1"/>
    <col min="3" max="3" width="23.33203125" style="68" bestFit="1" customWidth="1"/>
    <col min="4" max="4" width="8.33203125" bestFit="1" customWidth="1"/>
    <col min="5" max="5" width="8.21875" bestFit="1" customWidth="1"/>
    <col min="6" max="6" width="6.33203125" bestFit="1" customWidth="1"/>
    <col min="7" max="7" width="7.109375" bestFit="1" customWidth="1"/>
    <col min="8" max="8" width="7" bestFit="1" customWidth="1"/>
    <col min="9" max="9" width="7.77734375" bestFit="1" customWidth="1"/>
    <col min="10" max="10" width="8.6640625" bestFit="1" customWidth="1"/>
    <col min="11" max="11" width="3" bestFit="1" customWidth="1"/>
    <col min="12" max="12" width="2.109375" bestFit="1" customWidth="1"/>
    <col min="13" max="13" width="3" bestFit="1" customWidth="1"/>
    <col min="15" max="15" width="9" bestFit="1" customWidth="1"/>
    <col min="16" max="16" width="7" bestFit="1" customWidth="1"/>
  </cols>
  <sheetData>
    <row r="1" spans="1:16" ht="20.399999999999999" x14ac:dyDescent="0.25">
      <c r="A1" s="44" t="s">
        <v>53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70"/>
    </row>
    <row r="2" spans="1:16" ht="18.600000000000001" x14ac:dyDescent="0.25">
      <c r="A2" s="45" t="s">
        <v>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70"/>
    </row>
    <row r="3" spans="1:16" ht="17.399999999999999" x14ac:dyDescent="0.25">
      <c r="A3" s="46" t="s">
        <v>55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70"/>
    </row>
    <row r="4" spans="1:16" x14ac:dyDescent="0.25">
      <c r="A4" s="47" t="s">
        <v>56</v>
      </c>
      <c r="B4" s="69"/>
      <c r="C4" s="69"/>
      <c r="D4" s="69"/>
      <c r="E4" s="69"/>
      <c r="F4" s="69"/>
      <c r="G4" s="69"/>
      <c r="H4" s="69"/>
      <c r="I4" s="70"/>
      <c r="J4" s="47" t="s">
        <v>57</v>
      </c>
      <c r="K4" s="69"/>
      <c r="L4" s="69"/>
      <c r="M4" s="69"/>
      <c r="N4" s="69"/>
      <c r="O4" s="69"/>
      <c r="P4" s="70"/>
    </row>
    <row r="5" spans="1:16" x14ac:dyDescent="0.25">
      <c r="A5" s="47" t="s">
        <v>95</v>
      </c>
      <c r="B5" s="69"/>
      <c r="C5" s="69"/>
      <c r="D5" s="69"/>
      <c r="E5" s="69"/>
      <c r="F5" s="69"/>
      <c r="G5" s="69"/>
      <c r="H5" s="69"/>
      <c r="I5" s="70"/>
      <c r="J5" s="47" t="s">
        <v>59</v>
      </c>
      <c r="K5" s="69"/>
      <c r="L5" s="69"/>
      <c r="M5" s="69"/>
      <c r="N5" s="69"/>
      <c r="O5" s="69"/>
      <c r="P5" s="70"/>
    </row>
    <row r="6" spans="1:16" x14ac:dyDescent="0.25">
      <c r="A6" s="48" t="s">
        <v>0</v>
      </c>
      <c r="B6" s="48" t="s">
        <v>1</v>
      </c>
      <c r="C6" s="63" t="s">
        <v>2</v>
      </c>
      <c r="D6" s="48" t="s">
        <v>61</v>
      </c>
      <c r="E6" s="48" t="s">
        <v>62</v>
      </c>
      <c r="F6" s="48" t="s">
        <v>63</v>
      </c>
      <c r="G6" s="48" t="s">
        <v>64</v>
      </c>
      <c r="H6" s="48" t="s">
        <v>65</v>
      </c>
      <c r="I6" s="48" t="s">
        <v>66</v>
      </c>
      <c r="J6" s="48" t="s">
        <v>67</v>
      </c>
      <c r="K6" s="47" t="s">
        <v>68</v>
      </c>
      <c r="L6" s="69"/>
      <c r="M6" s="70"/>
      <c r="N6" s="50" t="s">
        <v>69</v>
      </c>
      <c r="O6" s="48" t="s">
        <v>70</v>
      </c>
      <c r="P6" s="48" t="s">
        <v>71</v>
      </c>
    </row>
    <row r="7" spans="1:16" ht="15.6" x14ac:dyDescent="0.25">
      <c r="A7" s="71"/>
      <c r="B7" s="71"/>
      <c r="C7" s="64"/>
      <c r="D7" s="71"/>
      <c r="E7" s="71"/>
      <c r="F7" s="71"/>
      <c r="G7" s="71"/>
      <c r="H7" s="71"/>
      <c r="I7" s="71"/>
      <c r="J7" s="71"/>
      <c r="K7" s="52">
        <v>1</v>
      </c>
      <c r="L7" s="52">
        <v>2</v>
      </c>
      <c r="M7" s="52">
        <v>3</v>
      </c>
      <c r="N7" s="71"/>
      <c r="O7" s="71"/>
      <c r="P7" s="71"/>
    </row>
    <row r="8" spans="1:16" ht="15.6" x14ac:dyDescent="0.25">
      <c r="A8" s="53">
        <v>1</v>
      </c>
      <c r="B8" s="53">
        <v>2301236</v>
      </c>
      <c r="C8" s="65" t="s">
        <v>3</v>
      </c>
      <c r="D8" s="53">
        <f>[2]Attendance!BB7</f>
        <v>33</v>
      </c>
      <c r="E8" s="53">
        <f>[2]Attendance!BE7</f>
        <v>15</v>
      </c>
      <c r="F8" s="55">
        <f t="shared" ref="F8:F57" si="0">(E8/D8)*100</f>
        <v>45.454545454545453</v>
      </c>
      <c r="G8" s="53" t="str">
        <f>IF(F8&gt;=95.5,"6",IF(F8&gt;=90.5,"5", IF(F8&gt;=85.5,"4",IF(F8&gt;=80.5,"3",IF(F8&gt;=75.5,"2","0")))))</f>
        <v>0</v>
      </c>
      <c r="H8" s="56">
        <v>0</v>
      </c>
      <c r="I8" s="56">
        <v>0</v>
      </c>
      <c r="J8" s="57">
        <f t="shared" ref="J8:J57" si="1">(H8+I8)/2</f>
        <v>0</v>
      </c>
      <c r="K8" s="53"/>
      <c r="L8" s="53"/>
      <c r="M8" s="53"/>
      <c r="N8" s="57">
        <f t="shared" ref="N8:N57" si="2">(K8+L8+M8)/3</f>
        <v>0</v>
      </c>
      <c r="O8" s="53"/>
      <c r="P8" s="55">
        <f t="shared" ref="P8:P57" si="3">ROUND(G8+J8+N8+O8,0)</f>
        <v>0</v>
      </c>
    </row>
    <row r="9" spans="1:16" ht="15.6" x14ac:dyDescent="0.25">
      <c r="A9" s="53">
        <v>2</v>
      </c>
      <c r="B9" s="53">
        <v>2301237</v>
      </c>
      <c r="C9" s="65" t="s">
        <v>4</v>
      </c>
      <c r="D9" s="53">
        <f>[2]Attendance!BB8</f>
        <v>33</v>
      </c>
      <c r="E9" s="53">
        <f>[2]Attendance!BE8</f>
        <v>30</v>
      </c>
      <c r="F9" s="55">
        <f t="shared" si="0"/>
        <v>90.909090909090907</v>
      </c>
      <c r="G9" s="53" t="str">
        <f t="shared" ref="G9:G57" si="4">IF(F9&gt;=95.5,"6",IF(F9&gt;=90.5,"5", IF(F9&gt;=85.5,"4",IF(F9&gt;=80.5,"3",IF(F9&gt;=75.5,"2","0")))))</f>
        <v>5</v>
      </c>
      <c r="H9" s="56">
        <v>21</v>
      </c>
      <c r="I9" s="56">
        <v>22</v>
      </c>
      <c r="J9" s="57">
        <f t="shared" si="1"/>
        <v>21.5</v>
      </c>
      <c r="K9" s="56">
        <v>10</v>
      </c>
      <c r="L9" s="56">
        <v>8</v>
      </c>
      <c r="M9" s="56">
        <v>9</v>
      </c>
      <c r="N9" s="57">
        <f t="shared" si="2"/>
        <v>9</v>
      </c>
      <c r="O9" s="56"/>
      <c r="P9" s="55">
        <f t="shared" si="3"/>
        <v>36</v>
      </c>
    </row>
    <row r="10" spans="1:16" ht="15.6" x14ac:dyDescent="0.25">
      <c r="A10" s="53">
        <v>3</v>
      </c>
      <c r="B10" s="53">
        <v>2301238</v>
      </c>
      <c r="C10" s="65" t="s">
        <v>5</v>
      </c>
      <c r="D10" s="53">
        <f>[2]Attendance!BB9</f>
        <v>33</v>
      </c>
      <c r="E10" s="53">
        <f>[2]Attendance!BE9</f>
        <v>28</v>
      </c>
      <c r="F10" s="55">
        <f t="shared" si="0"/>
        <v>84.848484848484844</v>
      </c>
      <c r="G10" s="53" t="str">
        <f t="shared" si="4"/>
        <v>3</v>
      </c>
      <c r="H10" s="83">
        <v>19</v>
      </c>
      <c r="I10" s="56">
        <v>16</v>
      </c>
      <c r="J10" s="57">
        <f t="shared" si="1"/>
        <v>17.5</v>
      </c>
      <c r="K10" s="56">
        <v>10</v>
      </c>
      <c r="L10" s="56">
        <v>8</v>
      </c>
      <c r="M10" s="56">
        <v>8</v>
      </c>
      <c r="N10" s="57">
        <f t="shared" si="2"/>
        <v>8.6666666666666661</v>
      </c>
      <c r="O10" s="56"/>
      <c r="P10" s="55">
        <f t="shared" si="3"/>
        <v>29</v>
      </c>
    </row>
    <row r="11" spans="1:16" ht="15.6" x14ac:dyDescent="0.25">
      <c r="A11" s="53">
        <v>4</v>
      </c>
      <c r="B11" s="53">
        <v>2301240</v>
      </c>
      <c r="C11" s="65" t="s">
        <v>6</v>
      </c>
      <c r="D11" s="53">
        <f>[2]Attendance!BB10</f>
        <v>33</v>
      </c>
      <c r="E11" s="53">
        <f>[2]Attendance!BE10</f>
        <v>31</v>
      </c>
      <c r="F11" s="55">
        <f t="shared" si="0"/>
        <v>93.939393939393938</v>
      </c>
      <c r="G11" s="53" t="str">
        <f t="shared" si="4"/>
        <v>5</v>
      </c>
      <c r="H11" s="56">
        <v>12</v>
      </c>
      <c r="I11" s="56">
        <v>15</v>
      </c>
      <c r="J11" s="57">
        <f t="shared" si="1"/>
        <v>13.5</v>
      </c>
      <c r="K11" s="56">
        <v>9</v>
      </c>
      <c r="L11" s="56">
        <v>9</v>
      </c>
      <c r="M11" s="56">
        <v>8</v>
      </c>
      <c r="N11" s="57">
        <f t="shared" si="2"/>
        <v>8.6666666666666661</v>
      </c>
      <c r="O11" s="56"/>
      <c r="P11" s="55">
        <f t="shared" si="3"/>
        <v>27</v>
      </c>
    </row>
    <row r="12" spans="1:16" ht="15.6" x14ac:dyDescent="0.25">
      <c r="A12" s="53">
        <v>5</v>
      </c>
      <c r="B12" s="53">
        <v>2301241</v>
      </c>
      <c r="C12" s="65" t="s">
        <v>7</v>
      </c>
      <c r="D12" s="53">
        <f>[2]Attendance!BB11</f>
        <v>33</v>
      </c>
      <c r="E12" s="53">
        <f>[2]Attendance!BE11</f>
        <v>31</v>
      </c>
      <c r="F12" s="55">
        <f t="shared" si="0"/>
        <v>93.939393939393938</v>
      </c>
      <c r="G12" s="53" t="str">
        <f t="shared" si="4"/>
        <v>5</v>
      </c>
      <c r="H12" s="56">
        <v>18</v>
      </c>
      <c r="I12" s="56">
        <v>19</v>
      </c>
      <c r="J12" s="57">
        <f t="shared" si="1"/>
        <v>18.5</v>
      </c>
      <c r="K12" s="56">
        <v>10</v>
      </c>
      <c r="L12" s="56">
        <v>9</v>
      </c>
      <c r="M12" s="56">
        <v>8</v>
      </c>
      <c r="N12" s="57">
        <f t="shared" si="2"/>
        <v>9</v>
      </c>
      <c r="O12" s="56"/>
      <c r="P12" s="55">
        <f t="shared" si="3"/>
        <v>33</v>
      </c>
    </row>
    <row r="13" spans="1:16" ht="15.6" x14ac:dyDescent="0.25">
      <c r="A13" s="53">
        <v>6</v>
      </c>
      <c r="B13" s="53">
        <v>2301242</v>
      </c>
      <c r="C13" s="65" t="s">
        <v>8</v>
      </c>
      <c r="D13" s="53">
        <f>[2]Attendance!BB12</f>
        <v>33</v>
      </c>
      <c r="E13" s="53">
        <f>[2]Attendance!BE12</f>
        <v>29</v>
      </c>
      <c r="F13" s="55">
        <f t="shared" si="0"/>
        <v>87.878787878787875</v>
      </c>
      <c r="G13" s="53" t="str">
        <f t="shared" si="4"/>
        <v>4</v>
      </c>
      <c r="H13" s="56">
        <v>19</v>
      </c>
      <c r="I13" s="56">
        <v>21</v>
      </c>
      <c r="J13" s="57">
        <f t="shared" si="1"/>
        <v>20</v>
      </c>
      <c r="K13" s="56">
        <v>9</v>
      </c>
      <c r="L13" s="56">
        <v>9</v>
      </c>
      <c r="M13" s="56">
        <v>9</v>
      </c>
      <c r="N13" s="57">
        <f t="shared" si="2"/>
        <v>9</v>
      </c>
      <c r="O13" s="56"/>
      <c r="P13" s="55">
        <f t="shared" si="3"/>
        <v>33</v>
      </c>
    </row>
    <row r="14" spans="1:16" ht="15.6" x14ac:dyDescent="0.25">
      <c r="A14" s="53">
        <v>7</v>
      </c>
      <c r="B14" s="53">
        <v>2301243</v>
      </c>
      <c r="C14" s="65" t="s">
        <v>9</v>
      </c>
      <c r="D14" s="53">
        <f>[2]Attendance!BB13</f>
        <v>33</v>
      </c>
      <c r="E14" s="53">
        <f>[2]Attendance!BE13</f>
        <v>21</v>
      </c>
      <c r="F14" s="55">
        <f t="shared" si="0"/>
        <v>63.636363636363633</v>
      </c>
      <c r="G14" s="53" t="str">
        <f t="shared" si="4"/>
        <v>0</v>
      </c>
      <c r="H14" s="56">
        <v>10</v>
      </c>
      <c r="I14" s="56">
        <v>10</v>
      </c>
      <c r="J14" s="57">
        <f t="shared" si="1"/>
        <v>10</v>
      </c>
      <c r="K14" s="56">
        <v>9</v>
      </c>
      <c r="L14" s="56">
        <v>8</v>
      </c>
      <c r="M14" s="56">
        <v>7</v>
      </c>
      <c r="N14" s="57">
        <f t="shared" si="2"/>
        <v>8</v>
      </c>
      <c r="O14" s="56"/>
      <c r="P14" s="55">
        <f t="shared" si="3"/>
        <v>18</v>
      </c>
    </row>
    <row r="15" spans="1:16" ht="15.6" x14ac:dyDescent="0.25">
      <c r="A15" s="53">
        <v>8</v>
      </c>
      <c r="B15" s="53">
        <v>2301245</v>
      </c>
      <c r="C15" s="65" t="s">
        <v>10</v>
      </c>
      <c r="D15" s="53">
        <f>[2]Attendance!BB14</f>
        <v>33</v>
      </c>
      <c r="E15" s="53">
        <f>[2]Attendance!BE14</f>
        <v>31</v>
      </c>
      <c r="F15" s="55">
        <f t="shared" si="0"/>
        <v>93.939393939393938</v>
      </c>
      <c r="G15" s="53" t="str">
        <f t="shared" si="4"/>
        <v>5</v>
      </c>
      <c r="H15" s="56">
        <v>22</v>
      </c>
      <c r="I15" s="56">
        <v>21</v>
      </c>
      <c r="J15" s="57">
        <f t="shared" si="1"/>
        <v>21.5</v>
      </c>
      <c r="K15" s="56">
        <v>10</v>
      </c>
      <c r="L15" s="56">
        <v>9</v>
      </c>
      <c r="M15" s="56">
        <v>9</v>
      </c>
      <c r="N15" s="57">
        <f t="shared" si="2"/>
        <v>9.3333333333333339</v>
      </c>
      <c r="O15" s="56"/>
      <c r="P15" s="55">
        <f t="shared" si="3"/>
        <v>36</v>
      </c>
    </row>
    <row r="16" spans="1:16" ht="15.6" x14ac:dyDescent="0.25">
      <c r="A16" s="53">
        <v>9</v>
      </c>
      <c r="B16" s="53">
        <v>2301247</v>
      </c>
      <c r="C16" s="65" t="s">
        <v>11</v>
      </c>
      <c r="D16" s="53">
        <f>[2]Attendance!BB15</f>
        <v>33</v>
      </c>
      <c r="E16" s="53">
        <f>[2]Attendance!BE15</f>
        <v>17</v>
      </c>
      <c r="F16" s="55">
        <f t="shared" si="0"/>
        <v>51.515151515151516</v>
      </c>
      <c r="G16" s="53" t="str">
        <f t="shared" si="4"/>
        <v>0</v>
      </c>
      <c r="H16" s="56">
        <v>2</v>
      </c>
      <c r="I16" s="56">
        <v>10</v>
      </c>
      <c r="J16" s="57">
        <f t="shared" si="1"/>
        <v>6</v>
      </c>
      <c r="K16" s="56">
        <v>7</v>
      </c>
      <c r="L16" s="56">
        <v>8</v>
      </c>
      <c r="M16" s="56"/>
      <c r="N16" s="57">
        <f t="shared" si="2"/>
        <v>5</v>
      </c>
      <c r="O16" s="56"/>
      <c r="P16" s="55">
        <f t="shared" si="3"/>
        <v>11</v>
      </c>
    </row>
    <row r="17" spans="1:16" ht="15.6" x14ac:dyDescent="0.25">
      <c r="A17" s="53">
        <v>10</v>
      </c>
      <c r="B17" s="53">
        <v>2301249</v>
      </c>
      <c r="C17" s="65" t="s">
        <v>12</v>
      </c>
      <c r="D17" s="53">
        <f>[2]Attendance!BB16</f>
        <v>33</v>
      </c>
      <c r="E17" s="53">
        <f>[2]Attendance!BE16</f>
        <v>21</v>
      </c>
      <c r="F17" s="55">
        <f t="shared" si="0"/>
        <v>63.636363636363633</v>
      </c>
      <c r="G17" s="53" t="str">
        <f t="shared" si="4"/>
        <v>0</v>
      </c>
      <c r="H17" s="56">
        <v>9</v>
      </c>
      <c r="I17" s="56">
        <v>18</v>
      </c>
      <c r="J17" s="57">
        <f t="shared" si="1"/>
        <v>13.5</v>
      </c>
      <c r="K17" s="56">
        <v>7</v>
      </c>
      <c r="L17" s="56">
        <v>7</v>
      </c>
      <c r="M17" s="56">
        <v>7</v>
      </c>
      <c r="N17" s="57">
        <f t="shared" si="2"/>
        <v>7</v>
      </c>
      <c r="O17" s="56"/>
      <c r="P17" s="55">
        <f t="shared" si="3"/>
        <v>21</v>
      </c>
    </row>
    <row r="18" spans="1:16" ht="15.6" x14ac:dyDescent="0.25">
      <c r="A18" s="53">
        <v>11</v>
      </c>
      <c r="B18" s="53">
        <v>2301250</v>
      </c>
      <c r="C18" s="65" t="s">
        <v>13</v>
      </c>
      <c r="D18" s="53">
        <f>[2]Attendance!BB17</f>
        <v>33</v>
      </c>
      <c r="E18" s="53">
        <f>[2]Attendance!BE17</f>
        <v>29</v>
      </c>
      <c r="F18" s="55">
        <f t="shared" si="0"/>
        <v>87.878787878787875</v>
      </c>
      <c r="G18" s="53" t="str">
        <f t="shared" si="4"/>
        <v>4</v>
      </c>
      <c r="H18" s="56">
        <v>15</v>
      </c>
      <c r="I18" s="56">
        <v>17</v>
      </c>
      <c r="J18" s="57">
        <f t="shared" si="1"/>
        <v>16</v>
      </c>
      <c r="K18" s="56">
        <v>9</v>
      </c>
      <c r="L18" s="56">
        <v>9</v>
      </c>
      <c r="M18" s="56">
        <v>9</v>
      </c>
      <c r="N18" s="57">
        <f t="shared" si="2"/>
        <v>9</v>
      </c>
      <c r="O18" s="56"/>
      <c r="P18" s="55">
        <f t="shared" si="3"/>
        <v>29</v>
      </c>
    </row>
    <row r="19" spans="1:16" ht="15.6" x14ac:dyDescent="0.25">
      <c r="A19" s="53">
        <v>12</v>
      </c>
      <c r="B19" s="53">
        <v>2301251</v>
      </c>
      <c r="C19" s="65" t="s">
        <v>14</v>
      </c>
      <c r="D19" s="53">
        <f>[2]Attendance!BB18</f>
        <v>33</v>
      </c>
      <c r="E19" s="53">
        <f>[2]Attendance!BE18</f>
        <v>27</v>
      </c>
      <c r="F19" s="55">
        <f t="shared" si="0"/>
        <v>81.818181818181827</v>
      </c>
      <c r="G19" s="53" t="str">
        <f t="shared" si="4"/>
        <v>3</v>
      </c>
      <c r="H19" s="56">
        <v>8</v>
      </c>
      <c r="I19" s="56">
        <v>6</v>
      </c>
      <c r="J19" s="57">
        <f t="shared" si="1"/>
        <v>7</v>
      </c>
      <c r="K19" s="56">
        <v>9</v>
      </c>
      <c r="L19" s="56">
        <v>7</v>
      </c>
      <c r="M19" s="56">
        <v>8</v>
      </c>
      <c r="N19" s="57">
        <f t="shared" si="2"/>
        <v>8</v>
      </c>
      <c r="O19" s="56"/>
      <c r="P19" s="55">
        <f t="shared" si="3"/>
        <v>18</v>
      </c>
    </row>
    <row r="20" spans="1:16" ht="15.6" x14ac:dyDescent="0.25">
      <c r="A20" s="53">
        <v>13</v>
      </c>
      <c r="B20" s="53">
        <v>2301252</v>
      </c>
      <c r="C20" s="65" t="s">
        <v>15</v>
      </c>
      <c r="D20" s="53">
        <f>[2]Attendance!BB19</f>
        <v>33</v>
      </c>
      <c r="E20" s="53">
        <f>[2]Attendance!BE19</f>
        <v>21</v>
      </c>
      <c r="F20" s="55">
        <f t="shared" si="0"/>
        <v>63.636363636363633</v>
      </c>
      <c r="G20" s="53" t="str">
        <f t="shared" si="4"/>
        <v>0</v>
      </c>
      <c r="H20" s="56">
        <v>12</v>
      </c>
      <c r="I20" s="56">
        <v>6</v>
      </c>
      <c r="J20" s="57">
        <f t="shared" si="1"/>
        <v>9</v>
      </c>
      <c r="K20" s="56">
        <v>9</v>
      </c>
      <c r="L20" s="56">
        <v>7</v>
      </c>
      <c r="M20" s="56">
        <v>8</v>
      </c>
      <c r="N20" s="57">
        <f t="shared" si="2"/>
        <v>8</v>
      </c>
      <c r="O20" s="56"/>
      <c r="P20" s="55">
        <f t="shared" si="3"/>
        <v>17</v>
      </c>
    </row>
    <row r="21" spans="1:16" ht="15.6" x14ac:dyDescent="0.25">
      <c r="A21" s="53">
        <v>14</v>
      </c>
      <c r="B21" s="53">
        <v>2301253</v>
      </c>
      <c r="C21" s="65" t="s">
        <v>16</v>
      </c>
      <c r="D21" s="53">
        <f>[2]Attendance!BB20</f>
        <v>33</v>
      </c>
      <c r="E21" s="53">
        <f>[2]Attendance!BE20</f>
        <v>31</v>
      </c>
      <c r="F21" s="55">
        <f t="shared" si="0"/>
        <v>93.939393939393938</v>
      </c>
      <c r="G21" s="53" t="str">
        <f t="shared" si="4"/>
        <v>5</v>
      </c>
      <c r="H21" s="56">
        <v>19</v>
      </c>
      <c r="I21" s="56">
        <v>21</v>
      </c>
      <c r="J21" s="57">
        <f t="shared" si="1"/>
        <v>20</v>
      </c>
      <c r="K21" s="56">
        <v>10</v>
      </c>
      <c r="L21" s="56">
        <v>9</v>
      </c>
      <c r="M21" s="56">
        <v>8</v>
      </c>
      <c r="N21" s="57">
        <f t="shared" si="2"/>
        <v>9</v>
      </c>
      <c r="O21" s="56"/>
      <c r="P21" s="55">
        <f t="shared" si="3"/>
        <v>34</v>
      </c>
    </row>
    <row r="22" spans="1:16" ht="15.6" x14ac:dyDescent="0.25">
      <c r="A22" s="53">
        <v>15</v>
      </c>
      <c r="B22" s="53">
        <v>2301255</v>
      </c>
      <c r="C22" s="65" t="s">
        <v>17</v>
      </c>
      <c r="D22" s="53">
        <f>[2]Attendance!BB21</f>
        <v>33</v>
      </c>
      <c r="E22" s="53">
        <f>[2]Attendance!BE21</f>
        <v>1</v>
      </c>
      <c r="F22" s="55">
        <f t="shared" si="0"/>
        <v>3.0303030303030303</v>
      </c>
      <c r="G22" s="53" t="str">
        <f t="shared" si="4"/>
        <v>0</v>
      </c>
      <c r="H22" s="56">
        <v>17</v>
      </c>
      <c r="I22" s="56">
        <v>0</v>
      </c>
      <c r="J22" s="57">
        <f t="shared" si="1"/>
        <v>8.5</v>
      </c>
      <c r="K22" s="56">
        <v>8</v>
      </c>
      <c r="L22" s="56">
        <v>8</v>
      </c>
      <c r="M22" s="56">
        <v>8</v>
      </c>
      <c r="N22" s="57">
        <f t="shared" si="2"/>
        <v>8</v>
      </c>
      <c r="O22" s="56"/>
      <c r="P22" s="55">
        <f t="shared" si="3"/>
        <v>17</v>
      </c>
    </row>
    <row r="23" spans="1:16" ht="15.6" x14ac:dyDescent="0.25">
      <c r="A23" s="53">
        <v>16</v>
      </c>
      <c r="B23" s="53">
        <v>2301256</v>
      </c>
      <c r="C23" s="65" t="s">
        <v>18</v>
      </c>
      <c r="D23" s="53">
        <f>[2]Attendance!BB22</f>
        <v>33</v>
      </c>
      <c r="E23" s="53">
        <f>[2]Attendance!BE22</f>
        <v>32</v>
      </c>
      <c r="F23" s="55">
        <f t="shared" si="0"/>
        <v>96.969696969696969</v>
      </c>
      <c r="G23" s="53" t="str">
        <f t="shared" si="4"/>
        <v>6</v>
      </c>
      <c r="H23" s="56">
        <v>11</v>
      </c>
      <c r="I23" s="56">
        <v>11</v>
      </c>
      <c r="J23" s="57">
        <f t="shared" si="1"/>
        <v>11</v>
      </c>
      <c r="K23" s="56">
        <v>8</v>
      </c>
      <c r="L23" s="56">
        <v>8</v>
      </c>
      <c r="M23" s="56">
        <v>8</v>
      </c>
      <c r="N23" s="57">
        <f t="shared" si="2"/>
        <v>8</v>
      </c>
      <c r="O23" s="56"/>
      <c r="P23" s="55">
        <f t="shared" si="3"/>
        <v>25</v>
      </c>
    </row>
    <row r="24" spans="1:16" ht="15.6" x14ac:dyDescent="0.25">
      <c r="A24" s="53">
        <v>17</v>
      </c>
      <c r="B24" s="53">
        <v>2301257</v>
      </c>
      <c r="C24" s="65" t="s">
        <v>19</v>
      </c>
      <c r="D24" s="53">
        <f>[2]Attendance!BB23</f>
        <v>33</v>
      </c>
      <c r="E24" s="53">
        <f>[2]Attendance!BE23</f>
        <v>26</v>
      </c>
      <c r="F24" s="55">
        <f t="shared" si="0"/>
        <v>78.787878787878782</v>
      </c>
      <c r="G24" s="53" t="str">
        <f t="shared" si="4"/>
        <v>2</v>
      </c>
      <c r="H24" s="56">
        <v>8</v>
      </c>
      <c r="I24" s="56">
        <v>5</v>
      </c>
      <c r="J24" s="57">
        <f t="shared" si="1"/>
        <v>6.5</v>
      </c>
      <c r="K24" s="56">
        <v>8</v>
      </c>
      <c r="L24" s="56">
        <v>7</v>
      </c>
      <c r="M24" s="56">
        <v>8</v>
      </c>
      <c r="N24" s="57">
        <f t="shared" si="2"/>
        <v>7.666666666666667</v>
      </c>
      <c r="O24" s="56"/>
      <c r="P24" s="55">
        <f t="shared" si="3"/>
        <v>16</v>
      </c>
    </row>
    <row r="25" spans="1:16" ht="15.6" x14ac:dyDescent="0.25">
      <c r="A25" s="53">
        <v>18</v>
      </c>
      <c r="B25" s="53">
        <v>2301258</v>
      </c>
      <c r="C25" s="65" t="s">
        <v>20</v>
      </c>
      <c r="D25" s="53">
        <f>[2]Attendance!BB24</f>
        <v>33</v>
      </c>
      <c r="E25" s="53">
        <f>[2]Attendance!BE24</f>
        <v>7</v>
      </c>
      <c r="F25" s="55">
        <f t="shared" si="0"/>
        <v>21.212121212121211</v>
      </c>
      <c r="G25" s="53" t="str">
        <f t="shared" si="4"/>
        <v>0</v>
      </c>
      <c r="H25" s="56">
        <v>1</v>
      </c>
      <c r="I25" s="56">
        <v>0</v>
      </c>
      <c r="J25" s="57">
        <f t="shared" si="1"/>
        <v>0.5</v>
      </c>
      <c r="K25" s="56"/>
      <c r="L25" s="56"/>
      <c r="M25" s="56"/>
      <c r="N25" s="57">
        <f t="shared" si="2"/>
        <v>0</v>
      </c>
      <c r="O25" s="56"/>
      <c r="P25" s="55">
        <f t="shared" si="3"/>
        <v>1</v>
      </c>
    </row>
    <row r="26" spans="1:16" ht="15.6" x14ac:dyDescent="0.25">
      <c r="A26" s="53">
        <v>19</v>
      </c>
      <c r="B26" s="53">
        <v>2301259</v>
      </c>
      <c r="C26" s="65" t="s">
        <v>21</v>
      </c>
      <c r="D26" s="53">
        <f>[2]Attendance!BB25</f>
        <v>33</v>
      </c>
      <c r="E26" s="53">
        <f>[2]Attendance!BE25</f>
        <v>24</v>
      </c>
      <c r="F26" s="55">
        <f t="shared" si="0"/>
        <v>72.727272727272734</v>
      </c>
      <c r="G26" s="53" t="str">
        <f t="shared" si="4"/>
        <v>0</v>
      </c>
      <c r="H26" s="56">
        <v>18</v>
      </c>
      <c r="I26" s="56">
        <v>15</v>
      </c>
      <c r="J26" s="57">
        <f t="shared" si="1"/>
        <v>16.5</v>
      </c>
      <c r="K26" s="56">
        <v>9</v>
      </c>
      <c r="L26" s="56">
        <v>9</v>
      </c>
      <c r="M26" s="56">
        <v>8</v>
      </c>
      <c r="N26" s="57">
        <f t="shared" si="2"/>
        <v>8.6666666666666661</v>
      </c>
      <c r="O26" s="56"/>
      <c r="P26" s="55">
        <f t="shared" si="3"/>
        <v>25</v>
      </c>
    </row>
    <row r="27" spans="1:16" ht="15.6" x14ac:dyDescent="0.25">
      <c r="A27" s="53">
        <v>20</v>
      </c>
      <c r="B27" s="53">
        <v>2301260</v>
      </c>
      <c r="C27" s="65" t="s">
        <v>22</v>
      </c>
      <c r="D27" s="53">
        <f>[2]Attendance!BB26</f>
        <v>33</v>
      </c>
      <c r="E27" s="53">
        <f>[2]Attendance!BE26</f>
        <v>24</v>
      </c>
      <c r="F27" s="55">
        <f t="shared" si="0"/>
        <v>72.727272727272734</v>
      </c>
      <c r="G27" s="53" t="str">
        <f t="shared" si="4"/>
        <v>0</v>
      </c>
      <c r="H27" s="56">
        <v>10</v>
      </c>
      <c r="I27" s="56">
        <v>3</v>
      </c>
      <c r="J27" s="57">
        <f t="shared" si="1"/>
        <v>6.5</v>
      </c>
      <c r="K27" s="56">
        <v>8</v>
      </c>
      <c r="L27" s="56">
        <v>6</v>
      </c>
      <c r="M27" s="56">
        <v>6</v>
      </c>
      <c r="N27" s="57">
        <f t="shared" si="2"/>
        <v>6.666666666666667</v>
      </c>
      <c r="O27" s="56"/>
      <c r="P27" s="55">
        <f t="shared" si="3"/>
        <v>13</v>
      </c>
    </row>
    <row r="28" spans="1:16" ht="15.6" x14ac:dyDescent="0.25">
      <c r="A28" s="53">
        <v>21</v>
      </c>
      <c r="B28" s="53">
        <v>2301261</v>
      </c>
      <c r="C28" s="65" t="s">
        <v>23</v>
      </c>
      <c r="D28" s="53">
        <f>[2]Attendance!BB27</f>
        <v>33</v>
      </c>
      <c r="E28" s="53">
        <f>[2]Attendance!BE27</f>
        <v>17</v>
      </c>
      <c r="F28" s="55">
        <f t="shared" si="0"/>
        <v>51.515151515151516</v>
      </c>
      <c r="G28" s="53" t="str">
        <f t="shared" si="4"/>
        <v>0</v>
      </c>
      <c r="H28" s="56">
        <v>0</v>
      </c>
      <c r="I28" s="56">
        <v>0</v>
      </c>
      <c r="J28" s="57">
        <f t="shared" si="1"/>
        <v>0</v>
      </c>
      <c r="K28" s="56"/>
      <c r="L28" s="56">
        <v>8</v>
      </c>
      <c r="M28" s="56">
        <v>7</v>
      </c>
      <c r="N28" s="57">
        <f t="shared" si="2"/>
        <v>5</v>
      </c>
      <c r="O28" s="56"/>
      <c r="P28" s="55">
        <f t="shared" si="3"/>
        <v>5</v>
      </c>
    </row>
    <row r="29" spans="1:16" ht="15.6" x14ac:dyDescent="0.25">
      <c r="A29" s="53">
        <v>22</v>
      </c>
      <c r="B29" s="53">
        <v>2301262</v>
      </c>
      <c r="C29" s="65" t="s">
        <v>24</v>
      </c>
      <c r="D29" s="53">
        <f>[2]Attendance!BB28</f>
        <v>33</v>
      </c>
      <c r="E29" s="53">
        <f>[2]Attendance!BE28</f>
        <v>26</v>
      </c>
      <c r="F29" s="55">
        <f t="shared" si="0"/>
        <v>78.787878787878782</v>
      </c>
      <c r="G29" s="53" t="str">
        <f t="shared" si="4"/>
        <v>2</v>
      </c>
      <c r="H29" s="56">
        <v>6</v>
      </c>
      <c r="I29" s="56">
        <v>4</v>
      </c>
      <c r="J29" s="57">
        <f t="shared" si="1"/>
        <v>5</v>
      </c>
      <c r="K29" s="56">
        <v>8</v>
      </c>
      <c r="L29" s="56">
        <v>9</v>
      </c>
      <c r="M29" s="56">
        <v>9</v>
      </c>
      <c r="N29" s="57">
        <f t="shared" si="2"/>
        <v>8.6666666666666661</v>
      </c>
      <c r="O29" s="56"/>
      <c r="P29" s="55">
        <f t="shared" si="3"/>
        <v>16</v>
      </c>
    </row>
    <row r="30" spans="1:16" ht="15.6" x14ac:dyDescent="0.25">
      <c r="A30" s="53">
        <v>23</v>
      </c>
      <c r="B30" s="53">
        <v>2301263</v>
      </c>
      <c r="C30" s="65" t="s">
        <v>25</v>
      </c>
      <c r="D30" s="53">
        <f>[2]Attendance!BB29</f>
        <v>33</v>
      </c>
      <c r="E30" s="53">
        <f>[2]Attendance!BE29</f>
        <v>33</v>
      </c>
      <c r="F30" s="55">
        <f t="shared" si="0"/>
        <v>100</v>
      </c>
      <c r="G30" s="53" t="str">
        <f t="shared" si="4"/>
        <v>6</v>
      </c>
      <c r="H30" s="56">
        <v>19</v>
      </c>
      <c r="I30" s="56">
        <v>14</v>
      </c>
      <c r="J30" s="57">
        <f t="shared" si="1"/>
        <v>16.5</v>
      </c>
      <c r="K30" s="56">
        <v>9</v>
      </c>
      <c r="L30" s="56">
        <v>8</v>
      </c>
      <c r="M30" s="56">
        <v>9</v>
      </c>
      <c r="N30" s="57">
        <f t="shared" si="2"/>
        <v>8.6666666666666661</v>
      </c>
      <c r="O30" s="56"/>
      <c r="P30" s="55">
        <f t="shared" si="3"/>
        <v>31</v>
      </c>
    </row>
    <row r="31" spans="1:16" ht="15.6" x14ac:dyDescent="0.25">
      <c r="A31" s="53">
        <v>24</v>
      </c>
      <c r="B31" s="53">
        <v>2301264</v>
      </c>
      <c r="C31" s="65" t="s">
        <v>26</v>
      </c>
      <c r="D31" s="53">
        <f>[2]Attendance!BB30</f>
        <v>33</v>
      </c>
      <c r="E31" s="53">
        <f>[2]Attendance!BE30</f>
        <v>22</v>
      </c>
      <c r="F31" s="55">
        <f t="shared" si="0"/>
        <v>66.666666666666657</v>
      </c>
      <c r="G31" s="53" t="str">
        <f t="shared" si="4"/>
        <v>0</v>
      </c>
      <c r="H31" s="56">
        <v>4</v>
      </c>
      <c r="I31" s="56">
        <v>4</v>
      </c>
      <c r="J31" s="57">
        <f t="shared" si="1"/>
        <v>4</v>
      </c>
      <c r="K31" s="56">
        <v>7</v>
      </c>
      <c r="L31" s="56">
        <v>6</v>
      </c>
      <c r="M31" s="56">
        <v>7</v>
      </c>
      <c r="N31" s="57">
        <f t="shared" si="2"/>
        <v>6.666666666666667</v>
      </c>
      <c r="O31" s="56"/>
      <c r="P31" s="55">
        <f t="shared" si="3"/>
        <v>11</v>
      </c>
    </row>
    <row r="32" spans="1:16" ht="15.6" x14ac:dyDescent="0.25">
      <c r="A32" s="53">
        <v>25</v>
      </c>
      <c r="B32" s="53">
        <v>2301265</v>
      </c>
      <c r="C32" s="65" t="s">
        <v>27</v>
      </c>
      <c r="D32" s="53">
        <f>[2]Attendance!BB31</f>
        <v>33</v>
      </c>
      <c r="E32" s="53">
        <f>[2]Attendance!BE31</f>
        <v>28</v>
      </c>
      <c r="F32" s="55">
        <f t="shared" si="0"/>
        <v>84.848484848484844</v>
      </c>
      <c r="G32" s="53" t="str">
        <f t="shared" si="4"/>
        <v>3</v>
      </c>
      <c r="H32" s="83">
        <v>19</v>
      </c>
      <c r="I32" s="56">
        <v>16</v>
      </c>
      <c r="J32" s="57">
        <f t="shared" si="1"/>
        <v>17.5</v>
      </c>
      <c r="K32" s="56">
        <v>9</v>
      </c>
      <c r="L32" s="56">
        <v>7</v>
      </c>
      <c r="M32" s="56">
        <v>7</v>
      </c>
      <c r="N32" s="57">
        <f t="shared" si="2"/>
        <v>7.666666666666667</v>
      </c>
      <c r="O32" s="56"/>
      <c r="P32" s="55">
        <f t="shared" si="3"/>
        <v>28</v>
      </c>
    </row>
    <row r="33" spans="1:16" ht="15.6" x14ac:dyDescent="0.25">
      <c r="A33" s="53">
        <v>26</v>
      </c>
      <c r="B33" s="53">
        <v>2301267</v>
      </c>
      <c r="C33" s="65" t="s">
        <v>28</v>
      </c>
      <c r="D33" s="53">
        <f>[2]Attendance!BB32</f>
        <v>33</v>
      </c>
      <c r="E33" s="53">
        <f>[2]Attendance!BE32</f>
        <v>27</v>
      </c>
      <c r="F33" s="55">
        <f t="shared" si="0"/>
        <v>81.818181818181827</v>
      </c>
      <c r="G33" s="53" t="str">
        <f t="shared" si="4"/>
        <v>3</v>
      </c>
      <c r="H33" s="56">
        <v>3</v>
      </c>
      <c r="I33" s="56">
        <v>16</v>
      </c>
      <c r="J33" s="57">
        <f t="shared" si="1"/>
        <v>9.5</v>
      </c>
      <c r="K33" s="56">
        <v>9</v>
      </c>
      <c r="L33" s="56">
        <v>8</v>
      </c>
      <c r="M33" s="56">
        <v>9</v>
      </c>
      <c r="N33" s="57">
        <f t="shared" si="2"/>
        <v>8.6666666666666661</v>
      </c>
      <c r="O33" s="56"/>
      <c r="P33" s="55">
        <f t="shared" si="3"/>
        <v>21</v>
      </c>
    </row>
    <row r="34" spans="1:16" ht="15.6" x14ac:dyDescent="0.25">
      <c r="A34" s="53">
        <v>27</v>
      </c>
      <c r="B34" s="53">
        <v>2301268</v>
      </c>
      <c r="C34" s="65" t="s">
        <v>29</v>
      </c>
      <c r="D34" s="53">
        <f>[2]Attendance!BB33</f>
        <v>33</v>
      </c>
      <c r="E34" s="53">
        <f>[2]Attendance!BE33</f>
        <v>16</v>
      </c>
      <c r="F34" s="55">
        <f t="shared" si="0"/>
        <v>48.484848484848484</v>
      </c>
      <c r="G34" s="53" t="str">
        <f t="shared" si="4"/>
        <v>0</v>
      </c>
      <c r="H34" s="56">
        <v>0</v>
      </c>
      <c r="I34" s="56">
        <v>1</v>
      </c>
      <c r="J34" s="57">
        <f t="shared" si="1"/>
        <v>0.5</v>
      </c>
      <c r="K34" s="56"/>
      <c r="L34" s="56"/>
      <c r="M34" s="56"/>
      <c r="N34" s="57">
        <f t="shared" si="2"/>
        <v>0</v>
      </c>
      <c r="O34" s="56"/>
      <c r="P34" s="55">
        <f t="shared" si="3"/>
        <v>1</v>
      </c>
    </row>
    <row r="35" spans="1:16" ht="15.6" x14ac:dyDescent="0.25">
      <c r="A35" s="53">
        <v>28</v>
      </c>
      <c r="B35" s="53">
        <v>2301269</v>
      </c>
      <c r="C35" s="65" t="s">
        <v>30</v>
      </c>
      <c r="D35" s="53">
        <f>[2]Attendance!BB34</f>
        <v>33</v>
      </c>
      <c r="E35" s="53">
        <f>[2]Attendance!BE34</f>
        <v>33</v>
      </c>
      <c r="F35" s="55">
        <f t="shared" si="0"/>
        <v>100</v>
      </c>
      <c r="G35" s="53" t="str">
        <f t="shared" si="4"/>
        <v>6</v>
      </c>
      <c r="H35" s="56">
        <v>19</v>
      </c>
      <c r="I35" s="56">
        <v>21</v>
      </c>
      <c r="J35" s="57">
        <f t="shared" si="1"/>
        <v>20</v>
      </c>
      <c r="K35" s="56">
        <v>9</v>
      </c>
      <c r="L35" s="56">
        <v>8</v>
      </c>
      <c r="M35" s="56">
        <v>8</v>
      </c>
      <c r="N35" s="57">
        <f t="shared" si="2"/>
        <v>8.3333333333333339</v>
      </c>
      <c r="O35" s="56"/>
      <c r="P35" s="55">
        <f t="shared" si="3"/>
        <v>34</v>
      </c>
    </row>
    <row r="36" spans="1:16" ht="15.6" x14ac:dyDescent="0.25">
      <c r="A36" s="53">
        <v>29</v>
      </c>
      <c r="B36" s="53">
        <v>2301270</v>
      </c>
      <c r="C36" s="65" t="s">
        <v>31</v>
      </c>
      <c r="D36" s="53">
        <f>[2]Attendance!BB35</f>
        <v>33</v>
      </c>
      <c r="E36" s="53">
        <f>[2]Attendance!BE35</f>
        <v>18</v>
      </c>
      <c r="F36" s="55">
        <f t="shared" si="0"/>
        <v>54.54545454545454</v>
      </c>
      <c r="G36" s="53" t="str">
        <f t="shared" si="4"/>
        <v>0</v>
      </c>
      <c r="H36" s="56">
        <v>13</v>
      </c>
      <c r="I36" s="56">
        <v>0</v>
      </c>
      <c r="J36" s="57">
        <f t="shared" si="1"/>
        <v>6.5</v>
      </c>
      <c r="K36" s="56">
        <v>7</v>
      </c>
      <c r="L36" s="56"/>
      <c r="M36" s="56"/>
      <c r="N36" s="57">
        <f t="shared" si="2"/>
        <v>2.3333333333333335</v>
      </c>
      <c r="O36" s="56"/>
      <c r="P36" s="55">
        <f t="shared" si="3"/>
        <v>9</v>
      </c>
    </row>
    <row r="37" spans="1:16" ht="15.6" x14ac:dyDescent="0.25">
      <c r="A37" s="53">
        <v>30</v>
      </c>
      <c r="B37" s="53">
        <v>2301271</v>
      </c>
      <c r="C37" s="65" t="s">
        <v>32</v>
      </c>
      <c r="D37" s="53">
        <f>[2]Attendance!BB36</f>
        <v>33</v>
      </c>
      <c r="E37" s="53">
        <f>[2]Attendance!BE36</f>
        <v>23</v>
      </c>
      <c r="F37" s="55">
        <f t="shared" si="0"/>
        <v>69.696969696969703</v>
      </c>
      <c r="G37" s="53" t="str">
        <f t="shared" si="4"/>
        <v>0</v>
      </c>
      <c r="H37" s="83">
        <v>22</v>
      </c>
      <c r="I37" s="56">
        <v>4</v>
      </c>
      <c r="J37" s="57">
        <f t="shared" si="1"/>
        <v>13</v>
      </c>
      <c r="K37" s="56">
        <v>8</v>
      </c>
      <c r="L37" s="56">
        <v>7</v>
      </c>
      <c r="M37" s="56">
        <v>6</v>
      </c>
      <c r="N37" s="57">
        <f t="shared" si="2"/>
        <v>7</v>
      </c>
      <c r="O37" s="56"/>
      <c r="P37" s="55">
        <f t="shared" si="3"/>
        <v>20</v>
      </c>
    </row>
    <row r="38" spans="1:16" ht="15.6" x14ac:dyDescent="0.25">
      <c r="A38" s="53">
        <v>31</v>
      </c>
      <c r="B38" s="53">
        <v>2301272</v>
      </c>
      <c r="C38" s="65" t="s">
        <v>33</v>
      </c>
      <c r="D38" s="53">
        <f>[2]Attendance!BB37</f>
        <v>33</v>
      </c>
      <c r="E38" s="53">
        <f>[2]Attendance!BE37</f>
        <v>6</v>
      </c>
      <c r="F38" s="55">
        <f t="shared" si="0"/>
        <v>18.181818181818183</v>
      </c>
      <c r="G38" s="53" t="str">
        <f t="shared" si="4"/>
        <v>0</v>
      </c>
      <c r="H38" s="56">
        <v>0</v>
      </c>
      <c r="I38" s="56">
        <v>0</v>
      </c>
      <c r="J38" s="57">
        <f t="shared" si="1"/>
        <v>0</v>
      </c>
      <c r="K38" s="56">
        <v>0</v>
      </c>
      <c r="L38" s="56"/>
      <c r="M38" s="56"/>
      <c r="N38" s="57">
        <f t="shared" si="2"/>
        <v>0</v>
      </c>
      <c r="O38" s="56"/>
      <c r="P38" s="55">
        <f t="shared" si="3"/>
        <v>0</v>
      </c>
    </row>
    <row r="39" spans="1:16" ht="15.6" x14ac:dyDescent="0.25">
      <c r="A39" s="53">
        <v>32</v>
      </c>
      <c r="B39" s="53">
        <v>2301273</v>
      </c>
      <c r="C39" s="65" t="s">
        <v>34</v>
      </c>
      <c r="D39" s="53">
        <f>[2]Attendance!BB38</f>
        <v>33</v>
      </c>
      <c r="E39" s="53">
        <f>[2]Attendance!BE38</f>
        <v>26</v>
      </c>
      <c r="F39" s="55">
        <f t="shared" si="0"/>
        <v>78.787878787878782</v>
      </c>
      <c r="G39" s="53" t="str">
        <f t="shared" si="4"/>
        <v>2</v>
      </c>
      <c r="H39" s="56">
        <v>11</v>
      </c>
      <c r="I39" s="56">
        <v>13</v>
      </c>
      <c r="J39" s="57">
        <f t="shared" si="1"/>
        <v>12</v>
      </c>
      <c r="K39" s="56">
        <v>9</v>
      </c>
      <c r="L39" s="56">
        <v>9</v>
      </c>
      <c r="M39" s="56">
        <v>8</v>
      </c>
      <c r="N39" s="57">
        <f t="shared" si="2"/>
        <v>8.6666666666666661</v>
      </c>
      <c r="O39" s="56"/>
      <c r="P39" s="55">
        <f t="shared" si="3"/>
        <v>23</v>
      </c>
    </row>
    <row r="40" spans="1:16" ht="15.6" x14ac:dyDescent="0.25">
      <c r="A40" s="53">
        <v>33</v>
      </c>
      <c r="B40" s="53">
        <v>2301274</v>
      </c>
      <c r="C40" s="65" t="s">
        <v>35</v>
      </c>
      <c r="D40" s="53">
        <f>[2]Attendance!BB39</f>
        <v>33</v>
      </c>
      <c r="E40" s="53">
        <f>[2]Attendance!BE39</f>
        <v>33</v>
      </c>
      <c r="F40" s="55">
        <f t="shared" si="0"/>
        <v>100</v>
      </c>
      <c r="G40" s="53" t="str">
        <f t="shared" si="4"/>
        <v>6</v>
      </c>
      <c r="H40" s="56">
        <v>19</v>
      </c>
      <c r="I40" s="56">
        <v>18</v>
      </c>
      <c r="J40" s="57">
        <f t="shared" si="1"/>
        <v>18.5</v>
      </c>
      <c r="K40" s="56">
        <v>10</v>
      </c>
      <c r="L40" s="56">
        <v>9</v>
      </c>
      <c r="M40" s="56">
        <v>10</v>
      </c>
      <c r="N40" s="57">
        <f t="shared" si="2"/>
        <v>9.6666666666666661</v>
      </c>
      <c r="O40" s="56"/>
      <c r="P40" s="55">
        <f t="shared" si="3"/>
        <v>34</v>
      </c>
    </row>
    <row r="41" spans="1:16" ht="15.6" x14ac:dyDescent="0.25">
      <c r="A41" s="53">
        <v>34</v>
      </c>
      <c r="B41" s="53">
        <v>2301275</v>
      </c>
      <c r="C41" s="65" t="s">
        <v>36</v>
      </c>
      <c r="D41" s="53">
        <f>[2]Attendance!BB40</f>
        <v>33</v>
      </c>
      <c r="E41" s="53">
        <f>[2]Attendance!BE40</f>
        <v>33</v>
      </c>
      <c r="F41" s="55">
        <f t="shared" si="0"/>
        <v>100</v>
      </c>
      <c r="G41" s="53" t="str">
        <f t="shared" si="4"/>
        <v>6</v>
      </c>
      <c r="H41" s="56">
        <v>11</v>
      </c>
      <c r="I41" s="56">
        <v>14</v>
      </c>
      <c r="J41" s="57">
        <f t="shared" si="1"/>
        <v>12.5</v>
      </c>
      <c r="K41" s="56">
        <v>9</v>
      </c>
      <c r="L41" s="56"/>
      <c r="M41" s="56"/>
      <c r="N41" s="57">
        <f t="shared" si="2"/>
        <v>3</v>
      </c>
      <c r="O41" s="56"/>
      <c r="P41" s="55">
        <f t="shared" si="3"/>
        <v>22</v>
      </c>
    </row>
    <row r="42" spans="1:16" ht="15.6" x14ac:dyDescent="0.25">
      <c r="A42" s="53">
        <v>35</v>
      </c>
      <c r="B42" s="53">
        <v>2301277</v>
      </c>
      <c r="C42" s="65" t="s">
        <v>37</v>
      </c>
      <c r="D42" s="53">
        <f>[2]Attendance!BB41</f>
        <v>33</v>
      </c>
      <c r="E42" s="53">
        <f>[2]Attendance!BE41</f>
        <v>25</v>
      </c>
      <c r="F42" s="55">
        <f t="shared" si="0"/>
        <v>75.757575757575751</v>
      </c>
      <c r="G42" s="53" t="str">
        <f t="shared" si="4"/>
        <v>2</v>
      </c>
      <c r="H42" s="56">
        <v>15</v>
      </c>
      <c r="I42" s="56">
        <v>18</v>
      </c>
      <c r="J42" s="57">
        <f t="shared" si="1"/>
        <v>16.5</v>
      </c>
      <c r="K42" s="56">
        <v>8</v>
      </c>
      <c r="L42" s="56">
        <v>7</v>
      </c>
      <c r="M42" s="56">
        <v>8</v>
      </c>
      <c r="N42" s="57">
        <f t="shared" si="2"/>
        <v>7.666666666666667</v>
      </c>
      <c r="O42" s="56"/>
      <c r="P42" s="55">
        <f t="shared" si="3"/>
        <v>26</v>
      </c>
    </row>
    <row r="43" spans="1:16" ht="15.6" x14ac:dyDescent="0.25">
      <c r="A43" s="53">
        <v>36</v>
      </c>
      <c r="B43" s="53">
        <v>2301278</v>
      </c>
      <c r="C43" s="65" t="s">
        <v>38</v>
      </c>
      <c r="D43" s="53">
        <f>[2]Attendance!BB42</f>
        <v>33</v>
      </c>
      <c r="E43" s="53">
        <f>[2]Attendance!BE42</f>
        <v>2</v>
      </c>
      <c r="F43" s="55">
        <f t="shared" si="0"/>
        <v>6.0606060606060606</v>
      </c>
      <c r="G43" s="53" t="str">
        <f t="shared" si="4"/>
        <v>0</v>
      </c>
      <c r="H43" s="56">
        <v>12</v>
      </c>
      <c r="I43" s="56">
        <v>0</v>
      </c>
      <c r="J43" s="57">
        <f t="shared" si="1"/>
        <v>6</v>
      </c>
      <c r="K43" s="56">
        <v>0</v>
      </c>
      <c r="L43" s="56">
        <v>0</v>
      </c>
      <c r="M43" s="56">
        <v>0</v>
      </c>
      <c r="N43" s="57">
        <f t="shared" si="2"/>
        <v>0</v>
      </c>
      <c r="O43" s="56"/>
      <c r="P43" s="55">
        <f t="shared" si="3"/>
        <v>6</v>
      </c>
    </row>
    <row r="44" spans="1:16" ht="15.6" x14ac:dyDescent="0.25">
      <c r="A44" s="53">
        <v>37</v>
      </c>
      <c r="B44" s="53">
        <v>2301279</v>
      </c>
      <c r="C44" s="65" t="s">
        <v>39</v>
      </c>
      <c r="D44" s="53">
        <f>[2]Attendance!BB43</f>
        <v>33</v>
      </c>
      <c r="E44" s="53">
        <f>[2]Attendance!BE43</f>
        <v>34</v>
      </c>
      <c r="F44" s="55">
        <f t="shared" si="0"/>
        <v>103.03030303030303</v>
      </c>
      <c r="G44" s="53" t="str">
        <f t="shared" si="4"/>
        <v>6</v>
      </c>
      <c r="H44" s="56">
        <v>10</v>
      </c>
      <c r="I44" s="56">
        <v>2</v>
      </c>
      <c r="J44" s="57">
        <f t="shared" si="1"/>
        <v>6</v>
      </c>
      <c r="K44" s="56">
        <v>7</v>
      </c>
      <c r="L44" s="56">
        <v>8</v>
      </c>
      <c r="M44" s="56">
        <v>7</v>
      </c>
      <c r="N44" s="57">
        <f t="shared" si="2"/>
        <v>7.333333333333333</v>
      </c>
      <c r="O44" s="56"/>
      <c r="P44" s="55">
        <f t="shared" si="3"/>
        <v>19</v>
      </c>
    </row>
    <row r="45" spans="1:16" ht="15.6" x14ac:dyDescent="0.25">
      <c r="A45" s="53">
        <v>38</v>
      </c>
      <c r="B45" s="53">
        <v>2339508</v>
      </c>
      <c r="C45" s="65" t="s">
        <v>40</v>
      </c>
      <c r="D45" s="53">
        <f>[2]Attendance!BB44</f>
        <v>33</v>
      </c>
      <c r="E45" s="53">
        <f>[2]Attendance!BE44</f>
        <v>26</v>
      </c>
      <c r="F45" s="55">
        <f t="shared" si="0"/>
        <v>78.787878787878782</v>
      </c>
      <c r="G45" s="53" t="str">
        <f t="shared" si="4"/>
        <v>2</v>
      </c>
      <c r="H45" s="56">
        <v>10</v>
      </c>
      <c r="I45" s="56">
        <v>10</v>
      </c>
      <c r="J45" s="57">
        <f t="shared" si="1"/>
        <v>10</v>
      </c>
      <c r="K45" s="56">
        <v>8</v>
      </c>
      <c r="L45" s="56">
        <v>8</v>
      </c>
      <c r="M45" s="56">
        <v>7</v>
      </c>
      <c r="N45" s="57">
        <f t="shared" si="2"/>
        <v>7.666666666666667</v>
      </c>
      <c r="O45" s="56"/>
      <c r="P45" s="55">
        <f t="shared" si="3"/>
        <v>20</v>
      </c>
    </row>
    <row r="46" spans="1:16" ht="15.6" x14ac:dyDescent="0.25">
      <c r="A46" s="53">
        <v>39</v>
      </c>
      <c r="B46" s="53">
        <v>2301280</v>
      </c>
      <c r="C46" s="65" t="s">
        <v>41</v>
      </c>
      <c r="D46" s="53">
        <f>[2]Attendance!BB45</f>
        <v>33</v>
      </c>
      <c r="E46" s="53">
        <f>[2]Attendance!BE45</f>
        <v>22</v>
      </c>
      <c r="F46" s="55">
        <f t="shared" si="0"/>
        <v>66.666666666666657</v>
      </c>
      <c r="G46" s="53" t="str">
        <f t="shared" si="4"/>
        <v>0</v>
      </c>
      <c r="H46" s="56">
        <v>6</v>
      </c>
      <c r="I46" s="56">
        <v>11</v>
      </c>
      <c r="J46" s="57">
        <f t="shared" si="1"/>
        <v>8.5</v>
      </c>
      <c r="K46" s="56">
        <v>8</v>
      </c>
      <c r="L46" s="56">
        <v>7</v>
      </c>
      <c r="M46" s="56">
        <v>7</v>
      </c>
      <c r="N46" s="57">
        <f t="shared" si="2"/>
        <v>7.333333333333333</v>
      </c>
      <c r="O46" s="56"/>
      <c r="P46" s="55">
        <f t="shared" si="3"/>
        <v>16</v>
      </c>
    </row>
    <row r="47" spans="1:16" ht="15.6" x14ac:dyDescent="0.25">
      <c r="A47" s="53">
        <v>40</v>
      </c>
      <c r="B47" s="53">
        <v>2301281</v>
      </c>
      <c r="C47" s="65" t="s">
        <v>42</v>
      </c>
      <c r="D47" s="53">
        <f>[2]Attendance!BB46</f>
        <v>33</v>
      </c>
      <c r="E47" s="53">
        <f>[2]Attendance!BE46</f>
        <v>24</v>
      </c>
      <c r="F47" s="55">
        <f t="shared" si="0"/>
        <v>72.727272727272734</v>
      </c>
      <c r="G47" s="53" t="str">
        <f t="shared" si="4"/>
        <v>0</v>
      </c>
      <c r="H47" s="83">
        <v>10</v>
      </c>
      <c r="I47" s="56">
        <v>11</v>
      </c>
      <c r="J47" s="57">
        <f t="shared" si="1"/>
        <v>10.5</v>
      </c>
      <c r="K47" s="56">
        <v>8</v>
      </c>
      <c r="L47" s="56">
        <v>8</v>
      </c>
      <c r="M47" s="56">
        <v>8</v>
      </c>
      <c r="N47" s="57">
        <f t="shared" si="2"/>
        <v>8</v>
      </c>
      <c r="O47" s="56"/>
      <c r="P47" s="55">
        <f t="shared" si="3"/>
        <v>19</v>
      </c>
    </row>
    <row r="48" spans="1:16" ht="15.6" x14ac:dyDescent="0.25">
      <c r="A48" s="53">
        <v>41</v>
      </c>
      <c r="B48" s="53">
        <v>2339509</v>
      </c>
      <c r="C48" s="65" t="s">
        <v>43</v>
      </c>
      <c r="D48" s="53">
        <f>[2]Attendance!BB47</f>
        <v>33</v>
      </c>
      <c r="E48" s="53">
        <f>[2]Attendance!BE47</f>
        <v>0</v>
      </c>
      <c r="F48" s="55">
        <f t="shared" si="0"/>
        <v>0</v>
      </c>
      <c r="G48" s="53" t="str">
        <f t="shared" si="4"/>
        <v>0</v>
      </c>
      <c r="H48" s="56">
        <v>0</v>
      </c>
      <c r="I48" s="56">
        <v>0</v>
      </c>
      <c r="J48" s="57">
        <f t="shared" si="1"/>
        <v>0</v>
      </c>
      <c r="K48" s="56">
        <v>0</v>
      </c>
      <c r="L48" s="56"/>
      <c r="M48" s="56"/>
      <c r="N48" s="57">
        <f t="shared" si="2"/>
        <v>0</v>
      </c>
      <c r="O48" s="56"/>
      <c r="P48" s="55">
        <f t="shared" si="3"/>
        <v>0</v>
      </c>
    </row>
    <row r="49" spans="1:16" ht="15.6" x14ac:dyDescent="0.25">
      <c r="A49" s="53">
        <v>42</v>
      </c>
      <c r="B49" s="53">
        <v>2301283</v>
      </c>
      <c r="C49" s="65" t="s">
        <v>44</v>
      </c>
      <c r="D49" s="53">
        <f>[2]Attendance!BB48</f>
        <v>33</v>
      </c>
      <c r="E49" s="53">
        <f>[2]Attendance!BE48</f>
        <v>28</v>
      </c>
      <c r="F49" s="55">
        <f t="shared" si="0"/>
        <v>84.848484848484844</v>
      </c>
      <c r="G49" s="53" t="str">
        <f t="shared" si="4"/>
        <v>3</v>
      </c>
      <c r="H49" s="56">
        <v>8</v>
      </c>
      <c r="I49" s="56">
        <v>4</v>
      </c>
      <c r="J49" s="57">
        <f t="shared" si="1"/>
        <v>6</v>
      </c>
      <c r="K49" s="56">
        <v>8</v>
      </c>
      <c r="L49" s="56">
        <v>8</v>
      </c>
      <c r="M49" s="56">
        <v>8</v>
      </c>
      <c r="N49" s="57">
        <f t="shared" si="2"/>
        <v>8</v>
      </c>
      <c r="O49" s="56"/>
      <c r="P49" s="55">
        <f t="shared" si="3"/>
        <v>17</v>
      </c>
    </row>
    <row r="50" spans="1:16" ht="15.6" x14ac:dyDescent="0.25">
      <c r="A50" s="53">
        <v>43</v>
      </c>
      <c r="B50" s="53">
        <v>2301285</v>
      </c>
      <c r="C50" s="65" t="s">
        <v>45</v>
      </c>
      <c r="D50" s="53">
        <f>[2]Attendance!BB49</f>
        <v>33</v>
      </c>
      <c r="E50" s="53">
        <f>[2]Attendance!BE49</f>
        <v>17</v>
      </c>
      <c r="F50" s="55">
        <f t="shared" si="0"/>
        <v>51.515151515151516</v>
      </c>
      <c r="G50" s="53" t="str">
        <f t="shared" si="4"/>
        <v>0</v>
      </c>
      <c r="H50" s="56">
        <v>7</v>
      </c>
      <c r="I50" s="56">
        <v>0</v>
      </c>
      <c r="J50" s="57">
        <f t="shared" si="1"/>
        <v>3.5</v>
      </c>
      <c r="K50" s="56">
        <v>8</v>
      </c>
      <c r="L50" s="56">
        <v>8</v>
      </c>
      <c r="M50" s="56">
        <v>7</v>
      </c>
      <c r="N50" s="57">
        <f t="shared" si="2"/>
        <v>7.666666666666667</v>
      </c>
      <c r="O50" s="56"/>
      <c r="P50" s="55">
        <f t="shared" si="3"/>
        <v>11</v>
      </c>
    </row>
    <row r="51" spans="1:16" ht="15.6" x14ac:dyDescent="0.25">
      <c r="A51" s="53">
        <v>44</v>
      </c>
      <c r="B51" s="53">
        <v>2301286</v>
      </c>
      <c r="C51" s="65" t="s">
        <v>46</v>
      </c>
      <c r="D51" s="53">
        <f>[2]Attendance!BB50</f>
        <v>33</v>
      </c>
      <c r="E51" s="53">
        <f>[2]Attendance!BE50</f>
        <v>0</v>
      </c>
      <c r="F51" s="55">
        <f t="shared" si="0"/>
        <v>0</v>
      </c>
      <c r="G51" s="53" t="str">
        <f t="shared" si="4"/>
        <v>0</v>
      </c>
      <c r="H51" s="56">
        <v>0</v>
      </c>
      <c r="I51" s="56">
        <v>0</v>
      </c>
      <c r="J51" s="57">
        <f t="shared" si="1"/>
        <v>0</v>
      </c>
      <c r="K51" s="56">
        <v>0</v>
      </c>
      <c r="L51" s="56">
        <v>0</v>
      </c>
      <c r="M51" s="56">
        <v>0</v>
      </c>
      <c r="N51" s="57">
        <f t="shared" si="2"/>
        <v>0</v>
      </c>
      <c r="O51" s="56"/>
      <c r="P51" s="55">
        <f t="shared" si="3"/>
        <v>0</v>
      </c>
    </row>
    <row r="52" spans="1:16" ht="15.6" x14ac:dyDescent="0.25">
      <c r="A52" s="53">
        <v>45</v>
      </c>
      <c r="B52" s="53">
        <v>2425599</v>
      </c>
      <c r="C52" s="65" t="s">
        <v>47</v>
      </c>
      <c r="D52" s="53">
        <f>[2]Attendance!BB51</f>
        <v>33</v>
      </c>
      <c r="E52" s="53">
        <f>[2]Attendance!BE51</f>
        <v>31</v>
      </c>
      <c r="F52" s="55">
        <f t="shared" si="0"/>
        <v>93.939393939393938</v>
      </c>
      <c r="G52" s="53" t="str">
        <f t="shared" si="4"/>
        <v>5</v>
      </c>
      <c r="H52" s="56">
        <v>13</v>
      </c>
      <c r="I52" s="56">
        <v>10</v>
      </c>
      <c r="J52" s="57">
        <f t="shared" si="1"/>
        <v>11.5</v>
      </c>
      <c r="K52" s="56">
        <v>9</v>
      </c>
      <c r="L52" s="56">
        <v>9</v>
      </c>
      <c r="M52" s="56">
        <v>8</v>
      </c>
      <c r="N52" s="57">
        <f t="shared" si="2"/>
        <v>8.6666666666666661</v>
      </c>
      <c r="O52" s="56"/>
      <c r="P52" s="55">
        <f t="shared" si="3"/>
        <v>25</v>
      </c>
    </row>
    <row r="53" spans="1:16" ht="15.6" x14ac:dyDescent="0.25">
      <c r="A53" s="53">
        <v>46</v>
      </c>
      <c r="B53" s="53">
        <v>2425600</v>
      </c>
      <c r="C53" s="65" t="s">
        <v>48</v>
      </c>
      <c r="D53" s="53">
        <f>[2]Attendance!BB52</f>
        <v>33</v>
      </c>
      <c r="E53" s="53">
        <f>[2]Attendance!BE52</f>
        <v>32</v>
      </c>
      <c r="F53" s="55">
        <f t="shared" si="0"/>
        <v>96.969696969696969</v>
      </c>
      <c r="G53" s="53" t="str">
        <f t="shared" si="4"/>
        <v>6</v>
      </c>
      <c r="H53" s="56">
        <v>20</v>
      </c>
      <c r="I53" s="56">
        <v>20</v>
      </c>
      <c r="J53" s="57">
        <f t="shared" si="1"/>
        <v>20</v>
      </c>
      <c r="K53" s="56">
        <v>9</v>
      </c>
      <c r="L53" s="56">
        <v>8</v>
      </c>
      <c r="M53" s="56">
        <v>9</v>
      </c>
      <c r="N53" s="57">
        <f t="shared" si="2"/>
        <v>8.6666666666666661</v>
      </c>
      <c r="O53" s="56"/>
      <c r="P53" s="55">
        <f t="shared" si="3"/>
        <v>35</v>
      </c>
    </row>
    <row r="54" spans="1:16" ht="15.6" x14ac:dyDescent="0.25">
      <c r="A54" s="53">
        <v>47</v>
      </c>
      <c r="B54" s="53">
        <v>2425601</v>
      </c>
      <c r="C54" s="65" t="s">
        <v>49</v>
      </c>
      <c r="D54" s="53">
        <f>[2]Attendance!BB53</f>
        <v>33</v>
      </c>
      <c r="E54" s="53">
        <f>[2]Attendance!BE53</f>
        <v>32</v>
      </c>
      <c r="F54" s="55">
        <f t="shared" si="0"/>
        <v>96.969696969696969</v>
      </c>
      <c r="G54" s="53" t="str">
        <f t="shared" si="4"/>
        <v>6</v>
      </c>
      <c r="H54" s="56">
        <v>18</v>
      </c>
      <c r="I54" s="56">
        <v>19</v>
      </c>
      <c r="J54" s="57">
        <f t="shared" si="1"/>
        <v>18.5</v>
      </c>
      <c r="K54" s="56">
        <v>9</v>
      </c>
      <c r="L54" s="56">
        <v>8</v>
      </c>
      <c r="M54" s="56">
        <v>9</v>
      </c>
      <c r="N54" s="57">
        <f t="shared" si="2"/>
        <v>8.6666666666666661</v>
      </c>
      <c r="O54" s="56"/>
      <c r="P54" s="55">
        <f t="shared" si="3"/>
        <v>33</v>
      </c>
    </row>
    <row r="55" spans="1:16" ht="15.6" x14ac:dyDescent="0.25">
      <c r="A55" s="53">
        <v>48</v>
      </c>
      <c r="B55" s="53">
        <v>2425603</v>
      </c>
      <c r="C55" s="65" t="s">
        <v>50</v>
      </c>
      <c r="D55" s="53">
        <f>[2]Attendance!BB54</f>
        <v>33</v>
      </c>
      <c r="E55" s="53">
        <f>[2]Attendance!BE54</f>
        <v>33</v>
      </c>
      <c r="F55" s="55">
        <f t="shared" si="0"/>
        <v>100</v>
      </c>
      <c r="G55" s="53" t="str">
        <f t="shared" si="4"/>
        <v>6</v>
      </c>
      <c r="H55" s="56">
        <v>20</v>
      </c>
      <c r="I55" s="56">
        <v>15</v>
      </c>
      <c r="J55" s="57">
        <f t="shared" si="1"/>
        <v>17.5</v>
      </c>
      <c r="K55" s="56">
        <v>9</v>
      </c>
      <c r="L55" s="56">
        <v>8</v>
      </c>
      <c r="M55" s="56">
        <v>8</v>
      </c>
      <c r="N55" s="57">
        <f t="shared" si="2"/>
        <v>8.3333333333333339</v>
      </c>
      <c r="O55" s="56"/>
      <c r="P55" s="55">
        <f t="shared" si="3"/>
        <v>32</v>
      </c>
    </row>
    <row r="56" spans="1:16" ht="15.6" x14ac:dyDescent="0.25">
      <c r="A56" s="53">
        <v>49</v>
      </c>
      <c r="B56" s="53">
        <v>2425604</v>
      </c>
      <c r="C56" s="65" t="s">
        <v>51</v>
      </c>
      <c r="D56" s="53">
        <f>[2]Attendance!BB55</f>
        <v>33</v>
      </c>
      <c r="E56" s="53">
        <f>[2]Attendance!BE55</f>
        <v>26</v>
      </c>
      <c r="F56" s="55">
        <f t="shared" si="0"/>
        <v>78.787878787878782</v>
      </c>
      <c r="G56" s="53" t="str">
        <f t="shared" si="4"/>
        <v>2</v>
      </c>
      <c r="H56" s="56">
        <v>11</v>
      </c>
      <c r="I56" s="56">
        <v>10</v>
      </c>
      <c r="J56" s="57">
        <f t="shared" si="1"/>
        <v>10.5</v>
      </c>
      <c r="K56" s="56">
        <v>8</v>
      </c>
      <c r="L56" s="56">
        <v>8</v>
      </c>
      <c r="M56" s="56">
        <v>7</v>
      </c>
      <c r="N56" s="57">
        <f t="shared" si="2"/>
        <v>7.666666666666667</v>
      </c>
      <c r="O56" s="56"/>
      <c r="P56" s="55">
        <f t="shared" si="3"/>
        <v>20</v>
      </c>
    </row>
    <row r="57" spans="1:16" ht="15.6" x14ac:dyDescent="0.25">
      <c r="A57" s="59">
        <v>50</v>
      </c>
      <c r="B57" s="53">
        <v>2301235</v>
      </c>
      <c r="C57" s="65" t="s">
        <v>87</v>
      </c>
      <c r="D57" s="53">
        <v>33</v>
      </c>
      <c r="E57" s="53">
        <v>16</v>
      </c>
      <c r="F57" s="55">
        <f t="shared" si="0"/>
        <v>48.484848484848484</v>
      </c>
      <c r="G57" s="53" t="str">
        <f t="shared" si="4"/>
        <v>0</v>
      </c>
      <c r="H57" s="56">
        <v>10</v>
      </c>
      <c r="I57" s="56">
        <v>0</v>
      </c>
      <c r="J57" s="57">
        <f t="shared" si="1"/>
        <v>5</v>
      </c>
      <c r="K57" s="56">
        <v>7</v>
      </c>
      <c r="L57" s="56">
        <v>8</v>
      </c>
      <c r="M57" s="56">
        <v>8</v>
      </c>
      <c r="N57" s="57">
        <f t="shared" si="2"/>
        <v>7.666666666666667</v>
      </c>
      <c r="O57" s="56"/>
      <c r="P57" s="55">
        <f t="shared" si="3"/>
        <v>13</v>
      </c>
    </row>
    <row r="58" spans="1:16" x14ac:dyDescent="0.25">
      <c r="A58" s="74"/>
      <c r="B58" s="74"/>
      <c r="C58" s="67"/>
      <c r="D58" s="74"/>
      <c r="E58" s="74"/>
      <c r="F58" s="74"/>
      <c r="G58" s="74"/>
      <c r="H58" s="74"/>
      <c r="I58" s="74"/>
      <c r="J58" s="74"/>
      <c r="K58" s="60"/>
      <c r="L58" s="60"/>
      <c r="M58" s="60"/>
      <c r="N58" s="74"/>
      <c r="O58" s="59" t="s">
        <v>92</v>
      </c>
      <c r="P58" s="61">
        <f t="shared" ref="P58" si="5">AVERAGE(P8:P57)</f>
        <v>19.72</v>
      </c>
    </row>
    <row r="59" spans="1:16" x14ac:dyDescent="0.25">
      <c r="A59" s="74"/>
      <c r="B59" s="74"/>
      <c r="C59" s="67"/>
      <c r="D59" s="74"/>
      <c r="E59" s="74"/>
      <c r="F59" s="74"/>
      <c r="G59" s="74"/>
      <c r="H59" s="74"/>
      <c r="I59" s="74"/>
      <c r="J59" s="74"/>
      <c r="K59" s="60"/>
      <c r="L59" s="60"/>
      <c r="M59" s="60"/>
      <c r="N59" s="74"/>
      <c r="O59" s="59" t="s">
        <v>93</v>
      </c>
      <c r="P59" s="59">
        <f t="shared" ref="P59" si="6">COUNTIF(P8:P57,"&gt;=16")</f>
        <v>36</v>
      </c>
    </row>
    <row r="60" spans="1:16" x14ac:dyDescent="0.25">
      <c r="A60" s="74"/>
      <c r="B60" s="74"/>
      <c r="C60" s="67"/>
      <c r="D60" s="74"/>
      <c r="E60" s="74"/>
      <c r="F60" s="74"/>
      <c r="G60" s="74"/>
      <c r="H60" s="74"/>
      <c r="I60" s="74"/>
      <c r="J60" s="74"/>
      <c r="K60" s="60"/>
      <c r="L60" s="60"/>
      <c r="M60" s="60"/>
      <c r="N60" s="74"/>
      <c r="O60" s="59" t="s">
        <v>94</v>
      </c>
      <c r="P60" s="59">
        <f t="shared" ref="P60" si="7">P59/50*100</f>
        <v>72</v>
      </c>
    </row>
  </sheetData>
  <mergeCells count="21">
    <mergeCell ref="O6:O7"/>
    <mergeCell ref="P6:P7"/>
    <mergeCell ref="G6:G7"/>
    <mergeCell ref="H6:H7"/>
    <mergeCell ref="I6:I7"/>
    <mergeCell ref="J6:J7"/>
    <mergeCell ref="K6:M6"/>
    <mergeCell ref="N6:N7"/>
    <mergeCell ref="A6:A7"/>
    <mergeCell ref="B6:B7"/>
    <mergeCell ref="C6:C7"/>
    <mergeCell ref="D6:D7"/>
    <mergeCell ref="E6:E7"/>
    <mergeCell ref="F6:F7"/>
    <mergeCell ref="A1:P1"/>
    <mergeCell ref="A2:P2"/>
    <mergeCell ref="A3:P3"/>
    <mergeCell ref="A4:I4"/>
    <mergeCell ref="J4:P4"/>
    <mergeCell ref="A5:I5"/>
    <mergeCell ref="J5:P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79D19-1AFD-4C0E-9018-ADA5C3CCAC3F}">
  <dimension ref="A1:P56"/>
  <sheetViews>
    <sheetView workbookViewId="0">
      <selection activeCell="G8" sqref="G8"/>
    </sheetView>
  </sheetViews>
  <sheetFormatPr defaultRowHeight="13.2" x14ac:dyDescent="0.25"/>
  <cols>
    <col min="1" max="1" width="5.33203125" customWidth="1"/>
    <col min="2" max="2" width="8.77734375" bestFit="1" customWidth="1"/>
    <col min="3" max="3" width="23.33203125" style="84" bestFit="1" customWidth="1"/>
    <col min="4" max="4" width="8.33203125" bestFit="1" customWidth="1"/>
    <col min="5" max="5" width="8.21875" bestFit="1" customWidth="1"/>
    <col min="6" max="6" width="6.33203125" bestFit="1" customWidth="1"/>
    <col min="7" max="7" width="7.109375" bestFit="1" customWidth="1"/>
    <col min="8" max="8" width="7" bestFit="1" customWidth="1"/>
    <col min="9" max="9" width="7.77734375" bestFit="1" customWidth="1"/>
    <col min="10" max="10" width="9.77734375" bestFit="1" customWidth="1"/>
    <col min="11" max="13" width="4" bestFit="1" customWidth="1"/>
    <col min="15" max="15" width="6.88671875" bestFit="1" customWidth="1"/>
    <col min="16" max="16" width="9.77734375" bestFit="1" customWidth="1"/>
  </cols>
  <sheetData>
    <row r="1" spans="1:16" ht="20.399999999999999" x14ac:dyDescent="0.25">
      <c r="A1" s="44" t="s">
        <v>53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70"/>
    </row>
    <row r="2" spans="1:16" ht="18.600000000000001" x14ac:dyDescent="0.25">
      <c r="A2" s="45" t="s">
        <v>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70"/>
    </row>
    <row r="3" spans="1:16" ht="17.399999999999999" x14ac:dyDescent="0.25">
      <c r="A3" s="46" t="s">
        <v>55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70"/>
    </row>
    <row r="4" spans="1:16" x14ac:dyDescent="0.25">
      <c r="A4" s="47" t="s">
        <v>56</v>
      </c>
      <c r="B4" s="69"/>
      <c r="C4" s="69"/>
      <c r="D4" s="69"/>
      <c r="E4" s="69"/>
      <c r="F4" s="69"/>
      <c r="G4" s="69"/>
      <c r="H4" s="69"/>
      <c r="I4" s="70"/>
      <c r="J4" s="47" t="s">
        <v>57</v>
      </c>
      <c r="K4" s="69"/>
      <c r="L4" s="69"/>
      <c r="M4" s="69"/>
      <c r="N4" s="69"/>
      <c r="O4" s="69"/>
      <c r="P4" s="70"/>
    </row>
    <row r="5" spans="1:16" x14ac:dyDescent="0.25">
      <c r="A5" s="47" t="s">
        <v>100</v>
      </c>
      <c r="B5" s="69"/>
      <c r="C5" s="69"/>
      <c r="D5" s="69"/>
      <c r="E5" s="69"/>
      <c r="F5" s="69"/>
      <c r="G5" s="69"/>
      <c r="H5" s="69"/>
      <c r="I5" s="70"/>
      <c r="J5" s="47" t="s">
        <v>59</v>
      </c>
      <c r="K5" s="69"/>
      <c r="L5" s="69"/>
      <c r="M5" s="69"/>
      <c r="N5" s="69"/>
      <c r="O5" s="69"/>
      <c r="P5" s="70"/>
    </row>
    <row r="6" spans="1:16" x14ac:dyDescent="0.25">
      <c r="A6" s="48" t="s">
        <v>72</v>
      </c>
      <c r="B6" s="48" t="s">
        <v>1</v>
      </c>
      <c r="C6" s="62" t="s">
        <v>2</v>
      </c>
      <c r="D6" s="48" t="s">
        <v>61</v>
      </c>
      <c r="E6" s="48" t="s">
        <v>62</v>
      </c>
      <c r="F6" s="48" t="s">
        <v>63</v>
      </c>
      <c r="G6" s="48" t="s">
        <v>64</v>
      </c>
      <c r="H6" s="48" t="s">
        <v>65</v>
      </c>
      <c r="I6" s="48" t="s">
        <v>66</v>
      </c>
      <c r="J6" s="48" t="s">
        <v>67</v>
      </c>
      <c r="K6" s="47" t="s">
        <v>68</v>
      </c>
      <c r="L6" s="69"/>
      <c r="M6" s="70"/>
      <c r="N6" s="50" t="s">
        <v>69</v>
      </c>
      <c r="O6" s="48" t="s">
        <v>70</v>
      </c>
      <c r="P6" s="48" t="s">
        <v>71</v>
      </c>
    </row>
    <row r="7" spans="1:16" ht="15.6" x14ac:dyDescent="0.25">
      <c r="A7" s="71"/>
      <c r="B7" s="71"/>
      <c r="C7" s="51"/>
      <c r="D7" s="71"/>
      <c r="E7" s="71"/>
      <c r="F7" s="71"/>
      <c r="G7" s="71"/>
      <c r="H7" s="71"/>
      <c r="I7" s="71"/>
      <c r="J7" s="71"/>
      <c r="K7" s="52">
        <v>1</v>
      </c>
      <c r="L7" s="52">
        <v>2</v>
      </c>
      <c r="M7" s="52">
        <v>3</v>
      </c>
      <c r="N7" s="71"/>
      <c r="O7" s="71"/>
      <c r="P7" s="71"/>
    </row>
    <row r="8" spans="1:16" ht="15.6" x14ac:dyDescent="0.25">
      <c r="A8" s="53">
        <v>1</v>
      </c>
      <c r="B8" s="53">
        <v>2301236</v>
      </c>
      <c r="C8" s="54" t="s">
        <v>3</v>
      </c>
      <c r="D8" s="53">
        <v>23</v>
      </c>
      <c r="E8" s="53">
        <v>6</v>
      </c>
      <c r="F8" s="55">
        <v>26.086956520000001</v>
      </c>
      <c r="G8" s="53" t="s">
        <v>83</v>
      </c>
      <c r="H8" s="53">
        <v>0</v>
      </c>
      <c r="I8" s="53">
        <v>0</v>
      </c>
      <c r="J8" s="57">
        <f>(H8+I8)/2</f>
        <v>0</v>
      </c>
      <c r="K8" s="53">
        <v>0</v>
      </c>
      <c r="L8" s="53">
        <v>0</v>
      </c>
      <c r="M8" s="53">
        <v>0</v>
      </c>
      <c r="N8" s="57">
        <f>(M8+L8+K8)/3</f>
        <v>0</v>
      </c>
      <c r="O8" s="53"/>
      <c r="P8" s="55">
        <f>N8+J8+G8</f>
        <v>0</v>
      </c>
    </row>
    <row r="9" spans="1:16" ht="15.6" x14ac:dyDescent="0.25">
      <c r="A9" s="53">
        <v>2</v>
      </c>
      <c r="B9" s="53">
        <v>2301237</v>
      </c>
      <c r="C9" s="54" t="s">
        <v>4</v>
      </c>
      <c r="D9" s="53">
        <v>23</v>
      </c>
      <c r="E9" s="53">
        <v>15</v>
      </c>
      <c r="F9" s="55">
        <v>65.217391300000003</v>
      </c>
      <c r="G9" s="53" t="s">
        <v>83</v>
      </c>
      <c r="H9" s="56">
        <v>21</v>
      </c>
      <c r="I9" s="56">
        <v>22</v>
      </c>
      <c r="J9" s="57">
        <f t="shared" ref="J9:J56" si="0">(H9+I9)/2</f>
        <v>21.5</v>
      </c>
      <c r="K9" s="56">
        <v>9</v>
      </c>
      <c r="L9" s="56">
        <v>9</v>
      </c>
      <c r="M9" s="56">
        <v>8.5</v>
      </c>
      <c r="N9" s="57">
        <f t="shared" ref="N9:N56" si="1">(M9+L9+K9)/3</f>
        <v>8.8333333333333339</v>
      </c>
      <c r="O9" s="56"/>
      <c r="P9" s="55">
        <f t="shared" ref="P9:P56" si="2">N9+J9+G9</f>
        <v>30.333333333333336</v>
      </c>
    </row>
    <row r="10" spans="1:16" ht="15.6" x14ac:dyDescent="0.25">
      <c r="A10" s="53">
        <v>3</v>
      </c>
      <c r="B10" s="53">
        <v>2301238</v>
      </c>
      <c r="C10" s="54" t="s">
        <v>5</v>
      </c>
      <c r="D10" s="53">
        <v>23</v>
      </c>
      <c r="E10" s="53">
        <v>19</v>
      </c>
      <c r="F10" s="55">
        <v>82.608695650000001</v>
      </c>
      <c r="G10" s="53" t="s">
        <v>90</v>
      </c>
      <c r="H10" s="56">
        <v>11</v>
      </c>
      <c r="I10" s="56">
        <v>12</v>
      </c>
      <c r="J10" s="57">
        <f t="shared" si="0"/>
        <v>11.5</v>
      </c>
      <c r="K10" s="56">
        <v>7.5</v>
      </c>
      <c r="L10" s="56">
        <v>7.5</v>
      </c>
      <c r="M10" s="56">
        <v>9</v>
      </c>
      <c r="N10" s="57">
        <f t="shared" si="1"/>
        <v>8</v>
      </c>
      <c r="O10" s="56"/>
      <c r="P10" s="55">
        <f t="shared" si="2"/>
        <v>22.5</v>
      </c>
    </row>
    <row r="11" spans="1:16" ht="15.6" x14ac:dyDescent="0.25">
      <c r="A11" s="53">
        <v>4</v>
      </c>
      <c r="B11" s="53">
        <v>2301240</v>
      </c>
      <c r="C11" s="54" t="s">
        <v>6</v>
      </c>
      <c r="D11" s="53">
        <v>23</v>
      </c>
      <c r="E11" s="53">
        <v>13</v>
      </c>
      <c r="F11" s="55">
        <v>56.52173913</v>
      </c>
      <c r="G11" s="53" t="s">
        <v>83</v>
      </c>
      <c r="H11" s="56">
        <v>17</v>
      </c>
      <c r="I11" s="56">
        <v>17</v>
      </c>
      <c r="J11" s="57">
        <f t="shared" si="0"/>
        <v>17</v>
      </c>
      <c r="K11" s="56">
        <v>9</v>
      </c>
      <c r="L11" s="56">
        <v>9</v>
      </c>
      <c r="M11" s="56">
        <v>9</v>
      </c>
      <c r="N11" s="57">
        <f t="shared" si="1"/>
        <v>9</v>
      </c>
      <c r="O11" s="56"/>
      <c r="P11" s="55">
        <f t="shared" si="2"/>
        <v>26</v>
      </c>
    </row>
    <row r="12" spans="1:16" ht="15.6" x14ac:dyDescent="0.25">
      <c r="A12" s="53">
        <v>5</v>
      </c>
      <c r="B12" s="53">
        <v>2301241</v>
      </c>
      <c r="C12" s="54" t="s">
        <v>7</v>
      </c>
      <c r="D12" s="53">
        <v>23</v>
      </c>
      <c r="E12" s="53">
        <v>20</v>
      </c>
      <c r="F12" s="55">
        <v>86.956521739999999</v>
      </c>
      <c r="G12" s="53" t="s">
        <v>84</v>
      </c>
      <c r="H12" s="56">
        <v>19</v>
      </c>
      <c r="I12" s="56">
        <v>16</v>
      </c>
      <c r="J12" s="57">
        <f t="shared" si="0"/>
        <v>17.5</v>
      </c>
      <c r="K12" s="56">
        <v>8.5</v>
      </c>
      <c r="L12" s="56">
        <v>8.5</v>
      </c>
      <c r="M12" s="56">
        <v>9</v>
      </c>
      <c r="N12" s="57">
        <f t="shared" si="1"/>
        <v>8.6666666666666661</v>
      </c>
      <c r="O12" s="56"/>
      <c r="P12" s="55">
        <f t="shared" si="2"/>
        <v>30.166666666666664</v>
      </c>
    </row>
    <row r="13" spans="1:16" ht="15.6" x14ac:dyDescent="0.25">
      <c r="A13" s="53">
        <v>6</v>
      </c>
      <c r="B13" s="53">
        <v>2301242</v>
      </c>
      <c r="C13" s="54" t="s">
        <v>8</v>
      </c>
      <c r="D13" s="53">
        <v>23</v>
      </c>
      <c r="E13" s="53">
        <v>12</v>
      </c>
      <c r="F13" s="55">
        <v>52.173913040000002</v>
      </c>
      <c r="G13" s="53" t="s">
        <v>83</v>
      </c>
      <c r="H13" s="56">
        <v>22</v>
      </c>
      <c r="I13" s="56">
        <v>18</v>
      </c>
      <c r="J13" s="57">
        <f t="shared" si="0"/>
        <v>20</v>
      </c>
      <c r="K13" s="56">
        <v>8</v>
      </c>
      <c r="L13" s="56">
        <v>8</v>
      </c>
      <c r="M13" s="56">
        <v>9</v>
      </c>
      <c r="N13" s="57">
        <f t="shared" si="1"/>
        <v>8.3333333333333339</v>
      </c>
      <c r="O13" s="56"/>
      <c r="P13" s="55">
        <f t="shared" si="2"/>
        <v>28.333333333333336</v>
      </c>
    </row>
    <row r="14" spans="1:16" ht="15.6" x14ac:dyDescent="0.25">
      <c r="A14" s="53">
        <v>7</v>
      </c>
      <c r="B14" s="53">
        <v>2301243</v>
      </c>
      <c r="C14" s="54" t="s">
        <v>9</v>
      </c>
      <c r="D14" s="53">
        <v>23</v>
      </c>
      <c r="E14" s="53">
        <v>12</v>
      </c>
      <c r="F14" s="55">
        <v>52.173913040000002</v>
      </c>
      <c r="G14" s="53" t="s">
        <v>83</v>
      </c>
      <c r="H14" s="56">
        <v>17</v>
      </c>
      <c r="I14" s="56">
        <v>18</v>
      </c>
      <c r="J14" s="57">
        <f t="shared" si="0"/>
        <v>17.5</v>
      </c>
      <c r="K14" s="56">
        <v>7.5</v>
      </c>
      <c r="L14" s="56">
        <v>7.5</v>
      </c>
      <c r="M14" s="56">
        <v>7.5</v>
      </c>
      <c r="N14" s="57">
        <f t="shared" si="1"/>
        <v>7.5</v>
      </c>
      <c r="O14" s="56"/>
      <c r="P14" s="55">
        <f t="shared" si="2"/>
        <v>25</v>
      </c>
    </row>
    <row r="15" spans="1:16" ht="15.6" x14ac:dyDescent="0.25">
      <c r="A15" s="53">
        <v>8</v>
      </c>
      <c r="B15" s="53">
        <v>2301245</v>
      </c>
      <c r="C15" s="54" t="s">
        <v>10</v>
      </c>
      <c r="D15" s="53">
        <v>23</v>
      </c>
      <c r="E15" s="53">
        <v>18</v>
      </c>
      <c r="F15" s="55">
        <v>78.260869569999997</v>
      </c>
      <c r="G15" s="53" t="s">
        <v>85</v>
      </c>
      <c r="H15" s="56">
        <v>22</v>
      </c>
      <c r="I15" s="56">
        <v>22</v>
      </c>
      <c r="J15" s="57">
        <f t="shared" si="0"/>
        <v>22</v>
      </c>
      <c r="K15" s="56">
        <v>8</v>
      </c>
      <c r="L15" s="56">
        <v>9.5</v>
      </c>
      <c r="M15" s="56">
        <v>8.5</v>
      </c>
      <c r="N15" s="57">
        <f t="shared" si="1"/>
        <v>8.6666666666666661</v>
      </c>
      <c r="O15" s="56"/>
      <c r="P15" s="55">
        <f t="shared" si="2"/>
        <v>32.666666666666664</v>
      </c>
    </row>
    <row r="16" spans="1:16" ht="15.6" x14ac:dyDescent="0.25">
      <c r="A16" s="53">
        <v>9</v>
      </c>
      <c r="B16" s="53">
        <v>2301247</v>
      </c>
      <c r="C16" s="54" t="s">
        <v>11</v>
      </c>
      <c r="D16" s="53">
        <v>23</v>
      </c>
      <c r="E16" s="53">
        <v>7</v>
      </c>
      <c r="F16" s="55">
        <v>30.434782609999999</v>
      </c>
      <c r="G16" s="53" t="s">
        <v>83</v>
      </c>
      <c r="H16" s="56">
        <v>23</v>
      </c>
      <c r="I16" s="56">
        <v>17</v>
      </c>
      <c r="J16" s="57">
        <f t="shared" si="0"/>
        <v>20</v>
      </c>
      <c r="K16" s="56">
        <v>9</v>
      </c>
      <c r="L16" s="56">
        <v>9</v>
      </c>
      <c r="M16" s="56">
        <v>7.5</v>
      </c>
      <c r="N16" s="57">
        <f t="shared" si="1"/>
        <v>8.5</v>
      </c>
      <c r="O16" s="56"/>
      <c r="P16" s="55">
        <f t="shared" si="2"/>
        <v>28.5</v>
      </c>
    </row>
    <row r="17" spans="1:16" ht="15.6" x14ac:dyDescent="0.25">
      <c r="A17" s="53">
        <v>10</v>
      </c>
      <c r="B17" s="53">
        <v>2301249</v>
      </c>
      <c r="C17" s="54" t="s">
        <v>12</v>
      </c>
      <c r="D17" s="53">
        <v>23</v>
      </c>
      <c r="E17" s="53">
        <v>17</v>
      </c>
      <c r="F17" s="55">
        <v>73.913043479999999</v>
      </c>
      <c r="G17" s="53" t="s">
        <v>83</v>
      </c>
      <c r="H17" s="56">
        <v>20</v>
      </c>
      <c r="I17" s="56">
        <v>14</v>
      </c>
      <c r="J17" s="57">
        <f t="shared" si="0"/>
        <v>17</v>
      </c>
      <c r="K17" s="56">
        <v>0</v>
      </c>
      <c r="L17" s="56">
        <v>0</v>
      </c>
      <c r="M17" s="56">
        <v>0</v>
      </c>
      <c r="N17" s="57">
        <f t="shared" si="1"/>
        <v>0</v>
      </c>
      <c r="O17" s="56"/>
      <c r="P17" s="55">
        <f t="shared" si="2"/>
        <v>17</v>
      </c>
    </row>
    <row r="18" spans="1:16" ht="15.6" x14ac:dyDescent="0.25">
      <c r="A18" s="53">
        <v>11</v>
      </c>
      <c r="B18" s="53">
        <v>2301250</v>
      </c>
      <c r="C18" s="54" t="s">
        <v>13</v>
      </c>
      <c r="D18" s="53">
        <v>23</v>
      </c>
      <c r="E18" s="53">
        <v>15</v>
      </c>
      <c r="F18" s="55">
        <v>65.217391300000003</v>
      </c>
      <c r="G18" s="53" t="s">
        <v>83</v>
      </c>
      <c r="H18" s="56">
        <v>16</v>
      </c>
      <c r="I18" s="56">
        <v>16</v>
      </c>
      <c r="J18" s="57">
        <f t="shared" si="0"/>
        <v>16</v>
      </c>
      <c r="K18" s="56">
        <v>9</v>
      </c>
      <c r="L18" s="56">
        <v>9</v>
      </c>
      <c r="M18" s="56">
        <v>8.5</v>
      </c>
      <c r="N18" s="57">
        <f t="shared" si="1"/>
        <v>8.8333333333333339</v>
      </c>
      <c r="O18" s="56"/>
      <c r="P18" s="55">
        <f t="shared" si="2"/>
        <v>24.833333333333336</v>
      </c>
    </row>
    <row r="19" spans="1:16" ht="15.6" x14ac:dyDescent="0.25">
      <c r="A19" s="53">
        <v>12</v>
      </c>
      <c r="B19" s="53">
        <v>2301251</v>
      </c>
      <c r="C19" s="54" t="s">
        <v>14</v>
      </c>
      <c r="D19" s="53">
        <v>23</v>
      </c>
      <c r="E19" s="53">
        <v>8</v>
      </c>
      <c r="F19" s="55">
        <v>34.782608699999997</v>
      </c>
      <c r="G19" s="53" t="s">
        <v>83</v>
      </c>
      <c r="H19" s="56">
        <v>17</v>
      </c>
      <c r="I19" s="56">
        <v>16</v>
      </c>
      <c r="J19" s="57">
        <f t="shared" si="0"/>
        <v>16.5</v>
      </c>
      <c r="K19" s="56">
        <v>9</v>
      </c>
      <c r="L19" s="56">
        <v>9</v>
      </c>
      <c r="M19" s="56">
        <v>9</v>
      </c>
      <c r="N19" s="57">
        <f t="shared" si="1"/>
        <v>9</v>
      </c>
      <c r="O19" s="56"/>
      <c r="P19" s="55">
        <f t="shared" si="2"/>
        <v>25.5</v>
      </c>
    </row>
    <row r="20" spans="1:16" ht="15.6" x14ac:dyDescent="0.25">
      <c r="A20" s="53">
        <v>13</v>
      </c>
      <c r="B20" s="53">
        <v>2301252</v>
      </c>
      <c r="C20" s="54" t="s">
        <v>15</v>
      </c>
      <c r="D20" s="53">
        <v>23</v>
      </c>
      <c r="E20" s="53">
        <v>12</v>
      </c>
      <c r="F20" s="55">
        <v>52.173913040000002</v>
      </c>
      <c r="G20" s="53" t="s">
        <v>83</v>
      </c>
      <c r="H20" s="56">
        <v>16</v>
      </c>
      <c r="I20" s="56">
        <v>14</v>
      </c>
      <c r="J20" s="57">
        <f t="shared" si="0"/>
        <v>15</v>
      </c>
      <c r="K20" s="56">
        <v>9</v>
      </c>
      <c r="L20" s="56">
        <v>7.5</v>
      </c>
      <c r="M20" s="56">
        <v>8.5</v>
      </c>
      <c r="N20" s="57">
        <f t="shared" si="1"/>
        <v>8.3333333333333339</v>
      </c>
      <c r="O20" s="56"/>
      <c r="P20" s="55">
        <f t="shared" si="2"/>
        <v>23.333333333333336</v>
      </c>
    </row>
    <row r="21" spans="1:16" ht="15.6" x14ac:dyDescent="0.25">
      <c r="A21" s="53">
        <v>14</v>
      </c>
      <c r="B21" s="53">
        <v>2301253</v>
      </c>
      <c r="C21" s="54" t="s">
        <v>16</v>
      </c>
      <c r="D21" s="53">
        <v>23</v>
      </c>
      <c r="E21" s="53">
        <v>13</v>
      </c>
      <c r="F21" s="55">
        <v>56.52173913</v>
      </c>
      <c r="G21" s="53" t="s">
        <v>83</v>
      </c>
      <c r="H21" s="56">
        <v>23</v>
      </c>
      <c r="I21" s="56">
        <v>23</v>
      </c>
      <c r="J21" s="57">
        <f t="shared" si="0"/>
        <v>23</v>
      </c>
      <c r="K21" s="56">
        <v>7.5</v>
      </c>
      <c r="L21" s="56">
        <v>7.5</v>
      </c>
      <c r="M21" s="56">
        <v>9.5</v>
      </c>
      <c r="N21" s="57">
        <f t="shared" si="1"/>
        <v>8.1666666666666661</v>
      </c>
      <c r="O21" s="56"/>
      <c r="P21" s="55">
        <f t="shared" si="2"/>
        <v>31.166666666666664</v>
      </c>
    </row>
    <row r="22" spans="1:16" ht="15.6" x14ac:dyDescent="0.25">
      <c r="A22" s="53">
        <v>15</v>
      </c>
      <c r="B22" s="53">
        <v>2301255</v>
      </c>
      <c r="C22" s="54" t="s">
        <v>17</v>
      </c>
      <c r="D22" s="53">
        <v>23</v>
      </c>
      <c r="E22" s="53">
        <v>4</v>
      </c>
      <c r="F22" s="55">
        <v>17.391304349999999</v>
      </c>
      <c r="G22" s="53" t="s">
        <v>83</v>
      </c>
      <c r="H22" s="56">
        <v>0</v>
      </c>
      <c r="I22" s="56">
        <v>0</v>
      </c>
      <c r="J22" s="57">
        <f t="shared" si="0"/>
        <v>0</v>
      </c>
      <c r="K22" s="56">
        <v>8.5</v>
      </c>
      <c r="L22" s="56">
        <v>8.5</v>
      </c>
      <c r="M22" s="56">
        <v>9.5</v>
      </c>
      <c r="N22" s="57">
        <f t="shared" si="1"/>
        <v>8.8333333333333339</v>
      </c>
      <c r="O22" s="56"/>
      <c r="P22" s="55">
        <f t="shared" si="2"/>
        <v>8.8333333333333339</v>
      </c>
    </row>
    <row r="23" spans="1:16" ht="15.6" x14ac:dyDescent="0.25">
      <c r="A23" s="53">
        <v>16</v>
      </c>
      <c r="B23" s="53">
        <v>2301256</v>
      </c>
      <c r="C23" s="54" t="s">
        <v>18</v>
      </c>
      <c r="D23" s="53">
        <v>23</v>
      </c>
      <c r="E23" s="53">
        <v>13</v>
      </c>
      <c r="F23" s="55">
        <v>56.52173913</v>
      </c>
      <c r="G23" s="53" t="s">
        <v>83</v>
      </c>
      <c r="H23" s="56">
        <v>19</v>
      </c>
      <c r="I23" s="56">
        <v>19</v>
      </c>
      <c r="J23" s="57">
        <f t="shared" si="0"/>
        <v>19</v>
      </c>
      <c r="K23" s="56">
        <v>9</v>
      </c>
      <c r="L23" s="56">
        <v>9</v>
      </c>
      <c r="M23" s="56">
        <v>9</v>
      </c>
      <c r="N23" s="57">
        <f t="shared" si="1"/>
        <v>9</v>
      </c>
      <c r="O23" s="56"/>
      <c r="P23" s="55">
        <f t="shared" si="2"/>
        <v>28</v>
      </c>
    </row>
    <row r="24" spans="1:16" ht="15.6" x14ac:dyDescent="0.25">
      <c r="A24" s="53">
        <v>17</v>
      </c>
      <c r="B24" s="53">
        <v>2301257</v>
      </c>
      <c r="C24" s="54" t="s">
        <v>19</v>
      </c>
      <c r="D24" s="53">
        <v>23</v>
      </c>
      <c r="E24" s="53">
        <v>16</v>
      </c>
      <c r="F24" s="55">
        <v>69.565217390000001</v>
      </c>
      <c r="G24" s="53" t="s">
        <v>83</v>
      </c>
      <c r="H24" s="56">
        <v>17</v>
      </c>
      <c r="I24" s="56">
        <v>16</v>
      </c>
      <c r="J24" s="57">
        <f t="shared" si="0"/>
        <v>16.5</v>
      </c>
      <c r="K24" s="56">
        <v>9</v>
      </c>
      <c r="L24" s="56">
        <v>9</v>
      </c>
      <c r="M24" s="56">
        <v>9</v>
      </c>
      <c r="N24" s="57">
        <f t="shared" si="1"/>
        <v>9</v>
      </c>
      <c r="O24" s="56"/>
      <c r="P24" s="55">
        <f t="shared" si="2"/>
        <v>25.5</v>
      </c>
    </row>
    <row r="25" spans="1:16" ht="15.6" x14ac:dyDescent="0.25">
      <c r="A25" s="53">
        <v>18</v>
      </c>
      <c r="B25" s="53">
        <v>2301258</v>
      </c>
      <c r="C25" s="54" t="s">
        <v>20</v>
      </c>
      <c r="D25" s="53">
        <v>23</v>
      </c>
      <c r="E25" s="53">
        <v>6</v>
      </c>
      <c r="F25" s="55">
        <v>26.086956520000001</v>
      </c>
      <c r="G25" s="53" t="s">
        <v>83</v>
      </c>
      <c r="H25" s="56">
        <v>0</v>
      </c>
      <c r="I25" s="56">
        <v>0</v>
      </c>
      <c r="J25" s="57">
        <f t="shared" si="0"/>
        <v>0</v>
      </c>
      <c r="K25" s="56">
        <v>0</v>
      </c>
      <c r="L25" s="56">
        <v>0</v>
      </c>
      <c r="M25" s="56">
        <v>0</v>
      </c>
      <c r="N25" s="57">
        <f t="shared" si="1"/>
        <v>0</v>
      </c>
      <c r="O25" s="56"/>
      <c r="P25" s="55">
        <f t="shared" si="2"/>
        <v>0</v>
      </c>
    </row>
    <row r="26" spans="1:16" ht="15.6" x14ac:dyDescent="0.25">
      <c r="A26" s="53">
        <v>19</v>
      </c>
      <c r="B26" s="53">
        <v>2301259</v>
      </c>
      <c r="C26" s="54" t="s">
        <v>21</v>
      </c>
      <c r="D26" s="53">
        <v>23</v>
      </c>
      <c r="E26" s="53">
        <v>14</v>
      </c>
      <c r="F26" s="55">
        <v>60.869565219999998</v>
      </c>
      <c r="G26" s="53" t="s">
        <v>83</v>
      </c>
      <c r="H26" s="56">
        <v>21</v>
      </c>
      <c r="I26" s="56">
        <v>22</v>
      </c>
      <c r="J26" s="57">
        <f t="shared" si="0"/>
        <v>21.5</v>
      </c>
      <c r="K26" s="56">
        <v>9</v>
      </c>
      <c r="L26" s="56">
        <v>9.5</v>
      </c>
      <c r="M26" s="56">
        <v>8</v>
      </c>
      <c r="N26" s="57">
        <f t="shared" si="1"/>
        <v>8.8333333333333339</v>
      </c>
      <c r="O26" s="56"/>
      <c r="P26" s="55">
        <f t="shared" si="2"/>
        <v>30.333333333333336</v>
      </c>
    </row>
    <row r="27" spans="1:16" ht="15.6" x14ac:dyDescent="0.25">
      <c r="A27" s="53">
        <v>20</v>
      </c>
      <c r="B27" s="53">
        <v>2301260</v>
      </c>
      <c r="C27" s="54" t="s">
        <v>22</v>
      </c>
      <c r="D27" s="53">
        <v>23</v>
      </c>
      <c r="E27" s="53">
        <v>15</v>
      </c>
      <c r="F27" s="55">
        <v>65.217391300000003</v>
      </c>
      <c r="G27" s="53" t="s">
        <v>83</v>
      </c>
      <c r="H27" s="56">
        <v>12</v>
      </c>
      <c r="I27" s="56">
        <v>15</v>
      </c>
      <c r="J27" s="57">
        <f t="shared" si="0"/>
        <v>13.5</v>
      </c>
      <c r="K27" s="56">
        <v>8.5</v>
      </c>
      <c r="L27" s="56">
        <v>7.5</v>
      </c>
      <c r="M27" s="56">
        <v>8</v>
      </c>
      <c r="N27" s="57">
        <f t="shared" si="1"/>
        <v>8</v>
      </c>
      <c r="O27" s="56"/>
      <c r="P27" s="55">
        <f t="shared" si="2"/>
        <v>21.5</v>
      </c>
    </row>
    <row r="28" spans="1:16" ht="15.6" x14ac:dyDescent="0.25">
      <c r="A28" s="53">
        <v>21</v>
      </c>
      <c r="B28" s="53">
        <v>2301261</v>
      </c>
      <c r="C28" s="54" t="s">
        <v>23</v>
      </c>
      <c r="D28" s="53">
        <v>23</v>
      </c>
      <c r="E28" s="53">
        <v>15</v>
      </c>
      <c r="F28" s="55">
        <v>65.217391300000003</v>
      </c>
      <c r="G28" s="53" t="s">
        <v>83</v>
      </c>
      <c r="H28" s="56">
        <v>16</v>
      </c>
      <c r="I28" s="56">
        <v>17</v>
      </c>
      <c r="J28" s="57">
        <f t="shared" si="0"/>
        <v>16.5</v>
      </c>
      <c r="K28" s="56">
        <v>0</v>
      </c>
      <c r="L28" s="56">
        <v>0</v>
      </c>
      <c r="M28" s="56">
        <v>0</v>
      </c>
      <c r="N28" s="57">
        <f t="shared" si="1"/>
        <v>0</v>
      </c>
      <c r="O28" s="56"/>
      <c r="P28" s="55">
        <f t="shared" si="2"/>
        <v>16.5</v>
      </c>
    </row>
    <row r="29" spans="1:16" ht="15.6" x14ac:dyDescent="0.25">
      <c r="A29" s="53">
        <v>22</v>
      </c>
      <c r="B29" s="53">
        <v>2301262</v>
      </c>
      <c r="C29" s="54" t="s">
        <v>24</v>
      </c>
      <c r="D29" s="53">
        <v>23</v>
      </c>
      <c r="E29" s="53">
        <v>10</v>
      </c>
      <c r="F29" s="55">
        <v>43.47826087</v>
      </c>
      <c r="G29" s="53" t="s">
        <v>83</v>
      </c>
      <c r="H29" s="56">
        <v>14</v>
      </c>
      <c r="I29" s="56">
        <v>17</v>
      </c>
      <c r="J29" s="57">
        <f t="shared" si="0"/>
        <v>15.5</v>
      </c>
      <c r="K29" s="56">
        <v>7.5</v>
      </c>
      <c r="L29" s="56">
        <v>8.5</v>
      </c>
      <c r="M29" s="56">
        <v>9</v>
      </c>
      <c r="N29" s="57">
        <f t="shared" si="1"/>
        <v>8.3333333333333339</v>
      </c>
      <c r="O29" s="56"/>
      <c r="P29" s="55">
        <f t="shared" si="2"/>
        <v>23.833333333333336</v>
      </c>
    </row>
    <row r="30" spans="1:16" ht="15.6" x14ac:dyDescent="0.25">
      <c r="A30" s="53">
        <v>23</v>
      </c>
      <c r="B30" s="53">
        <v>2301263</v>
      </c>
      <c r="C30" s="54" t="s">
        <v>25</v>
      </c>
      <c r="D30" s="53">
        <v>23</v>
      </c>
      <c r="E30" s="53">
        <v>15</v>
      </c>
      <c r="F30" s="55">
        <v>65.217391300000003</v>
      </c>
      <c r="G30" s="53" t="s">
        <v>83</v>
      </c>
      <c r="H30" s="56">
        <v>23</v>
      </c>
      <c r="I30" s="56">
        <v>21</v>
      </c>
      <c r="J30" s="57">
        <f t="shared" si="0"/>
        <v>22</v>
      </c>
      <c r="K30" s="56">
        <v>8.5</v>
      </c>
      <c r="L30" s="56">
        <v>10</v>
      </c>
      <c r="M30" s="56">
        <v>10</v>
      </c>
      <c r="N30" s="57">
        <f t="shared" si="1"/>
        <v>9.5</v>
      </c>
      <c r="O30" s="56"/>
      <c r="P30" s="55">
        <f t="shared" si="2"/>
        <v>31.5</v>
      </c>
    </row>
    <row r="31" spans="1:16" ht="15.6" x14ac:dyDescent="0.25">
      <c r="A31" s="53">
        <v>24</v>
      </c>
      <c r="B31" s="53">
        <v>2301264</v>
      </c>
      <c r="C31" s="54" t="s">
        <v>26</v>
      </c>
      <c r="D31" s="53">
        <v>23</v>
      </c>
      <c r="E31" s="53">
        <v>10</v>
      </c>
      <c r="F31" s="55">
        <v>43.47826087</v>
      </c>
      <c r="G31" s="53" t="s">
        <v>83</v>
      </c>
      <c r="H31" s="56">
        <v>0</v>
      </c>
      <c r="I31" s="56">
        <v>0</v>
      </c>
      <c r="J31" s="57">
        <f t="shared" si="0"/>
        <v>0</v>
      </c>
      <c r="K31" s="56">
        <v>0</v>
      </c>
      <c r="L31" s="56">
        <v>0</v>
      </c>
      <c r="M31" s="56">
        <v>0</v>
      </c>
      <c r="N31" s="57">
        <f t="shared" si="1"/>
        <v>0</v>
      </c>
      <c r="O31" s="56"/>
      <c r="P31" s="55">
        <f t="shared" si="2"/>
        <v>0</v>
      </c>
    </row>
    <row r="32" spans="1:16" ht="15.6" x14ac:dyDescent="0.25">
      <c r="A32" s="53">
        <v>25</v>
      </c>
      <c r="B32" s="53">
        <v>2301265</v>
      </c>
      <c r="C32" s="54" t="s">
        <v>27</v>
      </c>
      <c r="D32" s="53">
        <v>23</v>
      </c>
      <c r="E32" s="53">
        <v>16</v>
      </c>
      <c r="F32" s="55">
        <v>69.565217390000001</v>
      </c>
      <c r="G32" s="53" t="s">
        <v>83</v>
      </c>
      <c r="H32" s="56">
        <v>0</v>
      </c>
      <c r="I32" s="56">
        <v>20</v>
      </c>
      <c r="J32" s="57">
        <f t="shared" si="0"/>
        <v>10</v>
      </c>
      <c r="K32" s="56">
        <v>8</v>
      </c>
      <c r="L32" s="56">
        <v>9</v>
      </c>
      <c r="M32" s="56">
        <v>7.5</v>
      </c>
      <c r="N32" s="57">
        <f t="shared" si="1"/>
        <v>8.1666666666666661</v>
      </c>
      <c r="O32" s="56"/>
      <c r="P32" s="55">
        <f t="shared" si="2"/>
        <v>18.166666666666664</v>
      </c>
    </row>
    <row r="33" spans="1:16" ht="15.6" x14ac:dyDescent="0.25">
      <c r="A33" s="53">
        <v>26</v>
      </c>
      <c r="B33" s="53">
        <v>2301267</v>
      </c>
      <c r="C33" s="54" t="s">
        <v>28</v>
      </c>
      <c r="D33" s="53">
        <v>23</v>
      </c>
      <c r="E33" s="53">
        <v>14</v>
      </c>
      <c r="F33" s="55">
        <v>60.869565219999998</v>
      </c>
      <c r="G33" s="53" t="s">
        <v>83</v>
      </c>
      <c r="H33" s="56">
        <v>15</v>
      </c>
      <c r="I33" s="56">
        <v>24</v>
      </c>
      <c r="J33" s="57">
        <f t="shared" si="0"/>
        <v>19.5</v>
      </c>
      <c r="K33" s="56">
        <v>9.5</v>
      </c>
      <c r="L33" s="56">
        <v>9</v>
      </c>
      <c r="M33" s="56">
        <v>9</v>
      </c>
      <c r="N33" s="57">
        <f t="shared" si="1"/>
        <v>9.1666666666666661</v>
      </c>
      <c r="O33" s="56"/>
      <c r="P33" s="55">
        <f t="shared" si="2"/>
        <v>28.666666666666664</v>
      </c>
    </row>
    <row r="34" spans="1:16" ht="15.6" x14ac:dyDescent="0.25">
      <c r="A34" s="53">
        <v>27</v>
      </c>
      <c r="B34" s="53">
        <v>2301268</v>
      </c>
      <c r="C34" s="54" t="s">
        <v>29</v>
      </c>
      <c r="D34" s="53">
        <v>23</v>
      </c>
      <c r="E34" s="53">
        <v>16</v>
      </c>
      <c r="F34" s="55">
        <v>69.565217390000001</v>
      </c>
      <c r="G34" s="53" t="s">
        <v>83</v>
      </c>
      <c r="H34" s="56">
        <v>0</v>
      </c>
      <c r="I34" s="56">
        <v>0</v>
      </c>
      <c r="J34" s="57">
        <f t="shared" si="0"/>
        <v>0</v>
      </c>
      <c r="K34" s="56">
        <v>8</v>
      </c>
      <c r="L34" s="56">
        <v>7.5</v>
      </c>
      <c r="M34" s="56">
        <v>8</v>
      </c>
      <c r="N34" s="57">
        <f t="shared" si="1"/>
        <v>7.833333333333333</v>
      </c>
      <c r="O34" s="56"/>
      <c r="P34" s="55">
        <f t="shared" si="2"/>
        <v>7.833333333333333</v>
      </c>
    </row>
    <row r="35" spans="1:16" ht="15.6" x14ac:dyDescent="0.25">
      <c r="A35" s="53">
        <v>28</v>
      </c>
      <c r="B35" s="53">
        <v>2301269</v>
      </c>
      <c r="C35" s="54" t="s">
        <v>30</v>
      </c>
      <c r="D35" s="53">
        <v>23</v>
      </c>
      <c r="E35" s="53">
        <v>22</v>
      </c>
      <c r="F35" s="55">
        <v>95.652173910000002</v>
      </c>
      <c r="G35" s="53" t="s">
        <v>86</v>
      </c>
      <c r="H35" s="56">
        <v>24</v>
      </c>
      <c r="I35" s="56">
        <v>23</v>
      </c>
      <c r="J35" s="57">
        <f t="shared" si="0"/>
        <v>23.5</v>
      </c>
      <c r="K35" s="56">
        <v>9</v>
      </c>
      <c r="L35" s="56">
        <v>8.5</v>
      </c>
      <c r="M35" s="56">
        <v>0</v>
      </c>
      <c r="N35" s="57">
        <f t="shared" si="1"/>
        <v>5.833333333333333</v>
      </c>
      <c r="O35" s="56"/>
      <c r="P35" s="55">
        <f t="shared" si="2"/>
        <v>35.333333333333329</v>
      </c>
    </row>
    <row r="36" spans="1:16" ht="15.6" x14ac:dyDescent="0.25">
      <c r="A36" s="53">
        <v>29</v>
      </c>
      <c r="B36" s="53">
        <v>2301270</v>
      </c>
      <c r="C36" s="54" t="s">
        <v>31</v>
      </c>
      <c r="D36" s="53">
        <v>23</v>
      </c>
      <c r="E36" s="53">
        <v>14</v>
      </c>
      <c r="F36" s="55">
        <v>60.869565219999998</v>
      </c>
      <c r="G36" s="53" t="s">
        <v>83</v>
      </c>
      <c r="H36" s="56">
        <v>11</v>
      </c>
      <c r="I36" s="56">
        <v>0</v>
      </c>
      <c r="J36" s="57">
        <f t="shared" si="0"/>
        <v>5.5</v>
      </c>
      <c r="K36" s="56">
        <v>8</v>
      </c>
      <c r="L36" s="56">
        <v>8</v>
      </c>
      <c r="M36" s="56">
        <v>9</v>
      </c>
      <c r="N36" s="57">
        <f t="shared" si="1"/>
        <v>8.3333333333333339</v>
      </c>
      <c r="O36" s="56"/>
      <c r="P36" s="55">
        <f t="shared" si="2"/>
        <v>13.833333333333334</v>
      </c>
    </row>
    <row r="37" spans="1:16" ht="15.6" x14ac:dyDescent="0.25">
      <c r="A37" s="53">
        <v>30</v>
      </c>
      <c r="B37" s="53">
        <v>2301271</v>
      </c>
      <c r="C37" s="54" t="s">
        <v>32</v>
      </c>
      <c r="D37" s="53">
        <v>23</v>
      </c>
      <c r="E37" s="53">
        <v>14</v>
      </c>
      <c r="F37" s="55">
        <v>60.869565219999998</v>
      </c>
      <c r="G37" s="53" t="s">
        <v>83</v>
      </c>
      <c r="H37" s="56">
        <v>0</v>
      </c>
      <c r="I37" s="56">
        <v>17</v>
      </c>
      <c r="J37" s="57">
        <f t="shared" si="0"/>
        <v>8.5</v>
      </c>
      <c r="K37" s="56">
        <v>7.5</v>
      </c>
      <c r="L37" s="56">
        <v>8</v>
      </c>
      <c r="M37" s="56">
        <v>7</v>
      </c>
      <c r="N37" s="57">
        <f t="shared" si="1"/>
        <v>7.5</v>
      </c>
      <c r="O37" s="56"/>
      <c r="P37" s="55">
        <f t="shared" si="2"/>
        <v>16</v>
      </c>
    </row>
    <row r="38" spans="1:16" ht="15.6" x14ac:dyDescent="0.25">
      <c r="A38" s="53">
        <v>31</v>
      </c>
      <c r="B38" s="53">
        <v>2301272</v>
      </c>
      <c r="C38" s="54" t="s">
        <v>33</v>
      </c>
      <c r="D38" s="53">
        <v>23</v>
      </c>
      <c r="E38" s="53">
        <v>12</v>
      </c>
      <c r="F38" s="55">
        <v>52.173913040000002</v>
      </c>
      <c r="G38" s="53" t="s">
        <v>83</v>
      </c>
      <c r="H38" s="56">
        <v>0</v>
      </c>
      <c r="I38" s="56">
        <v>0</v>
      </c>
      <c r="J38" s="57">
        <f t="shared" si="0"/>
        <v>0</v>
      </c>
      <c r="K38" s="56">
        <v>0</v>
      </c>
      <c r="L38" s="56">
        <v>0</v>
      </c>
      <c r="M38" s="56">
        <v>0</v>
      </c>
      <c r="N38" s="57">
        <f t="shared" si="1"/>
        <v>0</v>
      </c>
      <c r="O38" s="56"/>
      <c r="P38" s="55">
        <f t="shared" si="2"/>
        <v>0</v>
      </c>
    </row>
    <row r="39" spans="1:16" ht="15.6" x14ac:dyDescent="0.25">
      <c r="A39" s="53">
        <v>32</v>
      </c>
      <c r="B39" s="53">
        <v>2301273</v>
      </c>
      <c r="C39" s="54" t="s">
        <v>34</v>
      </c>
      <c r="D39" s="53">
        <v>23</v>
      </c>
      <c r="E39" s="53">
        <v>11</v>
      </c>
      <c r="F39" s="55">
        <v>47.826086959999998</v>
      </c>
      <c r="G39" s="53" t="s">
        <v>83</v>
      </c>
      <c r="H39" s="56">
        <v>20</v>
      </c>
      <c r="I39" s="56">
        <v>14</v>
      </c>
      <c r="J39" s="57">
        <f t="shared" si="0"/>
        <v>17</v>
      </c>
      <c r="K39" s="56">
        <v>8.5</v>
      </c>
      <c r="L39" s="56">
        <v>9</v>
      </c>
      <c r="M39" s="56">
        <v>9</v>
      </c>
      <c r="N39" s="57">
        <f t="shared" si="1"/>
        <v>8.8333333333333339</v>
      </c>
      <c r="O39" s="56"/>
      <c r="P39" s="55">
        <f t="shared" si="2"/>
        <v>25.833333333333336</v>
      </c>
    </row>
    <row r="40" spans="1:16" ht="15.6" x14ac:dyDescent="0.25">
      <c r="A40" s="53">
        <v>33</v>
      </c>
      <c r="B40" s="53">
        <v>2301274</v>
      </c>
      <c r="C40" s="54" t="s">
        <v>35</v>
      </c>
      <c r="D40" s="53">
        <v>23</v>
      </c>
      <c r="E40" s="53">
        <v>22</v>
      </c>
      <c r="F40" s="55">
        <v>95.652173910000002</v>
      </c>
      <c r="G40" s="53" t="s">
        <v>86</v>
      </c>
      <c r="H40" s="56">
        <v>21</v>
      </c>
      <c r="I40" s="56">
        <v>21</v>
      </c>
      <c r="J40" s="57">
        <f t="shared" si="0"/>
        <v>21</v>
      </c>
      <c r="K40" s="56">
        <v>8.5</v>
      </c>
      <c r="L40" s="56">
        <v>10</v>
      </c>
      <c r="M40" s="56">
        <v>9.5</v>
      </c>
      <c r="N40" s="57">
        <f t="shared" si="1"/>
        <v>9.3333333333333339</v>
      </c>
      <c r="O40" s="56"/>
      <c r="P40" s="55">
        <f t="shared" si="2"/>
        <v>36.333333333333336</v>
      </c>
    </row>
    <row r="41" spans="1:16" ht="15.6" x14ac:dyDescent="0.25">
      <c r="A41" s="53">
        <v>34</v>
      </c>
      <c r="B41" s="53">
        <v>2301275</v>
      </c>
      <c r="C41" s="54" t="s">
        <v>36</v>
      </c>
      <c r="D41" s="53">
        <v>23</v>
      </c>
      <c r="E41" s="53">
        <v>21</v>
      </c>
      <c r="F41" s="55">
        <v>91.304347829999998</v>
      </c>
      <c r="G41" s="53" t="s">
        <v>89</v>
      </c>
      <c r="H41" s="56">
        <v>0</v>
      </c>
      <c r="I41" s="56">
        <v>20</v>
      </c>
      <c r="J41" s="57">
        <f t="shared" si="0"/>
        <v>10</v>
      </c>
      <c r="K41" s="56">
        <v>10</v>
      </c>
      <c r="L41" s="56">
        <v>8.5</v>
      </c>
      <c r="M41" s="56">
        <v>9.5</v>
      </c>
      <c r="N41" s="57">
        <f t="shared" si="1"/>
        <v>9.3333333333333339</v>
      </c>
      <c r="O41" s="56"/>
      <c r="P41" s="55">
        <f t="shared" si="2"/>
        <v>24.333333333333336</v>
      </c>
    </row>
    <row r="42" spans="1:16" ht="15.6" x14ac:dyDescent="0.25">
      <c r="A42" s="53">
        <v>35</v>
      </c>
      <c r="B42" s="53">
        <v>2301277</v>
      </c>
      <c r="C42" s="54" t="s">
        <v>37</v>
      </c>
      <c r="D42" s="53">
        <v>23</v>
      </c>
      <c r="E42" s="53">
        <v>20</v>
      </c>
      <c r="F42" s="55">
        <v>86.956521739999999</v>
      </c>
      <c r="G42" s="53" t="s">
        <v>84</v>
      </c>
      <c r="H42" s="56">
        <v>18</v>
      </c>
      <c r="I42" s="56">
        <v>19</v>
      </c>
      <c r="J42" s="57">
        <f t="shared" si="0"/>
        <v>18.5</v>
      </c>
      <c r="K42" s="56">
        <v>0</v>
      </c>
      <c r="L42" s="56">
        <v>0</v>
      </c>
      <c r="M42" s="56">
        <v>0</v>
      </c>
      <c r="N42" s="57">
        <f t="shared" si="1"/>
        <v>0</v>
      </c>
      <c r="O42" s="56"/>
      <c r="P42" s="55">
        <f t="shared" si="2"/>
        <v>22.5</v>
      </c>
    </row>
    <row r="43" spans="1:16" ht="15.6" x14ac:dyDescent="0.25">
      <c r="A43" s="53">
        <v>36</v>
      </c>
      <c r="B43" s="53">
        <v>2301278</v>
      </c>
      <c r="C43" s="54" t="s">
        <v>38</v>
      </c>
      <c r="D43" s="53">
        <v>23</v>
      </c>
      <c r="E43" s="53">
        <v>13</v>
      </c>
      <c r="F43" s="55">
        <v>56.52173913</v>
      </c>
      <c r="G43" s="53" t="s">
        <v>83</v>
      </c>
      <c r="H43" s="56">
        <v>17</v>
      </c>
      <c r="I43" s="56">
        <v>0</v>
      </c>
      <c r="J43" s="57">
        <f t="shared" si="0"/>
        <v>8.5</v>
      </c>
      <c r="K43" s="56">
        <v>0</v>
      </c>
      <c r="L43" s="56">
        <v>0</v>
      </c>
      <c r="M43" s="56">
        <v>0</v>
      </c>
      <c r="N43" s="57">
        <f t="shared" si="1"/>
        <v>0</v>
      </c>
      <c r="O43" s="56"/>
      <c r="P43" s="55">
        <f t="shared" si="2"/>
        <v>8.5</v>
      </c>
    </row>
    <row r="44" spans="1:16" ht="15.6" x14ac:dyDescent="0.25">
      <c r="A44" s="53">
        <v>37</v>
      </c>
      <c r="B44" s="53">
        <v>2301279</v>
      </c>
      <c r="C44" s="54" t="s">
        <v>39</v>
      </c>
      <c r="D44" s="53">
        <v>23</v>
      </c>
      <c r="E44" s="53">
        <v>15</v>
      </c>
      <c r="F44" s="55">
        <v>65.217391300000003</v>
      </c>
      <c r="G44" s="53" t="s">
        <v>83</v>
      </c>
      <c r="H44" s="56">
        <v>19</v>
      </c>
      <c r="I44" s="56">
        <v>22</v>
      </c>
      <c r="J44" s="57">
        <f t="shared" si="0"/>
        <v>20.5</v>
      </c>
      <c r="K44" s="56">
        <v>8</v>
      </c>
      <c r="L44" s="56">
        <v>8.5</v>
      </c>
      <c r="M44" s="56">
        <v>8.5</v>
      </c>
      <c r="N44" s="57">
        <f t="shared" si="1"/>
        <v>8.3333333333333339</v>
      </c>
      <c r="O44" s="56"/>
      <c r="P44" s="55">
        <f t="shared" si="2"/>
        <v>28.833333333333336</v>
      </c>
    </row>
    <row r="45" spans="1:16" ht="15.6" x14ac:dyDescent="0.25">
      <c r="A45" s="53">
        <v>38</v>
      </c>
      <c r="B45" s="53">
        <v>2339508</v>
      </c>
      <c r="C45" s="54" t="s">
        <v>40</v>
      </c>
      <c r="D45" s="53">
        <v>23</v>
      </c>
      <c r="E45" s="53">
        <v>9</v>
      </c>
      <c r="F45" s="55">
        <v>39.130434780000002</v>
      </c>
      <c r="G45" s="53" t="s">
        <v>83</v>
      </c>
      <c r="H45" s="56">
        <v>17</v>
      </c>
      <c r="I45" s="56">
        <v>14</v>
      </c>
      <c r="J45" s="57">
        <f t="shared" si="0"/>
        <v>15.5</v>
      </c>
      <c r="K45" s="56">
        <v>0</v>
      </c>
      <c r="L45" s="56">
        <v>0</v>
      </c>
      <c r="M45" s="56">
        <v>0</v>
      </c>
      <c r="N45" s="57">
        <f t="shared" si="1"/>
        <v>0</v>
      </c>
      <c r="O45" s="56"/>
      <c r="P45" s="55">
        <f t="shared" si="2"/>
        <v>15.5</v>
      </c>
    </row>
    <row r="46" spans="1:16" ht="15.6" x14ac:dyDescent="0.25">
      <c r="A46" s="53">
        <v>39</v>
      </c>
      <c r="B46" s="53">
        <v>2301280</v>
      </c>
      <c r="C46" s="54" t="s">
        <v>41</v>
      </c>
      <c r="D46" s="53">
        <v>23</v>
      </c>
      <c r="E46" s="53">
        <v>10</v>
      </c>
      <c r="F46" s="55">
        <v>43.47826087</v>
      </c>
      <c r="G46" s="53" t="s">
        <v>83</v>
      </c>
      <c r="H46" s="56">
        <v>19</v>
      </c>
      <c r="I46" s="56">
        <v>16</v>
      </c>
      <c r="J46" s="57">
        <f t="shared" si="0"/>
        <v>17.5</v>
      </c>
      <c r="K46" s="56">
        <v>8.5</v>
      </c>
      <c r="L46" s="56">
        <v>8</v>
      </c>
      <c r="M46" s="56">
        <v>8.5</v>
      </c>
      <c r="N46" s="57">
        <f t="shared" si="1"/>
        <v>8.3333333333333339</v>
      </c>
      <c r="O46" s="56"/>
      <c r="P46" s="55">
        <f t="shared" si="2"/>
        <v>25.833333333333336</v>
      </c>
    </row>
    <row r="47" spans="1:16" ht="15.6" x14ac:dyDescent="0.25">
      <c r="A47" s="53">
        <v>40</v>
      </c>
      <c r="B47" s="53">
        <v>2301281</v>
      </c>
      <c r="C47" s="54" t="s">
        <v>42</v>
      </c>
      <c r="D47" s="53">
        <v>23</v>
      </c>
      <c r="E47" s="53">
        <v>13</v>
      </c>
      <c r="F47" s="55">
        <v>56.52173913</v>
      </c>
      <c r="G47" s="53" t="s">
        <v>83</v>
      </c>
      <c r="H47" s="56">
        <v>0</v>
      </c>
      <c r="I47" s="56">
        <v>12</v>
      </c>
      <c r="J47" s="57">
        <f t="shared" si="0"/>
        <v>6</v>
      </c>
      <c r="K47" s="56">
        <v>8.5</v>
      </c>
      <c r="L47" s="56">
        <v>8</v>
      </c>
      <c r="M47" s="56">
        <v>7.5</v>
      </c>
      <c r="N47" s="57">
        <f t="shared" si="1"/>
        <v>8</v>
      </c>
      <c r="O47" s="56"/>
      <c r="P47" s="55">
        <f t="shared" si="2"/>
        <v>14</v>
      </c>
    </row>
    <row r="48" spans="1:16" ht="15.6" x14ac:dyDescent="0.25">
      <c r="A48" s="53">
        <v>41</v>
      </c>
      <c r="B48" s="53">
        <v>2339509</v>
      </c>
      <c r="C48" s="54" t="s">
        <v>43</v>
      </c>
      <c r="D48" s="53">
        <v>23</v>
      </c>
      <c r="E48" s="53">
        <v>7</v>
      </c>
      <c r="F48" s="55">
        <v>30.434782609999999</v>
      </c>
      <c r="G48" s="53" t="s">
        <v>83</v>
      </c>
      <c r="H48" s="56">
        <v>0</v>
      </c>
      <c r="I48" s="56">
        <v>0</v>
      </c>
      <c r="J48" s="57">
        <f t="shared" si="0"/>
        <v>0</v>
      </c>
      <c r="K48" s="56">
        <v>0</v>
      </c>
      <c r="L48" s="56">
        <v>0</v>
      </c>
      <c r="M48" s="56">
        <v>0</v>
      </c>
      <c r="N48" s="57">
        <f t="shared" si="1"/>
        <v>0</v>
      </c>
      <c r="O48" s="56"/>
      <c r="P48" s="55">
        <f t="shared" si="2"/>
        <v>0</v>
      </c>
    </row>
    <row r="49" spans="1:16" ht="15.6" x14ac:dyDescent="0.25">
      <c r="A49" s="53">
        <v>42</v>
      </c>
      <c r="B49" s="53">
        <v>2301283</v>
      </c>
      <c r="C49" s="54" t="s">
        <v>44</v>
      </c>
      <c r="D49" s="53">
        <v>23</v>
      </c>
      <c r="E49" s="53">
        <v>12</v>
      </c>
      <c r="F49" s="55">
        <v>52.173913040000002</v>
      </c>
      <c r="G49" s="53" t="s">
        <v>83</v>
      </c>
      <c r="H49" s="56">
        <v>18</v>
      </c>
      <c r="I49" s="56">
        <v>15</v>
      </c>
      <c r="J49" s="57">
        <f t="shared" si="0"/>
        <v>16.5</v>
      </c>
      <c r="K49" s="56">
        <v>0</v>
      </c>
      <c r="L49" s="56">
        <v>0</v>
      </c>
      <c r="M49" s="56">
        <v>0</v>
      </c>
      <c r="N49" s="57">
        <f t="shared" si="1"/>
        <v>0</v>
      </c>
      <c r="O49" s="56"/>
      <c r="P49" s="55">
        <f t="shared" si="2"/>
        <v>16.5</v>
      </c>
    </row>
    <row r="50" spans="1:16" ht="15.6" x14ac:dyDescent="0.25">
      <c r="A50" s="53">
        <v>43</v>
      </c>
      <c r="B50" s="53">
        <v>2301285</v>
      </c>
      <c r="C50" s="54" t="s">
        <v>45</v>
      </c>
      <c r="D50" s="53">
        <v>23</v>
      </c>
      <c r="E50" s="53">
        <v>15</v>
      </c>
      <c r="F50" s="55">
        <v>65.217391300000003</v>
      </c>
      <c r="G50" s="53" t="s">
        <v>83</v>
      </c>
      <c r="H50" s="56">
        <v>18</v>
      </c>
      <c r="I50" s="56">
        <v>0</v>
      </c>
      <c r="J50" s="57">
        <f t="shared" si="0"/>
        <v>9</v>
      </c>
      <c r="K50" s="56">
        <v>9</v>
      </c>
      <c r="L50" s="56">
        <v>8</v>
      </c>
      <c r="M50" s="56">
        <v>8.5</v>
      </c>
      <c r="N50" s="57">
        <f t="shared" si="1"/>
        <v>8.5</v>
      </c>
      <c r="O50" s="56"/>
      <c r="P50" s="55">
        <f t="shared" si="2"/>
        <v>17.5</v>
      </c>
    </row>
    <row r="51" spans="1:16" ht="15.6" x14ac:dyDescent="0.25">
      <c r="A51" s="53">
        <v>44</v>
      </c>
      <c r="B51" s="53">
        <v>2301286</v>
      </c>
      <c r="C51" s="54" t="s">
        <v>46</v>
      </c>
      <c r="D51" s="53">
        <v>23</v>
      </c>
      <c r="E51" s="53">
        <v>10</v>
      </c>
      <c r="F51" s="55">
        <v>43.47826087</v>
      </c>
      <c r="G51" s="53" t="s">
        <v>83</v>
      </c>
      <c r="H51" s="56">
        <v>0</v>
      </c>
      <c r="I51" s="56">
        <v>0</v>
      </c>
      <c r="J51" s="57">
        <f t="shared" si="0"/>
        <v>0</v>
      </c>
      <c r="K51" s="56">
        <v>0</v>
      </c>
      <c r="L51" s="56">
        <v>0</v>
      </c>
      <c r="M51" s="56">
        <v>0</v>
      </c>
      <c r="N51" s="57">
        <f t="shared" si="1"/>
        <v>0</v>
      </c>
      <c r="O51" s="56"/>
      <c r="P51" s="55">
        <f t="shared" si="2"/>
        <v>0</v>
      </c>
    </row>
    <row r="52" spans="1:16" ht="15.6" x14ac:dyDescent="0.25">
      <c r="A52" s="53">
        <v>45</v>
      </c>
      <c r="B52" s="53">
        <v>2425599</v>
      </c>
      <c r="C52" s="54" t="s">
        <v>47</v>
      </c>
      <c r="D52" s="53">
        <v>23</v>
      </c>
      <c r="E52" s="53">
        <v>14</v>
      </c>
      <c r="F52" s="55">
        <v>60.869565219999998</v>
      </c>
      <c r="G52" s="53" t="s">
        <v>83</v>
      </c>
      <c r="H52" s="56">
        <v>16</v>
      </c>
      <c r="I52" s="56">
        <v>19</v>
      </c>
      <c r="J52" s="57">
        <f t="shared" si="0"/>
        <v>17.5</v>
      </c>
      <c r="K52" s="56">
        <v>8</v>
      </c>
      <c r="L52" s="56">
        <v>9</v>
      </c>
      <c r="M52" s="56">
        <v>9</v>
      </c>
      <c r="N52" s="57">
        <f t="shared" si="1"/>
        <v>8.6666666666666661</v>
      </c>
      <c r="O52" s="56"/>
      <c r="P52" s="55">
        <f t="shared" si="2"/>
        <v>26.166666666666664</v>
      </c>
    </row>
    <row r="53" spans="1:16" ht="15.6" x14ac:dyDescent="0.25">
      <c r="A53" s="53">
        <v>46</v>
      </c>
      <c r="B53" s="53">
        <v>2425600</v>
      </c>
      <c r="C53" s="54" t="s">
        <v>48</v>
      </c>
      <c r="D53" s="53">
        <v>23</v>
      </c>
      <c r="E53" s="53">
        <v>15</v>
      </c>
      <c r="F53" s="55">
        <v>65.217391300000003</v>
      </c>
      <c r="G53" s="53" t="s">
        <v>83</v>
      </c>
      <c r="H53" s="56">
        <v>23</v>
      </c>
      <c r="I53" s="56">
        <v>17</v>
      </c>
      <c r="J53" s="57">
        <f t="shared" si="0"/>
        <v>20</v>
      </c>
      <c r="K53" s="56">
        <v>9</v>
      </c>
      <c r="L53" s="56">
        <v>8.5</v>
      </c>
      <c r="M53" s="56">
        <v>8.5</v>
      </c>
      <c r="N53" s="57">
        <f t="shared" si="1"/>
        <v>8.6666666666666661</v>
      </c>
      <c r="O53" s="56"/>
      <c r="P53" s="55">
        <f t="shared" si="2"/>
        <v>28.666666666666664</v>
      </c>
    </row>
    <row r="54" spans="1:16" ht="15.6" x14ac:dyDescent="0.25">
      <c r="A54" s="53">
        <v>47</v>
      </c>
      <c r="B54" s="53">
        <v>2425601</v>
      </c>
      <c r="C54" s="54" t="s">
        <v>49</v>
      </c>
      <c r="D54" s="53">
        <v>23</v>
      </c>
      <c r="E54" s="53">
        <v>12</v>
      </c>
      <c r="F54" s="55">
        <v>52.173913040000002</v>
      </c>
      <c r="G54" s="53" t="s">
        <v>83</v>
      </c>
      <c r="H54" s="56">
        <v>22</v>
      </c>
      <c r="I54" s="56">
        <v>19</v>
      </c>
      <c r="J54" s="57">
        <f t="shared" si="0"/>
        <v>20.5</v>
      </c>
      <c r="K54" s="56">
        <v>8</v>
      </c>
      <c r="L54" s="56">
        <v>8.5</v>
      </c>
      <c r="M54" s="56">
        <v>9.5</v>
      </c>
      <c r="N54" s="57">
        <f t="shared" si="1"/>
        <v>8.6666666666666661</v>
      </c>
      <c r="O54" s="56"/>
      <c r="P54" s="55">
        <f t="shared" si="2"/>
        <v>29.166666666666664</v>
      </c>
    </row>
    <row r="55" spans="1:16" ht="15.6" x14ac:dyDescent="0.25">
      <c r="A55" s="53">
        <v>48</v>
      </c>
      <c r="B55" s="53">
        <v>2425603</v>
      </c>
      <c r="C55" s="54" t="s">
        <v>50</v>
      </c>
      <c r="D55" s="53">
        <v>23</v>
      </c>
      <c r="E55" s="53">
        <v>14</v>
      </c>
      <c r="F55" s="55">
        <v>60.869565219999998</v>
      </c>
      <c r="G55" s="53" t="s">
        <v>83</v>
      </c>
      <c r="H55" s="56">
        <v>18</v>
      </c>
      <c r="I55" s="56">
        <v>19</v>
      </c>
      <c r="J55" s="57">
        <f t="shared" si="0"/>
        <v>18.5</v>
      </c>
      <c r="K55" s="56">
        <v>8</v>
      </c>
      <c r="L55" s="56">
        <v>8.5</v>
      </c>
      <c r="M55" s="56">
        <v>8.5</v>
      </c>
      <c r="N55" s="57">
        <f t="shared" si="1"/>
        <v>8.3333333333333339</v>
      </c>
      <c r="O55" s="56"/>
      <c r="P55" s="55">
        <f t="shared" si="2"/>
        <v>26.833333333333336</v>
      </c>
    </row>
    <row r="56" spans="1:16" ht="15.6" x14ac:dyDescent="0.25">
      <c r="A56" s="53">
        <v>49</v>
      </c>
      <c r="B56" s="53">
        <v>2425604</v>
      </c>
      <c r="C56" s="54" t="s">
        <v>51</v>
      </c>
      <c r="D56" s="53">
        <v>23</v>
      </c>
      <c r="E56" s="53">
        <v>15</v>
      </c>
      <c r="F56" s="55">
        <v>65.217391300000003</v>
      </c>
      <c r="G56" s="53" t="s">
        <v>83</v>
      </c>
      <c r="H56" s="56">
        <v>7</v>
      </c>
      <c r="I56" s="56">
        <v>14</v>
      </c>
      <c r="J56" s="57">
        <f t="shared" si="0"/>
        <v>10.5</v>
      </c>
      <c r="K56" s="56">
        <v>8</v>
      </c>
      <c r="L56" s="56">
        <v>8.5</v>
      </c>
      <c r="M56" s="56">
        <v>9.5</v>
      </c>
      <c r="N56" s="57">
        <f t="shared" si="1"/>
        <v>8.6666666666666661</v>
      </c>
      <c r="O56" s="56"/>
      <c r="P56" s="55">
        <f t="shared" si="2"/>
        <v>19.166666666666664</v>
      </c>
    </row>
  </sheetData>
  <mergeCells count="21">
    <mergeCell ref="A1:P1"/>
    <mergeCell ref="A2:P2"/>
    <mergeCell ref="A3:P3"/>
    <mergeCell ref="A4:I4"/>
    <mergeCell ref="J4:P4"/>
    <mergeCell ref="A5:I5"/>
    <mergeCell ref="J5:P5"/>
    <mergeCell ref="H6:H7"/>
    <mergeCell ref="I6:I7"/>
    <mergeCell ref="J6:J7"/>
    <mergeCell ref="K6:M6"/>
    <mergeCell ref="N6:N7"/>
    <mergeCell ref="O6:O7"/>
    <mergeCell ref="P6:P7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EC17-D700-4686-82A6-F016B46344F5}">
  <dimension ref="A1:L57"/>
  <sheetViews>
    <sheetView workbookViewId="0">
      <selection activeCell="G8" sqref="G8"/>
    </sheetView>
  </sheetViews>
  <sheetFormatPr defaultRowHeight="13.2" x14ac:dyDescent="0.25"/>
  <sheetData>
    <row r="1" spans="1:12" ht="22.8" x14ac:dyDescent="0.4">
      <c r="A1" s="26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2.8" x14ac:dyDescent="0.4">
      <c r="A2" s="26" t="s">
        <v>73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spans="1:12" ht="20.399999999999999" x14ac:dyDescent="0.35">
      <c r="A3" s="27" t="s">
        <v>74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 spans="1:12" ht="17.399999999999999" x14ac:dyDescent="0.3">
      <c r="A4" s="5" t="s">
        <v>75</v>
      </c>
      <c r="B4" s="2"/>
      <c r="C4" s="2"/>
      <c r="D4" s="2"/>
      <c r="E4" s="2"/>
      <c r="F4" s="2"/>
      <c r="G4" s="3"/>
      <c r="H4" s="5" t="s">
        <v>76</v>
      </c>
      <c r="I4" s="2"/>
      <c r="J4" s="2"/>
      <c r="K4" s="2"/>
      <c r="L4" s="3"/>
    </row>
    <row r="5" spans="1:12" ht="17.399999999999999" x14ac:dyDescent="0.3">
      <c r="A5" s="5" t="s">
        <v>99</v>
      </c>
      <c r="B5" s="2"/>
      <c r="C5" s="2"/>
      <c r="D5" s="2"/>
      <c r="E5" s="2"/>
      <c r="F5" s="2"/>
      <c r="G5" s="3"/>
      <c r="H5" s="5" t="s">
        <v>78</v>
      </c>
      <c r="I5" s="2"/>
      <c r="J5" s="2"/>
      <c r="K5" s="2"/>
      <c r="L5" s="3"/>
    </row>
    <row r="6" spans="1:12" x14ac:dyDescent="0.25">
      <c r="A6" s="7" t="s">
        <v>0</v>
      </c>
      <c r="B6" s="7" t="s">
        <v>1</v>
      </c>
      <c r="C6" s="7" t="s">
        <v>2</v>
      </c>
      <c r="D6" s="7" t="s">
        <v>62</v>
      </c>
      <c r="E6" s="7" t="s">
        <v>61</v>
      </c>
      <c r="F6" s="7" t="s">
        <v>63</v>
      </c>
      <c r="G6" s="7" t="s">
        <v>64</v>
      </c>
      <c r="H6" s="7" t="s">
        <v>79</v>
      </c>
      <c r="I6" s="7" t="s">
        <v>80</v>
      </c>
      <c r="J6" s="8" t="s">
        <v>81</v>
      </c>
      <c r="K6" s="7" t="s">
        <v>70</v>
      </c>
      <c r="L6" s="7" t="s">
        <v>82</v>
      </c>
    </row>
    <row r="7" spans="1:12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5.6" x14ac:dyDescent="0.3">
      <c r="A8" s="11">
        <v>1</v>
      </c>
      <c r="B8" s="11">
        <v>2301236</v>
      </c>
      <c r="C8" s="12" t="s">
        <v>3</v>
      </c>
      <c r="D8" s="13">
        <v>9</v>
      </c>
      <c r="E8" s="28">
        <v>24</v>
      </c>
      <c r="F8" s="13">
        <v>37.5</v>
      </c>
      <c r="G8" s="11">
        <v>0</v>
      </c>
      <c r="H8" s="29">
        <v>4</v>
      </c>
      <c r="I8" s="29">
        <v>4</v>
      </c>
      <c r="J8" s="30">
        <v>3</v>
      </c>
      <c r="K8" s="16">
        <v>2</v>
      </c>
      <c r="L8" s="13">
        <v>13</v>
      </c>
    </row>
    <row r="9" spans="1:12" ht="15.6" x14ac:dyDescent="0.3">
      <c r="A9" s="11">
        <v>2</v>
      </c>
      <c r="B9" s="11">
        <v>2301237</v>
      </c>
      <c r="C9" s="12" t="s">
        <v>4</v>
      </c>
      <c r="D9" s="13">
        <v>21</v>
      </c>
      <c r="E9" s="28">
        <v>24</v>
      </c>
      <c r="F9" s="13">
        <v>87.5</v>
      </c>
      <c r="G9" s="11" t="s">
        <v>84</v>
      </c>
      <c r="H9" s="29">
        <v>6</v>
      </c>
      <c r="I9" s="29">
        <v>5</v>
      </c>
      <c r="J9" s="31">
        <v>8</v>
      </c>
      <c r="K9" s="16">
        <v>2</v>
      </c>
      <c r="L9" s="13">
        <v>25</v>
      </c>
    </row>
    <row r="10" spans="1:12" ht="15.6" x14ac:dyDescent="0.3">
      <c r="A10" s="11">
        <v>3</v>
      </c>
      <c r="B10" s="11">
        <v>2301238</v>
      </c>
      <c r="C10" s="12" t="s">
        <v>5</v>
      </c>
      <c r="D10" s="13">
        <v>20</v>
      </c>
      <c r="E10" s="28">
        <v>24</v>
      </c>
      <c r="F10" s="13">
        <v>83.333333330000002</v>
      </c>
      <c r="G10" s="11" t="s">
        <v>90</v>
      </c>
      <c r="H10" s="29">
        <v>6</v>
      </c>
      <c r="I10" s="29">
        <v>5</v>
      </c>
      <c r="J10" s="31">
        <v>7</v>
      </c>
      <c r="K10" s="16">
        <v>2</v>
      </c>
      <c r="L10" s="13">
        <v>23</v>
      </c>
    </row>
    <row r="11" spans="1:12" ht="15.6" x14ac:dyDescent="0.3">
      <c r="A11" s="11">
        <v>4</v>
      </c>
      <c r="B11" s="11">
        <v>2301240</v>
      </c>
      <c r="C11" s="12" t="s">
        <v>6</v>
      </c>
      <c r="D11" s="13">
        <v>18</v>
      </c>
      <c r="E11" s="28">
        <v>24</v>
      </c>
      <c r="F11" s="13">
        <v>75</v>
      </c>
      <c r="G11" s="11" t="s">
        <v>83</v>
      </c>
      <c r="H11" s="29">
        <v>7</v>
      </c>
      <c r="I11" s="29">
        <v>6</v>
      </c>
      <c r="J11" s="31">
        <v>8</v>
      </c>
      <c r="K11" s="16">
        <v>2</v>
      </c>
      <c r="L11" s="13">
        <v>23</v>
      </c>
    </row>
    <row r="12" spans="1:12" ht="15.6" x14ac:dyDescent="0.3">
      <c r="A12" s="11">
        <v>5</v>
      </c>
      <c r="B12" s="11">
        <v>2301241</v>
      </c>
      <c r="C12" s="12" t="s">
        <v>7</v>
      </c>
      <c r="D12" s="13">
        <v>18</v>
      </c>
      <c r="E12" s="28">
        <v>24</v>
      </c>
      <c r="F12" s="13">
        <v>75</v>
      </c>
      <c r="G12" s="11" t="s">
        <v>83</v>
      </c>
      <c r="H12" s="29">
        <v>7</v>
      </c>
      <c r="I12" s="29">
        <v>7</v>
      </c>
      <c r="J12" s="31">
        <v>9</v>
      </c>
      <c r="K12" s="16">
        <v>2</v>
      </c>
      <c r="L12" s="13">
        <v>25</v>
      </c>
    </row>
    <row r="13" spans="1:12" ht="15.6" x14ac:dyDescent="0.3">
      <c r="A13" s="11">
        <v>6</v>
      </c>
      <c r="B13" s="11">
        <v>2301242</v>
      </c>
      <c r="C13" s="12" t="s">
        <v>8</v>
      </c>
      <c r="D13" s="13">
        <v>20</v>
      </c>
      <c r="E13" s="28">
        <v>24</v>
      </c>
      <c r="F13" s="13">
        <v>83.333333330000002</v>
      </c>
      <c r="G13" s="11" t="s">
        <v>90</v>
      </c>
      <c r="H13" s="29">
        <v>6</v>
      </c>
      <c r="I13" s="29">
        <v>5</v>
      </c>
      <c r="J13" s="31">
        <v>7</v>
      </c>
      <c r="K13" s="16">
        <v>2</v>
      </c>
      <c r="L13" s="13">
        <v>23</v>
      </c>
    </row>
    <row r="14" spans="1:12" ht="15.6" x14ac:dyDescent="0.3">
      <c r="A14" s="11">
        <v>7</v>
      </c>
      <c r="B14" s="11">
        <v>2301243</v>
      </c>
      <c r="C14" s="12" t="s">
        <v>9</v>
      </c>
      <c r="D14" s="13">
        <v>21</v>
      </c>
      <c r="E14" s="28">
        <v>24</v>
      </c>
      <c r="F14" s="13">
        <v>87.5</v>
      </c>
      <c r="G14" s="11" t="s">
        <v>84</v>
      </c>
      <c r="H14" s="29">
        <v>4</v>
      </c>
      <c r="I14" s="29">
        <v>4</v>
      </c>
      <c r="J14" s="31">
        <v>7</v>
      </c>
      <c r="K14" s="16">
        <v>2</v>
      </c>
      <c r="L14" s="13">
        <v>21</v>
      </c>
    </row>
    <row r="15" spans="1:12" ht="15.6" x14ac:dyDescent="0.3">
      <c r="A15" s="11">
        <v>8</v>
      </c>
      <c r="B15" s="11">
        <v>2301245</v>
      </c>
      <c r="C15" s="12" t="s">
        <v>10</v>
      </c>
      <c r="D15" s="13">
        <v>24</v>
      </c>
      <c r="E15" s="28">
        <v>24</v>
      </c>
      <c r="F15" s="13">
        <v>100</v>
      </c>
      <c r="G15" s="11" t="s">
        <v>86</v>
      </c>
      <c r="H15" s="29">
        <v>6</v>
      </c>
      <c r="I15" s="29">
        <v>5</v>
      </c>
      <c r="J15" s="31">
        <v>8</v>
      </c>
      <c r="K15" s="16">
        <v>2</v>
      </c>
      <c r="L15" s="13">
        <v>27</v>
      </c>
    </row>
    <row r="16" spans="1:12" ht="15.6" x14ac:dyDescent="0.3">
      <c r="A16" s="11">
        <v>9</v>
      </c>
      <c r="B16" s="11">
        <v>2301247</v>
      </c>
      <c r="C16" s="12" t="s">
        <v>11</v>
      </c>
      <c r="D16" s="13">
        <v>4</v>
      </c>
      <c r="E16" s="28">
        <v>24</v>
      </c>
      <c r="F16" s="13">
        <v>16.666666670000001</v>
      </c>
      <c r="G16" s="11" t="s">
        <v>83</v>
      </c>
      <c r="H16" s="29">
        <v>4</v>
      </c>
      <c r="I16" s="29">
        <v>3</v>
      </c>
      <c r="J16" s="31">
        <v>3</v>
      </c>
      <c r="K16" s="16">
        <v>2</v>
      </c>
      <c r="L16" s="13">
        <v>12</v>
      </c>
    </row>
    <row r="17" spans="1:12" ht="15.6" x14ac:dyDescent="0.3">
      <c r="A17" s="11">
        <v>10</v>
      </c>
      <c r="B17" s="11">
        <v>2301249</v>
      </c>
      <c r="C17" s="12" t="s">
        <v>12</v>
      </c>
      <c r="D17" s="13">
        <v>14</v>
      </c>
      <c r="E17" s="28">
        <v>24</v>
      </c>
      <c r="F17" s="13">
        <v>58.333333330000002</v>
      </c>
      <c r="G17" s="11" t="s">
        <v>83</v>
      </c>
      <c r="H17" s="29">
        <v>6</v>
      </c>
      <c r="I17" s="29">
        <v>6</v>
      </c>
      <c r="J17" s="31">
        <v>7</v>
      </c>
      <c r="K17" s="16">
        <v>2</v>
      </c>
      <c r="L17" s="13">
        <v>21</v>
      </c>
    </row>
    <row r="18" spans="1:12" ht="15.6" x14ac:dyDescent="0.3">
      <c r="A18" s="11">
        <v>11</v>
      </c>
      <c r="B18" s="11">
        <v>2301250</v>
      </c>
      <c r="C18" s="12" t="s">
        <v>13</v>
      </c>
      <c r="D18" s="13">
        <v>22</v>
      </c>
      <c r="E18" s="28">
        <v>24</v>
      </c>
      <c r="F18" s="13">
        <v>91.666666669999998</v>
      </c>
      <c r="G18" s="11" t="s">
        <v>89</v>
      </c>
      <c r="H18" s="29">
        <v>5</v>
      </c>
      <c r="I18" s="29">
        <v>5</v>
      </c>
      <c r="J18" s="31">
        <v>7</v>
      </c>
      <c r="K18" s="16">
        <v>2</v>
      </c>
      <c r="L18" s="13">
        <v>24</v>
      </c>
    </row>
    <row r="19" spans="1:12" ht="15.6" x14ac:dyDescent="0.3">
      <c r="A19" s="11">
        <v>12</v>
      </c>
      <c r="B19" s="11">
        <v>2301251</v>
      </c>
      <c r="C19" s="12" t="s">
        <v>14</v>
      </c>
      <c r="D19" s="13">
        <v>20</v>
      </c>
      <c r="E19" s="28">
        <v>24</v>
      </c>
      <c r="F19" s="13">
        <v>83.333333330000002</v>
      </c>
      <c r="G19" s="11" t="s">
        <v>90</v>
      </c>
      <c r="H19" s="29">
        <v>3</v>
      </c>
      <c r="I19" s="29">
        <v>3</v>
      </c>
      <c r="J19" s="31">
        <v>4</v>
      </c>
      <c r="K19" s="16">
        <v>2</v>
      </c>
      <c r="L19" s="13">
        <v>15</v>
      </c>
    </row>
    <row r="20" spans="1:12" ht="15.6" x14ac:dyDescent="0.3">
      <c r="A20" s="11">
        <v>13</v>
      </c>
      <c r="B20" s="11">
        <v>2301252</v>
      </c>
      <c r="C20" s="12" t="s">
        <v>15</v>
      </c>
      <c r="D20" s="13">
        <v>14</v>
      </c>
      <c r="E20" s="28">
        <v>24</v>
      </c>
      <c r="F20" s="13">
        <v>58.333333330000002</v>
      </c>
      <c r="G20" s="11" t="s">
        <v>83</v>
      </c>
      <c r="H20" s="29">
        <v>6</v>
      </c>
      <c r="I20" s="29">
        <v>5</v>
      </c>
      <c r="J20" s="31">
        <v>8</v>
      </c>
      <c r="K20" s="16">
        <v>2</v>
      </c>
      <c r="L20" s="13">
        <v>21</v>
      </c>
    </row>
    <row r="21" spans="1:12" ht="15.6" x14ac:dyDescent="0.3">
      <c r="A21" s="11">
        <v>14</v>
      </c>
      <c r="B21" s="11">
        <v>2301253</v>
      </c>
      <c r="C21" s="12" t="s">
        <v>16</v>
      </c>
      <c r="D21" s="13">
        <v>20</v>
      </c>
      <c r="E21" s="28">
        <v>24</v>
      </c>
      <c r="F21" s="13">
        <v>83.333333330000002</v>
      </c>
      <c r="G21" s="11" t="s">
        <v>90</v>
      </c>
      <c r="H21" s="29">
        <v>7</v>
      </c>
      <c r="I21" s="29">
        <v>6</v>
      </c>
      <c r="J21" s="31">
        <v>8</v>
      </c>
      <c r="K21" s="16">
        <v>2</v>
      </c>
      <c r="L21" s="32">
        <v>26</v>
      </c>
    </row>
    <row r="22" spans="1:12" ht="15.6" x14ac:dyDescent="0.3">
      <c r="A22" s="11">
        <v>15</v>
      </c>
      <c r="B22" s="11">
        <v>2301255</v>
      </c>
      <c r="C22" s="12" t="s">
        <v>17</v>
      </c>
      <c r="D22" s="13">
        <v>14</v>
      </c>
      <c r="E22" s="28">
        <v>24</v>
      </c>
      <c r="F22" s="13">
        <v>58.333333330000002</v>
      </c>
      <c r="G22" s="11" t="s">
        <v>83</v>
      </c>
      <c r="H22" s="29">
        <v>7</v>
      </c>
      <c r="I22" s="29">
        <v>7</v>
      </c>
      <c r="J22" s="31">
        <v>8</v>
      </c>
      <c r="K22" s="16">
        <v>2</v>
      </c>
      <c r="L22" s="32">
        <v>24</v>
      </c>
    </row>
    <row r="23" spans="1:12" ht="15.6" x14ac:dyDescent="0.3">
      <c r="A23" s="11">
        <v>16</v>
      </c>
      <c r="B23" s="11">
        <v>2301256</v>
      </c>
      <c r="C23" s="12" t="s">
        <v>18</v>
      </c>
      <c r="D23" s="13">
        <v>22</v>
      </c>
      <c r="E23" s="28">
        <v>24</v>
      </c>
      <c r="F23" s="13">
        <v>91.666666669999998</v>
      </c>
      <c r="G23" s="11" t="s">
        <v>89</v>
      </c>
      <c r="H23" s="29">
        <v>5</v>
      </c>
      <c r="I23" s="29">
        <v>4</v>
      </c>
      <c r="J23" s="31">
        <v>7</v>
      </c>
      <c r="K23" s="16">
        <v>2</v>
      </c>
      <c r="L23" s="13">
        <v>23</v>
      </c>
    </row>
    <row r="24" spans="1:12" ht="15.6" x14ac:dyDescent="0.3">
      <c r="A24" s="11">
        <v>17</v>
      </c>
      <c r="B24" s="11">
        <v>2301257</v>
      </c>
      <c r="C24" s="12" t="s">
        <v>19</v>
      </c>
      <c r="D24" s="13">
        <v>14</v>
      </c>
      <c r="E24" s="28">
        <v>24</v>
      </c>
      <c r="F24" s="13">
        <v>58.333333330000002</v>
      </c>
      <c r="G24" s="11" t="s">
        <v>83</v>
      </c>
      <c r="H24" s="29">
        <v>7</v>
      </c>
      <c r="I24" s="29">
        <v>6</v>
      </c>
      <c r="J24" s="31">
        <v>6</v>
      </c>
      <c r="K24" s="16">
        <v>2</v>
      </c>
      <c r="L24" s="13">
        <v>21</v>
      </c>
    </row>
    <row r="25" spans="1:12" ht="15.6" x14ac:dyDescent="0.3">
      <c r="A25" s="11">
        <v>18</v>
      </c>
      <c r="B25" s="11">
        <v>2301258</v>
      </c>
      <c r="C25" s="12" t="s">
        <v>20</v>
      </c>
      <c r="D25" s="13">
        <v>2</v>
      </c>
      <c r="E25" s="28">
        <v>24</v>
      </c>
      <c r="F25" s="13">
        <v>8.3333333330000006</v>
      </c>
      <c r="G25" s="11" t="s">
        <v>83</v>
      </c>
      <c r="H25" s="29">
        <v>4</v>
      </c>
      <c r="I25" s="29">
        <v>3</v>
      </c>
      <c r="J25" s="31">
        <v>3</v>
      </c>
      <c r="K25" s="16">
        <v>2</v>
      </c>
      <c r="L25" s="13">
        <v>12</v>
      </c>
    </row>
    <row r="26" spans="1:12" ht="15.6" x14ac:dyDescent="0.3">
      <c r="A26" s="11">
        <v>19</v>
      </c>
      <c r="B26" s="11">
        <v>2301259</v>
      </c>
      <c r="C26" s="12" t="s">
        <v>21</v>
      </c>
      <c r="D26" s="13">
        <v>16</v>
      </c>
      <c r="E26" s="28">
        <v>24</v>
      </c>
      <c r="F26" s="13">
        <v>66.666666669999998</v>
      </c>
      <c r="G26" s="11" t="s">
        <v>83</v>
      </c>
      <c r="H26" s="29">
        <v>7</v>
      </c>
      <c r="I26" s="29">
        <v>6</v>
      </c>
      <c r="J26" s="31">
        <v>7</v>
      </c>
      <c r="K26" s="16">
        <v>2</v>
      </c>
      <c r="L26" s="13">
        <v>22</v>
      </c>
    </row>
    <row r="27" spans="1:12" ht="15.6" x14ac:dyDescent="0.3">
      <c r="A27" s="11">
        <v>20</v>
      </c>
      <c r="B27" s="11">
        <v>2301260</v>
      </c>
      <c r="C27" s="12" t="s">
        <v>22</v>
      </c>
      <c r="D27" s="13">
        <v>18</v>
      </c>
      <c r="E27" s="28">
        <v>24</v>
      </c>
      <c r="F27" s="13">
        <v>75</v>
      </c>
      <c r="G27" s="11" t="s">
        <v>83</v>
      </c>
      <c r="H27" s="29">
        <v>7</v>
      </c>
      <c r="I27" s="29">
        <v>5</v>
      </c>
      <c r="J27" s="31">
        <v>8</v>
      </c>
      <c r="K27" s="16">
        <v>2</v>
      </c>
      <c r="L27" s="13">
        <v>22</v>
      </c>
    </row>
    <row r="28" spans="1:12" ht="15.6" x14ac:dyDescent="0.3">
      <c r="A28" s="11">
        <v>21</v>
      </c>
      <c r="B28" s="11">
        <v>2301261</v>
      </c>
      <c r="C28" s="12" t="s">
        <v>23</v>
      </c>
      <c r="D28" s="13">
        <v>16</v>
      </c>
      <c r="E28" s="28">
        <v>24</v>
      </c>
      <c r="F28" s="13">
        <v>66.666666669999998</v>
      </c>
      <c r="G28" s="11" t="s">
        <v>83</v>
      </c>
      <c r="H28" s="29">
        <v>5</v>
      </c>
      <c r="I28" s="29">
        <v>7</v>
      </c>
      <c r="J28" s="31">
        <v>7</v>
      </c>
      <c r="K28" s="16">
        <v>2</v>
      </c>
      <c r="L28" s="13">
        <v>21</v>
      </c>
    </row>
    <row r="29" spans="1:12" ht="15.6" x14ac:dyDescent="0.3">
      <c r="A29" s="11">
        <v>22</v>
      </c>
      <c r="B29" s="11">
        <v>2301262</v>
      </c>
      <c r="C29" s="12" t="s">
        <v>24</v>
      </c>
      <c r="D29" s="13">
        <v>21</v>
      </c>
      <c r="E29" s="28">
        <v>24</v>
      </c>
      <c r="F29" s="13">
        <v>87.5</v>
      </c>
      <c r="G29" s="11" t="s">
        <v>84</v>
      </c>
      <c r="H29" s="29">
        <v>6</v>
      </c>
      <c r="I29" s="29">
        <v>5</v>
      </c>
      <c r="J29" s="31">
        <v>8</v>
      </c>
      <c r="K29" s="16">
        <v>2</v>
      </c>
      <c r="L29" s="13">
        <v>25</v>
      </c>
    </row>
    <row r="30" spans="1:12" ht="15.6" x14ac:dyDescent="0.3">
      <c r="A30" s="11">
        <v>23</v>
      </c>
      <c r="B30" s="11">
        <v>2301263</v>
      </c>
      <c r="C30" s="12" t="s">
        <v>25</v>
      </c>
      <c r="D30" s="13">
        <v>24</v>
      </c>
      <c r="E30" s="28">
        <v>24</v>
      </c>
      <c r="F30" s="13">
        <v>100</v>
      </c>
      <c r="G30" s="11" t="s">
        <v>86</v>
      </c>
      <c r="H30" s="29">
        <v>6</v>
      </c>
      <c r="I30" s="29">
        <v>6</v>
      </c>
      <c r="J30" s="31">
        <v>7</v>
      </c>
      <c r="K30" s="16">
        <v>2</v>
      </c>
      <c r="L30" s="13">
        <v>27</v>
      </c>
    </row>
    <row r="31" spans="1:12" ht="15.6" x14ac:dyDescent="0.3">
      <c r="A31" s="11">
        <v>24</v>
      </c>
      <c r="B31" s="11">
        <v>2301264</v>
      </c>
      <c r="C31" s="12" t="s">
        <v>26</v>
      </c>
      <c r="D31" s="13">
        <v>13</v>
      </c>
      <c r="E31" s="28">
        <v>24</v>
      </c>
      <c r="F31" s="13">
        <v>54.166666669999998</v>
      </c>
      <c r="G31" s="11" t="s">
        <v>83</v>
      </c>
      <c r="H31" s="29">
        <v>3</v>
      </c>
      <c r="I31" s="29">
        <v>3</v>
      </c>
      <c r="J31" s="31">
        <v>4</v>
      </c>
      <c r="K31" s="16">
        <v>2</v>
      </c>
      <c r="L31" s="13">
        <v>12</v>
      </c>
    </row>
    <row r="32" spans="1:12" ht="15.6" x14ac:dyDescent="0.3">
      <c r="A32" s="11">
        <v>25</v>
      </c>
      <c r="B32" s="11">
        <v>2301265</v>
      </c>
      <c r="C32" s="12" t="s">
        <v>27</v>
      </c>
      <c r="D32" s="13">
        <v>15</v>
      </c>
      <c r="E32" s="28">
        <v>24</v>
      </c>
      <c r="F32" s="13">
        <v>62.5</v>
      </c>
      <c r="G32" s="11" t="s">
        <v>83</v>
      </c>
      <c r="H32" s="29">
        <v>6</v>
      </c>
      <c r="I32" s="29">
        <v>6</v>
      </c>
      <c r="J32" s="31">
        <v>7</v>
      </c>
      <c r="K32" s="16">
        <v>2</v>
      </c>
      <c r="L32" s="13">
        <v>21</v>
      </c>
    </row>
    <row r="33" spans="1:12" ht="15.6" x14ac:dyDescent="0.3">
      <c r="A33" s="11">
        <v>26</v>
      </c>
      <c r="B33" s="11">
        <v>2301267</v>
      </c>
      <c r="C33" s="12" t="s">
        <v>28</v>
      </c>
      <c r="D33" s="13">
        <v>16</v>
      </c>
      <c r="E33" s="28">
        <v>26</v>
      </c>
      <c r="F33" s="13">
        <v>61.53846154</v>
      </c>
      <c r="G33" s="11" t="s">
        <v>83</v>
      </c>
      <c r="H33" s="29">
        <v>7</v>
      </c>
      <c r="I33" s="29">
        <v>6</v>
      </c>
      <c r="J33" s="31">
        <v>8</v>
      </c>
      <c r="K33" s="16">
        <v>2</v>
      </c>
      <c r="L33" s="13">
        <v>23</v>
      </c>
    </row>
    <row r="34" spans="1:12" ht="15.6" x14ac:dyDescent="0.3">
      <c r="A34" s="11">
        <v>27</v>
      </c>
      <c r="B34" s="11">
        <v>2301268</v>
      </c>
      <c r="C34" s="12" t="s">
        <v>29</v>
      </c>
      <c r="D34" s="13">
        <v>10</v>
      </c>
      <c r="E34" s="28">
        <v>26</v>
      </c>
      <c r="F34" s="13">
        <v>0</v>
      </c>
      <c r="G34" s="11" t="s">
        <v>83</v>
      </c>
      <c r="H34" s="29">
        <v>7</v>
      </c>
      <c r="I34" s="29">
        <v>7</v>
      </c>
      <c r="J34" s="31">
        <v>5</v>
      </c>
      <c r="K34" s="16">
        <v>2</v>
      </c>
      <c r="L34" s="13">
        <v>21</v>
      </c>
    </row>
    <row r="35" spans="1:12" ht="15.6" x14ac:dyDescent="0.3">
      <c r="A35" s="11">
        <v>28</v>
      </c>
      <c r="B35" s="11">
        <v>2301269</v>
      </c>
      <c r="C35" s="12" t="s">
        <v>30</v>
      </c>
      <c r="D35" s="13">
        <v>25</v>
      </c>
      <c r="E35" s="28">
        <v>26</v>
      </c>
      <c r="F35" s="13">
        <v>96.153846150000007</v>
      </c>
      <c r="G35" s="11" t="s">
        <v>86</v>
      </c>
      <c r="H35" s="29">
        <v>5</v>
      </c>
      <c r="I35" s="29">
        <v>5</v>
      </c>
      <c r="J35" s="31">
        <v>6</v>
      </c>
      <c r="K35" s="16">
        <v>2</v>
      </c>
      <c r="L35" s="13">
        <v>24</v>
      </c>
    </row>
    <row r="36" spans="1:12" ht="15.6" x14ac:dyDescent="0.3">
      <c r="A36" s="11">
        <v>29</v>
      </c>
      <c r="B36" s="11">
        <v>2301270</v>
      </c>
      <c r="C36" s="12" t="s">
        <v>31</v>
      </c>
      <c r="D36" s="13">
        <v>14</v>
      </c>
      <c r="E36" s="28">
        <v>26</v>
      </c>
      <c r="F36" s="13">
        <v>53.84615385</v>
      </c>
      <c r="G36" s="11" t="s">
        <v>83</v>
      </c>
      <c r="H36" s="29">
        <v>7</v>
      </c>
      <c r="I36" s="29">
        <v>6</v>
      </c>
      <c r="J36" s="31">
        <v>7</v>
      </c>
      <c r="K36" s="16">
        <v>2</v>
      </c>
      <c r="L36" s="13">
        <v>22</v>
      </c>
    </row>
    <row r="37" spans="1:12" ht="15.6" x14ac:dyDescent="0.3">
      <c r="A37" s="11">
        <v>30</v>
      </c>
      <c r="B37" s="11">
        <v>2301271</v>
      </c>
      <c r="C37" s="12" t="s">
        <v>32</v>
      </c>
      <c r="D37" s="13">
        <v>12</v>
      </c>
      <c r="E37" s="28">
        <v>26</v>
      </c>
      <c r="F37" s="13">
        <v>46.15384615</v>
      </c>
      <c r="G37" s="11" t="s">
        <v>83</v>
      </c>
      <c r="H37" s="29">
        <v>7</v>
      </c>
      <c r="I37" s="29">
        <v>6</v>
      </c>
      <c r="J37" s="31">
        <v>6</v>
      </c>
      <c r="K37" s="16">
        <v>2</v>
      </c>
      <c r="L37" s="13">
        <v>21</v>
      </c>
    </row>
    <row r="38" spans="1:12" ht="15.6" x14ac:dyDescent="0.3">
      <c r="A38" s="11">
        <v>31</v>
      </c>
      <c r="B38" s="11">
        <v>2301272</v>
      </c>
      <c r="C38" s="12" t="s">
        <v>33</v>
      </c>
      <c r="D38" s="13">
        <v>4</v>
      </c>
      <c r="E38" s="28">
        <v>26</v>
      </c>
      <c r="F38" s="13">
        <v>15.38461538</v>
      </c>
      <c r="G38" s="11" t="s">
        <v>83</v>
      </c>
      <c r="H38" s="29">
        <v>6</v>
      </c>
      <c r="I38" s="29">
        <v>5</v>
      </c>
      <c r="J38" s="31">
        <v>0</v>
      </c>
      <c r="K38" s="16">
        <v>2</v>
      </c>
      <c r="L38" s="13">
        <v>13</v>
      </c>
    </row>
    <row r="39" spans="1:12" ht="15.6" x14ac:dyDescent="0.3">
      <c r="A39" s="11">
        <v>32</v>
      </c>
      <c r="B39" s="11">
        <v>2301273</v>
      </c>
      <c r="C39" s="12" t="s">
        <v>34</v>
      </c>
      <c r="D39" s="13">
        <v>18</v>
      </c>
      <c r="E39" s="28">
        <v>26</v>
      </c>
      <c r="F39" s="13">
        <v>69.230769230000007</v>
      </c>
      <c r="G39" s="11" t="s">
        <v>83</v>
      </c>
      <c r="H39" s="29">
        <v>6</v>
      </c>
      <c r="I39" s="29">
        <v>6</v>
      </c>
      <c r="J39" s="31">
        <v>8</v>
      </c>
      <c r="K39" s="16">
        <v>2</v>
      </c>
      <c r="L39" s="13">
        <v>22</v>
      </c>
    </row>
    <row r="40" spans="1:12" ht="15.6" x14ac:dyDescent="0.3">
      <c r="A40" s="11">
        <v>33</v>
      </c>
      <c r="B40" s="11">
        <v>2301274</v>
      </c>
      <c r="C40" s="12" t="s">
        <v>35</v>
      </c>
      <c r="D40" s="13">
        <v>23</v>
      </c>
      <c r="E40" s="28">
        <v>26</v>
      </c>
      <c r="F40" s="13">
        <v>88.46153846</v>
      </c>
      <c r="G40" s="11" t="s">
        <v>84</v>
      </c>
      <c r="H40" s="29">
        <v>6</v>
      </c>
      <c r="I40" s="29">
        <v>5</v>
      </c>
      <c r="J40" s="31">
        <v>9</v>
      </c>
      <c r="K40" s="16">
        <v>2</v>
      </c>
      <c r="L40" s="13">
        <v>26</v>
      </c>
    </row>
    <row r="41" spans="1:12" ht="15.6" x14ac:dyDescent="0.3">
      <c r="A41" s="11">
        <v>34</v>
      </c>
      <c r="B41" s="11">
        <v>2301275</v>
      </c>
      <c r="C41" s="12" t="s">
        <v>36</v>
      </c>
      <c r="D41" s="13">
        <v>26</v>
      </c>
      <c r="E41" s="28">
        <v>26</v>
      </c>
      <c r="F41" s="13">
        <v>100</v>
      </c>
      <c r="G41" s="11" t="s">
        <v>86</v>
      </c>
      <c r="H41" s="29">
        <v>5</v>
      </c>
      <c r="I41" s="29">
        <v>5</v>
      </c>
      <c r="J41" s="31">
        <v>7</v>
      </c>
      <c r="K41" s="16">
        <v>2</v>
      </c>
      <c r="L41" s="13">
        <v>25</v>
      </c>
    </row>
    <row r="42" spans="1:12" ht="15.6" x14ac:dyDescent="0.3">
      <c r="A42" s="11">
        <v>35</v>
      </c>
      <c r="B42" s="11">
        <v>2301277</v>
      </c>
      <c r="C42" s="12" t="s">
        <v>37</v>
      </c>
      <c r="D42" s="13">
        <v>18</v>
      </c>
      <c r="E42" s="28">
        <v>26</v>
      </c>
      <c r="F42" s="13">
        <v>69.230769230000007</v>
      </c>
      <c r="G42" s="11" t="s">
        <v>83</v>
      </c>
      <c r="H42" s="29">
        <v>7</v>
      </c>
      <c r="I42" s="29">
        <v>5</v>
      </c>
      <c r="J42" s="31">
        <v>7</v>
      </c>
      <c r="K42" s="16">
        <v>2</v>
      </c>
      <c r="L42" s="13">
        <v>21</v>
      </c>
    </row>
    <row r="43" spans="1:12" ht="15.6" x14ac:dyDescent="0.3">
      <c r="A43" s="11">
        <v>36</v>
      </c>
      <c r="B43" s="11">
        <v>2301278</v>
      </c>
      <c r="C43" s="12" t="s">
        <v>38</v>
      </c>
      <c r="D43" s="13">
        <v>2</v>
      </c>
      <c r="E43" s="28">
        <v>26</v>
      </c>
      <c r="F43" s="13">
        <v>7.692307692</v>
      </c>
      <c r="G43" s="11" t="s">
        <v>83</v>
      </c>
      <c r="H43" s="29">
        <v>4</v>
      </c>
      <c r="I43" s="29">
        <v>4</v>
      </c>
      <c r="J43" s="31">
        <v>2</v>
      </c>
      <c r="K43" s="16">
        <v>2</v>
      </c>
      <c r="L43" s="13">
        <v>12</v>
      </c>
    </row>
    <row r="44" spans="1:12" ht="15.6" x14ac:dyDescent="0.3">
      <c r="A44" s="11">
        <v>37</v>
      </c>
      <c r="B44" s="11">
        <v>2301279</v>
      </c>
      <c r="C44" s="12" t="s">
        <v>39</v>
      </c>
      <c r="D44" s="13">
        <v>22</v>
      </c>
      <c r="E44" s="28">
        <v>26</v>
      </c>
      <c r="F44" s="13">
        <v>84.61538462</v>
      </c>
      <c r="G44" s="11" t="s">
        <v>90</v>
      </c>
      <c r="H44" s="29">
        <v>4</v>
      </c>
      <c r="I44" s="29">
        <v>5</v>
      </c>
      <c r="J44" s="31">
        <v>7</v>
      </c>
      <c r="K44" s="16">
        <v>2</v>
      </c>
      <c r="L44" s="13">
        <v>21</v>
      </c>
    </row>
    <row r="45" spans="1:12" ht="15.6" x14ac:dyDescent="0.3">
      <c r="A45" s="11">
        <v>38</v>
      </c>
      <c r="B45" s="11">
        <v>2339508</v>
      </c>
      <c r="C45" s="12" t="s">
        <v>40</v>
      </c>
      <c r="D45" s="13">
        <v>22</v>
      </c>
      <c r="E45" s="28">
        <v>26</v>
      </c>
      <c r="F45" s="13">
        <v>84.61538462</v>
      </c>
      <c r="G45" s="11" t="s">
        <v>90</v>
      </c>
      <c r="H45" s="29">
        <v>7</v>
      </c>
      <c r="I45" s="29">
        <v>4</v>
      </c>
      <c r="J45" s="31">
        <v>6</v>
      </c>
      <c r="K45" s="16">
        <v>2</v>
      </c>
      <c r="L45" s="13">
        <v>22</v>
      </c>
    </row>
    <row r="46" spans="1:12" ht="15.6" x14ac:dyDescent="0.3">
      <c r="A46" s="11">
        <v>39</v>
      </c>
      <c r="B46" s="11">
        <v>2301280</v>
      </c>
      <c r="C46" s="12" t="s">
        <v>41</v>
      </c>
      <c r="D46" s="13">
        <v>12</v>
      </c>
      <c r="E46" s="28">
        <v>26</v>
      </c>
      <c r="F46" s="13">
        <v>46.15384615</v>
      </c>
      <c r="G46" s="11" t="s">
        <v>83</v>
      </c>
      <c r="H46" s="29">
        <v>6</v>
      </c>
      <c r="I46" s="29">
        <v>6</v>
      </c>
      <c r="J46" s="31">
        <v>8</v>
      </c>
      <c r="K46" s="16">
        <v>2</v>
      </c>
      <c r="L46" s="13">
        <v>22</v>
      </c>
    </row>
    <row r="47" spans="1:12" ht="15.6" x14ac:dyDescent="0.3">
      <c r="A47" s="11">
        <v>40</v>
      </c>
      <c r="B47" s="11">
        <v>2301281</v>
      </c>
      <c r="C47" s="12" t="s">
        <v>42</v>
      </c>
      <c r="D47" s="13">
        <v>14</v>
      </c>
      <c r="E47" s="28">
        <v>26</v>
      </c>
      <c r="F47" s="13">
        <v>53.84615385</v>
      </c>
      <c r="G47" s="11" t="s">
        <v>83</v>
      </c>
      <c r="H47" s="29">
        <v>6</v>
      </c>
      <c r="I47" s="29">
        <v>6</v>
      </c>
      <c r="J47" s="31">
        <v>7</v>
      </c>
      <c r="K47" s="16">
        <v>2</v>
      </c>
      <c r="L47" s="13">
        <v>21</v>
      </c>
    </row>
    <row r="48" spans="1:12" ht="15.6" x14ac:dyDescent="0.3">
      <c r="A48" s="11">
        <v>41</v>
      </c>
      <c r="B48" s="11">
        <v>2339509</v>
      </c>
      <c r="C48" s="12" t="s">
        <v>43</v>
      </c>
      <c r="D48" s="13">
        <v>0</v>
      </c>
      <c r="E48" s="28">
        <v>26</v>
      </c>
      <c r="F48" s="13">
        <v>0</v>
      </c>
      <c r="G48" s="11" t="s">
        <v>83</v>
      </c>
      <c r="H48" s="29">
        <v>6</v>
      </c>
      <c r="I48" s="29">
        <v>5</v>
      </c>
      <c r="J48" s="33">
        <v>0</v>
      </c>
      <c r="K48" s="16">
        <v>2</v>
      </c>
      <c r="L48" s="13">
        <v>13</v>
      </c>
    </row>
    <row r="49" spans="1:12" ht="15.6" x14ac:dyDescent="0.3">
      <c r="A49" s="11">
        <v>42</v>
      </c>
      <c r="B49" s="11">
        <v>2301283</v>
      </c>
      <c r="C49" s="12" t="s">
        <v>44</v>
      </c>
      <c r="D49" s="13">
        <v>15</v>
      </c>
      <c r="E49" s="28">
        <v>26</v>
      </c>
      <c r="F49" s="13">
        <v>57.69230769</v>
      </c>
      <c r="G49" s="11" t="s">
        <v>83</v>
      </c>
      <c r="H49" s="29">
        <v>5</v>
      </c>
      <c r="I49" s="29">
        <v>5</v>
      </c>
      <c r="J49" s="31">
        <v>6</v>
      </c>
      <c r="K49" s="16">
        <v>2</v>
      </c>
      <c r="L49" s="13">
        <v>18</v>
      </c>
    </row>
    <row r="50" spans="1:12" ht="15.6" x14ac:dyDescent="0.3">
      <c r="A50" s="11">
        <v>43</v>
      </c>
      <c r="B50" s="11">
        <v>2301285</v>
      </c>
      <c r="C50" s="12" t="s">
        <v>45</v>
      </c>
      <c r="D50" s="13">
        <v>16</v>
      </c>
      <c r="E50" s="28">
        <v>26</v>
      </c>
      <c r="F50" s="13">
        <v>61.53846154</v>
      </c>
      <c r="G50" s="11" t="s">
        <v>83</v>
      </c>
      <c r="H50" s="29">
        <v>5</v>
      </c>
      <c r="I50" s="29">
        <v>4</v>
      </c>
      <c r="J50" s="31">
        <v>7</v>
      </c>
      <c r="K50" s="16">
        <v>2</v>
      </c>
      <c r="L50" s="13">
        <v>18</v>
      </c>
    </row>
    <row r="51" spans="1:12" ht="15.6" x14ac:dyDescent="0.3">
      <c r="A51" s="11">
        <v>44</v>
      </c>
      <c r="B51" s="11">
        <v>2301286</v>
      </c>
      <c r="C51" s="12" t="s">
        <v>46</v>
      </c>
      <c r="D51" s="13">
        <v>1</v>
      </c>
      <c r="E51" s="28">
        <v>26</v>
      </c>
      <c r="F51" s="13">
        <v>3.846153846</v>
      </c>
      <c r="G51" s="11" t="s">
        <v>83</v>
      </c>
      <c r="H51" s="29">
        <v>6</v>
      </c>
      <c r="I51" s="29">
        <v>5</v>
      </c>
      <c r="J51" s="33">
        <v>0</v>
      </c>
      <c r="K51" s="16">
        <v>2</v>
      </c>
      <c r="L51" s="13">
        <v>13</v>
      </c>
    </row>
    <row r="52" spans="1:12" ht="15.6" x14ac:dyDescent="0.3">
      <c r="A52" s="11">
        <v>45</v>
      </c>
      <c r="B52" s="11">
        <v>2425599</v>
      </c>
      <c r="C52" s="12" t="s">
        <v>47</v>
      </c>
      <c r="D52" s="13">
        <v>24</v>
      </c>
      <c r="E52" s="28">
        <v>26</v>
      </c>
      <c r="F52" s="13">
        <v>92.307692309999993</v>
      </c>
      <c r="G52" s="11" t="s">
        <v>89</v>
      </c>
      <c r="H52" s="29">
        <v>5</v>
      </c>
      <c r="I52" s="29">
        <v>4</v>
      </c>
      <c r="J52" s="31">
        <v>6</v>
      </c>
      <c r="K52" s="16">
        <v>2</v>
      </c>
      <c r="L52" s="13">
        <v>22</v>
      </c>
    </row>
    <row r="53" spans="1:12" ht="15.6" x14ac:dyDescent="0.3">
      <c r="A53" s="11">
        <v>46</v>
      </c>
      <c r="B53" s="11">
        <v>2425600</v>
      </c>
      <c r="C53" s="12" t="s">
        <v>48</v>
      </c>
      <c r="D53" s="13">
        <v>24</v>
      </c>
      <c r="E53" s="28">
        <v>26</v>
      </c>
      <c r="F53" s="13">
        <v>92.307692309999993</v>
      </c>
      <c r="G53" s="11" t="s">
        <v>89</v>
      </c>
      <c r="H53" s="29">
        <v>6</v>
      </c>
      <c r="I53" s="29">
        <v>4</v>
      </c>
      <c r="J53" s="31">
        <v>6</v>
      </c>
      <c r="K53" s="16">
        <v>2</v>
      </c>
      <c r="L53" s="13">
        <v>23</v>
      </c>
    </row>
    <row r="54" spans="1:12" ht="15.6" x14ac:dyDescent="0.3">
      <c r="A54" s="11">
        <v>47</v>
      </c>
      <c r="B54" s="11">
        <v>2425601</v>
      </c>
      <c r="C54" s="12" t="s">
        <v>49</v>
      </c>
      <c r="D54" s="13">
        <v>20</v>
      </c>
      <c r="E54" s="28">
        <v>26</v>
      </c>
      <c r="F54" s="13">
        <v>76.92307692</v>
      </c>
      <c r="G54" s="11" t="s">
        <v>85</v>
      </c>
      <c r="H54" s="29">
        <v>7</v>
      </c>
      <c r="I54" s="29">
        <v>6</v>
      </c>
      <c r="J54" s="31">
        <v>7</v>
      </c>
      <c r="K54" s="16">
        <v>2</v>
      </c>
      <c r="L54" s="13">
        <v>24</v>
      </c>
    </row>
    <row r="55" spans="1:12" ht="15.6" x14ac:dyDescent="0.3">
      <c r="A55" s="11">
        <v>48</v>
      </c>
      <c r="B55" s="11">
        <v>2425603</v>
      </c>
      <c r="C55" s="12" t="s">
        <v>50</v>
      </c>
      <c r="D55" s="13">
        <v>19</v>
      </c>
      <c r="E55" s="28">
        <v>26</v>
      </c>
      <c r="F55" s="13">
        <v>73.07692308</v>
      </c>
      <c r="G55" s="11" t="s">
        <v>83</v>
      </c>
      <c r="H55" s="29">
        <v>7</v>
      </c>
      <c r="I55" s="29">
        <v>7</v>
      </c>
      <c r="J55" s="31">
        <v>9</v>
      </c>
      <c r="K55" s="16">
        <v>2</v>
      </c>
      <c r="L55" s="34">
        <v>25</v>
      </c>
    </row>
    <row r="56" spans="1:12" ht="15.6" x14ac:dyDescent="0.3">
      <c r="A56" s="11">
        <v>49</v>
      </c>
      <c r="B56" s="11">
        <v>2425604</v>
      </c>
      <c r="C56" s="12" t="s">
        <v>51</v>
      </c>
      <c r="D56" s="13">
        <v>23</v>
      </c>
      <c r="E56" s="28">
        <v>26</v>
      </c>
      <c r="F56" s="13">
        <v>88.46153846</v>
      </c>
      <c r="G56" s="11" t="s">
        <v>84</v>
      </c>
      <c r="H56" s="29">
        <v>5</v>
      </c>
      <c r="I56" s="29">
        <v>4</v>
      </c>
      <c r="J56" s="31">
        <v>6</v>
      </c>
      <c r="K56" s="16">
        <v>2</v>
      </c>
      <c r="L56" s="13">
        <v>21</v>
      </c>
    </row>
    <row r="57" spans="1:12" ht="15.6" x14ac:dyDescent="0.3">
      <c r="A57" s="35">
        <v>50</v>
      </c>
      <c r="B57" s="35">
        <v>2301235</v>
      </c>
      <c r="C57" s="16" t="s">
        <v>98</v>
      </c>
      <c r="D57" s="13">
        <v>20</v>
      </c>
      <c r="E57" s="28">
        <v>26</v>
      </c>
      <c r="F57" s="13">
        <v>76.92307692</v>
      </c>
      <c r="G57" s="11">
        <v>4</v>
      </c>
      <c r="H57" s="29">
        <v>5</v>
      </c>
      <c r="I57" s="29">
        <v>5</v>
      </c>
      <c r="J57" s="31">
        <v>6</v>
      </c>
      <c r="K57" s="16">
        <v>2</v>
      </c>
      <c r="L57" s="13">
        <v>22</v>
      </c>
    </row>
  </sheetData>
  <mergeCells count="19">
    <mergeCell ref="A1:L1"/>
    <mergeCell ref="A2:L2"/>
    <mergeCell ref="A3:L3"/>
    <mergeCell ref="A4:G4"/>
    <mergeCell ref="H4:L4"/>
    <mergeCell ref="F6:F7"/>
    <mergeCell ref="G6:G7"/>
    <mergeCell ref="A5:G5"/>
    <mergeCell ref="H5:L5"/>
    <mergeCell ref="H6:H7"/>
    <mergeCell ref="I6:I7"/>
    <mergeCell ref="J6:J7"/>
    <mergeCell ref="K6:K7"/>
    <mergeCell ref="L6:L7"/>
    <mergeCell ref="A6:A7"/>
    <mergeCell ref="B6:B7"/>
    <mergeCell ref="C6:C7"/>
    <mergeCell ref="D6:D7"/>
    <mergeCell ref="E6:E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CA12-021D-4C46-88A1-A514228EE210}">
  <dimension ref="A1:L57"/>
  <sheetViews>
    <sheetView workbookViewId="0">
      <selection activeCell="G8" sqref="G8"/>
    </sheetView>
  </sheetViews>
  <sheetFormatPr defaultRowHeight="13.2" x14ac:dyDescent="0.25"/>
  <sheetData>
    <row r="1" spans="1:12" ht="15.6" x14ac:dyDescent="0.3">
      <c r="A1" s="36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5.6" x14ac:dyDescent="0.3">
      <c r="A2" s="36" t="s">
        <v>73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spans="1:12" ht="16.2" x14ac:dyDescent="0.35">
      <c r="A3" s="37" t="s">
        <v>74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 spans="1:12" ht="15.6" x14ac:dyDescent="0.3">
      <c r="A4" s="36" t="s">
        <v>75</v>
      </c>
      <c r="B4" s="2"/>
      <c r="C4" s="2"/>
      <c r="D4" s="2"/>
      <c r="E4" s="2"/>
      <c r="F4" s="2"/>
      <c r="G4" s="3"/>
      <c r="H4" s="36" t="s">
        <v>76</v>
      </c>
      <c r="I4" s="2"/>
      <c r="J4" s="2"/>
      <c r="K4" s="2"/>
      <c r="L4" s="3"/>
    </row>
    <row r="5" spans="1:12" ht="15.6" x14ac:dyDescent="0.3">
      <c r="A5" s="36" t="s">
        <v>88</v>
      </c>
      <c r="B5" s="2"/>
      <c r="C5" s="2"/>
      <c r="D5" s="2"/>
      <c r="E5" s="2"/>
      <c r="F5" s="2"/>
      <c r="G5" s="3"/>
      <c r="H5" s="36" t="s">
        <v>78</v>
      </c>
      <c r="I5" s="2"/>
      <c r="J5" s="2"/>
      <c r="K5" s="2"/>
      <c r="L5" s="3"/>
    </row>
    <row r="6" spans="1:12" x14ac:dyDescent="0.25">
      <c r="A6" s="7" t="s">
        <v>0</v>
      </c>
      <c r="B6" s="7" t="s">
        <v>1</v>
      </c>
      <c r="C6" s="7" t="s">
        <v>2</v>
      </c>
      <c r="D6" s="7" t="s">
        <v>62</v>
      </c>
      <c r="E6" s="7" t="s">
        <v>61</v>
      </c>
      <c r="F6" s="7" t="s">
        <v>63</v>
      </c>
      <c r="G6" s="7" t="s">
        <v>64</v>
      </c>
      <c r="H6" s="7" t="s">
        <v>79</v>
      </c>
      <c r="I6" s="7" t="s">
        <v>80</v>
      </c>
      <c r="J6" s="7" t="s">
        <v>81</v>
      </c>
      <c r="K6" s="7" t="s">
        <v>70</v>
      </c>
      <c r="L6" s="7" t="s">
        <v>82</v>
      </c>
    </row>
    <row r="7" spans="1:12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5.6" x14ac:dyDescent="0.3">
      <c r="A8" s="11">
        <v>1</v>
      </c>
      <c r="B8" s="11">
        <v>2301236</v>
      </c>
      <c r="C8" s="12" t="s">
        <v>3</v>
      </c>
      <c r="D8" s="13">
        <v>10</v>
      </c>
      <c r="E8" s="13">
        <v>24</v>
      </c>
      <c r="F8" s="13">
        <v>41.666666669999998</v>
      </c>
      <c r="G8" s="11" t="s">
        <v>83</v>
      </c>
      <c r="H8" s="11">
        <v>4</v>
      </c>
      <c r="I8" s="11">
        <v>2</v>
      </c>
      <c r="J8" s="15">
        <v>4</v>
      </c>
      <c r="K8" s="11">
        <v>2</v>
      </c>
      <c r="L8" s="13">
        <v>12</v>
      </c>
    </row>
    <row r="9" spans="1:12" ht="15.6" x14ac:dyDescent="0.3">
      <c r="A9" s="11">
        <v>2</v>
      </c>
      <c r="B9" s="11">
        <v>2301237</v>
      </c>
      <c r="C9" s="12" t="s">
        <v>4</v>
      </c>
      <c r="D9" s="13">
        <v>22</v>
      </c>
      <c r="E9" s="13">
        <v>24</v>
      </c>
      <c r="F9" s="13">
        <v>91.666666669999998</v>
      </c>
      <c r="G9" s="11" t="s">
        <v>89</v>
      </c>
      <c r="H9" s="11">
        <v>7</v>
      </c>
      <c r="I9" s="11">
        <v>5</v>
      </c>
      <c r="J9" s="15">
        <v>8</v>
      </c>
      <c r="K9" s="11">
        <v>2</v>
      </c>
      <c r="L9" s="13">
        <v>27</v>
      </c>
    </row>
    <row r="10" spans="1:12" ht="15.6" x14ac:dyDescent="0.3">
      <c r="A10" s="11">
        <v>3</v>
      </c>
      <c r="B10" s="11">
        <v>2301238</v>
      </c>
      <c r="C10" s="12" t="s">
        <v>5</v>
      </c>
      <c r="D10" s="13">
        <v>24</v>
      </c>
      <c r="E10" s="13">
        <v>24</v>
      </c>
      <c r="F10" s="13">
        <v>100</v>
      </c>
      <c r="G10" s="11" t="s">
        <v>86</v>
      </c>
      <c r="H10" s="11">
        <v>5</v>
      </c>
      <c r="I10" s="11">
        <v>3</v>
      </c>
      <c r="J10" s="15">
        <v>5</v>
      </c>
      <c r="K10" s="11">
        <v>2</v>
      </c>
      <c r="L10" s="13">
        <v>21</v>
      </c>
    </row>
    <row r="11" spans="1:12" ht="15.6" x14ac:dyDescent="0.3">
      <c r="A11" s="11">
        <v>4</v>
      </c>
      <c r="B11" s="11">
        <v>2301240</v>
      </c>
      <c r="C11" s="12" t="s">
        <v>6</v>
      </c>
      <c r="D11" s="13">
        <v>20</v>
      </c>
      <c r="E11" s="13">
        <v>24</v>
      </c>
      <c r="F11" s="13">
        <v>83.333333330000002</v>
      </c>
      <c r="G11" s="11" t="s">
        <v>90</v>
      </c>
      <c r="H11" s="11">
        <v>6</v>
      </c>
      <c r="I11" s="11">
        <v>5</v>
      </c>
      <c r="J11" s="15">
        <v>6</v>
      </c>
      <c r="K11" s="11">
        <v>2</v>
      </c>
      <c r="L11" s="13">
        <v>22</v>
      </c>
    </row>
    <row r="12" spans="1:12" ht="15.6" x14ac:dyDescent="0.3">
      <c r="A12" s="11">
        <v>5</v>
      </c>
      <c r="B12" s="11">
        <v>2301241</v>
      </c>
      <c r="C12" s="12" t="s">
        <v>7</v>
      </c>
      <c r="D12" s="13">
        <v>18</v>
      </c>
      <c r="E12" s="13">
        <v>24</v>
      </c>
      <c r="F12" s="13">
        <v>75</v>
      </c>
      <c r="G12" s="11" t="s">
        <v>83</v>
      </c>
      <c r="H12" s="11">
        <v>7</v>
      </c>
      <c r="I12" s="11">
        <v>7</v>
      </c>
      <c r="J12" s="15">
        <v>10</v>
      </c>
      <c r="K12" s="11">
        <v>2</v>
      </c>
      <c r="L12" s="13">
        <v>26</v>
      </c>
    </row>
    <row r="13" spans="1:12" ht="15.6" x14ac:dyDescent="0.3">
      <c r="A13" s="11">
        <v>6</v>
      </c>
      <c r="B13" s="11">
        <v>2301242</v>
      </c>
      <c r="C13" s="12" t="s">
        <v>8</v>
      </c>
      <c r="D13" s="13">
        <v>18</v>
      </c>
      <c r="E13" s="13">
        <v>24</v>
      </c>
      <c r="F13" s="13">
        <v>75</v>
      </c>
      <c r="G13" s="11" t="s">
        <v>83</v>
      </c>
      <c r="H13" s="11">
        <v>7</v>
      </c>
      <c r="I13" s="11">
        <v>7</v>
      </c>
      <c r="J13" s="15">
        <v>9</v>
      </c>
      <c r="K13" s="11">
        <v>2</v>
      </c>
      <c r="L13" s="13">
        <v>25</v>
      </c>
    </row>
    <row r="14" spans="1:12" ht="15.6" x14ac:dyDescent="0.3">
      <c r="A14" s="11">
        <v>7</v>
      </c>
      <c r="B14" s="11">
        <v>2301243</v>
      </c>
      <c r="C14" s="12" t="s">
        <v>9</v>
      </c>
      <c r="D14" s="13">
        <v>18</v>
      </c>
      <c r="E14" s="13">
        <v>24</v>
      </c>
      <c r="F14" s="13">
        <v>75</v>
      </c>
      <c r="G14" s="11" t="s">
        <v>83</v>
      </c>
      <c r="H14" s="11">
        <v>6</v>
      </c>
      <c r="I14" s="11">
        <v>5</v>
      </c>
      <c r="J14" s="15">
        <v>8</v>
      </c>
      <c r="K14" s="11">
        <v>2</v>
      </c>
      <c r="L14" s="13">
        <v>21</v>
      </c>
    </row>
    <row r="15" spans="1:12" ht="15.6" x14ac:dyDescent="0.3">
      <c r="A15" s="11">
        <v>8</v>
      </c>
      <c r="B15" s="11">
        <v>2301245</v>
      </c>
      <c r="C15" s="12" t="s">
        <v>10</v>
      </c>
      <c r="D15" s="13">
        <v>24</v>
      </c>
      <c r="E15" s="13">
        <v>24</v>
      </c>
      <c r="F15" s="13">
        <v>100</v>
      </c>
      <c r="G15" s="11" t="s">
        <v>86</v>
      </c>
      <c r="H15" s="11">
        <v>6</v>
      </c>
      <c r="I15" s="11">
        <v>6</v>
      </c>
      <c r="J15" s="15">
        <v>7</v>
      </c>
      <c r="K15" s="11">
        <v>2</v>
      </c>
      <c r="L15" s="13">
        <v>27</v>
      </c>
    </row>
    <row r="16" spans="1:12" ht="15.6" x14ac:dyDescent="0.3">
      <c r="A16" s="38">
        <v>9</v>
      </c>
      <c r="B16" s="38">
        <v>2301247</v>
      </c>
      <c r="C16" s="39" t="s">
        <v>11</v>
      </c>
      <c r="D16" s="32">
        <v>18</v>
      </c>
      <c r="E16" s="32">
        <v>24</v>
      </c>
      <c r="F16" s="32">
        <v>75</v>
      </c>
      <c r="G16" s="38" t="s">
        <v>83</v>
      </c>
      <c r="H16" s="38">
        <v>5</v>
      </c>
      <c r="I16" s="38">
        <v>4</v>
      </c>
      <c r="J16" s="40">
        <v>6</v>
      </c>
      <c r="K16" s="38">
        <v>2</v>
      </c>
      <c r="L16" s="32">
        <v>17</v>
      </c>
    </row>
    <row r="17" spans="1:12" ht="15.6" x14ac:dyDescent="0.3">
      <c r="A17" s="11">
        <v>10</v>
      </c>
      <c r="B17" s="11">
        <v>2301249</v>
      </c>
      <c r="C17" s="12" t="s">
        <v>12</v>
      </c>
      <c r="D17" s="13">
        <v>20</v>
      </c>
      <c r="E17" s="13">
        <v>24</v>
      </c>
      <c r="F17" s="13">
        <v>83.333333330000002</v>
      </c>
      <c r="G17" s="11" t="s">
        <v>90</v>
      </c>
      <c r="H17" s="11">
        <v>6</v>
      </c>
      <c r="I17" s="11">
        <v>5</v>
      </c>
      <c r="J17" s="15">
        <v>6</v>
      </c>
      <c r="K17" s="11">
        <v>2</v>
      </c>
      <c r="L17" s="13">
        <v>22</v>
      </c>
    </row>
    <row r="18" spans="1:12" ht="15.6" x14ac:dyDescent="0.3">
      <c r="A18" s="11">
        <v>11</v>
      </c>
      <c r="B18" s="11">
        <v>2301250</v>
      </c>
      <c r="C18" s="12" t="s">
        <v>13</v>
      </c>
      <c r="D18" s="13">
        <v>20</v>
      </c>
      <c r="E18" s="13">
        <v>24</v>
      </c>
      <c r="F18" s="13">
        <v>83.333333330000002</v>
      </c>
      <c r="G18" s="11" t="s">
        <v>90</v>
      </c>
      <c r="H18" s="11">
        <v>6</v>
      </c>
      <c r="I18" s="11">
        <v>5</v>
      </c>
      <c r="J18" s="15">
        <v>6</v>
      </c>
      <c r="K18" s="11">
        <v>2</v>
      </c>
      <c r="L18" s="13">
        <v>22</v>
      </c>
    </row>
    <row r="19" spans="1:12" ht="15.6" x14ac:dyDescent="0.3">
      <c r="A19" s="11">
        <v>12</v>
      </c>
      <c r="B19" s="11">
        <v>2301251</v>
      </c>
      <c r="C19" s="12" t="s">
        <v>14</v>
      </c>
      <c r="D19" s="13">
        <v>16</v>
      </c>
      <c r="E19" s="13">
        <v>24</v>
      </c>
      <c r="F19" s="13">
        <v>66.666666669999998</v>
      </c>
      <c r="G19" s="11" t="s">
        <v>83</v>
      </c>
      <c r="H19" s="11">
        <v>5</v>
      </c>
      <c r="I19" s="11">
        <v>4</v>
      </c>
      <c r="J19" s="15">
        <v>4</v>
      </c>
      <c r="K19" s="11">
        <v>2</v>
      </c>
      <c r="L19" s="13">
        <v>15</v>
      </c>
    </row>
    <row r="20" spans="1:12" ht="15.6" x14ac:dyDescent="0.3">
      <c r="A20" s="11">
        <v>13</v>
      </c>
      <c r="B20" s="11">
        <v>2301252</v>
      </c>
      <c r="C20" s="12" t="s">
        <v>15</v>
      </c>
      <c r="D20" s="13">
        <v>16</v>
      </c>
      <c r="E20" s="13">
        <v>24</v>
      </c>
      <c r="F20" s="13">
        <v>66.666666669999998</v>
      </c>
      <c r="G20" s="11" t="s">
        <v>83</v>
      </c>
      <c r="H20" s="11">
        <v>7</v>
      </c>
      <c r="I20" s="11">
        <v>6</v>
      </c>
      <c r="J20" s="15">
        <v>7</v>
      </c>
      <c r="K20" s="11">
        <v>2</v>
      </c>
      <c r="L20" s="13">
        <v>22</v>
      </c>
    </row>
    <row r="21" spans="1:12" ht="15.6" x14ac:dyDescent="0.3">
      <c r="A21" s="11">
        <v>14</v>
      </c>
      <c r="B21" s="11">
        <v>2301253</v>
      </c>
      <c r="C21" s="12" t="s">
        <v>16</v>
      </c>
      <c r="D21" s="13">
        <v>24</v>
      </c>
      <c r="E21" s="13">
        <v>24</v>
      </c>
      <c r="F21" s="13">
        <v>100</v>
      </c>
      <c r="G21" s="11" t="s">
        <v>86</v>
      </c>
      <c r="H21" s="11">
        <v>5</v>
      </c>
      <c r="I21" s="11">
        <v>5</v>
      </c>
      <c r="J21" s="15">
        <v>6</v>
      </c>
      <c r="K21" s="11">
        <v>2</v>
      </c>
      <c r="L21" s="13">
        <v>24</v>
      </c>
    </row>
    <row r="22" spans="1:12" ht="15.6" x14ac:dyDescent="0.3">
      <c r="A22" s="11">
        <v>15</v>
      </c>
      <c r="B22" s="11">
        <v>2301255</v>
      </c>
      <c r="C22" s="12" t="s">
        <v>17</v>
      </c>
      <c r="D22" s="13">
        <v>20</v>
      </c>
      <c r="E22" s="13">
        <v>24</v>
      </c>
      <c r="F22" s="13">
        <v>83.333333330000002</v>
      </c>
      <c r="G22" s="11" t="s">
        <v>90</v>
      </c>
      <c r="H22" s="11">
        <v>7</v>
      </c>
      <c r="I22" s="11">
        <v>7</v>
      </c>
      <c r="J22" s="15">
        <v>6</v>
      </c>
      <c r="K22" s="11">
        <v>2</v>
      </c>
      <c r="L22" s="13">
        <v>25</v>
      </c>
    </row>
    <row r="23" spans="1:12" ht="15.6" x14ac:dyDescent="0.3">
      <c r="A23" s="11">
        <v>16</v>
      </c>
      <c r="B23" s="11">
        <v>2301256</v>
      </c>
      <c r="C23" s="12" t="s">
        <v>18</v>
      </c>
      <c r="D23" s="13">
        <v>20</v>
      </c>
      <c r="E23" s="13">
        <v>24</v>
      </c>
      <c r="F23" s="13">
        <v>83.333333330000002</v>
      </c>
      <c r="G23" s="11" t="s">
        <v>90</v>
      </c>
      <c r="H23" s="11">
        <v>6</v>
      </c>
      <c r="I23" s="11">
        <v>5</v>
      </c>
      <c r="J23" s="15">
        <v>6</v>
      </c>
      <c r="K23" s="11">
        <v>2</v>
      </c>
      <c r="L23" s="13">
        <v>22</v>
      </c>
    </row>
    <row r="24" spans="1:12" ht="15.6" x14ac:dyDescent="0.3">
      <c r="A24" s="11">
        <v>17</v>
      </c>
      <c r="B24" s="11">
        <v>2301257</v>
      </c>
      <c r="C24" s="12" t="s">
        <v>19</v>
      </c>
      <c r="D24" s="13">
        <v>14</v>
      </c>
      <c r="E24" s="13">
        <v>24</v>
      </c>
      <c r="F24" s="13">
        <v>58.333333330000002</v>
      </c>
      <c r="G24" s="11" t="s">
        <v>83</v>
      </c>
      <c r="H24" s="11">
        <v>7</v>
      </c>
      <c r="I24" s="11">
        <v>6</v>
      </c>
      <c r="J24" s="15">
        <v>8</v>
      </c>
      <c r="K24" s="11">
        <v>2</v>
      </c>
      <c r="L24" s="13">
        <v>23</v>
      </c>
    </row>
    <row r="25" spans="1:12" ht="15.6" x14ac:dyDescent="0.3">
      <c r="A25" s="11">
        <v>18</v>
      </c>
      <c r="B25" s="11">
        <v>2301258</v>
      </c>
      <c r="C25" s="12" t="s">
        <v>20</v>
      </c>
      <c r="D25" s="13">
        <v>12</v>
      </c>
      <c r="E25" s="13">
        <v>24</v>
      </c>
      <c r="F25" s="13">
        <v>50</v>
      </c>
      <c r="G25" s="11" t="s">
        <v>83</v>
      </c>
      <c r="H25" s="11">
        <v>5</v>
      </c>
      <c r="I25" s="11">
        <v>3</v>
      </c>
      <c r="J25" s="15">
        <v>2</v>
      </c>
      <c r="K25" s="11">
        <v>2</v>
      </c>
      <c r="L25" s="13">
        <v>12</v>
      </c>
    </row>
    <row r="26" spans="1:12" ht="15.6" x14ac:dyDescent="0.3">
      <c r="A26" s="11">
        <v>19</v>
      </c>
      <c r="B26" s="11">
        <v>2301259</v>
      </c>
      <c r="C26" s="12" t="s">
        <v>21</v>
      </c>
      <c r="D26" s="13">
        <v>20</v>
      </c>
      <c r="E26" s="13">
        <v>24</v>
      </c>
      <c r="F26" s="13">
        <v>83.333333330000002</v>
      </c>
      <c r="G26" s="11" t="s">
        <v>90</v>
      </c>
      <c r="H26" s="11">
        <v>6</v>
      </c>
      <c r="I26" s="11">
        <v>6</v>
      </c>
      <c r="J26" s="15">
        <v>6</v>
      </c>
      <c r="K26" s="11">
        <v>2</v>
      </c>
      <c r="L26" s="13">
        <v>23</v>
      </c>
    </row>
    <row r="27" spans="1:12" ht="15.6" x14ac:dyDescent="0.3">
      <c r="A27" s="11">
        <v>20</v>
      </c>
      <c r="B27" s="11">
        <v>2301260</v>
      </c>
      <c r="C27" s="12" t="s">
        <v>22</v>
      </c>
      <c r="D27" s="13">
        <v>22</v>
      </c>
      <c r="E27" s="13">
        <v>24</v>
      </c>
      <c r="F27" s="13">
        <v>91.666666669999998</v>
      </c>
      <c r="G27" s="11" t="s">
        <v>89</v>
      </c>
      <c r="H27" s="11">
        <v>5</v>
      </c>
      <c r="I27" s="11">
        <v>4</v>
      </c>
      <c r="J27" s="15">
        <v>5</v>
      </c>
      <c r="K27" s="11">
        <v>2</v>
      </c>
      <c r="L27" s="13">
        <v>21</v>
      </c>
    </row>
    <row r="28" spans="1:12" ht="15.6" x14ac:dyDescent="0.3">
      <c r="A28" s="11">
        <v>21</v>
      </c>
      <c r="B28" s="11">
        <v>2301261</v>
      </c>
      <c r="C28" s="12" t="s">
        <v>23</v>
      </c>
      <c r="D28" s="13">
        <v>16</v>
      </c>
      <c r="E28" s="13">
        <v>24</v>
      </c>
      <c r="F28" s="13">
        <v>66.666666669999998</v>
      </c>
      <c r="G28" s="11" t="s">
        <v>83</v>
      </c>
      <c r="H28" s="11">
        <v>7</v>
      </c>
      <c r="I28" s="11">
        <v>6</v>
      </c>
      <c r="J28" s="15">
        <v>7</v>
      </c>
      <c r="K28" s="11">
        <v>2</v>
      </c>
      <c r="L28" s="13">
        <v>22</v>
      </c>
    </row>
    <row r="29" spans="1:12" ht="15.6" x14ac:dyDescent="0.3">
      <c r="A29" s="11">
        <v>22</v>
      </c>
      <c r="B29" s="11">
        <v>2301262</v>
      </c>
      <c r="C29" s="12" t="s">
        <v>24</v>
      </c>
      <c r="D29" s="13">
        <v>18</v>
      </c>
      <c r="E29" s="13">
        <v>24</v>
      </c>
      <c r="F29" s="13">
        <v>75</v>
      </c>
      <c r="G29" s="11" t="s">
        <v>83</v>
      </c>
      <c r="H29" s="11">
        <v>7</v>
      </c>
      <c r="I29" s="11">
        <v>7</v>
      </c>
      <c r="J29" s="15">
        <v>8</v>
      </c>
      <c r="K29" s="11">
        <v>2</v>
      </c>
      <c r="L29" s="13">
        <v>24</v>
      </c>
    </row>
    <row r="30" spans="1:12" ht="15.6" x14ac:dyDescent="0.3">
      <c r="A30" s="11">
        <v>23</v>
      </c>
      <c r="B30" s="11">
        <v>2301263</v>
      </c>
      <c r="C30" s="12" t="s">
        <v>25</v>
      </c>
      <c r="D30" s="13">
        <v>24</v>
      </c>
      <c r="E30" s="13">
        <v>24</v>
      </c>
      <c r="F30" s="13">
        <v>100</v>
      </c>
      <c r="G30" s="11" t="s">
        <v>86</v>
      </c>
      <c r="H30" s="11">
        <v>6</v>
      </c>
      <c r="I30" s="11">
        <v>6</v>
      </c>
      <c r="J30" s="15">
        <v>7</v>
      </c>
      <c r="K30" s="11">
        <v>2</v>
      </c>
      <c r="L30" s="13">
        <v>27</v>
      </c>
    </row>
    <row r="31" spans="1:12" ht="15.6" x14ac:dyDescent="0.3">
      <c r="A31" s="11">
        <v>24</v>
      </c>
      <c r="B31" s="11">
        <v>2301264</v>
      </c>
      <c r="C31" s="12" t="s">
        <v>26</v>
      </c>
      <c r="D31" s="13">
        <v>14</v>
      </c>
      <c r="E31" s="13">
        <v>24</v>
      </c>
      <c r="F31" s="13">
        <v>58.333333330000002</v>
      </c>
      <c r="G31" s="11" t="s">
        <v>83</v>
      </c>
      <c r="H31" s="11">
        <v>5</v>
      </c>
      <c r="I31" s="11">
        <v>3</v>
      </c>
      <c r="J31" s="15">
        <v>3</v>
      </c>
      <c r="K31" s="11">
        <v>2</v>
      </c>
      <c r="L31" s="13">
        <v>13</v>
      </c>
    </row>
    <row r="32" spans="1:12" ht="15.6" x14ac:dyDescent="0.3">
      <c r="A32" s="11">
        <v>25</v>
      </c>
      <c r="B32" s="11">
        <v>2301265</v>
      </c>
      <c r="C32" s="12" t="s">
        <v>27</v>
      </c>
      <c r="D32" s="13">
        <v>18</v>
      </c>
      <c r="E32" s="13">
        <v>24</v>
      </c>
      <c r="F32" s="13">
        <v>75</v>
      </c>
      <c r="G32" s="11" t="s">
        <v>83</v>
      </c>
      <c r="H32" s="11">
        <v>7</v>
      </c>
      <c r="I32" s="11">
        <v>6</v>
      </c>
      <c r="J32" s="15">
        <v>6</v>
      </c>
      <c r="K32" s="11">
        <v>2</v>
      </c>
      <c r="L32" s="13">
        <v>21</v>
      </c>
    </row>
    <row r="33" spans="1:12" ht="15.6" x14ac:dyDescent="0.3">
      <c r="A33" s="11">
        <v>26</v>
      </c>
      <c r="B33" s="11">
        <v>2301267</v>
      </c>
      <c r="C33" s="12" t="s">
        <v>28</v>
      </c>
      <c r="D33" s="13">
        <v>18</v>
      </c>
      <c r="E33" s="13">
        <v>22</v>
      </c>
      <c r="F33" s="13">
        <v>81.818181820000007</v>
      </c>
      <c r="G33" s="11" t="s">
        <v>90</v>
      </c>
      <c r="H33" s="11">
        <v>7</v>
      </c>
      <c r="I33" s="11">
        <v>4</v>
      </c>
      <c r="J33" s="15">
        <v>7</v>
      </c>
      <c r="K33" s="11">
        <v>2</v>
      </c>
      <c r="L33" s="13">
        <v>23</v>
      </c>
    </row>
    <row r="34" spans="1:12" ht="15.6" x14ac:dyDescent="0.3">
      <c r="A34" s="11">
        <v>27</v>
      </c>
      <c r="B34" s="11">
        <v>2301268</v>
      </c>
      <c r="C34" s="12" t="s">
        <v>29</v>
      </c>
      <c r="D34" s="13">
        <v>10</v>
      </c>
      <c r="E34" s="13">
        <v>22</v>
      </c>
      <c r="F34" s="13">
        <v>45.454545449999998</v>
      </c>
      <c r="G34" s="11" t="s">
        <v>83</v>
      </c>
      <c r="H34" s="11">
        <v>7</v>
      </c>
      <c r="I34" s="11">
        <v>6</v>
      </c>
      <c r="J34" s="15">
        <v>7</v>
      </c>
      <c r="K34" s="11">
        <v>2</v>
      </c>
      <c r="L34" s="13">
        <v>22</v>
      </c>
    </row>
    <row r="35" spans="1:12" ht="15.6" x14ac:dyDescent="0.3">
      <c r="A35" s="11">
        <v>28</v>
      </c>
      <c r="B35" s="11">
        <v>2301269</v>
      </c>
      <c r="C35" s="12" t="s">
        <v>30</v>
      </c>
      <c r="D35" s="13">
        <v>20</v>
      </c>
      <c r="E35" s="13">
        <v>22</v>
      </c>
      <c r="F35" s="13">
        <v>90.909090910000003</v>
      </c>
      <c r="G35" s="11" t="s">
        <v>89</v>
      </c>
      <c r="H35" s="11">
        <v>6</v>
      </c>
      <c r="I35" s="11">
        <v>5</v>
      </c>
      <c r="J35" s="15">
        <v>7</v>
      </c>
      <c r="K35" s="11">
        <v>2</v>
      </c>
      <c r="L35" s="13">
        <v>25</v>
      </c>
    </row>
    <row r="36" spans="1:12" ht="15.6" x14ac:dyDescent="0.3">
      <c r="A36" s="11">
        <v>29</v>
      </c>
      <c r="B36" s="11">
        <v>2301270</v>
      </c>
      <c r="C36" s="12" t="s">
        <v>31</v>
      </c>
      <c r="D36" s="13">
        <v>14</v>
      </c>
      <c r="E36" s="13">
        <v>22</v>
      </c>
      <c r="F36" s="13">
        <v>63.636363639999999</v>
      </c>
      <c r="G36" s="11" t="s">
        <v>83</v>
      </c>
      <c r="H36" s="11">
        <v>7</v>
      </c>
      <c r="I36" s="11">
        <v>6</v>
      </c>
      <c r="J36" s="15">
        <v>6</v>
      </c>
      <c r="K36" s="11">
        <v>2</v>
      </c>
      <c r="L36" s="13">
        <v>21</v>
      </c>
    </row>
    <row r="37" spans="1:12" ht="15.6" x14ac:dyDescent="0.3">
      <c r="A37" s="11">
        <v>30</v>
      </c>
      <c r="B37" s="11">
        <v>2301271</v>
      </c>
      <c r="C37" s="12" t="s">
        <v>32</v>
      </c>
      <c r="D37" s="13">
        <v>12</v>
      </c>
      <c r="E37" s="13">
        <v>22</v>
      </c>
      <c r="F37" s="13">
        <v>54.545454550000002</v>
      </c>
      <c r="G37" s="11" t="s">
        <v>83</v>
      </c>
      <c r="H37" s="11">
        <v>7</v>
      </c>
      <c r="I37" s="11">
        <v>6</v>
      </c>
      <c r="J37" s="15">
        <v>7</v>
      </c>
      <c r="K37" s="11">
        <v>2</v>
      </c>
      <c r="L37" s="13">
        <v>22</v>
      </c>
    </row>
    <row r="38" spans="1:12" ht="15.6" x14ac:dyDescent="0.3">
      <c r="A38" s="11">
        <v>31</v>
      </c>
      <c r="B38" s="11">
        <v>2301272</v>
      </c>
      <c r="C38" s="12" t="s">
        <v>33</v>
      </c>
      <c r="D38" s="13">
        <v>4</v>
      </c>
      <c r="E38" s="13">
        <v>22</v>
      </c>
      <c r="F38" s="13">
        <v>18.18181818</v>
      </c>
      <c r="G38" s="11" t="s">
        <v>83</v>
      </c>
      <c r="H38" s="11">
        <v>5</v>
      </c>
      <c r="I38" s="11">
        <v>4</v>
      </c>
      <c r="J38" s="15">
        <v>1</v>
      </c>
      <c r="K38" s="11">
        <v>2</v>
      </c>
      <c r="L38" s="13">
        <v>12</v>
      </c>
    </row>
    <row r="39" spans="1:12" ht="15.6" x14ac:dyDescent="0.3">
      <c r="A39" s="11">
        <v>32</v>
      </c>
      <c r="B39" s="11">
        <v>2301273</v>
      </c>
      <c r="C39" s="12" t="s">
        <v>34</v>
      </c>
      <c r="D39" s="13">
        <v>18</v>
      </c>
      <c r="E39" s="13">
        <v>22</v>
      </c>
      <c r="F39" s="13">
        <v>81.818181820000007</v>
      </c>
      <c r="G39" s="11" t="s">
        <v>90</v>
      </c>
      <c r="H39" s="11">
        <v>6</v>
      </c>
      <c r="I39" s="11">
        <v>4</v>
      </c>
      <c r="J39" s="15">
        <v>7</v>
      </c>
      <c r="K39" s="11">
        <v>2</v>
      </c>
      <c r="L39" s="13">
        <v>22</v>
      </c>
    </row>
    <row r="40" spans="1:12" ht="15.6" x14ac:dyDescent="0.3">
      <c r="A40" s="11">
        <v>33</v>
      </c>
      <c r="B40" s="11">
        <v>2301274</v>
      </c>
      <c r="C40" s="12" t="s">
        <v>35</v>
      </c>
      <c r="D40" s="13">
        <v>22</v>
      </c>
      <c r="E40" s="13">
        <v>22</v>
      </c>
      <c r="F40" s="13">
        <v>100</v>
      </c>
      <c r="G40" s="11" t="s">
        <v>86</v>
      </c>
      <c r="H40" s="11">
        <v>6</v>
      </c>
      <c r="I40" s="11">
        <v>4</v>
      </c>
      <c r="J40" s="15">
        <v>9</v>
      </c>
      <c r="K40" s="11">
        <v>2</v>
      </c>
      <c r="L40" s="13">
        <v>27</v>
      </c>
    </row>
    <row r="41" spans="1:12" ht="15.6" x14ac:dyDescent="0.3">
      <c r="A41" s="11">
        <v>34</v>
      </c>
      <c r="B41" s="11">
        <v>2301275</v>
      </c>
      <c r="C41" s="12" t="s">
        <v>36</v>
      </c>
      <c r="D41" s="13">
        <v>22</v>
      </c>
      <c r="E41" s="13">
        <v>22</v>
      </c>
      <c r="F41" s="13">
        <v>100</v>
      </c>
      <c r="G41" s="11" t="s">
        <v>86</v>
      </c>
      <c r="H41" s="11">
        <v>5</v>
      </c>
      <c r="I41" s="11">
        <v>6</v>
      </c>
      <c r="J41" s="15">
        <v>6</v>
      </c>
      <c r="K41" s="11">
        <v>2</v>
      </c>
      <c r="L41" s="13">
        <v>25</v>
      </c>
    </row>
    <row r="42" spans="1:12" ht="15.6" x14ac:dyDescent="0.3">
      <c r="A42" s="11">
        <v>35</v>
      </c>
      <c r="B42" s="11">
        <v>2301277</v>
      </c>
      <c r="C42" s="12" t="s">
        <v>37</v>
      </c>
      <c r="D42" s="13">
        <v>16</v>
      </c>
      <c r="E42" s="13">
        <v>22</v>
      </c>
      <c r="F42" s="13">
        <v>72.727272729999996</v>
      </c>
      <c r="G42" s="11" t="s">
        <v>83</v>
      </c>
      <c r="H42" s="11">
        <v>7</v>
      </c>
      <c r="I42" s="11">
        <v>6</v>
      </c>
      <c r="J42" s="15">
        <v>6</v>
      </c>
      <c r="K42" s="11">
        <v>2</v>
      </c>
      <c r="L42" s="13">
        <v>21</v>
      </c>
    </row>
    <row r="43" spans="1:12" ht="15.6" x14ac:dyDescent="0.3">
      <c r="A43" s="11">
        <v>36</v>
      </c>
      <c r="B43" s="11">
        <v>2301278</v>
      </c>
      <c r="C43" s="12" t="s">
        <v>38</v>
      </c>
      <c r="D43" s="13">
        <v>0</v>
      </c>
      <c r="E43" s="13">
        <v>22</v>
      </c>
      <c r="F43" s="13">
        <v>0</v>
      </c>
      <c r="G43" s="11" t="s">
        <v>83</v>
      </c>
      <c r="H43" s="11">
        <v>7</v>
      </c>
      <c r="I43" s="11">
        <v>4</v>
      </c>
      <c r="J43" s="15">
        <v>0</v>
      </c>
      <c r="K43" s="11">
        <v>2</v>
      </c>
      <c r="L43" s="13">
        <v>13</v>
      </c>
    </row>
    <row r="44" spans="1:12" ht="15.6" x14ac:dyDescent="0.3">
      <c r="A44" s="11">
        <v>37</v>
      </c>
      <c r="B44" s="11">
        <v>2301279</v>
      </c>
      <c r="C44" s="12" t="s">
        <v>39</v>
      </c>
      <c r="D44" s="13">
        <v>20</v>
      </c>
      <c r="E44" s="13">
        <v>22</v>
      </c>
      <c r="F44" s="13">
        <v>90.909090910000003</v>
      </c>
      <c r="G44" s="11" t="s">
        <v>89</v>
      </c>
      <c r="H44" s="11">
        <v>6</v>
      </c>
      <c r="I44" s="11">
        <v>4</v>
      </c>
      <c r="J44" s="15">
        <v>6</v>
      </c>
      <c r="K44" s="11">
        <v>2</v>
      </c>
      <c r="L44" s="13">
        <v>23</v>
      </c>
    </row>
    <row r="45" spans="1:12" ht="15.6" x14ac:dyDescent="0.3">
      <c r="A45" s="11">
        <v>38</v>
      </c>
      <c r="B45" s="11">
        <v>2339508</v>
      </c>
      <c r="C45" s="12" t="s">
        <v>40</v>
      </c>
      <c r="D45" s="13">
        <v>14</v>
      </c>
      <c r="E45" s="13">
        <v>22</v>
      </c>
      <c r="F45" s="13">
        <v>63.636363639999999</v>
      </c>
      <c r="G45" s="11" t="s">
        <v>83</v>
      </c>
      <c r="H45" s="11">
        <v>7</v>
      </c>
      <c r="I45" s="11">
        <v>7</v>
      </c>
      <c r="J45" s="15">
        <v>7</v>
      </c>
      <c r="K45" s="11">
        <v>2</v>
      </c>
      <c r="L45" s="13">
        <v>23</v>
      </c>
    </row>
    <row r="46" spans="1:12" ht="15.6" x14ac:dyDescent="0.3">
      <c r="A46" s="11">
        <v>39</v>
      </c>
      <c r="B46" s="11">
        <v>2301280</v>
      </c>
      <c r="C46" s="12" t="s">
        <v>41</v>
      </c>
      <c r="D46" s="13">
        <v>14</v>
      </c>
      <c r="E46" s="13">
        <v>22</v>
      </c>
      <c r="F46" s="13">
        <v>63.636363639999999</v>
      </c>
      <c r="G46" s="11" t="s">
        <v>83</v>
      </c>
      <c r="H46" s="11">
        <v>6</v>
      </c>
      <c r="I46" s="11">
        <v>6</v>
      </c>
      <c r="J46" s="15">
        <v>7</v>
      </c>
      <c r="K46" s="11">
        <v>2</v>
      </c>
      <c r="L46" s="13">
        <v>21</v>
      </c>
    </row>
    <row r="47" spans="1:12" ht="15.6" x14ac:dyDescent="0.3">
      <c r="A47" s="11">
        <v>40</v>
      </c>
      <c r="B47" s="11">
        <v>2301281</v>
      </c>
      <c r="C47" s="12" t="s">
        <v>42</v>
      </c>
      <c r="D47" s="13">
        <v>14</v>
      </c>
      <c r="E47" s="13">
        <v>22</v>
      </c>
      <c r="F47" s="13">
        <v>63.636363639999999</v>
      </c>
      <c r="G47" s="11" t="s">
        <v>83</v>
      </c>
      <c r="H47" s="11">
        <v>7</v>
      </c>
      <c r="I47" s="11">
        <v>6</v>
      </c>
      <c r="J47" s="15">
        <v>7</v>
      </c>
      <c r="K47" s="11">
        <v>2</v>
      </c>
      <c r="L47" s="13">
        <v>22</v>
      </c>
    </row>
    <row r="48" spans="1:12" ht="15.6" x14ac:dyDescent="0.3">
      <c r="A48" s="11">
        <v>41</v>
      </c>
      <c r="B48" s="11">
        <v>2339509</v>
      </c>
      <c r="C48" s="12" t="s">
        <v>43</v>
      </c>
      <c r="D48" s="13">
        <v>2</v>
      </c>
      <c r="E48" s="13">
        <v>22</v>
      </c>
      <c r="F48" s="13">
        <v>9.0909090910000003</v>
      </c>
      <c r="G48" s="11" t="s">
        <v>83</v>
      </c>
      <c r="H48" s="11">
        <v>6</v>
      </c>
      <c r="I48" s="11">
        <v>4</v>
      </c>
      <c r="J48" s="15">
        <v>0</v>
      </c>
      <c r="K48" s="11">
        <v>2</v>
      </c>
      <c r="L48" s="13">
        <v>12</v>
      </c>
    </row>
    <row r="49" spans="1:12" ht="15.6" x14ac:dyDescent="0.3">
      <c r="A49" s="11">
        <v>42</v>
      </c>
      <c r="B49" s="11">
        <v>2301283</v>
      </c>
      <c r="C49" s="12" t="s">
        <v>44</v>
      </c>
      <c r="D49" s="13">
        <v>18</v>
      </c>
      <c r="E49" s="13">
        <v>22</v>
      </c>
      <c r="F49" s="13">
        <v>81.818181820000007</v>
      </c>
      <c r="G49" s="11" t="s">
        <v>90</v>
      </c>
      <c r="H49" s="11">
        <v>4</v>
      </c>
      <c r="I49" s="11">
        <v>4</v>
      </c>
      <c r="J49" s="15">
        <v>4</v>
      </c>
      <c r="K49" s="11">
        <v>2</v>
      </c>
      <c r="L49" s="13">
        <v>17</v>
      </c>
    </row>
    <row r="50" spans="1:12" ht="15.6" x14ac:dyDescent="0.3">
      <c r="A50" s="11">
        <v>43</v>
      </c>
      <c r="B50" s="11">
        <v>2301285</v>
      </c>
      <c r="C50" s="12" t="s">
        <v>45</v>
      </c>
      <c r="D50" s="13">
        <v>14</v>
      </c>
      <c r="E50" s="13">
        <v>22</v>
      </c>
      <c r="F50" s="13">
        <v>63.636363639999999</v>
      </c>
      <c r="G50" s="11" t="s">
        <v>83</v>
      </c>
      <c r="H50" s="11">
        <v>7</v>
      </c>
      <c r="I50" s="11">
        <v>6</v>
      </c>
      <c r="J50" s="15">
        <v>7</v>
      </c>
      <c r="K50" s="11">
        <v>2</v>
      </c>
      <c r="L50" s="13">
        <v>22</v>
      </c>
    </row>
    <row r="51" spans="1:12" ht="15.6" x14ac:dyDescent="0.3">
      <c r="A51" s="38">
        <v>44</v>
      </c>
      <c r="B51" s="38">
        <v>2301286</v>
      </c>
      <c r="C51" s="39" t="s">
        <v>46</v>
      </c>
      <c r="D51" s="32">
        <v>6</v>
      </c>
      <c r="E51" s="32">
        <v>22</v>
      </c>
      <c r="F51" s="32">
        <v>27.272727270000001</v>
      </c>
      <c r="G51" s="38" t="s">
        <v>83</v>
      </c>
      <c r="H51" s="38">
        <v>0</v>
      </c>
      <c r="I51" s="38">
        <v>0</v>
      </c>
      <c r="J51" s="40">
        <v>0</v>
      </c>
      <c r="K51" s="38">
        <v>2</v>
      </c>
      <c r="L51" s="32">
        <v>2</v>
      </c>
    </row>
    <row r="52" spans="1:12" ht="15.6" x14ac:dyDescent="0.3">
      <c r="A52" s="11">
        <v>45</v>
      </c>
      <c r="B52" s="11">
        <v>2425599</v>
      </c>
      <c r="C52" s="12" t="s">
        <v>47</v>
      </c>
      <c r="D52" s="13">
        <v>18</v>
      </c>
      <c r="E52" s="13">
        <v>22</v>
      </c>
      <c r="F52" s="13">
        <v>81.818181820000007</v>
      </c>
      <c r="G52" s="11" t="s">
        <v>90</v>
      </c>
      <c r="H52" s="11">
        <v>6</v>
      </c>
      <c r="I52" s="11">
        <v>5</v>
      </c>
      <c r="J52" s="15">
        <v>7</v>
      </c>
      <c r="K52" s="11">
        <v>2</v>
      </c>
      <c r="L52" s="13">
        <v>23</v>
      </c>
    </row>
    <row r="53" spans="1:12" ht="15.6" x14ac:dyDescent="0.3">
      <c r="A53" s="11">
        <v>46</v>
      </c>
      <c r="B53" s="11">
        <v>2425600</v>
      </c>
      <c r="C53" s="12" t="s">
        <v>48</v>
      </c>
      <c r="D53" s="13">
        <v>18</v>
      </c>
      <c r="E53" s="13">
        <v>22</v>
      </c>
      <c r="F53" s="13">
        <v>81.818181820000007</v>
      </c>
      <c r="G53" s="11" t="s">
        <v>90</v>
      </c>
      <c r="H53" s="11">
        <v>6</v>
      </c>
      <c r="I53" s="11">
        <v>5</v>
      </c>
      <c r="J53" s="15">
        <v>8</v>
      </c>
      <c r="K53" s="11">
        <v>2</v>
      </c>
      <c r="L53" s="13">
        <v>24</v>
      </c>
    </row>
    <row r="54" spans="1:12" ht="15.6" x14ac:dyDescent="0.3">
      <c r="A54" s="11">
        <v>47</v>
      </c>
      <c r="B54" s="11">
        <v>2425601</v>
      </c>
      <c r="C54" s="12" t="s">
        <v>49</v>
      </c>
      <c r="D54" s="13">
        <v>18</v>
      </c>
      <c r="E54" s="13">
        <v>22</v>
      </c>
      <c r="F54" s="13">
        <v>81.818181820000007</v>
      </c>
      <c r="G54" s="11" t="s">
        <v>90</v>
      </c>
      <c r="H54" s="11">
        <v>7</v>
      </c>
      <c r="I54" s="11">
        <v>5</v>
      </c>
      <c r="J54" s="15">
        <v>8</v>
      </c>
      <c r="K54" s="11">
        <v>2</v>
      </c>
      <c r="L54" s="13">
        <v>25</v>
      </c>
    </row>
    <row r="55" spans="1:12" ht="15.6" x14ac:dyDescent="0.3">
      <c r="A55" s="11">
        <v>48</v>
      </c>
      <c r="B55" s="11">
        <v>2425603</v>
      </c>
      <c r="C55" s="12" t="s">
        <v>50</v>
      </c>
      <c r="D55" s="13">
        <v>18</v>
      </c>
      <c r="E55" s="13">
        <v>22</v>
      </c>
      <c r="F55" s="13">
        <v>81.818181820000007</v>
      </c>
      <c r="G55" s="11" t="s">
        <v>90</v>
      </c>
      <c r="H55" s="11">
        <v>7</v>
      </c>
      <c r="I55" s="11">
        <v>5</v>
      </c>
      <c r="J55" s="15">
        <v>9</v>
      </c>
      <c r="K55" s="11">
        <v>2</v>
      </c>
      <c r="L55" s="13">
        <v>26</v>
      </c>
    </row>
    <row r="56" spans="1:12" ht="15.6" x14ac:dyDescent="0.3">
      <c r="A56" s="11">
        <v>49</v>
      </c>
      <c r="B56" s="11">
        <v>2425604</v>
      </c>
      <c r="C56" s="12" t="s">
        <v>51</v>
      </c>
      <c r="D56" s="13">
        <v>18</v>
      </c>
      <c r="E56" s="13">
        <v>22</v>
      </c>
      <c r="F56" s="13">
        <v>81.818181820000007</v>
      </c>
      <c r="G56" s="11" t="s">
        <v>90</v>
      </c>
      <c r="H56" s="11">
        <v>5</v>
      </c>
      <c r="I56" s="11">
        <v>5</v>
      </c>
      <c r="J56" s="15">
        <v>7</v>
      </c>
      <c r="K56" s="11">
        <v>2</v>
      </c>
      <c r="L56" s="13">
        <v>22</v>
      </c>
    </row>
    <row r="57" spans="1:12" ht="15.6" x14ac:dyDescent="0.3">
      <c r="A57" s="11">
        <v>50</v>
      </c>
      <c r="B57" s="11">
        <v>2301235</v>
      </c>
      <c r="C57" s="12" t="s">
        <v>87</v>
      </c>
      <c r="D57" s="13">
        <v>16</v>
      </c>
      <c r="E57" s="13">
        <v>22</v>
      </c>
      <c r="F57" s="13">
        <v>72.727272729999996</v>
      </c>
      <c r="G57" s="11" t="s">
        <v>83</v>
      </c>
      <c r="H57" s="11">
        <v>7</v>
      </c>
      <c r="I57" s="11">
        <v>5</v>
      </c>
      <c r="J57" s="13">
        <v>7</v>
      </c>
      <c r="K57" s="11">
        <v>2</v>
      </c>
      <c r="L57" s="13">
        <v>21</v>
      </c>
    </row>
  </sheetData>
  <mergeCells count="19">
    <mergeCell ref="A1:L1"/>
    <mergeCell ref="A2:L2"/>
    <mergeCell ref="A3:L3"/>
    <mergeCell ref="A4:G4"/>
    <mergeCell ref="H4:L4"/>
    <mergeCell ref="F6:F7"/>
    <mergeCell ref="G6:G7"/>
    <mergeCell ref="A5:G5"/>
    <mergeCell ref="H5:L5"/>
    <mergeCell ref="H6:H7"/>
    <mergeCell ref="I6:I7"/>
    <mergeCell ref="J6:J7"/>
    <mergeCell ref="K6:K7"/>
    <mergeCell ref="L6:L7"/>
    <mergeCell ref="A6:A7"/>
    <mergeCell ref="B6:B7"/>
    <mergeCell ref="C6:C7"/>
    <mergeCell ref="D6:D7"/>
    <mergeCell ref="E6:E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438A-59EC-4865-8711-B0996A846566}">
  <dimension ref="A1:L57"/>
  <sheetViews>
    <sheetView workbookViewId="0">
      <selection activeCell="G8" sqref="G8"/>
    </sheetView>
  </sheetViews>
  <sheetFormatPr defaultRowHeight="13.2" x14ac:dyDescent="0.25"/>
  <sheetData>
    <row r="1" spans="1:12" ht="22.8" x14ac:dyDescent="0.4">
      <c r="A1" s="26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2.8" x14ac:dyDescent="0.4">
      <c r="A2" s="26" t="s">
        <v>73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spans="1:12" ht="20.399999999999999" x14ac:dyDescent="0.35">
      <c r="A3" s="27" t="s">
        <v>74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 spans="1:12" ht="17.399999999999999" x14ac:dyDescent="0.3">
      <c r="A4" s="5" t="s">
        <v>75</v>
      </c>
      <c r="B4" s="2"/>
      <c r="C4" s="2"/>
      <c r="D4" s="2"/>
      <c r="E4" s="2"/>
      <c r="F4" s="2"/>
      <c r="G4" s="3"/>
      <c r="H4" s="5" t="s">
        <v>76</v>
      </c>
      <c r="I4" s="2"/>
      <c r="J4" s="2"/>
      <c r="K4" s="2"/>
      <c r="L4" s="3"/>
    </row>
    <row r="5" spans="1:12" ht="17.399999999999999" x14ac:dyDescent="0.3">
      <c r="A5" s="5" t="s">
        <v>77</v>
      </c>
      <c r="B5" s="2"/>
      <c r="C5" s="2"/>
      <c r="D5" s="2"/>
      <c r="E5" s="2"/>
      <c r="F5" s="2"/>
      <c r="G5" s="3"/>
      <c r="H5" s="5" t="s">
        <v>78</v>
      </c>
      <c r="I5" s="2"/>
      <c r="J5" s="2"/>
      <c r="K5" s="2"/>
      <c r="L5" s="3"/>
    </row>
    <row r="6" spans="1:12" x14ac:dyDescent="0.25">
      <c r="A6" s="7" t="s">
        <v>0</v>
      </c>
      <c r="B6" s="7" t="s">
        <v>1</v>
      </c>
      <c r="C6" s="7" t="s">
        <v>2</v>
      </c>
      <c r="D6" s="7" t="s">
        <v>62</v>
      </c>
      <c r="E6" s="7" t="s">
        <v>61</v>
      </c>
      <c r="F6" s="7" t="s">
        <v>63</v>
      </c>
      <c r="G6" s="7" t="s">
        <v>64</v>
      </c>
      <c r="H6" s="7" t="s">
        <v>79</v>
      </c>
      <c r="I6" s="7" t="s">
        <v>80</v>
      </c>
      <c r="J6" s="7" t="s">
        <v>81</v>
      </c>
      <c r="K6" s="7" t="s">
        <v>70</v>
      </c>
      <c r="L6" s="7" t="s">
        <v>82</v>
      </c>
    </row>
    <row r="7" spans="1:12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5.6" x14ac:dyDescent="0.3">
      <c r="A8" s="11">
        <v>1</v>
      </c>
      <c r="B8" s="11">
        <v>2301236</v>
      </c>
      <c r="C8" s="12" t="s">
        <v>3</v>
      </c>
      <c r="D8" s="13">
        <v>11</v>
      </c>
      <c r="E8" s="28">
        <v>20</v>
      </c>
      <c r="F8" s="13">
        <v>55</v>
      </c>
      <c r="G8" s="11" t="s">
        <v>83</v>
      </c>
      <c r="H8" s="14">
        <v>7</v>
      </c>
      <c r="I8" s="14">
        <v>0</v>
      </c>
      <c r="J8" s="28">
        <v>4</v>
      </c>
      <c r="K8" s="14">
        <v>2</v>
      </c>
      <c r="L8" s="13">
        <v>13</v>
      </c>
    </row>
    <row r="9" spans="1:12" ht="15.6" x14ac:dyDescent="0.3">
      <c r="A9" s="11">
        <v>2</v>
      </c>
      <c r="B9" s="11">
        <v>2301237</v>
      </c>
      <c r="C9" s="12" t="s">
        <v>4</v>
      </c>
      <c r="D9" s="13">
        <v>18</v>
      </c>
      <c r="E9" s="28">
        <v>20</v>
      </c>
      <c r="F9" s="13">
        <v>90</v>
      </c>
      <c r="G9" s="11" t="s">
        <v>84</v>
      </c>
      <c r="H9" s="14">
        <v>7</v>
      </c>
      <c r="I9" s="14">
        <v>5</v>
      </c>
      <c r="J9" s="28">
        <v>7</v>
      </c>
      <c r="K9" s="14">
        <v>2</v>
      </c>
      <c r="L9" s="13">
        <v>25</v>
      </c>
    </row>
    <row r="10" spans="1:12" ht="15.6" x14ac:dyDescent="0.3">
      <c r="A10" s="11">
        <v>3</v>
      </c>
      <c r="B10" s="11">
        <v>2301238</v>
      </c>
      <c r="C10" s="12" t="s">
        <v>5</v>
      </c>
      <c r="D10" s="13">
        <v>16</v>
      </c>
      <c r="E10" s="28">
        <v>20</v>
      </c>
      <c r="F10" s="13">
        <v>80</v>
      </c>
      <c r="G10" s="11" t="s">
        <v>85</v>
      </c>
      <c r="H10" s="14">
        <v>7</v>
      </c>
      <c r="I10" s="14">
        <v>6</v>
      </c>
      <c r="J10" s="28">
        <v>5</v>
      </c>
      <c r="K10" s="14">
        <v>2</v>
      </c>
      <c r="L10" s="13">
        <v>22</v>
      </c>
    </row>
    <row r="11" spans="1:12" ht="15.6" x14ac:dyDescent="0.3">
      <c r="A11" s="11">
        <v>4</v>
      </c>
      <c r="B11" s="11">
        <v>2301240</v>
      </c>
      <c r="C11" s="12" t="s">
        <v>6</v>
      </c>
      <c r="D11" s="13">
        <v>14</v>
      </c>
      <c r="E11" s="28">
        <v>20</v>
      </c>
      <c r="F11" s="13">
        <v>70</v>
      </c>
      <c r="G11" s="11" t="s">
        <v>83</v>
      </c>
      <c r="H11" s="14">
        <v>7</v>
      </c>
      <c r="I11" s="14">
        <v>6</v>
      </c>
      <c r="J11" s="28">
        <v>9</v>
      </c>
      <c r="K11" s="14">
        <v>2</v>
      </c>
      <c r="L11" s="13">
        <v>24</v>
      </c>
    </row>
    <row r="12" spans="1:12" ht="15.6" x14ac:dyDescent="0.3">
      <c r="A12" s="11">
        <v>5</v>
      </c>
      <c r="B12" s="11">
        <v>2301241</v>
      </c>
      <c r="C12" s="12" t="s">
        <v>7</v>
      </c>
      <c r="D12" s="41">
        <v>16</v>
      </c>
      <c r="E12" s="28">
        <v>20</v>
      </c>
      <c r="F12" s="13">
        <v>80</v>
      </c>
      <c r="G12" s="11" t="s">
        <v>85</v>
      </c>
      <c r="H12" s="14">
        <v>7</v>
      </c>
      <c r="I12" s="14">
        <v>6</v>
      </c>
      <c r="J12" s="28">
        <v>9</v>
      </c>
      <c r="K12" s="14">
        <v>2</v>
      </c>
      <c r="L12" s="13">
        <v>26</v>
      </c>
    </row>
    <row r="13" spans="1:12" ht="15.6" x14ac:dyDescent="0.3">
      <c r="A13" s="11">
        <v>6</v>
      </c>
      <c r="B13" s="11">
        <v>2301242</v>
      </c>
      <c r="C13" s="12" t="s">
        <v>8</v>
      </c>
      <c r="D13" s="13">
        <v>12</v>
      </c>
      <c r="E13" s="28">
        <v>20</v>
      </c>
      <c r="F13" s="13">
        <v>60</v>
      </c>
      <c r="G13" s="11" t="s">
        <v>83</v>
      </c>
      <c r="H13" s="14">
        <v>7</v>
      </c>
      <c r="I13" s="14">
        <v>5</v>
      </c>
      <c r="J13" s="28">
        <v>8</v>
      </c>
      <c r="K13" s="14">
        <v>2</v>
      </c>
      <c r="L13" s="13">
        <v>22</v>
      </c>
    </row>
    <row r="14" spans="1:12" ht="15.6" x14ac:dyDescent="0.3">
      <c r="A14" s="11">
        <v>7</v>
      </c>
      <c r="B14" s="11">
        <v>2301243</v>
      </c>
      <c r="C14" s="12" t="s">
        <v>9</v>
      </c>
      <c r="D14" s="13">
        <v>14</v>
      </c>
      <c r="E14" s="28">
        <v>20</v>
      </c>
      <c r="F14" s="13">
        <v>70</v>
      </c>
      <c r="G14" s="11" t="s">
        <v>83</v>
      </c>
      <c r="H14" s="14">
        <v>7</v>
      </c>
      <c r="I14" s="14">
        <v>6</v>
      </c>
      <c r="J14" s="28">
        <v>7</v>
      </c>
      <c r="K14" s="14">
        <v>2</v>
      </c>
      <c r="L14" s="13">
        <v>22</v>
      </c>
    </row>
    <row r="15" spans="1:12" ht="15.6" x14ac:dyDescent="0.3">
      <c r="A15" s="11">
        <v>8</v>
      </c>
      <c r="B15" s="11">
        <v>2301245</v>
      </c>
      <c r="C15" s="12" t="s">
        <v>10</v>
      </c>
      <c r="D15" s="13">
        <v>20</v>
      </c>
      <c r="E15" s="28">
        <v>20</v>
      </c>
      <c r="F15" s="13">
        <v>100</v>
      </c>
      <c r="G15" s="11" t="s">
        <v>86</v>
      </c>
      <c r="H15" s="14">
        <v>7</v>
      </c>
      <c r="I15" s="14">
        <v>6</v>
      </c>
      <c r="J15" s="28">
        <v>6</v>
      </c>
      <c r="K15" s="14">
        <v>2</v>
      </c>
      <c r="L15" s="13">
        <v>27</v>
      </c>
    </row>
    <row r="16" spans="1:12" ht="15.6" x14ac:dyDescent="0.3">
      <c r="A16" s="11">
        <v>9</v>
      </c>
      <c r="B16" s="11">
        <v>2301247</v>
      </c>
      <c r="C16" s="12" t="s">
        <v>11</v>
      </c>
      <c r="D16" s="13">
        <v>8</v>
      </c>
      <c r="E16" s="28">
        <v>20</v>
      </c>
      <c r="F16" s="13">
        <v>40</v>
      </c>
      <c r="G16" s="11" t="s">
        <v>83</v>
      </c>
      <c r="H16" s="14">
        <v>7</v>
      </c>
      <c r="I16" s="14">
        <v>3</v>
      </c>
      <c r="J16" s="28">
        <v>3</v>
      </c>
      <c r="K16" s="14">
        <v>2</v>
      </c>
      <c r="L16" s="13">
        <v>15</v>
      </c>
    </row>
    <row r="17" spans="1:12" ht="15.6" x14ac:dyDescent="0.3">
      <c r="A17" s="11">
        <v>10</v>
      </c>
      <c r="B17" s="11">
        <v>2301249</v>
      </c>
      <c r="C17" s="12" t="s">
        <v>12</v>
      </c>
      <c r="D17" s="13">
        <v>16</v>
      </c>
      <c r="E17" s="28">
        <v>20</v>
      </c>
      <c r="F17" s="13">
        <v>80</v>
      </c>
      <c r="G17" s="11" t="s">
        <v>85</v>
      </c>
      <c r="H17" s="14">
        <v>7</v>
      </c>
      <c r="I17" s="14">
        <v>6</v>
      </c>
      <c r="J17" s="28">
        <v>6</v>
      </c>
      <c r="K17" s="14">
        <v>2</v>
      </c>
      <c r="L17" s="13">
        <v>23</v>
      </c>
    </row>
    <row r="18" spans="1:12" ht="15.6" x14ac:dyDescent="0.3">
      <c r="A18" s="11">
        <v>11</v>
      </c>
      <c r="B18" s="11">
        <v>2301250</v>
      </c>
      <c r="C18" s="12" t="s">
        <v>13</v>
      </c>
      <c r="D18" s="13">
        <v>16</v>
      </c>
      <c r="E18" s="28">
        <v>20</v>
      </c>
      <c r="F18" s="13">
        <v>80</v>
      </c>
      <c r="G18" s="11" t="s">
        <v>85</v>
      </c>
      <c r="H18" s="14">
        <v>7</v>
      </c>
      <c r="I18" s="14">
        <v>5</v>
      </c>
      <c r="J18" s="28">
        <v>5</v>
      </c>
      <c r="K18" s="14">
        <v>2</v>
      </c>
      <c r="L18" s="13">
        <v>21</v>
      </c>
    </row>
    <row r="19" spans="1:12" ht="15.6" x14ac:dyDescent="0.3">
      <c r="A19" s="11">
        <v>12</v>
      </c>
      <c r="B19" s="11">
        <v>2301251</v>
      </c>
      <c r="C19" s="12" t="s">
        <v>14</v>
      </c>
      <c r="D19" s="13">
        <v>12</v>
      </c>
      <c r="E19" s="28">
        <v>20</v>
      </c>
      <c r="F19" s="13">
        <v>60</v>
      </c>
      <c r="G19" s="11" t="s">
        <v>83</v>
      </c>
      <c r="H19" s="14">
        <v>7</v>
      </c>
      <c r="I19" s="14">
        <v>1</v>
      </c>
      <c r="J19" s="28">
        <v>5</v>
      </c>
      <c r="K19" s="14">
        <v>2</v>
      </c>
      <c r="L19" s="13">
        <v>15</v>
      </c>
    </row>
    <row r="20" spans="1:12" ht="15.6" x14ac:dyDescent="0.3">
      <c r="A20" s="11">
        <v>13</v>
      </c>
      <c r="B20" s="11">
        <v>2301252</v>
      </c>
      <c r="C20" s="12" t="s">
        <v>15</v>
      </c>
      <c r="D20" s="13">
        <v>12</v>
      </c>
      <c r="E20" s="28">
        <v>20</v>
      </c>
      <c r="F20" s="13">
        <v>60</v>
      </c>
      <c r="G20" s="11" t="s">
        <v>83</v>
      </c>
      <c r="H20" s="14">
        <v>7</v>
      </c>
      <c r="I20" s="14">
        <v>6</v>
      </c>
      <c r="J20" s="28">
        <v>7</v>
      </c>
      <c r="K20" s="14">
        <v>2</v>
      </c>
      <c r="L20" s="13">
        <v>22</v>
      </c>
    </row>
    <row r="21" spans="1:12" ht="15.6" x14ac:dyDescent="0.3">
      <c r="A21" s="11">
        <v>14</v>
      </c>
      <c r="B21" s="11">
        <v>2301253</v>
      </c>
      <c r="C21" s="12" t="s">
        <v>16</v>
      </c>
      <c r="D21" s="41">
        <v>16</v>
      </c>
      <c r="E21" s="28">
        <v>20</v>
      </c>
      <c r="F21" s="13">
        <v>80</v>
      </c>
      <c r="G21" s="11" t="s">
        <v>85</v>
      </c>
      <c r="H21" s="14">
        <v>7</v>
      </c>
      <c r="I21" s="14">
        <v>6</v>
      </c>
      <c r="J21" s="28">
        <v>7</v>
      </c>
      <c r="K21" s="14">
        <v>2</v>
      </c>
      <c r="L21" s="13">
        <v>24</v>
      </c>
    </row>
    <row r="22" spans="1:12" ht="15.6" x14ac:dyDescent="0.3">
      <c r="A22" s="11">
        <v>15</v>
      </c>
      <c r="B22" s="11">
        <v>2301255</v>
      </c>
      <c r="C22" s="12" t="s">
        <v>17</v>
      </c>
      <c r="D22" s="41">
        <v>16</v>
      </c>
      <c r="E22" s="28">
        <v>20</v>
      </c>
      <c r="F22" s="13">
        <v>80</v>
      </c>
      <c r="G22" s="11" t="s">
        <v>85</v>
      </c>
      <c r="H22" s="14">
        <v>7</v>
      </c>
      <c r="I22" s="14">
        <v>6</v>
      </c>
      <c r="J22" s="28">
        <v>9</v>
      </c>
      <c r="K22" s="14">
        <v>2</v>
      </c>
      <c r="L22" s="13">
        <v>26</v>
      </c>
    </row>
    <row r="23" spans="1:12" ht="15.6" x14ac:dyDescent="0.3">
      <c r="A23" s="11">
        <v>16</v>
      </c>
      <c r="B23" s="11">
        <v>2301256</v>
      </c>
      <c r="C23" s="12" t="s">
        <v>18</v>
      </c>
      <c r="D23" s="13">
        <v>20</v>
      </c>
      <c r="E23" s="28">
        <v>20</v>
      </c>
      <c r="F23" s="13">
        <v>100</v>
      </c>
      <c r="G23" s="11" t="s">
        <v>86</v>
      </c>
      <c r="H23" s="14">
        <v>7</v>
      </c>
      <c r="I23" s="14">
        <v>4</v>
      </c>
      <c r="J23" s="28">
        <v>5</v>
      </c>
      <c r="K23" s="14">
        <v>2</v>
      </c>
      <c r="L23" s="13">
        <v>24</v>
      </c>
    </row>
    <row r="24" spans="1:12" ht="15.6" x14ac:dyDescent="0.3">
      <c r="A24" s="11">
        <v>17</v>
      </c>
      <c r="B24" s="11">
        <v>2301257</v>
      </c>
      <c r="C24" s="12" t="s">
        <v>19</v>
      </c>
      <c r="D24" s="13">
        <v>10</v>
      </c>
      <c r="E24" s="28">
        <v>20</v>
      </c>
      <c r="F24" s="13">
        <v>50</v>
      </c>
      <c r="G24" s="11" t="s">
        <v>83</v>
      </c>
      <c r="H24" s="14">
        <v>7</v>
      </c>
      <c r="I24" s="14">
        <v>6</v>
      </c>
      <c r="J24" s="28">
        <v>7</v>
      </c>
      <c r="K24" s="14">
        <v>2</v>
      </c>
      <c r="L24" s="13">
        <v>22</v>
      </c>
    </row>
    <row r="25" spans="1:12" ht="15.6" x14ac:dyDescent="0.3">
      <c r="A25" s="11">
        <v>18</v>
      </c>
      <c r="B25" s="11">
        <v>2301258</v>
      </c>
      <c r="C25" s="12" t="s">
        <v>20</v>
      </c>
      <c r="D25" s="13">
        <v>2</v>
      </c>
      <c r="E25" s="28">
        <v>20</v>
      </c>
      <c r="F25" s="13">
        <v>10</v>
      </c>
      <c r="G25" s="11" t="s">
        <v>83</v>
      </c>
      <c r="H25" s="14">
        <v>7</v>
      </c>
      <c r="I25" s="14">
        <v>0</v>
      </c>
      <c r="J25" s="28">
        <v>4</v>
      </c>
      <c r="K25" s="14">
        <v>2</v>
      </c>
      <c r="L25" s="13">
        <v>13</v>
      </c>
    </row>
    <row r="26" spans="1:12" ht="15.6" x14ac:dyDescent="0.3">
      <c r="A26" s="11">
        <v>19</v>
      </c>
      <c r="B26" s="11">
        <v>2301259</v>
      </c>
      <c r="C26" s="12" t="s">
        <v>21</v>
      </c>
      <c r="D26" s="13">
        <v>10</v>
      </c>
      <c r="E26" s="28">
        <v>20</v>
      </c>
      <c r="F26" s="13">
        <v>50</v>
      </c>
      <c r="G26" s="11" t="s">
        <v>83</v>
      </c>
      <c r="H26" s="14">
        <v>7</v>
      </c>
      <c r="I26" s="14">
        <v>6</v>
      </c>
      <c r="J26" s="28">
        <v>9</v>
      </c>
      <c r="K26" s="14">
        <v>2</v>
      </c>
      <c r="L26" s="13">
        <v>24</v>
      </c>
    </row>
    <row r="27" spans="1:12" ht="15.6" x14ac:dyDescent="0.3">
      <c r="A27" s="11">
        <v>20</v>
      </c>
      <c r="B27" s="11">
        <v>2301260</v>
      </c>
      <c r="C27" s="12" t="s">
        <v>22</v>
      </c>
      <c r="D27" s="13">
        <v>14</v>
      </c>
      <c r="E27" s="28">
        <v>20</v>
      </c>
      <c r="F27" s="13">
        <v>70</v>
      </c>
      <c r="G27" s="11" t="s">
        <v>83</v>
      </c>
      <c r="H27" s="14">
        <v>7</v>
      </c>
      <c r="I27" s="14">
        <v>6</v>
      </c>
      <c r="J27" s="28">
        <v>7</v>
      </c>
      <c r="K27" s="14">
        <v>2</v>
      </c>
      <c r="L27" s="13">
        <v>22</v>
      </c>
    </row>
    <row r="28" spans="1:12" ht="15.6" x14ac:dyDescent="0.3">
      <c r="A28" s="11">
        <v>21</v>
      </c>
      <c r="B28" s="11">
        <v>2301261</v>
      </c>
      <c r="C28" s="12" t="s">
        <v>23</v>
      </c>
      <c r="D28" s="13">
        <v>10</v>
      </c>
      <c r="E28" s="28">
        <v>20</v>
      </c>
      <c r="F28" s="13">
        <v>50</v>
      </c>
      <c r="G28" s="11" t="s">
        <v>83</v>
      </c>
      <c r="H28" s="14">
        <v>7</v>
      </c>
      <c r="I28" s="14">
        <v>6</v>
      </c>
      <c r="J28" s="28">
        <v>6</v>
      </c>
      <c r="K28" s="14">
        <v>2</v>
      </c>
      <c r="L28" s="13">
        <v>21</v>
      </c>
    </row>
    <row r="29" spans="1:12" ht="15.6" x14ac:dyDescent="0.3">
      <c r="A29" s="11">
        <v>22</v>
      </c>
      <c r="B29" s="11">
        <v>2301262</v>
      </c>
      <c r="C29" s="12" t="s">
        <v>24</v>
      </c>
      <c r="D29" s="13">
        <v>16</v>
      </c>
      <c r="E29" s="28">
        <v>20</v>
      </c>
      <c r="F29" s="13">
        <v>80</v>
      </c>
      <c r="G29" s="11" t="s">
        <v>85</v>
      </c>
      <c r="H29" s="14">
        <v>7</v>
      </c>
      <c r="I29" s="14">
        <v>6</v>
      </c>
      <c r="J29" s="28">
        <v>6</v>
      </c>
      <c r="K29" s="14">
        <v>2</v>
      </c>
      <c r="L29" s="13">
        <v>23</v>
      </c>
    </row>
    <row r="30" spans="1:12" ht="15.6" x14ac:dyDescent="0.3">
      <c r="A30" s="11">
        <v>23</v>
      </c>
      <c r="B30" s="11">
        <v>2301263</v>
      </c>
      <c r="C30" s="12" t="s">
        <v>25</v>
      </c>
      <c r="D30" s="13">
        <v>20</v>
      </c>
      <c r="E30" s="28">
        <v>20</v>
      </c>
      <c r="F30" s="13">
        <v>100</v>
      </c>
      <c r="G30" s="11" t="s">
        <v>86</v>
      </c>
      <c r="H30" s="14">
        <v>7</v>
      </c>
      <c r="I30" s="14">
        <v>6</v>
      </c>
      <c r="J30" s="28">
        <v>6</v>
      </c>
      <c r="K30" s="14">
        <v>2</v>
      </c>
      <c r="L30" s="13">
        <v>27</v>
      </c>
    </row>
    <row r="31" spans="1:12" ht="15.6" x14ac:dyDescent="0.3">
      <c r="A31" s="11">
        <v>24</v>
      </c>
      <c r="B31" s="11">
        <v>2301264</v>
      </c>
      <c r="C31" s="12" t="s">
        <v>26</v>
      </c>
      <c r="D31" s="13">
        <v>8</v>
      </c>
      <c r="E31" s="28">
        <v>20</v>
      </c>
      <c r="F31" s="13">
        <v>40</v>
      </c>
      <c r="G31" s="11" t="s">
        <v>83</v>
      </c>
      <c r="H31" s="14">
        <v>7</v>
      </c>
      <c r="I31" s="14">
        <v>2</v>
      </c>
      <c r="J31" s="28">
        <v>3</v>
      </c>
      <c r="K31" s="14">
        <v>2</v>
      </c>
      <c r="L31" s="13">
        <v>14</v>
      </c>
    </row>
    <row r="32" spans="1:12" ht="15.6" x14ac:dyDescent="0.3">
      <c r="A32" s="11">
        <v>25</v>
      </c>
      <c r="B32" s="11">
        <v>2301265</v>
      </c>
      <c r="C32" s="12" t="s">
        <v>27</v>
      </c>
      <c r="D32" s="13">
        <v>12</v>
      </c>
      <c r="E32" s="28">
        <v>20</v>
      </c>
      <c r="F32" s="13">
        <v>60</v>
      </c>
      <c r="G32" s="11" t="s">
        <v>83</v>
      </c>
      <c r="H32" s="14">
        <v>7</v>
      </c>
      <c r="I32" s="14">
        <v>6</v>
      </c>
      <c r="J32" s="28">
        <v>6</v>
      </c>
      <c r="K32" s="14">
        <v>2</v>
      </c>
      <c r="L32" s="13">
        <v>21</v>
      </c>
    </row>
    <row r="33" spans="1:12" ht="15.6" x14ac:dyDescent="0.3">
      <c r="A33" s="11">
        <v>26</v>
      </c>
      <c r="B33" s="11">
        <v>2301267</v>
      </c>
      <c r="C33" s="12" t="s">
        <v>28</v>
      </c>
      <c r="D33" s="13">
        <v>14</v>
      </c>
      <c r="E33" s="28">
        <v>20</v>
      </c>
      <c r="F33" s="13">
        <v>70</v>
      </c>
      <c r="G33" s="11" t="s">
        <v>83</v>
      </c>
      <c r="H33" s="14">
        <v>7</v>
      </c>
      <c r="I33" s="14">
        <v>6</v>
      </c>
      <c r="J33" s="28">
        <v>7</v>
      </c>
      <c r="K33" s="14">
        <v>2</v>
      </c>
      <c r="L33" s="13">
        <v>22</v>
      </c>
    </row>
    <row r="34" spans="1:12" ht="15.6" x14ac:dyDescent="0.3">
      <c r="A34" s="11">
        <v>27</v>
      </c>
      <c r="B34" s="11">
        <v>2301268</v>
      </c>
      <c r="C34" s="12" t="s">
        <v>29</v>
      </c>
      <c r="D34" s="13">
        <v>8</v>
      </c>
      <c r="E34" s="28">
        <v>20</v>
      </c>
      <c r="F34" s="13">
        <v>40</v>
      </c>
      <c r="G34" s="11" t="s">
        <v>83</v>
      </c>
      <c r="H34" s="14">
        <v>7</v>
      </c>
      <c r="I34" s="14">
        <v>6</v>
      </c>
      <c r="J34" s="28">
        <v>7</v>
      </c>
      <c r="K34" s="14">
        <v>2</v>
      </c>
      <c r="L34" s="13">
        <v>22</v>
      </c>
    </row>
    <row r="35" spans="1:12" ht="15.6" x14ac:dyDescent="0.3">
      <c r="A35" s="11">
        <v>28</v>
      </c>
      <c r="B35" s="11">
        <v>2301269</v>
      </c>
      <c r="C35" s="12" t="s">
        <v>30</v>
      </c>
      <c r="D35" s="13">
        <v>18</v>
      </c>
      <c r="E35" s="28">
        <v>20</v>
      </c>
      <c r="F35" s="13">
        <v>90</v>
      </c>
      <c r="G35" s="11" t="s">
        <v>84</v>
      </c>
      <c r="H35" s="14">
        <v>7</v>
      </c>
      <c r="I35" s="14">
        <v>4</v>
      </c>
      <c r="J35" s="28">
        <v>5</v>
      </c>
      <c r="K35" s="14">
        <v>2</v>
      </c>
      <c r="L35" s="13">
        <v>22</v>
      </c>
    </row>
    <row r="36" spans="1:12" ht="15.6" x14ac:dyDescent="0.3">
      <c r="A36" s="11">
        <v>29</v>
      </c>
      <c r="B36" s="11">
        <v>2301270</v>
      </c>
      <c r="C36" s="12" t="s">
        <v>31</v>
      </c>
      <c r="D36" s="13">
        <v>0</v>
      </c>
      <c r="E36" s="28">
        <v>20</v>
      </c>
      <c r="F36" s="13">
        <v>0</v>
      </c>
      <c r="G36" s="11" t="s">
        <v>83</v>
      </c>
      <c r="H36" s="14">
        <v>7</v>
      </c>
      <c r="I36" s="14">
        <v>6</v>
      </c>
      <c r="J36" s="28">
        <v>6</v>
      </c>
      <c r="K36" s="14">
        <v>2</v>
      </c>
      <c r="L36" s="13">
        <v>21</v>
      </c>
    </row>
    <row r="37" spans="1:12" ht="15.6" x14ac:dyDescent="0.3">
      <c r="A37" s="11">
        <v>30</v>
      </c>
      <c r="B37" s="11">
        <v>2301271</v>
      </c>
      <c r="C37" s="12" t="s">
        <v>32</v>
      </c>
      <c r="D37" s="13">
        <v>14</v>
      </c>
      <c r="E37" s="28">
        <v>20</v>
      </c>
      <c r="F37" s="13">
        <v>70</v>
      </c>
      <c r="G37" s="11" t="s">
        <v>83</v>
      </c>
      <c r="H37" s="14">
        <v>7</v>
      </c>
      <c r="I37" s="14">
        <v>6</v>
      </c>
      <c r="J37" s="28">
        <v>6</v>
      </c>
      <c r="K37" s="14">
        <v>2</v>
      </c>
      <c r="L37" s="13">
        <v>21</v>
      </c>
    </row>
    <row r="38" spans="1:12" ht="15.6" x14ac:dyDescent="0.3">
      <c r="A38" s="11">
        <v>31</v>
      </c>
      <c r="B38" s="11">
        <v>2301272</v>
      </c>
      <c r="C38" s="12" t="s">
        <v>33</v>
      </c>
      <c r="D38" s="13">
        <v>2</v>
      </c>
      <c r="E38" s="28">
        <v>20</v>
      </c>
      <c r="F38" s="13">
        <v>10</v>
      </c>
      <c r="G38" s="11" t="s">
        <v>83</v>
      </c>
      <c r="H38" s="14">
        <v>7</v>
      </c>
      <c r="I38" s="14">
        <v>0</v>
      </c>
      <c r="J38" s="28">
        <v>4</v>
      </c>
      <c r="K38" s="14">
        <v>2</v>
      </c>
      <c r="L38" s="13">
        <v>13</v>
      </c>
    </row>
    <row r="39" spans="1:12" ht="15.6" x14ac:dyDescent="0.3">
      <c r="A39" s="11">
        <v>32</v>
      </c>
      <c r="B39" s="11">
        <v>2301273</v>
      </c>
      <c r="C39" s="12" t="s">
        <v>34</v>
      </c>
      <c r="D39" s="13">
        <v>14</v>
      </c>
      <c r="E39" s="28">
        <v>20</v>
      </c>
      <c r="F39" s="13">
        <v>70</v>
      </c>
      <c r="G39" s="11" t="s">
        <v>83</v>
      </c>
      <c r="H39" s="14">
        <v>7</v>
      </c>
      <c r="I39" s="14">
        <v>6</v>
      </c>
      <c r="J39" s="28">
        <v>7</v>
      </c>
      <c r="K39" s="14">
        <v>2</v>
      </c>
      <c r="L39" s="13">
        <v>22</v>
      </c>
    </row>
    <row r="40" spans="1:12" ht="15.6" x14ac:dyDescent="0.3">
      <c r="A40" s="11">
        <v>33</v>
      </c>
      <c r="B40" s="11">
        <v>2301274</v>
      </c>
      <c r="C40" s="12" t="s">
        <v>35</v>
      </c>
      <c r="D40" s="13">
        <v>20</v>
      </c>
      <c r="E40" s="28">
        <v>20</v>
      </c>
      <c r="F40" s="13">
        <v>100</v>
      </c>
      <c r="G40" s="11" t="s">
        <v>86</v>
      </c>
      <c r="H40" s="14">
        <v>7</v>
      </c>
      <c r="I40" s="14">
        <v>3</v>
      </c>
      <c r="J40" s="28">
        <v>4</v>
      </c>
      <c r="K40" s="14">
        <v>2</v>
      </c>
      <c r="L40" s="13">
        <v>22</v>
      </c>
    </row>
    <row r="41" spans="1:12" ht="15.6" x14ac:dyDescent="0.3">
      <c r="A41" s="11">
        <v>34</v>
      </c>
      <c r="B41" s="11">
        <v>2301275</v>
      </c>
      <c r="C41" s="12" t="s">
        <v>36</v>
      </c>
      <c r="D41" s="13">
        <v>16</v>
      </c>
      <c r="E41" s="28">
        <v>20</v>
      </c>
      <c r="F41" s="13">
        <v>80</v>
      </c>
      <c r="G41" s="11" t="s">
        <v>85</v>
      </c>
      <c r="H41" s="14">
        <v>7</v>
      </c>
      <c r="I41" s="14">
        <v>6</v>
      </c>
      <c r="J41" s="28">
        <v>9</v>
      </c>
      <c r="K41" s="14">
        <v>2</v>
      </c>
      <c r="L41" s="13">
        <v>26</v>
      </c>
    </row>
    <row r="42" spans="1:12" ht="15.6" x14ac:dyDescent="0.3">
      <c r="A42" s="11">
        <v>35</v>
      </c>
      <c r="B42" s="11">
        <v>2301277</v>
      </c>
      <c r="C42" s="12" t="s">
        <v>37</v>
      </c>
      <c r="D42" s="13">
        <v>14</v>
      </c>
      <c r="E42" s="28">
        <v>20</v>
      </c>
      <c r="F42" s="13">
        <v>70</v>
      </c>
      <c r="G42" s="11" t="s">
        <v>83</v>
      </c>
      <c r="H42" s="14">
        <v>7</v>
      </c>
      <c r="I42" s="14">
        <v>6</v>
      </c>
      <c r="J42" s="28">
        <v>6</v>
      </c>
      <c r="K42" s="14">
        <v>2</v>
      </c>
      <c r="L42" s="13">
        <v>21</v>
      </c>
    </row>
    <row r="43" spans="1:12" ht="15.6" x14ac:dyDescent="0.3">
      <c r="A43" s="11">
        <v>36</v>
      </c>
      <c r="B43" s="11">
        <v>2301278</v>
      </c>
      <c r="C43" s="12" t="s">
        <v>38</v>
      </c>
      <c r="D43" s="13">
        <v>2</v>
      </c>
      <c r="E43" s="28">
        <v>20</v>
      </c>
      <c r="F43" s="13">
        <v>10</v>
      </c>
      <c r="G43" s="11" t="s">
        <v>83</v>
      </c>
      <c r="H43" s="14">
        <v>7</v>
      </c>
      <c r="I43" s="14">
        <v>0</v>
      </c>
      <c r="J43" s="28">
        <v>5</v>
      </c>
      <c r="K43" s="14">
        <v>2</v>
      </c>
      <c r="L43" s="13">
        <v>14</v>
      </c>
    </row>
    <row r="44" spans="1:12" ht="15.6" x14ac:dyDescent="0.3">
      <c r="A44" s="11">
        <v>37</v>
      </c>
      <c r="B44" s="11">
        <v>2301279</v>
      </c>
      <c r="C44" s="12" t="s">
        <v>39</v>
      </c>
      <c r="D44" s="13">
        <v>16</v>
      </c>
      <c r="E44" s="28">
        <v>20</v>
      </c>
      <c r="F44" s="13">
        <v>80</v>
      </c>
      <c r="G44" s="11" t="s">
        <v>85</v>
      </c>
      <c r="H44" s="14">
        <v>7</v>
      </c>
      <c r="I44" s="14">
        <v>5</v>
      </c>
      <c r="J44" s="28">
        <v>5</v>
      </c>
      <c r="K44" s="14">
        <v>2</v>
      </c>
      <c r="L44" s="13">
        <v>21</v>
      </c>
    </row>
    <row r="45" spans="1:12" ht="15.6" x14ac:dyDescent="0.3">
      <c r="A45" s="11">
        <v>38</v>
      </c>
      <c r="B45" s="11">
        <v>2339508</v>
      </c>
      <c r="C45" s="12" t="s">
        <v>40</v>
      </c>
      <c r="D45" s="13">
        <v>14</v>
      </c>
      <c r="E45" s="28">
        <v>20</v>
      </c>
      <c r="F45" s="13">
        <v>70</v>
      </c>
      <c r="G45" s="11" t="s">
        <v>83</v>
      </c>
      <c r="H45" s="14">
        <v>7</v>
      </c>
      <c r="I45" s="14">
        <v>6</v>
      </c>
      <c r="J45" s="28">
        <v>6</v>
      </c>
      <c r="K45" s="14">
        <v>2</v>
      </c>
      <c r="L45" s="13">
        <v>21</v>
      </c>
    </row>
    <row r="46" spans="1:12" ht="15.6" x14ac:dyDescent="0.3">
      <c r="A46" s="11">
        <v>39</v>
      </c>
      <c r="B46" s="11">
        <v>2301280</v>
      </c>
      <c r="C46" s="12" t="s">
        <v>41</v>
      </c>
      <c r="D46" s="13">
        <v>10</v>
      </c>
      <c r="E46" s="28">
        <v>20</v>
      </c>
      <c r="F46" s="13">
        <v>50</v>
      </c>
      <c r="G46" s="11" t="s">
        <v>83</v>
      </c>
      <c r="H46" s="14">
        <v>7</v>
      </c>
      <c r="I46" s="14">
        <v>6</v>
      </c>
      <c r="J46" s="28">
        <v>6</v>
      </c>
      <c r="K46" s="14">
        <v>2</v>
      </c>
      <c r="L46" s="13">
        <v>21</v>
      </c>
    </row>
    <row r="47" spans="1:12" ht="15.6" x14ac:dyDescent="0.3">
      <c r="A47" s="11">
        <v>40</v>
      </c>
      <c r="B47" s="11">
        <v>2301281</v>
      </c>
      <c r="C47" s="12" t="s">
        <v>42</v>
      </c>
      <c r="D47" s="13">
        <v>16</v>
      </c>
      <c r="E47" s="28">
        <v>20</v>
      </c>
      <c r="F47" s="13">
        <v>80</v>
      </c>
      <c r="G47" s="11" t="s">
        <v>85</v>
      </c>
      <c r="H47" s="14">
        <v>7</v>
      </c>
      <c r="I47" s="14">
        <v>5</v>
      </c>
      <c r="J47" s="28">
        <v>5</v>
      </c>
      <c r="K47" s="14">
        <v>2</v>
      </c>
      <c r="L47" s="13">
        <v>21</v>
      </c>
    </row>
    <row r="48" spans="1:12" ht="15.6" x14ac:dyDescent="0.3">
      <c r="A48" s="11">
        <v>41</v>
      </c>
      <c r="B48" s="11">
        <v>2339509</v>
      </c>
      <c r="C48" s="12" t="s">
        <v>43</v>
      </c>
      <c r="D48" s="13">
        <v>8</v>
      </c>
      <c r="E48" s="28">
        <v>20</v>
      </c>
      <c r="F48" s="13">
        <v>40</v>
      </c>
      <c r="G48" s="11" t="s">
        <v>83</v>
      </c>
      <c r="H48" s="14">
        <v>7</v>
      </c>
      <c r="I48" s="14">
        <v>0</v>
      </c>
      <c r="J48" s="28">
        <v>4</v>
      </c>
      <c r="K48" s="14">
        <v>2</v>
      </c>
      <c r="L48" s="13">
        <v>13</v>
      </c>
    </row>
    <row r="49" spans="1:12" ht="15.6" x14ac:dyDescent="0.3">
      <c r="A49" s="11">
        <v>42</v>
      </c>
      <c r="B49" s="11">
        <v>2301283</v>
      </c>
      <c r="C49" s="12" t="s">
        <v>44</v>
      </c>
      <c r="D49" s="13">
        <v>0</v>
      </c>
      <c r="E49" s="28">
        <v>20</v>
      </c>
      <c r="F49" s="13">
        <v>0</v>
      </c>
      <c r="G49" s="11" t="s">
        <v>83</v>
      </c>
      <c r="H49" s="14">
        <v>7</v>
      </c>
      <c r="I49" s="14">
        <v>6</v>
      </c>
      <c r="J49" s="28">
        <v>6</v>
      </c>
      <c r="K49" s="14">
        <v>2</v>
      </c>
      <c r="L49" s="13">
        <v>21</v>
      </c>
    </row>
    <row r="50" spans="1:12" ht="15.6" x14ac:dyDescent="0.3">
      <c r="A50" s="11">
        <v>43</v>
      </c>
      <c r="B50" s="11">
        <v>2301285</v>
      </c>
      <c r="C50" s="12" t="s">
        <v>45</v>
      </c>
      <c r="D50" s="13">
        <v>6</v>
      </c>
      <c r="E50" s="28">
        <v>20</v>
      </c>
      <c r="F50" s="13">
        <v>30</v>
      </c>
      <c r="G50" s="11" t="s">
        <v>83</v>
      </c>
      <c r="H50" s="14">
        <v>7</v>
      </c>
      <c r="I50" s="14">
        <v>6</v>
      </c>
      <c r="J50" s="28">
        <v>6</v>
      </c>
      <c r="K50" s="14">
        <v>2</v>
      </c>
      <c r="L50" s="13">
        <v>21</v>
      </c>
    </row>
    <row r="51" spans="1:12" ht="15.6" x14ac:dyDescent="0.3">
      <c r="A51" s="11">
        <v>44</v>
      </c>
      <c r="B51" s="11">
        <v>2301286</v>
      </c>
      <c r="C51" s="12" t="s">
        <v>46</v>
      </c>
      <c r="D51" s="13">
        <v>2</v>
      </c>
      <c r="E51" s="28">
        <v>20</v>
      </c>
      <c r="F51" s="13">
        <v>10</v>
      </c>
      <c r="G51" s="11" t="s">
        <v>83</v>
      </c>
      <c r="H51" s="14">
        <v>7</v>
      </c>
      <c r="I51" s="14">
        <v>0</v>
      </c>
      <c r="J51" s="28">
        <v>4</v>
      </c>
      <c r="K51" s="14">
        <v>2</v>
      </c>
      <c r="L51" s="13">
        <v>13</v>
      </c>
    </row>
    <row r="52" spans="1:12" ht="15.6" x14ac:dyDescent="0.3">
      <c r="A52" s="11">
        <v>45</v>
      </c>
      <c r="B52" s="11">
        <v>2425599</v>
      </c>
      <c r="C52" s="12" t="s">
        <v>47</v>
      </c>
      <c r="D52" s="13">
        <v>10</v>
      </c>
      <c r="E52" s="28">
        <v>20</v>
      </c>
      <c r="F52" s="13">
        <v>50</v>
      </c>
      <c r="G52" s="11" t="s">
        <v>83</v>
      </c>
      <c r="H52" s="14">
        <v>7</v>
      </c>
      <c r="I52" s="14">
        <v>6</v>
      </c>
      <c r="J52" s="28">
        <v>7</v>
      </c>
      <c r="K52" s="14">
        <v>2</v>
      </c>
      <c r="L52" s="13">
        <v>22</v>
      </c>
    </row>
    <row r="53" spans="1:12" ht="15.6" x14ac:dyDescent="0.3">
      <c r="A53" s="11">
        <v>46</v>
      </c>
      <c r="B53" s="11">
        <v>2425600</v>
      </c>
      <c r="C53" s="12" t="s">
        <v>48</v>
      </c>
      <c r="D53" s="13">
        <v>16</v>
      </c>
      <c r="E53" s="28">
        <v>20</v>
      </c>
      <c r="F53" s="13">
        <v>80</v>
      </c>
      <c r="G53" s="11" t="s">
        <v>85</v>
      </c>
      <c r="H53" s="14">
        <v>7</v>
      </c>
      <c r="I53" s="14">
        <v>6</v>
      </c>
      <c r="J53" s="28">
        <v>5</v>
      </c>
      <c r="K53" s="14">
        <v>2</v>
      </c>
      <c r="L53" s="13">
        <v>22</v>
      </c>
    </row>
    <row r="54" spans="1:12" ht="15.6" x14ac:dyDescent="0.3">
      <c r="A54" s="11">
        <v>47</v>
      </c>
      <c r="B54" s="11">
        <v>2425601</v>
      </c>
      <c r="C54" s="12" t="s">
        <v>49</v>
      </c>
      <c r="D54" s="13">
        <v>10</v>
      </c>
      <c r="E54" s="28">
        <v>20</v>
      </c>
      <c r="F54" s="13">
        <v>50</v>
      </c>
      <c r="G54" s="11" t="s">
        <v>83</v>
      </c>
      <c r="H54" s="14">
        <v>7</v>
      </c>
      <c r="I54" s="14">
        <v>6</v>
      </c>
      <c r="J54" s="28">
        <v>7</v>
      </c>
      <c r="K54" s="14">
        <v>2</v>
      </c>
      <c r="L54" s="13">
        <v>22</v>
      </c>
    </row>
    <row r="55" spans="1:12" ht="15.6" x14ac:dyDescent="0.3">
      <c r="A55" s="11">
        <v>48</v>
      </c>
      <c r="B55" s="11">
        <v>2425603</v>
      </c>
      <c r="C55" s="12" t="s">
        <v>50</v>
      </c>
      <c r="D55" s="13">
        <v>12</v>
      </c>
      <c r="E55" s="28">
        <v>20</v>
      </c>
      <c r="F55" s="13">
        <v>60</v>
      </c>
      <c r="G55" s="11" t="s">
        <v>83</v>
      </c>
      <c r="H55" s="14">
        <v>7</v>
      </c>
      <c r="I55" s="14">
        <v>6</v>
      </c>
      <c r="J55" s="28">
        <v>8</v>
      </c>
      <c r="K55" s="14">
        <v>2</v>
      </c>
      <c r="L55" s="13">
        <v>23</v>
      </c>
    </row>
    <row r="56" spans="1:12" ht="15.6" x14ac:dyDescent="0.3">
      <c r="A56" s="11">
        <v>49</v>
      </c>
      <c r="B56" s="11">
        <v>2425604</v>
      </c>
      <c r="C56" s="12" t="s">
        <v>51</v>
      </c>
      <c r="D56" s="13">
        <v>12</v>
      </c>
      <c r="E56" s="28">
        <v>20</v>
      </c>
      <c r="F56" s="13">
        <v>60</v>
      </c>
      <c r="G56" s="11" t="s">
        <v>83</v>
      </c>
      <c r="H56" s="14">
        <v>7</v>
      </c>
      <c r="I56" s="14">
        <v>6</v>
      </c>
      <c r="J56" s="28">
        <v>8</v>
      </c>
      <c r="K56" s="14">
        <v>2</v>
      </c>
      <c r="L56" s="13">
        <v>23</v>
      </c>
    </row>
    <row r="57" spans="1:12" ht="15.6" x14ac:dyDescent="0.3">
      <c r="A57" s="11">
        <v>50</v>
      </c>
      <c r="B57" s="11">
        <v>2301235</v>
      </c>
      <c r="C57" s="12" t="s">
        <v>87</v>
      </c>
      <c r="D57" s="13">
        <v>6</v>
      </c>
      <c r="E57" s="28">
        <v>20</v>
      </c>
      <c r="F57" s="13">
        <v>30</v>
      </c>
      <c r="G57" s="11" t="s">
        <v>83</v>
      </c>
      <c r="H57" s="14">
        <v>7</v>
      </c>
      <c r="I57" s="14">
        <v>6</v>
      </c>
      <c r="J57" s="28">
        <v>5</v>
      </c>
      <c r="K57" s="14">
        <v>2</v>
      </c>
      <c r="L57" s="13">
        <v>20</v>
      </c>
    </row>
  </sheetData>
  <mergeCells count="19">
    <mergeCell ref="A1:L1"/>
    <mergeCell ref="A2:L2"/>
    <mergeCell ref="A3:L3"/>
    <mergeCell ref="A4:G4"/>
    <mergeCell ref="H4:L4"/>
    <mergeCell ref="A5:G5"/>
    <mergeCell ref="H5:L5"/>
    <mergeCell ref="H6:H7"/>
    <mergeCell ref="I6:I7"/>
    <mergeCell ref="J6:J7"/>
    <mergeCell ref="K6:K7"/>
    <mergeCell ref="L6:L7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AD270-69D4-43FA-8851-90AD601FF215}">
  <dimension ref="A1:L57"/>
  <sheetViews>
    <sheetView workbookViewId="0">
      <selection activeCell="G8" sqref="G8"/>
    </sheetView>
  </sheetViews>
  <sheetFormatPr defaultRowHeight="13.2" x14ac:dyDescent="0.25"/>
  <sheetData>
    <row r="1" spans="1:12" ht="22.8" x14ac:dyDescent="0.4">
      <c r="A1" s="26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2.8" x14ac:dyDescent="0.4">
      <c r="A2" s="26" t="s">
        <v>73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spans="1:12" ht="20.399999999999999" x14ac:dyDescent="0.35">
      <c r="A3" s="27" t="s">
        <v>74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 spans="1:12" ht="17.399999999999999" x14ac:dyDescent="0.3">
      <c r="A4" s="5" t="s">
        <v>75</v>
      </c>
      <c r="B4" s="2"/>
      <c r="C4" s="2"/>
      <c r="D4" s="2"/>
      <c r="E4" s="2"/>
      <c r="F4" s="2"/>
      <c r="G4" s="3"/>
      <c r="H4" s="5" t="s">
        <v>76</v>
      </c>
      <c r="I4" s="2"/>
      <c r="J4" s="2"/>
      <c r="K4" s="2"/>
      <c r="L4" s="3"/>
    </row>
    <row r="5" spans="1:12" ht="17.399999999999999" x14ac:dyDescent="0.3">
      <c r="A5" s="5" t="s">
        <v>101</v>
      </c>
      <c r="B5" s="2"/>
      <c r="C5" s="2"/>
      <c r="D5" s="2"/>
      <c r="E5" s="2"/>
      <c r="F5" s="2"/>
      <c r="G5" s="3"/>
      <c r="H5" s="5" t="s">
        <v>78</v>
      </c>
      <c r="I5" s="2"/>
      <c r="J5" s="2"/>
      <c r="K5" s="2"/>
      <c r="L5" s="3"/>
    </row>
    <row r="6" spans="1:12" x14ac:dyDescent="0.25">
      <c r="A6" s="7" t="s">
        <v>0</v>
      </c>
      <c r="B6" s="7" t="s">
        <v>1</v>
      </c>
      <c r="C6" s="7" t="s">
        <v>2</v>
      </c>
      <c r="D6" s="7" t="s">
        <v>62</v>
      </c>
      <c r="E6" s="7" t="s">
        <v>61</v>
      </c>
      <c r="F6" s="7" t="s">
        <v>63</v>
      </c>
      <c r="G6" s="7" t="s">
        <v>64</v>
      </c>
      <c r="H6" s="7" t="s">
        <v>79</v>
      </c>
      <c r="I6" s="7" t="s">
        <v>80</v>
      </c>
      <c r="J6" s="7" t="s">
        <v>81</v>
      </c>
      <c r="K6" s="7" t="s">
        <v>70</v>
      </c>
      <c r="L6" s="7" t="s">
        <v>82</v>
      </c>
    </row>
    <row r="7" spans="1:12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5.6" x14ac:dyDescent="0.3">
      <c r="A8" s="11">
        <v>1</v>
      </c>
      <c r="B8" s="11">
        <v>2301236</v>
      </c>
      <c r="C8" s="12" t="s">
        <v>3</v>
      </c>
      <c r="D8" s="42">
        <v>4</v>
      </c>
      <c r="E8" s="33">
        <v>18</v>
      </c>
      <c r="F8" s="13">
        <v>22.222222219999999</v>
      </c>
      <c r="G8" s="11" t="s">
        <v>83</v>
      </c>
      <c r="H8" s="14">
        <v>5</v>
      </c>
      <c r="I8" s="14">
        <v>0</v>
      </c>
      <c r="J8" s="28">
        <v>5</v>
      </c>
      <c r="K8" s="14">
        <v>2</v>
      </c>
      <c r="L8" s="13">
        <v>12</v>
      </c>
    </row>
    <row r="9" spans="1:12" ht="15.6" x14ac:dyDescent="0.3">
      <c r="A9" s="11">
        <v>2</v>
      </c>
      <c r="B9" s="11">
        <v>2301237</v>
      </c>
      <c r="C9" s="12" t="s">
        <v>4</v>
      </c>
      <c r="D9" s="42">
        <v>16</v>
      </c>
      <c r="E9" s="33">
        <v>18</v>
      </c>
      <c r="F9" s="13">
        <v>88.888888890000004</v>
      </c>
      <c r="G9" s="11" t="s">
        <v>84</v>
      </c>
      <c r="H9" s="14">
        <v>7</v>
      </c>
      <c r="I9" s="14">
        <v>6</v>
      </c>
      <c r="J9" s="28">
        <v>8</v>
      </c>
      <c r="K9" s="14">
        <v>2</v>
      </c>
      <c r="L9" s="13">
        <v>27</v>
      </c>
    </row>
    <row r="10" spans="1:12" ht="15.6" x14ac:dyDescent="0.3">
      <c r="A10" s="11">
        <v>3</v>
      </c>
      <c r="B10" s="11">
        <v>2301238</v>
      </c>
      <c r="C10" s="12" t="s">
        <v>5</v>
      </c>
      <c r="D10" s="42">
        <v>17</v>
      </c>
      <c r="E10" s="33">
        <v>18</v>
      </c>
      <c r="F10" s="13">
        <v>94.444444439999998</v>
      </c>
      <c r="G10" s="11" t="s">
        <v>89</v>
      </c>
      <c r="H10" s="14">
        <v>5</v>
      </c>
      <c r="I10" s="14">
        <v>6</v>
      </c>
      <c r="J10" s="28">
        <v>4</v>
      </c>
      <c r="K10" s="14">
        <v>2</v>
      </c>
      <c r="L10" s="13">
        <v>22</v>
      </c>
    </row>
    <row r="11" spans="1:12" ht="15.6" x14ac:dyDescent="0.3">
      <c r="A11" s="11">
        <v>4</v>
      </c>
      <c r="B11" s="11">
        <v>2301240</v>
      </c>
      <c r="C11" s="12" t="s">
        <v>6</v>
      </c>
      <c r="D11" s="42">
        <v>18</v>
      </c>
      <c r="E11" s="33">
        <v>18</v>
      </c>
      <c r="F11" s="13">
        <v>100</v>
      </c>
      <c r="G11" s="11" t="s">
        <v>86</v>
      </c>
      <c r="H11" s="14">
        <v>5</v>
      </c>
      <c r="I11" s="14">
        <v>6</v>
      </c>
      <c r="J11" s="28">
        <v>5</v>
      </c>
      <c r="K11" s="14">
        <v>2</v>
      </c>
      <c r="L11" s="13">
        <v>24</v>
      </c>
    </row>
    <row r="12" spans="1:12" ht="15.6" x14ac:dyDescent="0.3">
      <c r="A12" s="11">
        <v>5</v>
      </c>
      <c r="B12" s="11">
        <v>2301241</v>
      </c>
      <c r="C12" s="12" t="s">
        <v>7</v>
      </c>
      <c r="D12" s="42">
        <v>14</v>
      </c>
      <c r="E12" s="33">
        <v>18</v>
      </c>
      <c r="F12" s="13">
        <v>77.777777779999994</v>
      </c>
      <c r="G12" s="11" t="s">
        <v>85</v>
      </c>
      <c r="H12" s="14">
        <v>7</v>
      </c>
      <c r="I12" s="14">
        <v>7</v>
      </c>
      <c r="J12" s="28">
        <v>8</v>
      </c>
      <c r="K12" s="14">
        <v>2</v>
      </c>
      <c r="L12" s="13">
        <v>26</v>
      </c>
    </row>
    <row r="13" spans="1:12" ht="15.6" x14ac:dyDescent="0.3">
      <c r="A13" s="11">
        <v>6</v>
      </c>
      <c r="B13" s="11">
        <v>2301242</v>
      </c>
      <c r="C13" s="12" t="s">
        <v>8</v>
      </c>
      <c r="D13" s="43">
        <v>14</v>
      </c>
      <c r="E13" s="33">
        <v>18</v>
      </c>
      <c r="F13" s="13">
        <v>77.777777779999994</v>
      </c>
      <c r="G13" s="11" t="s">
        <v>85</v>
      </c>
      <c r="H13" s="14">
        <v>7</v>
      </c>
      <c r="I13" s="14">
        <v>7</v>
      </c>
      <c r="J13" s="28">
        <v>8</v>
      </c>
      <c r="K13" s="14">
        <v>2</v>
      </c>
      <c r="L13" s="13">
        <v>26</v>
      </c>
    </row>
    <row r="14" spans="1:12" ht="15.6" x14ac:dyDescent="0.3">
      <c r="A14" s="11">
        <v>7</v>
      </c>
      <c r="B14" s="11">
        <v>2301243</v>
      </c>
      <c r="C14" s="12" t="s">
        <v>9</v>
      </c>
      <c r="D14" s="43">
        <v>15</v>
      </c>
      <c r="E14" s="33">
        <v>18</v>
      </c>
      <c r="F14" s="13">
        <v>83.333333330000002</v>
      </c>
      <c r="G14" s="11" t="s">
        <v>90</v>
      </c>
      <c r="H14" s="14">
        <v>7</v>
      </c>
      <c r="I14" s="14">
        <v>5</v>
      </c>
      <c r="J14" s="28">
        <v>5</v>
      </c>
      <c r="K14" s="14">
        <v>2</v>
      </c>
      <c r="L14" s="13">
        <v>22</v>
      </c>
    </row>
    <row r="15" spans="1:12" ht="15.6" x14ac:dyDescent="0.3">
      <c r="A15" s="11">
        <v>8</v>
      </c>
      <c r="B15" s="11">
        <v>2301245</v>
      </c>
      <c r="C15" s="12" t="s">
        <v>10</v>
      </c>
      <c r="D15" s="43">
        <v>15</v>
      </c>
      <c r="E15" s="33">
        <v>18</v>
      </c>
      <c r="F15" s="13">
        <v>83.333333330000002</v>
      </c>
      <c r="G15" s="11" t="s">
        <v>90</v>
      </c>
      <c r="H15" s="14">
        <v>7</v>
      </c>
      <c r="I15" s="14">
        <v>7</v>
      </c>
      <c r="J15" s="28">
        <v>8</v>
      </c>
      <c r="K15" s="14">
        <v>2</v>
      </c>
      <c r="L15" s="13">
        <v>27</v>
      </c>
    </row>
    <row r="16" spans="1:12" ht="15.6" x14ac:dyDescent="0.3">
      <c r="A16" s="11">
        <v>9</v>
      </c>
      <c r="B16" s="11">
        <v>2301247</v>
      </c>
      <c r="C16" s="12" t="s">
        <v>11</v>
      </c>
      <c r="D16" s="43">
        <v>8</v>
      </c>
      <c r="E16" s="33">
        <v>18</v>
      </c>
      <c r="F16" s="13">
        <v>44.444444439999998</v>
      </c>
      <c r="G16" s="11" t="s">
        <v>83</v>
      </c>
      <c r="H16" s="14">
        <v>5</v>
      </c>
      <c r="I16" s="14">
        <v>3</v>
      </c>
      <c r="J16" s="28">
        <v>4</v>
      </c>
      <c r="K16" s="14">
        <v>2</v>
      </c>
      <c r="L16" s="13">
        <v>14</v>
      </c>
    </row>
    <row r="17" spans="1:12" ht="15.6" x14ac:dyDescent="0.3">
      <c r="A17" s="11">
        <v>10</v>
      </c>
      <c r="B17" s="11">
        <v>2301249</v>
      </c>
      <c r="C17" s="12" t="s">
        <v>12</v>
      </c>
      <c r="D17" s="43">
        <v>14</v>
      </c>
      <c r="E17" s="33">
        <v>18</v>
      </c>
      <c r="F17" s="13">
        <v>77.777777779999994</v>
      </c>
      <c r="G17" s="11" t="s">
        <v>85</v>
      </c>
      <c r="H17" s="14">
        <v>6</v>
      </c>
      <c r="I17" s="14">
        <v>5</v>
      </c>
      <c r="J17" s="28">
        <v>6</v>
      </c>
      <c r="K17" s="14">
        <v>2</v>
      </c>
      <c r="L17" s="13">
        <v>21</v>
      </c>
    </row>
    <row r="18" spans="1:12" ht="15.6" x14ac:dyDescent="0.3">
      <c r="A18" s="11">
        <v>11</v>
      </c>
      <c r="B18" s="11">
        <v>2301250</v>
      </c>
      <c r="C18" s="12" t="s">
        <v>13</v>
      </c>
      <c r="D18" s="43">
        <v>13</v>
      </c>
      <c r="E18" s="33">
        <v>18</v>
      </c>
      <c r="F18" s="13">
        <v>72.222222220000006</v>
      </c>
      <c r="G18" s="11" t="s">
        <v>83</v>
      </c>
      <c r="H18" s="14">
        <v>7</v>
      </c>
      <c r="I18" s="14">
        <v>7</v>
      </c>
      <c r="J18" s="28">
        <v>8</v>
      </c>
      <c r="K18" s="14">
        <v>2</v>
      </c>
      <c r="L18" s="13">
        <v>24</v>
      </c>
    </row>
    <row r="19" spans="1:12" ht="15.6" x14ac:dyDescent="0.3">
      <c r="A19" s="11">
        <v>12</v>
      </c>
      <c r="B19" s="11">
        <v>2301251</v>
      </c>
      <c r="C19" s="12" t="s">
        <v>14</v>
      </c>
      <c r="D19" s="43">
        <v>13</v>
      </c>
      <c r="E19" s="33">
        <v>18</v>
      </c>
      <c r="F19" s="13">
        <v>72.222222220000006</v>
      </c>
      <c r="G19" s="11" t="s">
        <v>83</v>
      </c>
      <c r="H19" s="14">
        <v>5</v>
      </c>
      <c r="I19" s="14">
        <v>2</v>
      </c>
      <c r="J19" s="28">
        <v>3</v>
      </c>
      <c r="K19" s="14">
        <v>2</v>
      </c>
      <c r="L19" s="13">
        <v>12</v>
      </c>
    </row>
    <row r="20" spans="1:12" ht="15.6" x14ac:dyDescent="0.3">
      <c r="A20" s="11">
        <v>13</v>
      </c>
      <c r="B20" s="11">
        <v>2301252</v>
      </c>
      <c r="C20" s="12" t="s">
        <v>15</v>
      </c>
      <c r="D20" s="43">
        <v>12</v>
      </c>
      <c r="E20" s="33">
        <v>18</v>
      </c>
      <c r="F20" s="13">
        <v>66.666666669999998</v>
      </c>
      <c r="G20" s="11" t="s">
        <v>83</v>
      </c>
      <c r="H20" s="14">
        <v>7</v>
      </c>
      <c r="I20" s="14">
        <v>6</v>
      </c>
      <c r="J20" s="28">
        <v>6</v>
      </c>
      <c r="K20" s="14">
        <v>2</v>
      </c>
      <c r="L20" s="13">
        <v>21</v>
      </c>
    </row>
    <row r="21" spans="1:12" ht="15.6" x14ac:dyDescent="0.3">
      <c r="A21" s="11">
        <v>14</v>
      </c>
      <c r="B21" s="11">
        <v>2301253</v>
      </c>
      <c r="C21" s="12" t="s">
        <v>16</v>
      </c>
      <c r="D21" s="43">
        <v>15</v>
      </c>
      <c r="E21" s="33">
        <v>18</v>
      </c>
      <c r="F21" s="13">
        <v>83.333333330000002</v>
      </c>
      <c r="G21" s="11" t="s">
        <v>90</v>
      </c>
      <c r="H21" s="14">
        <v>7</v>
      </c>
      <c r="I21" s="14">
        <v>7</v>
      </c>
      <c r="J21" s="28">
        <v>8</v>
      </c>
      <c r="K21" s="14">
        <v>2</v>
      </c>
      <c r="L21" s="13">
        <v>27</v>
      </c>
    </row>
    <row r="22" spans="1:12" ht="15.6" x14ac:dyDescent="0.3">
      <c r="A22" s="11">
        <v>15</v>
      </c>
      <c r="B22" s="11">
        <v>2301255</v>
      </c>
      <c r="C22" s="12" t="s">
        <v>17</v>
      </c>
      <c r="D22" s="43">
        <v>14</v>
      </c>
      <c r="E22" s="33">
        <v>18</v>
      </c>
      <c r="F22" s="13">
        <v>77.777777779999994</v>
      </c>
      <c r="G22" s="11" t="s">
        <v>85</v>
      </c>
      <c r="H22" s="14">
        <v>7</v>
      </c>
      <c r="I22" s="14">
        <v>7</v>
      </c>
      <c r="J22" s="28">
        <v>8</v>
      </c>
      <c r="K22" s="14">
        <v>2</v>
      </c>
      <c r="L22" s="13">
        <v>26</v>
      </c>
    </row>
    <row r="23" spans="1:12" ht="15.6" x14ac:dyDescent="0.3">
      <c r="A23" s="11">
        <v>16</v>
      </c>
      <c r="B23" s="11">
        <v>2301256</v>
      </c>
      <c r="C23" s="12" t="s">
        <v>18</v>
      </c>
      <c r="D23" s="43">
        <v>14</v>
      </c>
      <c r="E23" s="33">
        <v>18</v>
      </c>
      <c r="F23" s="13">
        <v>77.777777779999994</v>
      </c>
      <c r="G23" s="11" t="s">
        <v>85</v>
      </c>
      <c r="H23" s="14">
        <v>7</v>
      </c>
      <c r="I23" s="14">
        <v>6</v>
      </c>
      <c r="J23" s="28">
        <v>7</v>
      </c>
      <c r="K23" s="14">
        <v>2</v>
      </c>
      <c r="L23" s="13">
        <v>24</v>
      </c>
    </row>
    <row r="24" spans="1:12" ht="15.6" x14ac:dyDescent="0.3">
      <c r="A24" s="11">
        <v>17</v>
      </c>
      <c r="B24" s="11">
        <v>2301257</v>
      </c>
      <c r="C24" s="12" t="s">
        <v>19</v>
      </c>
      <c r="D24" s="43">
        <v>11</v>
      </c>
      <c r="E24" s="33">
        <v>18</v>
      </c>
      <c r="F24" s="13">
        <v>61.111111110000003</v>
      </c>
      <c r="G24" s="11" t="s">
        <v>83</v>
      </c>
      <c r="H24" s="14">
        <v>7</v>
      </c>
      <c r="I24" s="14">
        <v>6</v>
      </c>
      <c r="J24" s="28">
        <v>6</v>
      </c>
      <c r="K24" s="14">
        <v>2</v>
      </c>
      <c r="L24" s="13">
        <v>21</v>
      </c>
    </row>
    <row r="25" spans="1:12" ht="15.6" x14ac:dyDescent="0.3">
      <c r="A25" s="11">
        <v>18</v>
      </c>
      <c r="B25" s="11">
        <v>2301258</v>
      </c>
      <c r="C25" s="12" t="s">
        <v>20</v>
      </c>
      <c r="D25" s="43">
        <v>1</v>
      </c>
      <c r="E25" s="33">
        <v>18</v>
      </c>
      <c r="F25" s="13">
        <v>5.5555555559999998</v>
      </c>
      <c r="G25" s="11" t="s">
        <v>83</v>
      </c>
      <c r="H25" s="14">
        <v>5</v>
      </c>
      <c r="I25" s="14">
        <v>0</v>
      </c>
      <c r="J25" s="28">
        <v>5</v>
      </c>
      <c r="K25" s="14">
        <v>2</v>
      </c>
      <c r="L25" s="13">
        <v>12</v>
      </c>
    </row>
    <row r="26" spans="1:12" ht="15.6" x14ac:dyDescent="0.3">
      <c r="A26" s="11">
        <v>19</v>
      </c>
      <c r="B26" s="11">
        <v>2301259</v>
      </c>
      <c r="C26" s="12" t="s">
        <v>21</v>
      </c>
      <c r="D26" s="43">
        <v>14</v>
      </c>
      <c r="E26" s="33">
        <v>18</v>
      </c>
      <c r="F26" s="13">
        <v>77.777777779999994</v>
      </c>
      <c r="G26" s="11" t="s">
        <v>85</v>
      </c>
      <c r="H26" s="14">
        <v>7</v>
      </c>
      <c r="I26" s="14">
        <v>6</v>
      </c>
      <c r="J26" s="28">
        <v>8</v>
      </c>
      <c r="K26" s="14">
        <v>2</v>
      </c>
      <c r="L26" s="13">
        <v>25</v>
      </c>
    </row>
    <row r="27" spans="1:12" ht="15.6" x14ac:dyDescent="0.3">
      <c r="A27" s="11">
        <v>20</v>
      </c>
      <c r="B27" s="11">
        <v>2301260</v>
      </c>
      <c r="C27" s="12" t="s">
        <v>22</v>
      </c>
      <c r="D27" s="43">
        <v>11</v>
      </c>
      <c r="E27" s="33">
        <v>18</v>
      </c>
      <c r="F27" s="13">
        <v>61.111111110000003</v>
      </c>
      <c r="G27" s="11" t="s">
        <v>83</v>
      </c>
      <c r="H27" s="14">
        <v>7</v>
      </c>
      <c r="I27" s="14">
        <v>6</v>
      </c>
      <c r="J27" s="28">
        <v>6</v>
      </c>
      <c r="K27" s="14">
        <v>2</v>
      </c>
      <c r="L27" s="13">
        <v>21</v>
      </c>
    </row>
    <row r="28" spans="1:12" ht="15.6" x14ac:dyDescent="0.3">
      <c r="A28" s="11">
        <v>21</v>
      </c>
      <c r="B28" s="11">
        <v>2301261</v>
      </c>
      <c r="C28" s="12" t="s">
        <v>23</v>
      </c>
      <c r="D28" s="43">
        <v>6</v>
      </c>
      <c r="E28" s="33">
        <v>18</v>
      </c>
      <c r="F28" s="13">
        <v>33.333333330000002</v>
      </c>
      <c r="G28" s="11" t="s">
        <v>83</v>
      </c>
      <c r="H28" s="14">
        <v>7</v>
      </c>
      <c r="I28" s="14">
        <v>6</v>
      </c>
      <c r="J28" s="28">
        <v>7</v>
      </c>
      <c r="K28" s="14">
        <v>2</v>
      </c>
      <c r="L28" s="13">
        <v>22</v>
      </c>
    </row>
    <row r="29" spans="1:12" ht="15.6" x14ac:dyDescent="0.3">
      <c r="A29" s="11">
        <v>22</v>
      </c>
      <c r="B29" s="11">
        <v>2301262</v>
      </c>
      <c r="C29" s="12" t="s">
        <v>24</v>
      </c>
      <c r="D29" s="43">
        <v>13</v>
      </c>
      <c r="E29" s="33">
        <v>18</v>
      </c>
      <c r="F29" s="13">
        <v>72.222222220000006</v>
      </c>
      <c r="G29" s="11" t="s">
        <v>83</v>
      </c>
      <c r="H29" s="14">
        <v>7</v>
      </c>
      <c r="I29" s="14">
        <v>7</v>
      </c>
      <c r="J29" s="28">
        <v>7</v>
      </c>
      <c r="K29" s="14">
        <v>2</v>
      </c>
      <c r="L29" s="13">
        <v>23</v>
      </c>
    </row>
    <row r="30" spans="1:12" ht="15.6" x14ac:dyDescent="0.3">
      <c r="A30" s="11">
        <v>23</v>
      </c>
      <c r="B30" s="11">
        <v>2301263</v>
      </c>
      <c r="C30" s="12" t="s">
        <v>25</v>
      </c>
      <c r="D30" s="43">
        <v>18</v>
      </c>
      <c r="E30" s="33">
        <v>18</v>
      </c>
      <c r="F30" s="13">
        <v>100</v>
      </c>
      <c r="G30" s="11" t="s">
        <v>86</v>
      </c>
      <c r="H30" s="14">
        <v>6</v>
      </c>
      <c r="I30" s="14">
        <v>6</v>
      </c>
      <c r="J30" s="28">
        <v>7</v>
      </c>
      <c r="K30" s="14">
        <v>2</v>
      </c>
      <c r="L30" s="13">
        <v>27</v>
      </c>
    </row>
    <row r="31" spans="1:12" ht="15.6" x14ac:dyDescent="0.3">
      <c r="A31" s="11">
        <v>24</v>
      </c>
      <c r="B31" s="11">
        <v>2301264</v>
      </c>
      <c r="C31" s="12" t="s">
        <v>26</v>
      </c>
      <c r="D31" s="43">
        <v>4</v>
      </c>
      <c r="E31" s="33">
        <v>18</v>
      </c>
      <c r="F31" s="13">
        <v>22.222222219999999</v>
      </c>
      <c r="G31" s="11" t="s">
        <v>83</v>
      </c>
      <c r="H31" s="14">
        <v>5</v>
      </c>
      <c r="I31" s="14">
        <v>3</v>
      </c>
      <c r="J31" s="28">
        <v>3</v>
      </c>
      <c r="K31" s="14">
        <v>2</v>
      </c>
      <c r="L31" s="13">
        <v>13</v>
      </c>
    </row>
    <row r="32" spans="1:12" ht="15.6" x14ac:dyDescent="0.3">
      <c r="A32" s="11">
        <v>25</v>
      </c>
      <c r="B32" s="11">
        <v>2301265</v>
      </c>
      <c r="C32" s="12" t="s">
        <v>27</v>
      </c>
      <c r="D32" s="43">
        <v>16</v>
      </c>
      <c r="E32" s="33">
        <v>18</v>
      </c>
      <c r="F32" s="13">
        <v>88.888888890000004</v>
      </c>
      <c r="G32" s="11" t="s">
        <v>84</v>
      </c>
      <c r="H32" s="14">
        <v>6</v>
      </c>
      <c r="I32" s="14">
        <v>5</v>
      </c>
      <c r="J32" s="28">
        <v>5</v>
      </c>
      <c r="K32" s="14">
        <v>2</v>
      </c>
      <c r="L32" s="13">
        <v>22</v>
      </c>
    </row>
    <row r="33" spans="1:12" ht="15.6" x14ac:dyDescent="0.3">
      <c r="A33" s="11">
        <v>26</v>
      </c>
      <c r="B33" s="11">
        <v>2301267</v>
      </c>
      <c r="C33" s="12" t="s">
        <v>28</v>
      </c>
      <c r="D33" s="43">
        <v>10</v>
      </c>
      <c r="E33" s="33">
        <v>16</v>
      </c>
      <c r="F33" s="13">
        <v>62.5</v>
      </c>
      <c r="G33" s="11" t="s">
        <v>83</v>
      </c>
      <c r="H33" s="14">
        <v>7</v>
      </c>
      <c r="I33" s="14">
        <v>7</v>
      </c>
      <c r="J33" s="28">
        <v>8</v>
      </c>
      <c r="K33" s="14">
        <v>2</v>
      </c>
      <c r="L33" s="13">
        <v>24</v>
      </c>
    </row>
    <row r="34" spans="1:12" ht="15.6" x14ac:dyDescent="0.3">
      <c r="A34" s="11">
        <v>27</v>
      </c>
      <c r="B34" s="11">
        <v>2301268</v>
      </c>
      <c r="C34" s="12" t="s">
        <v>29</v>
      </c>
      <c r="D34" s="43">
        <v>9</v>
      </c>
      <c r="E34" s="33">
        <v>16</v>
      </c>
      <c r="F34" s="13">
        <v>56.25</v>
      </c>
      <c r="G34" s="11" t="s">
        <v>83</v>
      </c>
      <c r="H34" s="14">
        <v>7</v>
      </c>
      <c r="I34" s="14">
        <v>6</v>
      </c>
      <c r="J34" s="28">
        <v>7</v>
      </c>
      <c r="K34" s="14">
        <v>2</v>
      </c>
      <c r="L34" s="13">
        <v>22</v>
      </c>
    </row>
    <row r="35" spans="1:12" ht="15.6" x14ac:dyDescent="0.3">
      <c r="A35" s="11">
        <v>28</v>
      </c>
      <c r="B35" s="11">
        <v>2301269</v>
      </c>
      <c r="C35" s="12" t="s">
        <v>30</v>
      </c>
      <c r="D35" s="43">
        <v>16</v>
      </c>
      <c r="E35" s="33">
        <v>16</v>
      </c>
      <c r="F35" s="13">
        <v>100</v>
      </c>
      <c r="G35" s="11" t="s">
        <v>86</v>
      </c>
      <c r="H35" s="14">
        <v>5</v>
      </c>
      <c r="I35" s="14">
        <v>5</v>
      </c>
      <c r="J35" s="28">
        <v>5</v>
      </c>
      <c r="K35" s="14">
        <v>2</v>
      </c>
      <c r="L35" s="13">
        <v>23</v>
      </c>
    </row>
    <row r="36" spans="1:12" ht="15.6" x14ac:dyDescent="0.3">
      <c r="A36" s="11">
        <v>29</v>
      </c>
      <c r="B36" s="11">
        <v>2301270</v>
      </c>
      <c r="C36" s="12" t="s">
        <v>31</v>
      </c>
      <c r="D36" s="43">
        <v>7</v>
      </c>
      <c r="E36" s="33">
        <v>16</v>
      </c>
      <c r="F36" s="13">
        <v>43.75</v>
      </c>
      <c r="G36" s="11" t="s">
        <v>83</v>
      </c>
      <c r="H36" s="14">
        <v>7</v>
      </c>
      <c r="I36" s="14">
        <v>6</v>
      </c>
      <c r="J36" s="28">
        <v>6</v>
      </c>
      <c r="K36" s="14">
        <v>2</v>
      </c>
      <c r="L36" s="13">
        <v>21</v>
      </c>
    </row>
    <row r="37" spans="1:12" ht="15.6" x14ac:dyDescent="0.3">
      <c r="A37" s="11">
        <v>30</v>
      </c>
      <c r="B37" s="11">
        <v>2301271</v>
      </c>
      <c r="C37" s="12" t="s">
        <v>32</v>
      </c>
      <c r="D37" s="43">
        <v>4</v>
      </c>
      <c r="E37" s="33">
        <v>16</v>
      </c>
      <c r="F37" s="13">
        <v>25</v>
      </c>
      <c r="G37" s="11" t="s">
        <v>83</v>
      </c>
      <c r="H37" s="14">
        <v>7</v>
      </c>
      <c r="I37" s="14">
        <v>6</v>
      </c>
      <c r="J37" s="28">
        <v>6</v>
      </c>
      <c r="K37" s="14">
        <v>2</v>
      </c>
      <c r="L37" s="13">
        <v>21</v>
      </c>
    </row>
    <row r="38" spans="1:12" ht="15.6" x14ac:dyDescent="0.3">
      <c r="A38" s="11">
        <v>31</v>
      </c>
      <c r="B38" s="11">
        <v>2301272</v>
      </c>
      <c r="C38" s="12" t="s">
        <v>33</v>
      </c>
      <c r="D38" s="43">
        <v>2</v>
      </c>
      <c r="E38" s="33">
        <v>16</v>
      </c>
      <c r="F38" s="13">
        <v>12.5</v>
      </c>
      <c r="G38" s="11" t="s">
        <v>83</v>
      </c>
      <c r="H38" s="14">
        <v>5</v>
      </c>
      <c r="I38" s="14">
        <v>0</v>
      </c>
      <c r="J38" s="28">
        <v>5</v>
      </c>
      <c r="K38" s="14">
        <v>2</v>
      </c>
      <c r="L38" s="13">
        <v>12</v>
      </c>
    </row>
    <row r="39" spans="1:12" ht="15.6" x14ac:dyDescent="0.3">
      <c r="A39" s="11">
        <v>32</v>
      </c>
      <c r="B39" s="11">
        <v>2301273</v>
      </c>
      <c r="C39" s="12" t="s">
        <v>34</v>
      </c>
      <c r="D39" s="43">
        <v>8</v>
      </c>
      <c r="E39" s="33">
        <v>16</v>
      </c>
      <c r="F39" s="13">
        <v>50</v>
      </c>
      <c r="G39" s="11" t="s">
        <v>83</v>
      </c>
      <c r="H39" s="14">
        <v>7</v>
      </c>
      <c r="I39" s="14">
        <v>6</v>
      </c>
      <c r="J39" s="28">
        <v>6</v>
      </c>
      <c r="K39" s="14">
        <v>2</v>
      </c>
      <c r="L39" s="13">
        <v>21</v>
      </c>
    </row>
    <row r="40" spans="1:12" ht="15.6" x14ac:dyDescent="0.3">
      <c r="A40" s="11">
        <v>33</v>
      </c>
      <c r="B40" s="11">
        <v>2301274</v>
      </c>
      <c r="C40" s="12" t="s">
        <v>35</v>
      </c>
      <c r="D40" s="43">
        <v>14</v>
      </c>
      <c r="E40" s="33">
        <v>16</v>
      </c>
      <c r="F40" s="13">
        <v>87.5</v>
      </c>
      <c r="G40" s="11" t="s">
        <v>84</v>
      </c>
      <c r="H40" s="14">
        <v>5</v>
      </c>
      <c r="I40" s="14">
        <v>5</v>
      </c>
      <c r="J40" s="28">
        <v>5</v>
      </c>
      <c r="K40" s="14">
        <v>2</v>
      </c>
      <c r="L40" s="13">
        <v>21</v>
      </c>
    </row>
    <row r="41" spans="1:12" ht="15.6" x14ac:dyDescent="0.3">
      <c r="A41" s="11">
        <v>34</v>
      </c>
      <c r="B41" s="11">
        <v>2301275</v>
      </c>
      <c r="C41" s="12" t="s">
        <v>36</v>
      </c>
      <c r="D41" s="43">
        <v>15</v>
      </c>
      <c r="E41" s="33">
        <v>16</v>
      </c>
      <c r="F41" s="13">
        <v>93.75</v>
      </c>
      <c r="G41" s="11" t="s">
        <v>89</v>
      </c>
      <c r="H41" s="14">
        <v>7</v>
      </c>
      <c r="I41" s="14">
        <v>5</v>
      </c>
      <c r="J41" s="28">
        <v>6</v>
      </c>
      <c r="K41" s="14">
        <v>2</v>
      </c>
      <c r="L41" s="13">
        <v>25</v>
      </c>
    </row>
    <row r="42" spans="1:12" ht="15.6" x14ac:dyDescent="0.3">
      <c r="A42" s="11">
        <v>35</v>
      </c>
      <c r="B42" s="11">
        <v>2301277</v>
      </c>
      <c r="C42" s="12" t="s">
        <v>37</v>
      </c>
      <c r="D42" s="43">
        <v>13</v>
      </c>
      <c r="E42" s="33">
        <v>16</v>
      </c>
      <c r="F42" s="13">
        <v>81.25</v>
      </c>
      <c r="G42" s="11" t="s">
        <v>90</v>
      </c>
      <c r="H42" s="14">
        <v>6</v>
      </c>
      <c r="I42" s="14">
        <v>5</v>
      </c>
      <c r="J42" s="28">
        <v>5</v>
      </c>
      <c r="K42" s="14">
        <v>2</v>
      </c>
      <c r="L42" s="13">
        <v>21</v>
      </c>
    </row>
    <row r="43" spans="1:12" ht="15.6" x14ac:dyDescent="0.3">
      <c r="A43" s="11">
        <v>36</v>
      </c>
      <c r="B43" s="11">
        <v>2301278</v>
      </c>
      <c r="C43" s="12" t="s">
        <v>38</v>
      </c>
      <c r="D43" s="43">
        <v>2</v>
      </c>
      <c r="E43" s="33">
        <v>16</v>
      </c>
      <c r="F43" s="13">
        <v>12.5</v>
      </c>
      <c r="G43" s="11" t="s">
        <v>83</v>
      </c>
      <c r="H43" s="14">
        <v>5</v>
      </c>
      <c r="I43" s="14">
        <v>1</v>
      </c>
      <c r="J43" s="28">
        <v>5</v>
      </c>
      <c r="K43" s="14">
        <v>2</v>
      </c>
      <c r="L43" s="13">
        <v>13</v>
      </c>
    </row>
    <row r="44" spans="1:12" ht="15.6" x14ac:dyDescent="0.3">
      <c r="A44" s="11">
        <v>37</v>
      </c>
      <c r="B44" s="11">
        <v>2301279</v>
      </c>
      <c r="C44" s="12" t="s">
        <v>39</v>
      </c>
      <c r="D44" s="43">
        <v>15</v>
      </c>
      <c r="E44" s="33">
        <v>16</v>
      </c>
      <c r="F44" s="13">
        <v>93.75</v>
      </c>
      <c r="G44" s="11" t="s">
        <v>89</v>
      </c>
      <c r="H44" s="14">
        <v>6</v>
      </c>
      <c r="I44" s="14">
        <v>4</v>
      </c>
      <c r="J44" s="28">
        <v>5</v>
      </c>
      <c r="K44" s="14">
        <v>2</v>
      </c>
      <c r="L44" s="13">
        <v>22</v>
      </c>
    </row>
    <row r="45" spans="1:12" ht="15.6" x14ac:dyDescent="0.3">
      <c r="A45" s="11">
        <v>38</v>
      </c>
      <c r="B45" s="11">
        <v>2339508</v>
      </c>
      <c r="C45" s="12" t="s">
        <v>40</v>
      </c>
      <c r="D45" s="43">
        <v>15</v>
      </c>
      <c r="E45" s="33">
        <v>16</v>
      </c>
      <c r="F45" s="13">
        <v>93.75</v>
      </c>
      <c r="G45" s="11" t="s">
        <v>89</v>
      </c>
      <c r="H45" s="14">
        <v>5</v>
      </c>
      <c r="I45" s="14">
        <v>4</v>
      </c>
      <c r="J45" s="28">
        <v>5</v>
      </c>
      <c r="K45" s="14">
        <v>2</v>
      </c>
      <c r="L45" s="13">
        <v>21</v>
      </c>
    </row>
    <row r="46" spans="1:12" ht="15.6" x14ac:dyDescent="0.3">
      <c r="A46" s="11">
        <v>39</v>
      </c>
      <c r="B46" s="11">
        <v>2301280</v>
      </c>
      <c r="C46" s="12" t="s">
        <v>41</v>
      </c>
      <c r="D46" s="43">
        <v>16</v>
      </c>
      <c r="E46" s="33">
        <v>16</v>
      </c>
      <c r="F46" s="13">
        <v>100</v>
      </c>
      <c r="G46" s="11" t="s">
        <v>86</v>
      </c>
      <c r="H46" s="14">
        <v>5</v>
      </c>
      <c r="I46" s="14">
        <v>4</v>
      </c>
      <c r="J46" s="28">
        <v>4</v>
      </c>
      <c r="K46" s="14">
        <v>2</v>
      </c>
      <c r="L46" s="13">
        <v>21</v>
      </c>
    </row>
    <row r="47" spans="1:12" ht="15.6" x14ac:dyDescent="0.3">
      <c r="A47" s="11">
        <v>40</v>
      </c>
      <c r="B47" s="11">
        <v>2301281</v>
      </c>
      <c r="C47" s="12" t="s">
        <v>42</v>
      </c>
      <c r="D47" s="43">
        <v>4</v>
      </c>
      <c r="E47" s="33">
        <v>16</v>
      </c>
      <c r="F47" s="13">
        <v>25</v>
      </c>
      <c r="G47" s="11" t="s">
        <v>83</v>
      </c>
      <c r="H47" s="14">
        <v>7</v>
      </c>
      <c r="I47" s="14">
        <v>6</v>
      </c>
      <c r="J47" s="28">
        <v>6</v>
      </c>
      <c r="K47" s="14">
        <v>2</v>
      </c>
      <c r="L47" s="13">
        <v>21</v>
      </c>
    </row>
    <row r="48" spans="1:12" ht="15.6" x14ac:dyDescent="0.3">
      <c r="A48" s="11">
        <v>41</v>
      </c>
      <c r="B48" s="11">
        <v>2339509</v>
      </c>
      <c r="C48" s="12" t="s">
        <v>43</v>
      </c>
      <c r="D48" s="43">
        <v>0</v>
      </c>
      <c r="E48" s="33">
        <v>16</v>
      </c>
      <c r="F48" s="13">
        <v>0</v>
      </c>
      <c r="G48" s="11" t="s">
        <v>83</v>
      </c>
      <c r="H48" s="14">
        <v>5</v>
      </c>
      <c r="I48" s="14">
        <v>0</v>
      </c>
      <c r="J48" s="28">
        <v>5</v>
      </c>
      <c r="K48" s="14">
        <v>2</v>
      </c>
      <c r="L48" s="13">
        <v>12</v>
      </c>
    </row>
    <row r="49" spans="1:12" ht="15.6" x14ac:dyDescent="0.3">
      <c r="A49" s="11">
        <v>42</v>
      </c>
      <c r="B49" s="11">
        <v>2301283</v>
      </c>
      <c r="C49" s="12" t="s">
        <v>44</v>
      </c>
      <c r="D49" s="43">
        <v>7</v>
      </c>
      <c r="E49" s="33">
        <v>16</v>
      </c>
      <c r="F49" s="13">
        <v>43.75</v>
      </c>
      <c r="G49" s="11" t="s">
        <v>83</v>
      </c>
      <c r="H49" s="14">
        <v>7</v>
      </c>
      <c r="I49" s="14">
        <v>6</v>
      </c>
      <c r="J49" s="28">
        <v>7</v>
      </c>
      <c r="K49" s="14">
        <v>2</v>
      </c>
      <c r="L49" s="13">
        <v>22</v>
      </c>
    </row>
    <row r="50" spans="1:12" ht="15.6" x14ac:dyDescent="0.3">
      <c r="A50" s="11">
        <v>43</v>
      </c>
      <c r="B50" s="11">
        <v>2301285</v>
      </c>
      <c r="C50" s="12" t="s">
        <v>45</v>
      </c>
      <c r="D50" s="43">
        <v>5</v>
      </c>
      <c r="E50" s="33">
        <v>16</v>
      </c>
      <c r="F50" s="13">
        <v>31.25</v>
      </c>
      <c r="G50" s="11" t="s">
        <v>83</v>
      </c>
      <c r="H50" s="14">
        <v>7</v>
      </c>
      <c r="I50" s="14">
        <v>6</v>
      </c>
      <c r="J50" s="28">
        <v>6</v>
      </c>
      <c r="K50" s="14">
        <v>2</v>
      </c>
      <c r="L50" s="13">
        <v>21</v>
      </c>
    </row>
    <row r="51" spans="1:12" ht="15.6" x14ac:dyDescent="0.3">
      <c r="A51" s="11">
        <v>44</v>
      </c>
      <c r="B51" s="11">
        <v>2301286</v>
      </c>
      <c r="C51" s="12" t="s">
        <v>46</v>
      </c>
      <c r="D51" s="43">
        <v>6</v>
      </c>
      <c r="E51" s="33">
        <v>16</v>
      </c>
      <c r="F51" s="13">
        <v>37.5</v>
      </c>
      <c r="G51" s="11" t="s">
        <v>83</v>
      </c>
      <c r="H51" s="14">
        <v>5</v>
      </c>
      <c r="I51" s="14">
        <v>0</v>
      </c>
      <c r="J51" s="28">
        <v>5</v>
      </c>
      <c r="K51" s="14">
        <v>2</v>
      </c>
      <c r="L51" s="13">
        <v>12</v>
      </c>
    </row>
    <row r="52" spans="1:12" ht="15.6" x14ac:dyDescent="0.3">
      <c r="A52" s="11">
        <v>45</v>
      </c>
      <c r="B52" s="11">
        <v>2425599</v>
      </c>
      <c r="C52" s="12" t="s">
        <v>47</v>
      </c>
      <c r="D52" s="43">
        <v>14</v>
      </c>
      <c r="E52" s="33">
        <v>16</v>
      </c>
      <c r="F52" s="13">
        <v>87.5</v>
      </c>
      <c r="G52" s="11" t="s">
        <v>84</v>
      </c>
      <c r="H52" s="14">
        <v>5</v>
      </c>
      <c r="I52" s="14">
        <v>5</v>
      </c>
      <c r="J52" s="28">
        <v>5</v>
      </c>
      <c r="K52" s="14">
        <v>2</v>
      </c>
      <c r="L52" s="13">
        <v>21</v>
      </c>
    </row>
    <row r="53" spans="1:12" ht="15.6" x14ac:dyDescent="0.3">
      <c r="A53" s="11">
        <v>46</v>
      </c>
      <c r="B53" s="11">
        <v>2425600</v>
      </c>
      <c r="C53" s="12" t="s">
        <v>48</v>
      </c>
      <c r="D53" s="43">
        <v>16</v>
      </c>
      <c r="E53" s="33">
        <v>16</v>
      </c>
      <c r="F53" s="13">
        <v>100</v>
      </c>
      <c r="G53" s="11" t="s">
        <v>86</v>
      </c>
      <c r="H53" s="14">
        <v>5</v>
      </c>
      <c r="I53" s="14">
        <v>5</v>
      </c>
      <c r="J53" s="28">
        <v>6</v>
      </c>
      <c r="K53" s="14">
        <v>2</v>
      </c>
      <c r="L53" s="13">
        <v>24</v>
      </c>
    </row>
    <row r="54" spans="1:12" ht="15.6" x14ac:dyDescent="0.3">
      <c r="A54" s="11">
        <v>47</v>
      </c>
      <c r="B54" s="11">
        <v>2425601</v>
      </c>
      <c r="C54" s="12" t="s">
        <v>49</v>
      </c>
      <c r="D54" s="43">
        <v>16</v>
      </c>
      <c r="E54" s="33">
        <v>16</v>
      </c>
      <c r="F54" s="13">
        <v>100</v>
      </c>
      <c r="G54" s="11" t="s">
        <v>86</v>
      </c>
      <c r="H54" s="14">
        <v>6</v>
      </c>
      <c r="I54" s="14">
        <v>6</v>
      </c>
      <c r="J54" s="28">
        <v>5</v>
      </c>
      <c r="K54" s="14">
        <v>2</v>
      </c>
      <c r="L54" s="13">
        <v>25</v>
      </c>
    </row>
    <row r="55" spans="1:12" ht="15.6" x14ac:dyDescent="0.3">
      <c r="A55" s="11">
        <v>48</v>
      </c>
      <c r="B55" s="11">
        <v>2425603</v>
      </c>
      <c r="C55" s="12" t="s">
        <v>50</v>
      </c>
      <c r="D55" s="43">
        <v>16</v>
      </c>
      <c r="E55" s="33">
        <v>16</v>
      </c>
      <c r="F55" s="13">
        <v>100</v>
      </c>
      <c r="G55" s="11" t="s">
        <v>86</v>
      </c>
      <c r="H55" s="14">
        <v>6</v>
      </c>
      <c r="I55" s="14">
        <v>6</v>
      </c>
      <c r="J55" s="28">
        <v>6</v>
      </c>
      <c r="K55" s="14">
        <v>2</v>
      </c>
      <c r="L55" s="13">
        <v>26</v>
      </c>
    </row>
    <row r="56" spans="1:12" ht="15.6" x14ac:dyDescent="0.3">
      <c r="A56" s="11">
        <v>49</v>
      </c>
      <c r="B56" s="11">
        <v>2425604</v>
      </c>
      <c r="C56" s="12" t="s">
        <v>51</v>
      </c>
      <c r="D56" s="43">
        <v>13</v>
      </c>
      <c r="E56" s="33">
        <v>16</v>
      </c>
      <c r="F56" s="13">
        <v>81.25</v>
      </c>
      <c r="G56" s="11" t="s">
        <v>90</v>
      </c>
      <c r="H56" s="14">
        <v>6</v>
      </c>
      <c r="I56" s="14">
        <v>5</v>
      </c>
      <c r="J56" s="28">
        <v>5</v>
      </c>
      <c r="K56" s="14">
        <v>2</v>
      </c>
      <c r="L56" s="13">
        <v>21</v>
      </c>
    </row>
    <row r="57" spans="1:12" ht="15.6" x14ac:dyDescent="0.3">
      <c r="A57" s="11">
        <v>50</v>
      </c>
      <c r="B57" s="11">
        <v>2301235</v>
      </c>
      <c r="C57" s="12" t="s">
        <v>87</v>
      </c>
      <c r="D57" s="43">
        <v>7</v>
      </c>
      <c r="E57" s="33">
        <v>16</v>
      </c>
      <c r="F57" s="13">
        <v>43.75</v>
      </c>
      <c r="G57" s="11" t="s">
        <v>83</v>
      </c>
      <c r="H57" s="14">
        <v>7</v>
      </c>
      <c r="I57" s="14">
        <v>6</v>
      </c>
      <c r="J57" s="28">
        <v>6</v>
      </c>
      <c r="K57" s="14">
        <v>2</v>
      </c>
      <c r="L57" s="13">
        <v>21</v>
      </c>
    </row>
  </sheetData>
  <mergeCells count="19">
    <mergeCell ref="A1:L1"/>
    <mergeCell ref="A2:L2"/>
    <mergeCell ref="A3:L3"/>
    <mergeCell ref="A4:G4"/>
    <mergeCell ref="H4:L4"/>
    <mergeCell ref="A5:G5"/>
    <mergeCell ref="H5:L5"/>
    <mergeCell ref="H6:H7"/>
    <mergeCell ref="I6:I7"/>
    <mergeCell ref="J6:J7"/>
    <mergeCell ref="K6:K7"/>
    <mergeCell ref="L6:L7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DBMS</vt:lpstr>
      <vt:lpstr>ERP</vt:lpstr>
      <vt:lpstr>FLAT</vt:lpstr>
      <vt:lpstr>SE</vt:lpstr>
      <vt:lpstr>CN</vt:lpstr>
      <vt:lpstr>PIP</vt:lpstr>
      <vt:lpstr>COI</vt:lpstr>
      <vt:lpstr>DBMS LAB</vt:lpstr>
      <vt:lpstr>PIP LAB</vt:lpstr>
      <vt:lpstr>SE LAB</vt:lpstr>
      <vt:lpstr>CN 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Sukhdayal .</cp:lastModifiedBy>
  <dcterms:created xsi:type="dcterms:W3CDTF">2026-01-23T09:36:59Z</dcterms:created>
  <dcterms:modified xsi:type="dcterms:W3CDTF">2026-01-23T10:24:21Z</dcterms:modified>
</cp:coreProperties>
</file>